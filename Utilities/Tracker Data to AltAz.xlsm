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Data" sheetId="1" r:id="rId1"/>
  </sheets>
  <calcPr calcId="125725"/>
</workbook>
</file>

<file path=xl/calcChain.xml><?xml version="1.0" encoding="utf-8"?>
<calcChain xmlns="http://schemas.openxmlformats.org/spreadsheetml/2006/main">
  <c r="AI4" i="1"/>
  <c r="AI5"/>
  <c r="AI6"/>
  <c r="AI7"/>
  <c r="AI8"/>
  <c r="G16"/>
  <c r="B16" s="1"/>
  <c r="G14"/>
  <c r="B14" s="1"/>
  <c r="F21" s="1"/>
  <c r="G10"/>
  <c r="B10" s="1"/>
  <c r="G9"/>
  <c r="B9" s="1"/>
  <c r="AM4"/>
  <c r="AM8"/>
  <c r="AM7"/>
  <c r="AM6"/>
  <c r="AM5"/>
  <c r="AM3"/>
  <c r="AI3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K242" s="1"/>
  <c r="F242"/>
  <c r="E243"/>
  <c r="F243"/>
  <c r="E244"/>
  <c r="K244" s="1"/>
  <c r="F244"/>
  <c r="E245"/>
  <c r="F245"/>
  <c r="E246"/>
  <c r="K246" s="1"/>
  <c r="F246"/>
  <c r="E247"/>
  <c r="F247"/>
  <c r="E248"/>
  <c r="K248" s="1"/>
  <c r="F248"/>
  <c r="E249"/>
  <c r="F249"/>
  <c r="E250"/>
  <c r="K250" s="1"/>
  <c r="F250"/>
  <c r="E251"/>
  <c r="F251"/>
  <c r="E252"/>
  <c r="K252" s="1"/>
  <c r="F252"/>
  <c r="E253"/>
  <c r="F253"/>
  <c r="E254"/>
  <c r="K254" s="1"/>
  <c r="F254"/>
  <c r="E255"/>
  <c r="F255"/>
  <c r="E256"/>
  <c r="K256" s="1"/>
  <c r="F256"/>
  <c r="E257"/>
  <c r="F257"/>
  <c r="E258"/>
  <c r="K258" s="1"/>
  <c r="F258"/>
  <c r="E259"/>
  <c r="F259"/>
  <c r="E260"/>
  <c r="K260" s="1"/>
  <c r="F260"/>
  <c r="E261"/>
  <c r="F261"/>
  <c r="E262"/>
  <c r="F262"/>
  <c r="E263"/>
  <c r="F263"/>
  <c r="E264"/>
  <c r="K264" s="1"/>
  <c r="F264"/>
  <c r="E265"/>
  <c r="F265"/>
  <c r="E266"/>
  <c r="K266" s="1"/>
  <c r="F266"/>
  <c r="E267"/>
  <c r="F267"/>
  <c r="E268"/>
  <c r="K268" s="1"/>
  <c r="F268"/>
  <c r="E269"/>
  <c r="F269"/>
  <c r="E270"/>
  <c r="K270" s="1"/>
  <c r="F270"/>
  <c r="E271"/>
  <c r="F271"/>
  <c r="E272"/>
  <c r="K272" s="1"/>
  <c r="F272"/>
  <c r="E273"/>
  <c r="F273"/>
  <c r="E274"/>
  <c r="K274" s="1"/>
  <c r="F274"/>
  <c r="E275"/>
  <c r="F275"/>
  <c r="E276"/>
  <c r="K276" s="1"/>
  <c r="F276"/>
  <c r="E277"/>
  <c r="F277"/>
  <c r="E278"/>
  <c r="K278" s="1"/>
  <c r="F278"/>
  <c r="E279"/>
  <c r="F279"/>
  <c r="E280"/>
  <c r="K280" s="1"/>
  <c r="F280"/>
  <c r="E281"/>
  <c r="F281"/>
  <c r="E282"/>
  <c r="K282" s="1"/>
  <c r="F282"/>
  <c r="E283"/>
  <c r="F283"/>
  <c r="E284"/>
  <c r="K284" s="1"/>
  <c r="F284"/>
  <c r="E285"/>
  <c r="F285"/>
  <c r="E286"/>
  <c r="K286" s="1"/>
  <c r="F286"/>
  <c r="E287"/>
  <c r="F287"/>
  <c r="E288"/>
  <c r="K288" s="1"/>
  <c r="F288"/>
  <c r="E289"/>
  <c r="F289"/>
  <c r="E290"/>
  <c r="K290" s="1"/>
  <c r="F290"/>
  <c r="E291"/>
  <c r="F291"/>
  <c r="E292"/>
  <c r="K292" s="1"/>
  <c r="F292"/>
  <c r="E293"/>
  <c r="F293"/>
  <c r="E294"/>
  <c r="F294"/>
  <c r="E295"/>
  <c r="F295"/>
  <c r="E296"/>
  <c r="K296" s="1"/>
  <c r="F296"/>
  <c r="E297"/>
  <c r="F297"/>
  <c r="E298"/>
  <c r="K298" s="1"/>
  <c r="F298"/>
  <c r="E299"/>
  <c r="F299"/>
  <c r="E300"/>
  <c r="K300" s="1"/>
  <c r="F300"/>
  <c r="E301"/>
  <c r="F301"/>
  <c r="E302"/>
  <c r="K302" s="1"/>
  <c r="F302"/>
  <c r="E303"/>
  <c r="F303"/>
  <c r="E304"/>
  <c r="K304" s="1"/>
  <c r="F304"/>
  <c r="E305"/>
  <c r="F305"/>
  <c r="E306"/>
  <c r="K306" s="1"/>
  <c r="F306"/>
  <c r="E307"/>
  <c r="F307"/>
  <c r="E308"/>
  <c r="K308" s="1"/>
  <c r="F308"/>
  <c r="E309"/>
  <c r="F309"/>
  <c r="E310"/>
  <c r="K310" s="1"/>
  <c r="F310"/>
  <c r="E311"/>
  <c r="F311"/>
  <c r="E312"/>
  <c r="K312" s="1"/>
  <c r="F312"/>
  <c r="E313"/>
  <c r="F313"/>
  <c r="E314"/>
  <c r="K314" s="1"/>
  <c r="F314"/>
  <c r="E315"/>
  <c r="F315"/>
  <c r="E316"/>
  <c r="K316" s="1"/>
  <c r="F316"/>
  <c r="E317"/>
  <c r="F317"/>
  <c r="E318"/>
  <c r="K318" s="1"/>
  <c r="F318"/>
  <c r="E319"/>
  <c r="F319"/>
  <c r="E320"/>
  <c r="K320" s="1"/>
  <c r="F320"/>
  <c r="E321"/>
  <c r="F321"/>
  <c r="E322"/>
  <c r="K322" s="1"/>
  <c r="F322"/>
  <c r="E323"/>
  <c r="F323"/>
  <c r="E324"/>
  <c r="K324" s="1"/>
  <c r="F324"/>
  <c r="E325"/>
  <c r="F325"/>
  <c r="E326"/>
  <c r="F326"/>
  <c r="E327"/>
  <c r="F327"/>
  <c r="E328"/>
  <c r="K328" s="1"/>
  <c r="F328"/>
  <c r="E329"/>
  <c r="F329"/>
  <c r="E330"/>
  <c r="K330" s="1"/>
  <c r="F330"/>
  <c r="E331"/>
  <c r="F331"/>
  <c r="E332"/>
  <c r="K332" s="1"/>
  <c r="F332"/>
  <c r="E333"/>
  <c r="F333"/>
  <c r="E334"/>
  <c r="K334" s="1"/>
  <c r="F334"/>
  <c r="E335"/>
  <c r="F335"/>
  <c r="E336"/>
  <c r="K336" s="1"/>
  <c r="F336"/>
  <c r="E337"/>
  <c r="F337"/>
  <c r="E338"/>
  <c r="K338" s="1"/>
  <c r="F338"/>
  <c r="E339"/>
  <c r="F339"/>
  <c r="E340"/>
  <c r="K340" s="1"/>
  <c r="F340"/>
  <c r="E341"/>
  <c r="F341"/>
  <c r="E342"/>
  <c r="K342" s="1"/>
  <c r="F342"/>
  <c r="E343"/>
  <c r="F343"/>
  <c r="E344"/>
  <c r="K344" s="1"/>
  <c r="F344"/>
  <c r="E345"/>
  <c r="F345"/>
  <c r="E346"/>
  <c r="K346" s="1"/>
  <c r="F346"/>
  <c r="E347"/>
  <c r="F347"/>
  <c r="E348"/>
  <c r="K348" s="1"/>
  <c r="F348"/>
  <c r="E349"/>
  <c r="F349"/>
  <c r="E350"/>
  <c r="K350" s="1"/>
  <c r="F350"/>
  <c r="E351"/>
  <c r="F351"/>
  <c r="E352"/>
  <c r="K352" s="1"/>
  <c r="F352"/>
  <c r="E353"/>
  <c r="F353"/>
  <c r="E354"/>
  <c r="K354" s="1"/>
  <c r="F354"/>
  <c r="E355"/>
  <c r="F355"/>
  <c r="E356"/>
  <c r="K356" s="1"/>
  <c r="F356"/>
  <c r="E357"/>
  <c r="F357"/>
  <c r="E358"/>
  <c r="F358"/>
  <c r="E359"/>
  <c r="F359"/>
  <c r="E360"/>
  <c r="K360" s="1"/>
  <c r="F360"/>
  <c r="E361"/>
  <c r="F361"/>
  <c r="E362"/>
  <c r="K362" s="1"/>
  <c r="F362"/>
  <c r="E363"/>
  <c r="F363"/>
  <c r="E364"/>
  <c r="K364" s="1"/>
  <c r="F364"/>
  <c r="E365"/>
  <c r="F365"/>
  <c r="E366"/>
  <c r="K366" s="1"/>
  <c r="F366"/>
  <c r="E367"/>
  <c r="F367"/>
  <c r="E368"/>
  <c r="K368" s="1"/>
  <c r="F368"/>
  <c r="E369"/>
  <c r="F369"/>
  <c r="E370"/>
  <c r="K370" s="1"/>
  <c r="F370"/>
  <c r="E371"/>
  <c r="F371"/>
  <c r="E372"/>
  <c r="K372" s="1"/>
  <c r="F372"/>
  <c r="E373"/>
  <c r="F373"/>
  <c r="E374"/>
  <c r="K374" s="1"/>
  <c r="F374"/>
  <c r="E375"/>
  <c r="F375"/>
  <c r="E376"/>
  <c r="K376" s="1"/>
  <c r="F376"/>
  <c r="E377"/>
  <c r="F377"/>
  <c r="E378"/>
  <c r="K378" s="1"/>
  <c r="F378"/>
  <c r="E379"/>
  <c r="F379"/>
  <c r="E380"/>
  <c r="K380" s="1"/>
  <c r="F380"/>
  <c r="E381"/>
  <c r="F381"/>
  <c r="E382"/>
  <c r="K382" s="1"/>
  <c r="F382"/>
  <c r="E383"/>
  <c r="F383"/>
  <c r="E384"/>
  <c r="K384" s="1"/>
  <c r="F384"/>
  <c r="E385"/>
  <c r="F385"/>
  <c r="E386"/>
  <c r="K386" s="1"/>
  <c r="F386"/>
  <c r="E387"/>
  <c r="F387"/>
  <c r="E388"/>
  <c r="K388" s="1"/>
  <c r="F388"/>
  <c r="E389"/>
  <c r="F389"/>
  <c r="E390"/>
  <c r="F390"/>
  <c r="E391"/>
  <c r="F391"/>
  <c r="E392"/>
  <c r="K392" s="1"/>
  <c r="F392"/>
  <c r="E393"/>
  <c r="F393"/>
  <c r="E394"/>
  <c r="K394" s="1"/>
  <c r="F394"/>
  <c r="E395"/>
  <c r="F395"/>
  <c r="E396"/>
  <c r="K396" s="1"/>
  <c r="F396"/>
  <c r="E397"/>
  <c r="F397"/>
  <c r="E398"/>
  <c r="K398" s="1"/>
  <c r="F398"/>
  <c r="E399"/>
  <c r="F399"/>
  <c r="E400"/>
  <c r="K400" s="1"/>
  <c r="F400"/>
  <c r="E401"/>
  <c r="F401"/>
  <c r="E402"/>
  <c r="K402" s="1"/>
  <c r="F402"/>
  <c r="E403"/>
  <c r="F403"/>
  <c r="E404"/>
  <c r="K404" s="1"/>
  <c r="F404"/>
  <c r="E405"/>
  <c r="F405"/>
  <c r="E406"/>
  <c r="K406" s="1"/>
  <c r="F406"/>
  <c r="E407"/>
  <c r="F407"/>
  <c r="E408"/>
  <c r="K408" s="1"/>
  <c r="F408"/>
  <c r="E409"/>
  <c r="F409"/>
  <c r="E410"/>
  <c r="K410" s="1"/>
  <c r="F410"/>
  <c r="E411"/>
  <c r="F411"/>
  <c r="E412"/>
  <c r="K412" s="1"/>
  <c r="F412"/>
  <c r="E413"/>
  <c r="F413"/>
  <c r="E414"/>
  <c r="K414" s="1"/>
  <c r="F414"/>
  <c r="E415"/>
  <c r="F415"/>
  <c r="E416"/>
  <c r="K416" s="1"/>
  <c r="F416"/>
  <c r="E417"/>
  <c r="F417"/>
  <c r="E418"/>
  <c r="K418" s="1"/>
  <c r="F418"/>
  <c r="E419"/>
  <c r="F419"/>
  <c r="E420"/>
  <c r="K420" s="1"/>
  <c r="F420"/>
  <c r="E421"/>
  <c r="F421"/>
  <c r="E422"/>
  <c r="F422"/>
  <c r="E423"/>
  <c r="F423"/>
  <c r="E424"/>
  <c r="K424" s="1"/>
  <c r="F424"/>
  <c r="E425"/>
  <c r="F425"/>
  <c r="E426"/>
  <c r="K426" s="1"/>
  <c r="F426"/>
  <c r="E427"/>
  <c r="F427"/>
  <c r="E428"/>
  <c r="K428" s="1"/>
  <c r="F428"/>
  <c r="E429"/>
  <c r="F429"/>
  <c r="E430"/>
  <c r="K430" s="1"/>
  <c r="F430"/>
  <c r="E431"/>
  <c r="F431"/>
  <c r="E432"/>
  <c r="K432" s="1"/>
  <c r="F432"/>
  <c r="E433"/>
  <c r="F433"/>
  <c r="E434"/>
  <c r="K434" s="1"/>
  <c r="F434"/>
  <c r="E435"/>
  <c r="F435"/>
  <c r="E436"/>
  <c r="K436" s="1"/>
  <c r="F436"/>
  <c r="E437"/>
  <c r="F437"/>
  <c r="E438"/>
  <c r="K438" s="1"/>
  <c r="F438"/>
  <c r="E439"/>
  <c r="F439"/>
  <c r="E440"/>
  <c r="K440" s="1"/>
  <c r="F440"/>
  <c r="E441"/>
  <c r="F441"/>
  <c r="E442"/>
  <c r="K442" s="1"/>
  <c r="F442"/>
  <c r="E443"/>
  <c r="F443"/>
  <c r="E444"/>
  <c r="K444" s="1"/>
  <c r="F444"/>
  <c r="E445"/>
  <c r="F445"/>
  <c r="E446"/>
  <c r="K446" s="1"/>
  <c r="F446"/>
  <c r="E447"/>
  <c r="F447"/>
  <c r="E448"/>
  <c r="K448" s="1"/>
  <c r="F448"/>
  <c r="E449"/>
  <c r="F449"/>
  <c r="E450"/>
  <c r="K450" s="1"/>
  <c r="F450"/>
  <c r="E451"/>
  <c r="F451"/>
  <c r="E452"/>
  <c r="K452" s="1"/>
  <c r="F452"/>
  <c r="E453"/>
  <c r="F453"/>
  <c r="E454"/>
  <c r="F454"/>
  <c r="E455"/>
  <c r="F455"/>
  <c r="E456"/>
  <c r="K456" s="1"/>
  <c r="F456"/>
  <c r="E457"/>
  <c r="F457"/>
  <c r="E458"/>
  <c r="K458" s="1"/>
  <c r="F458"/>
  <c r="E459"/>
  <c r="F459"/>
  <c r="E460"/>
  <c r="K460" s="1"/>
  <c r="F460"/>
  <c r="E461"/>
  <c r="F461"/>
  <c r="E462"/>
  <c r="K462" s="1"/>
  <c r="F462"/>
  <c r="E463"/>
  <c r="F463"/>
  <c r="E464"/>
  <c r="K464" s="1"/>
  <c r="F464"/>
  <c r="E465"/>
  <c r="F465"/>
  <c r="E466"/>
  <c r="K466" s="1"/>
  <c r="F466"/>
  <c r="E467"/>
  <c r="F467"/>
  <c r="E468"/>
  <c r="K468" s="1"/>
  <c r="F468"/>
  <c r="E469"/>
  <c r="F469"/>
  <c r="E470"/>
  <c r="K470" s="1"/>
  <c r="F470"/>
  <c r="E471"/>
  <c r="F471"/>
  <c r="E472"/>
  <c r="K472" s="1"/>
  <c r="F472"/>
  <c r="E473"/>
  <c r="F473"/>
  <c r="E474"/>
  <c r="K474" s="1"/>
  <c r="F474"/>
  <c r="E475"/>
  <c r="F475"/>
  <c r="E476"/>
  <c r="K476" s="1"/>
  <c r="F476"/>
  <c r="E477"/>
  <c r="F477"/>
  <c r="E478"/>
  <c r="K478" s="1"/>
  <c r="F478"/>
  <c r="E479"/>
  <c r="F479"/>
  <c r="E480"/>
  <c r="K480" s="1"/>
  <c r="F480"/>
  <c r="E481"/>
  <c r="F481"/>
  <c r="E482"/>
  <c r="K482" s="1"/>
  <c r="F482"/>
  <c r="E483"/>
  <c r="F483"/>
  <c r="E484"/>
  <c r="K484" s="1"/>
  <c r="F484"/>
  <c r="E485"/>
  <c r="F485"/>
  <c r="E486"/>
  <c r="F486"/>
  <c r="E487"/>
  <c r="F487"/>
  <c r="E488"/>
  <c r="K488" s="1"/>
  <c r="F488"/>
  <c r="E489"/>
  <c r="F489"/>
  <c r="E490"/>
  <c r="K490" s="1"/>
  <c r="F490"/>
  <c r="E491"/>
  <c r="F491"/>
  <c r="E492"/>
  <c r="K492" s="1"/>
  <c r="F492"/>
  <c r="E493"/>
  <c r="F493"/>
  <c r="E494"/>
  <c r="K494" s="1"/>
  <c r="F494"/>
  <c r="E495"/>
  <c r="F495"/>
  <c r="E496"/>
  <c r="K496" s="1"/>
  <c r="F496"/>
  <c r="E497"/>
  <c r="F497"/>
  <c r="E498"/>
  <c r="K498" s="1"/>
  <c r="F498"/>
  <c r="E499"/>
  <c r="F499"/>
  <c r="E500"/>
  <c r="K500" s="1"/>
  <c r="F500"/>
  <c r="E501"/>
  <c r="F501"/>
  <c r="E502"/>
  <c r="K502" s="1"/>
  <c r="F502"/>
  <c r="E503"/>
  <c r="F503"/>
  <c r="E504"/>
  <c r="K504" s="1"/>
  <c r="F504"/>
  <c r="E505"/>
  <c r="F505"/>
  <c r="E506"/>
  <c r="K506" s="1"/>
  <c r="F506"/>
  <c r="E507"/>
  <c r="F507"/>
  <c r="E508"/>
  <c r="K508" s="1"/>
  <c r="F508"/>
  <c r="E509"/>
  <c r="F509"/>
  <c r="E510"/>
  <c r="K510" s="1"/>
  <c r="F510"/>
  <c r="E511"/>
  <c r="F511"/>
  <c r="E512"/>
  <c r="K512" s="1"/>
  <c r="F512"/>
  <c r="E513"/>
  <c r="F513"/>
  <c r="E514"/>
  <c r="K514" s="1"/>
  <c r="F514"/>
  <c r="E515"/>
  <c r="F515"/>
  <c r="E516"/>
  <c r="K516" s="1"/>
  <c r="F516"/>
  <c r="E517"/>
  <c r="F517"/>
  <c r="E518"/>
  <c r="F518"/>
  <c r="E519"/>
  <c r="F519"/>
  <c r="E520"/>
  <c r="K520" s="1"/>
  <c r="F520"/>
  <c r="E521"/>
  <c r="F521"/>
  <c r="E522"/>
  <c r="K522" s="1"/>
  <c r="F522"/>
  <c r="E523"/>
  <c r="F523"/>
  <c r="E524"/>
  <c r="K524" s="1"/>
  <c r="F524"/>
  <c r="E525"/>
  <c r="F525"/>
  <c r="E526"/>
  <c r="K526" s="1"/>
  <c r="F526"/>
  <c r="E527"/>
  <c r="F527"/>
  <c r="E528"/>
  <c r="K528" s="1"/>
  <c r="F528"/>
  <c r="E529"/>
  <c r="F529"/>
  <c r="E530"/>
  <c r="K530" s="1"/>
  <c r="F530"/>
  <c r="E531"/>
  <c r="F531"/>
  <c r="E532"/>
  <c r="K532" s="1"/>
  <c r="F532"/>
  <c r="E533"/>
  <c r="F533"/>
  <c r="E534"/>
  <c r="K534" s="1"/>
  <c r="F534"/>
  <c r="E535"/>
  <c r="F535"/>
  <c r="E536"/>
  <c r="K536" s="1"/>
  <c r="F536"/>
  <c r="E537"/>
  <c r="F537"/>
  <c r="E538"/>
  <c r="K538" s="1"/>
  <c r="F538"/>
  <c r="E539"/>
  <c r="F539"/>
  <c r="E540"/>
  <c r="K540" s="1"/>
  <c r="F540"/>
  <c r="E541"/>
  <c r="F541"/>
  <c r="E542"/>
  <c r="K542" s="1"/>
  <c r="F542"/>
  <c r="E543"/>
  <c r="F543"/>
  <c r="E544"/>
  <c r="K544" s="1"/>
  <c r="F544"/>
  <c r="E545"/>
  <c r="F545"/>
  <c r="E546"/>
  <c r="K546" s="1"/>
  <c r="F546"/>
  <c r="E547"/>
  <c r="F547"/>
  <c r="E548"/>
  <c r="K548" s="1"/>
  <c r="F548"/>
  <c r="E549"/>
  <c r="F549"/>
  <c r="E550"/>
  <c r="F550"/>
  <c r="E551"/>
  <c r="F551"/>
  <c r="E552"/>
  <c r="F552"/>
  <c r="E553"/>
  <c r="F553"/>
  <c r="E554"/>
  <c r="K554" s="1"/>
  <c r="F554"/>
  <c r="E555"/>
  <c r="F555"/>
  <c r="E556"/>
  <c r="K556" s="1"/>
  <c r="F556"/>
  <c r="E557"/>
  <c r="F557"/>
  <c r="E558"/>
  <c r="K558" s="1"/>
  <c r="F558"/>
  <c r="E559"/>
  <c r="F559"/>
  <c r="E560"/>
  <c r="F560"/>
  <c r="E561"/>
  <c r="F561"/>
  <c r="E562"/>
  <c r="K562" s="1"/>
  <c r="F562"/>
  <c r="E563"/>
  <c r="F563"/>
  <c r="E564"/>
  <c r="F564"/>
  <c r="E565"/>
  <c r="F565"/>
  <c r="E566"/>
  <c r="K566" s="1"/>
  <c r="F566"/>
  <c r="E567"/>
  <c r="F567"/>
  <c r="E568"/>
  <c r="F568"/>
  <c r="E569"/>
  <c r="F569"/>
  <c r="E570"/>
  <c r="K570" s="1"/>
  <c r="F570"/>
  <c r="E571"/>
  <c r="F571"/>
  <c r="E572"/>
  <c r="K572" s="1"/>
  <c r="F572"/>
  <c r="E573"/>
  <c r="F573"/>
  <c r="E574"/>
  <c r="K574" s="1"/>
  <c r="F574"/>
  <c r="E575"/>
  <c r="F575"/>
  <c r="E576"/>
  <c r="F576"/>
  <c r="E577"/>
  <c r="F577"/>
  <c r="E578"/>
  <c r="K578" s="1"/>
  <c r="F578"/>
  <c r="E579"/>
  <c r="F579"/>
  <c r="E580"/>
  <c r="K580" s="1"/>
  <c r="F580"/>
  <c r="E581"/>
  <c r="F581"/>
  <c r="E582"/>
  <c r="K582" s="1"/>
  <c r="F582"/>
  <c r="E583"/>
  <c r="F583"/>
  <c r="E584"/>
  <c r="F584"/>
  <c r="E585"/>
  <c r="F585"/>
  <c r="E586"/>
  <c r="K586" s="1"/>
  <c r="F586"/>
  <c r="E587"/>
  <c r="F587"/>
  <c r="E588"/>
  <c r="K588" s="1"/>
  <c r="F588"/>
  <c r="E589"/>
  <c r="F589"/>
  <c r="E590"/>
  <c r="K590" s="1"/>
  <c r="F590"/>
  <c r="E591"/>
  <c r="F591"/>
  <c r="E592"/>
  <c r="F592"/>
  <c r="E593"/>
  <c r="F593"/>
  <c r="E594"/>
  <c r="K594" s="1"/>
  <c r="F594"/>
  <c r="E595"/>
  <c r="F595"/>
  <c r="E596"/>
  <c r="K596" s="1"/>
  <c r="F596"/>
  <c r="E597"/>
  <c r="F597"/>
  <c r="E598"/>
  <c r="K598" s="1"/>
  <c r="F598"/>
  <c r="E599"/>
  <c r="F599"/>
  <c r="E600"/>
  <c r="F600"/>
  <c r="E601"/>
  <c r="F601"/>
  <c r="E602"/>
  <c r="K602" s="1"/>
  <c r="F602"/>
  <c r="E603"/>
  <c r="F603"/>
  <c r="E604"/>
  <c r="K604" s="1"/>
  <c r="F604"/>
  <c r="E605"/>
  <c r="F605"/>
  <c r="E606"/>
  <c r="K606" s="1"/>
  <c r="F606"/>
  <c r="E607"/>
  <c r="F607"/>
  <c r="E608"/>
  <c r="F608"/>
  <c r="E609"/>
  <c r="F609"/>
  <c r="E610"/>
  <c r="F610"/>
  <c r="E611"/>
  <c r="F611"/>
  <c r="E612"/>
  <c r="K612" s="1"/>
  <c r="F612"/>
  <c r="E613"/>
  <c r="F613"/>
  <c r="E614"/>
  <c r="K614" s="1"/>
  <c r="F614"/>
  <c r="E615"/>
  <c r="F615"/>
  <c r="E616"/>
  <c r="F616"/>
  <c r="E617"/>
  <c r="F617"/>
  <c r="E618"/>
  <c r="K618" s="1"/>
  <c r="F618"/>
  <c r="E619"/>
  <c r="F619"/>
  <c r="E620"/>
  <c r="K620" s="1"/>
  <c r="F620"/>
  <c r="E621"/>
  <c r="F621"/>
  <c r="E622"/>
  <c r="K622" s="1"/>
  <c r="F622"/>
  <c r="E623"/>
  <c r="F623"/>
  <c r="E624"/>
  <c r="F624"/>
  <c r="E625"/>
  <c r="F625"/>
  <c r="E626"/>
  <c r="K626" s="1"/>
  <c r="F626"/>
  <c r="E627"/>
  <c r="F627"/>
  <c r="E628"/>
  <c r="K628" s="1"/>
  <c r="F628"/>
  <c r="E629"/>
  <c r="F629"/>
  <c r="E630"/>
  <c r="K630" s="1"/>
  <c r="F630"/>
  <c r="E631"/>
  <c r="F631"/>
  <c r="E632"/>
  <c r="F632"/>
  <c r="E633"/>
  <c r="F633"/>
  <c r="E634"/>
  <c r="F634"/>
  <c r="E635"/>
  <c r="F635"/>
  <c r="E636"/>
  <c r="K636" s="1"/>
  <c r="F636"/>
  <c r="E637"/>
  <c r="F637"/>
  <c r="E638"/>
  <c r="F638"/>
  <c r="E639"/>
  <c r="F639"/>
  <c r="E640"/>
  <c r="F640"/>
  <c r="E641"/>
  <c r="F641"/>
  <c r="E642"/>
  <c r="K642" s="1"/>
  <c r="F642"/>
  <c r="E643"/>
  <c r="F643"/>
  <c r="E644"/>
  <c r="F644"/>
  <c r="E645"/>
  <c r="F645"/>
  <c r="E646"/>
  <c r="K646" s="1"/>
  <c r="F646"/>
  <c r="E647"/>
  <c r="F647"/>
  <c r="E648"/>
  <c r="F648"/>
  <c r="E649"/>
  <c r="F649"/>
  <c r="E650"/>
  <c r="F650"/>
  <c r="E651"/>
  <c r="F651"/>
  <c r="E652"/>
  <c r="K652" s="1"/>
  <c r="F652"/>
  <c r="E653"/>
  <c r="F653"/>
  <c r="E654"/>
  <c r="F654"/>
  <c r="E655"/>
  <c r="F655"/>
  <c r="E656"/>
  <c r="F656"/>
  <c r="E657"/>
  <c r="F657"/>
  <c r="E658"/>
  <c r="K658" s="1"/>
  <c r="F658"/>
  <c r="E659"/>
  <c r="F659"/>
  <c r="E660"/>
  <c r="F660"/>
  <c r="E661"/>
  <c r="F661"/>
  <c r="E662"/>
  <c r="K662" s="1"/>
  <c r="F662"/>
  <c r="E663"/>
  <c r="F663"/>
  <c r="E664"/>
  <c r="F664"/>
  <c r="E665"/>
  <c r="F665"/>
  <c r="E666"/>
  <c r="F666"/>
  <c r="E667"/>
  <c r="F667"/>
  <c r="E668"/>
  <c r="K668" s="1"/>
  <c r="F668"/>
  <c r="E669"/>
  <c r="F669"/>
  <c r="E670"/>
  <c r="F670"/>
  <c r="E671"/>
  <c r="F671"/>
  <c r="E672"/>
  <c r="F672"/>
  <c r="E673"/>
  <c r="F673"/>
  <c r="E674"/>
  <c r="K674" s="1"/>
  <c r="F674"/>
  <c r="E675"/>
  <c r="F675"/>
  <c r="E676"/>
  <c r="F676"/>
  <c r="E677"/>
  <c r="F677"/>
  <c r="E678"/>
  <c r="K678" s="1"/>
  <c r="F678"/>
  <c r="E679"/>
  <c r="F679"/>
  <c r="E680"/>
  <c r="F680"/>
  <c r="E681"/>
  <c r="F681"/>
  <c r="E682"/>
  <c r="F682"/>
  <c r="E683"/>
  <c r="F683"/>
  <c r="E684"/>
  <c r="F684"/>
  <c r="E685"/>
  <c r="F685"/>
  <c r="E686"/>
  <c r="K686" s="1"/>
  <c r="F686"/>
  <c r="E687"/>
  <c r="F687"/>
  <c r="E688"/>
  <c r="F688"/>
  <c r="E689"/>
  <c r="F689"/>
  <c r="E690"/>
  <c r="K690" s="1"/>
  <c r="F690"/>
  <c r="E691"/>
  <c r="F691"/>
  <c r="E692"/>
  <c r="K692" s="1"/>
  <c r="F692"/>
  <c r="E693"/>
  <c r="F693"/>
  <c r="E694"/>
  <c r="K694" s="1"/>
  <c r="F694"/>
  <c r="E695"/>
  <c r="F695"/>
  <c r="E696"/>
  <c r="F696"/>
  <c r="E697"/>
  <c r="F697"/>
  <c r="E698"/>
  <c r="F698"/>
  <c r="E699"/>
  <c r="F699"/>
  <c r="E700"/>
  <c r="K700" s="1"/>
  <c r="F700"/>
  <c r="E701"/>
  <c r="F701"/>
  <c r="E702"/>
  <c r="K702" s="1"/>
  <c r="F702"/>
  <c r="E703"/>
  <c r="F703"/>
  <c r="E704"/>
  <c r="F704"/>
  <c r="E705"/>
  <c r="F705"/>
  <c r="E706"/>
  <c r="K706" s="1"/>
  <c r="F706"/>
  <c r="E707"/>
  <c r="F707"/>
  <c r="E708"/>
  <c r="K708" s="1"/>
  <c r="F708"/>
  <c r="E709"/>
  <c r="F709"/>
  <c r="E710"/>
  <c r="K710" s="1"/>
  <c r="F710"/>
  <c r="E711"/>
  <c r="F711"/>
  <c r="E712"/>
  <c r="F712"/>
  <c r="E713"/>
  <c r="F713"/>
  <c r="E714"/>
  <c r="K714" s="1"/>
  <c r="F714"/>
  <c r="E715"/>
  <c r="F715"/>
  <c r="E716"/>
  <c r="K716" s="1"/>
  <c r="F716"/>
  <c r="E717"/>
  <c r="F717"/>
  <c r="E718"/>
  <c r="F718"/>
  <c r="E719"/>
  <c r="F719"/>
  <c r="E720"/>
  <c r="F720"/>
  <c r="E721"/>
  <c r="F721"/>
  <c r="E722"/>
  <c r="K722" s="1"/>
  <c r="F722"/>
  <c r="E723"/>
  <c r="F723"/>
  <c r="E724"/>
  <c r="K724" s="1"/>
  <c r="F724"/>
  <c r="E725"/>
  <c r="F725"/>
  <c r="E726"/>
  <c r="K726" s="1"/>
  <c r="F726"/>
  <c r="E727"/>
  <c r="F727"/>
  <c r="E728"/>
  <c r="F728"/>
  <c r="E729"/>
  <c r="F729"/>
  <c r="E730"/>
  <c r="F730"/>
  <c r="E731"/>
  <c r="F731"/>
  <c r="E732"/>
  <c r="K732" s="1"/>
  <c r="F732"/>
  <c r="E733"/>
  <c r="F733"/>
  <c r="E734"/>
  <c r="F734"/>
  <c r="E735"/>
  <c r="F735"/>
  <c r="E736"/>
  <c r="F736"/>
  <c r="E737"/>
  <c r="F737"/>
  <c r="E738"/>
  <c r="K738" s="1"/>
  <c r="F738"/>
  <c r="E739"/>
  <c r="F739"/>
  <c r="E740"/>
  <c r="F740"/>
  <c r="E741"/>
  <c r="F741"/>
  <c r="E742"/>
  <c r="K742" s="1"/>
  <c r="F742"/>
  <c r="E743"/>
  <c r="F743"/>
  <c r="E744"/>
  <c r="F744"/>
  <c r="E745"/>
  <c r="F745"/>
  <c r="E746"/>
  <c r="F746"/>
  <c r="E747"/>
  <c r="F747"/>
  <c r="E748"/>
  <c r="K748" s="1"/>
  <c r="F748"/>
  <c r="E749"/>
  <c r="F749"/>
  <c r="E750"/>
  <c r="F750"/>
  <c r="E751"/>
  <c r="F751"/>
  <c r="E752"/>
  <c r="F752"/>
  <c r="E753"/>
  <c r="F753"/>
  <c r="E754"/>
  <c r="K754" s="1"/>
  <c r="F754"/>
  <c r="E755"/>
  <c r="F755"/>
  <c r="E756"/>
  <c r="F756"/>
  <c r="E757"/>
  <c r="F757"/>
  <c r="E758"/>
  <c r="K758" s="1"/>
  <c r="F758"/>
  <c r="E759"/>
  <c r="F759"/>
  <c r="E760"/>
  <c r="F760"/>
  <c r="E761"/>
  <c r="F761"/>
  <c r="E762"/>
  <c r="F762"/>
  <c r="E763"/>
  <c r="F763"/>
  <c r="E764"/>
  <c r="K764" s="1"/>
  <c r="F764"/>
  <c r="E765"/>
  <c r="F765"/>
  <c r="E766"/>
  <c r="F766"/>
  <c r="E767"/>
  <c r="F767"/>
  <c r="E768"/>
  <c r="F768"/>
  <c r="E769"/>
  <c r="F769"/>
  <c r="E770"/>
  <c r="F770"/>
  <c r="E771"/>
  <c r="F771"/>
  <c r="E772"/>
  <c r="K772" s="1"/>
  <c r="F772"/>
  <c r="E773"/>
  <c r="F773"/>
  <c r="E774"/>
  <c r="K774" s="1"/>
  <c r="F774"/>
  <c r="E775"/>
  <c r="F775"/>
  <c r="E776"/>
  <c r="F776"/>
  <c r="E777"/>
  <c r="F777"/>
  <c r="E778"/>
  <c r="K778" s="1"/>
  <c r="F778"/>
  <c r="E779"/>
  <c r="F779"/>
  <c r="E780"/>
  <c r="K780" s="1"/>
  <c r="F780"/>
  <c r="E781"/>
  <c r="F781"/>
  <c r="E782"/>
  <c r="F782"/>
  <c r="E783"/>
  <c r="F783"/>
  <c r="E784"/>
  <c r="F784"/>
  <c r="E785"/>
  <c r="F785"/>
  <c r="E786"/>
  <c r="K786" s="1"/>
  <c r="F786"/>
  <c r="E787"/>
  <c r="F787"/>
  <c r="E788"/>
  <c r="K788" s="1"/>
  <c r="F788"/>
  <c r="E789"/>
  <c r="F789"/>
  <c r="E790"/>
  <c r="K790" s="1"/>
  <c r="F790"/>
  <c r="E791"/>
  <c r="F791"/>
  <c r="E792"/>
  <c r="F792"/>
  <c r="E793"/>
  <c r="F793"/>
  <c r="E794"/>
  <c r="F794"/>
  <c r="E795"/>
  <c r="F795"/>
  <c r="E796"/>
  <c r="K796" s="1"/>
  <c r="F796"/>
  <c r="E797"/>
  <c r="F797"/>
  <c r="E798"/>
  <c r="F798"/>
  <c r="E799"/>
  <c r="F799"/>
  <c r="E800"/>
  <c r="F800"/>
  <c r="E801"/>
  <c r="F801"/>
  <c r="E802"/>
  <c r="K802" s="1"/>
  <c r="F802"/>
  <c r="E803"/>
  <c r="F803"/>
  <c r="E804"/>
  <c r="F804"/>
  <c r="E805"/>
  <c r="F805"/>
  <c r="E806"/>
  <c r="K806" s="1"/>
  <c r="F806"/>
  <c r="E807"/>
  <c r="F807"/>
  <c r="E808"/>
  <c r="F808"/>
  <c r="E809"/>
  <c r="F809"/>
  <c r="E810"/>
  <c r="F810"/>
  <c r="E811"/>
  <c r="F811"/>
  <c r="E812"/>
  <c r="K812" s="1"/>
  <c r="F812"/>
  <c r="E813"/>
  <c r="F813"/>
  <c r="E814"/>
  <c r="F814"/>
  <c r="E815"/>
  <c r="F815"/>
  <c r="E816"/>
  <c r="F816"/>
  <c r="E817"/>
  <c r="F817"/>
  <c r="E818"/>
  <c r="K818" s="1"/>
  <c r="F818"/>
  <c r="E819"/>
  <c r="F819"/>
  <c r="E820"/>
  <c r="F820"/>
  <c r="E821"/>
  <c r="F821"/>
  <c r="E822"/>
  <c r="K822" s="1"/>
  <c r="F822"/>
  <c r="E823"/>
  <c r="F823"/>
  <c r="E824"/>
  <c r="F824"/>
  <c r="E825"/>
  <c r="F825"/>
  <c r="E826"/>
  <c r="F826"/>
  <c r="E827"/>
  <c r="F827"/>
  <c r="E828"/>
  <c r="K828" s="1"/>
  <c r="F828"/>
  <c r="E829"/>
  <c r="F829"/>
  <c r="E830"/>
  <c r="F830"/>
  <c r="E831"/>
  <c r="F831"/>
  <c r="E832"/>
  <c r="F832"/>
  <c r="E833"/>
  <c r="F833"/>
  <c r="E834"/>
  <c r="F834"/>
  <c r="E835"/>
  <c r="F835"/>
  <c r="E836"/>
  <c r="K836" s="1"/>
  <c r="F836"/>
  <c r="E837"/>
  <c r="F837"/>
  <c r="E838"/>
  <c r="K838" s="1"/>
  <c r="F838"/>
  <c r="E839"/>
  <c r="F839"/>
  <c r="E840"/>
  <c r="F840"/>
  <c r="E841"/>
  <c r="F841"/>
  <c r="E842"/>
  <c r="F842"/>
  <c r="E843"/>
  <c r="F843"/>
  <c r="E844"/>
  <c r="F844"/>
  <c r="E845"/>
  <c r="F845"/>
  <c r="E846"/>
  <c r="K846" s="1"/>
  <c r="F846"/>
  <c r="E847"/>
  <c r="F847"/>
  <c r="E848"/>
  <c r="F848"/>
  <c r="E849"/>
  <c r="F849"/>
  <c r="E850"/>
  <c r="K850" s="1"/>
  <c r="F850"/>
  <c r="E851"/>
  <c r="F851"/>
  <c r="E852"/>
  <c r="K852" s="1"/>
  <c r="F852"/>
  <c r="E853"/>
  <c r="F853"/>
  <c r="E854"/>
  <c r="F854"/>
  <c r="E855"/>
  <c r="F855"/>
  <c r="E856"/>
  <c r="F856"/>
  <c r="E857"/>
  <c r="F857"/>
  <c r="E858"/>
  <c r="K858" s="1"/>
  <c r="F858"/>
  <c r="E859"/>
  <c r="F859"/>
  <c r="E860"/>
  <c r="K860" s="1"/>
  <c r="F860"/>
  <c r="E861"/>
  <c r="F861"/>
  <c r="E862"/>
  <c r="F862"/>
  <c r="E863"/>
  <c r="F863"/>
  <c r="E864"/>
  <c r="F864"/>
  <c r="E865"/>
  <c r="F865"/>
  <c r="E866"/>
  <c r="F866"/>
  <c r="E867"/>
  <c r="F867"/>
  <c r="E868"/>
  <c r="K868" s="1"/>
  <c r="F868"/>
  <c r="E869"/>
  <c r="F869"/>
  <c r="E870"/>
  <c r="K870" s="1"/>
  <c r="F870"/>
  <c r="E871"/>
  <c r="F871"/>
  <c r="E872"/>
  <c r="F872"/>
  <c r="E873"/>
  <c r="F873"/>
  <c r="E874"/>
  <c r="F874"/>
  <c r="E875"/>
  <c r="F875"/>
  <c r="E876"/>
  <c r="F876"/>
  <c r="E877"/>
  <c r="F877"/>
  <c r="E878"/>
  <c r="F878"/>
  <c r="E879"/>
  <c r="F879"/>
  <c r="E880"/>
  <c r="F880"/>
  <c r="E881"/>
  <c r="F881"/>
  <c r="E882"/>
  <c r="K882" s="1"/>
  <c r="F882"/>
  <c r="E883"/>
  <c r="F883"/>
  <c r="E884"/>
  <c r="K884" s="1"/>
  <c r="F884"/>
  <c r="E885"/>
  <c r="F885"/>
  <c r="E886"/>
  <c r="F886"/>
  <c r="E887"/>
  <c r="F887"/>
  <c r="E888"/>
  <c r="F888"/>
  <c r="E889"/>
  <c r="F889"/>
  <c r="E890"/>
  <c r="F890"/>
  <c r="E891"/>
  <c r="F891"/>
  <c r="E892"/>
  <c r="F892"/>
  <c r="E893"/>
  <c r="F893"/>
  <c r="E894"/>
  <c r="K894" s="1"/>
  <c r="F894"/>
  <c r="E895"/>
  <c r="F895"/>
  <c r="E896"/>
  <c r="F896"/>
  <c r="E897"/>
  <c r="F897"/>
  <c r="E898"/>
  <c r="F898"/>
  <c r="E899"/>
  <c r="F899"/>
  <c r="E900"/>
  <c r="K900" s="1"/>
  <c r="F900"/>
  <c r="E901"/>
  <c r="F901"/>
  <c r="E902"/>
  <c r="K902" s="1"/>
  <c r="F902"/>
  <c r="E903"/>
  <c r="F903"/>
  <c r="E904"/>
  <c r="F904"/>
  <c r="E905"/>
  <c r="F905"/>
  <c r="E906"/>
  <c r="K906" s="1"/>
  <c r="F906"/>
  <c r="E907"/>
  <c r="F907"/>
  <c r="E908"/>
  <c r="F908"/>
  <c r="E909"/>
  <c r="F909"/>
  <c r="E910"/>
  <c r="F910"/>
  <c r="E911"/>
  <c r="F911"/>
  <c r="E912"/>
  <c r="F912"/>
  <c r="E913"/>
  <c r="F913"/>
  <c r="E914"/>
  <c r="K914" s="1"/>
  <c r="F914"/>
  <c r="E915"/>
  <c r="F915"/>
  <c r="E916"/>
  <c r="K916" s="1"/>
  <c r="F916"/>
  <c r="E917"/>
  <c r="F917"/>
  <c r="E918"/>
  <c r="F918"/>
  <c r="E919"/>
  <c r="F919"/>
  <c r="E920"/>
  <c r="F920"/>
  <c r="E921"/>
  <c r="F921"/>
  <c r="E922"/>
  <c r="F922"/>
  <c r="E923"/>
  <c r="F923"/>
  <c r="E924"/>
  <c r="K924" s="1"/>
  <c r="F924"/>
  <c r="E925"/>
  <c r="F925"/>
  <c r="E926"/>
  <c r="F926"/>
  <c r="E927"/>
  <c r="F927"/>
  <c r="E928"/>
  <c r="F928"/>
  <c r="E929"/>
  <c r="F929"/>
  <c r="E930"/>
  <c r="F930"/>
  <c r="E931"/>
  <c r="F931"/>
  <c r="E932"/>
  <c r="F932"/>
  <c r="E933"/>
  <c r="F933"/>
  <c r="E934"/>
  <c r="K934" s="1"/>
  <c r="F934"/>
  <c r="E935"/>
  <c r="F935"/>
  <c r="E936"/>
  <c r="F936"/>
  <c r="E937"/>
  <c r="F937"/>
  <c r="E938"/>
  <c r="K938" s="1"/>
  <c r="F938"/>
  <c r="E939"/>
  <c r="F939"/>
  <c r="E940"/>
  <c r="F940"/>
  <c r="E941"/>
  <c r="F941"/>
  <c r="E942"/>
  <c r="F942"/>
  <c r="E943"/>
  <c r="F943"/>
  <c r="E944"/>
  <c r="F944"/>
  <c r="E945"/>
  <c r="F945"/>
  <c r="E946"/>
  <c r="K946" s="1"/>
  <c r="F946"/>
  <c r="E947"/>
  <c r="F947"/>
  <c r="E948"/>
  <c r="F948"/>
  <c r="E949"/>
  <c r="F949"/>
  <c r="E950"/>
  <c r="F950"/>
  <c r="E951"/>
  <c r="F951"/>
  <c r="E952"/>
  <c r="F952"/>
  <c r="E953"/>
  <c r="F953"/>
  <c r="E954"/>
  <c r="F954"/>
  <c r="E955"/>
  <c r="F955"/>
  <c r="E956"/>
  <c r="K956" s="1"/>
  <c r="F956"/>
  <c r="E957"/>
  <c r="F957"/>
  <c r="E958"/>
  <c r="F958"/>
  <c r="E959"/>
  <c r="F959"/>
  <c r="E960"/>
  <c r="F960"/>
  <c r="E961"/>
  <c r="F961"/>
  <c r="E962"/>
  <c r="F962"/>
  <c r="E963"/>
  <c r="F963"/>
  <c r="E964"/>
  <c r="F964"/>
  <c r="E965"/>
  <c r="F965"/>
  <c r="E966"/>
  <c r="K966" s="1"/>
  <c r="F966"/>
  <c r="E967"/>
  <c r="F967"/>
  <c r="E968"/>
  <c r="F968"/>
  <c r="E969"/>
  <c r="F969"/>
  <c r="E970"/>
  <c r="F970"/>
  <c r="E971"/>
  <c r="F971"/>
  <c r="E972"/>
  <c r="F972"/>
  <c r="E973"/>
  <c r="F973"/>
  <c r="E974"/>
  <c r="F974"/>
  <c r="E975"/>
  <c r="F975"/>
  <c r="E976"/>
  <c r="F976"/>
  <c r="E977"/>
  <c r="F977"/>
  <c r="E978"/>
  <c r="K978" s="1"/>
  <c r="F978"/>
  <c r="E979"/>
  <c r="F979"/>
  <c r="E980"/>
  <c r="K980" s="1"/>
  <c r="F980"/>
  <c r="E981"/>
  <c r="F981"/>
  <c r="E982"/>
  <c r="F982"/>
  <c r="E983"/>
  <c r="F983"/>
  <c r="E984"/>
  <c r="F984"/>
  <c r="E985"/>
  <c r="F985"/>
  <c r="E986"/>
  <c r="K986" s="1"/>
  <c r="F986"/>
  <c r="E987"/>
  <c r="F987"/>
  <c r="E988"/>
  <c r="K988" s="1"/>
  <c r="F988"/>
  <c r="E989"/>
  <c r="F989"/>
  <c r="E990"/>
  <c r="F990"/>
  <c r="E991"/>
  <c r="F991"/>
  <c r="E992"/>
  <c r="F992"/>
  <c r="E993"/>
  <c r="F993"/>
  <c r="E994"/>
  <c r="F994"/>
  <c r="E995"/>
  <c r="F995"/>
  <c r="E996"/>
  <c r="F996"/>
  <c r="E997"/>
  <c r="F997"/>
  <c r="E998"/>
  <c r="F998"/>
  <c r="E999"/>
  <c r="F999"/>
  <c r="E1000"/>
  <c r="F1000"/>
  <c r="E1001"/>
  <c r="F1001"/>
  <c r="E1002"/>
  <c r="F1002"/>
  <c r="E1003"/>
  <c r="F1003"/>
  <c r="E1004"/>
  <c r="F1004"/>
  <c r="E1005"/>
  <c r="F1005"/>
  <c r="E1006"/>
  <c r="F1006"/>
  <c r="E1007"/>
  <c r="F1007"/>
  <c r="E1008"/>
  <c r="F1008"/>
  <c r="E1009"/>
  <c r="F1009"/>
  <c r="E1010"/>
  <c r="F1010"/>
  <c r="E1011"/>
  <c r="F1011"/>
  <c r="E1012"/>
  <c r="K1012" s="1"/>
  <c r="F1012"/>
  <c r="E1013"/>
  <c r="K1013" s="1"/>
  <c r="F1013"/>
  <c r="E1014"/>
  <c r="F1014"/>
  <c r="E1015"/>
  <c r="F1015"/>
  <c r="E1016"/>
  <c r="F1016"/>
  <c r="E1017"/>
  <c r="K1017" s="1"/>
  <c r="F1017"/>
  <c r="E1018"/>
  <c r="K1018" s="1"/>
  <c r="F1018"/>
  <c r="E1019"/>
  <c r="F1019"/>
  <c r="E1020"/>
  <c r="F1020"/>
  <c r="E1021"/>
  <c r="K1021" s="1"/>
  <c r="F1021"/>
  <c r="E1022"/>
  <c r="F1022"/>
  <c r="E1023"/>
  <c r="F1023"/>
  <c r="E1024"/>
  <c r="F1024"/>
  <c r="E1025"/>
  <c r="F1025"/>
  <c r="E1026"/>
  <c r="K1026" s="1"/>
  <c r="F1026"/>
  <c r="E1027"/>
  <c r="F1027"/>
  <c r="E1028"/>
  <c r="K1028" s="1"/>
  <c r="F1028"/>
  <c r="E1029"/>
  <c r="F1029"/>
  <c r="E1030"/>
  <c r="F1030"/>
  <c r="E1031"/>
  <c r="F1031"/>
  <c r="E1032"/>
  <c r="F1032"/>
  <c r="E1033"/>
  <c r="F1033"/>
  <c r="E1034"/>
  <c r="F1034"/>
  <c r="E1035"/>
  <c r="F1035"/>
  <c r="E1036"/>
  <c r="F1036"/>
  <c r="E1037"/>
  <c r="F1037"/>
  <c r="E1038"/>
  <c r="F1038"/>
  <c r="E1039"/>
  <c r="F1039"/>
  <c r="E1040"/>
  <c r="K1040" s="1"/>
  <c r="F1040"/>
  <c r="E1041"/>
  <c r="F1041"/>
  <c r="E1042"/>
  <c r="F1042"/>
  <c r="E1043"/>
  <c r="F1043"/>
  <c r="E1044"/>
  <c r="F1044"/>
  <c r="E1045"/>
  <c r="F1045"/>
  <c r="E1046"/>
  <c r="F1046"/>
  <c r="E1047"/>
  <c r="F1047"/>
  <c r="E1048"/>
  <c r="K1048" s="1"/>
  <c r="F1048"/>
  <c r="E1049"/>
  <c r="F1049"/>
  <c r="E1050"/>
  <c r="F1050"/>
  <c r="E1051"/>
  <c r="F1051"/>
  <c r="E1052"/>
  <c r="F1052"/>
  <c r="E1053"/>
  <c r="K1053" s="1"/>
  <c r="F1053"/>
  <c r="E1054"/>
  <c r="K1054" s="1"/>
  <c r="F1054"/>
  <c r="E1055"/>
  <c r="F1055"/>
  <c r="E1056"/>
  <c r="F1056"/>
  <c r="E1057"/>
  <c r="F1057"/>
  <c r="E1058"/>
  <c r="F1058"/>
  <c r="E1059"/>
  <c r="F1059"/>
  <c r="E1060"/>
  <c r="F1060"/>
  <c r="E1061"/>
  <c r="K1061" s="1"/>
  <c r="F1061"/>
  <c r="E1062"/>
  <c r="F1062"/>
  <c r="E1063"/>
  <c r="F1063"/>
  <c r="E1064"/>
  <c r="F1064"/>
  <c r="E1065"/>
  <c r="F1065"/>
  <c r="E1066"/>
  <c r="F1066"/>
  <c r="E1067"/>
  <c r="F1067"/>
  <c r="E1068"/>
  <c r="F1068"/>
  <c r="E1069"/>
  <c r="F1069"/>
  <c r="E1070"/>
  <c r="F1070"/>
  <c r="E1071"/>
  <c r="F1071"/>
  <c r="E1072"/>
  <c r="K1072" s="1"/>
  <c r="F1072"/>
  <c r="E1073"/>
  <c r="F1073"/>
  <c r="E1074"/>
  <c r="F1074"/>
  <c r="E1075"/>
  <c r="F1075"/>
  <c r="E1076"/>
  <c r="K1076" s="1"/>
  <c r="F1076"/>
  <c r="E1077"/>
  <c r="F1077"/>
  <c r="E1078"/>
  <c r="F1078"/>
  <c r="E1079"/>
  <c r="F1079"/>
  <c r="E1080"/>
  <c r="F1080"/>
  <c r="E1081"/>
  <c r="F1081"/>
  <c r="E1082"/>
  <c r="F1082"/>
  <c r="E1083"/>
  <c r="F1083"/>
  <c r="E1084"/>
  <c r="F1084"/>
  <c r="E1085"/>
  <c r="F1085"/>
  <c r="E1086"/>
  <c r="F1086"/>
  <c r="E1087"/>
  <c r="F1087"/>
  <c r="E1088"/>
  <c r="F1088"/>
  <c r="E1089"/>
  <c r="F1089"/>
  <c r="E1090"/>
  <c r="K1090" s="1"/>
  <c r="F1090"/>
  <c r="E1091"/>
  <c r="F1091"/>
  <c r="E1092"/>
  <c r="F1092"/>
  <c r="E1093"/>
  <c r="K1093" s="1"/>
  <c r="F1093"/>
  <c r="E1094"/>
  <c r="F1094"/>
  <c r="E1095"/>
  <c r="F1095"/>
  <c r="E1096"/>
  <c r="F1096"/>
  <c r="E1097"/>
  <c r="K1097" s="1"/>
  <c r="F1097"/>
  <c r="E1098"/>
  <c r="K1098" s="1"/>
  <c r="F1098"/>
  <c r="E1099"/>
  <c r="F1099"/>
  <c r="E1100"/>
  <c r="F1100"/>
  <c r="E1101"/>
  <c r="K1101" s="1"/>
  <c r="F1101"/>
  <c r="E1102"/>
  <c r="K1102" s="1"/>
  <c r="F1102"/>
  <c r="E1103"/>
  <c r="F1103"/>
  <c r="E1104"/>
  <c r="K1104" s="1"/>
  <c r="F1104"/>
  <c r="E1105"/>
  <c r="F1105"/>
  <c r="E1106"/>
  <c r="F1106"/>
  <c r="E1107"/>
  <c r="F1107"/>
  <c r="E1108"/>
  <c r="F1108"/>
  <c r="E1109"/>
  <c r="F1109"/>
  <c r="E1110"/>
  <c r="F1110"/>
  <c r="E1111"/>
  <c r="F1111"/>
  <c r="E1112"/>
  <c r="F1112"/>
  <c r="E1113"/>
  <c r="F1113"/>
  <c r="E1114"/>
  <c r="F1114"/>
  <c r="E1115"/>
  <c r="F1115"/>
  <c r="E1116"/>
  <c r="F1116"/>
  <c r="E1117"/>
  <c r="F1117"/>
  <c r="E1118"/>
  <c r="K1118" s="1"/>
  <c r="F1118"/>
  <c r="E1119"/>
  <c r="F1119"/>
  <c r="E1120"/>
  <c r="F1120"/>
  <c r="E1121"/>
  <c r="F1121"/>
  <c r="E1122"/>
  <c r="F1122"/>
  <c r="E1123"/>
  <c r="F1123"/>
  <c r="E1124"/>
  <c r="F1124"/>
  <c r="E1125"/>
  <c r="F1125"/>
  <c r="E1126"/>
  <c r="F1126"/>
  <c r="E1127"/>
  <c r="F1127"/>
  <c r="E1128"/>
  <c r="F1128"/>
  <c r="E1129"/>
  <c r="K1129" s="1"/>
  <c r="F1129"/>
  <c r="E1130"/>
  <c r="F1130"/>
  <c r="E1131"/>
  <c r="F1131"/>
  <c r="E1132"/>
  <c r="F1132"/>
  <c r="E1133"/>
  <c r="K1133" s="1"/>
  <c r="F1133"/>
  <c r="E1134"/>
  <c r="F1134"/>
  <c r="E1135"/>
  <c r="F1135"/>
  <c r="E1136"/>
  <c r="F1136"/>
  <c r="E1137"/>
  <c r="F1137"/>
  <c r="E1138"/>
  <c r="F1138"/>
  <c r="E1139"/>
  <c r="F1139"/>
  <c r="E1140"/>
  <c r="K1140" s="1"/>
  <c r="F1140"/>
  <c r="E1141"/>
  <c r="F1141"/>
  <c r="E1142"/>
  <c r="F1142"/>
  <c r="E1143"/>
  <c r="F1143"/>
  <c r="E1144"/>
  <c r="F1144"/>
  <c r="E1145"/>
  <c r="F1145"/>
  <c r="E1146"/>
  <c r="F1146"/>
  <c r="E1147"/>
  <c r="F1147"/>
  <c r="E1148"/>
  <c r="F1148"/>
  <c r="E1149"/>
  <c r="F1149"/>
  <c r="E1150"/>
  <c r="K1150" s="1"/>
  <c r="F1150"/>
  <c r="E1151"/>
  <c r="F1151"/>
  <c r="E1152"/>
  <c r="F1152"/>
  <c r="E1153"/>
  <c r="F1153"/>
  <c r="E1154"/>
  <c r="K1154" s="1"/>
  <c r="F1154"/>
  <c r="E1155"/>
  <c r="F1155"/>
  <c r="E1156"/>
  <c r="K1156" s="1"/>
  <c r="F1156"/>
  <c r="E1157"/>
  <c r="F1157"/>
  <c r="E1158"/>
  <c r="F1158"/>
  <c r="E1159"/>
  <c r="F1159"/>
  <c r="E1160"/>
  <c r="F1160"/>
  <c r="E1161"/>
  <c r="F1161"/>
  <c r="E1162"/>
  <c r="F1162"/>
  <c r="E1163"/>
  <c r="F1163"/>
  <c r="E1164"/>
  <c r="F1164"/>
  <c r="E1165"/>
  <c r="F1165"/>
  <c r="E1166"/>
  <c r="K1166" s="1"/>
  <c r="F1166"/>
  <c r="E1167"/>
  <c r="F1167"/>
  <c r="E1168"/>
  <c r="K1168" s="1"/>
  <c r="F1168"/>
  <c r="E1169"/>
  <c r="F1169"/>
  <c r="E1170"/>
  <c r="F1170"/>
  <c r="E1171"/>
  <c r="F1171"/>
  <c r="E1172"/>
  <c r="F1172"/>
  <c r="E1173"/>
  <c r="F1173"/>
  <c r="E1174"/>
  <c r="F1174"/>
  <c r="E1175"/>
  <c r="F1175"/>
  <c r="E1176"/>
  <c r="F1176"/>
  <c r="E1177"/>
  <c r="F1177"/>
  <c r="E1178"/>
  <c r="K1178" s="1"/>
  <c r="F1178"/>
  <c r="E1179"/>
  <c r="F1179"/>
  <c r="E1180"/>
  <c r="F1180"/>
  <c r="E1181"/>
  <c r="F1181"/>
  <c r="E1182"/>
  <c r="K1182" s="1"/>
  <c r="F1182"/>
  <c r="E1183"/>
  <c r="F1183"/>
  <c r="E1184"/>
  <c r="F1184"/>
  <c r="E1185"/>
  <c r="F1185"/>
  <c r="E1186"/>
  <c r="K1186" s="1"/>
  <c r="F1186"/>
  <c r="E1187"/>
  <c r="F1187"/>
  <c r="E1188"/>
  <c r="F1188"/>
  <c r="E1189"/>
  <c r="F1189"/>
  <c r="E1190"/>
  <c r="F1190"/>
  <c r="E1191"/>
  <c r="F1191"/>
  <c r="E1192"/>
  <c r="K1192" s="1"/>
  <c r="F1192"/>
  <c r="E1193"/>
  <c r="F1193"/>
  <c r="E1194"/>
  <c r="F1194"/>
  <c r="E1195"/>
  <c r="F1195"/>
  <c r="E1196"/>
  <c r="F1196"/>
  <c r="E1197"/>
  <c r="F1197"/>
  <c r="E1198"/>
  <c r="F1198"/>
  <c r="E1199"/>
  <c r="F1199"/>
  <c r="E1200"/>
  <c r="K1200" s="1"/>
  <c r="F1200"/>
  <c r="E1201"/>
  <c r="F1201"/>
  <c r="E1202"/>
  <c r="F1202"/>
  <c r="E1203"/>
  <c r="F1203"/>
  <c r="E1204"/>
  <c r="K1204" s="1"/>
  <c r="F1204"/>
  <c r="E1205"/>
  <c r="F1205"/>
  <c r="E1206"/>
  <c r="F1206"/>
  <c r="E1207"/>
  <c r="F1207"/>
  <c r="E1208"/>
  <c r="F1208"/>
  <c r="E1209"/>
  <c r="F1209"/>
  <c r="E1210"/>
  <c r="F1210"/>
  <c r="E1211"/>
  <c r="F1211"/>
  <c r="E1212"/>
  <c r="F1212"/>
  <c r="E1213"/>
  <c r="F1213"/>
  <c r="E1214"/>
  <c r="F1214"/>
  <c r="E1215"/>
  <c r="F1215"/>
  <c r="E1216"/>
  <c r="F1216"/>
  <c r="E1217"/>
  <c r="F1217"/>
  <c r="E1218"/>
  <c r="K1218" s="1"/>
  <c r="F1218"/>
  <c r="E1219"/>
  <c r="F1219"/>
  <c r="E1220"/>
  <c r="K1220" s="1"/>
  <c r="F1220"/>
  <c r="E1221"/>
  <c r="F1221"/>
  <c r="E1222"/>
  <c r="F1222"/>
  <c r="E1223"/>
  <c r="F1223"/>
  <c r="E1224"/>
  <c r="F1224"/>
  <c r="E1225"/>
  <c r="F1225"/>
  <c r="E1226"/>
  <c r="K1226" s="1"/>
  <c r="F1226"/>
  <c r="E1227"/>
  <c r="F1227"/>
  <c r="E1228"/>
  <c r="F1228"/>
  <c r="E1229"/>
  <c r="K1229" s="1"/>
  <c r="F1229"/>
  <c r="E1230"/>
  <c r="F1230"/>
  <c r="E1231"/>
  <c r="F1231"/>
  <c r="E1232"/>
  <c r="F1232"/>
  <c r="E1233"/>
  <c r="F1233"/>
  <c r="E1234"/>
  <c r="K1234" s="1"/>
  <c r="F1234"/>
  <c r="E1235"/>
  <c r="F1235"/>
  <c r="E1236"/>
  <c r="F1236"/>
  <c r="E1237"/>
  <c r="F1237"/>
  <c r="E1238"/>
  <c r="F1238"/>
  <c r="E1239"/>
  <c r="F1239"/>
  <c r="E1240"/>
  <c r="F1240"/>
  <c r="E1241"/>
  <c r="F1241"/>
  <c r="E1242"/>
  <c r="F1242"/>
  <c r="E1243"/>
  <c r="F1243"/>
  <c r="E1244"/>
  <c r="F1244"/>
  <c r="E1245"/>
  <c r="F1245"/>
  <c r="E1246"/>
  <c r="F1246"/>
  <c r="E1247"/>
  <c r="F1247"/>
  <c r="E1248"/>
  <c r="K1248" s="1"/>
  <c r="F1248"/>
  <c r="E1249"/>
  <c r="F1249"/>
  <c r="E1250"/>
  <c r="F1250"/>
  <c r="E1251"/>
  <c r="F1251"/>
  <c r="E1252"/>
  <c r="F1252"/>
  <c r="E1253"/>
  <c r="F1253"/>
  <c r="E1254"/>
  <c r="F1254"/>
  <c r="E1255"/>
  <c r="F1255"/>
  <c r="E1256"/>
  <c r="K1256" s="1"/>
  <c r="F1256"/>
  <c r="E1257"/>
  <c r="F1257"/>
  <c r="E1258"/>
  <c r="K1258" s="1"/>
  <c r="F1258"/>
  <c r="E1259"/>
  <c r="F1259"/>
  <c r="E1260"/>
  <c r="K1260" s="1"/>
  <c r="F1260"/>
  <c r="E1261"/>
  <c r="F1261"/>
  <c r="E1262"/>
  <c r="F1262"/>
  <c r="E1263"/>
  <c r="F1263"/>
  <c r="E1264"/>
  <c r="K1264" s="1"/>
  <c r="F1264"/>
  <c r="E1265"/>
  <c r="F1265"/>
  <c r="E1266"/>
  <c r="F1266"/>
  <c r="E1267"/>
  <c r="F1267"/>
  <c r="E1268"/>
  <c r="F1268"/>
  <c r="E1269"/>
  <c r="F1269"/>
  <c r="E1270"/>
  <c r="F1270"/>
  <c r="E1271"/>
  <c r="F1271"/>
  <c r="E1272"/>
  <c r="F1272"/>
  <c r="K1005"/>
  <c r="K1065"/>
  <c r="K996"/>
  <c r="N4"/>
  <c r="O4"/>
  <c r="N5"/>
  <c r="O5"/>
  <c r="N6"/>
  <c r="O6"/>
  <c r="N7"/>
  <c r="O7"/>
  <c r="N8"/>
  <c r="O8"/>
  <c r="O3"/>
  <c r="N3"/>
  <c r="S4"/>
  <c r="S5"/>
  <c r="S6"/>
  <c r="S7"/>
  <c r="S8"/>
  <c r="S3"/>
  <c r="K682"/>
  <c r="K876"/>
  <c r="G8"/>
  <c r="B8" s="1"/>
  <c r="V22" s="1"/>
  <c r="AB35" s="1"/>
  <c r="K262"/>
  <c r="K294"/>
  <c r="K326"/>
  <c r="K358"/>
  <c r="K390"/>
  <c r="K422"/>
  <c r="K454"/>
  <c r="K486"/>
  <c r="K518"/>
  <c r="K550"/>
  <c r="K610"/>
  <c r="K684"/>
  <c r="K770"/>
  <c r="K892"/>
  <c r="K1165"/>
  <c r="F22"/>
  <c r="K1038" l="1"/>
  <c r="K1000"/>
  <c r="K926"/>
  <c r="K1189"/>
  <c r="Q6"/>
  <c r="K1237"/>
  <c r="K1173"/>
  <c r="K1125"/>
  <c r="K1109"/>
  <c r="K1069"/>
  <c r="K1045"/>
  <c r="K1037"/>
  <c r="K1033"/>
  <c r="K1106"/>
  <c r="K1092"/>
  <c r="K1064"/>
  <c r="K1058"/>
  <c r="K1042"/>
  <c r="K1008"/>
  <c r="K990"/>
  <c r="K970"/>
  <c r="K932"/>
  <c r="Q8"/>
  <c r="K1269"/>
  <c r="K1261"/>
  <c r="K1241"/>
  <c r="K1221"/>
  <c r="K1197"/>
  <c r="K1161"/>
  <c r="K1117"/>
  <c r="K1170"/>
  <c r="K1245"/>
  <c r="K1225"/>
  <c r="K1001"/>
  <c r="K997"/>
  <c r="K1244"/>
  <c r="K1181"/>
  <c r="K1081"/>
  <c r="K1029"/>
  <c r="K1198"/>
  <c r="K1134"/>
  <c r="K1122"/>
  <c r="K1080"/>
  <c r="K1268"/>
  <c r="K1242"/>
  <c r="K1240"/>
  <c r="K1232"/>
  <c r="K1210"/>
  <c r="K1184"/>
  <c r="K1176"/>
  <c r="K1162"/>
  <c r="K1257"/>
  <c r="K1253"/>
  <c r="K1209"/>
  <c r="K1193"/>
  <c r="K1157"/>
  <c r="K1145"/>
  <c r="K1146"/>
  <c r="K1112"/>
  <c r="K1086"/>
  <c r="K1082"/>
  <c r="K1070"/>
  <c r="K1056"/>
  <c r="K1016"/>
  <c r="K1006"/>
  <c r="K948"/>
  <c r="K910"/>
  <c r="K890"/>
  <c r="K862"/>
  <c r="K842"/>
  <c r="K782"/>
  <c r="K718"/>
  <c r="K698"/>
  <c r="Q4"/>
  <c r="Q5"/>
  <c r="Q7"/>
  <c r="Q3"/>
  <c r="K1265"/>
  <c r="K1249"/>
  <c r="K1233"/>
  <c r="K1213"/>
  <c r="K1205"/>
  <c r="K1177"/>
  <c r="K1149"/>
  <c r="K1141"/>
  <c r="K1113"/>
  <c r="K1085"/>
  <c r="K1077"/>
  <c r="K1049"/>
  <c r="K1228"/>
  <c r="K1222"/>
  <c r="K1190"/>
  <c r="K1174"/>
  <c r="K1164"/>
  <c r="K1116"/>
  <c r="K1110"/>
  <c r="K1100"/>
  <c r="K1062"/>
  <c r="K1030"/>
  <c r="K992"/>
  <c r="K952"/>
  <c r="K936"/>
  <c r="K928"/>
  <c r="K912"/>
  <c r="K896"/>
  <c r="K864"/>
  <c r="K848"/>
  <c r="K824"/>
  <c r="K808"/>
  <c r="K784"/>
  <c r="K760"/>
  <c r="K744"/>
  <c r="K720"/>
  <c r="K704"/>
  <c r="K688"/>
  <c r="K672"/>
  <c r="K664"/>
  <c r="K648"/>
  <c r="K624"/>
  <c r="K608"/>
  <c r="K592"/>
  <c r="K576"/>
  <c r="K552"/>
  <c r="K1270"/>
  <c r="K1254"/>
  <c r="K1238"/>
  <c r="K1128"/>
  <c r="K1120"/>
  <c r="K1034"/>
  <c r="K958"/>
  <c r="K874"/>
  <c r="K830"/>
  <c r="K820"/>
  <c r="K810"/>
  <c r="K798"/>
  <c r="K766"/>
  <c r="K756"/>
  <c r="K746"/>
  <c r="K734"/>
  <c r="K670"/>
  <c r="K660"/>
  <c r="K650"/>
  <c r="K638"/>
  <c r="K564"/>
  <c r="K1180"/>
  <c r="K1158"/>
  <c r="K1148"/>
  <c r="K1132"/>
  <c r="K1084"/>
  <c r="K1052"/>
  <c r="K1020"/>
  <c r="K998"/>
  <c r="K984"/>
  <c r="K1271"/>
  <c r="K1267"/>
  <c r="K1263"/>
  <c r="K1259"/>
  <c r="K1255"/>
  <c r="K1251"/>
  <c r="K1247"/>
  <c r="K1243"/>
  <c r="K1239"/>
  <c r="K1235"/>
  <c r="K1231"/>
  <c r="K1227"/>
  <c r="K1223"/>
  <c r="K1219"/>
  <c r="K1217"/>
  <c r="K1215"/>
  <c r="K1211"/>
  <c r="K1207"/>
  <c r="K1203"/>
  <c r="K1201"/>
  <c r="K1199"/>
  <c r="K1195"/>
  <c r="K1191"/>
  <c r="K1187"/>
  <c r="K1185"/>
  <c r="K1183"/>
  <c r="K1179"/>
  <c r="K1175"/>
  <c r="K1171"/>
  <c r="K1169"/>
  <c r="K1167"/>
  <c r="K1163"/>
  <c r="K1159"/>
  <c r="K1155"/>
  <c r="K1153"/>
  <c r="K1151"/>
  <c r="K1147"/>
  <c r="K1143"/>
  <c r="K1139"/>
  <c r="K1137"/>
  <c r="K1135"/>
  <c r="K1131"/>
  <c r="K1127"/>
  <c r="K1123"/>
  <c r="K1121"/>
  <c r="K1119"/>
  <c r="K1115"/>
  <c r="K1111"/>
  <c r="K1107"/>
  <c r="K1105"/>
  <c r="K1103"/>
  <c r="K1099"/>
  <c r="K1095"/>
  <c r="K1091"/>
  <c r="K1089"/>
  <c r="K1087"/>
  <c r="K1083"/>
  <c r="K1079"/>
  <c r="K1075"/>
  <c r="K1073"/>
  <c r="K1071"/>
  <c r="K1067"/>
  <c r="K1063"/>
  <c r="K1059"/>
  <c r="K1057"/>
  <c r="K1055"/>
  <c r="K1051"/>
  <c r="K1047"/>
  <c r="K1043"/>
  <c r="K1041"/>
  <c r="K1039"/>
  <c r="K1035"/>
  <c r="K1031"/>
  <c r="K1027"/>
  <c r="K1025"/>
  <c r="K1023"/>
  <c r="K1019"/>
  <c r="K1015"/>
  <c r="K1011"/>
  <c r="K1009"/>
  <c r="K1007"/>
  <c r="K1003"/>
  <c r="K999"/>
  <c r="K995"/>
  <c r="K993"/>
  <c r="K991"/>
  <c r="K989"/>
  <c r="K987"/>
  <c r="K985"/>
  <c r="K983"/>
  <c r="K981"/>
  <c r="K979"/>
  <c r="K977"/>
  <c r="K975"/>
  <c r="K973"/>
  <c r="K971"/>
  <c r="K969"/>
  <c r="K967"/>
  <c r="K965"/>
  <c r="K963"/>
  <c r="K961"/>
  <c r="K959"/>
  <c r="K957"/>
  <c r="K955"/>
  <c r="K953"/>
  <c r="K951"/>
  <c r="K949"/>
  <c r="K947"/>
  <c r="K945"/>
  <c r="K943"/>
  <c r="K941"/>
  <c r="K939"/>
  <c r="K937"/>
  <c r="K935"/>
  <c r="K933"/>
  <c r="K931"/>
  <c r="K929"/>
  <c r="K927"/>
  <c r="K925"/>
  <c r="K923"/>
  <c r="K921"/>
  <c r="K919"/>
  <c r="K917"/>
  <c r="K915"/>
  <c r="K913"/>
  <c r="K911"/>
  <c r="K909"/>
  <c r="K907"/>
  <c r="K905"/>
  <c r="K903"/>
  <c r="K901"/>
  <c r="K899"/>
  <c r="K897"/>
  <c r="K895"/>
  <c r="K893"/>
  <c r="K891"/>
  <c r="K889"/>
  <c r="K887"/>
  <c r="K885"/>
  <c r="K883"/>
  <c r="K881"/>
  <c r="K879"/>
  <c r="K877"/>
  <c r="K875"/>
  <c r="K873"/>
  <c r="K871"/>
  <c r="K869"/>
  <c r="K867"/>
  <c r="K865"/>
  <c r="K863"/>
  <c r="K861"/>
  <c r="K859"/>
  <c r="K857"/>
  <c r="K855"/>
  <c r="K853"/>
  <c r="K851"/>
  <c r="K849"/>
  <c r="K847"/>
  <c r="K845"/>
  <c r="K843"/>
  <c r="K841"/>
  <c r="K839"/>
  <c r="K837"/>
  <c r="K835"/>
  <c r="K833"/>
  <c r="K831"/>
  <c r="K829"/>
  <c r="K827"/>
  <c r="K825"/>
  <c r="K823"/>
  <c r="K821"/>
  <c r="K819"/>
  <c r="K817"/>
  <c r="K815"/>
  <c r="K813"/>
  <c r="K811"/>
  <c r="K809"/>
  <c r="K807"/>
  <c r="K805"/>
  <c r="K803"/>
  <c r="K801"/>
  <c r="K799"/>
  <c r="K797"/>
  <c r="K795"/>
  <c r="K1114"/>
  <c r="K1022"/>
  <c r="K994"/>
  <c r="K962"/>
  <c r="K940"/>
  <c r="K918"/>
  <c r="K898"/>
  <c r="K866"/>
  <c r="K844"/>
  <c r="K1212"/>
  <c r="K1126"/>
  <c r="K1094"/>
  <c r="K1078"/>
  <c r="K1036"/>
  <c r="K1014"/>
  <c r="K1004"/>
  <c r="K968"/>
  <c r="K960"/>
  <c r="K880"/>
  <c r="K1272"/>
  <c r="K1266"/>
  <c r="K1250"/>
  <c r="K1214"/>
  <c r="K1208"/>
  <c r="K1172"/>
  <c r="K1144"/>
  <c r="K1136"/>
  <c r="K1108"/>
  <c r="K1050"/>
  <c r="K1044"/>
  <c r="K982"/>
  <c r="K972"/>
  <c r="K950"/>
  <c r="K930"/>
  <c r="K908"/>
  <c r="K886"/>
  <c r="K854"/>
  <c r="K834"/>
  <c r="K1262"/>
  <c r="K1252"/>
  <c r="K1246"/>
  <c r="K1236"/>
  <c r="K1230"/>
  <c r="K1224"/>
  <c r="K1216"/>
  <c r="K1202"/>
  <c r="K1194"/>
  <c r="K1188"/>
  <c r="K1160"/>
  <c r="K1152"/>
  <c r="K1138"/>
  <c r="K1130"/>
  <c r="K1124"/>
  <c r="K1096"/>
  <c r="K1088"/>
  <c r="K1074"/>
  <c r="K1066"/>
  <c r="K1060"/>
  <c r="K1032"/>
  <c r="K1024"/>
  <c r="K1010"/>
  <c r="K1002"/>
  <c r="K974"/>
  <c r="K964"/>
  <c r="K954"/>
  <c r="K942"/>
  <c r="K922"/>
  <c r="K878"/>
  <c r="K826"/>
  <c r="K814"/>
  <c r="K804"/>
  <c r="K794"/>
  <c r="K762"/>
  <c r="K750"/>
  <c r="K740"/>
  <c r="K730"/>
  <c r="K676"/>
  <c r="K666"/>
  <c r="K654"/>
  <c r="K644"/>
  <c r="K634"/>
  <c r="K1206"/>
  <c r="K1196"/>
  <c r="K1142"/>
  <c r="K1068"/>
  <c r="K1046"/>
  <c r="K976"/>
  <c r="K944"/>
  <c r="K920"/>
  <c r="K904"/>
  <c r="K888"/>
  <c r="K872"/>
  <c r="K856"/>
  <c r="K840"/>
  <c r="K832"/>
  <c r="K816"/>
  <c r="K800"/>
  <c r="K792"/>
  <c r="K776"/>
  <c r="K768"/>
  <c r="K752"/>
  <c r="K736"/>
  <c r="K728"/>
  <c r="K712"/>
  <c r="K696"/>
  <c r="K680"/>
  <c r="K656"/>
  <c r="K640"/>
  <c r="K632"/>
  <c r="K616"/>
  <c r="K600"/>
  <c r="K584"/>
  <c r="K568"/>
  <c r="K560"/>
  <c r="K793"/>
  <c r="K791"/>
  <c r="K789"/>
  <c r="K787"/>
  <c r="K785"/>
  <c r="K783"/>
  <c r="K781"/>
  <c r="K779"/>
  <c r="K777"/>
  <c r="K775"/>
  <c r="K773"/>
  <c r="K771"/>
  <c r="K769"/>
  <c r="K767"/>
  <c r="K765"/>
  <c r="K763"/>
  <c r="K761"/>
  <c r="K759"/>
  <c r="K757"/>
  <c r="K755"/>
  <c r="K753"/>
  <c r="K751"/>
  <c r="K749"/>
  <c r="K747"/>
  <c r="K745"/>
  <c r="K743"/>
  <c r="K741"/>
  <c r="K739"/>
  <c r="K737"/>
  <c r="K735"/>
  <c r="K733"/>
  <c r="K731"/>
  <c r="K729"/>
  <c r="K727"/>
  <c r="K725"/>
  <c r="K723"/>
  <c r="K721"/>
  <c r="K719"/>
  <c r="K717"/>
  <c r="K715"/>
  <c r="K713"/>
  <c r="K711"/>
  <c r="K709"/>
  <c r="K707"/>
  <c r="K705"/>
  <c r="K703"/>
  <c r="K701"/>
  <c r="K699"/>
  <c r="K697"/>
  <c r="K695"/>
  <c r="K693"/>
  <c r="K691"/>
  <c r="K689"/>
  <c r="K687"/>
  <c r="K685"/>
  <c r="K683"/>
  <c r="K681"/>
  <c r="K679"/>
  <c r="K677"/>
  <c r="K675"/>
  <c r="K673"/>
  <c r="K671"/>
  <c r="K669"/>
  <c r="K667"/>
  <c r="K665"/>
  <c r="K663"/>
  <c r="K661"/>
  <c r="K659"/>
  <c r="K657"/>
  <c r="K655"/>
  <c r="K653"/>
  <c r="K651"/>
  <c r="K649"/>
  <c r="K647"/>
  <c r="K645"/>
  <c r="K643"/>
  <c r="K641"/>
  <c r="K639"/>
  <c r="K637"/>
  <c r="K635"/>
  <c r="K633"/>
  <c r="K631"/>
  <c r="K629"/>
  <c r="K627"/>
  <c r="K625"/>
  <c r="K623"/>
  <c r="K621"/>
  <c r="K619"/>
  <c r="K617"/>
  <c r="K615"/>
  <c r="K613"/>
  <c r="K611"/>
  <c r="K609"/>
  <c r="K607"/>
  <c r="K605"/>
  <c r="K603"/>
  <c r="K601"/>
  <c r="K599"/>
  <c r="K597"/>
  <c r="K595"/>
  <c r="K593"/>
  <c r="K591"/>
  <c r="K589"/>
  <c r="K587"/>
  <c r="K585"/>
  <c r="K583"/>
  <c r="K581"/>
  <c r="K579"/>
  <c r="K577"/>
  <c r="K575"/>
  <c r="K573"/>
  <c r="K571"/>
  <c r="K569"/>
  <c r="K567"/>
  <c r="K565"/>
  <c r="K563"/>
  <c r="K561"/>
  <c r="K559"/>
  <c r="K557"/>
  <c r="K555"/>
  <c r="K553"/>
  <c r="K551"/>
  <c r="K549"/>
  <c r="K547"/>
  <c r="K545"/>
  <c r="K543"/>
  <c r="K541"/>
  <c r="K539"/>
  <c r="K537"/>
  <c r="K535"/>
  <c r="K533"/>
  <c r="K531"/>
  <c r="K529"/>
  <c r="K527"/>
  <c r="K525"/>
  <c r="K523"/>
  <c r="K521"/>
  <c r="K519"/>
  <c r="K517"/>
  <c r="K515"/>
  <c r="K513"/>
  <c r="K511"/>
  <c r="K509"/>
  <c r="K507"/>
  <c r="K505"/>
  <c r="K503"/>
  <c r="K501"/>
  <c r="K499"/>
  <c r="K497"/>
  <c r="K495"/>
  <c r="K493"/>
  <c r="K491"/>
  <c r="K489"/>
  <c r="K487"/>
  <c r="K485"/>
  <c r="K483"/>
  <c r="K481"/>
  <c r="K479"/>
  <c r="K477"/>
  <c r="K475"/>
  <c r="K473"/>
  <c r="K471"/>
  <c r="K469"/>
  <c r="K467"/>
  <c r="K465"/>
  <c r="K463"/>
  <c r="K461"/>
  <c r="K459"/>
  <c r="K457"/>
  <c r="K455"/>
  <c r="K453"/>
  <c r="K451"/>
  <c r="K449"/>
  <c r="K447"/>
  <c r="K445"/>
  <c r="K443"/>
  <c r="K441"/>
  <c r="K439"/>
  <c r="K437"/>
  <c r="K435"/>
  <c r="K433"/>
  <c r="K431"/>
  <c r="K429"/>
  <c r="K427"/>
  <c r="K425"/>
  <c r="K423"/>
  <c r="K421"/>
  <c r="K419"/>
  <c r="K417"/>
  <c r="K415"/>
  <c r="K413"/>
  <c r="K411"/>
  <c r="K409"/>
  <c r="K407"/>
  <c r="K405"/>
  <c r="K403"/>
  <c r="K401"/>
  <c r="K399"/>
  <c r="K397"/>
  <c r="K395"/>
  <c r="K393"/>
  <c r="K391"/>
  <c r="K389"/>
  <c r="K387"/>
  <c r="K385"/>
  <c r="K383"/>
  <c r="K381"/>
  <c r="K379"/>
  <c r="K377"/>
  <c r="K375"/>
  <c r="K373"/>
  <c r="K371"/>
  <c r="K369"/>
  <c r="K367"/>
  <c r="K365"/>
  <c r="K363"/>
  <c r="K361"/>
  <c r="K359"/>
  <c r="K357"/>
  <c r="K355"/>
  <c r="K353"/>
  <c r="K351"/>
  <c r="K349"/>
  <c r="K347"/>
  <c r="K345"/>
  <c r="K343"/>
  <c r="K341"/>
  <c r="K339"/>
  <c r="K337"/>
  <c r="K335"/>
  <c r="K333"/>
  <c r="K331"/>
  <c r="K329"/>
  <c r="K327"/>
  <c r="K325"/>
  <c r="K323"/>
  <c r="K321"/>
  <c r="K319"/>
  <c r="K317"/>
  <c r="K315"/>
  <c r="K313"/>
  <c r="K311"/>
  <c r="K309"/>
  <c r="K307"/>
  <c r="K305"/>
  <c r="K303"/>
  <c r="K301"/>
  <c r="K299"/>
  <c r="K297"/>
  <c r="K295"/>
  <c r="K293"/>
  <c r="K291"/>
  <c r="K289"/>
  <c r="K287"/>
  <c r="K285"/>
  <c r="K283"/>
  <c r="F24"/>
  <c r="J1246" s="1"/>
  <c r="K240"/>
  <c r="K281"/>
  <c r="K279"/>
  <c r="K277"/>
  <c r="K275"/>
  <c r="K273"/>
  <c r="K271"/>
  <c r="K269"/>
  <c r="K267"/>
  <c r="K265"/>
  <c r="K263"/>
  <c r="K261"/>
  <c r="K259"/>
  <c r="K257"/>
  <c r="K255"/>
  <c r="K253"/>
  <c r="K251"/>
  <c r="K249"/>
  <c r="K247"/>
  <c r="K245"/>
  <c r="K243"/>
  <c r="K241"/>
  <c r="K239"/>
  <c r="K237"/>
  <c r="K235"/>
  <c r="K233"/>
  <c r="K231"/>
  <c r="K229"/>
  <c r="K227"/>
  <c r="K225"/>
  <c r="K223"/>
  <c r="K221"/>
  <c r="K219"/>
  <c r="K217"/>
  <c r="K215"/>
  <c r="K213"/>
  <c r="K211"/>
  <c r="K209"/>
  <c r="K207"/>
  <c r="K205"/>
  <c r="K203"/>
  <c r="K201"/>
  <c r="K199"/>
  <c r="K197"/>
  <c r="K195"/>
  <c r="K193"/>
  <c r="K191"/>
  <c r="K189"/>
  <c r="K187"/>
  <c r="K185"/>
  <c r="K183"/>
  <c r="K181"/>
  <c r="K179"/>
  <c r="K177"/>
  <c r="K175"/>
  <c r="K173"/>
  <c r="K171"/>
  <c r="K169"/>
  <c r="K167"/>
  <c r="K165"/>
  <c r="K163"/>
  <c r="K161"/>
  <c r="K159"/>
  <c r="K157"/>
  <c r="K155"/>
  <c r="K153"/>
  <c r="K151"/>
  <c r="K149"/>
  <c r="K147"/>
  <c r="K145"/>
  <c r="K143"/>
  <c r="K141"/>
  <c r="K139"/>
  <c r="K137"/>
  <c r="K135"/>
  <c r="K133"/>
  <c r="K131"/>
  <c r="K129"/>
  <c r="K127"/>
  <c r="K125"/>
  <c r="K123"/>
  <c r="K121"/>
  <c r="K119"/>
  <c r="K117"/>
  <c r="K115"/>
  <c r="K113"/>
  <c r="K111"/>
  <c r="K109"/>
  <c r="K107"/>
  <c r="K105"/>
  <c r="K103"/>
  <c r="K101"/>
  <c r="K99"/>
  <c r="K97"/>
  <c r="K95"/>
  <c r="K93"/>
  <c r="K91"/>
  <c r="K89"/>
  <c r="K87"/>
  <c r="K85"/>
  <c r="K83"/>
  <c r="K81"/>
  <c r="K79"/>
  <c r="K77"/>
  <c r="K75"/>
  <c r="K73"/>
  <c r="K71"/>
  <c r="K69"/>
  <c r="K67"/>
  <c r="K65"/>
  <c r="K63"/>
  <c r="K61"/>
  <c r="K59"/>
  <c r="K57"/>
  <c r="K55"/>
  <c r="K53"/>
  <c r="K51"/>
  <c r="K49"/>
  <c r="K47"/>
  <c r="K45"/>
  <c r="K43"/>
  <c r="K41"/>
  <c r="K39"/>
  <c r="K37"/>
  <c r="K35"/>
  <c r="K33"/>
  <c r="K238"/>
  <c r="K236"/>
  <c r="K234"/>
  <c r="K232"/>
  <c r="K230"/>
  <c r="K228"/>
  <c r="K226"/>
  <c r="K224"/>
  <c r="K222"/>
  <c r="K220"/>
  <c r="K218"/>
  <c r="K216"/>
  <c r="K214"/>
  <c r="K212"/>
  <c r="K210"/>
  <c r="K208"/>
  <c r="K206"/>
  <c r="K204"/>
  <c r="K202"/>
  <c r="K200"/>
  <c r="K198"/>
  <c r="K196"/>
  <c r="K194"/>
  <c r="K192"/>
  <c r="K190"/>
  <c r="K188"/>
  <c r="K186"/>
  <c r="K184"/>
  <c r="K182"/>
  <c r="K180"/>
  <c r="K178"/>
  <c r="K176"/>
  <c r="K174"/>
  <c r="K172"/>
  <c r="K170"/>
  <c r="K168"/>
  <c r="K166"/>
  <c r="K164"/>
  <c r="K162"/>
  <c r="K160"/>
  <c r="K158"/>
  <c r="K156"/>
  <c r="K154"/>
  <c r="K152"/>
  <c r="K150"/>
  <c r="K148"/>
  <c r="K146"/>
  <c r="K144"/>
  <c r="K142"/>
  <c r="K140"/>
  <c r="K138"/>
  <c r="K136"/>
  <c r="K134"/>
  <c r="K132"/>
  <c r="K130"/>
  <c r="K128"/>
  <c r="K126"/>
  <c r="K124"/>
  <c r="K122"/>
  <c r="K120"/>
  <c r="K118"/>
  <c r="K116"/>
  <c r="K114"/>
  <c r="K112"/>
  <c r="K110"/>
  <c r="K108"/>
  <c r="K106"/>
  <c r="K104"/>
  <c r="K102"/>
  <c r="K100"/>
  <c r="K98"/>
  <c r="K96"/>
  <c r="K94"/>
  <c r="K92"/>
  <c r="K90"/>
  <c r="K88"/>
  <c r="K86"/>
  <c r="K84"/>
  <c r="K82"/>
  <c r="K80"/>
  <c r="K78"/>
  <c r="K76"/>
  <c r="K74"/>
  <c r="K72"/>
  <c r="K70"/>
  <c r="K68"/>
  <c r="K66"/>
  <c r="K64"/>
  <c r="K62"/>
  <c r="K60"/>
  <c r="K58"/>
  <c r="K56"/>
  <c r="K54"/>
  <c r="K52"/>
  <c r="K50"/>
  <c r="K48"/>
  <c r="K46"/>
  <c r="K44"/>
  <c r="K42"/>
  <c r="K40"/>
  <c r="K38"/>
  <c r="K36"/>
  <c r="K34"/>
  <c r="K32"/>
  <c r="T22"/>
  <c r="U22"/>
  <c r="AA35" s="1"/>
  <c r="P7" l="1"/>
  <c r="Y7" s="1"/>
  <c r="J43"/>
  <c r="Q43" s="1"/>
  <c r="J59"/>
  <c r="Q59" s="1"/>
  <c r="J75"/>
  <c r="Q75" s="1"/>
  <c r="J91"/>
  <c r="Q91" s="1"/>
  <c r="J107"/>
  <c r="Q107" s="1"/>
  <c r="J123"/>
  <c r="Q123" s="1"/>
  <c r="J139"/>
  <c r="Q139" s="1"/>
  <c r="J147"/>
  <c r="O147" s="1"/>
  <c r="J155"/>
  <c r="Q155" s="1"/>
  <c r="J163"/>
  <c r="O163" s="1"/>
  <c r="J171"/>
  <c r="Q171" s="1"/>
  <c r="J179"/>
  <c r="O179" s="1"/>
  <c r="J187"/>
  <c r="Q187" s="1"/>
  <c r="J195"/>
  <c r="J213"/>
  <c r="O213" s="1"/>
  <c r="J221"/>
  <c r="Q221" s="1"/>
  <c r="J229"/>
  <c r="J237"/>
  <c r="Q237" s="1"/>
  <c r="J245"/>
  <c r="P245" s="1"/>
  <c r="J38"/>
  <c r="P38" s="1"/>
  <c r="J46"/>
  <c r="J54"/>
  <c r="P54" s="1"/>
  <c r="J62"/>
  <c r="J70"/>
  <c r="Q70" s="1"/>
  <c r="J78"/>
  <c r="J86"/>
  <c r="Q86" s="1"/>
  <c r="J94"/>
  <c r="J102"/>
  <c r="Q102" s="1"/>
  <c r="J110"/>
  <c r="J118"/>
  <c r="P118" s="1"/>
  <c r="J126"/>
  <c r="J134"/>
  <c r="P134" s="1"/>
  <c r="J142"/>
  <c r="J150"/>
  <c r="Q150" s="1"/>
  <c r="J158"/>
  <c r="J166"/>
  <c r="O166" s="1"/>
  <c r="J174"/>
  <c r="J182"/>
  <c r="P182" s="1"/>
  <c r="J190"/>
  <c r="J198"/>
  <c r="P198" s="1"/>
  <c r="J206"/>
  <c r="J214"/>
  <c r="O214" s="1"/>
  <c r="J222"/>
  <c r="J230"/>
  <c r="P230" s="1"/>
  <c r="J238"/>
  <c r="J246"/>
  <c r="P246" s="1"/>
  <c r="J254"/>
  <c r="J262"/>
  <c r="O262" s="1"/>
  <c r="J270"/>
  <c r="J278"/>
  <c r="Q278" s="1"/>
  <c r="J286"/>
  <c r="J294"/>
  <c r="Q294" s="1"/>
  <c r="J302"/>
  <c r="J310"/>
  <c r="P310" s="1"/>
  <c r="J318"/>
  <c r="J326"/>
  <c r="P326" s="1"/>
  <c r="J334"/>
  <c r="J342"/>
  <c r="Q342" s="1"/>
  <c r="J350"/>
  <c r="J358"/>
  <c r="O358" s="1"/>
  <c r="J366"/>
  <c r="J374"/>
  <c r="P374" s="1"/>
  <c r="J382"/>
  <c r="J390"/>
  <c r="Q390" s="1"/>
  <c r="J398"/>
  <c r="J406"/>
  <c r="O406" s="1"/>
  <c r="J414"/>
  <c r="J422"/>
  <c r="Q422" s="1"/>
  <c r="J430"/>
  <c r="J438"/>
  <c r="P438" s="1"/>
  <c r="J446"/>
  <c r="J454"/>
  <c r="O454" s="1"/>
  <c r="J462"/>
  <c r="J470"/>
  <c r="Q470" s="1"/>
  <c r="J478"/>
  <c r="J486"/>
  <c r="P486" s="1"/>
  <c r="J494"/>
  <c r="J502"/>
  <c r="O502" s="1"/>
  <c r="J510"/>
  <c r="J518"/>
  <c r="Q518" s="1"/>
  <c r="J526"/>
  <c r="J534"/>
  <c r="Q534" s="1"/>
  <c r="J542"/>
  <c r="P542" s="1"/>
  <c r="J207"/>
  <c r="Q207" s="1"/>
  <c r="J257"/>
  <c r="Q257" s="1"/>
  <c r="J265"/>
  <c r="Q265" s="1"/>
  <c r="J273"/>
  <c r="Q273" s="1"/>
  <c r="J281"/>
  <c r="Q281" s="1"/>
  <c r="J285"/>
  <c r="Q285" s="1"/>
  <c r="J289"/>
  <c r="Q289" s="1"/>
  <c r="J293"/>
  <c r="J297"/>
  <c r="Q297" s="1"/>
  <c r="J301"/>
  <c r="Q301" s="1"/>
  <c r="J305"/>
  <c r="Q305" s="1"/>
  <c r="J309"/>
  <c r="J313"/>
  <c r="Q313" s="1"/>
  <c r="J317"/>
  <c r="Q317" s="1"/>
  <c r="J321"/>
  <c r="Q321" s="1"/>
  <c r="J325"/>
  <c r="J329"/>
  <c r="Q329" s="1"/>
  <c r="J333"/>
  <c r="Q333" s="1"/>
  <c r="J337"/>
  <c r="Q337" s="1"/>
  <c r="J341"/>
  <c r="J345"/>
  <c r="Q345" s="1"/>
  <c r="J349"/>
  <c r="Q349" s="1"/>
  <c r="J353"/>
  <c r="Q353" s="1"/>
  <c r="J357"/>
  <c r="J361"/>
  <c r="Q361" s="1"/>
  <c r="J365"/>
  <c r="Q365" s="1"/>
  <c r="J369"/>
  <c r="Q369" s="1"/>
  <c r="J373"/>
  <c r="J377"/>
  <c r="Q377" s="1"/>
  <c r="J381"/>
  <c r="Q381" s="1"/>
  <c r="J385"/>
  <c r="Q385" s="1"/>
  <c r="J389"/>
  <c r="J393"/>
  <c r="Q393" s="1"/>
  <c r="J397"/>
  <c r="Q397" s="1"/>
  <c r="J401"/>
  <c r="Q401" s="1"/>
  <c r="J405"/>
  <c r="J409"/>
  <c r="Q409" s="1"/>
  <c r="J413"/>
  <c r="P413" s="1"/>
  <c r="J417"/>
  <c r="Q417" s="1"/>
  <c r="J421"/>
  <c r="J425"/>
  <c r="Q425" s="1"/>
  <c r="J429"/>
  <c r="J433"/>
  <c r="Q433" s="1"/>
  <c r="J437"/>
  <c r="J441"/>
  <c r="Q441" s="1"/>
  <c r="J445"/>
  <c r="P445" s="1"/>
  <c r="J449"/>
  <c r="Q449" s="1"/>
  <c r="J453"/>
  <c r="J457"/>
  <c r="Q457" s="1"/>
  <c r="J461"/>
  <c r="J465"/>
  <c r="Q465" s="1"/>
  <c r="J469"/>
  <c r="J473"/>
  <c r="Q473" s="1"/>
  <c r="J477"/>
  <c r="O477" s="1"/>
  <c r="J481"/>
  <c r="Q481" s="1"/>
  <c r="J485"/>
  <c r="Q485" s="1"/>
  <c r="J489"/>
  <c r="P489" s="1"/>
  <c r="J493"/>
  <c r="P493" s="1"/>
  <c r="J497"/>
  <c r="Q497" s="1"/>
  <c r="J501"/>
  <c r="J505"/>
  <c r="P505" s="1"/>
  <c r="J509"/>
  <c r="J513"/>
  <c r="Q513" s="1"/>
  <c r="J517"/>
  <c r="J521"/>
  <c r="P521" s="1"/>
  <c r="J525"/>
  <c r="J529"/>
  <c r="Q529" s="1"/>
  <c r="J533"/>
  <c r="J537"/>
  <c r="Q537" s="1"/>
  <c r="J541"/>
  <c r="P541" s="1"/>
  <c r="J545"/>
  <c r="Q545" s="1"/>
  <c r="J549"/>
  <c r="J553"/>
  <c r="P553" s="1"/>
  <c r="J557"/>
  <c r="P557" s="1"/>
  <c r="J561"/>
  <c r="Q561" s="1"/>
  <c r="J565"/>
  <c r="O565" s="1"/>
  <c r="J569"/>
  <c r="P569" s="1"/>
  <c r="J573"/>
  <c r="J577"/>
  <c r="Q577" s="1"/>
  <c r="J581"/>
  <c r="J585"/>
  <c r="P585" s="1"/>
  <c r="J589"/>
  <c r="J593"/>
  <c r="Q593" s="1"/>
  <c r="J597"/>
  <c r="J601"/>
  <c r="Q601" s="1"/>
  <c r="J605"/>
  <c r="P605" s="1"/>
  <c r="J609"/>
  <c r="Q609" s="1"/>
  <c r="J613"/>
  <c r="Q613" s="1"/>
  <c r="J617"/>
  <c r="P617" s="1"/>
  <c r="J621"/>
  <c r="P621" s="1"/>
  <c r="J625"/>
  <c r="Q625" s="1"/>
  <c r="J629"/>
  <c r="J633"/>
  <c r="P633" s="1"/>
  <c r="J637"/>
  <c r="J641"/>
  <c r="Q641" s="1"/>
  <c r="J645"/>
  <c r="J649"/>
  <c r="P649" s="1"/>
  <c r="J653"/>
  <c r="J657"/>
  <c r="Q657" s="1"/>
  <c r="J661"/>
  <c r="Q661" s="1"/>
  <c r="J665"/>
  <c r="Q665" s="1"/>
  <c r="J669"/>
  <c r="P669" s="1"/>
  <c r="J673"/>
  <c r="Q673" s="1"/>
  <c r="J677"/>
  <c r="J681"/>
  <c r="P681" s="1"/>
  <c r="J685"/>
  <c r="P685" s="1"/>
  <c r="J689"/>
  <c r="Q689" s="1"/>
  <c r="J693"/>
  <c r="J697"/>
  <c r="P697" s="1"/>
  <c r="J701"/>
  <c r="J705"/>
  <c r="Q705" s="1"/>
  <c r="J709"/>
  <c r="P709" s="1"/>
  <c r="J713"/>
  <c r="P713" s="1"/>
  <c r="J717"/>
  <c r="J721"/>
  <c r="Q721" s="1"/>
  <c r="J725"/>
  <c r="J729"/>
  <c r="Q729" s="1"/>
  <c r="J733"/>
  <c r="P733" s="1"/>
  <c r="J737"/>
  <c r="Q737" s="1"/>
  <c r="J741"/>
  <c r="J745"/>
  <c r="P745" s="1"/>
  <c r="J749"/>
  <c r="P749" s="1"/>
  <c r="J753"/>
  <c r="Q753" s="1"/>
  <c r="J757"/>
  <c r="P757" s="1"/>
  <c r="J761"/>
  <c r="P761" s="1"/>
  <c r="J765"/>
  <c r="J769"/>
  <c r="Q769" s="1"/>
  <c r="J773"/>
  <c r="J777"/>
  <c r="P777" s="1"/>
  <c r="J781"/>
  <c r="J785"/>
  <c r="Q785" s="1"/>
  <c r="J789"/>
  <c r="P789" s="1"/>
  <c r="J793"/>
  <c r="Q793" s="1"/>
  <c r="J556"/>
  <c r="Q556" s="1"/>
  <c r="J570"/>
  <c r="O570" s="1"/>
  <c r="J590"/>
  <c r="J612"/>
  <c r="P612" s="1"/>
  <c r="J636"/>
  <c r="P636" s="1"/>
  <c r="J658"/>
  <c r="P658" s="1"/>
  <c r="J682"/>
  <c r="O682" s="1"/>
  <c r="J702"/>
  <c r="O702" s="1"/>
  <c r="J724"/>
  <c r="J748"/>
  <c r="O748" s="1"/>
  <c r="J772"/>
  <c r="P772" s="1"/>
  <c r="J796"/>
  <c r="O796" s="1"/>
  <c r="J818"/>
  <c r="O818" s="1"/>
  <c r="J842"/>
  <c r="P842" s="1"/>
  <c r="J862"/>
  <c r="Q862" s="1"/>
  <c r="J890"/>
  <c r="O890" s="1"/>
  <c r="J910"/>
  <c r="J938"/>
  <c r="O938" s="1"/>
  <c r="J978"/>
  <c r="P978" s="1"/>
  <c r="J1016"/>
  <c r="P1016" s="1"/>
  <c r="J1058"/>
  <c r="Q1058" s="1"/>
  <c r="J1102"/>
  <c r="Q1102" s="1"/>
  <c r="J1146"/>
  <c r="J1186"/>
  <c r="Q1186" s="1"/>
  <c r="J1232"/>
  <c r="J1268"/>
  <c r="O1268" s="1"/>
  <c r="J568"/>
  <c r="J600"/>
  <c r="P600" s="1"/>
  <c r="J632"/>
  <c r="J656"/>
  <c r="P656" s="1"/>
  <c r="J696"/>
  <c r="J728"/>
  <c r="P728" s="1"/>
  <c r="J752"/>
  <c r="J776"/>
  <c r="O776" s="1"/>
  <c r="J800"/>
  <c r="J832"/>
  <c r="Q832" s="1"/>
  <c r="J856"/>
  <c r="P856" s="1"/>
  <c r="J888"/>
  <c r="P888" s="1"/>
  <c r="J920"/>
  <c r="P920" s="1"/>
  <c r="J976"/>
  <c r="O976" s="1"/>
  <c r="J1068"/>
  <c r="J1196"/>
  <c r="O1196" s="1"/>
  <c r="J1018"/>
  <c r="J1060"/>
  <c r="P1060" s="1"/>
  <c r="J1108"/>
  <c r="J1150"/>
  <c r="O1150" s="1"/>
  <c r="J1188"/>
  <c r="O1188" s="1"/>
  <c r="J1224"/>
  <c r="P1224" s="1"/>
  <c r="J1260"/>
  <c r="O1260" s="1"/>
  <c r="J1005"/>
  <c r="P1005" s="1"/>
  <c r="J1029"/>
  <c r="Q1029" s="1"/>
  <c r="J1049"/>
  <c r="Q1049" s="1"/>
  <c r="J1069"/>
  <c r="J1093"/>
  <c r="P1093" s="1"/>
  <c r="J1113"/>
  <c r="Q1113" s="1"/>
  <c r="J1133"/>
  <c r="O1133" s="1"/>
  <c r="J1157"/>
  <c r="J1177"/>
  <c r="P1177" s="1"/>
  <c r="J1197"/>
  <c r="J1221"/>
  <c r="P1221" s="1"/>
  <c r="J1237"/>
  <c r="J1253"/>
  <c r="O1253" s="1"/>
  <c r="J1269"/>
  <c r="J934"/>
  <c r="P934" s="1"/>
  <c r="J962"/>
  <c r="J1000"/>
  <c r="P1000" s="1"/>
  <c r="J1042"/>
  <c r="J1088"/>
  <c r="Q1088" s="1"/>
  <c r="J1124"/>
  <c r="J1172"/>
  <c r="Q1172" s="1"/>
  <c r="J1208"/>
  <c r="P1208" s="1"/>
  <c r="J1244"/>
  <c r="P1244" s="1"/>
  <c r="J1272"/>
  <c r="J797"/>
  <c r="P797" s="1"/>
  <c r="J801"/>
  <c r="Q801" s="1"/>
  <c r="J805"/>
  <c r="O805" s="1"/>
  <c r="J809"/>
  <c r="Q809" s="1"/>
  <c r="J813"/>
  <c r="O813" s="1"/>
  <c r="J817"/>
  <c r="Q817" s="1"/>
  <c r="J821"/>
  <c r="P821" s="1"/>
  <c r="J825"/>
  <c r="Q825" s="1"/>
  <c r="J829"/>
  <c r="P829" s="1"/>
  <c r="J833"/>
  <c r="Q833" s="1"/>
  <c r="J837"/>
  <c r="P837" s="1"/>
  <c r="J841"/>
  <c r="Q841" s="1"/>
  <c r="J845"/>
  <c r="O845" s="1"/>
  <c r="J849"/>
  <c r="Q849" s="1"/>
  <c r="J853"/>
  <c r="P853" s="1"/>
  <c r="J857"/>
  <c r="Q857" s="1"/>
  <c r="J861"/>
  <c r="P861" s="1"/>
  <c r="J865"/>
  <c r="Q865" s="1"/>
  <c r="J869"/>
  <c r="P869" s="1"/>
  <c r="J873"/>
  <c r="Q873" s="1"/>
  <c r="J877"/>
  <c r="P877" s="1"/>
  <c r="J881"/>
  <c r="Q881" s="1"/>
  <c r="J885"/>
  <c r="P885" s="1"/>
  <c r="J889"/>
  <c r="Q889" s="1"/>
  <c r="J893"/>
  <c r="P893" s="1"/>
  <c r="J897"/>
  <c r="Q897" s="1"/>
  <c r="J901"/>
  <c r="P901" s="1"/>
  <c r="J905"/>
  <c r="Q905" s="1"/>
  <c r="J909"/>
  <c r="P909" s="1"/>
  <c r="J913"/>
  <c r="Q913" s="1"/>
  <c r="J917"/>
  <c r="Q917" s="1"/>
  <c r="J921"/>
  <c r="Q921" s="1"/>
  <c r="J925"/>
  <c r="P925" s="1"/>
  <c r="J929"/>
  <c r="Q929" s="1"/>
  <c r="J933"/>
  <c r="Q933" s="1"/>
  <c r="J937"/>
  <c r="Q937" s="1"/>
  <c r="J941"/>
  <c r="P941" s="1"/>
  <c r="J945"/>
  <c r="Q945" s="1"/>
  <c r="J949"/>
  <c r="Q949" s="1"/>
  <c r="J953"/>
  <c r="Q953" s="1"/>
  <c r="J957"/>
  <c r="P957" s="1"/>
  <c r="J961"/>
  <c r="Q961" s="1"/>
  <c r="J965"/>
  <c r="O965" s="1"/>
  <c r="J969"/>
  <c r="Q969" s="1"/>
  <c r="J973"/>
  <c r="O973" s="1"/>
  <c r="J977"/>
  <c r="Q977" s="1"/>
  <c r="J981"/>
  <c r="O981" s="1"/>
  <c r="J985"/>
  <c r="Q985" s="1"/>
  <c r="J989"/>
  <c r="P989" s="1"/>
  <c r="J993"/>
  <c r="Q993" s="1"/>
  <c r="J999"/>
  <c r="P999" s="1"/>
  <c r="J1007"/>
  <c r="J1011"/>
  <c r="O1011" s="1"/>
  <c r="J1019"/>
  <c r="P1019" s="1"/>
  <c r="J1025"/>
  <c r="Q1025" s="1"/>
  <c r="J1031"/>
  <c r="J1039"/>
  <c r="Q1039" s="1"/>
  <c r="J1043"/>
  <c r="Q1043" s="1"/>
  <c r="J1051"/>
  <c r="P1051" s="1"/>
  <c r="J1057"/>
  <c r="Q1057" s="1"/>
  <c r="J1063"/>
  <c r="Q1063" s="1"/>
  <c r="J1071"/>
  <c r="J1075"/>
  <c r="P1075" s="1"/>
  <c r="J1083"/>
  <c r="P1083" s="1"/>
  <c r="J1089"/>
  <c r="Q1089" s="1"/>
  <c r="J1095"/>
  <c r="O1095" s="1"/>
  <c r="J1103"/>
  <c r="Q1103" s="1"/>
  <c r="J1107"/>
  <c r="J1115"/>
  <c r="P1115" s="1"/>
  <c r="J1121"/>
  <c r="Q1121" s="1"/>
  <c r="J1127"/>
  <c r="Q1127" s="1"/>
  <c r="J1135"/>
  <c r="J1139"/>
  <c r="O1139" s="1"/>
  <c r="J1147"/>
  <c r="P1147" s="1"/>
  <c r="J1153"/>
  <c r="Q1153" s="1"/>
  <c r="J1159"/>
  <c r="J1167"/>
  <c r="O1167" s="1"/>
  <c r="J1171"/>
  <c r="P1171" s="1"/>
  <c r="J1179"/>
  <c r="P1179" s="1"/>
  <c r="J1185"/>
  <c r="P1185" s="1"/>
  <c r="J1191"/>
  <c r="P1191" s="1"/>
  <c r="J1199"/>
  <c r="J1203"/>
  <c r="O1203" s="1"/>
  <c r="J1211"/>
  <c r="P1211" s="1"/>
  <c r="J1217"/>
  <c r="O1217" s="1"/>
  <c r="J1223"/>
  <c r="O1223" s="1"/>
  <c r="J1231"/>
  <c r="O1231" s="1"/>
  <c r="J1239"/>
  <c r="J1247"/>
  <c r="O1247" s="1"/>
  <c r="J1255"/>
  <c r="J1263"/>
  <c r="O1263" s="1"/>
  <c r="J1271"/>
  <c r="J998"/>
  <c r="O998" s="1"/>
  <c r="J1052"/>
  <c r="J1132"/>
  <c r="P1132" s="1"/>
  <c r="J1158"/>
  <c r="O1158" s="1"/>
  <c r="J564"/>
  <c r="P564" s="1"/>
  <c r="J588"/>
  <c r="J610"/>
  <c r="P610" s="1"/>
  <c r="J630"/>
  <c r="J650"/>
  <c r="O650" s="1"/>
  <c r="J670"/>
  <c r="P670" s="1"/>
  <c r="J690"/>
  <c r="O690" s="1"/>
  <c r="J710"/>
  <c r="J730"/>
  <c r="P730" s="1"/>
  <c r="J750"/>
  <c r="J770"/>
  <c r="Q770" s="1"/>
  <c r="J790"/>
  <c r="J810"/>
  <c r="P810" s="1"/>
  <c r="J830"/>
  <c r="P830" s="1"/>
  <c r="J850"/>
  <c r="P850" s="1"/>
  <c r="J870"/>
  <c r="J892"/>
  <c r="Q892" s="1"/>
  <c r="J914"/>
  <c r="O914" s="1"/>
  <c r="J940"/>
  <c r="P940" s="1"/>
  <c r="J974"/>
  <c r="J1012"/>
  <c r="P1012" s="1"/>
  <c r="J1054"/>
  <c r="P1054" s="1"/>
  <c r="J1090"/>
  <c r="Q1090" s="1"/>
  <c r="J1136"/>
  <c r="J1182"/>
  <c r="O1182" s="1"/>
  <c r="J1238"/>
  <c r="J1270"/>
  <c r="O1270" s="1"/>
  <c r="J576"/>
  <c r="O576" s="1"/>
  <c r="J608"/>
  <c r="O608" s="1"/>
  <c r="J648"/>
  <c r="J672"/>
  <c r="Q672" s="1"/>
  <c r="J704"/>
  <c r="J744"/>
  <c r="P744" s="1"/>
  <c r="J784"/>
  <c r="P784" s="1"/>
  <c r="J824"/>
  <c r="P824" s="1"/>
  <c r="J864"/>
  <c r="J912"/>
  <c r="Q912" s="1"/>
  <c r="J936"/>
  <c r="P936" s="1"/>
  <c r="J992"/>
  <c r="O992" s="1"/>
  <c r="J1062"/>
  <c r="J1110"/>
  <c r="O1110" s="1"/>
  <c r="J1164"/>
  <c r="J1190"/>
  <c r="P1190" s="1"/>
  <c r="J1228"/>
  <c r="O1228" s="1"/>
  <c r="P3"/>
  <c r="X3" s="1"/>
  <c r="J35"/>
  <c r="O35" s="1"/>
  <c r="J51"/>
  <c r="O51" s="1"/>
  <c r="J67"/>
  <c r="J83"/>
  <c r="P83" s="1"/>
  <c r="J99"/>
  <c r="O99" s="1"/>
  <c r="J115"/>
  <c r="O115" s="1"/>
  <c r="J131"/>
  <c r="J203"/>
  <c r="Q203" s="1"/>
  <c r="P8"/>
  <c r="Y8" s="1"/>
  <c r="P4"/>
  <c r="Z4" s="1"/>
  <c r="J33"/>
  <c r="Q33" s="1"/>
  <c r="J41"/>
  <c r="O41" s="1"/>
  <c r="J49"/>
  <c r="Q49" s="1"/>
  <c r="J57"/>
  <c r="Q57" s="1"/>
  <c r="J65"/>
  <c r="Q65" s="1"/>
  <c r="J73"/>
  <c r="Q73" s="1"/>
  <c r="J81"/>
  <c r="Q81" s="1"/>
  <c r="J89"/>
  <c r="Q89" s="1"/>
  <c r="J97"/>
  <c r="Q97" s="1"/>
  <c r="J105"/>
  <c r="Q105" s="1"/>
  <c r="J113"/>
  <c r="Q113" s="1"/>
  <c r="J121"/>
  <c r="Q121" s="1"/>
  <c r="J129"/>
  <c r="Q129" s="1"/>
  <c r="J137"/>
  <c r="Q137" s="1"/>
  <c r="J145"/>
  <c r="Q145" s="1"/>
  <c r="J153"/>
  <c r="Q153" s="1"/>
  <c r="J161"/>
  <c r="Q161" s="1"/>
  <c r="J169"/>
  <c r="Q169" s="1"/>
  <c r="J177"/>
  <c r="Q177" s="1"/>
  <c r="J185"/>
  <c r="Q185" s="1"/>
  <c r="J193"/>
  <c r="Q193" s="1"/>
  <c r="J201"/>
  <c r="Q201" s="1"/>
  <c r="J211"/>
  <c r="O211" s="1"/>
  <c r="J219"/>
  <c r="Q219" s="1"/>
  <c r="J227"/>
  <c r="O227" s="1"/>
  <c r="J235"/>
  <c r="Q235" s="1"/>
  <c r="J243"/>
  <c r="O243" s="1"/>
  <c r="J36"/>
  <c r="P36" s="1"/>
  <c r="J44"/>
  <c r="P44" s="1"/>
  <c r="J52"/>
  <c r="J60"/>
  <c r="J68"/>
  <c r="O68" s="1"/>
  <c r="J76"/>
  <c r="Q76" s="1"/>
  <c r="J84"/>
  <c r="Q84" s="1"/>
  <c r="J92"/>
  <c r="J100"/>
  <c r="Q100" s="1"/>
  <c r="J108"/>
  <c r="P108" s="1"/>
  <c r="J116"/>
  <c r="P116" s="1"/>
  <c r="J124"/>
  <c r="J132"/>
  <c r="O132" s="1"/>
  <c r="J140"/>
  <c r="Q140" s="1"/>
  <c r="J148"/>
  <c r="O148" s="1"/>
  <c r="J156"/>
  <c r="J164"/>
  <c r="P164" s="1"/>
  <c r="J172"/>
  <c r="P172" s="1"/>
  <c r="J180"/>
  <c r="J188"/>
  <c r="J196"/>
  <c r="O196" s="1"/>
  <c r="J204"/>
  <c r="Q204" s="1"/>
  <c r="J212"/>
  <c r="P212" s="1"/>
  <c r="J220"/>
  <c r="J228"/>
  <c r="P228" s="1"/>
  <c r="J236"/>
  <c r="P236" s="1"/>
  <c r="J244"/>
  <c r="P244" s="1"/>
  <c r="J252"/>
  <c r="J260"/>
  <c r="O260" s="1"/>
  <c r="J268"/>
  <c r="Q268" s="1"/>
  <c r="J276"/>
  <c r="J284"/>
  <c r="J292"/>
  <c r="P292" s="1"/>
  <c r="J300"/>
  <c r="Q300" s="1"/>
  <c r="J308"/>
  <c r="P308" s="1"/>
  <c r="J316"/>
  <c r="P316" s="1"/>
  <c r="J324"/>
  <c r="P324" s="1"/>
  <c r="J332"/>
  <c r="P332" s="1"/>
  <c r="J340"/>
  <c r="Q340" s="1"/>
  <c r="J348"/>
  <c r="Q348" s="1"/>
  <c r="J356"/>
  <c r="O356" s="1"/>
  <c r="J364"/>
  <c r="Q364" s="1"/>
  <c r="J372"/>
  <c r="P372" s="1"/>
  <c r="J380"/>
  <c r="Q380" s="1"/>
  <c r="J388"/>
  <c r="Q388" s="1"/>
  <c r="J396"/>
  <c r="P396" s="1"/>
  <c r="J404"/>
  <c r="P404" s="1"/>
  <c r="J412"/>
  <c r="O412" s="1"/>
  <c r="J420"/>
  <c r="Q420" s="1"/>
  <c r="J428"/>
  <c r="Q428" s="1"/>
  <c r="J436"/>
  <c r="O436" s="1"/>
  <c r="J444"/>
  <c r="O444" s="1"/>
  <c r="J452"/>
  <c r="P452" s="1"/>
  <c r="J460"/>
  <c r="P460" s="1"/>
  <c r="J468"/>
  <c r="Q468" s="1"/>
  <c r="J476"/>
  <c r="P476" s="1"/>
  <c r="J484"/>
  <c r="P484" s="1"/>
  <c r="J492"/>
  <c r="O492" s="1"/>
  <c r="J500"/>
  <c r="Q500" s="1"/>
  <c r="J508"/>
  <c r="O508" s="1"/>
  <c r="J516"/>
  <c r="P516" s="1"/>
  <c r="J524"/>
  <c r="O524" s="1"/>
  <c r="J532"/>
  <c r="P532" s="1"/>
  <c r="J540"/>
  <c r="P540" s="1"/>
  <c r="J255"/>
  <c r="P255" s="1"/>
  <c r="J263"/>
  <c r="J271"/>
  <c r="P271" s="1"/>
  <c r="J279"/>
  <c r="O279" s="1"/>
  <c r="J554"/>
  <c r="Q554" s="1"/>
  <c r="J566"/>
  <c r="J586"/>
  <c r="O586" s="1"/>
  <c r="J606"/>
  <c r="J628"/>
  <c r="P628" s="1"/>
  <c r="J652"/>
  <c r="O652" s="1"/>
  <c r="J674"/>
  <c r="O674" s="1"/>
  <c r="J698"/>
  <c r="Q698" s="1"/>
  <c r="J718"/>
  <c r="O718" s="1"/>
  <c r="J742"/>
  <c r="J764"/>
  <c r="J788"/>
  <c r="Q788" s="1"/>
  <c r="J812"/>
  <c r="P812" s="1"/>
  <c r="J836"/>
  <c r="J858"/>
  <c r="P858" s="1"/>
  <c r="J884"/>
  <c r="P884" s="1"/>
  <c r="J906"/>
  <c r="P906" s="1"/>
  <c r="J932"/>
  <c r="J966"/>
  <c r="J1008"/>
  <c r="Q1008" s="1"/>
  <c r="J1048"/>
  <c r="P1048" s="1"/>
  <c r="J1092"/>
  <c r="J1134"/>
  <c r="Q1134" s="1"/>
  <c r="J1176"/>
  <c r="P1176" s="1"/>
  <c r="J1220"/>
  <c r="O1220" s="1"/>
  <c r="J1256"/>
  <c r="J1006"/>
  <c r="P1006" s="1"/>
  <c r="J1050"/>
  <c r="P1050" s="1"/>
  <c r="J1098"/>
  <c r="O1098" s="1"/>
  <c r="J1140"/>
  <c r="J1178"/>
  <c r="O1178" s="1"/>
  <c r="J1216"/>
  <c r="P1216" s="1"/>
  <c r="J1250"/>
  <c r="P1250" s="1"/>
  <c r="J880"/>
  <c r="J968"/>
  <c r="P968" s="1"/>
  <c r="J1014"/>
  <c r="P1014" s="1"/>
  <c r="J1078"/>
  <c r="O1078" s="1"/>
  <c r="J1126"/>
  <c r="J1001"/>
  <c r="Q1001" s="1"/>
  <c r="J1021"/>
  <c r="P1021" s="1"/>
  <c r="J1045"/>
  <c r="P1045" s="1"/>
  <c r="J1065"/>
  <c r="Q1065" s="1"/>
  <c r="J1085"/>
  <c r="P1085" s="1"/>
  <c r="J1109"/>
  <c r="P1109" s="1"/>
  <c r="J1129"/>
  <c r="Q1129" s="1"/>
  <c r="J1149"/>
  <c r="P1149" s="1"/>
  <c r="J1173"/>
  <c r="O1173" s="1"/>
  <c r="J1193"/>
  <c r="J1213"/>
  <c r="P1213" s="1"/>
  <c r="J1233"/>
  <c r="J1249"/>
  <c r="O1249" s="1"/>
  <c r="J1265"/>
  <c r="P1265" s="1"/>
  <c r="J926"/>
  <c r="O926" s="1"/>
  <c r="J954"/>
  <c r="J990"/>
  <c r="O990" s="1"/>
  <c r="J1032"/>
  <c r="P1032" s="1"/>
  <c r="J1074"/>
  <c r="O1074" s="1"/>
  <c r="J1114"/>
  <c r="J1162"/>
  <c r="Q1162" s="1"/>
  <c r="J1202"/>
  <c r="O1202" s="1"/>
  <c r="J1236"/>
  <c r="Q1236" s="1"/>
  <c r="J1264"/>
  <c r="J582"/>
  <c r="O582" s="1"/>
  <c r="J604"/>
  <c r="O604" s="1"/>
  <c r="J626"/>
  <c r="O626" s="1"/>
  <c r="J644"/>
  <c r="J666"/>
  <c r="Q666" s="1"/>
  <c r="J684"/>
  <c r="Q684" s="1"/>
  <c r="J706"/>
  <c r="Q706" s="1"/>
  <c r="J726"/>
  <c r="J746"/>
  <c r="O746" s="1"/>
  <c r="J766"/>
  <c r="O766" s="1"/>
  <c r="J786"/>
  <c r="P786" s="1"/>
  <c r="J804"/>
  <c r="J826"/>
  <c r="P826" s="1"/>
  <c r="J844"/>
  <c r="Q844" s="1"/>
  <c r="J866"/>
  <c r="O866" s="1"/>
  <c r="J886"/>
  <c r="J908"/>
  <c r="P908" s="1"/>
  <c r="J930"/>
  <c r="J964"/>
  <c r="O964" s="1"/>
  <c r="J1002"/>
  <c r="J1044"/>
  <c r="O1044" s="1"/>
  <c r="J1082"/>
  <c r="Q1082" s="1"/>
  <c r="J1128"/>
  <c r="P1128" s="1"/>
  <c r="J1168"/>
  <c r="J1230"/>
  <c r="Q1230" s="1"/>
  <c r="J1262"/>
  <c r="P1262" s="1"/>
  <c r="J39"/>
  <c r="O39" s="1"/>
  <c r="J55"/>
  <c r="J71"/>
  <c r="Q71" s="1"/>
  <c r="J87"/>
  <c r="P87" s="1"/>
  <c r="J103"/>
  <c r="O103" s="1"/>
  <c r="J119"/>
  <c r="J135"/>
  <c r="O135" s="1"/>
  <c r="J151"/>
  <c r="O151" s="1"/>
  <c r="J167"/>
  <c r="Q167" s="1"/>
  <c r="J183"/>
  <c r="J199"/>
  <c r="Q199" s="1"/>
  <c r="J217"/>
  <c r="Q217" s="1"/>
  <c r="J233"/>
  <c r="Q233" s="1"/>
  <c r="J249"/>
  <c r="Q249" s="1"/>
  <c r="J50"/>
  <c r="Q50" s="1"/>
  <c r="J66"/>
  <c r="O66" s="1"/>
  <c r="J82"/>
  <c r="P82" s="1"/>
  <c r="J98"/>
  <c r="O98" s="1"/>
  <c r="J114"/>
  <c r="Q114" s="1"/>
  <c r="J130"/>
  <c r="P130" s="1"/>
  <c r="J138"/>
  <c r="P138" s="1"/>
  <c r="J146"/>
  <c r="J154"/>
  <c r="O154" s="1"/>
  <c r="J162"/>
  <c r="P162" s="1"/>
  <c r="J170"/>
  <c r="P170" s="1"/>
  <c r="J178"/>
  <c r="J186"/>
  <c r="O186" s="1"/>
  <c r="J194"/>
  <c r="P194" s="1"/>
  <c r="J202"/>
  <c r="O202" s="1"/>
  <c r="J210"/>
  <c r="J226"/>
  <c r="P226" s="1"/>
  <c r="J234"/>
  <c r="Q234" s="1"/>
  <c r="J242"/>
  <c r="O242" s="1"/>
  <c r="J250"/>
  <c r="O250" s="1"/>
  <c r="J258"/>
  <c r="P258" s="1"/>
  <c r="J266"/>
  <c r="Q266" s="1"/>
  <c r="J274"/>
  <c r="O274" s="1"/>
  <c r="J282"/>
  <c r="O282" s="1"/>
  <c r="J290"/>
  <c r="P290" s="1"/>
  <c r="J298"/>
  <c r="Q298" s="1"/>
  <c r="J306"/>
  <c r="O306" s="1"/>
  <c r="J314"/>
  <c r="O314" s="1"/>
  <c r="J322"/>
  <c r="P322" s="1"/>
  <c r="J330"/>
  <c r="Q330" s="1"/>
  <c r="J338"/>
  <c r="O338" s="1"/>
  <c r="J346"/>
  <c r="O346" s="1"/>
  <c r="J354"/>
  <c r="P354" s="1"/>
  <c r="J362"/>
  <c r="Q362" s="1"/>
  <c r="J370"/>
  <c r="O370" s="1"/>
  <c r="J378"/>
  <c r="O378" s="1"/>
  <c r="J386"/>
  <c r="O386" s="1"/>
  <c r="J394"/>
  <c r="Q394" s="1"/>
  <c r="J402"/>
  <c r="P402" s="1"/>
  <c r="J410"/>
  <c r="O410" s="1"/>
  <c r="J418"/>
  <c r="O418" s="1"/>
  <c r="J426"/>
  <c r="Q426" s="1"/>
  <c r="J434"/>
  <c r="P434" s="1"/>
  <c r="J442"/>
  <c r="O442" s="1"/>
  <c r="J450"/>
  <c r="O450" s="1"/>
  <c r="J458"/>
  <c r="Q458" s="1"/>
  <c r="J466"/>
  <c r="P466" s="1"/>
  <c r="J474"/>
  <c r="O474" s="1"/>
  <c r="J482"/>
  <c r="P482" s="1"/>
  <c r="J490"/>
  <c r="Q490" s="1"/>
  <c r="J498"/>
  <c r="O498" s="1"/>
  <c r="J506"/>
  <c r="P506" s="1"/>
  <c r="J514"/>
  <c r="P514" s="1"/>
  <c r="J522"/>
  <c r="O522" s="1"/>
  <c r="J530"/>
  <c r="O530" s="1"/>
  <c r="J538"/>
  <c r="J546"/>
  <c r="P546" s="1"/>
  <c r="J253"/>
  <c r="Q253" s="1"/>
  <c r="J261"/>
  <c r="P261" s="1"/>
  <c r="J269"/>
  <c r="Q269" s="1"/>
  <c r="J277"/>
  <c r="O277" s="1"/>
  <c r="J283"/>
  <c r="Q283" s="1"/>
  <c r="J287"/>
  <c r="P287" s="1"/>
  <c r="J291"/>
  <c r="O291" s="1"/>
  <c r="J295"/>
  <c r="Q295" s="1"/>
  <c r="J299"/>
  <c r="Q299" s="1"/>
  <c r="J303"/>
  <c r="P303" s="1"/>
  <c r="J307"/>
  <c r="O307" s="1"/>
  <c r="J311"/>
  <c r="Q311" s="1"/>
  <c r="J315"/>
  <c r="Q315" s="1"/>
  <c r="J319"/>
  <c r="O319" s="1"/>
  <c r="J323"/>
  <c r="J327"/>
  <c r="P327" s="1"/>
  <c r="J331"/>
  <c r="Q331" s="1"/>
  <c r="J335"/>
  <c r="P335" s="1"/>
  <c r="J339"/>
  <c r="O339" s="1"/>
  <c r="J343"/>
  <c r="O343" s="1"/>
  <c r="J347"/>
  <c r="Q347" s="1"/>
  <c r="J351"/>
  <c r="P351" s="1"/>
  <c r="J355"/>
  <c r="O355" s="1"/>
  <c r="J359"/>
  <c r="O359" s="1"/>
  <c r="J363"/>
  <c r="Q363" s="1"/>
  <c r="J367"/>
  <c r="O367" s="1"/>
  <c r="J371"/>
  <c r="O371" s="1"/>
  <c r="J375"/>
  <c r="O375" s="1"/>
  <c r="J379"/>
  <c r="Q379" s="1"/>
  <c r="J383"/>
  <c r="P383" s="1"/>
  <c r="J387"/>
  <c r="J391"/>
  <c r="Q391" s="1"/>
  <c r="J395"/>
  <c r="Q395" s="1"/>
  <c r="J399"/>
  <c r="P399" s="1"/>
  <c r="J403"/>
  <c r="O403" s="1"/>
  <c r="J407"/>
  <c r="O407" s="1"/>
  <c r="J411"/>
  <c r="Q411" s="1"/>
  <c r="J415"/>
  <c r="P415" s="1"/>
  <c r="J419"/>
  <c r="O419" s="1"/>
  <c r="J423"/>
  <c r="O423" s="1"/>
  <c r="J427"/>
  <c r="Q427" s="1"/>
  <c r="J431"/>
  <c r="Q431" s="1"/>
  <c r="J435"/>
  <c r="O435" s="1"/>
  <c r="J439"/>
  <c r="O439" s="1"/>
  <c r="J443"/>
  <c r="Q443" s="1"/>
  <c r="J447"/>
  <c r="O447" s="1"/>
  <c r="J451"/>
  <c r="J455"/>
  <c r="O455" s="1"/>
  <c r="J459"/>
  <c r="Q459" s="1"/>
  <c r="J463"/>
  <c r="P463" s="1"/>
  <c r="J467"/>
  <c r="O467" s="1"/>
  <c r="J471"/>
  <c r="Q471" s="1"/>
  <c r="J475"/>
  <c r="Q475" s="1"/>
  <c r="J479"/>
  <c r="O479" s="1"/>
  <c r="J483"/>
  <c r="P483" s="1"/>
  <c r="J487"/>
  <c r="P487" s="1"/>
  <c r="J491"/>
  <c r="Q491" s="1"/>
  <c r="J495"/>
  <c r="O495" s="1"/>
  <c r="J499"/>
  <c r="J503"/>
  <c r="O503" s="1"/>
  <c r="J507"/>
  <c r="Q507" s="1"/>
  <c r="J511"/>
  <c r="O511" s="1"/>
  <c r="J515"/>
  <c r="J519"/>
  <c r="O519" s="1"/>
  <c r="J523"/>
  <c r="P523" s="1"/>
  <c r="J527"/>
  <c r="O527" s="1"/>
  <c r="J531"/>
  <c r="J535"/>
  <c r="Q535" s="1"/>
  <c r="J539"/>
  <c r="P539" s="1"/>
  <c r="J543"/>
  <c r="P543" s="1"/>
  <c r="J547"/>
  <c r="J551"/>
  <c r="O551" s="1"/>
  <c r="J555"/>
  <c r="O555" s="1"/>
  <c r="J559"/>
  <c r="O559" s="1"/>
  <c r="J563"/>
  <c r="J567"/>
  <c r="Q567" s="1"/>
  <c r="J571"/>
  <c r="O571" s="1"/>
  <c r="J575"/>
  <c r="P575" s="1"/>
  <c r="J579"/>
  <c r="J583"/>
  <c r="O583" s="1"/>
  <c r="J587"/>
  <c r="Q587" s="1"/>
  <c r="J591"/>
  <c r="P591" s="1"/>
  <c r="J595"/>
  <c r="J599"/>
  <c r="Q599" s="1"/>
  <c r="J603"/>
  <c r="O603" s="1"/>
  <c r="J607"/>
  <c r="Q607" s="1"/>
  <c r="J611"/>
  <c r="J615"/>
  <c r="P615" s="1"/>
  <c r="J619"/>
  <c r="P619" s="1"/>
  <c r="J623"/>
  <c r="P623" s="1"/>
  <c r="J627"/>
  <c r="J631"/>
  <c r="Q631" s="1"/>
  <c r="J635"/>
  <c r="P635" s="1"/>
  <c r="J639"/>
  <c r="O639" s="1"/>
  <c r="J643"/>
  <c r="J647"/>
  <c r="P647" s="1"/>
  <c r="J651"/>
  <c r="O651" s="1"/>
  <c r="J655"/>
  <c r="O655" s="1"/>
  <c r="J659"/>
  <c r="J663"/>
  <c r="P663" s="1"/>
  <c r="J667"/>
  <c r="P667" s="1"/>
  <c r="J671"/>
  <c r="P671" s="1"/>
  <c r="J675"/>
  <c r="J679"/>
  <c r="O679" s="1"/>
  <c r="J683"/>
  <c r="Q683" s="1"/>
  <c r="J687"/>
  <c r="P687" s="1"/>
  <c r="J691"/>
  <c r="J695"/>
  <c r="P695" s="1"/>
  <c r="J699"/>
  <c r="O699" s="1"/>
  <c r="J703"/>
  <c r="P703" s="1"/>
  <c r="J707"/>
  <c r="J711"/>
  <c r="O711" s="1"/>
  <c r="J715"/>
  <c r="P715" s="1"/>
  <c r="J719"/>
  <c r="P719" s="1"/>
  <c r="J723"/>
  <c r="J727"/>
  <c r="P727" s="1"/>
  <c r="J731"/>
  <c r="Q731" s="1"/>
  <c r="J735"/>
  <c r="Q735" s="1"/>
  <c r="J739"/>
  <c r="J743"/>
  <c r="O743" s="1"/>
  <c r="J747"/>
  <c r="P747" s="1"/>
  <c r="J751"/>
  <c r="O751" s="1"/>
  <c r="J755"/>
  <c r="J759"/>
  <c r="O759" s="1"/>
  <c r="J763"/>
  <c r="P763" s="1"/>
  <c r="J767"/>
  <c r="O767" s="1"/>
  <c r="J771"/>
  <c r="J775"/>
  <c r="P775" s="1"/>
  <c r="J779"/>
  <c r="O779" s="1"/>
  <c r="J783"/>
  <c r="Q783" s="1"/>
  <c r="J787"/>
  <c r="J791"/>
  <c r="O791" s="1"/>
  <c r="J550"/>
  <c r="P550" s="1"/>
  <c r="J562"/>
  <c r="Q562" s="1"/>
  <c r="J580"/>
  <c r="J602"/>
  <c r="O602" s="1"/>
  <c r="J622"/>
  <c r="O622" s="1"/>
  <c r="J646"/>
  <c r="O646" s="1"/>
  <c r="J668"/>
  <c r="J692"/>
  <c r="Q692" s="1"/>
  <c r="J714"/>
  <c r="O714" s="1"/>
  <c r="J738"/>
  <c r="Q738" s="1"/>
  <c r="J758"/>
  <c r="J782"/>
  <c r="Q782" s="1"/>
  <c r="J806"/>
  <c r="P806" s="1"/>
  <c r="J828"/>
  <c r="Q828" s="1"/>
  <c r="J852"/>
  <c r="J876"/>
  <c r="P876" s="1"/>
  <c r="J900"/>
  <c r="O900" s="1"/>
  <c r="J924"/>
  <c r="P924" s="1"/>
  <c r="J956"/>
  <c r="J996"/>
  <c r="O996" s="1"/>
  <c r="J1038"/>
  <c r="Q1038" s="1"/>
  <c r="J1080"/>
  <c r="P1080" s="1"/>
  <c r="J1122"/>
  <c r="J1166"/>
  <c r="P1166" s="1"/>
  <c r="J1210"/>
  <c r="Q1210" s="1"/>
  <c r="J1248"/>
  <c r="O1248" s="1"/>
  <c r="J560"/>
  <c r="J584"/>
  <c r="O584" s="1"/>
  <c r="J616"/>
  <c r="P616" s="1"/>
  <c r="J640"/>
  <c r="Q640" s="1"/>
  <c r="J680"/>
  <c r="J712"/>
  <c r="P712" s="1"/>
  <c r="J736"/>
  <c r="P736" s="1"/>
  <c r="J768"/>
  <c r="P768" s="1"/>
  <c r="J792"/>
  <c r="P792" s="1"/>
  <c r="J816"/>
  <c r="O816" s="1"/>
  <c r="J840"/>
  <c r="P840" s="1"/>
  <c r="J872"/>
  <c r="P872" s="1"/>
  <c r="J904"/>
  <c r="P904" s="1"/>
  <c r="J944"/>
  <c r="O944" s="1"/>
  <c r="J1046"/>
  <c r="P1046" s="1"/>
  <c r="J1142"/>
  <c r="P1142" s="1"/>
  <c r="J1206"/>
  <c r="J988"/>
  <c r="P988" s="1"/>
  <c r="J1040"/>
  <c r="O1040" s="1"/>
  <c r="J1086"/>
  <c r="P1086" s="1"/>
  <c r="J1130"/>
  <c r="J1170"/>
  <c r="P1170" s="1"/>
  <c r="J1204"/>
  <c r="P1204" s="1"/>
  <c r="J1242"/>
  <c r="P1242" s="1"/>
  <c r="J997"/>
  <c r="J1017"/>
  <c r="Q1017" s="1"/>
  <c r="J1037"/>
  <c r="O1037" s="1"/>
  <c r="J1061"/>
  <c r="O1061" s="1"/>
  <c r="J1081"/>
  <c r="Q1081" s="1"/>
  <c r="J1101"/>
  <c r="O1101" s="1"/>
  <c r="J1125"/>
  <c r="P1125" s="1"/>
  <c r="J1145"/>
  <c r="Q1145" s="1"/>
  <c r="J1165"/>
  <c r="J1189"/>
  <c r="P1189" s="1"/>
  <c r="J1209"/>
  <c r="O1209" s="1"/>
  <c r="J1229"/>
  <c r="Q1229" s="1"/>
  <c r="J1245"/>
  <c r="J1261"/>
  <c r="P1261" s="1"/>
  <c r="J878"/>
  <c r="Q878" s="1"/>
  <c r="J950"/>
  <c r="O950" s="1"/>
  <c r="J980"/>
  <c r="J1024"/>
  <c r="O1024" s="1"/>
  <c r="J1064"/>
  <c r="P1064" s="1"/>
  <c r="J1106"/>
  <c r="P1106" s="1"/>
  <c r="J1152"/>
  <c r="J1192"/>
  <c r="P1192" s="1"/>
  <c r="J1226"/>
  <c r="O1226" s="1"/>
  <c r="J1258"/>
  <c r="P1258" s="1"/>
  <c r="J795"/>
  <c r="J799"/>
  <c r="P799" s="1"/>
  <c r="J803"/>
  <c r="O803" s="1"/>
  <c r="J807"/>
  <c r="O807" s="1"/>
  <c r="J811"/>
  <c r="P811" s="1"/>
  <c r="J815"/>
  <c r="Q815" s="1"/>
  <c r="J819"/>
  <c r="O819" s="1"/>
  <c r="J823"/>
  <c r="O823" s="1"/>
  <c r="J827"/>
  <c r="P827" s="1"/>
  <c r="J831"/>
  <c r="O831" s="1"/>
  <c r="J835"/>
  <c r="P835" s="1"/>
  <c r="J839"/>
  <c r="Q839" s="1"/>
  <c r="J843"/>
  <c r="J847"/>
  <c r="Q847" s="1"/>
  <c r="J851"/>
  <c r="P851" s="1"/>
  <c r="J855"/>
  <c r="P855" s="1"/>
  <c r="J859"/>
  <c r="J863"/>
  <c r="O863" s="1"/>
  <c r="J867"/>
  <c r="P867" s="1"/>
  <c r="J871"/>
  <c r="O871" s="1"/>
  <c r="J875"/>
  <c r="P875" s="1"/>
  <c r="J879"/>
  <c r="Q879" s="1"/>
  <c r="J883"/>
  <c r="P883" s="1"/>
  <c r="J887"/>
  <c r="O887" s="1"/>
  <c r="J891"/>
  <c r="P891" s="1"/>
  <c r="J895"/>
  <c r="P895" s="1"/>
  <c r="J899"/>
  <c r="Q899" s="1"/>
  <c r="J903"/>
  <c r="Q903" s="1"/>
  <c r="J907"/>
  <c r="J911"/>
  <c r="Q911" s="1"/>
  <c r="J915"/>
  <c r="P915" s="1"/>
  <c r="J919"/>
  <c r="P919" s="1"/>
  <c r="J923"/>
  <c r="J927"/>
  <c r="P927" s="1"/>
  <c r="J931"/>
  <c r="P931" s="1"/>
  <c r="J935"/>
  <c r="Q935" s="1"/>
  <c r="J939"/>
  <c r="P939" s="1"/>
  <c r="J943"/>
  <c r="O943" s="1"/>
  <c r="J947"/>
  <c r="P947" s="1"/>
  <c r="J951"/>
  <c r="P951" s="1"/>
  <c r="J955"/>
  <c r="P955" s="1"/>
  <c r="J959"/>
  <c r="O959" s="1"/>
  <c r="J963"/>
  <c r="O963" s="1"/>
  <c r="J967"/>
  <c r="O967" s="1"/>
  <c r="J971"/>
  <c r="J975"/>
  <c r="Q975" s="1"/>
  <c r="J979"/>
  <c r="P979" s="1"/>
  <c r="J983"/>
  <c r="O983" s="1"/>
  <c r="J987"/>
  <c r="P987" s="1"/>
  <c r="J991"/>
  <c r="O991" s="1"/>
  <c r="J995"/>
  <c r="P995" s="1"/>
  <c r="J1003"/>
  <c r="P1003" s="1"/>
  <c r="J1009"/>
  <c r="Q1009" s="1"/>
  <c r="J1015"/>
  <c r="Q1015" s="1"/>
  <c r="J1023"/>
  <c r="O1023" s="1"/>
  <c r="J1027"/>
  <c r="P1027" s="1"/>
  <c r="J1035"/>
  <c r="J1041"/>
  <c r="Q1041" s="1"/>
  <c r="J1047"/>
  <c r="Q1047" s="1"/>
  <c r="J1055"/>
  <c r="P1055" s="1"/>
  <c r="J1059"/>
  <c r="J1067"/>
  <c r="P1067" s="1"/>
  <c r="J1073"/>
  <c r="Q1073" s="1"/>
  <c r="J1079"/>
  <c r="P1079" s="1"/>
  <c r="J1087"/>
  <c r="O1087" s="1"/>
  <c r="J1091"/>
  <c r="P1091" s="1"/>
  <c r="J1099"/>
  <c r="O1099" s="1"/>
  <c r="J1105"/>
  <c r="Q1105" s="1"/>
  <c r="J1111"/>
  <c r="J1119"/>
  <c r="O1119" s="1"/>
  <c r="J1123"/>
  <c r="Q1123" s="1"/>
  <c r="J1131"/>
  <c r="P1131" s="1"/>
  <c r="J1137"/>
  <c r="Q1137" s="1"/>
  <c r="J1143"/>
  <c r="P1143" s="1"/>
  <c r="J1151"/>
  <c r="P1151" s="1"/>
  <c r="J1155"/>
  <c r="P1155" s="1"/>
  <c r="J1163"/>
  <c r="P1163" s="1"/>
  <c r="J1169"/>
  <c r="Q1169" s="1"/>
  <c r="J1175"/>
  <c r="P1175" s="1"/>
  <c r="J1183"/>
  <c r="P1183" s="1"/>
  <c r="J1187"/>
  <c r="J1195"/>
  <c r="P1195" s="1"/>
  <c r="J1201"/>
  <c r="P1201" s="1"/>
  <c r="J1207"/>
  <c r="O1207" s="1"/>
  <c r="J1215"/>
  <c r="J1219"/>
  <c r="Q1219" s="1"/>
  <c r="J1227"/>
  <c r="P1227" s="1"/>
  <c r="J1235"/>
  <c r="O1235" s="1"/>
  <c r="J1243"/>
  <c r="P1243" s="1"/>
  <c r="J1251"/>
  <c r="Q1251" s="1"/>
  <c r="J1259"/>
  <c r="P1259" s="1"/>
  <c r="J1267"/>
  <c r="Q1267" s="1"/>
  <c r="J984"/>
  <c r="P984" s="1"/>
  <c r="J1020"/>
  <c r="P1020" s="1"/>
  <c r="J1084"/>
  <c r="P1084" s="1"/>
  <c r="J1148"/>
  <c r="P1148" s="1"/>
  <c r="J1180"/>
  <c r="J578"/>
  <c r="P578" s="1"/>
  <c r="J598"/>
  <c r="O598" s="1"/>
  <c r="J620"/>
  <c r="O620" s="1"/>
  <c r="J638"/>
  <c r="J660"/>
  <c r="Q660" s="1"/>
  <c r="J678"/>
  <c r="Q678" s="1"/>
  <c r="J700"/>
  <c r="P700" s="1"/>
  <c r="J722"/>
  <c r="P722" s="1"/>
  <c r="J740"/>
  <c r="P740" s="1"/>
  <c r="J762"/>
  <c r="O762" s="1"/>
  <c r="J780"/>
  <c r="O780" s="1"/>
  <c r="J798"/>
  <c r="J820"/>
  <c r="P820" s="1"/>
  <c r="J838"/>
  <c r="P838" s="1"/>
  <c r="J860"/>
  <c r="P860" s="1"/>
  <c r="J882"/>
  <c r="J902"/>
  <c r="O902" s="1"/>
  <c r="J922"/>
  <c r="P922" s="1"/>
  <c r="J958"/>
  <c r="O958" s="1"/>
  <c r="J994"/>
  <c r="J1034"/>
  <c r="P1034" s="1"/>
  <c r="J1076"/>
  <c r="P1076" s="1"/>
  <c r="J1120"/>
  <c r="O1120" s="1"/>
  <c r="J1154"/>
  <c r="J1214"/>
  <c r="Q1214" s="1"/>
  <c r="J1254"/>
  <c r="O1254" s="1"/>
  <c r="J552"/>
  <c r="P552" s="1"/>
  <c r="J592"/>
  <c r="J624"/>
  <c r="P624" s="1"/>
  <c r="J664"/>
  <c r="P664" s="1"/>
  <c r="J688"/>
  <c r="Q688" s="1"/>
  <c r="J720"/>
  <c r="J760"/>
  <c r="P760" s="1"/>
  <c r="J808"/>
  <c r="P808" s="1"/>
  <c r="J848"/>
  <c r="Q848" s="1"/>
  <c r="J896"/>
  <c r="J928"/>
  <c r="O928" s="1"/>
  <c r="J952"/>
  <c r="P952" s="1"/>
  <c r="J1030"/>
  <c r="Q1030" s="1"/>
  <c r="J1100"/>
  <c r="J1116"/>
  <c r="P1116" s="1"/>
  <c r="J1174"/>
  <c r="P1174" s="1"/>
  <c r="J1222"/>
  <c r="O1222" s="1"/>
  <c r="P5"/>
  <c r="R5" s="1"/>
  <c r="W5" s="1"/>
  <c r="J47"/>
  <c r="O47" s="1"/>
  <c r="J63"/>
  <c r="O63" s="1"/>
  <c r="J79"/>
  <c r="Q79" s="1"/>
  <c r="J95"/>
  <c r="J111"/>
  <c r="O111" s="1"/>
  <c r="J127"/>
  <c r="O127" s="1"/>
  <c r="J143"/>
  <c r="Q143" s="1"/>
  <c r="J159"/>
  <c r="J175"/>
  <c r="Q175" s="1"/>
  <c r="J191"/>
  <c r="Q191" s="1"/>
  <c r="J209"/>
  <c r="Q209" s="1"/>
  <c r="J225"/>
  <c r="Q225" s="1"/>
  <c r="J241"/>
  <c r="Q241" s="1"/>
  <c r="J34"/>
  <c r="O34" s="1"/>
  <c r="J42"/>
  <c r="P42" s="1"/>
  <c r="J58"/>
  <c r="O58" s="1"/>
  <c r="J74"/>
  <c r="P74" s="1"/>
  <c r="J90"/>
  <c r="O90" s="1"/>
  <c r="J106"/>
  <c r="P106" s="1"/>
  <c r="J122"/>
  <c r="O122" s="1"/>
  <c r="J218"/>
  <c r="O218" s="1"/>
  <c r="P6"/>
  <c r="X6" s="1"/>
  <c r="J37"/>
  <c r="Q37" s="1"/>
  <c r="J45"/>
  <c r="Q45" s="1"/>
  <c r="J53"/>
  <c r="Q53" s="1"/>
  <c r="J61"/>
  <c r="Q61" s="1"/>
  <c r="J69"/>
  <c r="Q69" s="1"/>
  <c r="J77"/>
  <c r="Q77" s="1"/>
  <c r="J85"/>
  <c r="P85" s="1"/>
  <c r="J93"/>
  <c r="Q93" s="1"/>
  <c r="J101"/>
  <c r="Q101" s="1"/>
  <c r="J109"/>
  <c r="Q109" s="1"/>
  <c r="J117"/>
  <c r="Q117" s="1"/>
  <c r="J125"/>
  <c r="Q125" s="1"/>
  <c r="J133"/>
  <c r="P133" s="1"/>
  <c r="J141"/>
  <c r="Q141" s="1"/>
  <c r="J149"/>
  <c r="O149" s="1"/>
  <c r="J157"/>
  <c r="Q157" s="1"/>
  <c r="J165"/>
  <c r="O165" s="1"/>
  <c r="J173"/>
  <c r="Q173" s="1"/>
  <c r="J181"/>
  <c r="P181" s="1"/>
  <c r="J189"/>
  <c r="Q189" s="1"/>
  <c r="J197"/>
  <c r="Q197" s="1"/>
  <c r="J205"/>
  <c r="Q205" s="1"/>
  <c r="J215"/>
  <c r="P215" s="1"/>
  <c r="J223"/>
  <c r="O223" s="1"/>
  <c r="J231"/>
  <c r="Q231" s="1"/>
  <c r="J239"/>
  <c r="P239" s="1"/>
  <c r="J247"/>
  <c r="Q247" s="1"/>
  <c r="J32"/>
  <c r="P32" s="1"/>
  <c r="J40"/>
  <c r="Q40" s="1"/>
  <c r="J48"/>
  <c r="O48" s="1"/>
  <c r="J56"/>
  <c r="P56" s="1"/>
  <c r="J64"/>
  <c r="P64" s="1"/>
  <c r="J72"/>
  <c r="O72" s="1"/>
  <c r="J80"/>
  <c r="O80" s="1"/>
  <c r="J88"/>
  <c r="Q88" s="1"/>
  <c r="J96"/>
  <c r="P96" s="1"/>
  <c r="J104"/>
  <c r="P104" s="1"/>
  <c r="J112"/>
  <c r="O112" s="1"/>
  <c r="J120"/>
  <c r="P120" s="1"/>
  <c r="J128"/>
  <c r="P128" s="1"/>
  <c r="J136"/>
  <c r="P136" s="1"/>
  <c r="J144"/>
  <c r="O144" s="1"/>
  <c r="J152"/>
  <c r="O152" s="1"/>
  <c r="J160"/>
  <c r="P160" s="1"/>
  <c r="J168"/>
  <c r="P168" s="1"/>
  <c r="J176"/>
  <c r="O176" s="1"/>
  <c r="J184"/>
  <c r="P184" s="1"/>
  <c r="J192"/>
  <c r="P192" s="1"/>
  <c r="J200"/>
  <c r="Q200" s="1"/>
  <c r="J208"/>
  <c r="O208" s="1"/>
  <c r="J216"/>
  <c r="O216" s="1"/>
  <c r="J224"/>
  <c r="P224" s="1"/>
  <c r="J232"/>
  <c r="O232" s="1"/>
  <c r="J240"/>
  <c r="O240" s="1"/>
  <c r="J248"/>
  <c r="Q248" s="1"/>
  <c r="J256"/>
  <c r="P256" s="1"/>
  <c r="J264"/>
  <c r="P264" s="1"/>
  <c r="J272"/>
  <c r="O272" s="1"/>
  <c r="J280"/>
  <c r="P280" s="1"/>
  <c r="J288"/>
  <c r="P288" s="1"/>
  <c r="J296"/>
  <c r="O296" s="1"/>
  <c r="J304"/>
  <c r="O304" s="1"/>
  <c r="J312"/>
  <c r="P312" s="1"/>
  <c r="J320"/>
  <c r="P320" s="1"/>
  <c r="J328"/>
  <c r="P328" s="1"/>
  <c r="J336"/>
  <c r="O336" s="1"/>
  <c r="J344"/>
  <c r="P344" s="1"/>
  <c r="J352"/>
  <c r="P352" s="1"/>
  <c r="J360"/>
  <c r="O360" s="1"/>
  <c r="J368"/>
  <c r="O368" s="1"/>
  <c r="J376"/>
  <c r="P376" s="1"/>
  <c r="J384"/>
  <c r="P384" s="1"/>
  <c r="J392"/>
  <c r="O392" s="1"/>
  <c r="J400"/>
  <c r="O400" s="1"/>
  <c r="J408"/>
  <c r="P408" s="1"/>
  <c r="J416"/>
  <c r="P416" s="1"/>
  <c r="J424"/>
  <c r="O424" s="1"/>
  <c r="J432"/>
  <c r="O432" s="1"/>
  <c r="J440"/>
  <c r="P440" s="1"/>
  <c r="J448"/>
  <c r="P448" s="1"/>
  <c r="J456"/>
  <c r="P456" s="1"/>
  <c r="J464"/>
  <c r="O464" s="1"/>
  <c r="J472"/>
  <c r="P472" s="1"/>
  <c r="J480"/>
  <c r="P480" s="1"/>
  <c r="J488"/>
  <c r="O488" s="1"/>
  <c r="J496"/>
  <c r="O496" s="1"/>
  <c r="J504"/>
  <c r="Q504" s="1"/>
  <c r="J512"/>
  <c r="P512" s="1"/>
  <c r="J520"/>
  <c r="O520" s="1"/>
  <c r="J528"/>
  <c r="O528" s="1"/>
  <c r="J536"/>
  <c r="P536" s="1"/>
  <c r="J544"/>
  <c r="O544" s="1"/>
  <c r="J251"/>
  <c r="Q251" s="1"/>
  <c r="J259"/>
  <c r="P259" s="1"/>
  <c r="J267"/>
  <c r="Q267" s="1"/>
  <c r="J275"/>
  <c r="O275" s="1"/>
  <c r="J548"/>
  <c r="O548" s="1"/>
  <c r="J558"/>
  <c r="J574"/>
  <c r="O574" s="1"/>
  <c r="J596"/>
  <c r="P596" s="1"/>
  <c r="J618"/>
  <c r="O618" s="1"/>
  <c r="J642"/>
  <c r="O642" s="1"/>
  <c r="J662"/>
  <c r="Q662" s="1"/>
  <c r="J686"/>
  <c r="P686" s="1"/>
  <c r="J708"/>
  <c r="Q708" s="1"/>
  <c r="J732"/>
  <c r="P732" s="1"/>
  <c r="J754"/>
  <c r="P754" s="1"/>
  <c r="J778"/>
  <c r="O778" s="1"/>
  <c r="J802"/>
  <c r="P802" s="1"/>
  <c r="J822"/>
  <c r="P822" s="1"/>
  <c r="J846"/>
  <c r="O846" s="1"/>
  <c r="J868"/>
  <c r="P868" s="1"/>
  <c r="J894"/>
  <c r="P894" s="1"/>
  <c r="J916"/>
  <c r="Q916" s="1"/>
  <c r="J948"/>
  <c r="Q948" s="1"/>
  <c r="J986"/>
  <c r="O986" s="1"/>
  <c r="J1026"/>
  <c r="O1026" s="1"/>
  <c r="J1072"/>
  <c r="P1072" s="1"/>
  <c r="J1112"/>
  <c r="P1112" s="1"/>
  <c r="J1156"/>
  <c r="O1156" s="1"/>
  <c r="J1200"/>
  <c r="Q1200" s="1"/>
  <c r="J1240"/>
  <c r="J970"/>
  <c r="Q970" s="1"/>
  <c r="J1028"/>
  <c r="P1028" s="1"/>
  <c r="J1070"/>
  <c r="Q1070" s="1"/>
  <c r="J1118"/>
  <c r="P1118" s="1"/>
  <c r="J1160"/>
  <c r="P1160" s="1"/>
  <c r="J1198"/>
  <c r="O1198" s="1"/>
  <c r="J1234"/>
  <c r="P1234" s="1"/>
  <c r="J1266"/>
  <c r="O1266" s="1"/>
  <c r="J960"/>
  <c r="P960" s="1"/>
  <c r="J1004"/>
  <c r="P1004" s="1"/>
  <c r="J1036"/>
  <c r="O1036" s="1"/>
  <c r="J1094"/>
  <c r="P1094" s="1"/>
  <c r="J1212"/>
  <c r="O1212" s="1"/>
  <c r="J1013"/>
  <c r="O1013" s="1"/>
  <c r="J1033"/>
  <c r="Q1033" s="1"/>
  <c r="J1053"/>
  <c r="P1053" s="1"/>
  <c r="J1077"/>
  <c r="Q1077" s="1"/>
  <c r="J1097"/>
  <c r="Q1097" s="1"/>
  <c r="J1117"/>
  <c r="P1117" s="1"/>
  <c r="J1141"/>
  <c r="P1141" s="1"/>
  <c r="J1161"/>
  <c r="Q1161" s="1"/>
  <c r="J1181"/>
  <c r="P1181" s="1"/>
  <c r="J1205"/>
  <c r="O1205" s="1"/>
  <c r="J1225"/>
  <c r="J1241"/>
  <c r="O1241" s="1"/>
  <c r="J1257"/>
  <c r="O1257" s="1"/>
  <c r="J942"/>
  <c r="O942" s="1"/>
  <c r="J972"/>
  <c r="Q972" s="1"/>
  <c r="J1010"/>
  <c r="O1010" s="1"/>
  <c r="J1056"/>
  <c r="O1056" s="1"/>
  <c r="J1096"/>
  <c r="P1096" s="1"/>
  <c r="J1138"/>
  <c r="J1184"/>
  <c r="P1184" s="1"/>
  <c r="J1218"/>
  <c r="P1218" s="1"/>
  <c r="J1252"/>
  <c r="Q1252" s="1"/>
  <c r="J572"/>
  <c r="O572" s="1"/>
  <c r="J594"/>
  <c r="P594" s="1"/>
  <c r="J614"/>
  <c r="Q614" s="1"/>
  <c r="J634"/>
  <c r="P634" s="1"/>
  <c r="J654"/>
  <c r="P654" s="1"/>
  <c r="J676"/>
  <c r="Q676" s="1"/>
  <c r="J694"/>
  <c r="O694" s="1"/>
  <c r="J716"/>
  <c r="Q716" s="1"/>
  <c r="J734"/>
  <c r="J756"/>
  <c r="P756" s="1"/>
  <c r="J774"/>
  <c r="O774" s="1"/>
  <c r="J794"/>
  <c r="O794" s="1"/>
  <c r="J814"/>
  <c r="O814" s="1"/>
  <c r="J834"/>
  <c r="O834" s="1"/>
  <c r="J854"/>
  <c r="P854" s="1"/>
  <c r="J874"/>
  <c r="P874" s="1"/>
  <c r="J898"/>
  <c r="J918"/>
  <c r="P918" s="1"/>
  <c r="J946"/>
  <c r="Q946" s="1"/>
  <c r="J982"/>
  <c r="O982" s="1"/>
  <c r="J1022"/>
  <c r="O1022" s="1"/>
  <c r="J1066"/>
  <c r="P1066" s="1"/>
  <c r="J1104"/>
  <c r="P1104" s="1"/>
  <c r="J1144"/>
  <c r="P1144" s="1"/>
  <c r="J1194"/>
  <c r="P1194" s="1"/>
  <c r="R8"/>
  <c r="W8" s="1"/>
  <c r="Z5"/>
  <c r="Z7"/>
  <c r="AA22"/>
  <c r="Z35"/>
  <c r="W22"/>
  <c r="P171"/>
  <c r="O43"/>
  <c r="O107"/>
  <c r="O203"/>
  <c r="P107"/>
  <c r="P155"/>
  <c r="P905"/>
  <c r="P75"/>
  <c r="O155"/>
  <c r="P59"/>
  <c r="O249"/>
  <c r="P841"/>
  <c r="P513"/>
  <c r="O689"/>
  <c r="P969"/>
  <c r="O81"/>
  <c r="P273"/>
  <c r="P401"/>
  <c r="O833"/>
  <c r="O897"/>
  <c r="O1089"/>
  <c r="O187"/>
  <c r="P1058"/>
  <c r="O33"/>
  <c r="P641"/>
  <c r="P809"/>
  <c r="P873"/>
  <c r="P937"/>
  <c r="P1001"/>
  <c r="P1065"/>
  <c r="P43"/>
  <c r="O123"/>
  <c r="P187"/>
  <c r="O235"/>
  <c r="O65"/>
  <c r="O97"/>
  <c r="P129"/>
  <c r="P161"/>
  <c r="P193"/>
  <c r="P225"/>
  <c r="P257"/>
  <c r="P385"/>
  <c r="P705"/>
  <c r="O865"/>
  <c r="O929"/>
  <c r="O1057"/>
  <c r="O1121"/>
  <c r="O59"/>
  <c r="P123"/>
  <c r="Q67"/>
  <c r="P67"/>
  <c r="O67"/>
  <c r="Q131"/>
  <c r="P131"/>
  <c r="O131"/>
  <c r="Q195"/>
  <c r="P195"/>
  <c r="O195"/>
  <c r="O259"/>
  <c r="Q323"/>
  <c r="P323"/>
  <c r="O323"/>
  <c r="Q387"/>
  <c r="P387"/>
  <c r="O387"/>
  <c r="Q451"/>
  <c r="P451"/>
  <c r="O451"/>
  <c r="Q515"/>
  <c r="O515"/>
  <c r="P515"/>
  <c r="Q563"/>
  <c r="O563"/>
  <c r="P563"/>
  <c r="Q611"/>
  <c r="O611"/>
  <c r="P611"/>
  <c r="Q659"/>
  <c r="O659"/>
  <c r="P659"/>
  <c r="Q707"/>
  <c r="O707"/>
  <c r="P707"/>
  <c r="Q755"/>
  <c r="O755"/>
  <c r="P755"/>
  <c r="Q54"/>
  <c r="O86"/>
  <c r="O278"/>
  <c r="O470"/>
  <c r="P666"/>
  <c r="O666"/>
  <c r="P213"/>
  <c r="Q309"/>
  <c r="O309"/>
  <c r="P309"/>
  <c r="Q357"/>
  <c r="O357"/>
  <c r="P357"/>
  <c r="Q405"/>
  <c r="O405"/>
  <c r="P405"/>
  <c r="Q453"/>
  <c r="O453"/>
  <c r="P453"/>
  <c r="P485"/>
  <c r="O485"/>
  <c r="P436"/>
  <c r="Q532"/>
  <c r="Q580"/>
  <c r="O580"/>
  <c r="P580"/>
  <c r="Q836"/>
  <c r="O836"/>
  <c r="P836"/>
  <c r="O862"/>
  <c r="P862"/>
  <c r="Q910"/>
  <c r="O910"/>
  <c r="P910"/>
  <c r="O1006"/>
  <c r="P1102"/>
  <c r="P1150"/>
  <c r="Q565"/>
  <c r="P565"/>
  <c r="P613"/>
  <c r="O613"/>
  <c r="P661"/>
  <c r="Q709"/>
  <c r="O709"/>
  <c r="Q757"/>
  <c r="Q1237"/>
  <c r="P1237"/>
  <c r="O1237"/>
  <c r="Q932"/>
  <c r="O932"/>
  <c r="P932"/>
  <c r="Q980"/>
  <c r="O980"/>
  <c r="P980"/>
  <c r="Q1140"/>
  <c r="O1140"/>
  <c r="P1140"/>
  <c r="O471"/>
  <c r="Q531"/>
  <c r="O531"/>
  <c r="P531"/>
  <c r="Q579"/>
  <c r="O579"/>
  <c r="P579"/>
  <c r="Q627"/>
  <c r="O627"/>
  <c r="P627"/>
  <c r="Q675"/>
  <c r="O675"/>
  <c r="P675"/>
  <c r="Q723"/>
  <c r="O723"/>
  <c r="P723"/>
  <c r="Q771"/>
  <c r="O771"/>
  <c r="P771"/>
  <c r="Q118"/>
  <c r="O150"/>
  <c r="O342"/>
  <c r="Q538"/>
  <c r="P538"/>
  <c r="O538"/>
  <c r="Q682"/>
  <c r="P682"/>
  <c r="Q245"/>
  <c r="Q293"/>
  <c r="O293"/>
  <c r="P293"/>
  <c r="Q341"/>
  <c r="O341"/>
  <c r="P341"/>
  <c r="Q373"/>
  <c r="O373"/>
  <c r="P373"/>
  <c r="Q421"/>
  <c r="O421"/>
  <c r="P421"/>
  <c r="Q469"/>
  <c r="O469"/>
  <c r="P469"/>
  <c r="Q517"/>
  <c r="P517"/>
  <c r="O517"/>
  <c r="P468"/>
  <c r="Q564"/>
  <c r="Q772"/>
  <c r="O772"/>
  <c r="Q804"/>
  <c r="O804"/>
  <c r="P804"/>
  <c r="Q852"/>
  <c r="O852"/>
  <c r="P852"/>
  <c r="Q974"/>
  <c r="P974"/>
  <c r="O974"/>
  <c r="Q1022"/>
  <c r="Q1246"/>
  <c r="O1246"/>
  <c r="P1246"/>
  <c r="Q549"/>
  <c r="P549"/>
  <c r="O549"/>
  <c r="Q597"/>
  <c r="P597"/>
  <c r="O597"/>
  <c r="Q645"/>
  <c r="P645"/>
  <c r="O645"/>
  <c r="Q693"/>
  <c r="O693"/>
  <c r="P693"/>
  <c r="Q741"/>
  <c r="P741"/>
  <c r="O741"/>
  <c r="Q789"/>
  <c r="O789"/>
  <c r="Q1269"/>
  <c r="P1269"/>
  <c r="O1269"/>
  <c r="Q547"/>
  <c r="O547"/>
  <c r="P547"/>
  <c r="Q595"/>
  <c r="O595"/>
  <c r="P595"/>
  <c r="Q643"/>
  <c r="O643"/>
  <c r="P643"/>
  <c r="Q691"/>
  <c r="O691"/>
  <c r="P691"/>
  <c r="Q739"/>
  <c r="O739"/>
  <c r="P739"/>
  <c r="Q787"/>
  <c r="O787"/>
  <c r="P787"/>
  <c r="P214"/>
  <c r="Q310"/>
  <c r="P406"/>
  <c r="Q502"/>
  <c r="Q229"/>
  <c r="O229"/>
  <c r="P229"/>
  <c r="Q325"/>
  <c r="O325"/>
  <c r="P325"/>
  <c r="Q389"/>
  <c r="O389"/>
  <c r="P389"/>
  <c r="Q437"/>
  <c r="O437"/>
  <c r="P437"/>
  <c r="Q501"/>
  <c r="P501"/>
  <c r="O501"/>
  <c r="Q308"/>
  <c r="Q404"/>
  <c r="P500"/>
  <c r="Q644"/>
  <c r="O644"/>
  <c r="P644"/>
  <c r="Q724"/>
  <c r="O724"/>
  <c r="P724"/>
  <c r="O916"/>
  <c r="Q798"/>
  <c r="O798"/>
  <c r="P798"/>
  <c r="O1134"/>
  <c r="Q1182"/>
  <c r="Q533"/>
  <c r="O533"/>
  <c r="P533"/>
  <c r="Q581"/>
  <c r="P581"/>
  <c r="O581"/>
  <c r="Q629"/>
  <c r="P629"/>
  <c r="O629"/>
  <c r="Q677"/>
  <c r="P677"/>
  <c r="O677"/>
  <c r="Q725"/>
  <c r="P725"/>
  <c r="O725"/>
  <c r="Q773"/>
  <c r="P773"/>
  <c r="O773"/>
  <c r="Q997"/>
  <c r="O997"/>
  <c r="P997"/>
  <c r="O1029"/>
  <c r="P1029"/>
  <c r="Q1157"/>
  <c r="O1157"/>
  <c r="P1157"/>
  <c r="Q1253"/>
  <c r="Q1012"/>
  <c r="Q1092"/>
  <c r="O1092"/>
  <c r="P1092"/>
  <c r="Q1108"/>
  <c r="O1108"/>
  <c r="P1108"/>
  <c r="Q1124"/>
  <c r="O1124"/>
  <c r="P1124"/>
  <c r="O1172"/>
  <c r="Q1188"/>
  <c r="P1188"/>
  <c r="Q1268"/>
  <c r="Q1031"/>
  <c r="P1031"/>
  <c r="O1031"/>
  <c r="P1063"/>
  <c r="Q1095"/>
  <c r="Q1223"/>
  <c r="P1223"/>
  <c r="Q1271"/>
  <c r="P1271"/>
  <c r="O84"/>
  <c r="P148"/>
  <c r="Q244"/>
  <c r="Q403"/>
  <c r="P403"/>
  <c r="Q863"/>
  <c r="Q98"/>
  <c r="P98"/>
  <c r="O114"/>
  <c r="Q146"/>
  <c r="O146"/>
  <c r="Q178"/>
  <c r="O178"/>
  <c r="Q210"/>
  <c r="O210"/>
  <c r="Q290"/>
  <c r="O482"/>
  <c r="O534"/>
  <c r="Q566"/>
  <c r="O566"/>
  <c r="Q582"/>
  <c r="Q630"/>
  <c r="P630"/>
  <c r="O630"/>
  <c r="Q710"/>
  <c r="P710"/>
  <c r="O710"/>
  <c r="Q726"/>
  <c r="P726"/>
  <c r="O726"/>
  <c r="Q742"/>
  <c r="P742"/>
  <c r="O742"/>
  <c r="Q758"/>
  <c r="P758"/>
  <c r="O758"/>
  <c r="Q528"/>
  <c r="Q560"/>
  <c r="O560"/>
  <c r="P560"/>
  <c r="Q576"/>
  <c r="P576"/>
  <c r="Q592"/>
  <c r="P592"/>
  <c r="O592"/>
  <c r="O656"/>
  <c r="Q704"/>
  <c r="P704"/>
  <c r="Q720"/>
  <c r="P720"/>
  <c r="O720"/>
  <c r="Q752"/>
  <c r="O752"/>
  <c r="P752"/>
  <c r="Q784"/>
  <c r="Q800"/>
  <c r="O800"/>
  <c r="Q864"/>
  <c r="O864"/>
  <c r="Q880"/>
  <c r="O880"/>
  <c r="Q896"/>
  <c r="O896"/>
  <c r="O912"/>
  <c r="Q810"/>
  <c r="Q826"/>
  <c r="P938"/>
  <c r="Q954"/>
  <c r="P954"/>
  <c r="Q1002"/>
  <c r="O1002"/>
  <c r="P1002"/>
  <c r="Q1018"/>
  <c r="O1018"/>
  <c r="P1018"/>
  <c r="Q1114"/>
  <c r="O1114"/>
  <c r="Q1130"/>
  <c r="O1130"/>
  <c r="P1130"/>
  <c r="Q1146"/>
  <c r="O1146"/>
  <c r="P1146"/>
  <c r="Q1178"/>
  <c r="Q1194"/>
  <c r="Q1185"/>
  <c r="O1185"/>
  <c r="Q1217"/>
  <c r="Q1233"/>
  <c r="O1233"/>
  <c r="Q1072"/>
  <c r="Q1136"/>
  <c r="O1136"/>
  <c r="Q1152"/>
  <c r="O1152"/>
  <c r="Q1168"/>
  <c r="O1168"/>
  <c r="Q1232"/>
  <c r="O1232"/>
  <c r="P1232"/>
  <c r="Q1264"/>
  <c r="O1264"/>
  <c r="P1264"/>
  <c r="P1043"/>
  <c r="Q1059"/>
  <c r="O1059"/>
  <c r="P1059"/>
  <c r="Q1107"/>
  <c r="O1107"/>
  <c r="P1107"/>
  <c r="Q1139"/>
  <c r="Q1171"/>
  <c r="O1171"/>
  <c r="Q1187"/>
  <c r="P1187"/>
  <c r="O1187"/>
  <c r="P33"/>
  <c r="P49"/>
  <c r="P65"/>
  <c r="P81"/>
  <c r="P97"/>
  <c r="O113"/>
  <c r="O129"/>
  <c r="O145"/>
  <c r="O161"/>
  <c r="O193"/>
  <c r="O225"/>
  <c r="P249"/>
  <c r="O257"/>
  <c r="O273"/>
  <c r="O289"/>
  <c r="O321"/>
  <c r="O353"/>
  <c r="O385"/>
  <c r="O433"/>
  <c r="O513"/>
  <c r="O641"/>
  <c r="O769"/>
  <c r="O809"/>
  <c r="P817"/>
  <c r="O841"/>
  <c r="P849"/>
  <c r="O873"/>
  <c r="P881"/>
  <c r="O905"/>
  <c r="P913"/>
  <c r="O937"/>
  <c r="P945"/>
  <c r="O969"/>
  <c r="P977"/>
  <c r="P1009"/>
  <c r="O1065"/>
  <c r="P1137"/>
  <c r="P880"/>
  <c r="P912"/>
  <c r="P1136"/>
  <c r="P1168"/>
  <c r="O1271"/>
  <c r="Q1111"/>
  <c r="P1111"/>
  <c r="O1111"/>
  <c r="Q1159"/>
  <c r="P1159"/>
  <c r="O1159"/>
  <c r="Q1255"/>
  <c r="P1255"/>
  <c r="Q116"/>
  <c r="Q212"/>
  <c r="O212"/>
  <c r="P295"/>
  <c r="Q339"/>
  <c r="P339"/>
  <c r="Q467"/>
  <c r="P467"/>
  <c r="P35"/>
  <c r="Q55"/>
  <c r="P55"/>
  <c r="O55"/>
  <c r="Q99"/>
  <c r="Q119"/>
  <c r="P119"/>
  <c r="O119"/>
  <c r="Q163"/>
  <c r="P163"/>
  <c r="Q183"/>
  <c r="P183"/>
  <c r="O183"/>
  <c r="Q227"/>
  <c r="P227"/>
  <c r="Q291"/>
  <c r="P291"/>
  <c r="Q355"/>
  <c r="P355"/>
  <c r="Q419"/>
  <c r="P419"/>
  <c r="Q483"/>
  <c r="O483"/>
  <c r="Q795"/>
  <c r="O795"/>
  <c r="Q811"/>
  <c r="O811"/>
  <c r="Q827"/>
  <c r="O827"/>
  <c r="Q843"/>
  <c r="O843"/>
  <c r="Q859"/>
  <c r="O859"/>
  <c r="Q875"/>
  <c r="O875"/>
  <c r="Q891"/>
  <c r="O891"/>
  <c r="Q907"/>
  <c r="O907"/>
  <c r="Q923"/>
  <c r="O923"/>
  <c r="Q46"/>
  <c r="O46"/>
  <c r="P46"/>
  <c r="Q62"/>
  <c r="O62"/>
  <c r="P62"/>
  <c r="Q78"/>
  <c r="O78"/>
  <c r="P78"/>
  <c r="Q94"/>
  <c r="O94"/>
  <c r="P94"/>
  <c r="Q110"/>
  <c r="O110"/>
  <c r="P110"/>
  <c r="Q126"/>
  <c r="O126"/>
  <c r="P126"/>
  <c r="Q142"/>
  <c r="O142"/>
  <c r="P142"/>
  <c r="Q158"/>
  <c r="O158"/>
  <c r="P158"/>
  <c r="Q174"/>
  <c r="O174"/>
  <c r="P174"/>
  <c r="Q190"/>
  <c r="O190"/>
  <c r="P190"/>
  <c r="Q206"/>
  <c r="O206"/>
  <c r="P206"/>
  <c r="Q222"/>
  <c r="O222"/>
  <c r="P222"/>
  <c r="Q238"/>
  <c r="O238"/>
  <c r="P238"/>
  <c r="Q254"/>
  <c r="O254"/>
  <c r="P254"/>
  <c r="Q270"/>
  <c r="O270"/>
  <c r="P270"/>
  <c r="Q286"/>
  <c r="O286"/>
  <c r="P286"/>
  <c r="Q302"/>
  <c r="O302"/>
  <c r="P302"/>
  <c r="Q318"/>
  <c r="O318"/>
  <c r="P318"/>
  <c r="Q334"/>
  <c r="O334"/>
  <c r="P334"/>
  <c r="Q350"/>
  <c r="O350"/>
  <c r="P350"/>
  <c r="Q366"/>
  <c r="O366"/>
  <c r="P366"/>
  <c r="Q382"/>
  <c r="O382"/>
  <c r="P382"/>
  <c r="Q398"/>
  <c r="O398"/>
  <c r="P398"/>
  <c r="Q414"/>
  <c r="O414"/>
  <c r="P414"/>
  <c r="Q430"/>
  <c r="O430"/>
  <c r="P430"/>
  <c r="Q446"/>
  <c r="O446"/>
  <c r="P446"/>
  <c r="Q462"/>
  <c r="O462"/>
  <c r="P462"/>
  <c r="Q478"/>
  <c r="P478"/>
  <c r="O478"/>
  <c r="Q494"/>
  <c r="P494"/>
  <c r="O494"/>
  <c r="Q510"/>
  <c r="P510"/>
  <c r="O510"/>
  <c r="O658"/>
  <c r="Q674"/>
  <c r="P674"/>
  <c r="Q722"/>
  <c r="O722"/>
  <c r="Q413"/>
  <c r="O413"/>
  <c r="Q429"/>
  <c r="O429"/>
  <c r="Q445"/>
  <c r="O445"/>
  <c r="Q461"/>
  <c r="O461"/>
  <c r="Q477"/>
  <c r="P477"/>
  <c r="Q493"/>
  <c r="O493"/>
  <c r="Q509"/>
  <c r="O509"/>
  <c r="Q525"/>
  <c r="O525"/>
  <c r="O300"/>
  <c r="Q316"/>
  <c r="O316"/>
  <c r="O364"/>
  <c r="P380"/>
  <c r="P412"/>
  <c r="O428"/>
  <c r="Q444"/>
  <c r="Q476"/>
  <c r="P492"/>
  <c r="P524"/>
  <c r="Q540"/>
  <c r="O540"/>
  <c r="Q588"/>
  <c r="P588"/>
  <c r="Q636"/>
  <c r="O636"/>
  <c r="Q652"/>
  <c r="P652"/>
  <c r="Q668"/>
  <c r="O668"/>
  <c r="P668"/>
  <c r="O732"/>
  <c r="P748"/>
  <c r="Q764"/>
  <c r="O764"/>
  <c r="O892"/>
  <c r="Q908"/>
  <c r="Q790"/>
  <c r="O790"/>
  <c r="P790"/>
  <c r="Q822"/>
  <c r="Q870"/>
  <c r="P870"/>
  <c r="Q886"/>
  <c r="O886"/>
  <c r="P886"/>
  <c r="Q966"/>
  <c r="O966"/>
  <c r="P966"/>
  <c r="P998"/>
  <c r="Q1062"/>
  <c r="P1062"/>
  <c r="Q1094"/>
  <c r="P1110"/>
  <c r="Q1126"/>
  <c r="O1126"/>
  <c r="P1126"/>
  <c r="Q1158"/>
  <c r="P1158"/>
  <c r="Q1206"/>
  <c r="P1206"/>
  <c r="O1206"/>
  <c r="Q1238"/>
  <c r="O1238"/>
  <c r="P1238"/>
  <c r="Q541"/>
  <c r="O541"/>
  <c r="Q557"/>
  <c r="O557"/>
  <c r="Q573"/>
  <c r="O573"/>
  <c r="Q589"/>
  <c r="O589"/>
  <c r="Q605"/>
  <c r="O605"/>
  <c r="Q621"/>
  <c r="O621"/>
  <c r="Q637"/>
  <c r="O637"/>
  <c r="Q653"/>
  <c r="O653"/>
  <c r="Q669"/>
  <c r="O669"/>
  <c r="Q685"/>
  <c r="O685"/>
  <c r="Q701"/>
  <c r="O701"/>
  <c r="Q717"/>
  <c r="O717"/>
  <c r="Q733"/>
  <c r="O733"/>
  <c r="Q749"/>
  <c r="O749"/>
  <c r="Q765"/>
  <c r="O765"/>
  <c r="Q781"/>
  <c r="O781"/>
  <c r="Q813"/>
  <c r="Q845"/>
  <c r="Q877"/>
  <c r="Q909"/>
  <c r="Q941"/>
  <c r="Q973"/>
  <c r="Q1005"/>
  <c r="O1021"/>
  <c r="Q1053"/>
  <c r="O1053"/>
  <c r="Q1069"/>
  <c r="O1069"/>
  <c r="O1085"/>
  <c r="Q1149"/>
  <c r="O1149"/>
  <c r="Q1165"/>
  <c r="O1165"/>
  <c r="Q1197"/>
  <c r="O1197"/>
  <c r="P1197"/>
  <c r="Q1245"/>
  <c r="O1245"/>
  <c r="P1245"/>
  <c r="Q956"/>
  <c r="O956"/>
  <c r="P956"/>
  <c r="O972"/>
  <c r="P972"/>
  <c r="Q1052"/>
  <c r="O1052"/>
  <c r="P1052"/>
  <c r="Q1068"/>
  <c r="O1068"/>
  <c r="P1068"/>
  <c r="Q1100"/>
  <c r="O1100"/>
  <c r="P1100"/>
  <c r="Q1164"/>
  <c r="O1164"/>
  <c r="P1164"/>
  <c r="Q1180"/>
  <c r="O1180"/>
  <c r="P1180"/>
  <c r="P1196"/>
  <c r="Q1228"/>
  <c r="P1228"/>
  <c r="Q1260"/>
  <c r="P1260"/>
  <c r="Q1007"/>
  <c r="P1007"/>
  <c r="Q1071"/>
  <c r="P1071"/>
  <c r="Q1087"/>
  <c r="P1087"/>
  <c r="Q1135"/>
  <c r="P1135"/>
  <c r="Q1199"/>
  <c r="P1199"/>
  <c r="O1199"/>
  <c r="Q1215"/>
  <c r="P1215"/>
  <c r="O1215"/>
  <c r="P1247"/>
  <c r="P572"/>
  <c r="P795"/>
  <c r="P859"/>
  <c r="P923"/>
  <c r="O45"/>
  <c r="O77"/>
  <c r="P109"/>
  <c r="P141"/>
  <c r="P173"/>
  <c r="P205"/>
  <c r="P237"/>
  <c r="P269"/>
  <c r="P285"/>
  <c r="P301"/>
  <c r="P317"/>
  <c r="P333"/>
  <c r="P349"/>
  <c r="P365"/>
  <c r="P381"/>
  <c r="P397"/>
  <c r="P429"/>
  <c r="P461"/>
  <c r="P509"/>
  <c r="P545"/>
  <c r="P573"/>
  <c r="P637"/>
  <c r="P701"/>
  <c r="O721"/>
  <c r="P765"/>
  <c r="O817"/>
  <c r="P825"/>
  <c r="O849"/>
  <c r="P857"/>
  <c r="O881"/>
  <c r="P889"/>
  <c r="O913"/>
  <c r="P921"/>
  <c r="O945"/>
  <c r="P953"/>
  <c r="O977"/>
  <c r="P985"/>
  <c r="O1009"/>
  <c r="P1081"/>
  <c r="P1113"/>
  <c r="O1137"/>
  <c r="P556"/>
  <c r="O588"/>
  <c r="P48"/>
  <c r="P80"/>
  <c r="P112"/>
  <c r="P144"/>
  <c r="P176"/>
  <c r="P208"/>
  <c r="P240"/>
  <c r="P272"/>
  <c r="P304"/>
  <c r="P336"/>
  <c r="P368"/>
  <c r="P400"/>
  <c r="P432"/>
  <c r="P464"/>
  <c r="O1007"/>
  <c r="O1071"/>
  <c r="O1135"/>
  <c r="P114"/>
  <c r="P146"/>
  <c r="P178"/>
  <c r="P210"/>
  <c r="P566"/>
  <c r="O870"/>
  <c r="P1249"/>
  <c r="P1114"/>
  <c r="O1058"/>
  <c r="O954"/>
  <c r="Q1239"/>
  <c r="O1239"/>
  <c r="P1239"/>
  <c r="Q52"/>
  <c r="O52"/>
  <c r="P52"/>
  <c r="Q180"/>
  <c r="O180"/>
  <c r="P180"/>
  <c r="Q276"/>
  <c r="O276"/>
  <c r="P276"/>
  <c r="Q211"/>
  <c r="P211"/>
  <c r="Q60"/>
  <c r="O60"/>
  <c r="P60"/>
  <c r="O76"/>
  <c r="Q92"/>
  <c r="O92"/>
  <c r="P92"/>
  <c r="Q124"/>
  <c r="O124"/>
  <c r="P124"/>
  <c r="O140"/>
  <c r="Q156"/>
  <c r="O156"/>
  <c r="P156"/>
  <c r="Q188"/>
  <c r="O188"/>
  <c r="P188"/>
  <c r="O204"/>
  <c r="Q220"/>
  <c r="O220"/>
  <c r="P220"/>
  <c r="Q252"/>
  <c r="O252"/>
  <c r="P252"/>
  <c r="O268"/>
  <c r="Q284"/>
  <c r="O284"/>
  <c r="P284"/>
  <c r="P71"/>
  <c r="O71"/>
  <c r="Q95"/>
  <c r="P95"/>
  <c r="O95"/>
  <c r="Q135"/>
  <c r="P135"/>
  <c r="Q159"/>
  <c r="P159"/>
  <c r="O159"/>
  <c r="P199"/>
  <c r="O199"/>
  <c r="Q243"/>
  <c r="P243"/>
  <c r="Q263"/>
  <c r="P263"/>
  <c r="O263"/>
  <c r="Q307"/>
  <c r="P307"/>
  <c r="Q371"/>
  <c r="P371"/>
  <c r="Q435"/>
  <c r="P435"/>
  <c r="Q499"/>
  <c r="O499"/>
  <c r="P499"/>
  <c r="Q551"/>
  <c r="Q775"/>
  <c r="Q58"/>
  <c r="P58"/>
  <c r="Q122"/>
  <c r="P122"/>
  <c r="Q154"/>
  <c r="P154"/>
  <c r="Q186"/>
  <c r="P186"/>
  <c r="Q250"/>
  <c r="P250"/>
  <c r="P266"/>
  <c r="Q282"/>
  <c r="P282"/>
  <c r="Q314"/>
  <c r="P314"/>
  <c r="Q346"/>
  <c r="P346"/>
  <c r="Q378"/>
  <c r="P378"/>
  <c r="Q410"/>
  <c r="P410"/>
  <c r="P426"/>
  <c r="Q442"/>
  <c r="P442"/>
  <c r="Q474"/>
  <c r="P474"/>
  <c r="Q506"/>
  <c r="O506"/>
  <c r="Q526"/>
  <c r="O526"/>
  <c r="Q542"/>
  <c r="O542"/>
  <c r="Q558"/>
  <c r="O558"/>
  <c r="Q590"/>
  <c r="P590"/>
  <c r="O590"/>
  <c r="Q606"/>
  <c r="P606"/>
  <c r="O606"/>
  <c r="Q638"/>
  <c r="O638"/>
  <c r="P638"/>
  <c r="Q654"/>
  <c r="O654"/>
  <c r="Q670"/>
  <c r="O670"/>
  <c r="Q734"/>
  <c r="P734"/>
  <c r="O734"/>
  <c r="Q750"/>
  <c r="P750"/>
  <c r="O750"/>
  <c r="Q568"/>
  <c r="O568"/>
  <c r="P568"/>
  <c r="Q632"/>
  <c r="O632"/>
  <c r="P632"/>
  <c r="Q648"/>
  <c r="O648"/>
  <c r="P648"/>
  <c r="Q680"/>
  <c r="O680"/>
  <c r="P680"/>
  <c r="Q696"/>
  <c r="O696"/>
  <c r="P696"/>
  <c r="O712"/>
  <c r="Q744"/>
  <c r="P776"/>
  <c r="Q792"/>
  <c r="O792"/>
  <c r="Q856"/>
  <c r="O856"/>
  <c r="Q904"/>
  <c r="O904"/>
  <c r="Q920"/>
  <c r="O920"/>
  <c r="Q818"/>
  <c r="P818"/>
  <c r="Q882"/>
  <c r="O882"/>
  <c r="P882"/>
  <c r="Q898"/>
  <c r="O898"/>
  <c r="P898"/>
  <c r="Q914"/>
  <c r="P914"/>
  <c r="Q930"/>
  <c r="P930"/>
  <c r="O930"/>
  <c r="Q962"/>
  <c r="O962"/>
  <c r="P962"/>
  <c r="Q978"/>
  <c r="O978"/>
  <c r="Q994"/>
  <c r="P994"/>
  <c r="O994"/>
  <c r="Q1042"/>
  <c r="O1042"/>
  <c r="P1042"/>
  <c r="Q1122"/>
  <c r="P1122"/>
  <c r="O1122"/>
  <c r="Q1138"/>
  <c r="O1138"/>
  <c r="P1138"/>
  <c r="Q1154"/>
  <c r="O1154"/>
  <c r="Q1202"/>
  <c r="P1202"/>
  <c r="Q1266"/>
  <c r="P1266"/>
  <c r="Q1193"/>
  <c r="O1193"/>
  <c r="Q1225"/>
  <c r="O1225"/>
  <c r="P1225"/>
  <c r="Q936"/>
  <c r="O936"/>
  <c r="Q968"/>
  <c r="O968"/>
  <c r="Q984"/>
  <c r="O984"/>
  <c r="Q1032"/>
  <c r="O1032"/>
  <c r="Q1176"/>
  <c r="O1176"/>
  <c r="Q1208"/>
  <c r="O1208"/>
  <c r="Q1240"/>
  <c r="O1240"/>
  <c r="P1240"/>
  <c r="Q1256"/>
  <c r="O1256"/>
  <c r="P1256"/>
  <c r="Q1272"/>
  <c r="O1272"/>
  <c r="P1272"/>
  <c r="Q939"/>
  <c r="O939"/>
  <c r="Q955"/>
  <c r="O955"/>
  <c r="Q971"/>
  <c r="O971"/>
  <c r="Q987"/>
  <c r="O987"/>
  <c r="Q1019"/>
  <c r="O1019"/>
  <c r="Q1035"/>
  <c r="O1035"/>
  <c r="Q1083"/>
  <c r="O1083"/>
  <c r="Q1115"/>
  <c r="Q1147"/>
  <c r="O1147"/>
  <c r="Q1163"/>
  <c r="O1163"/>
  <c r="Q1211"/>
  <c r="O1211"/>
  <c r="Q1243"/>
  <c r="O1243"/>
  <c r="P508"/>
  <c r="P764"/>
  <c r="P843"/>
  <c r="P907"/>
  <c r="P971"/>
  <c r="P1035"/>
  <c r="P45"/>
  <c r="P77"/>
  <c r="O109"/>
  <c r="O141"/>
  <c r="O173"/>
  <c r="O205"/>
  <c r="O237"/>
  <c r="O269"/>
  <c r="O285"/>
  <c r="O301"/>
  <c r="O317"/>
  <c r="O333"/>
  <c r="O349"/>
  <c r="O365"/>
  <c r="O381"/>
  <c r="O397"/>
  <c r="O417"/>
  <c r="O481"/>
  <c r="P525"/>
  <c r="O545"/>
  <c r="P561"/>
  <c r="P589"/>
  <c r="P625"/>
  <c r="P653"/>
  <c r="P717"/>
  <c r="O737"/>
  <c r="P781"/>
  <c r="P801"/>
  <c r="O825"/>
  <c r="P833"/>
  <c r="P845"/>
  <c r="O857"/>
  <c r="P865"/>
  <c r="O889"/>
  <c r="P897"/>
  <c r="O921"/>
  <c r="P929"/>
  <c r="O953"/>
  <c r="P961"/>
  <c r="P973"/>
  <c r="O985"/>
  <c r="P993"/>
  <c r="P1057"/>
  <c r="P1069"/>
  <c r="O1081"/>
  <c r="O1113"/>
  <c r="P1121"/>
  <c r="P1165"/>
  <c r="O535"/>
  <c r="O556"/>
  <c r="O684"/>
  <c r="P800"/>
  <c r="P864"/>
  <c r="P896"/>
  <c r="P1152"/>
  <c r="P1011"/>
  <c r="P599"/>
  <c r="O266"/>
  <c r="O298"/>
  <c r="O330"/>
  <c r="O458"/>
  <c r="P490"/>
  <c r="P526"/>
  <c r="P558"/>
  <c r="O858"/>
  <c r="O1062"/>
  <c r="P1233"/>
  <c r="P1154"/>
  <c r="P1193"/>
  <c r="O704"/>
  <c r="O1255"/>
  <c r="P602" l="1"/>
  <c r="P679"/>
  <c r="O362"/>
  <c r="O234"/>
  <c r="P298"/>
  <c r="Q508"/>
  <c r="P348"/>
  <c r="Q35"/>
  <c r="O1043"/>
  <c r="R1043" s="1"/>
  <c r="P1095"/>
  <c r="O757"/>
  <c r="O661"/>
  <c r="Q616"/>
  <c r="Q1265"/>
  <c r="P1082"/>
  <c r="Q664"/>
  <c r="P583"/>
  <c r="P1017"/>
  <c r="Q1119"/>
  <c r="O927"/>
  <c r="P1024"/>
  <c r="O615"/>
  <c r="Q663"/>
  <c r="O391"/>
  <c r="O1143"/>
  <c r="Q711"/>
  <c r="Q615"/>
  <c r="O815"/>
  <c r="P847"/>
  <c r="Q991"/>
  <c r="Q1116"/>
  <c r="Q876"/>
  <c r="Q439"/>
  <c r="Q799"/>
  <c r="O514"/>
  <c r="O1251"/>
  <c r="O1017"/>
  <c r="P928"/>
  <c r="P759"/>
  <c r="O631"/>
  <c r="P519"/>
  <c r="P455"/>
  <c r="Q375"/>
  <c r="Q423"/>
  <c r="P1169"/>
  <c r="O226"/>
  <c r="O844"/>
  <c r="Q604"/>
  <c r="O1082"/>
  <c r="P1008"/>
  <c r="P234"/>
  <c r="O1014"/>
  <c r="P444"/>
  <c r="Q412"/>
  <c r="O348"/>
  <c r="P217"/>
  <c r="O443"/>
  <c r="P699"/>
  <c r="Q522"/>
  <c r="P844"/>
  <c r="Q539"/>
  <c r="Q830"/>
  <c r="O1054"/>
  <c r="O993"/>
  <c r="R993" s="1"/>
  <c r="O961"/>
  <c r="R961" s="1"/>
  <c r="P1210"/>
  <c r="P394"/>
  <c r="Q1021"/>
  <c r="O476"/>
  <c r="R476" s="1"/>
  <c r="O380"/>
  <c r="P1041"/>
  <c r="O784"/>
  <c r="R784" s="1"/>
  <c r="P879"/>
  <c r="O698"/>
  <c r="P279"/>
  <c r="O692"/>
  <c r="O801"/>
  <c r="R801" s="1"/>
  <c r="O667"/>
  <c r="O1227"/>
  <c r="Q1216"/>
  <c r="O1008"/>
  <c r="Q151"/>
  <c r="O1064"/>
  <c r="Q1209"/>
  <c r="O616"/>
  <c r="R616" s="1"/>
  <c r="P61"/>
  <c r="P555"/>
  <c r="Q66"/>
  <c r="P762"/>
  <c r="O125"/>
  <c r="O1259"/>
  <c r="Q622"/>
  <c r="O635"/>
  <c r="O1216"/>
  <c r="Q1050"/>
  <c r="O830"/>
  <c r="Q1109"/>
  <c r="Q1262"/>
  <c r="Q1054"/>
  <c r="Q766"/>
  <c r="P694"/>
  <c r="P1015"/>
  <c r="P311"/>
  <c r="P831"/>
  <c r="P423"/>
  <c r="O295"/>
  <c r="O895"/>
  <c r="O354"/>
  <c r="P1044"/>
  <c r="P1230"/>
  <c r="Q1166"/>
  <c r="Q343"/>
  <c r="O340"/>
  <c r="O760"/>
  <c r="Q218"/>
  <c r="P991"/>
  <c r="O74"/>
  <c r="O1067"/>
  <c r="P1241"/>
  <c r="Q712"/>
  <c r="P584"/>
  <c r="P711"/>
  <c r="R711" s="1"/>
  <c r="O647"/>
  <c r="O567"/>
  <c r="O327"/>
  <c r="Q988"/>
  <c r="Q1101"/>
  <c r="P503"/>
  <c r="O271"/>
  <c r="O826"/>
  <c r="R826" s="1"/>
  <c r="Q816"/>
  <c r="Q418"/>
  <c r="P84"/>
  <c r="R84" s="1"/>
  <c r="Q1189"/>
  <c r="O1230"/>
  <c r="P990"/>
  <c r="O404"/>
  <c r="R404" s="1"/>
  <c r="P41"/>
  <c r="P782"/>
  <c r="O468"/>
  <c r="R468" s="1"/>
  <c r="P471"/>
  <c r="R471" s="1"/>
  <c r="P340"/>
  <c r="Q1112"/>
  <c r="O806"/>
  <c r="O394"/>
  <c r="P603"/>
  <c r="O253"/>
  <c r="O952"/>
  <c r="P1209"/>
  <c r="Q808"/>
  <c r="P622"/>
  <c r="O490"/>
  <c r="P362"/>
  <c r="P223"/>
  <c r="Q715"/>
  <c r="O587"/>
  <c r="O1161"/>
  <c r="P1047"/>
  <c r="P175"/>
  <c r="O922"/>
  <c r="O426"/>
  <c r="R426" s="1"/>
  <c r="P731"/>
  <c r="P1037"/>
  <c r="O189"/>
  <c r="Q1259"/>
  <c r="Q1227"/>
  <c r="Q1099"/>
  <c r="O32"/>
  <c r="O808"/>
  <c r="P458"/>
  <c r="P330"/>
  <c r="P253"/>
  <c r="P157"/>
  <c r="O736"/>
  <c r="P1023"/>
  <c r="Q1046"/>
  <c r="Q747"/>
  <c r="Q619"/>
  <c r="P1040"/>
  <c r="Q779"/>
  <c r="Q74"/>
  <c r="Q791"/>
  <c r="Q743"/>
  <c r="O879"/>
  <c r="Q943"/>
  <c r="O1116"/>
  <c r="Q1020"/>
  <c r="O546"/>
  <c r="P375"/>
  <c r="O311"/>
  <c r="P816"/>
  <c r="Q1091"/>
  <c r="P582"/>
  <c r="R582" s="1"/>
  <c r="P418"/>
  <c r="O290"/>
  <c r="Q895"/>
  <c r="Q487"/>
  <c r="Q359"/>
  <c r="P1134"/>
  <c r="O1166"/>
  <c r="O782"/>
  <c r="Q372"/>
  <c r="P149"/>
  <c r="P586"/>
  <c r="Q407"/>
  <c r="P692"/>
  <c r="Q1067"/>
  <c r="O1192"/>
  <c r="Q760"/>
  <c r="P574"/>
  <c r="P791"/>
  <c r="P743"/>
  <c r="Q695"/>
  <c r="P631"/>
  <c r="P567"/>
  <c r="Q455"/>
  <c r="P391"/>
  <c r="P943"/>
  <c r="O1020"/>
  <c r="Q1261"/>
  <c r="Q578"/>
  <c r="Q947"/>
  <c r="Q1024"/>
  <c r="Q1249"/>
  <c r="R1249" s="1"/>
  <c r="P1162"/>
  <c r="Q482"/>
  <c r="Q354"/>
  <c r="Q226"/>
  <c r="P50"/>
  <c r="P815"/>
  <c r="P359"/>
  <c r="P996"/>
  <c r="Q990"/>
  <c r="O500"/>
  <c r="P277"/>
  <c r="P746"/>
  <c r="P1214"/>
  <c r="O660"/>
  <c r="O372"/>
  <c r="P407"/>
  <c r="P1173"/>
  <c r="Q928"/>
  <c r="Q756"/>
  <c r="O88"/>
  <c r="P1251"/>
  <c r="Q1034"/>
  <c r="O1015"/>
  <c r="O948"/>
  <c r="O85"/>
  <c r="P660"/>
  <c r="O1170"/>
  <c r="O799"/>
  <c r="R799" s="1"/>
  <c r="P1101"/>
  <c r="Q1195"/>
  <c r="Q1170"/>
  <c r="Q584"/>
  <c r="O504"/>
  <c r="P218"/>
  <c r="O775"/>
  <c r="Q759"/>
  <c r="R759" s="1"/>
  <c r="Q727"/>
  <c r="O695"/>
  <c r="O663"/>
  <c r="Q647"/>
  <c r="Q583"/>
  <c r="P551"/>
  <c r="Q519"/>
  <c r="Q327"/>
  <c r="Q1143"/>
  <c r="O1169"/>
  <c r="O1041"/>
  <c r="P1119"/>
  <c r="Q959"/>
  <c r="Q927"/>
  <c r="O988"/>
  <c r="O1261"/>
  <c r="R1261" s="1"/>
  <c r="Q902"/>
  <c r="O908"/>
  <c r="O876"/>
  <c r="O578"/>
  <c r="Q546"/>
  <c r="Q503"/>
  <c r="P439"/>
  <c r="Q271"/>
  <c r="O116"/>
  <c r="R116" s="1"/>
  <c r="O1162"/>
  <c r="O599"/>
  <c r="O487"/>
  <c r="O1219"/>
  <c r="O1091"/>
  <c r="Q944"/>
  <c r="P1178"/>
  <c r="O1034"/>
  <c r="Q858"/>
  <c r="Q762"/>
  <c r="O624"/>
  <c r="Q514"/>
  <c r="R514" s="1"/>
  <c r="Q450"/>
  <c r="Q386"/>
  <c r="Q322"/>
  <c r="Q258"/>
  <c r="P863"/>
  <c r="O244"/>
  <c r="Q148"/>
  <c r="Q1044"/>
  <c r="Q996"/>
  <c r="O1189"/>
  <c r="O820"/>
  <c r="O308"/>
  <c r="R308" s="1"/>
  <c r="Q277"/>
  <c r="Q181"/>
  <c r="Q746"/>
  <c r="Q602"/>
  <c r="R602" s="1"/>
  <c r="Q586"/>
  <c r="P343"/>
  <c r="Q111"/>
  <c r="Q1173"/>
  <c r="Q1006"/>
  <c r="Q740"/>
  <c r="O532"/>
  <c r="R532" s="1"/>
  <c r="Q436"/>
  <c r="R436" s="1"/>
  <c r="P714"/>
  <c r="P535"/>
  <c r="P247"/>
  <c r="Q624"/>
  <c r="Q820"/>
  <c r="P1219"/>
  <c r="O1195"/>
  <c r="Q1192"/>
  <c r="O727"/>
  <c r="Q679"/>
  <c r="O50"/>
  <c r="P959"/>
  <c r="R959" s="1"/>
  <c r="Q1085"/>
  <c r="R1085" s="1"/>
  <c r="O1174"/>
  <c r="P902"/>
  <c r="Q594"/>
  <c r="Q831"/>
  <c r="P944"/>
  <c r="P911"/>
  <c r="O1001"/>
  <c r="R1001" s="1"/>
  <c r="O241"/>
  <c r="O662"/>
  <c r="Q598"/>
  <c r="P450"/>
  <c r="P386"/>
  <c r="O322"/>
  <c r="O258"/>
  <c r="O1214"/>
  <c r="R1214" s="1"/>
  <c r="P111"/>
  <c r="O740"/>
  <c r="P235"/>
  <c r="R235" s="1"/>
  <c r="O105"/>
  <c r="P241"/>
  <c r="O248"/>
  <c r="Q184"/>
  <c r="P975"/>
  <c r="P1156"/>
  <c r="O518"/>
  <c r="P93"/>
  <c r="P1099"/>
  <c r="O664"/>
  <c r="Q686"/>
  <c r="P90"/>
  <c r="O1046"/>
  <c r="P1226"/>
  <c r="O93"/>
  <c r="Q1151"/>
  <c r="Q1084"/>
  <c r="Q1037"/>
  <c r="Q838"/>
  <c r="P522"/>
  <c r="R522" s="1"/>
  <c r="P604"/>
  <c r="P779"/>
  <c r="O747"/>
  <c r="O715"/>
  <c r="O683"/>
  <c r="Q651"/>
  <c r="O619"/>
  <c r="P587"/>
  <c r="Q571"/>
  <c r="O539"/>
  <c r="Q523"/>
  <c r="Q96"/>
  <c r="O177"/>
  <c r="P963"/>
  <c r="O1265"/>
  <c r="O1050"/>
  <c r="R1050" s="1"/>
  <c r="O678"/>
  <c r="Q194"/>
  <c r="Q162"/>
  <c r="Q130"/>
  <c r="P151"/>
  <c r="R151" s="1"/>
  <c r="O1109"/>
  <c r="P766"/>
  <c r="P113"/>
  <c r="O363"/>
  <c r="O157"/>
  <c r="P1257"/>
  <c r="Q840"/>
  <c r="P1254"/>
  <c r="Q1064"/>
  <c r="Q952"/>
  <c r="Q32"/>
  <c r="O946"/>
  <c r="O840"/>
  <c r="P571"/>
  <c r="O1073"/>
  <c r="O1151"/>
  <c r="O1084"/>
  <c r="Q1014"/>
  <c r="O838"/>
  <c r="Q806"/>
  <c r="Q763"/>
  <c r="P683"/>
  <c r="P651"/>
  <c r="Q603"/>
  <c r="R603" s="1"/>
  <c r="Q555"/>
  <c r="O523"/>
  <c r="P99"/>
  <c r="R99" s="1"/>
  <c r="Q160"/>
  <c r="Q995"/>
  <c r="Q1184"/>
  <c r="Q1201"/>
  <c r="O1210"/>
  <c r="R1210" s="1"/>
  <c r="O970"/>
  <c r="Q922"/>
  <c r="O194"/>
  <c r="O162"/>
  <c r="O130"/>
  <c r="Q1076"/>
  <c r="Q1028"/>
  <c r="O1038"/>
  <c r="O215"/>
  <c r="Q87"/>
  <c r="P878"/>
  <c r="P819"/>
  <c r="O175"/>
  <c r="P47"/>
  <c r="O788"/>
  <c r="P803"/>
  <c r="P379"/>
  <c r="O911"/>
  <c r="P145"/>
  <c r="R145" s="1"/>
  <c r="O459"/>
  <c r="P459"/>
  <c r="Q223"/>
  <c r="Q275"/>
  <c r="Q1023"/>
  <c r="R1023" s="1"/>
  <c r="Q1254"/>
  <c r="Q1174"/>
  <c r="R1174" s="1"/>
  <c r="O763"/>
  <c r="O731"/>
  <c r="R731" s="1"/>
  <c r="Q699"/>
  <c r="Q667"/>
  <c r="Q635"/>
  <c r="Q224"/>
  <c r="O1123"/>
  <c r="Q1104"/>
  <c r="Q1226"/>
  <c r="P698"/>
  <c r="R698" s="1"/>
  <c r="Q883"/>
  <c r="Q279"/>
  <c r="R279" s="1"/>
  <c r="O87"/>
  <c r="P900"/>
  <c r="Q915"/>
  <c r="Q884"/>
  <c r="P788"/>
  <c r="O899"/>
  <c r="P491"/>
  <c r="P315"/>
  <c r="P283"/>
  <c r="X8"/>
  <c r="Z8"/>
  <c r="Q1218"/>
  <c r="O224"/>
  <c r="O160"/>
  <c r="R160" s="1"/>
  <c r="O96"/>
  <c r="P1123"/>
  <c r="O995"/>
  <c r="Q979"/>
  <c r="O947"/>
  <c r="Q931"/>
  <c r="Q1040"/>
  <c r="O1201"/>
  <c r="Q320"/>
  <c r="P598"/>
  <c r="Q550"/>
  <c r="O1047"/>
  <c r="Q1204"/>
  <c r="O1076"/>
  <c r="R1076" s="1"/>
  <c r="Q1125"/>
  <c r="P1038"/>
  <c r="Q596"/>
  <c r="O883"/>
  <c r="Q835"/>
  <c r="O878"/>
  <c r="O915"/>
  <c r="Q867"/>
  <c r="O1262"/>
  <c r="R1262" s="1"/>
  <c r="O884"/>
  <c r="P899"/>
  <c r="Q851"/>
  <c r="O427"/>
  <c r="P299"/>
  <c r="O507"/>
  <c r="O217"/>
  <c r="P507"/>
  <c r="O331"/>
  <c r="P347"/>
  <c r="O299"/>
  <c r="O395"/>
  <c r="P946"/>
  <c r="P189"/>
  <c r="P125"/>
  <c r="O61"/>
  <c r="R61" s="1"/>
  <c r="Q854"/>
  <c r="Q256"/>
  <c r="Q192"/>
  <c r="Q128"/>
  <c r="Q64"/>
  <c r="O979"/>
  <c r="Q963"/>
  <c r="O931"/>
  <c r="P986"/>
  <c r="Q778"/>
  <c r="Q736"/>
  <c r="Q384"/>
  <c r="O550"/>
  <c r="P66"/>
  <c r="Q127"/>
  <c r="Q1175"/>
  <c r="O1204"/>
  <c r="O1125"/>
  <c r="O835"/>
  <c r="Q900"/>
  <c r="O867"/>
  <c r="Q819"/>
  <c r="O1077"/>
  <c r="Q714"/>
  <c r="R714" s="1"/>
  <c r="O851"/>
  <c r="Q803"/>
  <c r="O491"/>
  <c r="O379"/>
  <c r="P177"/>
  <c r="O49"/>
  <c r="R49" s="1"/>
  <c r="O411"/>
  <c r="P411"/>
  <c r="P331"/>
  <c r="O283"/>
  <c r="P363"/>
  <c r="O256"/>
  <c r="O192"/>
  <c r="O128"/>
  <c r="O64"/>
  <c r="O1175"/>
  <c r="R1175" s="1"/>
  <c r="P678"/>
  <c r="P1073"/>
  <c r="Q448"/>
  <c r="P191"/>
  <c r="O315"/>
  <c r="P443"/>
  <c r="P684"/>
  <c r="R684" s="1"/>
  <c r="P475"/>
  <c r="O475"/>
  <c r="P395"/>
  <c r="P427"/>
  <c r="O347"/>
  <c r="Q694"/>
  <c r="P614"/>
  <c r="O1118"/>
  <c r="O239"/>
  <c r="P496"/>
  <c r="R6"/>
  <c r="W6" s="1"/>
  <c r="Y6"/>
  <c r="Z6"/>
  <c r="P1056"/>
  <c r="Q1257"/>
  <c r="O1218"/>
  <c r="R1218" s="1"/>
  <c r="O686"/>
  <c r="P275"/>
  <c r="Q1004"/>
  <c r="Q1181"/>
  <c r="O854"/>
  <c r="Q774"/>
  <c r="O1104"/>
  <c r="Q1056"/>
  <c r="P778"/>
  <c r="Q544"/>
  <c r="Q512"/>
  <c r="O448"/>
  <c r="O384"/>
  <c r="R384" s="1"/>
  <c r="O320"/>
  <c r="O614"/>
  <c r="O1028"/>
  <c r="Q868"/>
  <c r="O596"/>
  <c r="P774"/>
  <c r="O480"/>
  <c r="O1004"/>
  <c r="O1181"/>
  <c r="O1097"/>
  <c r="Q986"/>
  <c r="P544"/>
  <c r="O512"/>
  <c r="Q480"/>
  <c r="Q416"/>
  <c r="Q352"/>
  <c r="Q288"/>
  <c r="Q1156"/>
  <c r="R1156" s="1"/>
  <c r="O868"/>
  <c r="Q1013"/>
  <c r="O416"/>
  <c r="O352"/>
  <c r="O288"/>
  <c r="P1198"/>
  <c r="O832"/>
  <c r="P1186"/>
  <c r="O999"/>
  <c r="P166"/>
  <c r="P361"/>
  <c r="P281"/>
  <c r="O649"/>
  <c r="O850"/>
  <c r="P520"/>
  <c r="O100"/>
  <c r="P498"/>
  <c r="O716"/>
  <c r="O441"/>
  <c r="Q869"/>
  <c r="P69"/>
  <c r="Q901"/>
  <c r="O1179"/>
  <c r="P770"/>
  <c r="Q115"/>
  <c r="O1155"/>
  <c r="P548"/>
  <c r="Q452"/>
  <c r="P356"/>
  <c r="P992"/>
  <c r="P832"/>
  <c r="Q392"/>
  <c r="Q1132"/>
  <c r="P1036"/>
  <c r="O1030"/>
  <c r="P982"/>
  <c r="P143"/>
  <c r="P196"/>
  <c r="P358"/>
  <c r="O697"/>
  <c r="P1090"/>
  <c r="O802"/>
  <c r="Q728"/>
  <c r="Q456"/>
  <c r="Q489"/>
  <c r="Q51"/>
  <c r="Q228"/>
  <c r="P132"/>
  <c r="Q924"/>
  <c r="P716"/>
  <c r="O601"/>
  <c r="Q1075"/>
  <c r="O1088"/>
  <c r="Q768"/>
  <c r="Q687"/>
  <c r="P1252"/>
  <c r="Q885"/>
  <c r="P942"/>
  <c r="O949"/>
  <c r="O708"/>
  <c r="O420"/>
  <c r="O390"/>
  <c r="O933"/>
  <c r="Q326"/>
  <c r="P40"/>
  <c r="O1025"/>
  <c r="O251"/>
  <c r="O457"/>
  <c r="O91"/>
  <c r="R4"/>
  <c r="W4" s="1"/>
  <c r="P392"/>
  <c r="P1025"/>
  <c r="O745"/>
  <c r="O569"/>
  <c r="P488"/>
  <c r="Q521"/>
  <c r="Q702"/>
  <c r="Q823"/>
  <c r="Q1244"/>
  <c r="Q1213"/>
  <c r="P796"/>
  <c r="Q690"/>
  <c r="P207"/>
  <c r="P79"/>
  <c r="P639"/>
  <c r="P260"/>
  <c r="Q164"/>
  <c r="P68"/>
  <c r="P751"/>
  <c r="P409"/>
  <c r="P153"/>
  <c r="P1098"/>
  <c r="P890"/>
  <c r="P672"/>
  <c r="P1127"/>
  <c r="O917"/>
  <c r="P454"/>
  <c r="P262"/>
  <c r="Q38"/>
  <c r="P72"/>
  <c r="O197"/>
  <c r="O486"/>
  <c r="Q198"/>
  <c r="P981"/>
  <c r="O422"/>
  <c r="O361"/>
  <c r="P601"/>
  <c r="P729"/>
  <c r="P1120"/>
  <c r="P457"/>
  <c r="O777"/>
  <c r="O617"/>
  <c r="Q1234"/>
  <c r="Q824"/>
  <c r="Q600"/>
  <c r="Q328"/>
  <c r="P903"/>
  <c r="Q179"/>
  <c r="O537"/>
  <c r="Q1133"/>
  <c r="Q1270"/>
  <c r="P231"/>
  <c r="P976"/>
  <c r="O1200"/>
  <c r="Q992"/>
  <c r="O951"/>
  <c r="P965"/>
  <c r="O102"/>
  <c r="Q264"/>
  <c r="P1070"/>
  <c r="O294"/>
  <c r="O70"/>
  <c r="O104"/>
  <c r="P805"/>
  <c r="O388"/>
  <c r="P165"/>
  <c r="Q230"/>
  <c r="P702"/>
  <c r="P626"/>
  <c r="O106"/>
  <c r="P424"/>
  <c r="P296"/>
  <c r="P1133"/>
  <c r="Q1051"/>
  <c r="Q1224"/>
  <c r="Q1144"/>
  <c r="Q1080"/>
  <c r="Q761"/>
  <c r="Q713"/>
  <c r="Q681"/>
  <c r="Q633"/>
  <c r="Q585"/>
  <c r="Q553"/>
  <c r="O1234"/>
  <c r="O1186"/>
  <c r="O770"/>
  <c r="R770" s="1"/>
  <c r="O824"/>
  <c r="O728"/>
  <c r="O600"/>
  <c r="R600" s="1"/>
  <c r="Q552"/>
  <c r="O456"/>
  <c r="O328"/>
  <c r="O521"/>
  <c r="O489"/>
  <c r="Q106"/>
  <c r="O919"/>
  <c r="P839"/>
  <c r="O415"/>
  <c r="O287"/>
  <c r="P179"/>
  <c r="R179" s="1"/>
  <c r="P115"/>
  <c r="P51"/>
  <c r="O228"/>
  <c r="P100"/>
  <c r="O1244"/>
  <c r="R1244" s="1"/>
  <c r="Q1263"/>
  <c r="Q1231"/>
  <c r="O1132"/>
  <c r="Q940"/>
  <c r="O1229"/>
  <c r="P1270"/>
  <c r="R1270" s="1"/>
  <c r="Q1190"/>
  <c r="P1078"/>
  <c r="Q934"/>
  <c r="Q812"/>
  <c r="P780"/>
  <c r="P690"/>
  <c r="Q610"/>
  <c r="P562"/>
  <c r="O463"/>
  <c r="O335"/>
  <c r="O207"/>
  <c r="O143"/>
  <c r="R143" s="1"/>
  <c r="O79"/>
  <c r="Q703"/>
  <c r="P511"/>
  <c r="O231"/>
  <c r="Q103"/>
  <c r="O164"/>
  <c r="R164" s="1"/>
  <c r="O1033"/>
  <c r="O377"/>
  <c r="P329"/>
  <c r="O209"/>
  <c r="P121"/>
  <c r="O1267"/>
  <c r="O1075"/>
  <c r="Q1027"/>
  <c r="Q874"/>
  <c r="O848"/>
  <c r="O688"/>
  <c r="O640"/>
  <c r="Q751"/>
  <c r="Q36"/>
  <c r="O1127"/>
  <c r="Q983"/>
  <c r="O1252"/>
  <c r="R1252" s="1"/>
  <c r="Q1060"/>
  <c r="Q1221"/>
  <c r="P917"/>
  <c r="O885"/>
  <c r="Q837"/>
  <c r="Q894"/>
  <c r="O452"/>
  <c r="Q133"/>
  <c r="P102"/>
  <c r="O38"/>
  <c r="Q367"/>
  <c r="O264"/>
  <c r="Q168"/>
  <c r="P949"/>
  <c r="O869"/>
  <c r="Q821"/>
  <c r="P708"/>
  <c r="Q612"/>
  <c r="Q516"/>
  <c r="P420"/>
  <c r="Q324"/>
  <c r="P197"/>
  <c r="O69"/>
  <c r="P390"/>
  <c r="P294"/>
  <c r="O198"/>
  <c r="P70"/>
  <c r="O200"/>
  <c r="P933"/>
  <c r="O901"/>
  <c r="R901" s="1"/>
  <c r="Q853"/>
  <c r="Q484"/>
  <c r="P388"/>
  <c r="Q292"/>
  <c r="P101"/>
  <c r="P518"/>
  <c r="P422"/>
  <c r="O326"/>
  <c r="O230"/>
  <c r="Q134"/>
  <c r="P232"/>
  <c r="P393"/>
  <c r="O233"/>
  <c r="P537"/>
  <c r="P251"/>
  <c r="O57"/>
  <c r="O89"/>
  <c r="P377"/>
  <c r="O281"/>
  <c r="O153"/>
  <c r="O219"/>
  <c r="R7"/>
  <c r="W7" s="1"/>
  <c r="P559"/>
  <c r="P783"/>
  <c r="O1145"/>
  <c r="O1049"/>
  <c r="O221"/>
  <c r="P37"/>
  <c r="O672"/>
  <c r="Q1179"/>
  <c r="O1051"/>
  <c r="O1224"/>
  <c r="O1144"/>
  <c r="Q1096"/>
  <c r="Q1048"/>
  <c r="Q1016"/>
  <c r="O761"/>
  <c r="O713"/>
  <c r="O681"/>
  <c r="O633"/>
  <c r="O585"/>
  <c r="O553"/>
  <c r="Q1026"/>
  <c r="Q802"/>
  <c r="R802" s="1"/>
  <c r="O872"/>
  <c r="Q520"/>
  <c r="Q488"/>
  <c r="Q424"/>
  <c r="Q360"/>
  <c r="Q296"/>
  <c r="Q505"/>
  <c r="Q42"/>
  <c r="O855"/>
  <c r="Q147"/>
  <c r="Q132"/>
  <c r="P738"/>
  <c r="P242"/>
  <c r="P1103"/>
  <c r="P1049"/>
  <c r="P793"/>
  <c r="O473"/>
  <c r="O409"/>
  <c r="P221"/>
  <c r="O37"/>
  <c r="R37" s="1"/>
  <c r="P1263"/>
  <c r="P1231"/>
  <c r="Q1183"/>
  <c r="Q1036"/>
  <c r="R1036" s="1"/>
  <c r="O940"/>
  <c r="R940" s="1"/>
  <c r="Q1117"/>
  <c r="Q1222"/>
  <c r="O1190"/>
  <c r="R1190" s="1"/>
  <c r="O934"/>
  <c r="O828"/>
  <c r="Q796"/>
  <c r="O738"/>
  <c r="R738" s="1"/>
  <c r="O610"/>
  <c r="O735"/>
  <c r="Q575"/>
  <c r="P167"/>
  <c r="Q260"/>
  <c r="Q68"/>
  <c r="P1203"/>
  <c r="P1200"/>
  <c r="P441"/>
  <c r="P345"/>
  <c r="P297"/>
  <c r="P89"/>
  <c r="Q1203"/>
  <c r="Q976"/>
  <c r="O1242"/>
  <c r="O874"/>
  <c r="Q794"/>
  <c r="Q559"/>
  <c r="O255"/>
  <c r="Q196"/>
  <c r="R196" s="1"/>
  <c r="O36"/>
  <c r="Q999"/>
  <c r="Q1220"/>
  <c r="O1060"/>
  <c r="P964"/>
  <c r="O1221"/>
  <c r="Q965"/>
  <c r="O837"/>
  <c r="O894"/>
  <c r="Q548"/>
  <c r="Q356"/>
  <c r="O133"/>
  <c r="P554"/>
  <c r="Q454"/>
  <c r="Q358"/>
  <c r="Q262"/>
  <c r="R262" s="1"/>
  <c r="Q166"/>
  <c r="P431"/>
  <c r="O168"/>
  <c r="R168" s="1"/>
  <c r="Q72"/>
  <c r="O821"/>
  <c r="O612"/>
  <c r="O516"/>
  <c r="O324"/>
  <c r="Q486"/>
  <c r="O303"/>
  <c r="P200"/>
  <c r="P1205"/>
  <c r="Q1045"/>
  <c r="Q981"/>
  <c r="O853"/>
  <c r="Q805"/>
  <c r="R805" s="1"/>
  <c r="P958"/>
  <c r="Q628"/>
  <c r="O484"/>
  <c r="O292"/>
  <c r="R292" s="1"/>
  <c r="O101"/>
  <c r="R101" s="1"/>
  <c r="P618"/>
  <c r="O134"/>
  <c r="Q136"/>
  <c r="O665"/>
  <c r="O297"/>
  <c r="P665"/>
  <c r="O1153"/>
  <c r="O185"/>
  <c r="P91"/>
  <c r="X7"/>
  <c r="O1090"/>
  <c r="O42"/>
  <c r="P1088"/>
  <c r="P360"/>
  <c r="P1153"/>
  <c r="O793"/>
  <c r="P425"/>
  <c r="O729"/>
  <c r="O1096"/>
  <c r="O1016"/>
  <c r="Q777"/>
  <c r="Q745"/>
  <c r="Q697"/>
  <c r="Q649"/>
  <c r="Q617"/>
  <c r="Q569"/>
  <c r="P1026"/>
  <c r="Q850"/>
  <c r="O505"/>
  <c r="Q887"/>
  <c r="P479"/>
  <c r="O351"/>
  <c r="P147"/>
  <c r="R147" s="1"/>
  <c r="P370"/>
  <c r="P655"/>
  <c r="O1117"/>
  <c r="Q1142"/>
  <c r="Q982"/>
  <c r="P950"/>
  <c r="O706"/>
  <c r="Q626"/>
  <c r="O399"/>
  <c r="P767"/>
  <c r="O607"/>
  <c r="O383"/>
  <c r="P1235"/>
  <c r="P473"/>
  <c r="O393"/>
  <c r="P313"/>
  <c r="P185"/>
  <c r="P57"/>
  <c r="P1248"/>
  <c r="Q1120"/>
  <c r="Q890"/>
  <c r="P794"/>
  <c r="Q623"/>
  <c r="O1079"/>
  <c r="P935"/>
  <c r="P1236"/>
  <c r="P1061"/>
  <c r="O1086"/>
  <c r="P495"/>
  <c r="O1070"/>
  <c r="R1070" s="1"/>
  <c r="Q634"/>
  <c r="Q104"/>
  <c r="Q165"/>
  <c r="O136"/>
  <c r="R136" s="1"/>
  <c r="O40"/>
  <c r="O1103"/>
  <c r="R1103" s="1"/>
  <c r="O425"/>
  <c r="O329"/>
  <c r="R329" s="1"/>
  <c r="O313"/>
  <c r="O345"/>
  <c r="R345" s="1"/>
  <c r="O121"/>
  <c r="P219"/>
  <c r="P216"/>
  <c r="Q120"/>
  <c r="O117"/>
  <c r="Q47"/>
  <c r="P152"/>
  <c r="P1013"/>
  <c r="Q1198"/>
  <c r="P53"/>
  <c r="Q280"/>
  <c r="O847"/>
  <c r="O975"/>
  <c r="O676"/>
  <c r="O267"/>
  <c r="R1081"/>
  <c r="R825"/>
  <c r="R953"/>
  <c r="R1058"/>
  <c r="R841"/>
  <c r="R641"/>
  <c r="R1137"/>
  <c r="R385"/>
  <c r="R257"/>
  <c r="R129"/>
  <c r="R1009"/>
  <c r="R945"/>
  <c r="R881"/>
  <c r="R817"/>
  <c r="R937"/>
  <c r="R873"/>
  <c r="R225"/>
  <c r="R513"/>
  <c r="R113"/>
  <c r="R59"/>
  <c r="P662"/>
  <c r="R662" s="1"/>
  <c r="O138"/>
  <c r="P813"/>
  <c r="R813" s="1"/>
  <c r="O673"/>
  <c r="O1080"/>
  <c r="Q1250"/>
  <c r="Q1010"/>
  <c r="O744"/>
  <c r="R744" s="1"/>
  <c r="O552"/>
  <c r="P504"/>
  <c r="Q138"/>
  <c r="O903"/>
  <c r="Q871"/>
  <c r="P823"/>
  <c r="P268"/>
  <c r="R268" s="1"/>
  <c r="Q236"/>
  <c r="P204"/>
  <c r="R204" s="1"/>
  <c r="Q172"/>
  <c r="P140"/>
  <c r="R140" s="1"/>
  <c r="Q108"/>
  <c r="P76"/>
  <c r="R76" s="1"/>
  <c r="Q44"/>
  <c r="Q83"/>
  <c r="Q1191"/>
  <c r="O1142"/>
  <c r="P534"/>
  <c r="R534" s="1"/>
  <c r="O402"/>
  <c r="P274"/>
  <c r="P737"/>
  <c r="R737" s="1"/>
  <c r="O657"/>
  <c r="P481"/>
  <c r="R481" s="1"/>
  <c r="O1183"/>
  <c r="Q1167"/>
  <c r="Q1055"/>
  <c r="Q1212"/>
  <c r="Q1148"/>
  <c r="O924"/>
  <c r="P1229"/>
  <c r="O1213"/>
  <c r="O1005"/>
  <c r="R1005" s="1"/>
  <c r="O941"/>
  <c r="R941" s="1"/>
  <c r="O909"/>
  <c r="R909" s="1"/>
  <c r="O877"/>
  <c r="P1222"/>
  <c r="P1030"/>
  <c r="Q918"/>
  <c r="P892"/>
  <c r="R892" s="1"/>
  <c r="Q860"/>
  <c r="P828"/>
  <c r="O812"/>
  <c r="Q620"/>
  <c r="Q460"/>
  <c r="P428"/>
  <c r="R428" s="1"/>
  <c r="Q396"/>
  <c r="P364"/>
  <c r="R364" s="1"/>
  <c r="Q332"/>
  <c r="P300"/>
  <c r="R300" s="1"/>
  <c r="Q754"/>
  <c r="O594"/>
  <c r="O562"/>
  <c r="Q530"/>
  <c r="O247"/>
  <c r="Q34"/>
  <c r="P735"/>
  <c r="O703"/>
  <c r="Q671"/>
  <c r="P607"/>
  <c r="O575"/>
  <c r="Q543"/>
  <c r="O167"/>
  <c r="P103"/>
  <c r="Q63"/>
  <c r="Q1207"/>
  <c r="P646"/>
  <c r="P1139"/>
  <c r="R1139" s="1"/>
  <c r="P1105"/>
  <c r="P785"/>
  <c r="P657"/>
  <c r="P529"/>
  <c r="P265"/>
  <c r="P233"/>
  <c r="P201"/>
  <c r="P169"/>
  <c r="P137"/>
  <c r="P105"/>
  <c r="P73"/>
  <c r="P1267"/>
  <c r="O1027"/>
  <c r="O1184"/>
  <c r="R1184" s="1"/>
  <c r="Q960"/>
  <c r="P1217"/>
  <c r="R1217" s="1"/>
  <c r="Q1258"/>
  <c r="Q1066"/>
  <c r="P970"/>
  <c r="Q842"/>
  <c r="O810"/>
  <c r="R810" s="1"/>
  <c r="O768"/>
  <c r="P688"/>
  <c r="P640"/>
  <c r="Q646"/>
  <c r="O687"/>
  <c r="O623"/>
  <c r="Q447"/>
  <c r="Q319"/>
  <c r="O191"/>
  <c r="P127"/>
  <c r="Q39"/>
  <c r="O1063"/>
  <c r="R1063" s="1"/>
  <c r="P983"/>
  <c r="Q967"/>
  <c r="O935"/>
  <c r="P1268"/>
  <c r="R1268" s="1"/>
  <c r="O1236"/>
  <c r="P1220"/>
  <c r="P1172"/>
  <c r="R1172" s="1"/>
  <c r="O1012"/>
  <c r="R1012" s="1"/>
  <c r="P948"/>
  <c r="P1253"/>
  <c r="R1253" s="1"/>
  <c r="Q1093"/>
  <c r="P1182"/>
  <c r="R1182" s="1"/>
  <c r="Q846"/>
  <c r="O756"/>
  <c r="R756" s="1"/>
  <c r="O181"/>
  <c r="R181" s="1"/>
  <c r="Q650"/>
  <c r="O554"/>
  <c r="P502"/>
  <c r="R502" s="1"/>
  <c r="O310"/>
  <c r="R310" s="1"/>
  <c r="O431"/>
  <c r="P367"/>
  <c r="O120"/>
  <c r="Q926"/>
  <c r="O564"/>
  <c r="R564" s="1"/>
  <c r="O245"/>
  <c r="R245" s="1"/>
  <c r="P117"/>
  <c r="Q730"/>
  <c r="Q438"/>
  <c r="P342"/>
  <c r="R342" s="1"/>
  <c r="Q246"/>
  <c r="P150"/>
  <c r="R150" s="1"/>
  <c r="O118"/>
  <c r="R118" s="1"/>
  <c r="P248"/>
  <c r="R248" s="1"/>
  <c r="Q56"/>
  <c r="P1077"/>
  <c r="O1045"/>
  <c r="O1102"/>
  <c r="R1102" s="1"/>
  <c r="P676"/>
  <c r="O628"/>
  <c r="Q261"/>
  <c r="O53"/>
  <c r="Q570"/>
  <c r="P470"/>
  <c r="R470" s="1"/>
  <c r="Q374"/>
  <c r="P278"/>
  <c r="R278" s="1"/>
  <c r="Q182"/>
  <c r="P86"/>
  <c r="R86" s="1"/>
  <c r="O54"/>
  <c r="R54" s="1"/>
  <c r="O280"/>
  <c r="O184"/>
  <c r="P88"/>
  <c r="R88" s="1"/>
  <c r="P289"/>
  <c r="R289" s="1"/>
  <c r="O265"/>
  <c r="O137"/>
  <c r="O497"/>
  <c r="P305"/>
  <c r="P769"/>
  <c r="R769" s="1"/>
  <c r="P1161"/>
  <c r="O139"/>
  <c r="P203"/>
  <c r="R203" s="1"/>
  <c r="O83"/>
  <c r="P1039"/>
  <c r="P753"/>
  <c r="P497"/>
  <c r="O1115"/>
  <c r="R1115" s="1"/>
  <c r="O1112"/>
  <c r="R1112" s="1"/>
  <c r="O1048"/>
  <c r="Q1106"/>
  <c r="Q1074"/>
  <c r="Q866"/>
  <c r="Q834"/>
  <c r="Q888"/>
  <c r="Q536"/>
  <c r="Q718"/>
  <c r="Q202"/>
  <c r="Q170"/>
  <c r="P887"/>
  <c r="O839"/>
  <c r="Q807"/>
  <c r="O906"/>
  <c r="O170"/>
  <c r="O1055"/>
  <c r="P689"/>
  <c r="R689" s="1"/>
  <c r="O609"/>
  <c r="O449"/>
  <c r="Q1131"/>
  <c r="Q1003"/>
  <c r="Q1160"/>
  <c r="Q1128"/>
  <c r="Q1000"/>
  <c r="Q1177"/>
  <c r="O1250"/>
  <c r="O1106"/>
  <c r="P1074"/>
  <c r="P1010"/>
  <c r="P866"/>
  <c r="P834"/>
  <c r="Q786"/>
  <c r="O888"/>
  <c r="Q776"/>
  <c r="R776" s="1"/>
  <c r="O536"/>
  <c r="R536" s="1"/>
  <c r="Q472"/>
  <c r="Q440"/>
  <c r="Q408"/>
  <c r="Q376"/>
  <c r="Q344"/>
  <c r="Q312"/>
  <c r="P718"/>
  <c r="P202"/>
  <c r="Q919"/>
  <c r="P871"/>
  <c r="Q855"/>
  <c r="P807"/>
  <c r="Q479"/>
  <c r="Q415"/>
  <c r="Q351"/>
  <c r="Q287"/>
  <c r="O236"/>
  <c r="O172"/>
  <c r="O108"/>
  <c r="O44"/>
  <c r="O1191"/>
  <c r="O434"/>
  <c r="P306"/>
  <c r="P527"/>
  <c r="P1145"/>
  <c r="P673"/>
  <c r="O593"/>
  <c r="P449"/>
  <c r="P1167"/>
  <c r="P1212"/>
  <c r="Q1196"/>
  <c r="R1196" s="1"/>
  <c r="O1148"/>
  <c r="Q989"/>
  <c r="Q957"/>
  <c r="Q925"/>
  <c r="Q893"/>
  <c r="Q861"/>
  <c r="Q829"/>
  <c r="Q797"/>
  <c r="Q1110"/>
  <c r="R1110" s="1"/>
  <c r="Q1078"/>
  <c r="Q998"/>
  <c r="R998" s="1"/>
  <c r="Q950"/>
  <c r="O918"/>
  <c r="O860"/>
  <c r="Q700"/>
  <c r="P620"/>
  <c r="O460"/>
  <c r="O396"/>
  <c r="O332"/>
  <c r="O754"/>
  <c r="Q658"/>
  <c r="R658" s="1"/>
  <c r="P530"/>
  <c r="Q463"/>
  <c r="Q399"/>
  <c r="Q335"/>
  <c r="P34"/>
  <c r="Q767"/>
  <c r="O671"/>
  <c r="Q639"/>
  <c r="O543"/>
  <c r="Q511"/>
  <c r="Q383"/>
  <c r="P63"/>
  <c r="P1207"/>
  <c r="P848"/>
  <c r="O1129"/>
  <c r="O705"/>
  <c r="O577"/>
  <c r="O465"/>
  <c r="O401"/>
  <c r="R401" s="1"/>
  <c r="O369"/>
  <c r="O337"/>
  <c r="O305"/>
  <c r="Q1235"/>
  <c r="Q1155"/>
  <c r="Q1011"/>
  <c r="R1011" s="1"/>
  <c r="Q1248"/>
  <c r="O960"/>
  <c r="O1258"/>
  <c r="Q1242"/>
  <c r="Q1098"/>
  <c r="O1066"/>
  <c r="Q938"/>
  <c r="R938" s="1"/>
  <c r="Q906"/>
  <c r="O842"/>
  <c r="Q656"/>
  <c r="R656" s="1"/>
  <c r="Q608"/>
  <c r="Q498"/>
  <c r="Q466"/>
  <c r="Q434"/>
  <c r="Q402"/>
  <c r="Q370"/>
  <c r="Q338"/>
  <c r="Q306"/>
  <c r="Q274"/>
  <c r="Q242"/>
  <c r="Q82"/>
  <c r="Q719"/>
  <c r="Q655"/>
  <c r="Q591"/>
  <c r="Q527"/>
  <c r="P447"/>
  <c r="P319"/>
  <c r="Q255"/>
  <c r="P39"/>
  <c r="Q1079"/>
  <c r="P967"/>
  <c r="Q951"/>
  <c r="Q964"/>
  <c r="O1093"/>
  <c r="Q1061"/>
  <c r="Q1086"/>
  <c r="P846"/>
  <c r="Q85"/>
  <c r="P650"/>
  <c r="Q406"/>
  <c r="R406" s="1"/>
  <c r="Q214"/>
  <c r="R214" s="1"/>
  <c r="Q495"/>
  <c r="Q215"/>
  <c r="Q216"/>
  <c r="Q41"/>
  <c r="R41" s="1"/>
  <c r="P926"/>
  <c r="Q149"/>
  <c r="R149" s="1"/>
  <c r="O730"/>
  <c r="O438"/>
  <c r="O246"/>
  <c r="Q303"/>
  <c r="Q152"/>
  <c r="O56"/>
  <c r="Q1150"/>
  <c r="R1150" s="1"/>
  <c r="Q958"/>
  <c r="O261"/>
  <c r="Q213"/>
  <c r="R213" s="1"/>
  <c r="P570"/>
  <c r="O374"/>
  <c r="O182"/>
  <c r="P465"/>
  <c r="P321"/>
  <c r="R321" s="1"/>
  <c r="P1129"/>
  <c r="P433"/>
  <c r="R433" s="1"/>
  <c r="O169"/>
  <c r="P577"/>
  <c r="P337"/>
  <c r="P209"/>
  <c r="O1039"/>
  <c r="O783"/>
  <c r="P267"/>
  <c r="P1089"/>
  <c r="R1089" s="1"/>
  <c r="O1131"/>
  <c r="O1003"/>
  <c r="O1160"/>
  <c r="O1128"/>
  <c r="O1000"/>
  <c r="Q1241"/>
  <c r="R1241" s="1"/>
  <c r="O1177"/>
  <c r="O786"/>
  <c r="Q872"/>
  <c r="O472"/>
  <c r="O440"/>
  <c r="O408"/>
  <c r="O376"/>
  <c r="O344"/>
  <c r="O312"/>
  <c r="Q574"/>
  <c r="Q90"/>
  <c r="R90" s="1"/>
  <c r="P706"/>
  <c r="O466"/>
  <c r="P338"/>
  <c r="O82"/>
  <c r="R82" s="1"/>
  <c r="O1105"/>
  <c r="O785"/>
  <c r="P609"/>
  <c r="O529"/>
  <c r="P417"/>
  <c r="R417" s="1"/>
  <c r="Q1247"/>
  <c r="R1247" s="1"/>
  <c r="O989"/>
  <c r="R989" s="1"/>
  <c r="O957"/>
  <c r="R957" s="1"/>
  <c r="O925"/>
  <c r="R925" s="1"/>
  <c r="O893"/>
  <c r="R893" s="1"/>
  <c r="O861"/>
  <c r="R861" s="1"/>
  <c r="O829"/>
  <c r="R829" s="1"/>
  <c r="O797"/>
  <c r="R797" s="1"/>
  <c r="Q780"/>
  <c r="Q748"/>
  <c r="R748" s="1"/>
  <c r="O700"/>
  <c r="R700" s="1"/>
  <c r="Q524"/>
  <c r="R524" s="1"/>
  <c r="Q492"/>
  <c r="R492" s="1"/>
  <c r="P721"/>
  <c r="R721" s="1"/>
  <c r="P593"/>
  <c r="P608"/>
  <c r="O719"/>
  <c r="O591"/>
  <c r="R591" s="1"/>
  <c r="O171"/>
  <c r="R171" s="1"/>
  <c r="O625"/>
  <c r="P353"/>
  <c r="R353" s="1"/>
  <c r="O561"/>
  <c r="R561" s="1"/>
  <c r="O201"/>
  <c r="O73"/>
  <c r="O753"/>
  <c r="P369"/>
  <c r="O75"/>
  <c r="R75" s="1"/>
  <c r="P139"/>
  <c r="Q942"/>
  <c r="O634"/>
  <c r="Q1205"/>
  <c r="Q618"/>
  <c r="Q232"/>
  <c r="P1033"/>
  <c r="P1097"/>
  <c r="R1097" s="1"/>
  <c r="R889"/>
  <c r="R349"/>
  <c r="R285"/>
  <c r="Y3"/>
  <c r="Z3"/>
  <c r="R3"/>
  <c r="W3" s="1"/>
  <c r="Q642"/>
  <c r="O1072"/>
  <c r="R1072" s="1"/>
  <c r="O1194"/>
  <c r="R1194" s="1"/>
  <c r="P528"/>
  <c r="R528" s="1"/>
  <c r="P916"/>
  <c r="R916" s="1"/>
  <c r="P1022"/>
  <c r="R1022" s="1"/>
  <c r="Q1141"/>
  <c r="Q814"/>
  <c r="O1094"/>
  <c r="R1094" s="1"/>
  <c r="O822"/>
  <c r="R822" s="1"/>
  <c r="Q732"/>
  <c r="R732" s="1"/>
  <c r="Q572"/>
  <c r="R572" s="1"/>
  <c r="P642"/>
  <c r="R642" s="1"/>
  <c r="Q272"/>
  <c r="R272" s="1"/>
  <c r="Q240"/>
  <c r="R240" s="1"/>
  <c r="Q208"/>
  <c r="R208" s="1"/>
  <c r="Q176"/>
  <c r="R176" s="1"/>
  <c r="Q144"/>
  <c r="R144" s="1"/>
  <c r="Q112"/>
  <c r="R112" s="1"/>
  <c r="Q80"/>
  <c r="R80" s="1"/>
  <c r="Q48"/>
  <c r="R48" s="1"/>
  <c r="Q496"/>
  <c r="Q464"/>
  <c r="R464" s="1"/>
  <c r="Q432"/>
  <c r="R432" s="1"/>
  <c r="Q400"/>
  <c r="R400" s="1"/>
  <c r="Q368"/>
  <c r="R368" s="1"/>
  <c r="Q336"/>
  <c r="R336" s="1"/>
  <c r="Q304"/>
  <c r="R304" s="1"/>
  <c r="Q1118"/>
  <c r="Q239"/>
  <c r="R239" s="1"/>
  <c r="O1141"/>
  <c r="R1141" s="1"/>
  <c r="P814"/>
  <c r="R814" s="1"/>
  <c r="Q259"/>
  <c r="R259" s="1"/>
  <c r="Y5"/>
  <c r="X5"/>
  <c r="Y4"/>
  <c r="X4"/>
  <c r="AA27"/>
  <c r="AB27"/>
  <c r="Z27"/>
  <c r="R704"/>
  <c r="R298"/>
  <c r="R163"/>
  <c r="R1062"/>
  <c r="R458"/>
  <c r="R397"/>
  <c r="R333"/>
  <c r="R269"/>
  <c r="R205"/>
  <c r="R141"/>
  <c r="R954"/>
  <c r="R588"/>
  <c r="R193"/>
  <c r="R330"/>
  <c r="R74"/>
  <c r="R535"/>
  <c r="R234"/>
  <c r="R920"/>
  <c r="R419"/>
  <c r="R743"/>
  <c r="R652"/>
  <c r="R477"/>
  <c r="R914"/>
  <c r="R576"/>
  <c r="R1243"/>
  <c r="R1211"/>
  <c r="R856"/>
  <c r="R792"/>
  <c r="R654"/>
  <c r="R526"/>
  <c r="R679"/>
  <c r="R435"/>
  <c r="R371"/>
  <c r="R307"/>
  <c r="R243"/>
  <c r="R211"/>
  <c r="R1087"/>
  <c r="R1149"/>
  <c r="R1053"/>
  <c r="R1021"/>
  <c r="R733"/>
  <c r="R669"/>
  <c r="R605"/>
  <c r="R573"/>
  <c r="R541"/>
  <c r="R1158"/>
  <c r="R891"/>
  <c r="R827"/>
  <c r="R483"/>
  <c r="R355"/>
  <c r="R291"/>
  <c r="R227"/>
  <c r="R35"/>
  <c r="R448"/>
  <c r="R818"/>
  <c r="R904"/>
  <c r="R568"/>
  <c r="R670"/>
  <c r="R506"/>
  <c r="R442"/>
  <c r="R378"/>
  <c r="R314"/>
  <c r="R250"/>
  <c r="R186"/>
  <c r="R122"/>
  <c r="R58"/>
  <c r="R791"/>
  <c r="R95"/>
  <c r="R52"/>
  <c r="R1071"/>
  <c r="R1260"/>
  <c r="R1180"/>
  <c r="R1116"/>
  <c r="R1037"/>
  <c r="R781"/>
  <c r="R717"/>
  <c r="R685"/>
  <c r="R621"/>
  <c r="R589"/>
  <c r="R557"/>
  <c r="R412"/>
  <c r="R348"/>
  <c r="R510"/>
  <c r="R430"/>
  <c r="R366"/>
  <c r="R302"/>
  <c r="R238"/>
  <c r="R174"/>
  <c r="R110"/>
  <c r="R46"/>
  <c r="R875"/>
  <c r="R843"/>
  <c r="R811"/>
  <c r="R555"/>
  <c r="R212"/>
  <c r="R1159"/>
  <c r="R1187"/>
  <c r="R1216"/>
  <c r="R1152"/>
  <c r="R928"/>
  <c r="R1178"/>
  <c r="R1130"/>
  <c r="R1034"/>
  <c r="R592"/>
  <c r="R758"/>
  <c r="R630"/>
  <c r="R566"/>
  <c r="R403"/>
  <c r="R1015"/>
  <c r="R997"/>
  <c r="R677"/>
  <c r="R1230"/>
  <c r="R798"/>
  <c r="R389"/>
  <c r="R787"/>
  <c r="R595"/>
  <c r="R1269"/>
  <c r="R597"/>
  <c r="R974"/>
  <c r="R373"/>
  <c r="R675"/>
  <c r="R661"/>
  <c r="R1006"/>
  <c r="R740"/>
  <c r="R580"/>
  <c r="R485"/>
  <c r="R453"/>
  <c r="R707"/>
  <c r="R515"/>
  <c r="R323"/>
  <c r="R67"/>
  <c r="R897"/>
  <c r="R107"/>
  <c r="R1227"/>
  <c r="R1272"/>
  <c r="R994"/>
  <c r="R898"/>
  <c r="R696"/>
  <c r="R632"/>
  <c r="R542"/>
  <c r="R474"/>
  <c r="R410"/>
  <c r="R346"/>
  <c r="R282"/>
  <c r="R218"/>
  <c r="R154"/>
  <c r="R775"/>
  <c r="R663"/>
  <c r="R551"/>
  <c r="R159"/>
  <c r="R815"/>
  <c r="R1199"/>
  <c r="R1228"/>
  <c r="R1052"/>
  <c r="R988"/>
  <c r="R1165"/>
  <c r="R1069"/>
  <c r="R749"/>
  <c r="R365"/>
  <c r="R301"/>
  <c r="R237"/>
  <c r="R173"/>
  <c r="R109"/>
  <c r="R1266"/>
  <c r="R467"/>
  <c r="R339"/>
  <c r="R273"/>
  <c r="R450"/>
  <c r="R418"/>
  <c r="R98"/>
  <c r="R1170"/>
  <c r="R1195"/>
  <c r="R1240"/>
  <c r="R962"/>
  <c r="R631"/>
  <c r="R499"/>
  <c r="R1020"/>
  <c r="R956"/>
  <c r="R1245"/>
  <c r="R701"/>
  <c r="R1238"/>
  <c r="R886"/>
  <c r="R790"/>
  <c r="R908"/>
  <c r="R444"/>
  <c r="R380"/>
  <c r="R316"/>
  <c r="R462"/>
  <c r="R398"/>
  <c r="R334"/>
  <c r="R270"/>
  <c r="R206"/>
  <c r="R142"/>
  <c r="R78"/>
  <c r="R923"/>
  <c r="R1107"/>
  <c r="R1059"/>
  <c r="R1265"/>
  <c r="R1002"/>
  <c r="R560"/>
  <c r="R1188"/>
  <c r="R1108"/>
  <c r="R1189"/>
  <c r="R533"/>
  <c r="R644"/>
  <c r="R277"/>
  <c r="R691"/>
  <c r="R830"/>
  <c r="R804"/>
  <c r="R469"/>
  <c r="R293"/>
  <c r="R771"/>
  <c r="R579"/>
  <c r="R980"/>
  <c r="R1054"/>
  <c r="R862"/>
  <c r="R836"/>
  <c r="R357"/>
  <c r="R611"/>
  <c r="R845"/>
  <c r="R1057"/>
  <c r="R1255"/>
  <c r="R858"/>
  <c r="R266"/>
  <c r="R1113"/>
  <c r="R985"/>
  <c r="R857"/>
  <c r="R1147"/>
  <c r="R1083"/>
  <c r="R1019"/>
  <c r="R987"/>
  <c r="R955"/>
  <c r="R1256"/>
  <c r="R1208"/>
  <c r="R1176"/>
  <c r="R984"/>
  <c r="R1225"/>
  <c r="R1193"/>
  <c r="R1202"/>
  <c r="R1122"/>
  <c r="R978"/>
  <c r="R882"/>
  <c r="R680"/>
  <c r="R750"/>
  <c r="R622"/>
  <c r="R263"/>
  <c r="R199"/>
  <c r="R135"/>
  <c r="R71"/>
  <c r="R252"/>
  <c r="R188"/>
  <c r="R124"/>
  <c r="R60"/>
  <c r="R180"/>
  <c r="R1239"/>
  <c r="R1135"/>
  <c r="R77"/>
  <c r="R1164"/>
  <c r="R1100"/>
  <c r="R972"/>
  <c r="R1197"/>
  <c r="R1126"/>
  <c r="R764"/>
  <c r="R668"/>
  <c r="R636"/>
  <c r="R540"/>
  <c r="R508"/>
  <c r="R525"/>
  <c r="R493"/>
  <c r="R461"/>
  <c r="R429"/>
  <c r="R722"/>
  <c r="R494"/>
  <c r="R414"/>
  <c r="R350"/>
  <c r="R286"/>
  <c r="R222"/>
  <c r="R158"/>
  <c r="R94"/>
  <c r="R715"/>
  <c r="R311"/>
  <c r="R183"/>
  <c r="R119"/>
  <c r="R55"/>
  <c r="R1111"/>
  <c r="R1271"/>
  <c r="R599"/>
  <c r="R1065"/>
  <c r="R809"/>
  <c r="R177"/>
  <c r="R1171"/>
  <c r="R963"/>
  <c r="R1264"/>
  <c r="R1018"/>
  <c r="R762"/>
  <c r="R896"/>
  <c r="R864"/>
  <c r="R800"/>
  <c r="R752"/>
  <c r="R720"/>
  <c r="R742"/>
  <c r="R614"/>
  <c r="R482"/>
  <c r="R290"/>
  <c r="R148"/>
  <c r="R1124"/>
  <c r="R629"/>
  <c r="R1134"/>
  <c r="R724"/>
  <c r="R500"/>
  <c r="R325"/>
  <c r="R739"/>
  <c r="R547"/>
  <c r="R741"/>
  <c r="R693"/>
  <c r="R549"/>
  <c r="R1246"/>
  <c r="R852"/>
  <c r="R660"/>
  <c r="R341"/>
  <c r="R538"/>
  <c r="R627"/>
  <c r="R1140"/>
  <c r="R1237"/>
  <c r="R757"/>
  <c r="R613"/>
  <c r="R910"/>
  <c r="R884"/>
  <c r="R692"/>
  <c r="R405"/>
  <c r="R659"/>
  <c r="R1121"/>
  <c r="R865"/>
  <c r="R65"/>
  <c r="R379"/>
  <c r="R123"/>
  <c r="R33"/>
  <c r="R81"/>
  <c r="R249"/>
  <c r="R973"/>
  <c r="R317"/>
  <c r="R1154"/>
  <c r="R930"/>
  <c r="R734"/>
  <c r="R606"/>
  <c r="R558"/>
  <c r="R490"/>
  <c r="R870"/>
  <c r="R765"/>
  <c r="R637"/>
  <c r="R1206"/>
  <c r="R674"/>
  <c r="R478"/>
  <c r="R859"/>
  <c r="R795"/>
  <c r="R895"/>
  <c r="R1168"/>
  <c r="R1136"/>
  <c r="R1040"/>
  <c r="R944"/>
  <c r="R1233"/>
  <c r="R1114"/>
  <c r="R726"/>
  <c r="R359"/>
  <c r="R1047"/>
  <c r="R773"/>
  <c r="R581"/>
  <c r="R517"/>
  <c r="R682"/>
  <c r="R175"/>
  <c r="R565"/>
  <c r="R451"/>
  <c r="R195"/>
  <c r="R929"/>
  <c r="R97"/>
  <c r="R187"/>
  <c r="R155"/>
  <c r="R347"/>
  <c r="R653"/>
  <c r="R907"/>
  <c r="R556"/>
  <c r="R381"/>
  <c r="R125"/>
  <c r="R1119"/>
  <c r="R863"/>
  <c r="R921"/>
  <c r="R545"/>
  <c r="R615"/>
  <c r="R1163"/>
  <c r="R1067"/>
  <c r="R1035"/>
  <c r="R971"/>
  <c r="R939"/>
  <c r="R1064"/>
  <c r="R1032"/>
  <c r="R968"/>
  <c r="R936"/>
  <c r="R1138"/>
  <c r="R1042"/>
  <c r="R712"/>
  <c r="R648"/>
  <c r="R638"/>
  <c r="R590"/>
  <c r="R284"/>
  <c r="R220"/>
  <c r="R156"/>
  <c r="R92"/>
  <c r="R276"/>
  <c r="R1007"/>
  <c r="R1041"/>
  <c r="R977"/>
  <c r="R913"/>
  <c r="R849"/>
  <c r="R45"/>
  <c r="R1215"/>
  <c r="R1068"/>
  <c r="R966"/>
  <c r="R509"/>
  <c r="R445"/>
  <c r="R413"/>
  <c r="R446"/>
  <c r="R382"/>
  <c r="R318"/>
  <c r="R254"/>
  <c r="R190"/>
  <c r="R126"/>
  <c r="R62"/>
  <c r="R699"/>
  <c r="R523"/>
  <c r="R295"/>
  <c r="R969"/>
  <c r="R905"/>
  <c r="R161"/>
  <c r="R947"/>
  <c r="R1232"/>
  <c r="R1185"/>
  <c r="R1146"/>
  <c r="R912"/>
  <c r="R880"/>
  <c r="R816"/>
  <c r="R710"/>
  <c r="R210"/>
  <c r="R178"/>
  <c r="R146"/>
  <c r="R114"/>
  <c r="R244"/>
  <c r="R1223"/>
  <c r="R1095"/>
  <c r="R1031"/>
  <c r="R1092"/>
  <c r="R1157"/>
  <c r="R1029"/>
  <c r="R725"/>
  <c r="R501"/>
  <c r="R437"/>
  <c r="R229"/>
  <c r="R643"/>
  <c r="R789"/>
  <c r="R645"/>
  <c r="R772"/>
  <c r="R372"/>
  <c r="R421"/>
  <c r="R915"/>
  <c r="R723"/>
  <c r="R531"/>
  <c r="R932"/>
  <c r="R709"/>
  <c r="R309"/>
  <c r="R666"/>
  <c r="R755"/>
  <c r="R563"/>
  <c r="R387"/>
  <c r="R131"/>
  <c r="R833"/>
  <c r="R43"/>
  <c r="AC35"/>
  <c r="R550" l="1"/>
  <c r="R979"/>
  <c r="R899"/>
  <c r="R819"/>
  <c r="R1254"/>
  <c r="R258"/>
  <c r="R1219"/>
  <c r="R1101"/>
  <c r="R1044"/>
  <c r="R694"/>
  <c r="R1008"/>
  <c r="R1169"/>
  <c r="R1143"/>
  <c r="R362"/>
  <c r="R1099"/>
  <c r="R1204"/>
  <c r="R647"/>
  <c r="R375"/>
  <c r="R162"/>
  <c r="R1082"/>
  <c r="R44"/>
  <c r="R544"/>
  <c r="R1004"/>
  <c r="R256"/>
  <c r="R507"/>
  <c r="R1125"/>
  <c r="R995"/>
  <c r="R283"/>
  <c r="R1226"/>
  <c r="R763"/>
  <c r="R788"/>
  <c r="R194"/>
  <c r="R651"/>
  <c r="R840"/>
  <c r="R130"/>
  <c r="R96"/>
  <c r="R111"/>
  <c r="R820"/>
  <c r="R322"/>
  <c r="R948"/>
  <c r="R746"/>
  <c r="R996"/>
  <c r="R226"/>
  <c r="R455"/>
  <c r="R586"/>
  <c r="R1166"/>
  <c r="R1091"/>
  <c r="R779"/>
  <c r="R253"/>
  <c r="R32"/>
  <c r="R189"/>
  <c r="R587"/>
  <c r="R503"/>
  <c r="R567"/>
  <c r="R991"/>
  <c r="R343"/>
  <c r="R354"/>
  <c r="R831"/>
  <c r="R66"/>
  <c r="R844"/>
  <c r="R217"/>
  <c r="R876"/>
  <c r="R927"/>
  <c r="R664"/>
  <c r="R783"/>
  <c r="R275"/>
  <c r="R475"/>
  <c r="R854"/>
  <c r="R299"/>
  <c r="R878"/>
  <c r="R1201"/>
  <c r="R900"/>
  <c r="R224"/>
  <c r="R459"/>
  <c r="R806"/>
  <c r="R1151"/>
  <c r="R604"/>
  <c r="R1046"/>
  <c r="R1192"/>
  <c r="R624"/>
  <c r="R546"/>
  <c r="R1251"/>
  <c r="R990"/>
  <c r="R391"/>
  <c r="R760"/>
  <c r="R782"/>
  <c r="R1259"/>
  <c r="R1209"/>
  <c r="R394"/>
  <c r="R942"/>
  <c r="R191"/>
  <c r="R184"/>
  <c r="R247"/>
  <c r="R1014"/>
  <c r="R438"/>
  <c r="R683"/>
  <c r="R331"/>
  <c r="R803"/>
  <c r="R1038"/>
  <c r="R946"/>
  <c r="R678"/>
  <c r="R1084"/>
  <c r="R105"/>
  <c r="R902"/>
  <c r="R727"/>
  <c r="R1173"/>
  <c r="R50"/>
  <c r="R1162"/>
  <c r="R578"/>
  <c r="R695"/>
  <c r="R407"/>
  <c r="R487"/>
  <c r="R943"/>
  <c r="R808"/>
  <c r="R1161"/>
  <c r="R271"/>
  <c r="R327"/>
  <c r="R584"/>
  <c r="R340"/>
  <c r="R423"/>
  <c r="R1109"/>
  <c r="R635"/>
  <c r="R879"/>
  <c r="R539"/>
  <c r="R443"/>
  <c r="R519"/>
  <c r="R1017"/>
  <c r="R439"/>
  <c r="R1024"/>
  <c r="R583"/>
  <c r="R496"/>
  <c r="R85"/>
  <c r="R847"/>
  <c r="R504"/>
  <c r="R975"/>
  <c r="R594"/>
  <c r="R1013"/>
  <c r="R688"/>
  <c r="R823"/>
  <c r="R1198"/>
  <c r="R352"/>
  <c r="R774"/>
  <c r="R395"/>
  <c r="R128"/>
  <c r="R778"/>
  <c r="R157"/>
  <c r="R386"/>
  <c r="R241"/>
  <c r="R667"/>
  <c r="R215"/>
  <c r="R970"/>
  <c r="R574"/>
  <c r="R1073"/>
  <c r="R736"/>
  <c r="R569"/>
  <c r="R223"/>
  <c r="R922"/>
  <c r="R766"/>
  <c r="R952"/>
  <c r="R747"/>
  <c r="R399"/>
  <c r="R619"/>
  <c r="R167"/>
  <c r="R1028"/>
  <c r="R363"/>
  <c r="R598"/>
  <c r="R911"/>
  <c r="R596"/>
  <c r="R320"/>
  <c r="R796"/>
  <c r="R868"/>
  <c r="R986"/>
  <c r="R480"/>
  <c r="R427"/>
  <c r="R64"/>
  <c r="R411"/>
  <c r="R491"/>
  <c r="R835"/>
  <c r="R192"/>
  <c r="R851"/>
  <c r="R867"/>
  <c r="R883"/>
  <c r="R931"/>
  <c r="R1123"/>
  <c r="R315"/>
  <c r="R1104"/>
  <c r="R87"/>
  <c r="R571"/>
  <c r="R1257"/>
  <c r="R838"/>
  <c r="R93"/>
  <c r="R686"/>
  <c r="R127"/>
  <c r="R47"/>
  <c r="R255"/>
  <c r="R370"/>
  <c r="R1242"/>
  <c r="R1077"/>
  <c r="R1118"/>
  <c r="R846"/>
  <c r="R1048"/>
  <c r="R562"/>
  <c r="R903"/>
  <c r="R1088"/>
  <c r="R999"/>
  <c r="R518"/>
  <c r="R575"/>
  <c r="R1222"/>
  <c r="R303"/>
  <c r="R201"/>
  <c r="R960"/>
  <c r="R671"/>
  <c r="R754"/>
  <c r="R280"/>
  <c r="R351"/>
  <c r="R185"/>
  <c r="R855"/>
  <c r="R416"/>
  <c r="R288"/>
  <c r="R512"/>
  <c r="R1181"/>
  <c r="R1056"/>
  <c r="R628"/>
  <c r="R570"/>
  <c r="R246"/>
  <c r="R609"/>
  <c r="R261"/>
  <c r="R1183"/>
  <c r="R1234"/>
  <c r="R753"/>
  <c r="R860"/>
  <c r="R1207"/>
  <c r="R530"/>
  <c r="R1167"/>
  <c r="R409"/>
  <c r="R768"/>
  <c r="R716"/>
  <c r="R850"/>
  <c r="R166"/>
  <c r="R1155"/>
  <c r="R951"/>
  <c r="R1205"/>
  <c r="R313"/>
  <c r="R486"/>
  <c r="R260"/>
  <c r="R934"/>
  <c r="R1144"/>
  <c r="R672"/>
  <c r="R69"/>
  <c r="R452"/>
  <c r="R690"/>
  <c r="R392"/>
  <c r="R681"/>
  <c r="R554"/>
  <c r="R964"/>
  <c r="R36"/>
  <c r="R983"/>
  <c r="R1080"/>
  <c r="R965"/>
  <c r="R38"/>
  <c r="R488"/>
  <c r="R251"/>
  <c r="R687"/>
  <c r="R361"/>
  <c r="R601"/>
  <c r="R390"/>
  <c r="R441"/>
  <c r="R832"/>
  <c r="R706"/>
  <c r="R56"/>
  <c r="R623"/>
  <c r="R634"/>
  <c r="R267"/>
  <c r="R958"/>
  <c r="R1061"/>
  <c r="R335"/>
  <c r="R1145"/>
  <c r="R640"/>
  <c r="R607"/>
  <c r="R620"/>
  <c r="R626"/>
  <c r="R1142"/>
  <c r="R777"/>
  <c r="R425"/>
  <c r="R548"/>
  <c r="R1221"/>
  <c r="R976"/>
  <c r="R828"/>
  <c r="R1117"/>
  <c r="R520"/>
  <c r="R1179"/>
  <c r="R537"/>
  <c r="R821"/>
  <c r="R207"/>
  <c r="R51"/>
  <c r="R165"/>
  <c r="R1133"/>
  <c r="R328"/>
  <c r="R1098"/>
  <c r="R521"/>
  <c r="R1025"/>
  <c r="R457"/>
  <c r="R326"/>
  <c r="R869"/>
  <c r="R100"/>
  <c r="R1186"/>
  <c r="R209"/>
  <c r="R152"/>
  <c r="R216"/>
  <c r="R242"/>
  <c r="R1078"/>
  <c r="R1045"/>
  <c r="R1027"/>
  <c r="R360"/>
  <c r="R853"/>
  <c r="R516"/>
  <c r="R358"/>
  <c r="R388"/>
  <c r="R933"/>
  <c r="R294"/>
  <c r="R228"/>
  <c r="R872"/>
  <c r="R1248"/>
  <c r="R367"/>
  <c r="R233"/>
  <c r="R703"/>
  <c r="R1030"/>
  <c r="R219"/>
  <c r="R794"/>
  <c r="R473"/>
  <c r="R633"/>
  <c r="R153"/>
  <c r="R198"/>
  <c r="R949"/>
  <c r="R34"/>
  <c r="R1235"/>
  <c r="R982"/>
  <c r="R1203"/>
  <c r="R221"/>
  <c r="R281"/>
  <c r="R102"/>
  <c r="R837"/>
  <c r="R848"/>
  <c r="R231"/>
  <c r="R1231"/>
  <c r="R824"/>
  <c r="R230"/>
  <c r="R104"/>
  <c r="R992"/>
  <c r="R422"/>
  <c r="R890"/>
  <c r="R745"/>
  <c r="R40"/>
  <c r="R1132"/>
  <c r="R356"/>
  <c r="R115"/>
  <c r="R498"/>
  <c r="R649"/>
  <c r="R305"/>
  <c r="R332"/>
  <c r="R108"/>
  <c r="R265"/>
  <c r="R924"/>
  <c r="R676"/>
  <c r="R1026"/>
  <c r="R1090"/>
  <c r="R324"/>
  <c r="R1060"/>
  <c r="R89"/>
  <c r="R793"/>
  <c r="R42"/>
  <c r="R424"/>
  <c r="R1016"/>
  <c r="R1224"/>
  <c r="R197"/>
  <c r="R1127"/>
  <c r="R728"/>
  <c r="R702"/>
  <c r="R232"/>
  <c r="R1105"/>
  <c r="R495"/>
  <c r="R434"/>
  <c r="R287"/>
  <c r="R834"/>
  <c r="R887"/>
  <c r="R117"/>
  <c r="R1220"/>
  <c r="R646"/>
  <c r="R812"/>
  <c r="R274"/>
  <c r="R63"/>
  <c r="R639"/>
  <c r="R460"/>
  <c r="R236"/>
  <c r="R139"/>
  <c r="R935"/>
  <c r="R1267"/>
  <c r="R402"/>
  <c r="R120"/>
  <c r="R1086"/>
  <c r="R1120"/>
  <c r="R505"/>
  <c r="R91"/>
  <c r="R297"/>
  <c r="R431"/>
  <c r="R454"/>
  <c r="R559"/>
  <c r="R735"/>
  <c r="R553"/>
  <c r="R713"/>
  <c r="R1049"/>
  <c r="R377"/>
  <c r="R134"/>
  <c r="R484"/>
  <c r="R200"/>
  <c r="R420"/>
  <c r="R264"/>
  <c r="R885"/>
  <c r="R751"/>
  <c r="R121"/>
  <c r="R610"/>
  <c r="R1229"/>
  <c r="R1263"/>
  <c r="R415"/>
  <c r="R489"/>
  <c r="R585"/>
  <c r="R761"/>
  <c r="R1051"/>
  <c r="R106"/>
  <c r="R70"/>
  <c r="R617"/>
  <c r="R729"/>
  <c r="R981"/>
  <c r="R917"/>
  <c r="R68"/>
  <c r="R708"/>
  <c r="R132"/>
  <c r="R456"/>
  <c r="R1033"/>
  <c r="R1010"/>
  <c r="R665"/>
  <c r="R1131"/>
  <c r="R511"/>
  <c r="R1212"/>
  <c r="R718"/>
  <c r="R552"/>
  <c r="R1236"/>
  <c r="R767"/>
  <c r="R950"/>
  <c r="R697"/>
  <c r="R1096"/>
  <c r="R1153"/>
  <c r="R72"/>
  <c r="R133"/>
  <c r="R874"/>
  <c r="R1200"/>
  <c r="R57"/>
  <c r="R393"/>
  <c r="R612"/>
  <c r="R894"/>
  <c r="R1075"/>
  <c r="R79"/>
  <c r="R463"/>
  <c r="R919"/>
  <c r="R296"/>
  <c r="W12"/>
  <c r="R618"/>
  <c r="R344"/>
  <c r="R472"/>
  <c r="R1093"/>
  <c r="R1079"/>
  <c r="R306"/>
  <c r="R1066"/>
  <c r="R383"/>
  <c r="R396"/>
  <c r="R1055"/>
  <c r="R657"/>
  <c r="R172"/>
  <c r="R1250"/>
  <c r="R73"/>
  <c r="R719"/>
  <c r="R780"/>
  <c r="R967"/>
  <c r="R655"/>
  <c r="R479"/>
  <c r="R1074"/>
  <c r="R103"/>
  <c r="R1128"/>
  <c r="R182"/>
  <c r="R807"/>
  <c r="R202"/>
  <c r="R376"/>
  <c r="R527"/>
  <c r="R906"/>
  <c r="R170"/>
  <c r="R1106"/>
  <c r="R53"/>
  <c r="R926"/>
  <c r="R447"/>
  <c r="R138"/>
  <c r="R338"/>
  <c r="R408"/>
  <c r="R543"/>
  <c r="R871"/>
  <c r="R888"/>
  <c r="R1003"/>
  <c r="R137"/>
  <c r="R785"/>
  <c r="R312"/>
  <c r="R1177"/>
  <c r="R1160"/>
  <c r="R650"/>
  <c r="R319"/>
  <c r="R786"/>
  <c r="R1000"/>
  <c r="R866"/>
  <c r="R1039"/>
  <c r="R730"/>
  <c r="R39"/>
  <c r="R842"/>
  <c r="R169"/>
  <c r="R529"/>
  <c r="R83"/>
  <c r="R440"/>
  <c r="R625"/>
  <c r="R374"/>
  <c r="R1258"/>
  <c r="R705"/>
  <c r="R1213"/>
  <c r="R497"/>
  <c r="W11"/>
  <c r="R466"/>
  <c r="R918"/>
  <c r="R839"/>
  <c r="R1148"/>
  <c r="R1191"/>
  <c r="R877"/>
  <c r="R608"/>
  <c r="R369"/>
  <c r="R1129"/>
  <c r="R449"/>
  <c r="R337"/>
  <c r="R577"/>
  <c r="R673"/>
  <c r="R465"/>
  <c r="R593"/>
  <c r="Z31"/>
  <c r="AG1141" s="1"/>
  <c r="AB31"/>
  <c r="AA31"/>
  <c r="AH944" s="1"/>
  <c r="AC27"/>
  <c r="AG343" l="1"/>
  <c r="AH932"/>
  <c r="AH1178"/>
  <c r="AH649"/>
  <c r="AH259"/>
  <c r="AH1225"/>
  <c r="AH1221"/>
  <c r="AH595"/>
  <c r="AH982"/>
  <c r="AH380"/>
  <c r="AG992"/>
  <c r="AG890"/>
  <c r="AG206"/>
  <c r="AG1212"/>
  <c r="AG254"/>
  <c r="AG558"/>
  <c r="AG913"/>
  <c r="AG377"/>
  <c r="AG656"/>
  <c r="AG740"/>
  <c r="AG706"/>
  <c r="AG1010"/>
  <c r="AG148"/>
  <c r="AG851"/>
  <c r="AG213"/>
  <c r="AG909"/>
  <c r="AG1115"/>
  <c r="AG671"/>
  <c r="AG246"/>
  <c r="AG617"/>
  <c r="AG499"/>
  <c r="AG52"/>
  <c r="AG207"/>
  <c r="AG277"/>
  <c r="AG121"/>
  <c r="AG635"/>
  <c r="AH474"/>
  <c r="AH187"/>
  <c r="AG386"/>
  <c r="AG1268"/>
  <c r="AG1185"/>
  <c r="AG102"/>
  <c r="AG714"/>
  <c r="AG1023"/>
  <c r="AG138"/>
  <c r="AG120"/>
  <c r="AG44"/>
  <c r="AG1066"/>
  <c r="AG344"/>
  <c r="AG1194"/>
  <c r="AG1211"/>
  <c r="AG521"/>
  <c r="AG537"/>
  <c r="AG302"/>
  <c r="AG848"/>
  <c r="AG451"/>
  <c r="AG414"/>
  <c r="AG949"/>
  <c r="AG400"/>
  <c r="AG130"/>
  <c r="AH218"/>
  <c r="AG845"/>
  <c r="AG62"/>
  <c r="AG698"/>
  <c r="AG471"/>
  <c r="AG90"/>
  <c r="AG623"/>
  <c r="AG1106"/>
  <c r="AG960"/>
  <c r="AG472"/>
  <c r="AG75"/>
  <c r="AG1163"/>
  <c r="AG1011"/>
  <c r="AG819"/>
  <c r="AG812"/>
  <c r="AG170"/>
  <c r="AG1129"/>
  <c r="AG1003"/>
  <c r="AG171"/>
  <c r="AG636"/>
  <c r="AG814"/>
  <c r="AG951"/>
  <c r="AG72"/>
  <c r="AG1105"/>
  <c r="AH515"/>
  <c r="AH455"/>
  <c r="AH936"/>
  <c r="AH525"/>
  <c r="AH1018"/>
  <c r="AH225"/>
  <c r="AH372"/>
  <c r="AH743"/>
  <c r="AH1020"/>
  <c r="AH382"/>
  <c r="AH241"/>
  <c r="AH694"/>
  <c r="AH538"/>
  <c r="AH411"/>
  <c r="AH120"/>
  <c r="AH925"/>
  <c r="AH1028"/>
  <c r="AH573"/>
  <c r="AH240"/>
  <c r="AG737"/>
  <c r="AG863"/>
  <c r="AH556"/>
  <c r="AG124"/>
  <c r="AG1126"/>
  <c r="AH164"/>
  <c r="AG322"/>
  <c r="AG676"/>
  <c r="AG1222"/>
  <c r="AH93"/>
  <c r="AG1171"/>
  <c r="AG501"/>
  <c r="AH457"/>
  <c r="AH188"/>
  <c r="AH895"/>
  <c r="AH389"/>
  <c r="AH281"/>
  <c r="AG902"/>
  <c r="AH1217"/>
  <c r="AG748"/>
  <c r="AG509"/>
  <c r="AH295"/>
  <c r="AH986"/>
  <c r="AG581"/>
  <c r="AG830"/>
  <c r="AH910"/>
  <c r="AH233"/>
  <c r="AG127"/>
  <c r="AG657"/>
  <c r="AG247"/>
  <c r="AG756"/>
  <c r="AG137"/>
  <c r="AH449"/>
  <c r="AG754"/>
  <c r="AG401"/>
  <c r="AG1093"/>
  <c r="AH1003"/>
  <c r="AG925"/>
  <c r="AH201"/>
  <c r="AH446"/>
  <c r="AH105"/>
  <c r="AH130"/>
  <c r="AH1014"/>
  <c r="AH371"/>
  <c r="AH755"/>
  <c r="AH244"/>
  <c r="AH738"/>
  <c r="AH623"/>
  <c r="AO623" s="1"/>
  <c r="AR623" s="1"/>
  <c r="AH184"/>
  <c r="AH1066"/>
  <c r="AH62"/>
  <c r="AH149"/>
  <c r="AH117"/>
  <c r="AH891"/>
  <c r="AH314"/>
  <c r="AH379"/>
  <c r="AH404"/>
  <c r="AH487"/>
  <c r="AH317"/>
  <c r="AH338"/>
  <c r="AH605"/>
  <c r="AH1155"/>
  <c r="AH51"/>
  <c r="AH35"/>
  <c r="AH138"/>
  <c r="AH909"/>
  <c r="AH170"/>
  <c r="AH1106"/>
  <c r="AH671"/>
  <c r="AO671" s="1"/>
  <c r="AR671" s="1"/>
  <c r="AH783"/>
  <c r="AH171"/>
  <c r="AH75"/>
  <c r="AH513"/>
  <c r="AH776"/>
  <c r="AH1237"/>
  <c r="AH937"/>
  <c r="AH1158"/>
  <c r="AH203"/>
  <c r="AH469"/>
  <c r="AH1114"/>
  <c r="AH632"/>
  <c r="AH566"/>
  <c r="AH646"/>
  <c r="AH1117"/>
  <c r="AH167"/>
  <c r="AH532"/>
  <c r="AH947"/>
  <c r="AH1263"/>
  <c r="AH901"/>
  <c r="AH720"/>
  <c r="AH519"/>
  <c r="AH495"/>
  <c r="AH1197"/>
  <c r="AH899"/>
  <c r="AH435"/>
  <c r="AH1231"/>
  <c r="AH747"/>
  <c r="AH1146"/>
  <c r="AH741"/>
  <c r="AH1103"/>
  <c r="AH363"/>
  <c r="AH608"/>
  <c r="AH701"/>
  <c r="AH523"/>
  <c r="AH113"/>
  <c r="AH800"/>
  <c r="AH917"/>
  <c r="AH612"/>
  <c r="AH805"/>
  <c r="AH833"/>
  <c r="AH44"/>
  <c r="AH246"/>
  <c r="AH193"/>
  <c r="AH190"/>
  <c r="AH765"/>
  <c r="AH1025"/>
  <c r="AH1054"/>
  <c r="AH643"/>
  <c r="AH1043"/>
  <c r="AH78"/>
  <c r="AH76"/>
  <c r="AH378"/>
  <c r="AH304"/>
  <c r="AH425"/>
  <c r="AH239"/>
  <c r="AH677"/>
  <c r="AH784"/>
  <c r="AH177"/>
  <c r="AH461"/>
  <c r="AH498"/>
  <c r="AH121"/>
  <c r="AH1077"/>
  <c r="AH452"/>
  <c r="AH258"/>
  <c r="AH202"/>
  <c r="AH459"/>
  <c r="AH1006"/>
  <c r="AH547"/>
  <c r="AH84"/>
  <c r="AC3"/>
  <c r="AI48"/>
  <c r="AI64"/>
  <c r="AI80"/>
  <c r="AI96"/>
  <c r="AI33"/>
  <c r="AI49"/>
  <c r="AI65"/>
  <c r="AI81"/>
  <c r="AI97"/>
  <c r="AI211"/>
  <c r="AI42"/>
  <c r="AI58"/>
  <c r="AI74"/>
  <c r="AI90"/>
  <c r="AI103"/>
  <c r="AI107"/>
  <c r="AI111"/>
  <c r="AI115"/>
  <c r="AI119"/>
  <c r="AI123"/>
  <c r="AI127"/>
  <c r="AI131"/>
  <c r="AI135"/>
  <c r="AI139"/>
  <c r="AI143"/>
  <c r="AI147"/>
  <c r="AI151"/>
  <c r="AI155"/>
  <c r="AI159"/>
  <c r="AI163"/>
  <c r="AI167"/>
  <c r="AI171"/>
  <c r="AI175"/>
  <c r="AI179"/>
  <c r="AI183"/>
  <c r="AI187"/>
  <c r="AI191"/>
  <c r="AI44"/>
  <c r="AI60"/>
  <c r="AI76"/>
  <c r="AI92"/>
  <c r="AI208"/>
  <c r="AI45"/>
  <c r="AI61"/>
  <c r="AI77"/>
  <c r="AI93"/>
  <c r="AI207"/>
  <c r="AI38"/>
  <c r="AI54"/>
  <c r="AI70"/>
  <c r="AI86"/>
  <c r="AI102"/>
  <c r="AI106"/>
  <c r="AI110"/>
  <c r="AI114"/>
  <c r="AI118"/>
  <c r="AI122"/>
  <c r="AI126"/>
  <c r="AI130"/>
  <c r="AI134"/>
  <c r="AI138"/>
  <c r="AI142"/>
  <c r="AI146"/>
  <c r="AI150"/>
  <c r="AI154"/>
  <c r="AI158"/>
  <c r="AI162"/>
  <c r="AI166"/>
  <c r="AI170"/>
  <c r="AI174"/>
  <c r="AI178"/>
  <c r="AI182"/>
  <c r="AI186"/>
  <c r="AI190"/>
  <c r="AI194"/>
  <c r="AI198"/>
  <c r="AI202"/>
  <c r="AI218"/>
  <c r="AI47"/>
  <c r="AI63"/>
  <c r="AI79"/>
  <c r="AI95"/>
  <c r="AI213"/>
  <c r="AI231"/>
  <c r="AI219"/>
  <c r="AI223"/>
  <c r="AI243"/>
  <c r="AI259"/>
  <c r="AI275"/>
  <c r="AI291"/>
  <c r="AI416"/>
  <c r="AI430"/>
  <c r="AI448"/>
  <c r="AI225"/>
  <c r="AI230"/>
  <c r="AI256"/>
  <c r="AI272"/>
  <c r="AI288"/>
  <c r="AI295"/>
  <c r="AI299"/>
  <c r="AI303"/>
  <c r="AI307"/>
  <c r="AI311"/>
  <c r="AI315"/>
  <c r="AI319"/>
  <c r="AI323"/>
  <c r="AI327"/>
  <c r="AI331"/>
  <c r="AI335"/>
  <c r="AI339"/>
  <c r="AI343"/>
  <c r="AI347"/>
  <c r="AI351"/>
  <c r="AI355"/>
  <c r="AI359"/>
  <c r="AI363"/>
  <c r="AI367"/>
  <c r="AI371"/>
  <c r="AI375"/>
  <c r="AI379"/>
  <c r="AI383"/>
  <c r="AI387"/>
  <c r="AI391"/>
  <c r="AI395"/>
  <c r="AI399"/>
  <c r="AI411"/>
  <c r="AI425"/>
  <c r="AI443"/>
  <c r="AI457"/>
  <c r="AI234"/>
  <c r="AI257"/>
  <c r="AI273"/>
  <c r="AI289"/>
  <c r="AI414"/>
  <c r="AI432"/>
  <c r="AI446"/>
  <c r="AI238"/>
  <c r="AI258"/>
  <c r="AI274"/>
  <c r="AI290"/>
  <c r="AI413"/>
  <c r="AI431"/>
  <c r="AI445"/>
  <c r="AI463"/>
  <c r="AI480"/>
  <c r="AI498"/>
  <c r="AI514"/>
  <c r="AI530"/>
  <c r="AI477"/>
  <c r="AI499"/>
  <c r="AI517"/>
  <c r="AI538"/>
  <c r="AI554"/>
  <c r="AI570"/>
  <c r="AI583"/>
  <c r="AI607"/>
  <c r="AI623"/>
  <c r="AI639"/>
  <c r="AI655"/>
  <c r="AI671"/>
  <c r="AI687"/>
  <c r="AI703"/>
  <c r="AI719"/>
  <c r="AI735"/>
  <c r="AI751"/>
  <c r="AI767"/>
  <c r="AI482"/>
  <c r="AI487"/>
  <c r="AI504"/>
  <c r="AI527"/>
  <c r="AI543"/>
  <c r="AI559"/>
  <c r="AI572"/>
  <c r="AI579"/>
  <c r="AI603"/>
  <c r="AI617"/>
  <c r="AI633"/>
  <c r="AI649"/>
  <c r="AI665"/>
  <c r="AI681"/>
  <c r="AI697"/>
  <c r="AI713"/>
  <c r="AI729"/>
  <c r="AI748"/>
  <c r="AI764"/>
  <c r="AI500"/>
  <c r="AI523"/>
  <c r="AI544"/>
  <c r="AI560"/>
  <c r="AI574"/>
  <c r="AI590"/>
  <c r="AI598"/>
  <c r="AI618"/>
  <c r="AI634"/>
  <c r="AI650"/>
  <c r="AI666"/>
  <c r="AI682"/>
  <c r="AI698"/>
  <c r="AI714"/>
  <c r="AI730"/>
  <c r="AI745"/>
  <c r="AI761"/>
  <c r="AI468"/>
  <c r="AI473"/>
  <c r="AI496"/>
  <c r="AI519"/>
  <c r="AI537"/>
  <c r="AI553"/>
  <c r="AI569"/>
  <c r="AI587"/>
  <c r="AI595"/>
  <c r="AI621"/>
  <c r="AI637"/>
  <c r="AI653"/>
  <c r="AI669"/>
  <c r="AI685"/>
  <c r="AI701"/>
  <c r="AI717"/>
  <c r="AI733"/>
  <c r="AI750"/>
  <c r="AI766"/>
  <c r="AI784"/>
  <c r="AI806"/>
  <c r="AI822"/>
  <c r="AI40"/>
  <c r="AI56"/>
  <c r="AI72"/>
  <c r="AI88"/>
  <c r="AI204"/>
  <c r="AI41"/>
  <c r="AI57"/>
  <c r="AI73"/>
  <c r="AI89"/>
  <c r="AI203"/>
  <c r="AI34"/>
  <c r="AI50"/>
  <c r="AI66"/>
  <c r="AI82"/>
  <c r="AI98"/>
  <c r="AI105"/>
  <c r="AI109"/>
  <c r="AI113"/>
  <c r="AI117"/>
  <c r="AI121"/>
  <c r="AI125"/>
  <c r="AI129"/>
  <c r="AI133"/>
  <c r="AI137"/>
  <c r="AI141"/>
  <c r="AI145"/>
  <c r="AI149"/>
  <c r="AI153"/>
  <c r="AI157"/>
  <c r="AI161"/>
  <c r="AI165"/>
  <c r="AI169"/>
  <c r="AI173"/>
  <c r="AI177"/>
  <c r="AI181"/>
  <c r="AI185"/>
  <c r="AI189"/>
  <c r="AI193"/>
  <c r="AI197"/>
  <c r="AI201"/>
  <c r="AI214"/>
  <c r="AI43"/>
  <c r="AI36"/>
  <c r="AI52"/>
  <c r="AI68"/>
  <c r="AI84"/>
  <c r="AI100"/>
  <c r="AI37"/>
  <c r="AI53"/>
  <c r="AI69"/>
  <c r="AI85"/>
  <c r="AI101"/>
  <c r="AI215"/>
  <c r="AI46"/>
  <c r="AI62"/>
  <c r="AI78"/>
  <c r="AI94"/>
  <c r="AI104"/>
  <c r="AI108"/>
  <c r="AI112"/>
  <c r="AI116"/>
  <c r="AI120"/>
  <c r="AI124"/>
  <c r="AI128"/>
  <c r="AI132"/>
  <c r="AI136"/>
  <c r="AI140"/>
  <c r="AI144"/>
  <c r="AI148"/>
  <c r="AI152"/>
  <c r="AI156"/>
  <c r="AI160"/>
  <c r="AI164"/>
  <c r="AI168"/>
  <c r="AI172"/>
  <c r="AI176"/>
  <c r="AI180"/>
  <c r="AI184"/>
  <c r="AI188"/>
  <c r="AI192"/>
  <c r="AI196"/>
  <c r="AI200"/>
  <c r="AI210"/>
  <c r="AI39"/>
  <c r="AI55"/>
  <c r="AI71"/>
  <c r="AI87"/>
  <c r="AI205"/>
  <c r="AI224"/>
  <c r="AI239"/>
  <c r="AI221"/>
  <c r="AI241"/>
  <c r="AI251"/>
  <c r="AI267"/>
  <c r="AI283"/>
  <c r="AI405"/>
  <c r="AI423"/>
  <c r="AI437"/>
  <c r="AI455"/>
  <c r="AI227"/>
  <c r="AI248"/>
  <c r="AI264"/>
  <c r="AI280"/>
  <c r="AI293"/>
  <c r="AI297"/>
  <c r="AI301"/>
  <c r="AI305"/>
  <c r="AI309"/>
  <c r="AI313"/>
  <c r="AI317"/>
  <c r="AI321"/>
  <c r="AI325"/>
  <c r="AI329"/>
  <c r="AI333"/>
  <c r="AI337"/>
  <c r="AI341"/>
  <c r="AI345"/>
  <c r="AI349"/>
  <c r="AI353"/>
  <c r="AI357"/>
  <c r="AI361"/>
  <c r="AI365"/>
  <c r="AI369"/>
  <c r="AI373"/>
  <c r="AI377"/>
  <c r="AI381"/>
  <c r="AI385"/>
  <c r="AI389"/>
  <c r="AI393"/>
  <c r="AI397"/>
  <c r="AI404"/>
  <c r="AI418"/>
  <c r="AI436"/>
  <c r="AI450"/>
  <c r="AI232"/>
  <c r="AI249"/>
  <c r="AI265"/>
  <c r="AI281"/>
  <c r="AI407"/>
  <c r="AI421"/>
  <c r="AI439"/>
  <c r="AI236"/>
  <c r="AI250"/>
  <c r="AI266"/>
  <c r="AI282"/>
  <c r="AI406"/>
  <c r="AI424"/>
  <c r="AI438"/>
  <c r="AI456"/>
  <c r="AI470"/>
  <c r="AI490"/>
  <c r="AI506"/>
  <c r="AI522"/>
  <c r="AI462"/>
  <c r="AI479"/>
  <c r="AI508"/>
  <c r="AI531"/>
  <c r="AI546"/>
  <c r="AI562"/>
  <c r="AI581"/>
  <c r="AI605"/>
  <c r="AI615"/>
  <c r="AI35"/>
  <c r="AI75"/>
  <c r="AI209"/>
  <c r="AI216"/>
  <c r="AI242"/>
  <c r="AI271"/>
  <c r="AI412"/>
  <c r="AI444"/>
  <c r="AI229"/>
  <c r="AI268"/>
  <c r="AI294"/>
  <c r="AI302"/>
  <c r="AI310"/>
  <c r="AI318"/>
  <c r="AI326"/>
  <c r="AI334"/>
  <c r="AI342"/>
  <c r="AI350"/>
  <c r="AI358"/>
  <c r="AI366"/>
  <c r="AI374"/>
  <c r="AI382"/>
  <c r="AI390"/>
  <c r="AI398"/>
  <c r="AI422"/>
  <c r="AI454"/>
  <c r="AI253"/>
  <c r="AI285"/>
  <c r="AI428"/>
  <c r="AI237"/>
  <c r="AI270"/>
  <c r="AI409"/>
  <c r="AI441"/>
  <c r="AI476"/>
  <c r="AI510"/>
  <c r="AI465"/>
  <c r="AI515"/>
  <c r="AI550"/>
  <c r="AI582"/>
  <c r="AI622"/>
  <c r="AI646"/>
  <c r="AI663"/>
  <c r="AI686"/>
  <c r="AI710"/>
  <c r="AI727"/>
  <c r="AI747"/>
  <c r="AI453"/>
  <c r="AI485"/>
  <c r="AI497"/>
  <c r="AI529"/>
  <c r="AI551"/>
  <c r="AI571"/>
  <c r="AI600"/>
  <c r="AI609"/>
  <c r="AI632"/>
  <c r="AI656"/>
  <c r="AI673"/>
  <c r="AI696"/>
  <c r="AI720"/>
  <c r="AI737"/>
  <c r="AI760"/>
  <c r="AI507"/>
  <c r="AI532"/>
  <c r="AI556"/>
  <c r="AI575"/>
  <c r="AI596"/>
  <c r="AI611"/>
  <c r="AI635"/>
  <c r="AI658"/>
  <c r="AI675"/>
  <c r="AI699"/>
  <c r="AI722"/>
  <c r="AI739"/>
  <c r="AI765"/>
  <c r="AI471"/>
  <c r="AI489"/>
  <c r="AI521"/>
  <c r="AI545"/>
  <c r="AI565"/>
  <c r="AI592"/>
  <c r="AI613"/>
  <c r="AI636"/>
  <c r="AI660"/>
  <c r="AI677"/>
  <c r="AI700"/>
  <c r="AI724"/>
  <c r="AI741"/>
  <c r="AI762"/>
  <c r="AI785"/>
  <c r="AI814"/>
  <c r="AI831"/>
  <c r="AI847"/>
  <c r="AI863"/>
  <c r="AI879"/>
  <c r="AI895"/>
  <c r="AI911"/>
  <c r="AI780"/>
  <c r="AI802"/>
  <c r="AI817"/>
  <c r="AI840"/>
  <c r="AI866"/>
  <c r="AI881"/>
  <c r="AI904"/>
  <c r="AI919"/>
  <c r="AI938"/>
  <c r="AI954"/>
  <c r="AI970"/>
  <c r="AI986"/>
  <c r="AI1002"/>
  <c r="AI776"/>
  <c r="AI796"/>
  <c r="AI820"/>
  <c r="AI835"/>
  <c r="AI861"/>
  <c r="AI884"/>
  <c r="AI899"/>
  <c r="AI928"/>
  <c r="AI943"/>
  <c r="AI959"/>
  <c r="AI975"/>
  <c r="AI991"/>
  <c r="AI1007"/>
  <c r="AI787"/>
  <c r="AI812"/>
  <c r="AI827"/>
  <c r="AI853"/>
  <c r="AI876"/>
  <c r="AI891"/>
  <c r="AI915"/>
  <c r="AI931"/>
  <c r="AI947"/>
  <c r="AI963"/>
  <c r="AI979"/>
  <c r="AI995"/>
  <c r="AI1011"/>
  <c r="AI1015"/>
  <c r="AI1019"/>
  <c r="AI1023"/>
  <c r="AI1027"/>
  <c r="AI1031"/>
  <c r="AI1035"/>
  <c r="AI1039"/>
  <c r="AI1043"/>
  <c r="AI1047"/>
  <c r="AI1051"/>
  <c r="AI1055"/>
  <c r="AI1059"/>
  <c r="AI1063"/>
  <c r="AI1067"/>
  <c r="AI1071"/>
  <c r="AI1075"/>
  <c r="AI768"/>
  <c r="AI788"/>
  <c r="AI810"/>
  <c r="AI825"/>
  <c r="AI848"/>
  <c r="AI874"/>
  <c r="AI889"/>
  <c r="AI912"/>
  <c r="AI925"/>
  <c r="AI936"/>
  <c r="AI952"/>
  <c r="AI968"/>
  <c r="AI984"/>
  <c r="AI1000"/>
  <c r="AI1099"/>
  <c r="AI1115"/>
  <c r="AI1131"/>
  <c r="AI1147"/>
  <c r="AI1163"/>
  <c r="AI1179"/>
  <c r="AI1195"/>
  <c r="AI1208"/>
  <c r="AI1212"/>
  <c r="AI1228"/>
  <c r="AI1244"/>
  <c r="AI1260"/>
  <c r="AI1081"/>
  <c r="AI1092"/>
  <c r="AI1108"/>
  <c r="AI1124"/>
  <c r="AI1140"/>
  <c r="AI1156"/>
  <c r="AI1172"/>
  <c r="AI1188"/>
  <c r="AI1204"/>
  <c r="AI1226"/>
  <c r="AI1242"/>
  <c r="AI1258"/>
  <c r="AI1093"/>
  <c r="AI1109"/>
  <c r="AI1125"/>
  <c r="AI1141"/>
  <c r="AI1157"/>
  <c r="AI1173"/>
  <c r="AI1189"/>
  <c r="AI1205"/>
  <c r="AI1222"/>
  <c r="AI1238"/>
  <c r="AI1254"/>
  <c r="AI1270"/>
  <c r="AI1086"/>
  <c r="AI1102"/>
  <c r="AI1118"/>
  <c r="AI1134"/>
  <c r="AI1150"/>
  <c r="AI1166"/>
  <c r="AI1182"/>
  <c r="AI1198"/>
  <c r="AI1216"/>
  <c r="AI1232"/>
  <c r="AI1248"/>
  <c r="AI1264"/>
  <c r="AI206"/>
  <c r="AI67"/>
  <c r="AI99"/>
  <c r="AI235"/>
  <c r="AI240"/>
  <c r="AI263"/>
  <c r="AI401"/>
  <c r="AI433"/>
  <c r="AI226"/>
  <c r="AI260"/>
  <c r="AI292"/>
  <c r="AI300"/>
  <c r="AI308"/>
  <c r="AI316"/>
  <c r="AI324"/>
  <c r="AI332"/>
  <c r="AI340"/>
  <c r="AI348"/>
  <c r="AI356"/>
  <c r="AI364"/>
  <c r="AI372"/>
  <c r="AI380"/>
  <c r="AI388"/>
  <c r="AI396"/>
  <c r="AI415"/>
  <c r="AI447"/>
  <c r="AI245"/>
  <c r="AI277"/>
  <c r="AI417"/>
  <c r="AI449"/>
  <c r="AI262"/>
  <c r="AI402"/>
  <c r="AI434"/>
  <c r="AI466"/>
  <c r="AI502"/>
  <c r="AI534"/>
  <c r="AI501"/>
  <c r="AI542"/>
  <c r="AI580"/>
  <c r="AI614"/>
  <c r="AI638"/>
  <c r="AI662"/>
  <c r="AI679"/>
  <c r="AI702"/>
  <c r="AI726"/>
  <c r="AI743"/>
  <c r="AI763"/>
  <c r="AI483"/>
  <c r="AI495"/>
  <c r="AI520"/>
  <c r="AI547"/>
  <c r="AI567"/>
  <c r="AI578"/>
  <c r="AI608"/>
  <c r="AI625"/>
  <c r="AI648"/>
  <c r="AI672"/>
  <c r="AI689"/>
  <c r="AI712"/>
  <c r="AI736"/>
  <c r="AI756"/>
  <c r="AI493"/>
  <c r="AI525"/>
  <c r="AI552"/>
  <c r="AI573"/>
  <c r="AI591"/>
  <c r="AI610"/>
  <c r="AI627"/>
  <c r="AI651"/>
  <c r="AI674"/>
  <c r="AI691"/>
  <c r="AI715"/>
  <c r="AI738"/>
  <c r="AI757"/>
  <c r="AI469"/>
  <c r="AI475"/>
  <c r="AI512"/>
  <c r="AI541"/>
  <c r="AI561"/>
  <c r="AI586"/>
  <c r="AI612"/>
  <c r="AI629"/>
  <c r="AI652"/>
  <c r="AI676"/>
  <c r="AI693"/>
  <c r="AI716"/>
  <c r="AI740"/>
  <c r="AI758"/>
  <c r="AI783"/>
  <c r="AI807"/>
  <c r="AI830"/>
  <c r="AI846"/>
  <c r="AI862"/>
  <c r="AI878"/>
  <c r="AI894"/>
  <c r="AI910"/>
  <c r="AI779"/>
  <c r="AI795"/>
  <c r="AI811"/>
  <c r="AI837"/>
  <c r="AI860"/>
  <c r="AI875"/>
  <c r="AI901"/>
  <c r="AI918"/>
  <c r="AI937"/>
  <c r="AI953"/>
  <c r="AI969"/>
  <c r="AI985"/>
  <c r="AI1001"/>
  <c r="AI769"/>
  <c r="AI791"/>
  <c r="AI809"/>
  <c r="AI832"/>
  <c r="AI858"/>
  <c r="AI873"/>
  <c r="AI896"/>
  <c r="AI921"/>
  <c r="AI942"/>
  <c r="AI958"/>
  <c r="AI974"/>
  <c r="AI990"/>
  <c r="AI1006"/>
  <c r="AI782"/>
  <c r="AI801"/>
  <c r="AI824"/>
  <c r="AI850"/>
  <c r="AI865"/>
  <c r="AI888"/>
  <c r="AI914"/>
  <c r="AI930"/>
  <c r="AI946"/>
  <c r="AI962"/>
  <c r="AI978"/>
  <c r="AI994"/>
  <c r="AI1010"/>
  <c r="AI1014"/>
  <c r="AI1018"/>
  <c r="AI1022"/>
  <c r="AI1026"/>
  <c r="AI1030"/>
  <c r="AI1034"/>
  <c r="AI1038"/>
  <c r="AI1042"/>
  <c r="AI1046"/>
  <c r="AI1050"/>
  <c r="AI1054"/>
  <c r="AI1058"/>
  <c r="AI1062"/>
  <c r="AI1066"/>
  <c r="AI1070"/>
  <c r="AI1074"/>
  <c r="AI1078"/>
  <c r="AI778"/>
  <c r="AI804"/>
  <c r="AI819"/>
  <c r="AI845"/>
  <c r="AI868"/>
  <c r="AI883"/>
  <c r="AI909"/>
  <c r="AI924"/>
  <c r="AI935"/>
  <c r="AI951"/>
  <c r="AI967"/>
  <c r="AI983"/>
  <c r="AI999"/>
  <c r="AI1095"/>
  <c r="AI1111"/>
  <c r="AI1127"/>
  <c r="AI1143"/>
  <c r="AI1159"/>
  <c r="AI1175"/>
  <c r="AI1191"/>
  <c r="AI1207"/>
  <c r="AI1211"/>
  <c r="AI1227"/>
  <c r="AI1243"/>
  <c r="AI1259"/>
  <c r="AI1079"/>
  <c r="AI1088"/>
  <c r="AI1104"/>
  <c r="AI1120"/>
  <c r="AI1136"/>
  <c r="AI1152"/>
  <c r="AI1168"/>
  <c r="AI1184"/>
  <c r="AI1200"/>
  <c r="AI1225"/>
  <c r="AI1241"/>
  <c r="AI1257"/>
  <c r="AI1089"/>
  <c r="AI1105"/>
  <c r="AI1121"/>
  <c r="AI1137"/>
  <c r="AI1153"/>
  <c r="AI1169"/>
  <c r="AI1185"/>
  <c r="AI1201"/>
  <c r="AI1221"/>
  <c r="AI1237"/>
  <c r="AI1253"/>
  <c r="AI1269"/>
  <c r="AI1084"/>
  <c r="AI1098"/>
  <c r="AI1114"/>
  <c r="AI1130"/>
  <c r="AI1146"/>
  <c r="AI1162"/>
  <c r="AI1178"/>
  <c r="AI1194"/>
  <c r="AI1215"/>
  <c r="AI1231"/>
  <c r="AI1247"/>
  <c r="AI1263"/>
  <c r="AI199"/>
  <c r="AI59"/>
  <c r="AI91"/>
  <c r="AI228"/>
  <c r="AI222"/>
  <c r="AI255"/>
  <c r="AI287"/>
  <c r="AI426"/>
  <c r="AI212"/>
  <c r="AI252"/>
  <c r="AI284"/>
  <c r="AI298"/>
  <c r="AI306"/>
  <c r="AI314"/>
  <c r="AI322"/>
  <c r="AI330"/>
  <c r="AI338"/>
  <c r="AI346"/>
  <c r="AI354"/>
  <c r="AI362"/>
  <c r="AI370"/>
  <c r="AI378"/>
  <c r="AI386"/>
  <c r="AI394"/>
  <c r="AI408"/>
  <c r="AI440"/>
  <c r="AI233"/>
  <c r="AI269"/>
  <c r="AI410"/>
  <c r="AI442"/>
  <c r="AI254"/>
  <c r="AI286"/>
  <c r="AI427"/>
  <c r="AI459"/>
  <c r="AI494"/>
  <c r="AI526"/>
  <c r="AI492"/>
  <c r="AI533"/>
  <c r="AI566"/>
  <c r="AI606"/>
  <c r="AI631"/>
  <c r="AI654"/>
  <c r="AI678"/>
  <c r="AI695"/>
  <c r="AI718"/>
  <c r="AI742"/>
  <c r="AI759"/>
  <c r="AI481"/>
  <c r="AI488"/>
  <c r="AI513"/>
  <c r="AI539"/>
  <c r="AI563"/>
  <c r="AI577"/>
  <c r="AI602"/>
  <c r="AI624"/>
  <c r="AI641"/>
  <c r="AI664"/>
  <c r="AI688"/>
  <c r="AI705"/>
  <c r="AI728"/>
  <c r="AI752"/>
  <c r="AI491"/>
  <c r="AI516"/>
  <c r="AI548"/>
  <c r="AI568"/>
  <c r="AI589"/>
  <c r="AI599"/>
  <c r="AI626"/>
  <c r="AI643"/>
  <c r="AI667"/>
  <c r="AI690"/>
  <c r="AI707"/>
  <c r="AI731"/>
  <c r="AI753"/>
  <c r="AI467"/>
  <c r="AI474"/>
  <c r="AI505"/>
  <c r="AI535"/>
  <c r="AI557"/>
  <c r="AI585"/>
  <c r="AI594"/>
  <c r="AI628"/>
  <c r="AI645"/>
  <c r="AI668"/>
  <c r="AI692"/>
  <c r="AI709"/>
  <c r="AI732"/>
  <c r="AI754"/>
  <c r="AI774"/>
  <c r="AI799"/>
  <c r="AI823"/>
  <c r="AI839"/>
  <c r="AI855"/>
  <c r="AI871"/>
  <c r="AI887"/>
  <c r="AI903"/>
  <c r="AI773"/>
  <c r="AI794"/>
  <c r="AI808"/>
  <c r="AI834"/>
  <c r="AI849"/>
  <c r="AI872"/>
  <c r="AI898"/>
  <c r="AI913"/>
  <c r="AI927"/>
  <c r="AI940"/>
  <c r="AI956"/>
  <c r="AI972"/>
  <c r="AI988"/>
  <c r="AI1004"/>
  <c r="AI790"/>
  <c r="AI803"/>
  <c r="AI829"/>
  <c r="AI852"/>
  <c r="AI867"/>
  <c r="AI893"/>
  <c r="AI920"/>
  <c r="AI941"/>
  <c r="AI957"/>
  <c r="AI973"/>
  <c r="AI989"/>
  <c r="AI1005"/>
  <c r="AI772"/>
  <c r="AI797"/>
  <c r="AI821"/>
  <c r="AI844"/>
  <c r="AI859"/>
  <c r="AI885"/>
  <c r="AI908"/>
  <c r="AI923"/>
  <c r="AI945"/>
  <c r="AI961"/>
  <c r="AI977"/>
  <c r="AI993"/>
  <c r="AI1009"/>
  <c r="AI1013"/>
  <c r="AI1017"/>
  <c r="AI1021"/>
  <c r="AI1025"/>
  <c r="AI1029"/>
  <c r="AI1033"/>
  <c r="AI1037"/>
  <c r="AI1041"/>
  <c r="AI1045"/>
  <c r="AI1049"/>
  <c r="AI1053"/>
  <c r="AI1057"/>
  <c r="AI1061"/>
  <c r="AI1065"/>
  <c r="AI1069"/>
  <c r="AI1073"/>
  <c r="AI1077"/>
  <c r="AI777"/>
  <c r="AI798"/>
  <c r="AI816"/>
  <c r="AI842"/>
  <c r="AI857"/>
  <c r="AI880"/>
  <c r="AI906"/>
  <c r="AI917"/>
  <c r="AI934"/>
  <c r="AI950"/>
  <c r="AI966"/>
  <c r="AI982"/>
  <c r="AI998"/>
  <c r="AI1091"/>
  <c r="AI1107"/>
  <c r="AI1123"/>
  <c r="AI1139"/>
  <c r="AI1155"/>
  <c r="AI1171"/>
  <c r="AI1187"/>
  <c r="AI1203"/>
  <c r="AI1210"/>
  <c r="AI1214"/>
  <c r="AI1230"/>
  <c r="AI1246"/>
  <c r="AI1262"/>
  <c r="AI1085"/>
  <c r="AI1100"/>
  <c r="AI1116"/>
  <c r="AI1132"/>
  <c r="AI1148"/>
  <c r="AI1164"/>
  <c r="AI1180"/>
  <c r="AI1196"/>
  <c r="AI1224"/>
  <c r="AI1240"/>
  <c r="AI1256"/>
  <c r="AI1272"/>
  <c r="AI1101"/>
  <c r="AI1117"/>
  <c r="AI1133"/>
  <c r="AI1149"/>
  <c r="AI1165"/>
  <c r="AI1181"/>
  <c r="AI1197"/>
  <c r="AI1220"/>
  <c r="AI1236"/>
  <c r="AI1252"/>
  <c r="AI1268"/>
  <c r="AI1082"/>
  <c r="AI1094"/>
  <c r="AI1110"/>
  <c r="AI1126"/>
  <c r="AI1142"/>
  <c r="AI1158"/>
  <c r="AI1174"/>
  <c r="AI1190"/>
  <c r="AI1206"/>
  <c r="AI1218"/>
  <c r="AI1234"/>
  <c r="AI1250"/>
  <c r="AI1266"/>
  <c r="AI195"/>
  <c r="AI51"/>
  <c r="AI83"/>
  <c r="AI217"/>
  <c r="AI220"/>
  <c r="AI247"/>
  <c r="AI279"/>
  <c r="AI419"/>
  <c r="AI451"/>
  <c r="AI244"/>
  <c r="AI276"/>
  <c r="AI296"/>
  <c r="AI304"/>
  <c r="AI312"/>
  <c r="AI320"/>
  <c r="AI328"/>
  <c r="AI336"/>
  <c r="AI344"/>
  <c r="AI352"/>
  <c r="AI360"/>
  <c r="AI368"/>
  <c r="AI376"/>
  <c r="AI384"/>
  <c r="AI392"/>
  <c r="AI400"/>
  <c r="AI429"/>
  <c r="AI461"/>
  <c r="AI261"/>
  <c r="AI403"/>
  <c r="AI435"/>
  <c r="AI246"/>
  <c r="AI278"/>
  <c r="AI420"/>
  <c r="AI452"/>
  <c r="AI484"/>
  <c r="AI518"/>
  <c r="AI478"/>
  <c r="AI524"/>
  <c r="AI558"/>
  <c r="AI604"/>
  <c r="AI630"/>
  <c r="AI647"/>
  <c r="AI670"/>
  <c r="AI694"/>
  <c r="AI711"/>
  <c r="AI734"/>
  <c r="AI755"/>
  <c r="AI460"/>
  <c r="AI486"/>
  <c r="AI511"/>
  <c r="AI536"/>
  <c r="AI555"/>
  <c r="AI576"/>
  <c r="AI601"/>
  <c r="AI616"/>
  <c r="AI640"/>
  <c r="AI657"/>
  <c r="AI680"/>
  <c r="AI704"/>
  <c r="AI721"/>
  <c r="AI744"/>
  <c r="AI458"/>
  <c r="AI509"/>
  <c r="AI540"/>
  <c r="AI564"/>
  <c r="AI588"/>
  <c r="AI597"/>
  <c r="AI619"/>
  <c r="AI642"/>
  <c r="AI659"/>
  <c r="AI683"/>
  <c r="AI706"/>
  <c r="AI723"/>
  <c r="AI749"/>
  <c r="AI464"/>
  <c r="AI472"/>
  <c r="AI503"/>
  <c r="AI528"/>
  <c r="AI549"/>
  <c r="AI584"/>
  <c r="AI593"/>
  <c r="AI620"/>
  <c r="AI644"/>
  <c r="AI661"/>
  <c r="AI684"/>
  <c r="AI708"/>
  <c r="AI725"/>
  <c r="AI746"/>
  <c r="AI770"/>
  <c r="AI786"/>
  <c r="AI815"/>
  <c r="AI838"/>
  <c r="AI854"/>
  <c r="AI870"/>
  <c r="AI886"/>
  <c r="AI902"/>
  <c r="AI771"/>
  <c r="AI789"/>
  <c r="AI805"/>
  <c r="AI828"/>
  <c r="AI843"/>
  <c r="AI869"/>
  <c r="AI892"/>
  <c r="AI907"/>
  <c r="AI926"/>
  <c r="AI939"/>
  <c r="AI955"/>
  <c r="AI971"/>
  <c r="AI987"/>
  <c r="AI1003"/>
  <c r="AI781"/>
  <c r="AI800"/>
  <c r="AI826"/>
  <c r="AI841"/>
  <c r="AI864"/>
  <c r="AI890"/>
  <c r="AI905"/>
  <c r="AI929"/>
  <c r="AI944"/>
  <c r="AI960"/>
  <c r="AI976"/>
  <c r="AI992"/>
  <c r="AI1008"/>
  <c r="AI792"/>
  <c r="AI818"/>
  <c r="AI833"/>
  <c r="AI856"/>
  <c r="AI882"/>
  <c r="AI897"/>
  <c r="AI922"/>
  <c r="AI932"/>
  <c r="AI948"/>
  <c r="AI964"/>
  <c r="AI980"/>
  <c r="AI996"/>
  <c r="AI1012"/>
  <c r="AI1016"/>
  <c r="AI1020"/>
  <c r="AI1024"/>
  <c r="AI1028"/>
  <c r="AI1032"/>
  <c r="AI1036"/>
  <c r="AI1040"/>
  <c r="AI1044"/>
  <c r="AI1048"/>
  <c r="AI1052"/>
  <c r="AI1056"/>
  <c r="AI1060"/>
  <c r="AI1064"/>
  <c r="AI1068"/>
  <c r="AI1072"/>
  <c r="AI1076"/>
  <c r="AI775"/>
  <c r="AI793"/>
  <c r="AI813"/>
  <c r="AI836"/>
  <c r="AI851"/>
  <c r="AI877"/>
  <c r="AI900"/>
  <c r="AI916"/>
  <c r="AI933"/>
  <c r="AI949"/>
  <c r="AI965"/>
  <c r="AI981"/>
  <c r="AI997"/>
  <c r="AI1087"/>
  <c r="AI1103"/>
  <c r="AI1119"/>
  <c r="AI1135"/>
  <c r="AI1151"/>
  <c r="AI1167"/>
  <c r="AI1183"/>
  <c r="AI1199"/>
  <c r="AI1209"/>
  <c r="AI1213"/>
  <c r="AI1229"/>
  <c r="AI1245"/>
  <c r="AI1261"/>
  <c r="AI1083"/>
  <c r="AI1096"/>
  <c r="AI1112"/>
  <c r="AI1128"/>
  <c r="AI1144"/>
  <c r="AI1160"/>
  <c r="AI1176"/>
  <c r="AI1192"/>
  <c r="AI1223"/>
  <c r="AI1239"/>
  <c r="AI1255"/>
  <c r="AI1271"/>
  <c r="AI1097"/>
  <c r="AI1113"/>
  <c r="AI1129"/>
  <c r="AI1145"/>
  <c r="AI1161"/>
  <c r="AI1177"/>
  <c r="AI1193"/>
  <c r="AI1219"/>
  <c r="AI1235"/>
  <c r="AI1251"/>
  <c r="AI1267"/>
  <c r="AI1080"/>
  <c r="AI1090"/>
  <c r="AI1106"/>
  <c r="AI1122"/>
  <c r="AI1138"/>
  <c r="AI1154"/>
  <c r="AI1170"/>
  <c r="AI1186"/>
  <c r="AI1202"/>
  <c r="AI1217"/>
  <c r="AI1233"/>
  <c r="AI1249"/>
  <c r="AI1265"/>
  <c r="AB5"/>
  <c r="AH806"/>
  <c r="AH712"/>
  <c r="AH713"/>
  <c r="AH174"/>
  <c r="AH1252"/>
  <c r="AH274"/>
  <c r="AH736"/>
  <c r="AH1190"/>
  <c r="AH286"/>
  <c r="AH1059"/>
  <c r="AH782"/>
  <c r="AH403"/>
  <c r="AH876"/>
  <c r="AH1065"/>
  <c r="AH358"/>
  <c r="AH549"/>
  <c r="AH1010"/>
  <c r="AO1010" s="1"/>
  <c r="AR1010" s="1"/>
  <c r="AH1011"/>
  <c r="AH1268"/>
  <c r="AH651"/>
  <c r="AH912"/>
  <c r="AH662"/>
  <c r="AH102"/>
  <c r="AH471"/>
  <c r="AH714"/>
  <c r="AH59"/>
  <c r="AH1089"/>
  <c r="AH1023"/>
  <c r="AO1023" s="1"/>
  <c r="AR1023" s="1"/>
  <c r="AH1227"/>
  <c r="AH1122"/>
  <c r="AH253"/>
  <c r="AH100"/>
  <c r="AH683"/>
  <c r="AH841"/>
  <c r="AH210"/>
  <c r="AH739"/>
  <c r="AH443"/>
  <c r="AH958"/>
  <c r="AH447"/>
  <c r="AH375"/>
  <c r="AH229"/>
  <c r="AH123"/>
  <c r="AH410"/>
  <c r="AH132"/>
  <c r="AH1100"/>
  <c r="AH578"/>
  <c r="AH1079"/>
  <c r="AH57"/>
  <c r="AH679"/>
  <c r="AH41"/>
  <c r="AH1167"/>
  <c r="AH1196"/>
  <c r="AH214"/>
  <c r="AH669"/>
  <c r="AH844"/>
  <c r="AH546"/>
  <c r="AH212"/>
  <c r="AH1130"/>
  <c r="AH320"/>
  <c r="AH1204"/>
  <c r="AH819"/>
  <c r="AO819" s="1"/>
  <c r="AR819" s="1"/>
  <c r="AH911"/>
  <c r="AH127"/>
  <c r="AO127" s="1"/>
  <c r="AR127" s="1"/>
  <c r="AH802"/>
  <c r="AH1032"/>
  <c r="AH946"/>
  <c r="AH1049"/>
  <c r="AH284"/>
  <c r="AH1255"/>
  <c r="AH729"/>
  <c r="AH654"/>
  <c r="AH263"/>
  <c r="AH428"/>
  <c r="AH942"/>
  <c r="AH751"/>
  <c r="AH769"/>
  <c r="AH874"/>
  <c r="AH524"/>
  <c r="AH544"/>
  <c r="AH896"/>
  <c r="AH1086"/>
  <c r="AH219"/>
  <c r="AH846"/>
  <c r="AH959"/>
  <c r="AH998"/>
  <c r="AH570"/>
  <c r="AH445"/>
  <c r="AH148"/>
  <c r="AH533"/>
  <c r="AH698"/>
  <c r="AH151"/>
  <c r="AH830"/>
  <c r="AO830" s="1"/>
  <c r="AR830" s="1"/>
  <c r="AH980"/>
  <c r="AH851"/>
  <c r="AH49"/>
  <c r="AH90"/>
  <c r="AH66"/>
  <c r="AH213"/>
  <c r="AH625"/>
  <c r="AH440"/>
  <c r="AH1258"/>
  <c r="AH918"/>
  <c r="AH989"/>
  <c r="AH786"/>
  <c r="AH577"/>
  <c r="AH396"/>
  <c r="AH434"/>
  <c r="AH431"/>
  <c r="AH562"/>
  <c r="AH1183"/>
  <c r="AH744"/>
  <c r="AH836"/>
  <c r="AH804"/>
  <c r="AH787"/>
  <c r="AH820"/>
  <c r="AH999"/>
  <c r="AH601"/>
  <c r="AH779"/>
  <c r="AH413"/>
  <c r="AH1182"/>
  <c r="AH331"/>
  <c r="AH993"/>
  <c r="AH342"/>
  <c r="AH1172"/>
  <c r="AH1203"/>
  <c r="AH972"/>
  <c r="AH528"/>
  <c r="AH453"/>
  <c r="AH1078"/>
  <c r="AH1099"/>
  <c r="AH1272"/>
  <c r="AH1192"/>
  <c r="AH770"/>
  <c r="AH1055"/>
  <c r="AH82"/>
  <c r="AH1039"/>
  <c r="AH842"/>
  <c r="AH906"/>
  <c r="AH1236"/>
  <c r="AH147"/>
  <c r="AH659"/>
  <c r="AH627"/>
  <c r="AH951"/>
  <c r="AH832"/>
  <c r="AH1111"/>
  <c r="AH126"/>
  <c r="AH509"/>
  <c r="AH637"/>
  <c r="AH845"/>
  <c r="AO845" s="1"/>
  <c r="AR845" s="1"/>
  <c r="AH1110"/>
  <c r="AH1212"/>
  <c r="AO1212" s="1"/>
  <c r="AR1212" s="1"/>
  <c r="AH89"/>
  <c r="AH852"/>
  <c r="AH1159"/>
  <c r="AH412"/>
  <c r="AH691"/>
  <c r="AH735"/>
  <c r="AH621"/>
  <c r="AH39"/>
  <c r="AH1207"/>
  <c r="AH803"/>
  <c r="AH598"/>
  <c r="AH875"/>
  <c r="AH268"/>
  <c r="AH296"/>
  <c r="AH1239"/>
  <c r="AH813"/>
  <c r="AH753"/>
  <c r="AH172"/>
  <c r="AH1048"/>
  <c r="AH1045"/>
  <c r="AH1012"/>
  <c r="AH810"/>
  <c r="AH575"/>
  <c r="AH903"/>
  <c r="AH63"/>
  <c r="AH292"/>
  <c r="AH279"/>
  <c r="AH500"/>
  <c r="AH1092"/>
  <c r="AH448"/>
  <c r="AH979"/>
  <c r="AH571"/>
  <c r="AH1084"/>
  <c r="AH1247"/>
  <c r="AH418"/>
  <c r="AH152"/>
  <c r="AH347"/>
  <c r="AH853"/>
  <c r="AH798"/>
  <c r="AH976"/>
  <c r="AH483"/>
  <c r="AH491"/>
  <c r="AH639"/>
  <c r="AH1038"/>
  <c r="AH192"/>
  <c r="AH490"/>
  <c r="AH553"/>
  <c r="AH584"/>
  <c r="AH504"/>
  <c r="AH1081"/>
  <c r="AH719"/>
  <c r="AH1160"/>
  <c r="AH1148"/>
  <c r="AH628"/>
  <c r="AH594"/>
  <c r="AH402"/>
  <c r="AH1072"/>
  <c r="AH700"/>
  <c r="AH957"/>
  <c r="AH1000"/>
  <c r="AH56"/>
  <c r="AH465"/>
  <c r="AH593"/>
  <c r="AH1250"/>
  <c r="AH265"/>
  <c r="AH53"/>
  <c r="AH245"/>
  <c r="AH687"/>
  <c r="AH1184"/>
  <c r="AH941"/>
  <c r="AH1142"/>
  <c r="AH1080"/>
  <c r="AH1013"/>
  <c r="AH131"/>
  <c r="AH200"/>
  <c r="AH516"/>
  <c r="AH308"/>
  <c r="AH384"/>
  <c r="AH541"/>
  <c r="AH1253"/>
  <c r="AH551"/>
  <c r="AH574"/>
  <c r="AH97"/>
  <c r="AH334"/>
  <c r="AH45"/>
  <c r="AH476"/>
  <c r="AH313"/>
  <c r="AH468"/>
  <c r="AH463"/>
  <c r="AH1037"/>
  <c r="AH695"/>
  <c r="AH301"/>
  <c r="AH349"/>
  <c r="AH824"/>
  <c r="AH607"/>
  <c r="AH785"/>
  <c r="AH374"/>
  <c r="AH705"/>
  <c r="AH1094"/>
  <c r="AH861"/>
  <c r="AH408"/>
  <c r="AH1128"/>
  <c r="AH261"/>
  <c r="AH337"/>
  <c r="AH543"/>
  <c r="AH860"/>
  <c r="AH564"/>
  <c r="AH1005"/>
  <c r="AH673"/>
  <c r="AH1209"/>
  <c r="AH101"/>
  <c r="AH981"/>
  <c r="AH373"/>
  <c r="AH821"/>
  <c r="AH85"/>
  <c r="AH996"/>
  <c r="AH758"/>
  <c r="AH1088"/>
  <c r="AH311"/>
  <c r="AH318"/>
  <c r="AH733"/>
  <c r="AH938"/>
  <c r="AH47"/>
  <c r="AH179"/>
  <c r="AH251"/>
  <c r="AH405"/>
  <c r="AH624"/>
  <c r="AH260"/>
  <c r="AH604"/>
  <c r="AH122"/>
  <c r="AH198"/>
  <c r="AH685"/>
  <c r="AH319"/>
  <c r="AH512"/>
  <c r="AH722"/>
  <c r="AH424"/>
  <c r="AH394"/>
  <c r="AH181"/>
  <c r="AH169"/>
  <c r="AH108"/>
  <c r="AH191"/>
  <c r="AH768"/>
  <c r="AH1157"/>
  <c r="AH1185"/>
  <c r="AH1030"/>
  <c r="AH386"/>
  <c r="AH548"/>
  <c r="AH1249"/>
  <c r="AH1181"/>
  <c r="AH961"/>
  <c r="AH723"/>
  <c r="AH129"/>
  <c r="AH473"/>
  <c r="AH527"/>
  <c r="AH211"/>
  <c r="AH407"/>
  <c r="AH948"/>
  <c r="AH1056"/>
  <c r="AH1208"/>
  <c r="AH1224"/>
  <c r="AH106"/>
  <c r="AH634"/>
  <c r="AH591"/>
  <c r="AH182"/>
  <c r="AH730"/>
  <c r="AH888"/>
  <c r="AH54"/>
  <c r="AH118"/>
  <c r="AH1063"/>
  <c r="AH1027"/>
  <c r="AH1074"/>
  <c r="AH99"/>
  <c r="AH275"/>
  <c r="AH217"/>
  <c r="AH801"/>
  <c r="AH278"/>
  <c r="AH661"/>
  <c r="AH878"/>
  <c r="AH602"/>
  <c r="AH773"/>
  <c r="AH348"/>
  <c r="AH502"/>
  <c r="AH973"/>
  <c r="AH831"/>
  <c r="AH1241"/>
  <c r="AH40"/>
  <c r="AH1118"/>
  <c r="AH290"/>
  <c r="AH462"/>
  <c r="AH828"/>
  <c r="AH620"/>
  <c r="AH146"/>
  <c r="AH1267"/>
  <c r="AH46"/>
  <c r="AH954"/>
  <c r="AH545"/>
  <c r="AH711"/>
  <c r="AH125"/>
  <c r="AH312"/>
  <c r="AH369"/>
  <c r="AH1191"/>
  <c r="AH497"/>
  <c r="AH1213"/>
  <c r="AH822"/>
  <c r="AH561"/>
  <c r="AH829"/>
  <c r="AH529"/>
  <c r="AH376"/>
  <c r="AH1131"/>
  <c r="AH438"/>
  <c r="AH305"/>
  <c r="AH332"/>
  <c r="AH609"/>
  <c r="AH83"/>
  <c r="AH280"/>
  <c r="AH1102"/>
  <c r="AH554"/>
  <c r="AH703"/>
  <c r="AH924"/>
  <c r="AH552"/>
  <c r="AH914"/>
  <c r="AH34"/>
  <c r="AH155"/>
  <c r="AH150"/>
  <c r="AH581"/>
  <c r="AH614"/>
  <c r="AH1050"/>
  <c r="AH254"/>
  <c r="AO254" s="1"/>
  <c r="AR254" s="1"/>
  <c r="AH764"/>
  <c r="AH748"/>
  <c r="AH1139"/>
  <c r="AH154"/>
  <c r="AH902"/>
  <c r="AH710"/>
  <c r="AH271"/>
  <c r="AH115"/>
  <c r="AH596"/>
  <c r="AH763"/>
  <c r="AH940"/>
  <c r="AH232"/>
  <c r="AH862"/>
  <c r="AH778"/>
  <c r="AH1041"/>
  <c r="AH727"/>
  <c r="AH808"/>
  <c r="AH506"/>
  <c r="AH141"/>
  <c r="AH460"/>
  <c r="AH935"/>
  <c r="AH74"/>
  <c r="AH1176"/>
  <c r="AH734"/>
  <c r="AH799"/>
  <c r="AH1163"/>
  <c r="AH664"/>
  <c r="AH919"/>
  <c r="AH1170"/>
  <c r="AH882"/>
  <c r="AH962"/>
  <c r="AH590"/>
  <c r="AH716"/>
  <c r="AH204"/>
  <c r="AH1135"/>
  <c r="AH1068"/>
  <c r="AH1126"/>
  <c r="AO1126" s="1"/>
  <c r="AR1126" s="1"/>
  <c r="AH636"/>
  <c r="AH207"/>
  <c r="AH1097"/>
  <c r="AH209"/>
  <c r="AH1168"/>
  <c r="AH848"/>
  <c r="AH1127"/>
  <c r="AH277"/>
  <c r="AO277" s="1"/>
  <c r="AR277" s="1"/>
  <c r="AH645"/>
  <c r="AH771"/>
  <c r="AH309"/>
  <c r="AH1121"/>
  <c r="AH1235"/>
  <c r="AH964"/>
  <c r="AH508"/>
  <c r="AH715"/>
  <c r="AH1171"/>
  <c r="AO1171" s="1"/>
  <c r="AR1171" s="1"/>
  <c r="AH752"/>
  <c r="AH582"/>
  <c r="AH1124"/>
  <c r="AH746"/>
  <c r="AH293"/>
  <c r="AH1173"/>
  <c r="AH326"/>
  <c r="AH33"/>
  <c r="AH1266"/>
  <c r="AH272"/>
  <c r="AH355"/>
  <c r="AH227"/>
  <c r="AH223"/>
  <c r="AH881"/>
  <c r="AH478"/>
  <c r="AH667"/>
  <c r="AH995"/>
  <c r="AH1015"/>
  <c r="AH682"/>
  <c r="AH189"/>
  <c r="AH898"/>
  <c r="AH221"/>
  <c r="AH681"/>
  <c r="AH855"/>
  <c r="AH1179"/>
  <c r="AH1083"/>
  <c r="AH266"/>
  <c r="AH1147"/>
  <c r="AH840"/>
  <c r="AH505"/>
  <c r="AH663"/>
  <c r="AH759"/>
  <c r="AH276"/>
  <c r="AH977"/>
  <c r="AH731"/>
  <c r="AH1033"/>
  <c r="AH1024"/>
  <c r="AH1047"/>
  <c r="AH70"/>
  <c r="AH611"/>
  <c r="AH81"/>
  <c r="AH395"/>
  <c r="AH780"/>
  <c r="AH950"/>
  <c r="AH511"/>
  <c r="AH718"/>
  <c r="AH1116"/>
  <c r="AH493"/>
  <c r="AH133"/>
  <c r="AH642"/>
  <c r="AH1009"/>
  <c r="AH790"/>
  <c r="AH383"/>
  <c r="AH864"/>
  <c r="AH869"/>
  <c r="AH709"/>
  <c r="AH1154"/>
  <c r="AH825"/>
  <c r="AH328"/>
  <c r="AH362"/>
  <c r="AH173"/>
  <c r="AH124"/>
  <c r="AO124" s="1"/>
  <c r="AR124" s="1"/>
  <c r="AH1132"/>
  <c r="AH510"/>
  <c r="AH1123"/>
  <c r="AH742"/>
  <c r="AH87"/>
  <c r="AH427"/>
  <c r="AH807"/>
  <c r="AH610"/>
  <c r="AH970"/>
  <c r="AH437"/>
  <c r="AH387"/>
  <c r="AH43"/>
  <c r="AH250"/>
  <c r="AH945"/>
  <c r="AH393"/>
  <c r="AH1044"/>
  <c r="AH73"/>
  <c r="AH987"/>
  <c r="AH680"/>
  <c r="AH458"/>
  <c r="AH269"/>
  <c r="AH760"/>
  <c r="AH702"/>
  <c r="AH991"/>
  <c r="AH234"/>
  <c r="AH109"/>
  <c r="AH745"/>
  <c r="AH1071"/>
  <c r="AH415"/>
  <c r="AH1244"/>
  <c r="AH1151"/>
  <c r="AH1101"/>
  <c r="AH732"/>
  <c r="AH555"/>
  <c r="AH1175"/>
  <c r="AH377"/>
  <c r="AO377" s="1"/>
  <c r="AR377" s="1"/>
  <c r="AH1264"/>
  <c r="AH1226"/>
  <c r="AH359"/>
  <c r="AH644"/>
  <c r="AH72"/>
  <c r="AH294"/>
  <c r="AH676"/>
  <c r="AH88"/>
  <c r="AH165"/>
  <c r="AH103"/>
  <c r="AH1270"/>
  <c r="AH94"/>
  <c r="AH385"/>
  <c r="AH816"/>
  <c r="AH726"/>
  <c r="AH1095"/>
  <c r="AH501"/>
  <c r="AH517"/>
  <c r="AH248"/>
  <c r="AH388"/>
  <c r="AH65"/>
  <c r="AH814"/>
  <c r="AO814" s="1"/>
  <c r="AR814" s="1"/>
  <c r="AH336"/>
  <c r="AH1087"/>
  <c r="AH282"/>
  <c r="AH477"/>
  <c r="AH1169"/>
  <c r="AH674"/>
  <c r="AH859"/>
  <c r="AH1251"/>
  <c r="AH196"/>
  <c r="AH421"/>
  <c r="AH136"/>
  <c r="AH994"/>
  <c r="AH953"/>
  <c r="AH1257"/>
  <c r="AH542"/>
  <c r="AH921"/>
  <c r="AH672"/>
  <c r="AH1193"/>
  <c r="AH1090"/>
  <c r="AH365"/>
  <c r="AH1202"/>
  <c r="AH360"/>
  <c r="AH775"/>
  <c r="AH569"/>
  <c r="AH71"/>
  <c r="AH50"/>
  <c r="AH843"/>
  <c r="AH599"/>
  <c r="AH963"/>
  <c r="AH114"/>
  <c r="AH772"/>
  <c r="AH86"/>
  <c r="AH1153"/>
  <c r="AH299"/>
  <c r="AH1120"/>
  <c r="AH823"/>
  <c r="AH559"/>
  <c r="AH370"/>
  <c r="AH1098"/>
  <c r="AH37"/>
  <c r="AH781"/>
  <c r="AH364"/>
  <c r="AH350"/>
  <c r="AH257"/>
  <c r="AH894"/>
  <c r="AH597"/>
  <c r="AH485"/>
  <c r="AH572"/>
  <c r="AH176"/>
  <c r="AH492"/>
  <c r="AH1073"/>
  <c r="AH1180"/>
  <c r="AH1174"/>
  <c r="AH444"/>
  <c r="AH795"/>
  <c r="AH96"/>
  <c r="AH1161"/>
  <c r="AH1152"/>
  <c r="AH1002"/>
  <c r="AH534"/>
  <c r="AH629"/>
  <c r="AH262"/>
  <c r="AH974"/>
  <c r="AH1109"/>
  <c r="AH340"/>
  <c r="AH684"/>
  <c r="AH697"/>
  <c r="AH638"/>
  <c r="AH535"/>
  <c r="AH205"/>
  <c r="AH1234"/>
  <c r="AH456"/>
  <c r="AH647"/>
  <c r="AH955"/>
  <c r="AH761"/>
  <c r="AH157"/>
  <c r="AH1017"/>
  <c r="AH520"/>
  <c r="AH135"/>
  <c r="AH721"/>
  <c r="AH92"/>
  <c r="AH1199"/>
  <c r="AH1133"/>
  <c r="AH838"/>
  <c r="AH316"/>
  <c r="AH603"/>
  <c r="AH231"/>
  <c r="AH289"/>
  <c r="AH1177"/>
  <c r="AH236"/>
  <c r="AH1112"/>
  <c r="AH310"/>
  <c r="AH877"/>
  <c r="AH1211"/>
  <c r="AO1211" s="1"/>
  <c r="AR1211" s="1"/>
  <c r="AH617"/>
  <c r="AO617" s="1"/>
  <c r="AR617" s="1"/>
  <c r="AH704"/>
  <c r="AH397"/>
  <c r="AH1186"/>
  <c r="AH521"/>
  <c r="AO521" s="1"/>
  <c r="AR521" s="1"/>
  <c r="AH499"/>
  <c r="AH180"/>
  <c r="AH237"/>
  <c r="AH1035"/>
  <c r="AH156"/>
  <c r="AH537"/>
  <c r="AH52"/>
  <c r="AH77"/>
  <c r="AH1165"/>
  <c r="AH774"/>
  <c r="AH302"/>
  <c r="AO302" s="1"/>
  <c r="AR302" s="1"/>
  <c r="AH64"/>
  <c r="AH641"/>
  <c r="AH1075"/>
  <c r="AH1265"/>
  <c r="AH322"/>
  <c r="AO322" s="1"/>
  <c r="AR322" s="1"/>
  <c r="AH725"/>
  <c r="AH264"/>
  <c r="AH486"/>
  <c r="AH613"/>
  <c r="AH451"/>
  <c r="AH618"/>
  <c r="AH530"/>
  <c r="AH589"/>
  <c r="AH222"/>
  <c r="AH826"/>
  <c r="AH1242"/>
  <c r="AH352"/>
  <c r="AH36"/>
  <c r="AH1230"/>
  <c r="AH708"/>
  <c r="AH343"/>
  <c r="AH740"/>
  <c r="AH929"/>
  <c r="AH283"/>
  <c r="AH400"/>
  <c r="AH80"/>
  <c r="AH346"/>
  <c r="AH1260"/>
  <c r="AH1007"/>
  <c r="AH1021"/>
  <c r="AH923"/>
  <c r="AH145"/>
  <c r="AH162"/>
  <c r="AH835"/>
  <c r="AH707"/>
  <c r="AH985"/>
  <c r="AH792"/>
  <c r="AH971"/>
  <c r="AH648"/>
  <c r="AH252"/>
  <c r="AH285"/>
  <c r="AH1144"/>
  <c r="AH622"/>
  <c r="AH1113"/>
  <c r="AH968"/>
  <c r="AH568"/>
  <c r="AH606"/>
  <c r="AH1243"/>
  <c r="AH391"/>
  <c r="AH1046"/>
  <c r="AH907"/>
  <c r="AH128"/>
  <c r="AH1219"/>
  <c r="AH178"/>
  <c r="AH168"/>
  <c r="AH757"/>
  <c r="AH297"/>
  <c r="AH475"/>
  <c r="AH1205"/>
  <c r="AH887"/>
  <c r="AH655"/>
  <c r="AH367"/>
  <c r="AH926"/>
  <c r="AH409"/>
  <c r="AH1261"/>
  <c r="AH934"/>
  <c r="AH494"/>
  <c r="AH423"/>
  <c r="AH1060"/>
  <c r="AH1269"/>
  <c r="AH104"/>
  <c r="AH1022"/>
  <c r="AH432"/>
  <c r="AH442"/>
  <c r="AH588"/>
  <c r="AH480"/>
  <c r="AH1085"/>
  <c r="AH796"/>
  <c r="AH270"/>
  <c r="AH224"/>
  <c r="AH1162"/>
  <c r="AH1091"/>
  <c r="AH1210"/>
  <c r="AH630"/>
  <c r="AH1189"/>
  <c r="AH356"/>
  <c r="AH1246"/>
  <c r="AH1140"/>
  <c r="AH692"/>
  <c r="AH315"/>
  <c r="AH1064"/>
  <c r="AH616"/>
  <c r="AH1119"/>
  <c r="AH333"/>
  <c r="AH984"/>
  <c r="AH600"/>
  <c r="AH670"/>
  <c r="AH857"/>
  <c r="AH1051"/>
  <c r="AH417"/>
  <c r="AH42"/>
  <c r="AH930"/>
  <c r="AH850"/>
  <c r="AH815"/>
  <c r="AH287"/>
  <c r="AH849"/>
  <c r="AH1229"/>
  <c r="AH966"/>
  <c r="AH540"/>
  <c r="AH238"/>
  <c r="AH256"/>
  <c r="AH433"/>
  <c r="AH1136"/>
  <c r="AH893"/>
  <c r="AH466"/>
  <c r="AH839"/>
  <c r="AH139"/>
  <c r="AH381"/>
  <c r="AH777"/>
  <c r="AH558"/>
  <c r="AH737"/>
  <c r="AO737" s="1"/>
  <c r="AR737" s="1"/>
  <c r="AH952"/>
  <c r="AH392"/>
  <c r="AH631"/>
  <c r="AH863"/>
  <c r="AH793"/>
  <c r="AH488"/>
  <c r="AH199"/>
  <c r="AH441"/>
  <c r="AH60"/>
  <c r="AH913"/>
  <c r="AH956"/>
  <c r="AH886"/>
  <c r="AH430"/>
  <c r="AH79"/>
  <c r="AH969"/>
  <c r="AH1187"/>
  <c r="AH992"/>
  <c r="AH640"/>
  <c r="AH1156"/>
  <c r="AH215"/>
  <c r="AH1070"/>
  <c r="AH933"/>
  <c r="AH422"/>
  <c r="AH794"/>
  <c r="AH767"/>
  <c r="AH626"/>
  <c r="AH690"/>
  <c r="AH183"/>
  <c r="AH1104"/>
  <c r="AH656"/>
  <c r="AH255"/>
  <c r="AH837"/>
  <c r="AH949"/>
  <c r="AO949" s="1"/>
  <c r="AR949" s="1"/>
  <c r="AH69"/>
  <c r="AH565"/>
  <c r="AH563"/>
  <c r="AH91"/>
  <c r="AH464"/>
  <c r="AH208"/>
  <c r="AH307"/>
  <c r="AH576"/>
  <c r="AH95"/>
  <c r="AH1036"/>
  <c r="AH142"/>
  <c r="AH353"/>
  <c r="AH226"/>
  <c r="AH454"/>
  <c r="AH867"/>
  <c r="AH858"/>
  <c r="AH856"/>
  <c r="AH1195"/>
  <c r="AH872"/>
  <c r="AH327"/>
  <c r="AH889"/>
  <c r="AH939"/>
  <c r="AH1218"/>
  <c r="AH927"/>
  <c r="AH1096"/>
  <c r="AH696"/>
  <c r="AH686"/>
  <c r="AH298"/>
  <c r="AH583"/>
  <c r="AH1143"/>
  <c r="AH110"/>
  <c r="AH143"/>
  <c r="AH161"/>
  <c r="AH1034"/>
  <c r="AH38"/>
  <c r="AH175"/>
  <c r="AH865"/>
  <c r="AH345"/>
  <c r="AH243"/>
  <c r="AH983"/>
  <c r="AH1248"/>
  <c r="AH479"/>
  <c r="AH242"/>
  <c r="AH943"/>
  <c r="AH988"/>
  <c r="AH653"/>
  <c r="AH429"/>
  <c r="AH55"/>
  <c r="AH1031"/>
  <c r="AH883"/>
  <c r="AH915"/>
  <c r="AH507"/>
  <c r="AH496"/>
  <c r="AH58"/>
  <c r="AH159"/>
  <c r="AH817"/>
  <c r="AH1149"/>
  <c r="AH908"/>
  <c r="AH398"/>
  <c r="AH399"/>
  <c r="AH68"/>
  <c r="AH809"/>
  <c r="AH928"/>
  <c r="AH560"/>
  <c r="AH1108"/>
  <c r="AH868"/>
  <c r="AH693"/>
  <c r="AH303"/>
  <c r="AH766"/>
  <c r="AH323"/>
  <c r="AH1256"/>
  <c r="AH904"/>
  <c r="AH330"/>
  <c r="AH481"/>
  <c r="AH1240"/>
  <c r="AH728"/>
  <c r="AH489"/>
  <c r="AH426"/>
  <c r="AH1145"/>
  <c r="AH1062"/>
  <c r="AH978"/>
  <c r="AH1016"/>
  <c r="AH922"/>
  <c r="AH870"/>
  <c r="AH1215"/>
  <c r="AH879"/>
  <c r="AH1004"/>
  <c r="AH1206"/>
  <c r="AH668"/>
  <c r="AH366"/>
  <c r="AH335"/>
  <c r="AH905"/>
  <c r="AH1232"/>
  <c r="AH880"/>
  <c r="AH550"/>
  <c r="AH1076"/>
  <c r="AH916"/>
  <c r="AH789"/>
  <c r="AH579"/>
  <c r="AH436"/>
  <c r="AH897"/>
  <c r="AH1026"/>
  <c r="AH1061"/>
  <c r="AH1220"/>
  <c r="AH749"/>
  <c r="AH414"/>
  <c r="AH116"/>
  <c r="AH1216"/>
  <c r="AH762"/>
  <c r="AH288"/>
  <c r="AH997"/>
  <c r="AH900"/>
  <c r="AH531"/>
  <c r="AH580"/>
  <c r="AH847"/>
  <c r="AH975"/>
  <c r="AH368"/>
  <c r="AH467"/>
  <c r="AH291"/>
  <c r="AH652"/>
  <c r="AH220"/>
  <c r="AH1053"/>
  <c r="AH206"/>
  <c r="AH619"/>
  <c r="AH273"/>
  <c r="AH482"/>
  <c r="AH166"/>
  <c r="AH111"/>
  <c r="AH134"/>
  <c r="AH834"/>
  <c r="AH163"/>
  <c r="AH658"/>
  <c r="AH699"/>
  <c r="AH931"/>
  <c r="AH1194"/>
  <c r="AO1194" s="1"/>
  <c r="AR1194" s="1"/>
  <c r="AH1105"/>
  <c r="AH472"/>
  <c r="AO472" s="1"/>
  <c r="AR472" s="1"/>
  <c r="AH1093"/>
  <c r="AO1093" s="1"/>
  <c r="AR1093" s="1"/>
  <c r="AH960"/>
  <c r="AH1129"/>
  <c r="AO1129" s="1"/>
  <c r="AR1129" s="1"/>
  <c r="AH754"/>
  <c r="AH1115"/>
  <c r="AO1115" s="1"/>
  <c r="AR1115" s="1"/>
  <c r="AH756"/>
  <c r="AH812"/>
  <c r="AH657"/>
  <c r="AH1198"/>
  <c r="AH185"/>
  <c r="AH1057"/>
  <c r="AH357"/>
  <c r="AH324"/>
  <c r="AH325"/>
  <c r="AH1200"/>
  <c r="AH321"/>
  <c r="AH1164"/>
  <c r="AH1150"/>
  <c r="AH650"/>
  <c r="AH450"/>
  <c r="AH216"/>
  <c r="AH153"/>
  <c r="AH361"/>
  <c r="AH965"/>
  <c r="AH522"/>
  <c r="AH144"/>
  <c r="AH557"/>
  <c r="AH967"/>
  <c r="AH665"/>
  <c r="AH811"/>
  <c r="AH1058"/>
  <c r="AH1259"/>
  <c r="AH633"/>
  <c r="AH306"/>
  <c r="AH717"/>
  <c r="AH587"/>
  <c r="AH514"/>
  <c r="AH197"/>
  <c r="AH666"/>
  <c r="AH112"/>
  <c r="AH818"/>
  <c r="AH1245"/>
  <c r="AH300"/>
  <c r="AH539"/>
  <c r="AH1001"/>
  <c r="AH1008"/>
  <c r="AH354"/>
  <c r="AH990"/>
  <c r="AH660"/>
  <c r="AH470"/>
  <c r="AH1067"/>
  <c r="AH526"/>
  <c r="AH615"/>
  <c r="AH1138"/>
  <c r="AH567"/>
  <c r="AH140"/>
  <c r="AH1019"/>
  <c r="AH791"/>
  <c r="AH61"/>
  <c r="AH228"/>
  <c r="AH1069"/>
  <c r="AH892"/>
  <c r="AH503"/>
  <c r="AH1082"/>
  <c r="AH1233"/>
  <c r="AH1188"/>
  <c r="AH1134"/>
  <c r="AH390"/>
  <c r="AH788"/>
  <c r="AH107"/>
  <c r="AH866"/>
  <c r="AH1052"/>
  <c r="AH119"/>
  <c r="AH1107"/>
  <c r="AH416"/>
  <c r="AH1223"/>
  <c r="AH586"/>
  <c r="AH1262"/>
  <c r="AH329"/>
  <c r="AH48"/>
  <c r="AH339"/>
  <c r="AH351"/>
  <c r="AH706"/>
  <c r="AO706" s="1"/>
  <c r="AR706" s="1"/>
  <c r="AH827"/>
  <c r="AH1040"/>
  <c r="AO1003"/>
  <c r="AR1003" s="1"/>
  <c r="AH1042"/>
  <c r="AH585"/>
  <c r="AH920"/>
  <c r="AH750"/>
  <c r="AH1029"/>
  <c r="AN676"/>
  <c r="AP676" s="1"/>
  <c r="AS676" s="1"/>
  <c r="AH98"/>
  <c r="AH873"/>
  <c r="AH884"/>
  <c r="AH689"/>
  <c r="AH406"/>
  <c r="AH854"/>
  <c r="AH1271"/>
  <c r="AH724"/>
  <c r="AH1214"/>
  <c r="AH484"/>
  <c r="AH235"/>
  <c r="AH267"/>
  <c r="AH247"/>
  <c r="AH137"/>
  <c r="AH536"/>
  <c r="AH401"/>
  <c r="AH344"/>
  <c r="AH797"/>
  <c r="AH1141"/>
  <c r="AO1141" s="1"/>
  <c r="AR1141" s="1"/>
  <c r="AH439"/>
  <c r="AH1238"/>
  <c r="AH186"/>
  <c r="AH195"/>
  <c r="AH675"/>
  <c r="AH194"/>
  <c r="AH160"/>
  <c r="AH1254"/>
  <c r="AH1228"/>
  <c r="AH419"/>
  <c r="AH249"/>
  <c r="AH230"/>
  <c r="AH420"/>
  <c r="AH678"/>
  <c r="AH1201"/>
  <c r="AH158"/>
  <c r="AH890"/>
  <c r="AH1222"/>
  <c r="AH518"/>
  <c r="AH1166"/>
  <c r="AH1125"/>
  <c r="AH688"/>
  <c r="AH635"/>
  <c r="AO635" s="1"/>
  <c r="AR635" s="1"/>
  <c r="AH1137"/>
  <c r="AH871"/>
  <c r="AH67"/>
  <c r="AH341"/>
  <c r="AH885"/>
  <c r="AH592"/>
  <c r="AG1017"/>
  <c r="AG520"/>
  <c r="AG850"/>
  <c r="AG415"/>
  <c r="AG1165"/>
  <c r="AG1175"/>
  <c r="AG1265"/>
  <c r="AG645"/>
  <c r="AG309"/>
  <c r="AG459"/>
  <c r="AG871"/>
  <c r="AG177"/>
  <c r="AG36"/>
  <c r="AG388"/>
  <c r="AG91"/>
  <c r="AG477"/>
  <c r="AG881"/>
  <c r="AG78"/>
  <c r="AG1040"/>
  <c r="AG482"/>
  <c r="AG532"/>
  <c r="AG361"/>
  <c r="AG281"/>
  <c r="AG218"/>
  <c r="AG450"/>
  <c r="AG608"/>
  <c r="AG1164"/>
  <c r="AG605"/>
  <c r="AG380"/>
  <c r="AG382"/>
  <c r="AG1271"/>
  <c r="AG979"/>
  <c r="AG996"/>
  <c r="AG500"/>
  <c r="AG1214"/>
  <c r="AG324"/>
  <c r="AG910"/>
  <c r="AG411"/>
  <c r="AG1198"/>
  <c r="AG987"/>
  <c r="AG1244"/>
  <c r="AG886"/>
  <c r="AG1264"/>
  <c r="AG933"/>
  <c r="AG352"/>
  <c r="AG248"/>
  <c r="AG336"/>
  <c r="AG1053"/>
  <c r="AG1237"/>
  <c r="AG993"/>
  <c r="AG179"/>
  <c r="AG152"/>
  <c r="AG779"/>
  <c r="AG193"/>
  <c r="AG917"/>
  <c r="AG325"/>
  <c r="AG595"/>
  <c r="AG612"/>
  <c r="AG805"/>
  <c r="AG357"/>
  <c r="AG259"/>
  <c r="AG217"/>
  <c r="AG51"/>
  <c r="AO51" s="1"/>
  <c r="AR51" s="1"/>
  <c r="AG35"/>
  <c r="AG704"/>
  <c r="AG397"/>
  <c r="AG664"/>
  <c r="AG702"/>
  <c r="AN702" s="1"/>
  <c r="AP702" s="1"/>
  <c r="AS702" s="1"/>
  <c r="AG991"/>
  <c r="AG1051"/>
  <c r="AG1062"/>
  <c r="AG1071"/>
  <c r="AG77"/>
  <c r="AG79"/>
  <c r="AG209"/>
  <c r="AG725"/>
  <c r="AG294"/>
  <c r="AG749"/>
  <c r="AG461"/>
  <c r="AG837"/>
  <c r="AG69"/>
  <c r="AG563"/>
  <c r="AG1266"/>
  <c r="AG80"/>
  <c r="AG619"/>
  <c r="AG117"/>
  <c r="AN117" s="1"/>
  <c r="AP117" s="1"/>
  <c r="AS117" s="1"/>
  <c r="AG195"/>
  <c r="AG1025"/>
  <c r="AG186"/>
  <c r="AG765"/>
  <c r="AG1238"/>
  <c r="AG190"/>
  <c r="AG439"/>
  <c r="AG321"/>
  <c r="AG1200"/>
  <c r="AG800"/>
  <c r="AG538"/>
  <c r="AG484"/>
  <c r="AG801"/>
  <c r="AN801" s="1"/>
  <c r="AP801" s="1"/>
  <c r="AS801" s="1"/>
  <c r="AG985"/>
  <c r="AG946"/>
  <c r="AG125"/>
  <c r="AG1195"/>
  <c r="AG872"/>
  <c r="AG327"/>
  <c r="AG889"/>
  <c r="AG939"/>
  <c r="AG1218"/>
  <c r="AG927"/>
  <c r="AG1096"/>
  <c r="AG696"/>
  <c r="AG686"/>
  <c r="AG298"/>
  <c r="AG583"/>
  <c r="AG1143"/>
  <c r="AG428"/>
  <c r="AG875"/>
  <c r="AG192"/>
  <c r="AG778"/>
  <c r="AG146"/>
  <c r="AG1038"/>
  <c r="AG932"/>
  <c r="AG1153"/>
  <c r="AG299"/>
  <c r="AG1120"/>
  <c r="AG823"/>
  <c r="AG559"/>
  <c r="AG370"/>
  <c r="AG1098"/>
  <c r="AG37"/>
  <c r="AG781"/>
  <c r="AG364"/>
  <c r="AG350"/>
  <c r="AG257"/>
  <c r="AG874"/>
  <c r="AG691"/>
  <c r="AG453"/>
  <c r="AG961"/>
  <c r="AG144"/>
  <c r="AG474"/>
  <c r="AG188"/>
  <c r="AG480"/>
  <c r="AG1085"/>
  <c r="AG796"/>
  <c r="AG270"/>
  <c r="AG224"/>
  <c r="AG1162"/>
  <c r="AG1091"/>
  <c r="AG1210"/>
  <c r="AG630"/>
  <c r="AG1189"/>
  <c r="AG356"/>
  <c r="AG1246"/>
  <c r="AG1140"/>
  <c r="AG692"/>
  <c r="AG74"/>
  <c r="AG1064"/>
  <c r="AG616"/>
  <c r="AG1119"/>
  <c r="AG333"/>
  <c r="AG984"/>
  <c r="AG600"/>
  <c r="AG670"/>
  <c r="AG857"/>
  <c r="AG180"/>
  <c r="AG237"/>
  <c r="AG1035"/>
  <c r="AG156"/>
  <c r="AG61"/>
  <c r="AG228"/>
  <c r="AG1132"/>
  <c r="AG1069"/>
  <c r="AG892"/>
  <c r="AG510"/>
  <c r="AG503"/>
  <c r="AG1082"/>
  <c r="AG1123"/>
  <c r="AG1233"/>
  <c r="AG742"/>
  <c r="AG1188"/>
  <c r="AG1134"/>
  <c r="AG87"/>
  <c r="AG390"/>
  <c r="AG788"/>
  <c r="AG427"/>
  <c r="AG1235"/>
  <c r="AG964"/>
  <c r="AN964" s="1"/>
  <c r="AP964" s="1"/>
  <c r="AS964" s="1"/>
  <c r="AG1270"/>
  <c r="AN1270" s="1"/>
  <c r="AP1270" s="1"/>
  <c r="AS1270" s="1"/>
  <c r="AG94"/>
  <c r="AG487"/>
  <c r="AG1114"/>
  <c r="AN1114" s="1"/>
  <c r="AP1114" s="1"/>
  <c r="AS1114" s="1"/>
  <c r="AG720"/>
  <c r="AG244"/>
  <c r="AG404"/>
  <c r="AG469"/>
  <c r="AG901"/>
  <c r="AG755"/>
  <c r="AG379"/>
  <c r="AG203"/>
  <c r="AG240"/>
  <c r="AG371"/>
  <c r="AG314"/>
  <c r="AG1158"/>
  <c r="AG1263"/>
  <c r="AG478"/>
  <c r="AG667"/>
  <c r="AG145"/>
  <c r="AG162"/>
  <c r="AG835"/>
  <c r="AG707"/>
  <c r="AG858"/>
  <c r="AG856"/>
  <c r="AG1192"/>
  <c r="AG506"/>
  <c r="AG317"/>
  <c r="AG1225"/>
  <c r="AG1255"/>
  <c r="AG301"/>
  <c r="AG1122"/>
  <c r="AN1122" s="1"/>
  <c r="AP1122" s="1"/>
  <c r="AS1122" s="1"/>
  <c r="AG296"/>
  <c r="AG253"/>
  <c r="AG490"/>
  <c r="AG268"/>
  <c r="AG50"/>
  <c r="AG843"/>
  <c r="AG599"/>
  <c r="AG1219"/>
  <c r="AG178"/>
  <c r="AG168"/>
  <c r="AG757"/>
  <c r="AG665"/>
  <c r="AG982"/>
  <c r="AG620"/>
  <c r="AG751"/>
  <c r="AG447"/>
  <c r="AG39"/>
  <c r="AG93"/>
  <c r="AG685"/>
  <c r="AG828"/>
  <c r="AG763"/>
  <c r="AG514"/>
  <c r="AG133"/>
  <c r="AG197"/>
  <c r="AG666"/>
  <c r="AG642"/>
  <c r="AG112"/>
  <c r="AG818"/>
  <c r="AG45"/>
  <c r="AG1181"/>
  <c r="AG604"/>
  <c r="AG334"/>
  <c r="AG607"/>
  <c r="AG1065"/>
  <c r="AG1203"/>
  <c r="AG896"/>
  <c r="AG290"/>
  <c r="AG1086"/>
  <c r="AG358"/>
  <c r="AG852"/>
  <c r="AG884"/>
  <c r="AG1103"/>
  <c r="AG331"/>
  <c r="AG846"/>
  <c r="AG743"/>
  <c r="AG1110"/>
  <c r="AG1139"/>
  <c r="AG938"/>
  <c r="AG701"/>
  <c r="AG348"/>
  <c r="AG295"/>
  <c r="AG1130"/>
  <c r="AG320"/>
  <c r="AG1204"/>
  <c r="AG724"/>
  <c r="AG634"/>
  <c r="AG591"/>
  <c r="AG182"/>
  <c r="AG730"/>
  <c r="AG888"/>
  <c r="AG54"/>
  <c r="AO54" s="1"/>
  <c r="AR54" s="1"/>
  <c r="AG118"/>
  <c r="AG1063"/>
  <c r="AG1027"/>
  <c r="AG267"/>
  <c r="AG914"/>
  <c r="AG34"/>
  <c r="AG155"/>
  <c r="AN155" s="1"/>
  <c r="AP155" s="1"/>
  <c r="AS155" s="1"/>
  <c r="AG911"/>
  <c r="AG659"/>
  <c r="AG627"/>
  <c r="AN627" s="1"/>
  <c r="AP627" s="1"/>
  <c r="AS627" s="1"/>
  <c r="AG912"/>
  <c r="AG573"/>
  <c r="AG214"/>
  <c r="AG1253"/>
  <c r="AG679"/>
  <c r="AG574"/>
  <c r="AG891"/>
  <c r="AG346"/>
  <c r="AG746"/>
  <c r="AG816"/>
  <c r="AG738"/>
  <c r="AG807"/>
  <c r="AG897"/>
  <c r="AG771"/>
  <c r="AG1156"/>
  <c r="AG1168"/>
  <c r="AG555"/>
  <c r="AG1101"/>
  <c r="AG716"/>
  <c r="AG1019"/>
  <c r="AG458"/>
  <c r="AG719"/>
  <c r="AN719" s="1"/>
  <c r="AP719" s="1"/>
  <c r="AS719" s="1"/>
  <c r="AG1160"/>
  <c r="AG1148"/>
  <c r="AG628"/>
  <c r="AG594"/>
  <c r="AG402"/>
  <c r="AG1072"/>
  <c r="AG700"/>
  <c r="AG957"/>
  <c r="AG1000"/>
  <c r="AG56"/>
  <c r="AG465"/>
  <c r="AG593"/>
  <c r="AN593" s="1"/>
  <c r="AP593" s="1"/>
  <c r="AS593" s="1"/>
  <c r="AG1250"/>
  <c r="AG265"/>
  <c r="AG53"/>
  <c r="AG245"/>
  <c r="AG687"/>
  <c r="AG1184"/>
  <c r="AG941"/>
  <c r="AG1142"/>
  <c r="AG1080"/>
  <c r="AG63"/>
  <c r="AG233"/>
  <c r="AG836"/>
  <c r="AG804"/>
  <c r="AG787"/>
  <c r="AN787" s="1"/>
  <c r="AP787" s="1"/>
  <c r="AS787" s="1"/>
  <c r="AG820"/>
  <c r="AG601"/>
  <c r="AG502"/>
  <c r="AG831"/>
  <c r="AG315"/>
  <c r="AG194"/>
  <c r="AG945"/>
  <c r="AG282"/>
  <c r="AG464"/>
  <c r="AG326"/>
  <c r="AG752"/>
  <c r="AG264"/>
  <c r="AG641"/>
  <c r="AG1068"/>
  <c r="AG42"/>
  <c r="AG1170"/>
  <c r="AG1186"/>
  <c r="AG381"/>
  <c r="AG785"/>
  <c r="AG374"/>
  <c r="AG705"/>
  <c r="AG106"/>
  <c r="AG1042"/>
  <c r="AG504"/>
  <c r="AG221"/>
  <c r="AG681"/>
  <c r="AG855"/>
  <c r="AG1179"/>
  <c r="AN1179" s="1"/>
  <c r="AP1179" s="1"/>
  <c r="AS1179" s="1"/>
  <c r="AG1083"/>
  <c r="AG633"/>
  <c r="AG266"/>
  <c r="AG1147"/>
  <c r="AG840"/>
  <c r="AG505"/>
  <c r="AG663"/>
  <c r="AG759"/>
  <c r="AG276"/>
  <c r="AG1037"/>
  <c r="AG46"/>
  <c r="AG463"/>
  <c r="AG1056"/>
  <c r="AG210"/>
  <c r="AG1029"/>
  <c r="AG407"/>
  <c r="AG297"/>
  <c r="AG475"/>
  <c r="AG1205"/>
  <c r="AG887"/>
  <c r="AG655"/>
  <c r="AG367"/>
  <c r="AG926"/>
  <c r="AG409"/>
  <c r="AG1261"/>
  <c r="AG934"/>
  <c r="AG494"/>
  <c r="AG423"/>
  <c r="AG1018"/>
  <c r="AG229"/>
  <c r="AG723"/>
  <c r="AN723" s="1"/>
  <c r="AP723" s="1"/>
  <c r="AS723" s="1"/>
  <c r="AG123"/>
  <c r="AG528"/>
  <c r="AG403"/>
  <c r="AG524"/>
  <c r="AG817"/>
  <c r="AG1149"/>
  <c r="AG908"/>
  <c r="AG398"/>
  <c r="AG399"/>
  <c r="AG68"/>
  <c r="AG809"/>
  <c r="AG928"/>
  <c r="AG560"/>
  <c r="AG1108"/>
  <c r="AG868"/>
  <c r="AG693"/>
  <c r="AG303"/>
  <c r="AG766"/>
  <c r="AG323"/>
  <c r="AG1256"/>
  <c r="AG904"/>
  <c r="AG330"/>
  <c r="AG481"/>
  <c r="AG1240"/>
  <c r="AG728"/>
  <c r="AG489"/>
  <c r="AG426"/>
  <c r="AG1145"/>
  <c r="AG793"/>
  <c r="AG488"/>
  <c r="AG199"/>
  <c r="AG721"/>
  <c r="AG92"/>
  <c r="AG1199"/>
  <c r="AG1133"/>
  <c r="AG838"/>
  <c r="AG316"/>
  <c r="AG603"/>
  <c r="AG231"/>
  <c r="AG289"/>
  <c r="AG944"/>
  <c r="AG592"/>
  <c r="AG84"/>
  <c r="AO84" s="1"/>
  <c r="AR84" s="1"/>
  <c r="AG885"/>
  <c r="AG547"/>
  <c r="AG341"/>
  <c r="AG1006"/>
  <c r="AG67"/>
  <c r="AO67" s="1"/>
  <c r="AR67" s="1"/>
  <c r="AG165"/>
  <c r="AG103"/>
  <c r="AG589"/>
  <c r="AG222"/>
  <c r="AG826"/>
  <c r="AG1201"/>
  <c r="AG784"/>
  <c r="AG678"/>
  <c r="AN678" s="1"/>
  <c r="AP678" s="1"/>
  <c r="AS678" s="1"/>
  <c r="AG677"/>
  <c r="AG420"/>
  <c r="AG239"/>
  <c r="AG230"/>
  <c r="AG425"/>
  <c r="AG249"/>
  <c r="AG304"/>
  <c r="AN304" s="1"/>
  <c r="AP304" s="1"/>
  <c r="AS304" s="1"/>
  <c r="AG419"/>
  <c r="AG378"/>
  <c r="AG1228"/>
  <c r="AG76"/>
  <c r="AG674"/>
  <c r="AG859"/>
  <c r="AG273"/>
  <c r="AG226"/>
  <c r="AG454"/>
  <c r="AG867"/>
  <c r="AG189"/>
  <c r="AG898"/>
  <c r="AN898" s="1"/>
  <c r="AP898" s="1"/>
  <c r="AS898" s="1"/>
  <c r="AG1259"/>
  <c r="AG584"/>
  <c r="AG1239"/>
  <c r="AG1224"/>
  <c r="AG920"/>
  <c r="AG545"/>
  <c r="AG936"/>
  <c r="AN936" s="1"/>
  <c r="AP936" s="1"/>
  <c r="AS936" s="1"/>
  <c r="AG424"/>
  <c r="AG695"/>
  <c r="AG649"/>
  <c r="AG263"/>
  <c r="AG1046"/>
  <c r="AG907"/>
  <c r="AG128"/>
  <c r="AG161"/>
  <c r="AG1034"/>
  <c r="AG38"/>
  <c r="AG175"/>
  <c r="AG865"/>
  <c r="AG211"/>
  <c r="AG958"/>
  <c r="AG646"/>
  <c r="AN646" s="1"/>
  <c r="AP646" s="1"/>
  <c r="AS646" s="1"/>
  <c r="AG495"/>
  <c r="AN495" s="1"/>
  <c r="AP495" s="1"/>
  <c r="AS495" s="1"/>
  <c r="AG274"/>
  <c r="AN274" s="1"/>
  <c r="AP274" s="1"/>
  <c r="AS274" s="1"/>
  <c r="AG473"/>
  <c r="AG1197"/>
  <c r="AN1197" s="1"/>
  <c r="AP1197" s="1"/>
  <c r="AS1197" s="1"/>
  <c r="AG1190"/>
  <c r="AG286"/>
  <c r="AG769"/>
  <c r="AG894"/>
  <c r="AG597"/>
  <c r="AG485"/>
  <c r="AG572"/>
  <c r="AG176"/>
  <c r="AG492"/>
  <c r="AG1009"/>
  <c r="AG972"/>
  <c r="AG876"/>
  <c r="AG462"/>
  <c r="AG271"/>
  <c r="AG895"/>
  <c r="AG544"/>
  <c r="AG1146"/>
  <c r="AG566"/>
  <c r="AG965"/>
  <c r="AG389"/>
  <c r="AG1118"/>
  <c r="AG853"/>
  <c r="AG40"/>
  <c r="AG89"/>
  <c r="AG1241"/>
  <c r="AG959"/>
  <c r="AG1178"/>
  <c r="AN1178" s="1"/>
  <c r="AP1178" s="1"/>
  <c r="AS1178" s="1"/>
  <c r="AG1217"/>
  <c r="AG1150"/>
  <c r="AG1084"/>
  <c r="AG764"/>
  <c r="AG571"/>
  <c r="AG1088"/>
  <c r="AG448"/>
  <c r="AG999"/>
  <c r="AG533"/>
  <c r="AG1094"/>
  <c r="AN1094" s="1"/>
  <c r="AP1094" s="1"/>
  <c r="AS1094" s="1"/>
  <c r="AG861"/>
  <c r="AG408"/>
  <c r="AG1128"/>
  <c r="AG261"/>
  <c r="AG337"/>
  <c r="AG543"/>
  <c r="AG860"/>
  <c r="AG564"/>
  <c r="AN564" s="1"/>
  <c r="AP564" s="1"/>
  <c r="AS564" s="1"/>
  <c r="AG1005"/>
  <c r="AG673"/>
  <c r="AG640"/>
  <c r="AG147"/>
  <c r="AG1089"/>
  <c r="AG131"/>
  <c r="AG200"/>
  <c r="AG516"/>
  <c r="AG546"/>
  <c r="AG1030"/>
  <c r="AG1196"/>
  <c r="AG105"/>
  <c r="AG1254"/>
  <c r="AG227"/>
  <c r="AG272"/>
  <c r="AG708"/>
  <c r="AG726"/>
  <c r="AG158"/>
  <c r="AG1052"/>
  <c r="AG107"/>
  <c r="AG613"/>
  <c r="AG1226"/>
  <c r="AG774"/>
  <c r="AG204"/>
  <c r="AG930"/>
  <c r="AG1055"/>
  <c r="AG82"/>
  <c r="AG1039"/>
  <c r="AG842"/>
  <c r="AG906"/>
  <c r="AN906" s="1"/>
  <c r="AP906" s="1"/>
  <c r="AS906" s="1"/>
  <c r="AG1236"/>
  <c r="AG1209"/>
  <c r="AG833"/>
  <c r="AG292"/>
  <c r="AG279"/>
  <c r="AN279" s="1"/>
  <c r="AP279" s="1"/>
  <c r="AS279" s="1"/>
  <c r="AG1092"/>
  <c r="AG931"/>
  <c r="AG513"/>
  <c r="AG699"/>
  <c r="AG413"/>
  <c r="AG163"/>
  <c r="AG650"/>
  <c r="AG153"/>
  <c r="AG675"/>
  <c r="AG1044"/>
  <c r="AG1043"/>
  <c r="AG576"/>
  <c r="AG208"/>
  <c r="AG929"/>
  <c r="AG517"/>
  <c r="AG582"/>
  <c r="AG385"/>
  <c r="AG1220"/>
  <c r="AG1061"/>
  <c r="AG359"/>
  <c r="AN359" s="1"/>
  <c r="AP359" s="1"/>
  <c r="AS359" s="1"/>
  <c r="AG1187"/>
  <c r="AG441"/>
  <c r="AG417"/>
  <c r="AG777"/>
  <c r="AN777" s="1"/>
  <c r="AG802"/>
  <c r="AG1032"/>
  <c r="AG824"/>
  <c r="AG953"/>
  <c r="AG1257"/>
  <c r="AG542"/>
  <c r="AG921"/>
  <c r="AG672"/>
  <c r="AG1193"/>
  <c r="AG1090"/>
  <c r="AG365"/>
  <c r="AG1202"/>
  <c r="AG360"/>
  <c r="AG775"/>
  <c r="AG569"/>
  <c r="AG71"/>
  <c r="AO71" s="1"/>
  <c r="AR71" s="1"/>
  <c r="AG1041"/>
  <c r="AN1041" s="1"/>
  <c r="AP1041" s="1"/>
  <c r="AS1041" s="1"/>
  <c r="AG174"/>
  <c r="AG683"/>
  <c r="AG1267"/>
  <c r="AG598"/>
  <c r="AN598" s="1"/>
  <c r="AP598" s="1"/>
  <c r="AS598" s="1"/>
  <c r="AG948"/>
  <c r="AG468"/>
  <c r="AG803"/>
  <c r="AG345"/>
  <c r="AG243"/>
  <c r="AG983"/>
  <c r="AG1248"/>
  <c r="AG479"/>
  <c r="AG242"/>
  <c r="AG943"/>
  <c r="AG988"/>
  <c r="AN988" s="1"/>
  <c r="AP988" s="1"/>
  <c r="AS988" s="1"/>
  <c r="AG653"/>
  <c r="AG429"/>
  <c r="AG55"/>
  <c r="AG1059"/>
  <c r="AN1059" s="1"/>
  <c r="AP1059" s="1"/>
  <c r="AS1059" s="1"/>
  <c r="AG596"/>
  <c r="AG198"/>
  <c r="AG491"/>
  <c r="AG115"/>
  <c r="AG435"/>
  <c r="AG98"/>
  <c r="AG1073"/>
  <c r="AG1245"/>
  <c r="AG790"/>
  <c r="AG300"/>
  <c r="AG539"/>
  <c r="AG383"/>
  <c r="AN383" s="1"/>
  <c r="AP383" s="1"/>
  <c r="AS383" s="1"/>
  <c r="AG1001"/>
  <c r="AG1008"/>
  <c r="AG864"/>
  <c r="AG354"/>
  <c r="AG990"/>
  <c r="AN990" s="1"/>
  <c r="AP990" s="1"/>
  <c r="AS990" s="1"/>
  <c r="AG869"/>
  <c r="AG660"/>
  <c r="AG709"/>
  <c r="AG470"/>
  <c r="AG1067"/>
  <c r="AG1154"/>
  <c r="AG526"/>
  <c r="AG825"/>
  <c r="AG615"/>
  <c r="AG1138"/>
  <c r="AG328"/>
  <c r="AG567"/>
  <c r="AG362"/>
  <c r="AG882"/>
  <c r="AG962"/>
  <c r="AN962" s="1"/>
  <c r="AP962" s="1"/>
  <c r="AS962" s="1"/>
  <c r="AG590"/>
  <c r="AG815"/>
  <c r="AG287"/>
  <c r="AG849"/>
  <c r="AG1229"/>
  <c r="AG966"/>
  <c r="AG540"/>
  <c r="AG238"/>
  <c r="AG256"/>
  <c r="AN256" s="1"/>
  <c r="AP256" s="1"/>
  <c r="AS256" s="1"/>
  <c r="AG433"/>
  <c r="AG1136"/>
  <c r="AG688"/>
  <c r="AG258"/>
  <c r="AG1125"/>
  <c r="AG452"/>
  <c r="AG1166"/>
  <c r="AG1077"/>
  <c r="AG518"/>
  <c r="AG618"/>
  <c r="AG530"/>
  <c r="AG1137"/>
  <c r="AG690"/>
  <c r="AG183"/>
  <c r="AG1216"/>
  <c r="AG762"/>
  <c r="AG288"/>
  <c r="AG997"/>
  <c r="AG900"/>
  <c r="AG531"/>
  <c r="AG580"/>
  <c r="AG847"/>
  <c r="AG975"/>
  <c r="AG368"/>
  <c r="AN368" s="1"/>
  <c r="AP368" s="1"/>
  <c r="AS368" s="1"/>
  <c r="AG467"/>
  <c r="AG291"/>
  <c r="AG652"/>
  <c r="AG220"/>
  <c r="AG1021"/>
  <c r="AG923"/>
  <c r="AG393"/>
  <c r="AN393" s="1"/>
  <c r="AP393" s="1"/>
  <c r="AS393" s="1"/>
  <c r="AG995"/>
  <c r="AG1015"/>
  <c r="AG682"/>
  <c r="AG806"/>
  <c r="AG994"/>
  <c r="AG349"/>
  <c r="AG712"/>
  <c r="AG284"/>
  <c r="AN284" s="1"/>
  <c r="AP284" s="1"/>
  <c r="AS284" s="1"/>
  <c r="AG1227"/>
  <c r="AG553"/>
  <c r="AG556"/>
  <c r="AG1272"/>
  <c r="AG632"/>
  <c r="AG654"/>
  <c r="AG1208"/>
  <c r="AN1208" s="1"/>
  <c r="AP1208" s="1"/>
  <c r="AS1208" s="1"/>
  <c r="AG519"/>
  <c r="AG954"/>
  <c r="AN954" s="1"/>
  <c r="AP954" s="1"/>
  <c r="AS954" s="1"/>
  <c r="AG110"/>
  <c r="AG143"/>
  <c r="AG841"/>
  <c r="AG1024"/>
  <c r="AG1047"/>
  <c r="AG70"/>
  <c r="AG611"/>
  <c r="AG313"/>
  <c r="AG232"/>
  <c r="AG967"/>
  <c r="AG527"/>
  <c r="AG338"/>
  <c r="AG1078"/>
  <c r="AG940"/>
  <c r="AG557"/>
  <c r="AG525"/>
  <c r="AG735"/>
  <c r="AG1060"/>
  <c r="AG1269"/>
  <c r="AG104"/>
  <c r="AG1022"/>
  <c r="AG432"/>
  <c r="AG442"/>
  <c r="AG588"/>
  <c r="AG1100"/>
  <c r="AG522"/>
  <c r="AG578"/>
  <c r="AG483"/>
  <c r="AG1159"/>
  <c r="AG225"/>
  <c r="AG1249"/>
  <c r="AG710"/>
  <c r="AG1172"/>
  <c r="AG548"/>
  <c r="AG549"/>
  <c r="AN549" s="1"/>
  <c r="AP549" s="1"/>
  <c r="AS549" s="1"/>
  <c r="AG342"/>
  <c r="AG515"/>
  <c r="AG689"/>
  <c r="AG363"/>
  <c r="AG47"/>
  <c r="AO47" s="1"/>
  <c r="AR47" s="1"/>
  <c r="AG418"/>
  <c r="AG998"/>
  <c r="AG813"/>
  <c r="AG406"/>
  <c r="AG854"/>
  <c r="AG318"/>
  <c r="AG1155"/>
  <c r="AG832"/>
  <c r="AG614"/>
  <c r="AG773"/>
  <c r="AG753"/>
  <c r="AG172"/>
  <c r="AG1048"/>
  <c r="AN1048" s="1"/>
  <c r="AP1048" s="1"/>
  <c r="AS1048" s="1"/>
  <c r="AG1045"/>
  <c r="AG1012"/>
  <c r="AG810"/>
  <c r="AG575"/>
  <c r="AN575" s="1"/>
  <c r="AP575" s="1"/>
  <c r="AS575" s="1"/>
  <c r="AG903"/>
  <c r="AG88"/>
  <c r="AG1013"/>
  <c r="AG49"/>
  <c r="AG59"/>
  <c r="AO59" s="1"/>
  <c r="AR59" s="1"/>
  <c r="AG844"/>
  <c r="AG1167"/>
  <c r="AG154"/>
  <c r="AG166"/>
  <c r="AG223"/>
  <c r="AG33"/>
  <c r="AG1095"/>
  <c r="AG119"/>
  <c r="AG1026"/>
  <c r="AG422"/>
  <c r="AG215"/>
  <c r="AG1097"/>
  <c r="AG1135"/>
  <c r="AN1135" s="1"/>
  <c r="AP1135" s="1"/>
  <c r="AS1135" s="1"/>
  <c r="AG135"/>
  <c r="AG140"/>
  <c r="AN140" s="1"/>
  <c r="AP140" s="1"/>
  <c r="AS140" s="1"/>
  <c r="AG919"/>
  <c r="AG269"/>
  <c r="AG1176"/>
  <c r="AN1176" s="1"/>
  <c r="AP1176" s="1"/>
  <c r="AS1176" s="1"/>
  <c r="AG312"/>
  <c r="AG369"/>
  <c r="AG1191"/>
  <c r="AN1191" s="1"/>
  <c r="AP1191" s="1"/>
  <c r="AS1191" s="1"/>
  <c r="AG497"/>
  <c r="AG1213"/>
  <c r="AG822"/>
  <c r="AG561"/>
  <c r="AG829"/>
  <c r="AG529"/>
  <c r="AG376"/>
  <c r="AG1131"/>
  <c r="AG438"/>
  <c r="AG305"/>
  <c r="AN305" s="1"/>
  <c r="AP305" s="1"/>
  <c r="AS305" s="1"/>
  <c r="AG332"/>
  <c r="AG609"/>
  <c r="AG83"/>
  <c r="AG280"/>
  <c r="AN280" s="1"/>
  <c r="AP280" s="1"/>
  <c r="AS280" s="1"/>
  <c r="AG1102"/>
  <c r="AG554"/>
  <c r="AN554" s="1"/>
  <c r="AP554" s="1"/>
  <c r="AS554" s="1"/>
  <c r="AG703"/>
  <c r="AG924"/>
  <c r="AN924" s="1"/>
  <c r="AP924" s="1"/>
  <c r="AS924" s="1"/>
  <c r="AG552"/>
  <c r="AG99"/>
  <c r="AG275"/>
  <c r="AG185"/>
  <c r="AG1057"/>
  <c r="AG101"/>
  <c r="AO101" s="1"/>
  <c r="AR101" s="1"/>
  <c r="AG981"/>
  <c r="AG373"/>
  <c r="AG821"/>
  <c r="AG85"/>
  <c r="AO85" s="1"/>
  <c r="AR85" s="1"/>
  <c r="AG758"/>
  <c r="AG241"/>
  <c r="AG523"/>
  <c r="AG446"/>
  <c r="AG1020"/>
  <c r="AG776"/>
  <c r="AG1247"/>
  <c r="AG149"/>
  <c r="AG347"/>
  <c r="AG187"/>
  <c r="AG1054"/>
  <c r="AG827"/>
  <c r="AN827" s="1"/>
  <c r="AP827" s="1"/>
  <c r="AS827" s="1"/>
  <c r="AG95"/>
  <c r="AO95" s="1"/>
  <c r="AR95" s="1"/>
  <c r="AG1087"/>
  <c r="AG1124"/>
  <c r="AG610"/>
  <c r="AG64"/>
  <c r="AG732"/>
  <c r="AG60"/>
  <c r="AG1016"/>
  <c r="AG761"/>
  <c r="AG392"/>
  <c r="AG734"/>
  <c r="AG625"/>
  <c r="AG440"/>
  <c r="AG1258"/>
  <c r="AG918"/>
  <c r="AN918" s="1"/>
  <c r="AP918" s="1"/>
  <c r="AS918" s="1"/>
  <c r="AG141"/>
  <c r="AN141" s="1"/>
  <c r="AP141" s="1"/>
  <c r="AS141" s="1"/>
  <c r="AG770"/>
  <c r="AG1049"/>
  <c r="AG971"/>
  <c r="AG648"/>
  <c r="AN648" s="1"/>
  <c r="AP648" s="1"/>
  <c r="AS648" s="1"/>
  <c r="AG252"/>
  <c r="AG285"/>
  <c r="AG1144"/>
  <c r="AG622"/>
  <c r="AG1113"/>
  <c r="AG968"/>
  <c r="AG568"/>
  <c r="AG606"/>
  <c r="AG1243"/>
  <c r="AG391"/>
  <c r="AG1058"/>
  <c r="AG722"/>
  <c r="AG811"/>
  <c r="AG164"/>
  <c r="AG512"/>
  <c r="AG1252"/>
  <c r="AG739"/>
  <c r="AG862"/>
  <c r="AG81"/>
  <c r="AO81" s="1"/>
  <c r="AR81" s="1"/>
  <c r="AG395"/>
  <c r="AG780"/>
  <c r="AG950"/>
  <c r="AG511"/>
  <c r="AG306"/>
  <c r="AG718"/>
  <c r="AG1116"/>
  <c r="AG717"/>
  <c r="AG493"/>
  <c r="AG587"/>
  <c r="AG129"/>
  <c r="AG1221"/>
  <c r="AG782"/>
  <c r="AG899"/>
  <c r="AG457"/>
  <c r="AG122"/>
  <c r="AG410"/>
  <c r="AG132"/>
  <c r="AG1180"/>
  <c r="AG1174"/>
  <c r="AG444"/>
  <c r="AG795"/>
  <c r="AG96"/>
  <c r="AG1161"/>
  <c r="AG1152"/>
  <c r="AG1002"/>
  <c r="AG534"/>
  <c r="AG629"/>
  <c r="AG262"/>
  <c r="AG974"/>
  <c r="AG1109"/>
  <c r="AG340"/>
  <c r="AG684"/>
  <c r="AG697"/>
  <c r="AG638"/>
  <c r="AG535"/>
  <c r="AG205"/>
  <c r="AG1234"/>
  <c r="AG456"/>
  <c r="AG647"/>
  <c r="AG955"/>
  <c r="AG234"/>
  <c r="AG109"/>
  <c r="AG745"/>
  <c r="AG870"/>
  <c r="AG1215"/>
  <c r="AG879"/>
  <c r="AG1004"/>
  <c r="AG1206"/>
  <c r="AG668"/>
  <c r="AN668" s="1"/>
  <c r="AP668" s="1"/>
  <c r="AS668" s="1"/>
  <c r="AG366"/>
  <c r="AG335"/>
  <c r="AG905"/>
  <c r="AG1232"/>
  <c r="AG880"/>
  <c r="AG550"/>
  <c r="AG1076"/>
  <c r="AG916"/>
  <c r="AG789"/>
  <c r="AG579"/>
  <c r="AG436"/>
  <c r="AG794"/>
  <c r="AG767"/>
  <c r="AG626"/>
  <c r="AG508"/>
  <c r="AG715"/>
  <c r="AG1107"/>
  <c r="AG970"/>
  <c r="AG416"/>
  <c r="AG1223"/>
  <c r="AG437"/>
  <c r="AG586"/>
  <c r="AG1262"/>
  <c r="AG387"/>
  <c r="AG329"/>
  <c r="AG43"/>
  <c r="AG48"/>
  <c r="AO48" s="1"/>
  <c r="AR48" s="1"/>
  <c r="AG339"/>
  <c r="AG250"/>
  <c r="AG351"/>
  <c r="AG1036"/>
  <c r="AG142"/>
  <c r="AG937"/>
  <c r="AG1251"/>
  <c r="AG196"/>
  <c r="AN196" s="1"/>
  <c r="AG421"/>
  <c r="AG136"/>
  <c r="AG1081"/>
  <c r="AG792"/>
  <c r="AG585"/>
  <c r="AN585" s="1"/>
  <c r="AP585" s="1"/>
  <c r="AS585" s="1"/>
  <c r="AG455"/>
  <c r="AG711"/>
  <c r="AG713"/>
  <c r="AG394"/>
  <c r="AG729"/>
  <c r="AN729" s="1"/>
  <c r="AP729" s="1"/>
  <c r="AS729" s="1"/>
  <c r="AG808"/>
  <c r="AG750"/>
  <c r="AG1099"/>
  <c r="AN1099" s="1"/>
  <c r="AP1099" s="1"/>
  <c r="AS1099" s="1"/>
  <c r="AG727"/>
  <c r="AG100"/>
  <c r="AG977"/>
  <c r="AG731"/>
  <c r="AG1033"/>
  <c r="AG963"/>
  <c r="AG114"/>
  <c r="AG772"/>
  <c r="AG86"/>
  <c r="AG443"/>
  <c r="AG942"/>
  <c r="AN942" s="1"/>
  <c r="AP942" s="1"/>
  <c r="AS942" s="1"/>
  <c r="AG1207"/>
  <c r="AG639"/>
  <c r="AG319"/>
  <c r="AG1074"/>
  <c r="AG736"/>
  <c r="AG621"/>
  <c r="AG476"/>
  <c r="AG375"/>
  <c r="AN375" s="1"/>
  <c r="AP375" s="1"/>
  <c r="AS375" s="1"/>
  <c r="AG1031"/>
  <c r="AG883"/>
  <c r="AG915"/>
  <c r="AG507"/>
  <c r="AG496"/>
  <c r="AG58"/>
  <c r="AG159"/>
  <c r="AG1231"/>
  <c r="AG1117"/>
  <c r="AN1117" s="1"/>
  <c r="AP1117" s="1"/>
  <c r="AS1117" s="1"/>
  <c r="AG412"/>
  <c r="AG747"/>
  <c r="AG260"/>
  <c r="AG873"/>
  <c r="AG976"/>
  <c r="AG624"/>
  <c r="AN624" s="1"/>
  <c r="AP624" s="1"/>
  <c r="AS624" s="1"/>
  <c r="AG1079"/>
  <c r="AG798"/>
  <c r="AG741"/>
  <c r="AG372"/>
  <c r="AG405"/>
  <c r="AG97"/>
  <c r="AO97" s="1"/>
  <c r="AR97" s="1"/>
  <c r="AG219"/>
  <c r="AG216"/>
  <c r="AG551"/>
  <c r="AN551" s="1"/>
  <c r="AP551" s="1"/>
  <c r="AS551" s="1"/>
  <c r="AG1182"/>
  <c r="AG973"/>
  <c r="AG570"/>
  <c r="AG637"/>
  <c r="AN637" s="1"/>
  <c r="AP637" s="1"/>
  <c r="AS637" s="1"/>
  <c r="AG445"/>
  <c r="AG1111"/>
  <c r="AG986"/>
  <c r="AG694"/>
  <c r="AG1157"/>
  <c r="AN1157" s="1"/>
  <c r="AP1157" s="1"/>
  <c r="AS1157" s="1"/>
  <c r="AG308"/>
  <c r="AG989"/>
  <c r="AG786"/>
  <c r="AG577"/>
  <c r="AG396"/>
  <c r="AN396" s="1"/>
  <c r="AP396" s="1"/>
  <c r="AS396" s="1"/>
  <c r="AG434"/>
  <c r="AG431"/>
  <c r="AG562"/>
  <c r="AG1183"/>
  <c r="AG744"/>
  <c r="AG150"/>
  <c r="AG662"/>
  <c r="AG1050"/>
  <c r="AG212"/>
  <c r="AG126"/>
  <c r="AG669"/>
  <c r="AN669" s="1"/>
  <c r="AP669" s="1"/>
  <c r="AS669" s="1"/>
  <c r="AG41"/>
  <c r="AO41" s="1"/>
  <c r="AR41" s="1"/>
  <c r="AG57"/>
  <c r="AG353"/>
  <c r="AG1007"/>
  <c r="AG355"/>
  <c r="AG283"/>
  <c r="AG1173"/>
  <c r="AG1230"/>
  <c r="AN1230" s="1"/>
  <c r="AP1230" s="1"/>
  <c r="AS1230" s="1"/>
  <c r="AG1104"/>
  <c r="AG202"/>
  <c r="AG1121"/>
  <c r="AN1121" s="1"/>
  <c r="AP1121" s="1"/>
  <c r="AS1121" s="1"/>
  <c r="AG1070"/>
  <c r="AG1151"/>
  <c r="AG791"/>
  <c r="AG952"/>
  <c r="AG680"/>
  <c r="AN680" s="1"/>
  <c r="AP680" s="1"/>
  <c r="AS680" s="1"/>
  <c r="AG181"/>
  <c r="AG169"/>
  <c r="AG108"/>
  <c r="AG191"/>
  <c r="AG768"/>
  <c r="AG235"/>
  <c r="AG278"/>
  <c r="AG661"/>
  <c r="AG878"/>
  <c r="AG602"/>
  <c r="AG113"/>
  <c r="AG311"/>
  <c r="AN311" s="1"/>
  <c r="AP311" s="1"/>
  <c r="AS311" s="1"/>
  <c r="AG733"/>
  <c r="AG834"/>
  <c r="AG251"/>
  <c r="AN251" s="1"/>
  <c r="AP251" s="1"/>
  <c r="AS251" s="1"/>
  <c r="AG134"/>
  <c r="AN134" s="1"/>
  <c r="AP134" s="1"/>
  <c r="AS134" s="1"/>
  <c r="AG643"/>
  <c r="AG1014"/>
  <c r="AN1014" s="1"/>
  <c r="AP1014" s="1"/>
  <c r="AS1014" s="1"/>
  <c r="AG1169"/>
  <c r="AG307"/>
  <c r="AG565"/>
  <c r="AG1242"/>
  <c r="AG498"/>
  <c r="AG644"/>
  <c r="AG969"/>
  <c r="AG430"/>
  <c r="AG978"/>
  <c r="AG631"/>
  <c r="AG799"/>
  <c r="AG760"/>
  <c r="AG157"/>
  <c r="AG173"/>
  <c r="AG922"/>
  <c r="AG956"/>
  <c r="AG1075"/>
  <c r="AN1075" s="1"/>
  <c r="AP1075" s="1"/>
  <c r="AS1075" s="1"/>
  <c r="AG1127"/>
  <c r="AG486"/>
  <c r="AG866"/>
  <c r="AG116"/>
  <c r="AG255"/>
  <c r="AG293"/>
  <c r="AG65"/>
  <c r="AG1260"/>
  <c r="AG160"/>
  <c r="AG947"/>
  <c r="AG111"/>
  <c r="AG541"/>
  <c r="AN541" s="1"/>
  <c r="AP541" s="1"/>
  <c r="AS541" s="1"/>
  <c r="AG658"/>
  <c r="AG651"/>
  <c r="AG384"/>
  <c r="AG1028"/>
  <c r="AG151"/>
  <c r="AG980"/>
  <c r="AG66"/>
  <c r="AG167"/>
  <c r="AN167" s="1"/>
  <c r="AP167" s="1"/>
  <c r="AS167" s="1"/>
  <c r="AG184"/>
  <c r="AG449"/>
  <c r="AG536"/>
  <c r="AG783"/>
  <c r="AG797"/>
  <c r="AG201"/>
  <c r="AG935"/>
  <c r="AG460"/>
  <c r="AG893"/>
  <c r="AG877"/>
  <c r="AG310"/>
  <c r="AG1112"/>
  <c r="AN1112" s="1"/>
  <c r="AP1112" s="1"/>
  <c r="AS1112" s="1"/>
  <c r="AG236"/>
  <c r="AG1177"/>
  <c r="AG139"/>
  <c r="AG839"/>
  <c r="AG466"/>
  <c r="AG73"/>
  <c r="AA7"/>
  <c r="AA6"/>
  <c r="AA3"/>
  <c r="AA5"/>
  <c r="AA4"/>
  <c r="AA8"/>
  <c r="AC8"/>
  <c r="AC7"/>
  <c r="AB4"/>
  <c r="AB3"/>
  <c r="AC4"/>
  <c r="AB7"/>
  <c r="AB6"/>
  <c r="AB8"/>
  <c r="AC6"/>
  <c r="AC5"/>
  <c r="AC31"/>
  <c r="AH32"/>
  <c r="AI32"/>
  <c r="AG32"/>
  <c r="AN629" l="1"/>
  <c r="AP629" s="1"/>
  <c r="AS629" s="1"/>
  <c r="AN618"/>
  <c r="AP618" s="1"/>
  <c r="AS618" s="1"/>
  <c r="AN595"/>
  <c r="AN1054"/>
  <c r="AP1054" s="1"/>
  <c r="AS1054" s="1"/>
  <c r="AN1043"/>
  <c r="AP1043" s="1"/>
  <c r="AS1043" s="1"/>
  <c r="AN151"/>
  <c r="AP151" s="1"/>
  <c r="AS151" s="1"/>
  <c r="AN736"/>
  <c r="AP736" s="1"/>
  <c r="AS736" s="1"/>
  <c r="AN342"/>
  <c r="AP342" s="1"/>
  <c r="AS342" s="1"/>
  <c r="AN588"/>
  <c r="AP588" s="1"/>
  <c r="AS588" s="1"/>
  <c r="AN1137"/>
  <c r="AP1137" s="1"/>
  <c r="AS1137" s="1"/>
  <c r="AN1077"/>
  <c r="AP1077" s="1"/>
  <c r="AS1077" s="1"/>
  <c r="AN516"/>
  <c r="AP516" s="1"/>
  <c r="AS516" s="1"/>
  <c r="AN1130"/>
  <c r="AP1130" s="1"/>
  <c r="AS1130" s="1"/>
  <c r="AN173"/>
  <c r="AP173" s="1"/>
  <c r="AS173" s="1"/>
  <c r="AN496"/>
  <c r="AP496" s="1"/>
  <c r="AS496" s="1"/>
  <c r="AN105"/>
  <c r="AP105" s="1"/>
  <c r="AS105" s="1"/>
  <c r="AN528"/>
  <c r="AP528" s="1"/>
  <c r="AS528" s="1"/>
  <c r="AN846"/>
  <c r="AP846" s="1"/>
  <c r="AS846" s="1"/>
  <c r="AN917"/>
  <c r="AP917" s="1"/>
  <c r="AS917" s="1"/>
  <c r="AN662"/>
  <c r="AP662" s="1"/>
  <c r="AS662" s="1"/>
  <c r="AN895"/>
  <c r="AP895" s="1"/>
  <c r="AS895" s="1"/>
  <c r="AO558"/>
  <c r="AR558" s="1"/>
  <c r="AN52"/>
  <c r="AP52" s="1"/>
  <c r="AS52" s="1"/>
  <c r="AN313"/>
  <c r="AP313" s="1"/>
  <c r="AS313" s="1"/>
  <c r="AN632"/>
  <c r="AP632" s="1"/>
  <c r="AS632" s="1"/>
  <c r="AN531"/>
  <c r="AP531" s="1"/>
  <c r="AS531" s="1"/>
  <c r="AN1158"/>
  <c r="AP1158" s="1"/>
  <c r="AS1158" s="1"/>
  <c r="AN1232"/>
  <c r="AP1232" s="1"/>
  <c r="AS1232" s="1"/>
  <c r="AO76"/>
  <c r="AR76" s="1"/>
  <c r="AO890"/>
  <c r="AR890" s="1"/>
  <c r="AN338"/>
  <c r="AP338" s="1"/>
  <c r="AS338" s="1"/>
  <c r="AN1215"/>
  <c r="AP1215" s="1"/>
  <c r="AS1215" s="1"/>
  <c r="AO57"/>
  <c r="AR57" s="1"/>
  <c r="AN319"/>
  <c r="AP319" s="1"/>
  <c r="AS319" s="1"/>
  <c r="AO100"/>
  <c r="AR100" s="1"/>
  <c r="AN1161"/>
  <c r="AP1161" s="1"/>
  <c r="AS1161" s="1"/>
  <c r="AN1221"/>
  <c r="AP1221" s="1"/>
  <c r="AS1221" s="1"/>
  <c r="AO951"/>
  <c r="AR951" s="1"/>
  <c r="AO102"/>
  <c r="AR102" s="1"/>
  <c r="AN121"/>
  <c r="AP121" s="1"/>
  <c r="AS121" s="1"/>
  <c r="AN1127"/>
  <c r="AP1127" s="1"/>
  <c r="AS1127" s="1"/>
  <c r="AN718"/>
  <c r="AP718" s="1"/>
  <c r="AS718" s="1"/>
  <c r="AN590"/>
  <c r="AP590" s="1"/>
  <c r="AS590" s="1"/>
  <c r="AN825"/>
  <c r="AP825" s="1"/>
  <c r="AS825" s="1"/>
  <c r="AN644"/>
  <c r="AP644" s="1"/>
  <c r="AS644" s="1"/>
  <c r="AN1243"/>
  <c r="AP1243" s="1"/>
  <c r="AS1243" s="1"/>
  <c r="AN1159"/>
  <c r="AP1159" s="1"/>
  <c r="AS1159" s="1"/>
  <c r="AN675"/>
  <c r="AP675" s="1"/>
  <c r="AS675" s="1"/>
  <c r="AN273"/>
  <c r="AP273" s="1"/>
  <c r="AS273" s="1"/>
  <c r="AN1228"/>
  <c r="AP1228" s="1"/>
  <c r="AS1228" s="1"/>
  <c r="AN488"/>
  <c r="AP488" s="1"/>
  <c r="AS488" s="1"/>
  <c r="AN330"/>
  <c r="AP330" s="1"/>
  <c r="AS330" s="1"/>
  <c r="AO68"/>
  <c r="AR68" s="1"/>
  <c r="AN897"/>
  <c r="AP897" s="1"/>
  <c r="AS897" s="1"/>
  <c r="AN390"/>
  <c r="AP390" s="1"/>
  <c r="AS390" s="1"/>
  <c r="AN559"/>
  <c r="AP559" s="1"/>
  <c r="AS559" s="1"/>
  <c r="AN336"/>
  <c r="AP336" s="1"/>
  <c r="AS336" s="1"/>
  <c r="AN539"/>
  <c r="AP539" s="1"/>
  <c r="AS539" s="1"/>
  <c r="AN494"/>
  <c r="AP494" s="1"/>
  <c r="AS494" s="1"/>
  <c r="AN926"/>
  <c r="AP926" s="1"/>
  <c r="AS926" s="1"/>
  <c r="AN1205"/>
  <c r="AP1205" s="1"/>
  <c r="AS1205" s="1"/>
  <c r="AN1064"/>
  <c r="AP1064" s="1"/>
  <c r="AS1064" s="1"/>
  <c r="AN699"/>
  <c r="AP699" s="1"/>
  <c r="AS699" s="1"/>
  <c r="AN826"/>
  <c r="AP826" s="1"/>
  <c r="AS826" s="1"/>
  <c r="AN316"/>
  <c r="AP316" s="1"/>
  <c r="AS316" s="1"/>
  <c r="AO92"/>
  <c r="AR92" s="1"/>
  <c r="AN807"/>
  <c r="AP807" s="1"/>
  <c r="AS807" s="1"/>
  <c r="AN133"/>
  <c r="AP133" s="1"/>
  <c r="AS133" s="1"/>
  <c r="AN248"/>
  <c r="AP248" s="1"/>
  <c r="AS248" s="1"/>
  <c r="AN631"/>
  <c r="AP631" s="1"/>
  <c r="AS631" s="1"/>
  <c r="AN394"/>
  <c r="AP394" s="1"/>
  <c r="AS394" s="1"/>
  <c r="AN715"/>
  <c r="AP715" s="1"/>
  <c r="AS715" s="1"/>
  <c r="AN780"/>
  <c r="AP780" s="1"/>
  <c r="AS780" s="1"/>
  <c r="AN1013"/>
  <c r="AP1013" s="1"/>
  <c r="AS1013" s="1"/>
  <c r="AN1024"/>
  <c r="AP1024" s="1"/>
  <c r="AS1024" s="1"/>
  <c r="AN802"/>
  <c r="AP802" s="1"/>
  <c r="AS802" s="1"/>
  <c r="AN191"/>
  <c r="AP191" s="1"/>
  <c r="AS191" s="1"/>
  <c r="AN1207"/>
  <c r="AP1207" s="1"/>
  <c r="AS1207" s="1"/>
  <c r="AN731"/>
  <c r="AP731" s="1"/>
  <c r="AS731" s="1"/>
  <c r="AN1223"/>
  <c r="AP1223" s="1"/>
  <c r="AS1223" s="1"/>
  <c r="AN132"/>
  <c r="AP132" s="1"/>
  <c r="AS132" s="1"/>
  <c r="AN347"/>
  <c r="AP347" s="1"/>
  <c r="AS347" s="1"/>
  <c r="AN275"/>
  <c r="AP275" s="1"/>
  <c r="AS275" s="1"/>
  <c r="AN1167"/>
  <c r="AP1167" s="1"/>
  <c r="AS1167" s="1"/>
  <c r="AN832"/>
  <c r="AP832" s="1"/>
  <c r="AS832" s="1"/>
  <c r="AE5"/>
  <c r="AG5" s="1"/>
  <c r="AQ5" s="1"/>
  <c r="AN697"/>
  <c r="AP697" s="1"/>
  <c r="AS697" s="1"/>
  <c r="AN1002"/>
  <c r="AP1002" s="1"/>
  <c r="AS1002" s="1"/>
  <c r="AN795"/>
  <c r="AP795" s="1"/>
  <c r="AS795" s="1"/>
  <c r="AN1234"/>
  <c r="AP1234" s="1"/>
  <c r="AS1234" s="1"/>
  <c r="AN974"/>
  <c r="AP974" s="1"/>
  <c r="AS974" s="1"/>
  <c r="AO64"/>
  <c r="AR64" s="1"/>
  <c r="AN135"/>
  <c r="AP135" s="1"/>
  <c r="AS135" s="1"/>
  <c r="AN116"/>
  <c r="AP116" s="1"/>
  <c r="AS116" s="1"/>
  <c r="AN1267"/>
  <c r="AP1267" s="1"/>
  <c r="AS1267" s="1"/>
  <c r="AN1217"/>
  <c r="AP1217" s="1"/>
  <c r="AS1217" s="1"/>
  <c r="AO89"/>
  <c r="AR89" s="1"/>
  <c r="AN867"/>
  <c r="AP867" s="1"/>
  <c r="AS867" s="1"/>
  <c r="AN859"/>
  <c r="AP859" s="1"/>
  <c r="AS859" s="1"/>
  <c r="AN165"/>
  <c r="AP165" s="1"/>
  <c r="AS165" s="1"/>
  <c r="AN944"/>
  <c r="AP944" s="1"/>
  <c r="AS944" s="1"/>
  <c r="AN504"/>
  <c r="AP504" s="1"/>
  <c r="AS504" s="1"/>
  <c r="AN374"/>
  <c r="AP374" s="1"/>
  <c r="AS374" s="1"/>
  <c r="AN282"/>
  <c r="AP282" s="1"/>
  <c r="AS282" s="1"/>
  <c r="AO63"/>
  <c r="AR63" s="1"/>
  <c r="AN265"/>
  <c r="AP265" s="1"/>
  <c r="AS265" s="1"/>
  <c r="AO56"/>
  <c r="AR56" s="1"/>
  <c r="AN1072"/>
  <c r="AP1072" s="1"/>
  <c r="AS1072" s="1"/>
  <c r="AN1148"/>
  <c r="AP1148" s="1"/>
  <c r="AS1148" s="1"/>
  <c r="AN1139"/>
  <c r="AP1139" s="1"/>
  <c r="AS1139" s="1"/>
  <c r="AO87"/>
  <c r="AR87" s="1"/>
  <c r="AN932"/>
  <c r="AP932" s="1"/>
  <c r="AS932" s="1"/>
  <c r="AN596"/>
  <c r="AP596" s="1"/>
  <c r="AS596" s="1"/>
  <c r="AN1187"/>
  <c r="AP1187" s="1"/>
  <c r="AS1187" s="1"/>
  <c r="AN385"/>
  <c r="AP385" s="1"/>
  <c r="AS385" s="1"/>
  <c r="AN1092"/>
  <c r="AP1092" s="1"/>
  <c r="AS1092" s="1"/>
  <c r="AN1039"/>
  <c r="AP1039" s="1"/>
  <c r="AS1039" s="1"/>
  <c r="AN1241"/>
  <c r="AP1241" s="1"/>
  <c r="AS1241" s="1"/>
  <c r="AN1190"/>
  <c r="AP1190" s="1"/>
  <c r="AS1190" s="1"/>
  <c r="AN263"/>
  <c r="AP263" s="1"/>
  <c r="AS263" s="1"/>
  <c r="AN1261"/>
  <c r="AP1261" s="1"/>
  <c r="AS1261" s="1"/>
  <c r="AN655"/>
  <c r="AP655" s="1"/>
  <c r="AS655" s="1"/>
  <c r="AN297"/>
  <c r="AP297" s="1"/>
  <c r="AS297" s="1"/>
  <c r="AN276"/>
  <c r="AP276" s="1"/>
  <c r="AS276" s="1"/>
  <c r="AN896"/>
  <c r="AP896" s="1"/>
  <c r="AS896" s="1"/>
  <c r="AN1219"/>
  <c r="AP1219" s="1"/>
  <c r="AS1219" s="1"/>
  <c r="AN268"/>
  <c r="AP268" s="1"/>
  <c r="AS268" s="1"/>
  <c r="AN781"/>
  <c r="AP781" s="1"/>
  <c r="AS781" s="1"/>
  <c r="AN1153"/>
  <c r="AP1153" s="1"/>
  <c r="AS1153" s="1"/>
  <c r="AN664"/>
  <c r="AP664" s="1"/>
  <c r="AS664" s="1"/>
  <c r="AN805"/>
  <c r="AP805" s="1"/>
  <c r="AS805" s="1"/>
  <c r="AN850"/>
  <c r="AP850" s="1"/>
  <c r="AS850" s="1"/>
  <c r="AN1023"/>
  <c r="AP1023" s="1"/>
  <c r="AS1023" s="1"/>
  <c r="AO509"/>
  <c r="AR509" s="1"/>
  <c r="AO1268"/>
  <c r="AR1268" s="1"/>
  <c r="AN1003"/>
  <c r="AP1003" s="1"/>
  <c r="AS1003" s="1"/>
  <c r="AN1264"/>
  <c r="AP1264" s="1"/>
  <c r="AS1264" s="1"/>
  <c r="AN1035"/>
  <c r="AP1035" s="1"/>
  <c r="AS1035" s="1"/>
  <c r="AN670"/>
  <c r="AP670" s="1"/>
  <c r="AS670" s="1"/>
  <c r="AN692"/>
  <c r="AP692" s="1"/>
  <c r="AS692" s="1"/>
  <c r="AN1085"/>
  <c r="AP1085" s="1"/>
  <c r="AS1085" s="1"/>
  <c r="AN306"/>
  <c r="AP306" s="1"/>
  <c r="AS306" s="1"/>
  <c r="AN1245"/>
  <c r="AP1245" s="1"/>
  <c r="AS1245" s="1"/>
  <c r="AN107"/>
  <c r="AP107" s="1"/>
  <c r="AS107" s="1"/>
  <c r="AN1150"/>
  <c r="AP1150" s="1"/>
  <c r="AS1150" s="1"/>
  <c r="AN197"/>
  <c r="AP197" s="1"/>
  <c r="AS197" s="1"/>
  <c r="AN144"/>
  <c r="AP144" s="1"/>
  <c r="AS144" s="1"/>
  <c r="AN1238"/>
  <c r="AP1238" s="1"/>
  <c r="AS1238" s="1"/>
  <c r="AN194"/>
  <c r="AP194" s="1"/>
  <c r="AS194" s="1"/>
  <c r="AN171"/>
  <c r="AP171" s="1"/>
  <c r="AS171" s="1"/>
  <c r="AN170"/>
  <c r="AP170" s="1"/>
  <c r="AS170" s="1"/>
  <c r="AO69"/>
  <c r="AR69" s="1"/>
  <c r="AN1271"/>
  <c r="AP1271" s="1"/>
  <c r="AS1271" s="1"/>
  <c r="AN186"/>
  <c r="AP186" s="1"/>
  <c r="AS186" s="1"/>
  <c r="AN597"/>
  <c r="AP597" s="1"/>
  <c r="AS597" s="1"/>
  <c r="AN603"/>
  <c r="AP603" s="1"/>
  <c r="AS603" s="1"/>
  <c r="AN1199"/>
  <c r="AP1199" s="1"/>
  <c r="AS1199" s="1"/>
  <c r="AN1083"/>
  <c r="AP1083" s="1"/>
  <c r="AS1083" s="1"/>
  <c r="AN665"/>
  <c r="AP665" s="1"/>
  <c r="AS665" s="1"/>
  <c r="AO73"/>
  <c r="AR73" s="1"/>
  <c r="AN733"/>
  <c r="AP733" s="1"/>
  <c r="AS733" s="1"/>
  <c r="AN250"/>
  <c r="AP250" s="1"/>
  <c r="AS250" s="1"/>
  <c r="AN1107"/>
  <c r="AP1107" s="1"/>
  <c r="AS1107" s="1"/>
  <c r="AN1116"/>
  <c r="AP1116" s="1"/>
  <c r="AS1116" s="1"/>
  <c r="AN391"/>
  <c r="AP391" s="1"/>
  <c r="AS391" s="1"/>
  <c r="AN968"/>
  <c r="AP968" s="1"/>
  <c r="AS968" s="1"/>
  <c r="AN732"/>
  <c r="AP732" s="1"/>
  <c r="AS732" s="1"/>
  <c r="AN1213"/>
  <c r="AP1213" s="1"/>
  <c r="AS1213" s="1"/>
  <c r="AN1008"/>
  <c r="AP1008" s="1"/>
  <c r="AS1008" s="1"/>
  <c r="AO98"/>
  <c r="AR98" s="1"/>
  <c r="AN243"/>
  <c r="AP243" s="1"/>
  <c r="AS243" s="1"/>
  <c r="AN1090"/>
  <c r="AP1090" s="1"/>
  <c r="AS1090" s="1"/>
  <c r="AN542"/>
  <c r="AP542" s="1"/>
  <c r="AS542" s="1"/>
  <c r="AN613"/>
  <c r="AP613" s="1"/>
  <c r="AS613" s="1"/>
  <c r="AN1084"/>
  <c r="AP1084" s="1"/>
  <c r="AS1084" s="1"/>
  <c r="AN1006"/>
  <c r="AP1006" s="1"/>
  <c r="AS1006" s="1"/>
  <c r="AN1133"/>
  <c r="AP1133" s="1"/>
  <c r="AS1133" s="1"/>
  <c r="AN106"/>
  <c r="AP106" s="1"/>
  <c r="AS106" s="1"/>
  <c r="AN326"/>
  <c r="AP326" s="1"/>
  <c r="AS326" s="1"/>
  <c r="AN594"/>
  <c r="AP594" s="1"/>
  <c r="AS594" s="1"/>
  <c r="AN591"/>
  <c r="AP591" s="1"/>
  <c r="AS591" s="1"/>
  <c r="AN701"/>
  <c r="AP701" s="1"/>
  <c r="AS701" s="1"/>
  <c r="AN884"/>
  <c r="AP884" s="1"/>
  <c r="AS884" s="1"/>
  <c r="AO45"/>
  <c r="AR45" s="1"/>
  <c r="AN856"/>
  <c r="AP856" s="1"/>
  <c r="AS856" s="1"/>
  <c r="AN162"/>
  <c r="AP162" s="1"/>
  <c r="AS162" s="1"/>
  <c r="AN1188"/>
  <c r="AP1188" s="1"/>
  <c r="AS1188" s="1"/>
  <c r="AN686"/>
  <c r="AP686" s="1"/>
  <c r="AS686" s="1"/>
  <c r="AN1218"/>
  <c r="AP1218" s="1"/>
  <c r="AS1218" s="1"/>
  <c r="AN837"/>
  <c r="AP837" s="1"/>
  <c r="AS837" s="1"/>
  <c r="AN605"/>
  <c r="AP605" s="1"/>
  <c r="AS605" s="1"/>
  <c r="AO1222"/>
  <c r="AR1222" s="1"/>
  <c r="AO1105"/>
  <c r="AR1105" s="1"/>
  <c r="AO740"/>
  <c r="AR740" s="1"/>
  <c r="AN451"/>
  <c r="AP451" s="1"/>
  <c r="AS451" s="1"/>
  <c r="AO636"/>
  <c r="AR636" s="1"/>
  <c r="AO1163"/>
  <c r="AR1163" s="1"/>
  <c r="AN925"/>
  <c r="AP925" s="1"/>
  <c r="AS925" s="1"/>
  <c r="AN1257"/>
  <c r="AP1257" s="1"/>
  <c r="AS1257" s="1"/>
  <c r="AN492"/>
  <c r="AP492" s="1"/>
  <c r="AS492" s="1"/>
  <c r="AN1186"/>
  <c r="AP1186" s="1"/>
  <c r="AS1186" s="1"/>
  <c r="AN818"/>
  <c r="AP818" s="1"/>
  <c r="AS818" s="1"/>
  <c r="AN1143"/>
  <c r="AP1143" s="1"/>
  <c r="AS1143" s="1"/>
  <c r="AN1198"/>
  <c r="AP1198" s="1"/>
  <c r="AS1198" s="1"/>
  <c r="AN1164"/>
  <c r="AP1164" s="1"/>
  <c r="AS1164" s="1"/>
  <c r="AN1265"/>
  <c r="AP1265" s="1"/>
  <c r="AS1265" s="1"/>
  <c r="AN536"/>
  <c r="AP536" s="1"/>
  <c r="AS536" s="1"/>
  <c r="AO65"/>
  <c r="AR65" s="1"/>
  <c r="AN159"/>
  <c r="AP159" s="1"/>
  <c r="AS159" s="1"/>
  <c r="AN915"/>
  <c r="AP915" s="1"/>
  <c r="AS915" s="1"/>
  <c r="AN808"/>
  <c r="AP808" s="1"/>
  <c r="AS808" s="1"/>
  <c r="AN711"/>
  <c r="AP711" s="1"/>
  <c r="AS711" s="1"/>
  <c r="AN351"/>
  <c r="AP351" s="1"/>
  <c r="AS351" s="1"/>
  <c r="AN970"/>
  <c r="AP970" s="1"/>
  <c r="AS970" s="1"/>
  <c r="AN335"/>
  <c r="AP335" s="1"/>
  <c r="AS335" s="1"/>
  <c r="AN1124"/>
  <c r="AP1124" s="1"/>
  <c r="AS1124" s="1"/>
  <c r="AO70"/>
  <c r="AR70" s="1"/>
  <c r="AN682"/>
  <c r="AP682" s="1"/>
  <c r="AS682" s="1"/>
  <c r="AN183"/>
  <c r="AP183" s="1"/>
  <c r="AS183" s="1"/>
  <c r="AN1136"/>
  <c r="AP1136" s="1"/>
  <c r="AS1136" s="1"/>
  <c r="AN287"/>
  <c r="AP287" s="1"/>
  <c r="AS287" s="1"/>
  <c r="AN1154"/>
  <c r="AP1154" s="1"/>
  <c r="AS1154" s="1"/>
  <c r="AN1073"/>
  <c r="AP1073" s="1"/>
  <c r="AS1073" s="1"/>
  <c r="AN1030"/>
  <c r="AP1030" s="1"/>
  <c r="AS1030" s="1"/>
  <c r="AN673"/>
  <c r="AP673" s="1"/>
  <c r="AS673" s="1"/>
  <c r="AN543"/>
  <c r="AP543" s="1"/>
  <c r="AS543" s="1"/>
  <c r="AO38"/>
  <c r="AR38" s="1"/>
  <c r="AN920"/>
  <c r="AP920" s="1"/>
  <c r="AS920" s="1"/>
  <c r="AN1256"/>
  <c r="AP1256" s="1"/>
  <c r="AS1256" s="1"/>
  <c r="AN928"/>
  <c r="AP928" s="1"/>
  <c r="AS928" s="1"/>
  <c r="AO42"/>
  <c r="AR42" s="1"/>
  <c r="AN716"/>
  <c r="AP716" s="1"/>
  <c r="AS716" s="1"/>
  <c r="AN348"/>
  <c r="AP348" s="1"/>
  <c r="AS348" s="1"/>
  <c r="AN1065"/>
  <c r="AP1065" s="1"/>
  <c r="AS1065" s="1"/>
  <c r="AN843"/>
  <c r="AP843" s="1"/>
  <c r="AS843" s="1"/>
  <c r="AN892"/>
  <c r="AP892" s="1"/>
  <c r="AS892" s="1"/>
  <c r="AN180"/>
  <c r="AP180" s="1"/>
  <c r="AS180" s="1"/>
  <c r="AN1246"/>
  <c r="AP1246" s="1"/>
  <c r="AS1246" s="1"/>
  <c r="AN270"/>
  <c r="AP270" s="1"/>
  <c r="AS270" s="1"/>
  <c r="AO77"/>
  <c r="AR77" s="1"/>
  <c r="AN352"/>
  <c r="AP352" s="1"/>
  <c r="AS352" s="1"/>
  <c r="AN380"/>
  <c r="AP380" s="1"/>
  <c r="AS380" s="1"/>
  <c r="AN1017"/>
  <c r="AP1017" s="1"/>
  <c r="AS1017" s="1"/>
  <c r="AN127"/>
  <c r="AP127" s="1"/>
  <c r="AS127" s="1"/>
  <c r="AO657"/>
  <c r="AR657" s="1"/>
  <c r="AO851"/>
  <c r="AR851" s="1"/>
  <c r="AO698"/>
  <c r="AR698" s="1"/>
  <c r="AN671"/>
  <c r="AP671" s="1"/>
  <c r="AS671" s="1"/>
  <c r="AO1106"/>
  <c r="AR1106" s="1"/>
  <c r="AO120"/>
  <c r="AR120" s="1"/>
  <c r="AN345"/>
  <c r="AP345" s="1"/>
  <c r="AS345" s="1"/>
  <c r="AN1193"/>
  <c r="AP1193" s="1"/>
  <c r="AS1193" s="1"/>
  <c r="AN708"/>
  <c r="AP708" s="1"/>
  <c r="AS708" s="1"/>
  <c r="AN696"/>
  <c r="AP696" s="1"/>
  <c r="AS696" s="1"/>
  <c r="AN583"/>
  <c r="AP583" s="1"/>
  <c r="AS583" s="1"/>
  <c r="AO79"/>
  <c r="AR79" s="1"/>
  <c r="AN1051"/>
  <c r="AP1051" s="1"/>
  <c r="AS1051" s="1"/>
  <c r="AN521"/>
  <c r="AP521" s="1"/>
  <c r="AS521" s="1"/>
  <c r="AN1040"/>
  <c r="AP1040" s="1"/>
  <c r="AS1040" s="1"/>
  <c r="AN1093"/>
  <c r="AP1093" s="1"/>
  <c r="AS1093" s="1"/>
  <c r="AN341"/>
  <c r="AP341" s="1"/>
  <c r="AS341" s="1"/>
  <c r="AN854"/>
  <c r="AP854" s="1"/>
  <c r="AS854" s="1"/>
  <c r="AN130"/>
  <c r="AP130" s="1"/>
  <c r="AS130" s="1"/>
  <c r="AN160"/>
  <c r="AP160" s="1"/>
  <c r="AS160" s="1"/>
  <c r="AN307"/>
  <c r="AP307" s="1"/>
  <c r="AS307" s="1"/>
  <c r="AN661"/>
  <c r="AP661" s="1"/>
  <c r="AS661" s="1"/>
  <c r="AN1070"/>
  <c r="AP1070" s="1"/>
  <c r="AS1070" s="1"/>
  <c r="AN562"/>
  <c r="AP562" s="1"/>
  <c r="AS562" s="1"/>
  <c r="AN577"/>
  <c r="AP577" s="1"/>
  <c r="AS577" s="1"/>
  <c r="AN1031"/>
  <c r="AP1031" s="1"/>
  <c r="AS1031" s="1"/>
  <c r="AN387"/>
  <c r="AP387" s="1"/>
  <c r="AS387" s="1"/>
  <c r="AN587"/>
  <c r="AP587" s="1"/>
  <c r="AS587" s="1"/>
  <c r="AN811"/>
  <c r="AP811" s="1"/>
  <c r="AS811" s="1"/>
  <c r="AN252"/>
  <c r="AP252" s="1"/>
  <c r="AS252" s="1"/>
  <c r="AN1020"/>
  <c r="AP1020" s="1"/>
  <c r="AS1020" s="1"/>
  <c r="AN703"/>
  <c r="AP703" s="1"/>
  <c r="AS703" s="1"/>
  <c r="AN497"/>
  <c r="AP497" s="1"/>
  <c r="AS497" s="1"/>
  <c r="AN710"/>
  <c r="AP710" s="1"/>
  <c r="AS710" s="1"/>
  <c r="AN104"/>
  <c r="AP104" s="1"/>
  <c r="AS104" s="1"/>
  <c r="AN525"/>
  <c r="AP525" s="1"/>
  <c r="AS525" s="1"/>
  <c r="AN1227"/>
  <c r="AP1227" s="1"/>
  <c r="AS1227" s="1"/>
  <c r="AN994"/>
  <c r="AP994" s="1"/>
  <c r="AS994" s="1"/>
  <c r="AN258"/>
  <c r="AP258" s="1"/>
  <c r="AS258" s="1"/>
  <c r="AN1229"/>
  <c r="AP1229" s="1"/>
  <c r="AS1229" s="1"/>
  <c r="AN567"/>
  <c r="AP567" s="1"/>
  <c r="AS567" s="1"/>
  <c r="AN790"/>
  <c r="AP790" s="1"/>
  <c r="AS790" s="1"/>
  <c r="AN653"/>
  <c r="AP653" s="1"/>
  <c r="AS653" s="1"/>
  <c r="AN360"/>
  <c r="AP360" s="1"/>
  <c r="AS360" s="1"/>
  <c r="AN1209"/>
  <c r="AP1209" s="1"/>
  <c r="AS1209" s="1"/>
  <c r="AN147"/>
  <c r="AP147" s="1"/>
  <c r="AS147" s="1"/>
  <c r="AN261"/>
  <c r="AP261" s="1"/>
  <c r="AS261" s="1"/>
  <c r="AN1088"/>
  <c r="AP1088" s="1"/>
  <c r="AS1088" s="1"/>
  <c r="AN1118"/>
  <c r="AP1118" s="1"/>
  <c r="AS1118" s="1"/>
  <c r="AN1146"/>
  <c r="AP1146" s="1"/>
  <c r="AS1146" s="1"/>
  <c r="AN865"/>
  <c r="AP865" s="1"/>
  <c r="AS865" s="1"/>
  <c r="AN161"/>
  <c r="AP161" s="1"/>
  <c r="AS161" s="1"/>
  <c r="AN1239"/>
  <c r="AP1239" s="1"/>
  <c r="AS1239" s="1"/>
  <c r="AN592"/>
  <c r="AP592" s="1"/>
  <c r="AS592" s="1"/>
  <c r="AN489"/>
  <c r="AP489" s="1"/>
  <c r="AS489" s="1"/>
  <c r="AN1108"/>
  <c r="AP1108" s="1"/>
  <c r="AS1108" s="1"/>
  <c r="AN1149"/>
  <c r="AP1149" s="1"/>
  <c r="AS1149" s="1"/>
  <c r="AN1018"/>
  <c r="AP1018" s="1"/>
  <c r="AS1018" s="1"/>
  <c r="AN840"/>
  <c r="AP840" s="1"/>
  <c r="AS840" s="1"/>
  <c r="AN820"/>
  <c r="AP820" s="1"/>
  <c r="AS820" s="1"/>
  <c r="AN334"/>
  <c r="AP334" s="1"/>
  <c r="AS334" s="1"/>
  <c r="AN317"/>
  <c r="AP317" s="1"/>
  <c r="AS317" s="1"/>
  <c r="AN145"/>
  <c r="AP145" s="1"/>
  <c r="AS145" s="1"/>
  <c r="AN1189"/>
  <c r="AP1189" s="1"/>
  <c r="AS1189" s="1"/>
  <c r="AN1195"/>
  <c r="AP1195" s="1"/>
  <c r="AS1195" s="1"/>
  <c r="AN179"/>
  <c r="AP179" s="1"/>
  <c r="AS179" s="1"/>
  <c r="AN281"/>
  <c r="AP281" s="1"/>
  <c r="AS281" s="1"/>
  <c r="AN893"/>
  <c r="AP893" s="1"/>
  <c r="AS893" s="1"/>
  <c r="AN797"/>
  <c r="AP797" s="1"/>
  <c r="AS797" s="1"/>
  <c r="AN184"/>
  <c r="AP184" s="1"/>
  <c r="AS184" s="1"/>
  <c r="AN658"/>
  <c r="AP658" s="1"/>
  <c r="AS658" s="1"/>
  <c r="AN255"/>
  <c r="AP255" s="1"/>
  <c r="AS255" s="1"/>
  <c r="AN1182"/>
  <c r="AP1182" s="1"/>
  <c r="AS1182" s="1"/>
  <c r="AN798"/>
  <c r="AP798" s="1"/>
  <c r="AS798" s="1"/>
  <c r="AN873"/>
  <c r="AP873" s="1"/>
  <c r="AS873" s="1"/>
  <c r="AN142"/>
  <c r="AP142" s="1"/>
  <c r="AS142" s="1"/>
  <c r="AN339"/>
  <c r="AP339" s="1"/>
  <c r="AS339" s="1"/>
  <c r="AN794"/>
  <c r="AP794" s="1"/>
  <c r="AS794" s="1"/>
  <c r="AN916"/>
  <c r="AP916" s="1"/>
  <c r="AS916" s="1"/>
  <c r="AN899"/>
  <c r="AP899" s="1"/>
  <c r="AS899" s="1"/>
  <c r="AN1113"/>
  <c r="AP1113" s="1"/>
  <c r="AS1113" s="1"/>
  <c r="AO83"/>
  <c r="AR83" s="1"/>
  <c r="AN829"/>
  <c r="AP829" s="1"/>
  <c r="AS829" s="1"/>
  <c r="AO33"/>
  <c r="AR33" s="1"/>
  <c r="AN810"/>
  <c r="AP810" s="1"/>
  <c r="AS810" s="1"/>
  <c r="AN172"/>
  <c r="AP172" s="1"/>
  <c r="AS172" s="1"/>
  <c r="AO343"/>
  <c r="AR343" s="1"/>
  <c r="AN189"/>
  <c r="AP189" s="1"/>
  <c r="AS189" s="1"/>
  <c r="AN249"/>
  <c r="AP249" s="1"/>
  <c r="AS249" s="1"/>
  <c r="AN1201"/>
  <c r="AP1201" s="1"/>
  <c r="AS1201" s="1"/>
  <c r="AN103"/>
  <c r="AP103" s="1"/>
  <c r="AS103" s="1"/>
  <c r="AN1056"/>
  <c r="AP1056" s="1"/>
  <c r="AS1056" s="1"/>
  <c r="AN705"/>
  <c r="AP705" s="1"/>
  <c r="AS705" s="1"/>
  <c r="AN641"/>
  <c r="AP641" s="1"/>
  <c r="AS641" s="1"/>
  <c r="AN315"/>
  <c r="AP315" s="1"/>
  <c r="AS315" s="1"/>
  <c r="AO53"/>
  <c r="AR53" s="1"/>
  <c r="AN700"/>
  <c r="AP700" s="1"/>
  <c r="AS700" s="1"/>
  <c r="AN628"/>
  <c r="AP628" s="1"/>
  <c r="AS628" s="1"/>
  <c r="AN555"/>
  <c r="AP555" s="1"/>
  <c r="AS555" s="1"/>
  <c r="AN679"/>
  <c r="AP679" s="1"/>
  <c r="AS679" s="1"/>
  <c r="AN912"/>
  <c r="AP912" s="1"/>
  <c r="AS912" s="1"/>
  <c r="AN1027"/>
  <c r="AP1027" s="1"/>
  <c r="AS1027" s="1"/>
  <c r="AN888"/>
  <c r="AP888" s="1"/>
  <c r="AS888" s="1"/>
  <c r="AN634"/>
  <c r="AP634" s="1"/>
  <c r="AS634" s="1"/>
  <c r="AN938"/>
  <c r="AP938" s="1"/>
  <c r="AS938" s="1"/>
  <c r="AN852"/>
  <c r="AP852" s="1"/>
  <c r="AS852" s="1"/>
  <c r="AN828"/>
  <c r="AP828" s="1"/>
  <c r="AS828" s="1"/>
  <c r="AN858"/>
  <c r="AP858" s="1"/>
  <c r="AS858" s="1"/>
  <c r="AN742"/>
  <c r="AP742" s="1"/>
  <c r="AS742" s="1"/>
  <c r="AN1132"/>
  <c r="AP1132" s="1"/>
  <c r="AS1132" s="1"/>
  <c r="AN1119"/>
  <c r="AP1119" s="1"/>
  <c r="AS1119" s="1"/>
  <c r="AN1162"/>
  <c r="AP1162" s="1"/>
  <c r="AS1162" s="1"/>
  <c r="AN874"/>
  <c r="AP874" s="1"/>
  <c r="AS874" s="1"/>
  <c r="AN778"/>
  <c r="AP778" s="1"/>
  <c r="AS778" s="1"/>
  <c r="AN1266"/>
  <c r="AP1266" s="1"/>
  <c r="AS1266" s="1"/>
  <c r="AN1214"/>
  <c r="AP1214" s="1"/>
  <c r="AS1214" s="1"/>
  <c r="AN871"/>
  <c r="AP871" s="1"/>
  <c r="AS871" s="1"/>
  <c r="AN830"/>
  <c r="AP830" s="1"/>
  <c r="AS830" s="1"/>
  <c r="AN909"/>
  <c r="AP909" s="1"/>
  <c r="AS909" s="1"/>
  <c r="AN1011"/>
  <c r="AP1011" s="1"/>
  <c r="AS1011" s="1"/>
  <c r="AN537"/>
  <c r="AP537" s="1"/>
  <c r="AS537" s="1"/>
  <c r="AN1185"/>
  <c r="AP1185" s="1"/>
  <c r="AS1185" s="1"/>
  <c r="AN246"/>
  <c r="AP246" s="1"/>
  <c r="AS246" s="1"/>
  <c r="AN1177"/>
  <c r="AP1177" s="1"/>
  <c r="AS1177" s="1"/>
  <c r="AN799"/>
  <c r="AP799" s="1"/>
  <c r="AS799" s="1"/>
  <c r="AN643"/>
  <c r="AP643" s="1"/>
  <c r="AS643" s="1"/>
  <c r="AN878"/>
  <c r="AP878" s="1"/>
  <c r="AS878" s="1"/>
  <c r="AN181"/>
  <c r="AP181" s="1"/>
  <c r="AS181" s="1"/>
  <c r="AN1104"/>
  <c r="AP1104" s="1"/>
  <c r="AS1104" s="1"/>
  <c r="AN355"/>
  <c r="AP355" s="1"/>
  <c r="AS355" s="1"/>
  <c r="AN1183"/>
  <c r="AP1183" s="1"/>
  <c r="AS1183" s="1"/>
  <c r="AN1111"/>
  <c r="AP1111" s="1"/>
  <c r="AS1111" s="1"/>
  <c r="AN639"/>
  <c r="AP639" s="1"/>
  <c r="AS639" s="1"/>
  <c r="AO86"/>
  <c r="AR86" s="1"/>
  <c r="AN1033"/>
  <c r="AP1033" s="1"/>
  <c r="AS1033" s="1"/>
  <c r="AN136"/>
  <c r="AP136" s="1"/>
  <c r="AS136" s="1"/>
  <c r="AN329"/>
  <c r="AP329" s="1"/>
  <c r="AS329" s="1"/>
  <c r="AN109"/>
  <c r="AP109" s="1"/>
  <c r="AS109" s="1"/>
  <c r="AN1109"/>
  <c r="AP1109" s="1"/>
  <c r="AS1109" s="1"/>
  <c r="AN534"/>
  <c r="AP534" s="1"/>
  <c r="AS534" s="1"/>
  <c r="AO96"/>
  <c r="AR96" s="1"/>
  <c r="AN1180"/>
  <c r="AP1180" s="1"/>
  <c r="AS1180" s="1"/>
  <c r="AN950"/>
  <c r="AP950" s="1"/>
  <c r="AS950" s="1"/>
  <c r="AN164"/>
  <c r="AP164" s="1"/>
  <c r="AS164" s="1"/>
  <c r="AN285"/>
  <c r="AP285" s="1"/>
  <c r="AS285" s="1"/>
  <c r="AN1258"/>
  <c r="AP1258" s="1"/>
  <c r="AS1258" s="1"/>
  <c r="AN392"/>
  <c r="AP392" s="1"/>
  <c r="AS392" s="1"/>
  <c r="AN614"/>
  <c r="AP614" s="1"/>
  <c r="AS614" s="1"/>
  <c r="AN515"/>
  <c r="AP515" s="1"/>
  <c r="AS515" s="1"/>
  <c r="AN1172"/>
  <c r="AP1172" s="1"/>
  <c r="AS1172" s="1"/>
  <c r="AN1078"/>
  <c r="AP1078" s="1"/>
  <c r="AS1078" s="1"/>
  <c r="AN110"/>
  <c r="AP110" s="1"/>
  <c r="AS110" s="1"/>
  <c r="AN349"/>
  <c r="AP349" s="1"/>
  <c r="AS349" s="1"/>
  <c r="AN1021"/>
  <c r="AP1021" s="1"/>
  <c r="AS1021" s="1"/>
  <c r="AN518"/>
  <c r="AP518" s="1"/>
  <c r="AS518" s="1"/>
  <c r="AN1125"/>
  <c r="AP1125" s="1"/>
  <c r="AS1125" s="1"/>
  <c r="AN1067"/>
  <c r="AP1067" s="1"/>
  <c r="AS1067" s="1"/>
  <c r="AN300"/>
  <c r="AP300" s="1"/>
  <c r="AS300" s="1"/>
  <c r="AN948"/>
  <c r="AP948" s="1"/>
  <c r="AS948" s="1"/>
  <c r="AN174"/>
  <c r="AP174" s="1"/>
  <c r="AS174" s="1"/>
  <c r="AN1032"/>
  <c r="AP1032" s="1"/>
  <c r="AS1032" s="1"/>
  <c r="AN1220"/>
  <c r="AP1220" s="1"/>
  <c r="AS1220" s="1"/>
  <c r="AN163"/>
  <c r="AP163" s="1"/>
  <c r="AS163" s="1"/>
  <c r="AN930"/>
  <c r="AP930" s="1"/>
  <c r="AS930" s="1"/>
  <c r="AN546"/>
  <c r="AP546" s="1"/>
  <c r="AS546" s="1"/>
  <c r="AN566"/>
  <c r="AP566" s="1"/>
  <c r="AS566" s="1"/>
  <c r="AN1046"/>
  <c r="AP1046" s="1"/>
  <c r="AS1046" s="1"/>
  <c r="AN784"/>
  <c r="AP784" s="1"/>
  <c r="AS784" s="1"/>
  <c r="AN589"/>
  <c r="AP589" s="1"/>
  <c r="AS589" s="1"/>
  <c r="AN1037"/>
  <c r="AP1037" s="1"/>
  <c r="AS1037" s="1"/>
  <c r="AN836"/>
  <c r="AP836" s="1"/>
  <c r="AS836" s="1"/>
  <c r="AN1142"/>
  <c r="AP1142" s="1"/>
  <c r="AS1142" s="1"/>
  <c r="AN245"/>
  <c r="AP245" s="1"/>
  <c r="AS245" s="1"/>
  <c r="AN574"/>
  <c r="AP574" s="1"/>
  <c r="AS574" s="1"/>
  <c r="AN911"/>
  <c r="AP911" s="1"/>
  <c r="AS911" s="1"/>
  <c r="AN296"/>
  <c r="AP296" s="1"/>
  <c r="AS296" s="1"/>
  <c r="AN1225"/>
  <c r="AP1225" s="1"/>
  <c r="AS1225" s="1"/>
  <c r="AN901"/>
  <c r="AP901" s="1"/>
  <c r="AS901" s="1"/>
  <c r="AN720"/>
  <c r="AP720" s="1"/>
  <c r="AS720" s="1"/>
  <c r="AN1082"/>
  <c r="AP1082" s="1"/>
  <c r="AS1082" s="1"/>
  <c r="AN691"/>
  <c r="AP691" s="1"/>
  <c r="AS691" s="1"/>
  <c r="AN872"/>
  <c r="AP872" s="1"/>
  <c r="AS872" s="1"/>
  <c r="AN800"/>
  <c r="AP800" s="1"/>
  <c r="AS800" s="1"/>
  <c r="AN190"/>
  <c r="AP190" s="1"/>
  <c r="AS190" s="1"/>
  <c r="AO344"/>
  <c r="AR344" s="1"/>
  <c r="AO754"/>
  <c r="AR754" s="1"/>
  <c r="AO913"/>
  <c r="AR913" s="1"/>
  <c r="AO537"/>
  <c r="AR537" s="1"/>
  <c r="AO207"/>
  <c r="AR207" s="1"/>
  <c r="AO213"/>
  <c r="AR213" s="1"/>
  <c r="AO1011"/>
  <c r="AR1011" s="1"/>
  <c r="AN310"/>
  <c r="AP310" s="1"/>
  <c r="AS310" s="1"/>
  <c r="AO66"/>
  <c r="AR66" s="1"/>
  <c r="AN384"/>
  <c r="AP384" s="1"/>
  <c r="AS384" s="1"/>
  <c r="AN111"/>
  <c r="AP111" s="1"/>
  <c r="AS111" s="1"/>
  <c r="AN866"/>
  <c r="AP866" s="1"/>
  <c r="AS866" s="1"/>
  <c r="AN602"/>
  <c r="AP602" s="1"/>
  <c r="AS602" s="1"/>
  <c r="AN791"/>
  <c r="AP791" s="1"/>
  <c r="AS791" s="1"/>
  <c r="AN986"/>
  <c r="AP986" s="1"/>
  <c r="AS986" s="1"/>
  <c r="AN570"/>
  <c r="AP570" s="1"/>
  <c r="AS570" s="1"/>
  <c r="AN1251"/>
  <c r="AP1251" s="1"/>
  <c r="AS1251" s="1"/>
  <c r="AN579"/>
  <c r="AP579" s="1"/>
  <c r="AS579" s="1"/>
  <c r="AN1004"/>
  <c r="AP1004" s="1"/>
  <c r="AS1004" s="1"/>
  <c r="AN535"/>
  <c r="AP535" s="1"/>
  <c r="AS535" s="1"/>
  <c r="AN122"/>
  <c r="AP122" s="1"/>
  <c r="AS122" s="1"/>
  <c r="AN717"/>
  <c r="AP717" s="1"/>
  <c r="AS717" s="1"/>
  <c r="AN1058"/>
  <c r="AP1058" s="1"/>
  <c r="AS1058" s="1"/>
  <c r="AN568"/>
  <c r="AP568" s="1"/>
  <c r="AS568" s="1"/>
  <c r="AN1144"/>
  <c r="AP1144" s="1"/>
  <c r="AS1144" s="1"/>
  <c r="AO60"/>
  <c r="AR60" s="1"/>
  <c r="AN1247"/>
  <c r="AP1247" s="1"/>
  <c r="AS1247" s="1"/>
  <c r="AN821"/>
  <c r="AP821" s="1"/>
  <c r="AS821" s="1"/>
  <c r="AN1057"/>
  <c r="AP1057" s="1"/>
  <c r="AS1057" s="1"/>
  <c r="AN998"/>
  <c r="AP998" s="1"/>
  <c r="AS998" s="1"/>
  <c r="AN1060"/>
  <c r="AP1060" s="1"/>
  <c r="AS1060" s="1"/>
  <c r="AN940"/>
  <c r="AP940" s="1"/>
  <c r="AS940" s="1"/>
  <c r="AN143"/>
  <c r="AP143" s="1"/>
  <c r="AS143" s="1"/>
  <c r="AN556"/>
  <c r="AP556" s="1"/>
  <c r="AS556" s="1"/>
  <c r="AN712"/>
  <c r="AP712" s="1"/>
  <c r="AS712" s="1"/>
  <c r="AN923"/>
  <c r="AP923" s="1"/>
  <c r="AS923" s="1"/>
  <c r="AN291"/>
  <c r="AP291" s="1"/>
  <c r="AS291" s="1"/>
  <c r="AN847"/>
  <c r="AP847" s="1"/>
  <c r="AS847" s="1"/>
  <c r="AN540"/>
  <c r="AP540" s="1"/>
  <c r="AS540" s="1"/>
  <c r="AN882"/>
  <c r="AP882" s="1"/>
  <c r="AS882" s="1"/>
  <c r="AN491"/>
  <c r="AP491" s="1"/>
  <c r="AS491" s="1"/>
  <c r="AO55"/>
  <c r="AR55" s="1"/>
  <c r="AN683"/>
  <c r="AP683" s="1"/>
  <c r="AS683" s="1"/>
  <c r="AN569"/>
  <c r="AP569" s="1"/>
  <c r="AS569" s="1"/>
  <c r="AN365"/>
  <c r="AP365" s="1"/>
  <c r="AS365" s="1"/>
  <c r="AN517"/>
  <c r="AP517" s="1"/>
  <c r="AS517" s="1"/>
  <c r="AN650"/>
  <c r="AP650" s="1"/>
  <c r="AS650" s="1"/>
  <c r="AN513"/>
  <c r="AP513" s="1"/>
  <c r="AS513" s="1"/>
  <c r="AN292"/>
  <c r="AP292" s="1"/>
  <c r="AS292" s="1"/>
  <c r="AN1226"/>
  <c r="AP1226" s="1"/>
  <c r="AS1226" s="1"/>
  <c r="AN131"/>
  <c r="AP131" s="1"/>
  <c r="AS131" s="1"/>
  <c r="AO40"/>
  <c r="AR40" s="1"/>
  <c r="AN572"/>
  <c r="AP572" s="1"/>
  <c r="AS572" s="1"/>
  <c r="AN958"/>
  <c r="AP958" s="1"/>
  <c r="AS958" s="1"/>
  <c r="AN907"/>
  <c r="AP907" s="1"/>
  <c r="AS907" s="1"/>
  <c r="AN289"/>
  <c r="AP289" s="1"/>
  <c r="AS289" s="1"/>
  <c r="AN838"/>
  <c r="AP838" s="1"/>
  <c r="AS838" s="1"/>
  <c r="AN721"/>
  <c r="AP721" s="1"/>
  <c r="AS721" s="1"/>
  <c r="AN398"/>
  <c r="AP398" s="1"/>
  <c r="AS398" s="1"/>
  <c r="AO46"/>
  <c r="AR46" s="1"/>
  <c r="AN855"/>
  <c r="AP855" s="1"/>
  <c r="AS855" s="1"/>
  <c r="AN502"/>
  <c r="AP502" s="1"/>
  <c r="AS502" s="1"/>
  <c r="AN804"/>
  <c r="AP804" s="1"/>
  <c r="AS804" s="1"/>
  <c r="AN891"/>
  <c r="AP891" s="1"/>
  <c r="AS891" s="1"/>
  <c r="AO93"/>
  <c r="AR93" s="1"/>
  <c r="AN168"/>
  <c r="AP168" s="1"/>
  <c r="AS168" s="1"/>
  <c r="AN1255"/>
  <c r="AP1255" s="1"/>
  <c r="AS1255" s="1"/>
  <c r="AN984"/>
  <c r="AP984" s="1"/>
  <c r="AS984" s="1"/>
  <c r="AN1210"/>
  <c r="AP1210" s="1"/>
  <c r="AS1210" s="1"/>
  <c r="AN188"/>
  <c r="AP188" s="1"/>
  <c r="AS188" s="1"/>
  <c r="AN1098"/>
  <c r="AP1098" s="1"/>
  <c r="AS1098" s="1"/>
  <c r="AN946"/>
  <c r="AP946" s="1"/>
  <c r="AS946" s="1"/>
  <c r="AN1237"/>
  <c r="AP1237" s="1"/>
  <c r="AS1237" s="1"/>
  <c r="AN910"/>
  <c r="AP910" s="1"/>
  <c r="AS910" s="1"/>
  <c r="AN532"/>
  <c r="AP532" s="1"/>
  <c r="AS532" s="1"/>
  <c r="AN414"/>
  <c r="AP414" s="1"/>
  <c r="AS414" s="1"/>
  <c r="AO1185"/>
  <c r="AR1185" s="1"/>
  <c r="AN1066"/>
  <c r="AP1066" s="1"/>
  <c r="AS1066" s="1"/>
  <c r="AO246"/>
  <c r="AR246" s="1"/>
  <c r="AN1028"/>
  <c r="AP1028" s="1"/>
  <c r="AS1028" s="1"/>
  <c r="AN157"/>
  <c r="AP157" s="1"/>
  <c r="AS157" s="1"/>
  <c r="AN498"/>
  <c r="AP498" s="1"/>
  <c r="AS498" s="1"/>
  <c r="AN1169"/>
  <c r="AP1169" s="1"/>
  <c r="AS1169" s="1"/>
  <c r="AN113"/>
  <c r="AP113" s="1"/>
  <c r="AS113" s="1"/>
  <c r="AN353"/>
  <c r="AP353" s="1"/>
  <c r="AS353" s="1"/>
  <c r="AN126"/>
  <c r="AP126" s="1"/>
  <c r="AS126" s="1"/>
  <c r="AN694"/>
  <c r="AP694" s="1"/>
  <c r="AS694" s="1"/>
  <c r="AN1074"/>
  <c r="AP1074" s="1"/>
  <c r="AS1074" s="1"/>
  <c r="AN792"/>
  <c r="AP792" s="1"/>
  <c r="AS792" s="1"/>
  <c r="AN1262"/>
  <c r="AP1262" s="1"/>
  <c r="AS1262" s="1"/>
  <c r="AN1076"/>
  <c r="AP1076" s="1"/>
  <c r="AS1076" s="1"/>
  <c r="AN905"/>
  <c r="AP905" s="1"/>
  <c r="AS905" s="1"/>
  <c r="AN1206"/>
  <c r="AP1206" s="1"/>
  <c r="AS1206" s="1"/>
  <c r="AN493"/>
  <c r="AP493" s="1"/>
  <c r="AS493" s="1"/>
  <c r="AN722"/>
  <c r="AP722" s="1"/>
  <c r="AS722" s="1"/>
  <c r="AN622"/>
  <c r="AP622" s="1"/>
  <c r="AS622" s="1"/>
  <c r="AN1131"/>
  <c r="AP1131" s="1"/>
  <c r="AS1131" s="1"/>
  <c r="AN561"/>
  <c r="AP561" s="1"/>
  <c r="AS561" s="1"/>
  <c r="AN1012"/>
  <c r="AP1012" s="1"/>
  <c r="AS1012" s="1"/>
  <c r="AN1155"/>
  <c r="AP1155" s="1"/>
  <c r="AS1155" s="1"/>
  <c r="AN557"/>
  <c r="AP557" s="1"/>
  <c r="AS557" s="1"/>
  <c r="AN527"/>
  <c r="AP527" s="1"/>
  <c r="AS527" s="1"/>
  <c r="AN611"/>
  <c r="AP611" s="1"/>
  <c r="AS611" s="1"/>
  <c r="AN519"/>
  <c r="AP519" s="1"/>
  <c r="AS519" s="1"/>
  <c r="AN806"/>
  <c r="AP806" s="1"/>
  <c r="AS806" s="1"/>
  <c r="AN652"/>
  <c r="AP652" s="1"/>
  <c r="AS652" s="1"/>
  <c r="AN900"/>
  <c r="AP900" s="1"/>
  <c r="AS900" s="1"/>
  <c r="AN688"/>
  <c r="AP688" s="1"/>
  <c r="AS688" s="1"/>
  <c r="AN849"/>
  <c r="AP849" s="1"/>
  <c r="AS849" s="1"/>
  <c r="AN328"/>
  <c r="AP328" s="1"/>
  <c r="AS328" s="1"/>
  <c r="AN709"/>
  <c r="AP709" s="1"/>
  <c r="AS709" s="1"/>
  <c r="AN354"/>
  <c r="AP354" s="1"/>
  <c r="AS354" s="1"/>
  <c r="AN1248"/>
  <c r="AP1248" s="1"/>
  <c r="AS1248" s="1"/>
  <c r="AN576"/>
  <c r="AP576" s="1"/>
  <c r="AS576" s="1"/>
  <c r="AN1196"/>
  <c r="AP1196" s="1"/>
  <c r="AS1196" s="1"/>
  <c r="AN200"/>
  <c r="AP200" s="1"/>
  <c r="AS200" s="1"/>
  <c r="AN640"/>
  <c r="AP640" s="1"/>
  <c r="AS640" s="1"/>
  <c r="AN533"/>
  <c r="AP533" s="1"/>
  <c r="AS533" s="1"/>
  <c r="AN876"/>
  <c r="AP876" s="1"/>
  <c r="AS876" s="1"/>
  <c r="AN894"/>
  <c r="AP894" s="1"/>
  <c r="AS894" s="1"/>
  <c r="AN175"/>
  <c r="AP175" s="1"/>
  <c r="AS175" s="1"/>
  <c r="AN649"/>
  <c r="AP649" s="1"/>
  <c r="AS649" s="1"/>
  <c r="AN378"/>
  <c r="AP378" s="1"/>
  <c r="AS378" s="1"/>
  <c r="AN677"/>
  <c r="AP677" s="1"/>
  <c r="AS677" s="1"/>
  <c r="AN547"/>
  <c r="AP547" s="1"/>
  <c r="AS547" s="1"/>
  <c r="AN904"/>
  <c r="AP904" s="1"/>
  <c r="AS904" s="1"/>
  <c r="AN303"/>
  <c r="AP303" s="1"/>
  <c r="AS303" s="1"/>
  <c r="AN560"/>
  <c r="AP560" s="1"/>
  <c r="AS560" s="1"/>
  <c r="AN399"/>
  <c r="AP399" s="1"/>
  <c r="AS399" s="1"/>
  <c r="AN817"/>
  <c r="AP817" s="1"/>
  <c r="AS817" s="1"/>
  <c r="AN1147"/>
  <c r="AP1147" s="1"/>
  <c r="AS1147" s="1"/>
  <c r="AN1170"/>
  <c r="AP1170" s="1"/>
  <c r="AS1170" s="1"/>
  <c r="AN264"/>
  <c r="AP264" s="1"/>
  <c r="AS264" s="1"/>
  <c r="AN1168"/>
  <c r="AP1168" s="1"/>
  <c r="AS1168" s="1"/>
  <c r="AN346"/>
  <c r="AP346" s="1"/>
  <c r="AS346" s="1"/>
  <c r="AO34"/>
  <c r="AR34" s="1"/>
  <c r="AN1063"/>
  <c r="AP1063" s="1"/>
  <c r="AS1063" s="1"/>
  <c r="AN295"/>
  <c r="AP295" s="1"/>
  <c r="AS295" s="1"/>
  <c r="AN1203"/>
  <c r="AP1203" s="1"/>
  <c r="AS1203" s="1"/>
  <c r="AN604"/>
  <c r="AP604" s="1"/>
  <c r="AS604" s="1"/>
  <c r="AN599"/>
  <c r="AP599" s="1"/>
  <c r="AS599" s="1"/>
  <c r="AN490"/>
  <c r="AP490" s="1"/>
  <c r="AS490" s="1"/>
  <c r="AN667"/>
  <c r="AP667" s="1"/>
  <c r="AS667" s="1"/>
  <c r="AN314"/>
  <c r="AP314" s="1"/>
  <c r="AS314" s="1"/>
  <c r="AN1235"/>
  <c r="AP1235" s="1"/>
  <c r="AS1235" s="1"/>
  <c r="AN1096"/>
  <c r="AP1096" s="1"/>
  <c r="AS1096" s="1"/>
  <c r="AN125"/>
  <c r="AP125" s="1"/>
  <c r="AS125" s="1"/>
  <c r="AN397"/>
  <c r="AP397" s="1"/>
  <c r="AS397" s="1"/>
  <c r="AN193"/>
  <c r="AP193" s="1"/>
  <c r="AS193" s="1"/>
  <c r="AN608"/>
  <c r="AP608" s="1"/>
  <c r="AS608" s="1"/>
  <c r="AN1175"/>
  <c r="AP1175" s="1"/>
  <c r="AS1175" s="1"/>
  <c r="AN401"/>
  <c r="AP401" s="1"/>
  <c r="AS401" s="1"/>
  <c r="AO247"/>
  <c r="AR247" s="1"/>
  <c r="AO960"/>
  <c r="AR960" s="1"/>
  <c r="AO206"/>
  <c r="AR206" s="1"/>
  <c r="AO863"/>
  <c r="AR863" s="1"/>
  <c r="AO902"/>
  <c r="AR902" s="1"/>
  <c r="AN90"/>
  <c r="AP90" s="1"/>
  <c r="AS90" s="1"/>
  <c r="AN471"/>
  <c r="AP471" s="1"/>
  <c r="AS471" s="1"/>
  <c r="AN138"/>
  <c r="AP138" s="1"/>
  <c r="AS138" s="1"/>
  <c r="AO138"/>
  <c r="AR138" s="1"/>
  <c r="AN934"/>
  <c r="AP934" s="1"/>
  <c r="AS934" s="1"/>
  <c r="AN367"/>
  <c r="AP367" s="1"/>
  <c r="AS367" s="1"/>
  <c r="AN381"/>
  <c r="AP381" s="1"/>
  <c r="AS381" s="1"/>
  <c r="AN816"/>
  <c r="AP816" s="1"/>
  <c r="AS816" s="1"/>
  <c r="AN267"/>
  <c r="AP267" s="1"/>
  <c r="AS267" s="1"/>
  <c r="AO74"/>
  <c r="AR74" s="1"/>
  <c r="AN835"/>
  <c r="AP835" s="1"/>
  <c r="AS835" s="1"/>
  <c r="AN1134"/>
  <c r="AP1134" s="1"/>
  <c r="AS1134" s="1"/>
  <c r="AO61"/>
  <c r="AR61" s="1"/>
  <c r="AN927"/>
  <c r="AP927" s="1"/>
  <c r="AS927" s="1"/>
  <c r="AN327"/>
  <c r="AP327" s="1"/>
  <c r="AS327" s="1"/>
  <c r="AN619"/>
  <c r="AP619" s="1"/>
  <c r="AS619" s="1"/>
  <c r="AN294"/>
  <c r="AP294" s="1"/>
  <c r="AS294" s="1"/>
  <c r="AN704"/>
  <c r="AP704" s="1"/>
  <c r="AS704" s="1"/>
  <c r="AN1244"/>
  <c r="AP1244" s="1"/>
  <c r="AS1244" s="1"/>
  <c r="AO36"/>
  <c r="AR36" s="1"/>
  <c r="AN1165"/>
  <c r="AP1165" s="1"/>
  <c r="AS1165" s="1"/>
  <c r="AO925"/>
  <c r="AR925" s="1"/>
  <c r="AN510"/>
  <c r="AP510" s="1"/>
  <c r="AS510" s="1"/>
  <c r="AN257"/>
  <c r="AP257" s="1"/>
  <c r="AS257" s="1"/>
  <c r="AO37"/>
  <c r="AR37" s="1"/>
  <c r="AN823"/>
  <c r="AP823" s="1"/>
  <c r="AS823" s="1"/>
  <c r="AN361"/>
  <c r="AP361" s="1"/>
  <c r="AS361" s="1"/>
  <c r="AN1105"/>
  <c r="AP1105" s="1"/>
  <c r="AS1105" s="1"/>
  <c r="AN740"/>
  <c r="AP740" s="1"/>
  <c r="AS740" s="1"/>
  <c r="AN503"/>
  <c r="AP503" s="1"/>
  <c r="AS503" s="1"/>
  <c r="AN1200"/>
  <c r="AP1200" s="1"/>
  <c r="AS1200" s="1"/>
  <c r="AN195"/>
  <c r="AP195" s="1"/>
  <c r="AS195" s="1"/>
  <c r="AN1062"/>
  <c r="AP1062" s="1"/>
  <c r="AS1062" s="1"/>
  <c r="AO91"/>
  <c r="AR91" s="1"/>
  <c r="AN819"/>
  <c r="AP819" s="1"/>
  <c r="AS819" s="1"/>
  <c r="AN706"/>
  <c r="AP706" s="1"/>
  <c r="AS706" s="1"/>
  <c r="AN845"/>
  <c r="AP845" s="1"/>
  <c r="AS845" s="1"/>
  <c r="AN178"/>
  <c r="AP178" s="1"/>
  <c r="AS178" s="1"/>
  <c r="AN156"/>
  <c r="AP156" s="1"/>
  <c r="AS156" s="1"/>
  <c r="AN857"/>
  <c r="AP857" s="1"/>
  <c r="AS857" s="1"/>
  <c r="AN333"/>
  <c r="AP333" s="1"/>
  <c r="AS333" s="1"/>
  <c r="AN356"/>
  <c r="AP356" s="1"/>
  <c r="AS356" s="1"/>
  <c r="AN1091"/>
  <c r="AP1091" s="1"/>
  <c r="AS1091" s="1"/>
  <c r="AN796"/>
  <c r="AP796" s="1"/>
  <c r="AS796" s="1"/>
  <c r="AO80"/>
  <c r="AR80" s="1"/>
  <c r="AN725"/>
  <c r="AP725" s="1"/>
  <c r="AS725" s="1"/>
  <c r="AN645"/>
  <c r="AP645" s="1"/>
  <c r="AS645" s="1"/>
  <c r="AO170"/>
  <c r="AR170" s="1"/>
  <c r="AN949"/>
  <c r="AP949" s="1"/>
  <c r="AS949" s="1"/>
  <c r="AN247"/>
  <c r="AP247" s="1"/>
  <c r="AS247" s="1"/>
  <c r="AN1163"/>
  <c r="AP1163" s="1"/>
  <c r="AS1163" s="1"/>
  <c r="AN814"/>
  <c r="AP814" s="1"/>
  <c r="AS814" s="1"/>
  <c r="AN636"/>
  <c r="AP636" s="1"/>
  <c r="AS636" s="1"/>
  <c r="AN617"/>
  <c r="AP617" s="1"/>
  <c r="AS617" s="1"/>
  <c r="AN581"/>
  <c r="AP581" s="1"/>
  <c r="AS581" s="1"/>
  <c r="AN124"/>
  <c r="AP124" s="1"/>
  <c r="AS124" s="1"/>
  <c r="AO75"/>
  <c r="AR75" s="1"/>
  <c r="AN714"/>
  <c r="AP714" s="1"/>
  <c r="AS714" s="1"/>
  <c r="AN386"/>
  <c r="AP386" s="1"/>
  <c r="AS386" s="1"/>
  <c r="AN148"/>
  <c r="AP148" s="1"/>
  <c r="AS148" s="1"/>
  <c r="AN656"/>
  <c r="AP656" s="1"/>
  <c r="AS656" s="1"/>
  <c r="AN254"/>
  <c r="AP254" s="1"/>
  <c r="AS254" s="1"/>
  <c r="AN992"/>
  <c r="AP992" s="1"/>
  <c r="AS992" s="1"/>
  <c r="AN877"/>
  <c r="AP877" s="1"/>
  <c r="AS877" s="1"/>
  <c r="AN293"/>
  <c r="AP293" s="1"/>
  <c r="AS293" s="1"/>
  <c r="AN922"/>
  <c r="AP922" s="1"/>
  <c r="AS922" s="1"/>
  <c r="AN308"/>
  <c r="AP308" s="1"/>
  <c r="AS308" s="1"/>
  <c r="AO58"/>
  <c r="AR58" s="1"/>
  <c r="AN880"/>
  <c r="AP880" s="1"/>
  <c r="AS880" s="1"/>
  <c r="AN879"/>
  <c r="AP879" s="1"/>
  <c r="AS879" s="1"/>
  <c r="AN638"/>
  <c r="AP638" s="1"/>
  <c r="AS638" s="1"/>
  <c r="AN129"/>
  <c r="AP129" s="1"/>
  <c r="AS129" s="1"/>
  <c r="AN862"/>
  <c r="AP862" s="1"/>
  <c r="AS862" s="1"/>
  <c r="AN1049"/>
  <c r="AP1049" s="1"/>
  <c r="AS1049" s="1"/>
  <c r="AN1087"/>
  <c r="AP1087" s="1"/>
  <c r="AS1087" s="1"/>
  <c r="AN187"/>
  <c r="AP187" s="1"/>
  <c r="AS187" s="1"/>
  <c r="AN373"/>
  <c r="AP373" s="1"/>
  <c r="AS373" s="1"/>
  <c r="AN185"/>
  <c r="AP185" s="1"/>
  <c r="AS185" s="1"/>
  <c r="AN529"/>
  <c r="AP529" s="1"/>
  <c r="AS529" s="1"/>
  <c r="AN312"/>
  <c r="AP312" s="1"/>
  <c r="AS312" s="1"/>
  <c r="AN1095"/>
  <c r="AP1095" s="1"/>
  <c r="AS1095" s="1"/>
  <c r="AN154"/>
  <c r="AP154" s="1"/>
  <c r="AS154" s="1"/>
  <c r="AO49"/>
  <c r="AR49" s="1"/>
  <c r="AN1100"/>
  <c r="AP1100" s="1"/>
  <c r="AS1100" s="1"/>
  <c r="AN1022"/>
  <c r="AP1022" s="1"/>
  <c r="AS1022" s="1"/>
  <c r="AN735"/>
  <c r="AP735" s="1"/>
  <c r="AS735" s="1"/>
  <c r="AN1047"/>
  <c r="AP1047" s="1"/>
  <c r="AS1047" s="1"/>
  <c r="AN654"/>
  <c r="AP654" s="1"/>
  <c r="AS654" s="1"/>
  <c r="AN553"/>
  <c r="AP553" s="1"/>
  <c r="AS553" s="1"/>
  <c r="AN1015"/>
  <c r="AP1015" s="1"/>
  <c r="AS1015" s="1"/>
  <c r="AN580"/>
  <c r="AP580" s="1"/>
  <c r="AS580" s="1"/>
  <c r="AN288"/>
  <c r="AP288" s="1"/>
  <c r="AS288" s="1"/>
  <c r="AN690"/>
  <c r="AP690" s="1"/>
  <c r="AS690" s="1"/>
  <c r="AN966"/>
  <c r="AP966" s="1"/>
  <c r="AS966" s="1"/>
  <c r="AN815"/>
  <c r="AP815" s="1"/>
  <c r="AS815" s="1"/>
  <c r="AN362"/>
  <c r="AP362" s="1"/>
  <c r="AS362" s="1"/>
  <c r="AN615"/>
  <c r="AP615" s="1"/>
  <c r="AS615" s="1"/>
  <c r="AN869"/>
  <c r="AP869" s="1"/>
  <c r="AS869" s="1"/>
  <c r="AN198"/>
  <c r="AP198" s="1"/>
  <c r="AS198" s="1"/>
  <c r="AN929"/>
  <c r="AP929" s="1"/>
  <c r="AS929" s="1"/>
  <c r="AN1044"/>
  <c r="AP1044" s="1"/>
  <c r="AS1044" s="1"/>
  <c r="AN833"/>
  <c r="AP833" s="1"/>
  <c r="AS833" s="1"/>
  <c r="AN842"/>
  <c r="AP842" s="1"/>
  <c r="AS842" s="1"/>
  <c r="AN726"/>
  <c r="AP726" s="1"/>
  <c r="AS726" s="1"/>
  <c r="AN1254"/>
  <c r="AP1254" s="1"/>
  <c r="AS1254" s="1"/>
  <c r="AN1089"/>
  <c r="AP1089" s="1"/>
  <c r="AS1089" s="1"/>
  <c r="AN337"/>
  <c r="AP337" s="1"/>
  <c r="AS337" s="1"/>
  <c r="AN861"/>
  <c r="AP861" s="1"/>
  <c r="AS861" s="1"/>
  <c r="AN853"/>
  <c r="AP853" s="1"/>
  <c r="AS853" s="1"/>
  <c r="AN271"/>
  <c r="AP271" s="1"/>
  <c r="AS271" s="1"/>
  <c r="AN286"/>
  <c r="AP286" s="1"/>
  <c r="AS286" s="1"/>
  <c r="AN1034"/>
  <c r="AP1034" s="1"/>
  <c r="AS1034" s="1"/>
  <c r="AN1224"/>
  <c r="AP1224" s="1"/>
  <c r="AS1224" s="1"/>
  <c r="AN199"/>
  <c r="AP199" s="1"/>
  <c r="AS199" s="1"/>
  <c r="AN323"/>
  <c r="AP323" s="1"/>
  <c r="AS323" s="1"/>
  <c r="AN868"/>
  <c r="AP868" s="1"/>
  <c r="AS868" s="1"/>
  <c r="AN809"/>
  <c r="AP809" s="1"/>
  <c r="AS809" s="1"/>
  <c r="AN908"/>
  <c r="AP908" s="1"/>
  <c r="AS908" s="1"/>
  <c r="AN505"/>
  <c r="AP505" s="1"/>
  <c r="AS505" s="1"/>
  <c r="AN633"/>
  <c r="AP633" s="1"/>
  <c r="AS633" s="1"/>
  <c r="AN681"/>
  <c r="AP681" s="1"/>
  <c r="AS681" s="1"/>
  <c r="AN1068"/>
  <c r="AP1068" s="1"/>
  <c r="AS1068" s="1"/>
  <c r="AN601"/>
  <c r="AP601" s="1"/>
  <c r="AS601" s="1"/>
  <c r="AN1101"/>
  <c r="AP1101" s="1"/>
  <c r="AS1101" s="1"/>
  <c r="AN573"/>
  <c r="AP573" s="1"/>
  <c r="AS573" s="1"/>
  <c r="AN320"/>
  <c r="AP320" s="1"/>
  <c r="AS320" s="1"/>
  <c r="AN290"/>
  <c r="AP290" s="1"/>
  <c r="AS290" s="1"/>
  <c r="AN607"/>
  <c r="AP607" s="1"/>
  <c r="AS607" s="1"/>
  <c r="AN666"/>
  <c r="AP666" s="1"/>
  <c r="AS666" s="1"/>
  <c r="AO39"/>
  <c r="AR39" s="1"/>
  <c r="AN982"/>
  <c r="AP982" s="1"/>
  <c r="AS982" s="1"/>
  <c r="AO50"/>
  <c r="AR50" s="1"/>
  <c r="AN1263"/>
  <c r="AP1263" s="1"/>
  <c r="AS1263" s="1"/>
  <c r="AN788"/>
  <c r="AP788" s="1"/>
  <c r="AS788" s="1"/>
  <c r="AN1069"/>
  <c r="AP1069" s="1"/>
  <c r="AS1069" s="1"/>
  <c r="AN364"/>
  <c r="AP364" s="1"/>
  <c r="AS364" s="1"/>
  <c r="AN370"/>
  <c r="AP370" s="1"/>
  <c r="AS370" s="1"/>
  <c r="AN299"/>
  <c r="AP299" s="1"/>
  <c r="AS299" s="1"/>
  <c r="AN146"/>
  <c r="AP146" s="1"/>
  <c r="AS146" s="1"/>
  <c r="AN1025"/>
  <c r="AP1025" s="1"/>
  <c r="AS1025" s="1"/>
  <c r="AN1071"/>
  <c r="AP1071" s="1"/>
  <c r="AS1071" s="1"/>
  <c r="AO35"/>
  <c r="AR35" s="1"/>
  <c r="AN357"/>
  <c r="AP357" s="1"/>
  <c r="AS357" s="1"/>
  <c r="AN152"/>
  <c r="AP152" s="1"/>
  <c r="AS152" s="1"/>
  <c r="AN1053"/>
  <c r="AP1053" s="1"/>
  <c r="AS1053" s="1"/>
  <c r="AN324"/>
  <c r="AP324" s="1"/>
  <c r="AS324" s="1"/>
  <c r="AN177"/>
  <c r="AP177" s="1"/>
  <c r="AS177" s="1"/>
  <c r="AN1212"/>
  <c r="AP1212" s="1"/>
  <c r="AS1212" s="1"/>
  <c r="AO414"/>
  <c r="AR414" s="1"/>
  <c r="AN756"/>
  <c r="AP756" s="1"/>
  <c r="AS756" s="1"/>
  <c r="AO400"/>
  <c r="AR400" s="1"/>
  <c r="AO501"/>
  <c r="AR501" s="1"/>
  <c r="AN72"/>
  <c r="AP72" s="1"/>
  <c r="AS72" s="1"/>
  <c r="AO581"/>
  <c r="AR581" s="1"/>
  <c r="AO148"/>
  <c r="AR148" s="1"/>
  <c r="AN623"/>
  <c r="AP623" s="1"/>
  <c r="AS623" s="1"/>
  <c r="AN651"/>
  <c r="AP651" s="1"/>
  <c r="AS651" s="1"/>
  <c r="AN565"/>
  <c r="AP565" s="1"/>
  <c r="AS565" s="1"/>
  <c r="AN1151"/>
  <c r="AP1151" s="1"/>
  <c r="AS1151" s="1"/>
  <c r="AN976"/>
  <c r="AP976" s="1"/>
  <c r="AS976" s="1"/>
  <c r="AN883"/>
  <c r="AP883" s="1"/>
  <c r="AS883" s="1"/>
  <c r="AN139"/>
  <c r="AP139" s="1"/>
  <c r="AS139" s="1"/>
  <c r="AN956"/>
  <c r="AP956" s="1"/>
  <c r="AS956" s="1"/>
  <c r="AN1242"/>
  <c r="AP1242" s="1"/>
  <c r="AS1242" s="1"/>
  <c r="AN834"/>
  <c r="AP834" s="1"/>
  <c r="AS834" s="1"/>
  <c r="AN169"/>
  <c r="AP169" s="1"/>
  <c r="AS169" s="1"/>
  <c r="AN283"/>
  <c r="AP283" s="1"/>
  <c r="AS283" s="1"/>
  <c r="AN372"/>
  <c r="AP372" s="1"/>
  <c r="AS372" s="1"/>
  <c r="AN1081"/>
  <c r="AP1081" s="1"/>
  <c r="AS1081" s="1"/>
  <c r="AO43"/>
  <c r="AR43" s="1"/>
  <c r="AN586"/>
  <c r="AP586" s="1"/>
  <c r="AS586" s="1"/>
  <c r="AN626"/>
  <c r="AP626" s="1"/>
  <c r="AS626" s="1"/>
  <c r="AN550"/>
  <c r="AP550" s="1"/>
  <c r="AS550" s="1"/>
  <c r="AN647"/>
  <c r="AP647" s="1"/>
  <c r="AS647" s="1"/>
  <c r="AN340"/>
  <c r="AP340" s="1"/>
  <c r="AS340" s="1"/>
  <c r="AN1174"/>
  <c r="AP1174" s="1"/>
  <c r="AS1174" s="1"/>
  <c r="AN511"/>
  <c r="AP511" s="1"/>
  <c r="AS511" s="1"/>
  <c r="AN512"/>
  <c r="AP512" s="1"/>
  <c r="AS512" s="1"/>
  <c r="AN734"/>
  <c r="AP734" s="1"/>
  <c r="AS734" s="1"/>
  <c r="AN523"/>
  <c r="AP523" s="1"/>
  <c r="AS523" s="1"/>
  <c r="AN552"/>
  <c r="AP552" s="1"/>
  <c r="AS552" s="1"/>
  <c r="AN1102"/>
  <c r="AP1102" s="1"/>
  <c r="AS1102" s="1"/>
  <c r="AN332"/>
  <c r="AP332" s="1"/>
  <c r="AS332" s="1"/>
  <c r="AN376"/>
  <c r="AP376" s="1"/>
  <c r="AS376" s="1"/>
  <c r="AN822"/>
  <c r="AP822" s="1"/>
  <c r="AS822" s="1"/>
  <c r="AN369"/>
  <c r="AP369" s="1"/>
  <c r="AS369" s="1"/>
  <c r="AN919"/>
  <c r="AP919" s="1"/>
  <c r="AS919" s="1"/>
  <c r="AN1097"/>
  <c r="AP1097" s="1"/>
  <c r="AS1097" s="1"/>
  <c r="AN119"/>
  <c r="AP119" s="1"/>
  <c r="AS119" s="1"/>
  <c r="AN166"/>
  <c r="AP166" s="1"/>
  <c r="AS166" s="1"/>
  <c r="AN903"/>
  <c r="AP903" s="1"/>
  <c r="AS903" s="1"/>
  <c r="AN1045"/>
  <c r="AP1045" s="1"/>
  <c r="AS1045" s="1"/>
  <c r="AN318"/>
  <c r="AP318" s="1"/>
  <c r="AS318" s="1"/>
  <c r="AN689"/>
  <c r="AP689" s="1"/>
  <c r="AS689" s="1"/>
  <c r="AN548"/>
  <c r="AP548" s="1"/>
  <c r="AS548" s="1"/>
  <c r="AN522"/>
  <c r="AP522" s="1"/>
  <c r="AS522" s="1"/>
  <c r="AN1138"/>
  <c r="AP1138" s="1"/>
  <c r="AS1138" s="1"/>
  <c r="AN660"/>
  <c r="AP660" s="1"/>
  <c r="AS660" s="1"/>
  <c r="AN864"/>
  <c r="AP864" s="1"/>
  <c r="AS864" s="1"/>
  <c r="AN921"/>
  <c r="AP921" s="1"/>
  <c r="AS921" s="1"/>
  <c r="AN824"/>
  <c r="AP824" s="1"/>
  <c r="AS824" s="1"/>
  <c r="AN1061"/>
  <c r="AP1061" s="1"/>
  <c r="AS1061" s="1"/>
  <c r="AN1055"/>
  <c r="AP1055" s="1"/>
  <c r="AS1055" s="1"/>
  <c r="AN158"/>
  <c r="AP158" s="1"/>
  <c r="AS158" s="1"/>
  <c r="AN972"/>
  <c r="AP972" s="1"/>
  <c r="AS972" s="1"/>
  <c r="AN695"/>
  <c r="AP695" s="1"/>
  <c r="AS695" s="1"/>
  <c r="AN1259"/>
  <c r="AP1259" s="1"/>
  <c r="AS1259" s="1"/>
  <c r="AN674"/>
  <c r="AP674" s="1"/>
  <c r="AS674" s="1"/>
  <c r="AN885"/>
  <c r="AP885" s="1"/>
  <c r="AS885" s="1"/>
  <c r="AN1145"/>
  <c r="AP1145" s="1"/>
  <c r="AS1145" s="1"/>
  <c r="AN1240"/>
  <c r="AP1240" s="1"/>
  <c r="AS1240" s="1"/>
  <c r="AN693"/>
  <c r="AP693" s="1"/>
  <c r="AS693" s="1"/>
  <c r="AN524"/>
  <c r="AP524" s="1"/>
  <c r="AS524" s="1"/>
  <c r="AN1029"/>
  <c r="AP1029" s="1"/>
  <c r="AS1029" s="1"/>
  <c r="AN663"/>
  <c r="AP663" s="1"/>
  <c r="AS663" s="1"/>
  <c r="AN266"/>
  <c r="AP266" s="1"/>
  <c r="AS266" s="1"/>
  <c r="AN1042"/>
  <c r="AP1042" s="1"/>
  <c r="AS1042" s="1"/>
  <c r="AN785"/>
  <c r="AP785" s="1"/>
  <c r="AS785" s="1"/>
  <c r="AN1080"/>
  <c r="AP1080" s="1"/>
  <c r="AS1080" s="1"/>
  <c r="AN687"/>
  <c r="AP687" s="1"/>
  <c r="AS687" s="1"/>
  <c r="AN1250"/>
  <c r="AP1250" s="1"/>
  <c r="AS1250" s="1"/>
  <c r="AN1000"/>
  <c r="AP1000" s="1"/>
  <c r="AS1000" s="1"/>
  <c r="AN1160"/>
  <c r="AP1160" s="1"/>
  <c r="AS1160" s="1"/>
  <c r="AN1156"/>
  <c r="AP1156" s="1"/>
  <c r="AS1156" s="1"/>
  <c r="AN738"/>
  <c r="AP738" s="1"/>
  <c r="AS738" s="1"/>
  <c r="AN659"/>
  <c r="AP659" s="1"/>
  <c r="AS659" s="1"/>
  <c r="AN914"/>
  <c r="AP914" s="1"/>
  <c r="AS914" s="1"/>
  <c r="AN118"/>
  <c r="AP118" s="1"/>
  <c r="AS118" s="1"/>
  <c r="AN182"/>
  <c r="AP182" s="1"/>
  <c r="AS182" s="1"/>
  <c r="AN1204"/>
  <c r="AP1204" s="1"/>
  <c r="AS1204" s="1"/>
  <c r="AN1110"/>
  <c r="AP1110" s="1"/>
  <c r="AS1110" s="1"/>
  <c r="AN1103"/>
  <c r="AP1103" s="1"/>
  <c r="AS1103" s="1"/>
  <c r="AN1086"/>
  <c r="AP1086" s="1"/>
  <c r="AS1086" s="1"/>
  <c r="AN1181"/>
  <c r="AP1181" s="1"/>
  <c r="AS1181" s="1"/>
  <c r="AN642"/>
  <c r="AP642" s="1"/>
  <c r="AS642" s="1"/>
  <c r="AN514"/>
  <c r="AP514" s="1"/>
  <c r="AS514" s="1"/>
  <c r="AN620"/>
  <c r="AP620" s="1"/>
  <c r="AS620" s="1"/>
  <c r="AN253"/>
  <c r="AP253" s="1"/>
  <c r="AS253" s="1"/>
  <c r="AN1192"/>
  <c r="AP1192" s="1"/>
  <c r="AS1192" s="1"/>
  <c r="AN371"/>
  <c r="AP371" s="1"/>
  <c r="AS371" s="1"/>
  <c r="AN244"/>
  <c r="AP244" s="1"/>
  <c r="AS244" s="1"/>
  <c r="AO94"/>
  <c r="AR94" s="1"/>
  <c r="AN1123"/>
  <c r="AP1123" s="1"/>
  <c r="AS1123" s="1"/>
  <c r="AN350"/>
  <c r="AP350" s="1"/>
  <c r="AS350" s="1"/>
  <c r="AN1120"/>
  <c r="AP1120" s="1"/>
  <c r="AS1120" s="1"/>
  <c r="AN1038"/>
  <c r="AP1038" s="1"/>
  <c r="AS1038" s="1"/>
  <c r="AN875"/>
  <c r="AP875" s="1"/>
  <c r="AS875" s="1"/>
  <c r="AN298"/>
  <c r="AP298" s="1"/>
  <c r="AS298" s="1"/>
  <c r="AN538"/>
  <c r="AP538" s="1"/>
  <c r="AS538" s="1"/>
  <c r="AN259"/>
  <c r="AP259" s="1"/>
  <c r="AS259" s="1"/>
  <c r="AN779"/>
  <c r="AP779" s="1"/>
  <c r="AS779" s="1"/>
  <c r="AN996"/>
  <c r="AP996" s="1"/>
  <c r="AS996" s="1"/>
  <c r="AN881"/>
  <c r="AP881" s="1"/>
  <c r="AS881" s="1"/>
  <c r="AN309"/>
  <c r="AP309" s="1"/>
  <c r="AS309" s="1"/>
  <c r="AN344"/>
  <c r="AP344" s="1"/>
  <c r="AS344" s="1"/>
  <c r="AN377"/>
  <c r="AP377" s="1"/>
  <c r="AS377" s="1"/>
  <c r="AN75"/>
  <c r="AP75" s="1"/>
  <c r="AS75" s="1"/>
  <c r="AN302"/>
  <c r="AP302" s="1"/>
  <c r="AS302" s="1"/>
  <c r="AO812"/>
  <c r="AR812" s="1"/>
  <c r="AO992"/>
  <c r="AR992" s="1"/>
  <c r="AO499"/>
  <c r="AR499" s="1"/>
  <c r="AN748"/>
  <c r="AP748" s="1"/>
  <c r="AS748" s="1"/>
  <c r="AO386"/>
  <c r="AR386" s="1"/>
  <c r="AO714"/>
  <c r="AR714" s="1"/>
  <c r="AN1106"/>
  <c r="AP1106" s="1"/>
  <c r="AS1106" s="1"/>
  <c r="AN120"/>
  <c r="AP120" s="1"/>
  <c r="AS120" s="1"/>
  <c r="AO909"/>
  <c r="AR909" s="1"/>
  <c r="AO1066"/>
  <c r="AR1066" s="1"/>
  <c r="AO130"/>
  <c r="AR130" s="1"/>
  <c r="AN201"/>
  <c r="AP201" s="1"/>
  <c r="AS201" s="1"/>
  <c r="AN980"/>
  <c r="AP980" s="1"/>
  <c r="AS980" s="1"/>
  <c r="AN1050"/>
  <c r="AP1050" s="1"/>
  <c r="AS1050" s="1"/>
  <c r="AN621"/>
  <c r="AP621" s="1"/>
  <c r="AS621" s="1"/>
  <c r="AN727"/>
  <c r="AP727" s="1"/>
  <c r="AS727" s="1"/>
  <c r="AN789"/>
  <c r="AP789" s="1"/>
  <c r="AS789" s="1"/>
  <c r="AN366"/>
  <c r="AP366" s="1"/>
  <c r="AS366" s="1"/>
  <c r="AN839"/>
  <c r="AP839" s="1"/>
  <c r="AS839" s="1"/>
  <c r="AN783"/>
  <c r="AP783" s="1"/>
  <c r="AS783" s="1"/>
  <c r="AN1260"/>
  <c r="AP1260" s="1"/>
  <c r="AS1260" s="1"/>
  <c r="AN978"/>
  <c r="AP978" s="1"/>
  <c r="AS978" s="1"/>
  <c r="AN278"/>
  <c r="AP278" s="1"/>
  <c r="AS278" s="1"/>
  <c r="AN108"/>
  <c r="AP108" s="1"/>
  <c r="AS108" s="1"/>
  <c r="AN952"/>
  <c r="AP952" s="1"/>
  <c r="AS952" s="1"/>
  <c r="AN1173"/>
  <c r="AP1173" s="1"/>
  <c r="AS1173" s="1"/>
  <c r="AN150"/>
  <c r="AP150" s="1"/>
  <c r="AS150" s="1"/>
  <c r="AN786"/>
  <c r="AP786" s="1"/>
  <c r="AS786" s="1"/>
  <c r="AN1079"/>
  <c r="AP1079" s="1"/>
  <c r="AS1079" s="1"/>
  <c r="AN260"/>
  <c r="AP260" s="1"/>
  <c r="AS260" s="1"/>
  <c r="AN1231"/>
  <c r="AP1231" s="1"/>
  <c r="AS1231" s="1"/>
  <c r="AN507"/>
  <c r="AP507" s="1"/>
  <c r="AS507" s="1"/>
  <c r="AN114"/>
  <c r="AP114" s="1"/>
  <c r="AS114" s="1"/>
  <c r="AN713"/>
  <c r="AP713" s="1"/>
  <c r="AS713" s="1"/>
  <c r="AN1036"/>
  <c r="AP1036" s="1"/>
  <c r="AS1036" s="1"/>
  <c r="AN508"/>
  <c r="AP508" s="1"/>
  <c r="AS508" s="1"/>
  <c r="AN870"/>
  <c r="AP870" s="1"/>
  <c r="AS870" s="1"/>
  <c r="AN684"/>
  <c r="AP684" s="1"/>
  <c r="AS684" s="1"/>
  <c r="AN262"/>
  <c r="AP262" s="1"/>
  <c r="AS262" s="1"/>
  <c r="AN1152"/>
  <c r="AP1152" s="1"/>
  <c r="AS1152" s="1"/>
  <c r="AN782"/>
  <c r="AP782" s="1"/>
  <c r="AS782" s="1"/>
  <c r="AN395"/>
  <c r="AP395" s="1"/>
  <c r="AS395" s="1"/>
  <c r="AN1252"/>
  <c r="AP1252" s="1"/>
  <c r="AS1252" s="1"/>
  <c r="AN606"/>
  <c r="AP606" s="1"/>
  <c r="AS606" s="1"/>
  <c r="AN625"/>
  <c r="AP625" s="1"/>
  <c r="AS625" s="1"/>
  <c r="AN1016"/>
  <c r="AP1016" s="1"/>
  <c r="AS1016" s="1"/>
  <c r="AN610"/>
  <c r="AP610" s="1"/>
  <c r="AS610" s="1"/>
  <c r="AN149"/>
  <c r="AP149" s="1"/>
  <c r="AS149" s="1"/>
  <c r="AO99"/>
  <c r="AR99" s="1"/>
  <c r="AN609"/>
  <c r="AP609" s="1"/>
  <c r="AS609" s="1"/>
  <c r="AN269"/>
  <c r="AP269" s="1"/>
  <c r="AS269" s="1"/>
  <c r="AN1026"/>
  <c r="AP1026" s="1"/>
  <c r="AS1026" s="1"/>
  <c r="AN844"/>
  <c r="AP844" s="1"/>
  <c r="AS844" s="1"/>
  <c r="AO88"/>
  <c r="AR88" s="1"/>
  <c r="AN813"/>
  <c r="AP813" s="1"/>
  <c r="AS813" s="1"/>
  <c r="AN363"/>
  <c r="AP363" s="1"/>
  <c r="AS363" s="1"/>
  <c r="AN1249"/>
  <c r="AP1249" s="1"/>
  <c r="AS1249" s="1"/>
  <c r="AN578"/>
  <c r="AP578" s="1"/>
  <c r="AS578" s="1"/>
  <c r="AN1269"/>
  <c r="AP1269" s="1"/>
  <c r="AS1269" s="1"/>
  <c r="AN841"/>
  <c r="AP841" s="1"/>
  <c r="AS841" s="1"/>
  <c r="AN1272"/>
  <c r="AP1272" s="1"/>
  <c r="AS1272" s="1"/>
  <c r="AN1216"/>
  <c r="AP1216" s="1"/>
  <c r="AS1216" s="1"/>
  <c r="AN530"/>
  <c r="AP530" s="1"/>
  <c r="AS530" s="1"/>
  <c r="AN1166"/>
  <c r="AP1166" s="1"/>
  <c r="AS1166" s="1"/>
  <c r="AN526"/>
  <c r="AP526" s="1"/>
  <c r="AS526" s="1"/>
  <c r="AN115"/>
  <c r="AP115" s="1"/>
  <c r="AS115" s="1"/>
  <c r="AN803"/>
  <c r="AP803" s="1"/>
  <c r="AS803" s="1"/>
  <c r="AN1202"/>
  <c r="AP1202" s="1"/>
  <c r="AS1202" s="1"/>
  <c r="AN672"/>
  <c r="AP672" s="1"/>
  <c r="AS672" s="1"/>
  <c r="AN582"/>
  <c r="AP582" s="1"/>
  <c r="AS582" s="1"/>
  <c r="AN153"/>
  <c r="AP153" s="1"/>
  <c r="AS153" s="1"/>
  <c r="AN1236"/>
  <c r="AP1236" s="1"/>
  <c r="AS1236" s="1"/>
  <c r="AO82"/>
  <c r="AR82" s="1"/>
  <c r="AN1052"/>
  <c r="AP1052" s="1"/>
  <c r="AS1052" s="1"/>
  <c r="AN272"/>
  <c r="AP272" s="1"/>
  <c r="AS272" s="1"/>
  <c r="AN860"/>
  <c r="AP860" s="1"/>
  <c r="AS860" s="1"/>
  <c r="AN1128"/>
  <c r="AP1128" s="1"/>
  <c r="AS1128" s="1"/>
  <c r="AN571"/>
  <c r="AP571" s="1"/>
  <c r="AS571" s="1"/>
  <c r="AN389"/>
  <c r="AP389" s="1"/>
  <c r="AS389" s="1"/>
  <c r="AN544"/>
  <c r="AP544" s="1"/>
  <c r="AS544" s="1"/>
  <c r="AN176"/>
  <c r="AP176" s="1"/>
  <c r="AS176" s="1"/>
  <c r="AN128"/>
  <c r="AP128" s="1"/>
  <c r="AS128" s="1"/>
  <c r="AN545"/>
  <c r="AP545" s="1"/>
  <c r="AS545" s="1"/>
  <c r="AN584"/>
  <c r="AP584" s="1"/>
  <c r="AS584" s="1"/>
  <c r="AN793"/>
  <c r="AP793" s="1"/>
  <c r="AS793" s="1"/>
  <c r="AN728"/>
  <c r="AP728" s="1"/>
  <c r="AS728" s="1"/>
  <c r="AN123"/>
  <c r="AP123" s="1"/>
  <c r="AS123" s="1"/>
  <c r="AN887"/>
  <c r="AP887" s="1"/>
  <c r="AS887" s="1"/>
  <c r="AN831"/>
  <c r="AP831" s="1"/>
  <c r="AS831" s="1"/>
  <c r="AN1184"/>
  <c r="AP1184" s="1"/>
  <c r="AS1184" s="1"/>
  <c r="AN1019"/>
  <c r="AP1019" s="1"/>
  <c r="AS1019" s="1"/>
  <c r="AN1253"/>
  <c r="AP1253" s="1"/>
  <c r="AS1253" s="1"/>
  <c r="AN730"/>
  <c r="AP730" s="1"/>
  <c r="AS730" s="1"/>
  <c r="AN724"/>
  <c r="AP724" s="1"/>
  <c r="AS724" s="1"/>
  <c r="AN331"/>
  <c r="AP331" s="1"/>
  <c r="AS331" s="1"/>
  <c r="AN358"/>
  <c r="AP358" s="1"/>
  <c r="AS358" s="1"/>
  <c r="AN112"/>
  <c r="AP112" s="1"/>
  <c r="AS112" s="1"/>
  <c r="AN685"/>
  <c r="AP685" s="1"/>
  <c r="AS685" s="1"/>
  <c r="AN301"/>
  <c r="AP301" s="1"/>
  <c r="AS301" s="1"/>
  <c r="AN506"/>
  <c r="AP506" s="1"/>
  <c r="AS506" s="1"/>
  <c r="AN707"/>
  <c r="AP707" s="1"/>
  <c r="AS707" s="1"/>
  <c r="AN379"/>
  <c r="AP379" s="1"/>
  <c r="AS379" s="1"/>
  <c r="AN1233"/>
  <c r="AP1233" s="1"/>
  <c r="AS1233" s="1"/>
  <c r="AN600"/>
  <c r="AP600" s="1"/>
  <c r="AS600" s="1"/>
  <c r="AN616"/>
  <c r="AP616" s="1"/>
  <c r="AS616" s="1"/>
  <c r="AN1140"/>
  <c r="AP1140" s="1"/>
  <c r="AS1140" s="1"/>
  <c r="AN630"/>
  <c r="AP630" s="1"/>
  <c r="AS630" s="1"/>
  <c r="AN192"/>
  <c r="AP192" s="1"/>
  <c r="AS192" s="1"/>
  <c r="AN889"/>
  <c r="AP889" s="1"/>
  <c r="AS889" s="1"/>
  <c r="AN612"/>
  <c r="AP612" s="1"/>
  <c r="AS612" s="1"/>
  <c r="AN500"/>
  <c r="AP500" s="1"/>
  <c r="AS500" s="1"/>
  <c r="AN382"/>
  <c r="AP382" s="1"/>
  <c r="AS382" s="1"/>
  <c r="AO78"/>
  <c r="AR78" s="1"/>
  <c r="AN388"/>
  <c r="AP388" s="1"/>
  <c r="AS388" s="1"/>
  <c r="AN520"/>
  <c r="AP520" s="1"/>
  <c r="AS520" s="1"/>
  <c r="AO137"/>
  <c r="AR137" s="1"/>
  <c r="AO656"/>
  <c r="AR656" s="1"/>
  <c r="AO676"/>
  <c r="AR676" s="1"/>
  <c r="AO848"/>
  <c r="AR848" s="1"/>
  <c r="AN62"/>
  <c r="AP62" s="1"/>
  <c r="AS62" s="1"/>
  <c r="AO121"/>
  <c r="AR121" s="1"/>
  <c r="AO171"/>
  <c r="AR171" s="1"/>
  <c r="AO62"/>
  <c r="AR62" s="1"/>
  <c r="AO117"/>
  <c r="AR117" s="1"/>
  <c r="AO321"/>
  <c r="AR321" s="1"/>
  <c r="AO932"/>
  <c r="AR932" s="1"/>
  <c r="AN951"/>
  <c r="AP951" s="1"/>
  <c r="AS951" s="1"/>
  <c r="AO325"/>
  <c r="AR325" s="1"/>
  <c r="AO563"/>
  <c r="AR563" s="1"/>
  <c r="AO886"/>
  <c r="AR886" s="1"/>
  <c r="AN44"/>
  <c r="AP44" s="1"/>
  <c r="AS44" s="1"/>
  <c r="AO772"/>
  <c r="AR772" s="1"/>
  <c r="AN772"/>
  <c r="AP772" s="1"/>
  <c r="AS772" s="1"/>
  <c r="AN234"/>
  <c r="AP234" s="1"/>
  <c r="AS234" s="1"/>
  <c r="AO234"/>
  <c r="AR234" s="1"/>
  <c r="AN739"/>
  <c r="AP739" s="1"/>
  <c r="AS739" s="1"/>
  <c r="AO739"/>
  <c r="AR739" s="1"/>
  <c r="AO770"/>
  <c r="AR770" s="1"/>
  <c r="AN770"/>
  <c r="AP770" s="1"/>
  <c r="AS770" s="1"/>
  <c r="AN440"/>
  <c r="AP440" s="1"/>
  <c r="AS440" s="1"/>
  <c r="AO440"/>
  <c r="AR440" s="1"/>
  <c r="AN761"/>
  <c r="AP761" s="1"/>
  <c r="AS761" s="1"/>
  <c r="AO761"/>
  <c r="AR761" s="1"/>
  <c r="AO758"/>
  <c r="AR758" s="1"/>
  <c r="AN758"/>
  <c r="AP758" s="1"/>
  <c r="AS758" s="1"/>
  <c r="AN981"/>
  <c r="AP981" s="1"/>
  <c r="AS981" s="1"/>
  <c r="AO981"/>
  <c r="AR981" s="1"/>
  <c r="AO449"/>
  <c r="AR449" s="1"/>
  <c r="AN449"/>
  <c r="AP449" s="1"/>
  <c r="AS449" s="1"/>
  <c r="AN947"/>
  <c r="AP947" s="1"/>
  <c r="AS947" s="1"/>
  <c r="AO947"/>
  <c r="AR947" s="1"/>
  <c r="AN486"/>
  <c r="AP486" s="1"/>
  <c r="AS486" s="1"/>
  <c r="AO486"/>
  <c r="AR486" s="1"/>
  <c r="AN969"/>
  <c r="AP969" s="1"/>
  <c r="AS969" s="1"/>
  <c r="AO969"/>
  <c r="AR969" s="1"/>
  <c r="AO768"/>
  <c r="AR768" s="1"/>
  <c r="AN768"/>
  <c r="AP768" s="1"/>
  <c r="AS768" s="1"/>
  <c r="AN973"/>
  <c r="AP973" s="1"/>
  <c r="AS973" s="1"/>
  <c r="AO973"/>
  <c r="AR973" s="1"/>
  <c r="AO219"/>
  <c r="AR219" s="1"/>
  <c r="AN219"/>
  <c r="AP219" s="1"/>
  <c r="AS219" s="1"/>
  <c r="AO741"/>
  <c r="AR741" s="1"/>
  <c r="AN741"/>
  <c r="AP741" s="1"/>
  <c r="AS741" s="1"/>
  <c r="AO412"/>
  <c r="AR412" s="1"/>
  <c r="AN412"/>
  <c r="AP412" s="1"/>
  <c r="AS412" s="1"/>
  <c r="AN455"/>
  <c r="AP455" s="1"/>
  <c r="AS455" s="1"/>
  <c r="AO455"/>
  <c r="AR455" s="1"/>
  <c r="AN937"/>
  <c r="AP937" s="1"/>
  <c r="AS937" s="1"/>
  <c r="AO937"/>
  <c r="AR937" s="1"/>
  <c r="AO437"/>
  <c r="AR437" s="1"/>
  <c r="AN437"/>
  <c r="AP437" s="1"/>
  <c r="AS437" s="1"/>
  <c r="AN767"/>
  <c r="AP767" s="1"/>
  <c r="AS767" s="1"/>
  <c r="AO767"/>
  <c r="AR767" s="1"/>
  <c r="AO456"/>
  <c r="AR456" s="1"/>
  <c r="AN456"/>
  <c r="AP456" s="1"/>
  <c r="AS456" s="1"/>
  <c r="AN457"/>
  <c r="AP457" s="1"/>
  <c r="AS457" s="1"/>
  <c r="AO457"/>
  <c r="AR457" s="1"/>
  <c r="AO776"/>
  <c r="AR776" s="1"/>
  <c r="AN776"/>
  <c r="AP776" s="1"/>
  <c r="AS776" s="1"/>
  <c r="AO241"/>
  <c r="AR241" s="1"/>
  <c r="AN241"/>
  <c r="AP241" s="1"/>
  <c r="AS241" s="1"/>
  <c r="AO215"/>
  <c r="AR215" s="1"/>
  <c r="AN215"/>
  <c r="AP215" s="1"/>
  <c r="AS215" s="1"/>
  <c r="AN418"/>
  <c r="AP418" s="1"/>
  <c r="AS418" s="1"/>
  <c r="AO418"/>
  <c r="AR418" s="1"/>
  <c r="AO232"/>
  <c r="AR232" s="1"/>
  <c r="AN232"/>
  <c r="AP232" s="1"/>
  <c r="AS232" s="1"/>
  <c r="AO467"/>
  <c r="AR467" s="1"/>
  <c r="AN467"/>
  <c r="AP467" s="1"/>
  <c r="AS467" s="1"/>
  <c r="AO433"/>
  <c r="AR433" s="1"/>
  <c r="AN433"/>
  <c r="AP433" s="1"/>
  <c r="AS433" s="1"/>
  <c r="AN429"/>
  <c r="AP429" s="1"/>
  <c r="AS429" s="1"/>
  <c r="AO429"/>
  <c r="AR429" s="1"/>
  <c r="AN242"/>
  <c r="AP242" s="1"/>
  <c r="AS242" s="1"/>
  <c r="AO242"/>
  <c r="AR242" s="1"/>
  <c r="AN775"/>
  <c r="AP775" s="1"/>
  <c r="AS775" s="1"/>
  <c r="AO775"/>
  <c r="AR775" s="1"/>
  <c r="AO441"/>
  <c r="AR441" s="1"/>
  <c r="AN441"/>
  <c r="AP441" s="1"/>
  <c r="AS441" s="1"/>
  <c r="AN931"/>
  <c r="AP931" s="1"/>
  <c r="AS931" s="1"/>
  <c r="AO931"/>
  <c r="AR931" s="1"/>
  <c r="AN1005"/>
  <c r="AP1005" s="1"/>
  <c r="AS1005" s="1"/>
  <c r="AO1005"/>
  <c r="AR1005" s="1"/>
  <c r="AO448"/>
  <c r="AR448" s="1"/>
  <c r="AN448"/>
  <c r="AP448" s="1"/>
  <c r="AS448" s="1"/>
  <c r="AN959"/>
  <c r="AP959" s="1"/>
  <c r="AS959" s="1"/>
  <c r="AO959"/>
  <c r="AR959" s="1"/>
  <c r="AN1009"/>
  <c r="AP1009" s="1"/>
  <c r="AS1009" s="1"/>
  <c r="AO1009"/>
  <c r="AR1009" s="1"/>
  <c r="AO485"/>
  <c r="AR485" s="1"/>
  <c r="AN485"/>
  <c r="AP485" s="1"/>
  <c r="AS485" s="1"/>
  <c r="AN211"/>
  <c r="AP211" s="1"/>
  <c r="AS211" s="1"/>
  <c r="AO211"/>
  <c r="AR211" s="1"/>
  <c r="AO424"/>
  <c r="AR424" s="1"/>
  <c r="AN424"/>
  <c r="AP424" s="1"/>
  <c r="AS424" s="1"/>
  <c r="AO226"/>
  <c r="AR226" s="1"/>
  <c r="AN226"/>
  <c r="AP226" s="1"/>
  <c r="AS226" s="1"/>
  <c r="AO239"/>
  <c r="AR239" s="1"/>
  <c r="AN239"/>
  <c r="AP239" s="1"/>
  <c r="AS239" s="1"/>
  <c r="AO231"/>
  <c r="AR231" s="1"/>
  <c r="AN231"/>
  <c r="AP231" s="1"/>
  <c r="AS231" s="1"/>
  <c r="AO426"/>
  <c r="AR426" s="1"/>
  <c r="AN426"/>
  <c r="AP426" s="1"/>
  <c r="AS426" s="1"/>
  <c r="AN481"/>
  <c r="AP481" s="1"/>
  <c r="AS481" s="1"/>
  <c r="AO481"/>
  <c r="AR481" s="1"/>
  <c r="AO403"/>
  <c r="AR403" s="1"/>
  <c r="AN403"/>
  <c r="AP403" s="1"/>
  <c r="AS403" s="1"/>
  <c r="AO229"/>
  <c r="AR229" s="1"/>
  <c r="AN229"/>
  <c r="AP229" s="1"/>
  <c r="AS229" s="1"/>
  <c r="AN475"/>
  <c r="AP475" s="1"/>
  <c r="AS475" s="1"/>
  <c r="AO475"/>
  <c r="AR475" s="1"/>
  <c r="AO210"/>
  <c r="AR210" s="1"/>
  <c r="AN210"/>
  <c r="AP210" s="1"/>
  <c r="AS210" s="1"/>
  <c r="AN957"/>
  <c r="AP957" s="1"/>
  <c r="AS957" s="1"/>
  <c r="AO957"/>
  <c r="AR957" s="1"/>
  <c r="AN771"/>
  <c r="AP771" s="1"/>
  <c r="AS771" s="1"/>
  <c r="AO771"/>
  <c r="AR771" s="1"/>
  <c r="AN743"/>
  <c r="AP743" s="1"/>
  <c r="AS743" s="1"/>
  <c r="AO743"/>
  <c r="AR743" s="1"/>
  <c r="AN763"/>
  <c r="AP763" s="1"/>
  <c r="AS763" s="1"/>
  <c r="AO763"/>
  <c r="AR763" s="1"/>
  <c r="AO240"/>
  <c r="AR240" s="1"/>
  <c r="AN240"/>
  <c r="AP240" s="1"/>
  <c r="AS240" s="1"/>
  <c r="AO474"/>
  <c r="AR474" s="1"/>
  <c r="AN474"/>
  <c r="AP474" s="1"/>
  <c r="AS474" s="1"/>
  <c r="AO428"/>
  <c r="AR428" s="1"/>
  <c r="AN428"/>
  <c r="AP428" s="1"/>
  <c r="AS428" s="1"/>
  <c r="AN985"/>
  <c r="AP985" s="1"/>
  <c r="AS985" s="1"/>
  <c r="AO985"/>
  <c r="AR985" s="1"/>
  <c r="AN933"/>
  <c r="AP933" s="1"/>
  <c r="AS933" s="1"/>
  <c r="AO933"/>
  <c r="AR933" s="1"/>
  <c r="AN987"/>
  <c r="AP987" s="1"/>
  <c r="AS987" s="1"/>
  <c r="AO987"/>
  <c r="AR987" s="1"/>
  <c r="AN979"/>
  <c r="AP979" s="1"/>
  <c r="AS979" s="1"/>
  <c r="AO979"/>
  <c r="AR979" s="1"/>
  <c r="AN218"/>
  <c r="AP218" s="1"/>
  <c r="AS218" s="1"/>
  <c r="AO218"/>
  <c r="AR218" s="1"/>
  <c r="AO482"/>
  <c r="AR482" s="1"/>
  <c r="AN482"/>
  <c r="AP482" s="1"/>
  <c r="AS482" s="1"/>
  <c r="AO477"/>
  <c r="AR477" s="1"/>
  <c r="AN477"/>
  <c r="AP477" s="1"/>
  <c r="AS477" s="1"/>
  <c r="AN415"/>
  <c r="AP415" s="1"/>
  <c r="AS415" s="1"/>
  <c r="AO415"/>
  <c r="AR415" s="1"/>
  <c r="AN325"/>
  <c r="AP325" s="1"/>
  <c r="AS325" s="1"/>
  <c r="AO592"/>
  <c r="AR592" s="1"/>
  <c r="AO871"/>
  <c r="AR871" s="1"/>
  <c r="AO244"/>
  <c r="AR244" s="1"/>
  <c r="AO783"/>
  <c r="AR783" s="1"/>
  <c r="AO187"/>
  <c r="AR187" s="1"/>
  <c r="AO1125"/>
  <c r="AR1125" s="1"/>
  <c r="AO1228"/>
  <c r="AR1228" s="1"/>
  <c r="AO675"/>
  <c r="AR675" s="1"/>
  <c r="AO536"/>
  <c r="AR536" s="1"/>
  <c r="AO854"/>
  <c r="AR854" s="1"/>
  <c r="AO873"/>
  <c r="AR873" s="1"/>
  <c r="AN343"/>
  <c r="AP343" s="1"/>
  <c r="AS343" s="1"/>
  <c r="AO1042"/>
  <c r="AR1042" s="1"/>
  <c r="AO149"/>
  <c r="AR149" s="1"/>
  <c r="AO389"/>
  <c r="AR389" s="1"/>
  <c r="AO329"/>
  <c r="AR329" s="1"/>
  <c r="AO866"/>
  <c r="AR866" s="1"/>
  <c r="AO1134"/>
  <c r="AR1134" s="1"/>
  <c r="AO503"/>
  <c r="AR503" s="1"/>
  <c r="AN61"/>
  <c r="AP61" s="1"/>
  <c r="AS61" s="1"/>
  <c r="AO567"/>
  <c r="AR567" s="1"/>
  <c r="AO1067"/>
  <c r="AR1067" s="1"/>
  <c r="AO354"/>
  <c r="AR354" s="1"/>
  <c r="AO300"/>
  <c r="AR300" s="1"/>
  <c r="AO666"/>
  <c r="AR666" s="1"/>
  <c r="AO717"/>
  <c r="AR717" s="1"/>
  <c r="AO1058"/>
  <c r="AR1058" s="1"/>
  <c r="AO557"/>
  <c r="AR557" s="1"/>
  <c r="AO361"/>
  <c r="AR361" s="1"/>
  <c r="AO650"/>
  <c r="AR650" s="1"/>
  <c r="AO1200"/>
  <c r="AR1200" s="1"/>
  <c r="AO1057"/>
  <c r="AR1057" s="1"/>
  <c r="AO658"/>
  <c r="AR658" s="1"/>
  <c r="AO111"/>
  <c r="AR111" s="1"/>
  <c r="AO619"/>
  <c r="AR619" s="1"/>
  <c r="AO652"/>
  <c r="AR652" s="1"/>
  <c r="AO900"/>
  <c r="AR900" s="1"/>
  <c r="AO1216"/>
  <c r="AR1216" s="1"/>
  <c r="AO1220"/>
  <c r="AR1220" s="1"/>
  <c r="AO1076"/>
  <c r="AR1076" s="1"/>
  <c r="AO905"/>
  <c r="AR905" s="1"/>
  <c r="AO1206"/>
  <c r="AR1206" s="1"/>
  <c r="AO870"/>
  <c r="AR870" s="1"/>
  <c r="AO1062"/>
  <c r="AR1062" s="1"/>
  <c r="AO728"/>
  <c r="AR728" s="1"/>
  <c r="AO904"/>
  <c r="AR904" s="1"/>
  <c r="AO303"/>
  <c r="AR303" s="1"/>
  <c r="AO560"/>
  <c r="AR560" s="1"/>
  <c r="AO399"/>
  <c r="AR399" s="1"/>
  <c r="AO817"/>
  <c r="AR817" s="1"/>
  <c r="AO507"/>
  <c r="AR507" s="1"/>
  <c r="AN55"/>
  <c r="AP55" s="1"/>
  <c r="AS55" s="1"/>
  <c r="AO175"/>
  <c r="AR175" s="1"/>
  <c r="AO143"/>
  <c r="AR143" s="1"/>
  <c r="AO298"/>
  <c r="AR298" s="1"/>
  <c r="AO927"/>
  <c r="AR927" s="1"/>
  <c r="AO327"/>
  <c r="AR327" s="1"/>
  <c r="AO858"/>
  <c r="AR858" s="1"/>
  <c r="AO353"/>
  <c r="AR353" s="1"/>
  <c r="AO576"/>
  <c r="AR576" s="1"/>
  <c r="AN91"/>
  <c r="AP91" s="1"/>
  <c r="AS91" s="1"/>
  <c r="AO1104"/>
  <c r="AR1104" s="1"/>
  <c r="AO1070"/>
  <c r="AR1070" s="1"/>
  <c r="AN60"/>
  <c r="AP60" s="1"/>
  <c r="AS60" s="1"/>
  <c r="AO793"/>
  <c r="AR793" s="1"/>
  <c r="AO952"/>
  <c r="AR952" s="1"/>
  <c r="AO381"/>
  <c r="AR381" s="1"/>
  <c r="AO893"/>
  <c r="AR893" s="1"/>
  <c r="AO849"/>
  <c r="AR849" s="1"/>
  <c r="AO930"/>
  <c r="AR930" s="1"/>
  <c r="AO857"/>
  <c r="AR857" s="1"/>
  <c r="AO333"/>
  <c r="AR333" s="1"/>
  <c r="AO315"/>
  <c r="AR315" s="1"/>
  <c r="AO356"/>
  <c r="AR356" s="1"/>
  <c r="AO1091"/>
  <c r="AR1091" s="1"/>
  <c r="AO796"/>
  <c r="AR796" s="1"/>
  <c r="AO1269"/>
  <c r="AR1269" s="1"/>
  <c r="AO934"/>
  <c r="AR934" s="1"/>
  <c r="AO367"/>
  <c r="AR367" s="1"/>
  <c r="AO178"/>
  <c r="AR178" s="1"/>
  <c r="AO1046"/>
  <c r="AR1046" s="1"/>
  <c r="AO568"/>
  <c r="AR568" s="1"/>
  <c r="AO1144"/>
  <c r="AR1144" s="1"/>
  <c r="AO835"/>
  <c r="AR835" s="1"/>
  <c r="AO1021"/>
  <c r="AR1021" s="1"/>
  <c r="AN80"/>
  <c r="AP80" s="1"/>
  <c r="AS80" s="1"/>
  <c r="AN36"/>
  <c r="AP36" s="1"/>
  <c r="AS36" s="1"/>
  <c r="AO725"/>
  <c r="AR725" s="1"/>
  <c r="AO641"/>
  <c r="AR641" s="1"/>
  <c r="AO1165"/>
  <c r="AR1165" s="1"/>
  <c r="AO156"/>
  <c r="AR156" s="1"/>
  <c r="AO704"/>
  <c r="AR704" s="1"/>
  <c r="AO310"/>
  <c r="AR310" s="1"/>
  <c r="AO289"/>
  <c r="AR289" s="1"/>
  <c r="AO838"/>
  <c r="AR838" s="1"/>
  <c r="AO721"/>
  <c r="AR721" s="1"/>
  <c r="AO157"/>
  <c r="AR157" s="1"/>
  <c r="AO638"/>
  <c r="AR638" s="1"/>
  <c r="AO1109"/>
  <c r="AR1109" s="1"/>
  <c r="AO534"/>
  <c r="AR534" s="1"/>
  <c r="AN96"/>
  <c r="AP96" s="1"/>
  <c r="AS96" s="1"/>
  <c r="AO1180"/>
  <c r="AR1180" s="1"/>
  <c r="AO572"/>
  <c r="AR572" s="1"/>
  <c r="AO257"/>
  <c r="AR257" s="1"/>
  <c r="AN37"/>
  <c r="AP37" s="1"/>
  <c r="AS37" s="1"/>
  <c r="AO823"/>
  <c r="AR823" s="1"/>
  <c r="AN86"/>
  <c r="AP86" s="1"/>
  <c r="AS86" s="1"/>
  <c r="AO599"/>
  <c r="AR599" s="1"/>
  <c r="AO569"/>
  <c r="AR569" s="1"/>
  <c r="AO365"/>
  <c r="AR365" s="1"/>
  <c r="AO921"/>
  <c r="AR921" s="1"/>
  <c r="AO994"/>
  <c r="AR994" s="1"/>
  <c r="AO1251"/>
  <c r="AR1251" s="1"/>
  <c r="AO517"/>
  <c r="AR517" s="1"/>
  <c r="AO816"/>
  <c r="AR816" s="1"/>
  <c r="AO103"/>
  <c r="AR103" s="1"/>
  <c r="AO294"/>
  <c r="AR294" s="1"/>
  <c r="AO1226"/>
  <c r="AR1226" s="1"/>
  <c r="AO555"/>
  <c r="AR555" s="1"/>
  <c r="AO1244"/>
  <c r="AR1244" s="1"/>
  <c r="AO109"/>
  <c r="AR109" s="1"/>
  <c r="AO510"/>
  <c r="AR510" s="1"/>
  <c r="AO362"/>
  <c r="AR362" s="1"/>
  <c r="AO709"/>
  <c r="AR709" s="1"/>
  <c r="AO790"/>
  <c r="AR790" s="1"/>
  <c r="AO493"/>
  <c r="AR493" s="1"/>
  <c r="AO950"/>
  <c r="AR950" s="1"/>
  <c r="AO611"/>
  <c r="AR611" s="1"/>
  <c r="AO1033"/>
  <c r="AR1033" s="1"/>
  <c r="AO1147"/>
  <c r="AR1147" s="1"/>
  <c r="AO855"/>
  <c r="AR855" s="1"/>
  <c r="AO189"/>
  <c r="AR189" s="1"/>
  <c r="AO667"/>
  <c r="AR667" s="1"/>
  <c r="AN33"/>
  <c r="AP33" s="1"/>
  <c r="AS33" s="1"/>
  <c r="AO1235"/>
  <c r="AR1235" s="1"/>
  <c r="AO645"/>
  <c r="AR645" s="1"/>
  <c r="AO1168"/>
  <c r="AR1168" s="1"/>
  <c r="AO882"/>
  <c r="AR882" s="1"/>
  <c r="AN74"/>
  <c r="AP74" s="1"/>
  <c r="AS74" s="1"/>
  <c r="AO506"/>
  <c r="AR506" s="1"/>
  <c r="AO778"/>
  <c r="AR778" s="1"/>
  <c r="AO710"/>
  <c r="AR710" s="1"/>
  <c r="AO614"/>
  <c r="AR614" s="1"/>
  <c r="AN34"/>
  <c r="AP34" s="1"/>
  <c r="AS34" s="1"/>
  <c r="AO703"/>
  <c r="AR703" s="1"/>
  <c r="AN83"/>
  <c r="AP83" s="1"/>
  <c r="AS83" s="1"/>
  <c r="AO829"/>
  <c r="AR829" s="1"/>
  <c r="AO497"/>
  <c r="AR497" s="1"/>
  <c r="AO125"/>
  <c r="AR125" s="1"/>
  <c r="AN46"/>
  <c r="AP46" s="1"/>
  <c r="AS46" s="1"/>
  <c r="AO828"/>
  <c r="AR828" s="1"/>
  <c r="AN40"/>
  <c r="AP40" s="1"/>
  <c r="AS40" s="1"/>
  <c r="AO502"/>
  <c r="AR502" s="1"/>
  <c r="AO878"/>
  <c r="AR878" s="1"/>
  <c r="AO1027"/>
  <c r="AR1027" s="1"/>
  <c r="AO888"/>
  <c r="AR888" s="1"/>
  <c r="AO634"/>
  <c r="AR634" s="1"/>
  <c r="AO1056"/>
  <c r="AR1056" s="1"/>
  <c r="AO527"/>
  <c r="AR527" s="1"/>
  <c r="AO181"/>
  <c r="AR181" s="1"/>
  <c r="AO512"/>
  <c r="AR512" s="1"/>
  <c r="AO122"/>
  <c r="AR122" s="1"/>
  <c r="AO938"/>
  <c r="AR938" s="1"/>
  <c r="AO1088"/>
  <c r="AR1088" s="1"/>
  <c r="AO821"/>
  <c r="AR821" s="1"/>
  <c r="AO1209"/>
  <c r="AR1209" s="1"/>
  <c r="AO860"/>
  <c r="AR860" s="1"/>
  <c r="AO1128"/>
  <c r="AR1128" s="1"/>
  <c r="AO705"/>
  <c r="AR705" s="1"/>
  <c r="AO824"/>
  <c r="AR824" s="1"/>
  <c r="AO1037"/>
  <c r="AR1037" s="1"/>
  <c r="AO574"/>
  <c r="AR574" s="1"/>
  <c r="AO384"/>
  <c r="AR384" s="1"/>
  <c r="AO131"/>
  <c r="AR131" s="1"/>
  <c r="AN53"/>
  <c r="AP53" s="1"/>
  <c r="AS53" s="1"/>
  <c r="AO700"/>
  <c r="AR700" s="1"/>
  <c r="AO628"/>
  <c r="AR628" s="1"/>
  <c r="AO1081"/>
  <c r="AR1081" s="1"/>
  <c r="AO490"/>
  <c r="AR490" s="1"/>
  <c r="AO491"/>
  <c r="AR491" s="1"/>
  <c r="AO853"/>
  <c r="AR853" s="1"/>
  <c r="AO1247"/>
  <c r="AR1247" s="1"/>
  <c r="AO292"/>
  <c r="AR292" s="1"/>
  <c r="AO810"/>
  <c r="AR810" s="1"/>
  <c r="AO172"/>
  <c r="AR172" s="1"/>
  <c r="AO296"/>
  <c r="AR296" s="1"/>
  <c r="AO803"/>
  <c r="AR803" s="1"/>
  <c r="AO735"/>
  <c r="AR735" s="1"/>
  <c r="AO852"/>
  <c r="AR852" s="1"/>
  <c r="AO1111"/>
  <c r="AR1111" s="1"/>
  <c r="AO659"/>
  <c r="AR659" s="1"/>
  <c r="AO842"/>
  <c r="AR842" s="1"/>
  <c r="AO1078"/>
  <c r="AR1078" s="1"/>
  <c r="AO1203"/>
  <c r="AR1203" s="1"/>
  <c r="AO331"/>
  <c r="AR331" s="1"/>
  <c r="AO601"/>
  <c r="AR601" s="1"/>
  <c r="AO804"/>
  <c r="AR804" s="1"/>
  <c r="AO562"/>
  <c r="AR562" s="1"/>
  <c r="AO577"/>
  <c r="AR577" s="1"/>
  <c r="AO1258"/>
  <c r="AR1258" s="1"/>
  <c r="AN66"/>
  <c r="AP66" s="1"/>
  <c r="AS66" s="1"/>
  <c r="AO980"/>
  <c r="AR980" s="1"/>
  <c r="AO533"/>
  <c r="AR533" s="1"/>
  <c r="AO998"/>
  <c r="AR998" s="1"/>
  <c r="AO1086"/>
  <c r="AR1086" s="1"/>
  <c r="AO874"/>
  <c r="AR874" s="1"/>
  <c r="AO1255"/>
  <c r="AR1255" s="1"/>
  <c r="AO1032"/>
  <c r="AR1032" s="1"/>
  <c r="AO679"/>
  <c r="AR679" s="1"/>
  <c r="AO1100"/>
  <c r="AR1100" s="1"/>
  <c r="AO683"/>
  <c r="AR683" s="1"/>
  <c r="AO1227"/>
  <c r="AR1227" s="1"/>
  <c r="AO912"/>
  <c r="AR912" s="1"/>
  <c r="AO876"/>
  <c r="AR876" s="1"/>
  <c r="AO286"/>
  <c r="AR286" s="1"/>
  <c r="AO1252"/>
  <c r="AR1252" s="1"/>
  <c r="AO806"/>
  <c r="AR806" s="1"/>
  <c r="AN206"/>
  <c r="AP206" s="1"/>
  <c r="AS206" s="1"/>
  <c r="AO901"/>
  <c r="AR901" s="1"/>
  <c r="AO532"/>
  <c r="AR532" s="1"/>
  <c r="AO167"/>
  <c r="AR167" s="1"/>
  <c r="AO380"/>
  <c r="AR380" s="1"/>
  <c r="AO188"/>
  <c r="AR188" s="1"/>
  <c r="AO52"/>
  <c r="AR52" s="1"/>
  <c r="AO471"/>
  <c r="AR471" s="1"/>
  <c r="AN76"/>
  <c r="AP76" s="1"/>
  <c r="AS76" s="1"/>
  <c r="AO1054"/>
  <c r="AR1054" s="1"/>
  <c r="AO193"/>
  <c r="AR193" s="1"/>
  <c r="AN812"/>
  <c r="AP812" s="1"/>
  <c r="AS812" s="1"/>
  <c r="AN851"/>
  <c r="AP851" s="1"/>
  <c r="AS851" s="1"/>
  <c r="AO917"/>
  <c r="AR917" s="1"/>
  <c r="AN509"/>
  <c r="AP509" s="1"/>
  <c r="AS509" s="1"/>
  <c r="AN902"/>
  <c r="AP902" s="1"/>
  <c r="AS902" s="1"/>
  <c r="AO1146"/>
  <c r="AR1146" s="1"/>
  <c r="AO899"/>
  <c r="AR899" s="1"/>
  <c r="AO495"/>
  <c r="AR495" s="1"/>
  <c r="AN913"/>
  <c r="AP913" s="1"/>
  <c r="AS913" s="1"/>
  <c r="AN499"/>
  <c r="AP499" s="1"/>
  <c r="AS499" s="1"/>
  <c r="AO513"/>
  <c r="AR513" s="1"/>
  <c r="AN657"/>
  <c r="AP657" s="1"/>
  <c r="AS657" s="1"/>
  <c r="AO694"/>
  <c r="AR694" s="1"/>
  <c r="AO372"/>
  <c r="AR372" s="1"/>
  <c r="AO982"/>
  <c r="AR982" s="1"/>
  <c r="AN863"/>
  <c r="AP863" s="1"/>
  <c r="AS863" s="1"/>
  <c r="AN213"/>
  <c r="AP213" s="1"/>
  <c r="AS213" s="1"/>
  <c r="AN737"/>
  <c r="AP737" s="1"/>
  <c r="AS737" s="1"/>
  <c r="AN754"/>
  <c r="AP754" s="1"/>
  <c r="AS754" s="1"/>
  <c r="AO944"/>
  <c r="AR944" s="1"/>
  <c r="AO236"/>
  <c r="AR236" s="1"/>
  <c r="AN236"/>
  <c r="AP236" s="1"/>
  <c r="AS236" s="1"/>
  <c r="AO760"/>
  <c r="AR760" s="1"/>
  <c r="AN760"/>
  <c r="AP760" s="1"/>
  <c r="AS760" s="1"/>
  <c r="AO212"/>
  <c r="AR212" s="1"/>
  <c r="AN212"/>
  <c r="AP212" s="1"/>
  <c r="AS212" s="1"/>
  <c r="AO434"/>
  <c r="AR434" s="1"/>
  <c r="AN434"/>
  <c r="AP434" s="1"/>
  <c r="AS434" s="1"/>
  <c r="AN989"/>
  <c r="AP989" s="1"/>
  <c r="AS989" s="1"/>
  <c r="AO989"/>
  <c r="AR989" s="1"/>
  <c r="AO216"/>
  <c r="AR216" s="1"/>
  <c r="AN216"/>
  <c r="AP216" s="1"/>
  <c r="AS216" s="1"/>
  <c r="AN747"/>
  <c r="AP747" s="1"/>
  <c r="AS747" s="1"/>
  <c r="AO747"/>
  <c r="AR747" s="1"/>
  <c r="AO476"/>
  <c r="AR476" s="1"/>
  <c r="AN476"/>
  <c r="AP476" s="1"/>
  <c r="AS476" s="1"/>
  <c r="AN443"/>
  <c r="AP443" s="1"/>
  <c r="AS443" s="1"/>
  <c r="AO443"/>
  <c r="AR443" s="1"/>
  <c r="AN971"/>
  <c r="AP971" s="1"/>
  <c r="AS971" s="1"/>
  <c r="AO971"/>
  <c r="AR971" s="1"/>
  <c r="AN773"/>
  <c r="AP773" s="1"/>
  <c r="AS773" s="1"/>
  <c r="AO773"/>
  <c r="AR773" s="1"/>
  <c r="AN225"/>
  <c r="AP225" s="1"/>
  <c r="AS225" s="1"/>
  <c r="AO225"/>
  <c r="AR225" s="1"/>
  <c r="AO432"/>
  <c r="AR432" s="1"/>
  <c r="AN432"/>
  <c r="AP432" s="1"/>
  <c r="AS432" s="1"/>
  <c r="AN967"/>
  <c r="AP967" s="1"/>
  <c r="AS967" s="1"/>
  <c r="AO967"/>
  <c r="AR967" s="1"/>
  <c r="AN997"/>
  <c r="AP997" s="1"/>
  <c r="AS997" s="1"/>
  <c r="AO997"/>
  <c r="AR997" s="1"/>
  <c r="AO452"/>
  <c r="AR452" s="1"/>
  <c r="AN452"/>
  <c r="AP452" s="1"/>
  <c r="AS452" s="1"/>
  <c r="AN943"/>
  <c r="AP943" s="1"/>
  <c r="AS943" s="1"/>
  <c r="AO943"/>
  <c r="AR943" s="1"/>
  <c r="AN983"/>
  <c r="AP983" s="1"/>
  <c r="AS983" s="1"/>
  <c r="AO983"/>
  <c r="AR983" s="1"/>
  <c r="AO468"/>
  <c r="AR468" s="1"/>
  <c r="AN468"/>
  <c r="AP468" s="1"/>
  <c r="AS468" s="1"/>
  <c r="AO417"/>
  <c r="AR417" s="1"/>
  <c r="AN417"/>
  <c r="AP417" s="1"/>
  <c r="AS417" s="1"/>
  <c r="AN227"/>
  <c r="AP227" s="1"/>
  <c r="AS227" s="1"/>
  <c r="AO227"/>
  <c r="AR227" s="1"/>
  <c r="AN408"/>
  <c r="AP408" s="1"/>
  <c r="AS408" s="1"/>
  <c r="AO408"/>
  <c r="AR408" s="1"/>
  <c r="AN999"/>
  <c r="AP999" s="1"/>
  <c r="AS999" s="1"/>
  <c r="AO999"/>
  <c r="AR999" s="1"/>
  <c r="AO764"/>
  <c r="AR764" s="1"/>
  <c r="AN764"/>
  <c r="AP764" s="1"/>
  <c r="AS764" s="1"/>
  <c r="AN965"/>
  <c r="AP965" s="1"/>
  <c r="AS965" s="1"/>
  <c r="AO965"/>
  <c r="AR965" s="1"/>
  <c r="AN769"/>
  <c r="AP769" s="1"/>
  <c r="AS769" s="1"/>
  <c r="AO769"/>
  <c r="AR769" s="1"/>
  <c r="AO473"/>
  <c r="AR473" s="1"/>
  <c r="AN473"/>
  <c r="AP473" s="1"/>
  <c r="AS473" s="1"/>
  <c r="AN454"/>
  <c r="AP454" s="1"/>
  <c r="AS454" s="1"/>
  <c r="AO454"/>
  <c r="AR454" s="1"/>
  <c r="AO419"/>
  <c r="AR419" s="1"/>
  <c r="AN419"/>
  <c r="AP419" s="1"/>
  <c r="AS419" s="1"/>
  <c r="AN230"/>
  <c r="AP230" s="1"/>
  <c r="AS230" s="1"/>
  <c r="AO230"/>
  <c r="AR230" s="1"/>
  <c r="AO222"/>
  <c r="AR222" s="1"/>
  <c r="AN222"/>
  <c r="AP222" s="1"/>
  <c r="AS222" s="1"/>
  <c r="AO752"/>
  <c r="AR752" s="1"/>
  <c r="AN752"/>
  <c r="AP752" s="1"/>
  <c r="AS752" s="1"/>
  <c r="AN945"/>
  <c r="AP945" s="1"/>
  <c r="AS945" s="1"/>
  <c r="AO945"/>
  <c r="AR945" s="1"/>
  <c r="AO402"/>
  <c r="AR402" s="1"/>
  <c r="AN402"/>
  <c r="AP402" s="1"/>
  <c r="AS402" s="1"/>
  <c r="AN214"/>
  <c r="AP214" s="1"/>
  <c r="AS214" s="1"/>
  <c r="AO214"/>
  <c r="AR214" s="1"/>
  <c r="AO478"/>
  <c r="AR478" s="1"/>
  <c r="AN478"/>
  <c r="AP478" s="1"/>
  <c r="AS478" s="1"/>
  <c r="AN755"/>
  <c r="AP755" s="1"/>
  <c r="AS755" s="1"/>
  <c r="AO755"/>
  <c r="AR755" s="1"/>
  <c r="AO427"/>
  <c r="AR427" s="1"/>
  <c r="AN427"/>
  <c r="AP427" s="1"/>
  <c r="AS427" s="1"/>
  <c r="AO453"/>
  <c r="AR453" s="1"/>
  <c r="AN453"/>
  <c r="AP453" s="1"/>
  <c r="AS453" s="1"/>
  <c r="AO439"/>
  <c r="AR439" s="1"/>
  <c r="AN439"/>
  <c r="AP439" s="1"/>
  <c r="AS439" s="1"/>
  <c r="AN991"/>
  <c r="AP991" s="1"/>
  <c r="AS991" s="1"/>
  <c r="AO991"/>
  <c r="AR991" s="1"/>
  <c r="AN450"/>
  <c r="AP450" s="1"/>
  <c r="AS450" s="1"/>
  <c r="AO450"/>
  <c r="AR450" s="1"/>
  <c r="AN67"/>
  <c r="AP67" s="1"/>
  <c r="AS67" s="1"/>
  <c r="AO1114"/>
  <c r="AR1114" s="1"/>
  <c r="AO910"/>
  <c r="AR910" s="1"/>
  <c r="AO1217"/>
  <c r="AR1217" s="1"/>
  <c r="AO525"/>
  <c r="AR525" s="1"/>
  <c r="AO1225"/>
  <c r="AR1225" s="1"/>
  <c r="AO688"/>
  <c r="AR688" s="1"/>
  <c r="AO678"/>
  <c r="AR678" s="1"/>
  <c r="AO194"/>
  <c r="AR194" s="1"/>
  <c r="AO1238"/>
  <c r="AR1238" s="1"/>
  <c r="AO797"/>
  <c r="AR797" s="1"/>
  <c r="AO724"/>
  <c r="AR724" s="1"/>
  <c r="AN1222"/>
  <c r="AP1222" s="1"/>
  <c r="AS1222" s="1"/>
  <c r="AO585"/>
  <c r="AR585" s="1"/>
  <c r="AN51"/>
  <c r="AP51" s="1"/>
  <c r="AS51" s="1"/>
  <c r="AO281"/>
  <c r="AR281" s="1"/>
  <c r="AO646"/>
  <c r="AR646" s="1"/>
  <c r="AO756"/>
  <c r="AR756" s="1"/>
  <c r="AO827"/>
  <c r="AR827" s="1"/>
  <c r="AN48"/>
  <c r="AP48" s="1"/>
  <c r="AS48" s="1"/>
  <c r="AO1223"/>
  <c r="AR1223" s="1"/>
  <c r="AO1052"/>
  <c r="AR1052" s="1"/>
  <c r="AO390"/>
  <c r="AR390" s="1"/>
  <c r="AO1082"/>
  <c r="AR1082" s="1"/>
  <c r="AO140"/>
  <c r="AR140" s="1"/>
  <c r="AO526"/>
  <c r="AR526" s="1"/>
  <c r="AO990"/>
  <c r="AR990" s="1"/>
  <c r="AO539"/>
  <c r="AR539" s="1"/>
  <c r="AO112"/>
  <c r="AR112" s="1"/>
  <c r="AO587"/>
  <c r="AR587" s="1"/>
  <c r="AO1259"/>
  <c r="AR1259" s="1"/>
  <c r="AO357"/>
  <c r="AR357" s="1"/>
  <c r="AO699"/>
  <c r="AR699" s="1"/>
  <c r="AO134"/>
  <c r="AR134" s="1"/>
  <c r="AO273"/>
  <c r="AR273" s="1"/>
  <c r="AO368"/>
  <c r="AR368" s="1"/>
  <c r="AO531"/>
  <c r="AR531" s="1"/>
  <c r="AO897"/>
  <c r="AR897" s="1"/>
  <c r="AO916"/>
  <c r="AR916" s="1"/>
  <c r="AO1232"/>
  <c r="AR1232" s="1"/>
  <c r="AO668"/>
  <c r="AR668" s="1"/>
  <c r="AO1215"/>
  <c r="AR1215" s="1"/>
  <c r="AO978"/>
  <c r="AR978" s="1"/>
  <c r="AO489"/>
  <c r="AR489" s="1"/>
  <c r="AO330"/>
  <c r="AR330" s="1"/>
  <c r="AO1108"/>
  <c r="AR1108" s="1"/>
  <c r="AN68"/>
  <c r="AP68" s="1"/>
  <c r="AS68" s="1"/>
  <c r="AO1149"/>
  <c r="AR1149" s="1"/>
  <c r="AO496"/>
  <c r="AR496" s="1"/>
  <c r="AO1031"/>
  <c r="AR1031" s="1"/>
  <c r="AO988"/>
  <c r="AR988" s="1"/>
  <c r="AO1248"/>
  <c r="AR1248" s="1"/>
  <c r="AO865"/>
  <c r="AR865" s="1"/>
  <c r="AO161"/>
  <c r="AR161" s="1"/>
  <c r="AO583"/>
  <c r="AR583" s="1"/>
  <c r="AO1096"/>
  <c r="AR1096" s="1"/>
  <c r="AO889"/>
  <c r="AR889" s="1"/>
  <c r="AO856"/>
  <c r="AR856" s="1"/>
  <c r="AN95"/>
  <c r="AP95" s="1"/>
  <c r="AS95" s="1"/>
  <c r="AN69"/>
  <c r="AP69" s="1"/>
  <c r="AS69" s="1"/>
  <c r="AO626"/>
  <c r="AR626" s="1"/>
  <c r="AO640"/>
  <c r="AR640" s="1"/>
  <c r="AN79"/>
  <c r="AP79" s="1"/>
  <c r="AS79" s="1"/>
  <c r="AO488"/>
  <c r="AR488" s="1"/>
  <c r="AO392"/>
  <c r="AR392" s="1"/>
  <c r="AO777"/>
  <c r="AR777" s="1"/>
  <c r="AO256"/>
  <c r="AR256" s="1"/>
  <c r="AO1229"/>
  <c r="AR1229" s="1"/>
  <c r="AO850"/>
  <c r="AR850" s="1"/>
  <c r="AO1051"/>
  <c r="AR1051" s="1"/>
  <c r="AO984"/>
  <c r="AR984" s="1"/>
  <c r="AO1064"/>
  <c r="AR1064" s="1"/>
  <c r="AO1246"/>
  <c r="AR1246" s="1"/>
  <c r="AO1210"/>
  <c r="AR1210" s="1"/>
  <c r="AO270"/>
  <c r="AR270" s="1"/>
  <c r="AO588"/>
  <c r="AR588" s="1"/>
  <c r="AO104"/>
  <c r="AR104" s="1"/>
  <c r="AO494"/>
  <c r="AR494" s="1"/>
  <c r="AO926"/>
  <c r="AR926" s="1"/>
  <c r="AO1205"/>
  <c r="AR1205" s="1"/>
  <c r="AO168"/>
  <c r="AR168" s="1"/>
  <c r="AO907"/>
  <c r="AR907" s="1"/>
  <c r="AO606"/>
  <c r="AR606" s="1"/>
  <c r="AO622"/>
  <c r="AR622" s="1"/>
  <c r="AO648"/>
  <c r="AR648" s="1"/>
  <c r="AO707"/>
  <c r="AR707" s="1"/>
  <c r="AO923"/>
  <c r="AR923" s="1"/>
  <c r="AO346"/>
  <c r="AR346" s="1"/>
  <c r="AO929"/>
  <c r="AR929" s="1"/>
  <c r="AO1230"/>
  <c r="AR1230" s="1"/>
  <c r="AO826"/>
  <c r="AR826" s="1"/>
  <c r="AO618"/>
  <c r="AR618" s="1"/>
  <c r="AO264"/>
  <c r="AR264" s="1"/>
  <c r="AO1075"/>
  <c r="AR1075" s="1"/>
  <c r="AO180"/>
  <c r="AR180" s="1"/>
  <c r="AO397"/>
  <c r="AR397" s="1"/>
  <c r="AO877"/>
  <c r="AR877" s="1"/>
  <c r="AO1177"/>
  <c r="AR1177" s="1"/>
  <c r="AO316"/>
  <c r="AR316" s="1"/>
  <c r="AN92"/>
  <c r="AP92" s="1"/>
  <c r="AS92" s="1"/>
  <c r="AO1017"/>
  <c r="AR1017" s="1"/>
  <c r="AO647"/>
  <c r="AR647" s="1"/>
  <c r="AO535"/>
  <c r="AR535" s="1"/>
  <c r="AO340"/>
  <c r="AR340" s="1"/>
  <c r="AO629"/>
  <c r="AR629" s="1"/>
  <c r="AO1161"/>
  <c r="AR1161" s="1"/>
  <c r="AO1174"/>
  <c r="AR1174" s="1"/>
  <c r="AO176"/>
  <c r="AR176" s="1"/>
  <c r="AO894"/>
  <c r="AR894" s="1"/>
  <c r="AO781"/>
  <c r="AR781" s="1"/>
  <c r="AO559"/>
  <c r="AR559" s="1"/>
  <c r="AO1153"/>
  <c r="AR1153" s="1"/>
  <c r="AN71"/>
  <c r="AP71" s="1"/>
  <c r="AS71" s="1"/>
  <c r="AO1202"/>
  <c r="AR1202" s="1"/>
  <c r="AO672"/>
  <c r="AR672" s="1"/>
  <c r="AO196"/>
  <c r="AR196" s="1"/>
  <c r="AO1169"/>
  <c r="AR1169" s="1"/>
  <c r="AO336"/>
  <c r="AR336" s="1"/>
  <c r="AO248"/>
  <c r="AR248" s="1"/>
  <c r="AO726"/>
  <c r="AR726" s="1"/>
  <c r="AO1270"/>
  <c r="AR1270" s="1"/>
  <c r="AO359"/>
  <c r="AR359" s="1"/>
  <c r="AO1175"/>
  <c r="AR1175" s="1"/>
  <c r="AO1151"/>
  <c r="AR1151" s="1"/>
  <c r="AO702"/>
  <c r="AR702" s="1"/>
  <c r="AO680"/>
  <c r="AR680" s="1"/>
  <c r="AO393"/>
  <c r="AR393" s="1"/>
  <c r="AO387"/>
  <c r="AR387" s="1"/>
  <c r="AO807"/>
  <c r="AR807" s="1"/>
  <c r="AO1123"/>
  <c r="AR1123" s="1"/>
  <c r="AO173"/>
  <c r="AR173" s="1"/>
  <c r="AO1154"/>
  <c r="AR1154" s="1"/>
  <c r="AO383"/>
  <c r="AR383" s="1"/>
  <c r="AO133"/>
  <c r="AR133" s="1"/>
  <c r="AO511"/>
  <c r="AR511" s="1"/>
  <c r="AN81"/>
  <c r="AP81" s="1"/>
  <c r="AS81" s="1"/>
  <c r="AO1024"/>
  <c r="AR1024" s="1"/>
  <c r="AO276"/>
  <c r="AR276" s="1"/>
  <c r="AO840"/>
  <c r="AR840" s="1"/>
  <c r="AO1179"/>
  <c r="AR1179" s="1"/>
  <c r="AO898"/>
  <c r="AR898" s="1"/>
  <c r="AO1266"/>
  <c r="AR1266" s="1"/>
  <c r="AO293"/>
  <c r="AR293" s="1"/>
  <c r="AO964"/>
  <c r="AR964" s="1"/>
  <c r="AO1135"/>
  <c r="AR1135" s="1"/>
  <c r="AO962"/>
  <c r="AR962" s="1"/>
  <c r="AO664"/>
  <c r="AR664" s="1"/>
  <c r="AO1176"/>
  <c r="AR1176" s="1"/>
  <c r="AO141"/>
  <c r="AR141" s="1"/>
  <c r="AO1041"/>
  <c r="AR1041" s="1"/>
  <c r="AO940"/>
  <c r="AR940" s="1"/>
  <c r="AO271"/>
  <c r="AR271" s="1"/>
  <c r="AO1139"/>
  <c r="AR1139" s="1"/>
  <c r="AO1050"/>
  <c r="AR1050" s="1"/>
  <c r="AO155"/>
  <c r="AR155" s="1"/>
  <c r="AO924"/>
  <c r="AR924" s="1"/>
  <c r="AO280"/>
  <c r="AR280" s="1"/>
  <c r="AO305"/>
  <c r="AR305" s="1"/>
  <c r="AO529"/>
  <c r="AR529" s="1"/>
  <c r="AO1213"/>
  <c r="AR1213" s="1"/>
  <c r="AO312"/>
  <c r="AR312" s="1"/>
  <c r="AO954"/>
  <c r="AR954" s="1"/>
  <c r="AO620"/>
  <c r="AR620" s="1"/>
  <c r="AO1118"/>
  <c r="AR1118" s="1"/>
  <c r="AO602"/>
  <c r="AR602" s="1"/>
  <c r="AO801"/>
  <c r="AR801" s="1"/>
  <c r="AO1074"/>
  <c r="AR1074" s="1"/>
  <c r="AN54"/>
  <c r="AP54" s="1"/>
  <c r="AS54" s="1"/>
  <c r="AO591"/>
  <c r="AR591" s="1"/>
  <c r="AO1208"/>
  <c r="AR1208" s="1"/>
  <c r="AO723"/>
  <c r="AR723" s="1"/>
  <c r="AO548"/>
  <c r="AR548" s="1"/>
  <c r="AO1157"/>
  <c r="AR1157" s="1"/>
  <c r="AO169"/>
  <c r="AR169" s="1"/>
  <c r="AO722"/>
  <c r="AR722" s="1"/>
  <c r="AO198"/>
  <c r="AR198" s="1"/>
  <c r="AO624"/>
  <c r="AR624" s="1"/>
  <c r="AN47"/>
  <c r="AP47" s="1"/>
  <c r="AS47" s="1"/>
  <c r="AO311"/>
  <c r="AR311" s="1"/>
  <c r="AN85"/>
  <c r="AP85" s="1"/>
  <c r="AS85" s="1"/>
  <c r="AN101"/>
  <c r="AP101" s="1"/>
  <c r="AS101" s="1"/>
  <c r="AO564"/>
  <c r="AR564" s="1"/>
  <c r="AO261"/>
  <c r="AR261" s="1"/>
  <c r="AO1094"/>
  <c r="AR1094" s="1"/>
  <c r="AO607"/>
  <c r="AR607" s="1"/>
  <c r="AO695"/>
  <c r="AR695" s="1"/>
  <c r="AO313"/>
  <c r="AR313" s="1"/>
  <c r="AN97"/>
  <c r="AP97" s="1"/>
  <c r="AS97" s="1"/>
  <c r="AO541"/>
  <c r="AR541" s="1"/>
  <c r="AO200"/>
  <c r="AR200" s="1"/>
  <c r="AO1142"/>
  <c r="AR1142" s="1"/>
  <c r="AO245"/>
  <c r="AR245" s="1"/>
  <c r="AO593"/>
  <c r="AR593" s="1"/>
  <c r="AO594"/>
  <c r="AR594" s="1"/>
  <c r="AO719"/>
  <c r="AR719" s="1"/>
  <c r="AO553"/>
  <c r="AR553" s="1"/>
  <c r="AO639"/>
  <c r="AR639" s="1"/>
  <c r="AO798"/>
  <c r="AR798" s="1"/>
  <c r="AO279"/>
  <c r="AR279" s="1"/>
  <c r="AO575"/>
  <c r="AR575" s="1"/>
  <c r="AO1048"/>
  <c r="AR1048" s="1"/>
  <c r="AO1239"/>
  <c r="AR1239" s="1"/>
  <c r="AO598"/>
  <c r="AR598" s="1"/>
  <c r="AO621"/>
  <c r="AR621" s="1"/>
  <c r="AO1159"/>
  <c r="AR1159" s="1"/>
  <c r="AO1110"/>
  <c r="AR1110" s="1"/>
  <c r="AO126"/>
  <c r="AR126" s="1"/>
  <c r="AO627"/>
  <c r="AR627" s="1"/>
  <c r="AO906"/>
  <c r="AR906" s="1"/>
  <c r="AO1055"/>
  <c r="AR1055" s="1"/>
  <c r="AO1099"/>
  <c r="AR1099" s="1"/>
  <c r="AO972"/>
  <c r="AR972" s="1"/>
  <c r="AO779"/>
  <c r="AR779" s="1"/>
  <c r="AO787"/>
  <c r="AR787" s="1"/>
  <c r="AO1183"/>
  <c r="AR1183" s="1"/>
  <c r="AO396"/>
  <c r="AR396" s="1"/>
  <c r="AO918"/>
  <c r="AR918" s="1"/>
  <c r="AO570"/>
  <c r="AR570" s="1"/>
  <c r="AO524"/>
  <c r="AR524" s="1"/>
  <c r="AO942"/>
  <c r="AR942" s="1"/>
  <c r="AO729"/>
  <c r="AR729" s="1"/>
  <c r="AO946"/>
  <c r="AR946" s="1"/>
  <c r="AO911"/>
  <c r="AR911" s="1"/>
  <c r="AO1130"/>
  <c r="AR1130" s="1"/>
  <c r="AO669"/>
  <c r="AR669" s="1"/>
  <c r="AN41"/>
  <c r="AP41" s="1"/>
  <c r="AS41" s="1"/>
  <c r="AO578"/>
  <c r="AR578" s="1"/>
  <c r="AO123"/>
  <c r="AR123" s="1"/>
  <c r="AO958"/>
  <c r="AR958" s="1"/>
  <c r="AO841"/>
  <c r="AR841" s="1"/>
  <c r="AO1122"/>
  <c r="AR1122" s="1"/>
  <c r="AN59"/>
  <c r="AP59" s="1"/>
  <c r="AS59" s="1"/>
  <c r="AO662"/>
  <c r="AR662" s="1"/>
  <c r="AO1065"/>
  <c r="AR1065" s="1"/>
  <c r="AO1059"/>
  <c r="AR1059" s="1"/>
  <c r="AO274"/>
  <c r="AR274" s="1"/>
  <c r="AO712"/>
  <c r="AR712" s="1"/>
  <c r="AN400"/>
  <c r="AP400" s="1"/>
  <c r="AS400" s="1"/>
  <c r="AP777"/>
  <c r="AS777" s="1"/>
  <c r="AP196"/>
  <c r="AS196" s="1"/>
  <c r="AO1006"/>
  <c r="AR1006" s="1"/>
  <c r="AO720"/>
  <c r="AR720" s="1"/>
  <c r="AO891"/>
  <c r="AR891" s="1"/>
  <c r="AN137"/>
  <c r="AP137" s="1"/>
  <c r="AS137" s="1"/>
  <c r="AO986"/>
  <c r="AR986" s="1"/>
  <c r="AO515"/>
  <c r="AR515" s="1"/>
  <c r="AN277"/>
  <c r="AP277" s="1"/>
  <c r="AS277" s="1"/>
  <c r="AO258"/>
  <c r="AR258" s="1"/>
  <c r="AO498"/>
  <c r="AR498" s="1"/>
  <c r="AO677"/>
  <c r="AR677" s="1"/>
  <c r="AO378"/>
  <c r="AR378" s="1"/>
  <c r="AO643"/>
  <c r="AR643" s="1"/>
  <c r="AO190"/>
  <c r="AR190" s="1"/>
  <c r="AO833"/>
  <c r="AR833" s="1"/>
  <c r="AN102"/>
  <c r="AP102" s="1"/>
  <c r="AS102" s="1"/>
  <c r="AO523"/>
  <c r="AR523" s="1"/>
  <c r="AO608"/>
  <c r="AR608" s="1"/>
  <c r="AO1197"/>
  <c r="AR1197" s="1"/>
  <c r="AN848"/>
  <c r="AP848" s="1"/>
  <c r="AS848" s="1"/>
  <c r="AO317"/>
  <c r="AR317" s="1"/>
  <c r="AO105"/>
  <c r="AR105" s="1"/>
  <c r="AO184"/>
  <c r="AR184" s="1"/>
  <c r="AO595"/>
  <c r="AR595" s="1"/>
  <c r="AN1010"/>
  <c r="AP1010" s="1"/>
  <c r="AS1010" s="1"/>
  <c r="AO338"/>
  <c r="AR338" s="1"/>
  <c r="AO632"/>
  <c r="AR632" s="1"/>
  <c r="AN472"/>
  <c r="AP472" s="1"/>
  <c r="AS472" s="1"/>
  <c r="AN207"/>
  <c r="AP207" s="1"/>
  <c r="AS207" s="1"/>
  <c r="AO401"/>
  <c r="AR401" s="1"/>
  <c r="AO748"/>
  <c r="AR748" s="1"/>
  <c r="AO466"/>
  <c r="AR466" s="1"/>
  <c r="AN466"/>
  <c r="AP466" s="1"/>
  <c r="AS466" s="1"/>
  <c r="AO445"/>
  <c r="AR445" s="1"/>
  <c r="AN445"/>
  <c r="AP445" s="1"/>
  <c r="AS445" s="1"/>
  <c r="AN935"/>
  <c r="AP935" s="1"/>
  <c r="AS935" s="1"/>
  <c r="AO935"/>
  <c r="AR935" s="1"/>
  <c r="AO430"/>
  <c r="AR430" s="1"/>
  <c r="AN430"/>
  <c r="AP430" s="1"/>
  <c r="AS430" s="1"/>
  <c r="AO235"/>
  <c r="AR235" s="1"/>
  <c r="AN235"/>
  <c r="AP235" s="1"/>
  <c r="AS235" s="1"/>
  <c r="AO202"/>
  <c r="AR202" s="1"/>
  <c r="AN202"/>
  <c r="AP202" s="1"/>
  <c r="AS202" s="1"/>
  <c r="AO744"/>
  <c r="AR744" s="1"/>
  <c r="AN744"/>
  <c r="AP744" s="1"/>
  <c r="AS744" s="1"/>
  <c r="AN963"/>
  <c r="AP963" s="1"/>
  <c r="AS963" s="1"/>
  <c r="AO963"/>
  <c r="AR963" s="1"/>
  <c r="AN745"/>
  <c r="AP745" s="1"/>
  <c r="AS745" s="1"/>
  <c r="AO745"/>
  <c r="AR745" s="1"/>
  <c r="AN460"/>
  <c r="AP460" s="1"/>
  <c r="AS460" s="1"/>
  <c r="AO460"/>
  <c r="AR460" s="1"/>
  <c r="AO431"/>
  <c r="AR431" s="1"/>
  <c r="AN431"/>
  <c r="AP431" s="1"/>
  <c r="AS431" s="1"/>
  <c r="AO405"/>
  <c r="AR405" s="1"/>
  <c r="AN405"/>
  <c r="AP405" s="1"/>
  <c r="AS405" s="1"/>
  <c r="AN977"/>
  <c r="AP977" s="1"/>
  <c r="AS977" s="1"/>
  <c r="AO977"/>
  <c r="AR977" s="1"/>
  <c r="AO750"/>
  <c r="AR750" s="1"/>
  <c r="AN750"/>
  <c r="AP750" s="1"/>
  <c r="AS750" s="1"/>
  <c r="AO416"/>
  <c r="AR416" s="1"/>
  <c r="AN416"/>
  <c r="AP416" s="1"/>
  <c r="AS416" s="1"/>
  <c r="AN436"/>
  <c r="AP436" s="1"/>
  <c r="AS436" s="1"/>
  <c r="AO436"/>
  <c r="AR436" s="1"/>
  <c r="AN955"/>
  <c r="AP955" s="1"/>
  <c r="AS955" s="1"/>
  <c r="AO955"/>
  <c r="AR955" s="1"/>
  <c r="AO205"/>
  <c r="AR205" s="1"/>
  <c r="AN205"/>
  <c r="AP205" s="1"/>
  <c r="AS205" s="1"/>
  <c r="AO444"/>
  <c r="AR444" s="1"/>
  <c r="AN444"/>
  <c r="AP444" s="1"/>
  <c r="AS444" s="1"/>
  <c r="AO410"/>
  <c r="AR410" s="1"/>
  <c r="AN410"/>
  <c r="AP410" s="1"/>
  <c r="AS410" s="1"/>
  <c r="AO446"/>
  <c r="AR446" s="1"/>
  <c r="AN446"/>
  <c r="AP446" s="1"/>
  <c r="AS446" s="1"/>
  <c r="AN223"/>
  <c r="AP223" s="1"/>
  <c r="AS223" s="1"/>
  <c r="AO223"/>
  <c r="AR223" s="1"/>
  <c r="AN753"/>
  <c r="AP753" s="1"/>
  <c r="AS753" s="1"/>
  <c r="AO753"/>
  <c r="AR753" s="1"/>
  <c r="AO442"/>
  <c r="AR442" s="1"/>
  <c r="AN442"/>
  <c r="AP442" s="1"/>
  <c r="AS442" s="1"/>
  <c r="AN975"/>
  <c r="AP975" s="1"/>
  <c r="AS975" s="1"/>
  <c r="AO975"/>
  <c r="AR975" s="1"/>
  <c r="AN238"/>
  <c r="AP238" s="1"/>
  <c r="AS238" s="1"/>
  <c r="AO238"/>
  <c r="AR238" s="1"/>
  <c r="AN953"/>
  <c r="AP953" s="1"/>
  <c r="AS953" s="1"/>
  <c r="AO953"/>
  <c r="AR953" s="1"/>
  <c r="AO774"/>
  <c r="AR774" s="1"/>
  <c r="AN774"/>
  <c r="AP774" s="1"/>
  <c r="AS774" s="1"/>
  <c r="AN425"/>
  <c r="AP425" s="1"/>
  <c r="AS425" s="1"/>
  <c r="AO425"/>
  <c r="AR425" s="1"/>
  <c r="AO423"/>
  <c r="AR423" s="1"/>
  <c r="AN423"/>
  <c r="AP423" s="1"/>
  <c r="AS423" s="1"/>
  <c r="AO409"/>
  <c r="AR409" s="1"/>
  <c r="AN409"/>
  <c r="AP409" s="1"/>
  <c r="AS409" s="1"/>
  <c r="AO407"/>
  <c r="AR407" s="1"/>
  <c r="AN407"/>
  <c r="AP407" s="1"/>
  <c r="AS407" s="1"/>
  <c r="AO463"/>
  <c r="AR463" s="1"/>
  <c r="AN463"/>
  <c r="AP463" s="1"/>
  <c r="AS463" s="1"/>
  <c r="AN759"/>
  <c r="AP759" s="1"/>
  <c r="AS759" s="1"/>
  <c r="AO759"/>
  <c r="AR759" s="1"/>
  <c r="AN751"/>
  <c r="AP751" s="1"/>
  <c r="AS751" s="1"/>
  <c r="AO751"/>
  <c r="AR751" s="1"/>
  <c r="AN757"/>
  <c r="AP757" s="1"/>
  <c r="AS757" s="1"/>
  <c r="AO757"/>
  <c r="AR757" s="1"/>
  <c r="AN404"/>
  <c r="AP404" s="1"/>
  <c r="AS404" s="1"/>
  <c r="AO404"/>
  <c r="AR404" s="1"/>
  <c r="AN487"/>
  <c r="AP487" s="1"/>
  <c r="AS487" s="1"/>
  <c r="AO487"/>
  <c r="AR487" s="1"/>
  <c r="AO228"/>
  <c r="AR228" s="1"/>
  <c r="AN228"/>
  <c r="AP228" s="1"/>
  <c r="AS228" s="1"/>
  <c r="AO237"/>
  <c r="AR237" s="1"/>
  <c r="AN237"/>
  <c r="AP237" s="1"/>
  <c r="AS237" s="1"/>
  <c r="AN224"/>
  <c r="AP224" s="1"/>
  <c r="AS224" s="1"/>
  <c r="AO224"/>
  <c r="AR224" s="1"/>
  <c r="AN480"/>
  <c r="AP480" s="1"/>
  <c r="AS480" s="1"/>
  <c r="AO480"/>
  <c r="AR480" s="1"/>
  <c r="AN961"/>
  <c r="AP961" s="1"/>
  <c r="AS961" s="1"/>
  <c r="AO961"/>
  <c r="AR961" s="1"/>
  <c r="AO484"/>
  <c r="AR484" s="1"/>
  <c r="AN484"/>
  <c r="AP484" s="1"/>
  <c r="AS484" s="1"/>
  <c r="AN765"/>
  <c r="AP765" s="1"/>
  <c r="AS765" s="1"/>
  <c r="AO765"/>
  <c r="AR765" s="1"/>
  <c r="AN749"/>
  <c r="AP749" s="1"/>
  <c r="AS749" s="1"/>
  <c r="AO749"/>
  <c r="AR749" s="1"/>
  <c r="AO217"/>
  <c r="AR217" s="1"/>
  <c r="AN217"/>
  <c r="AP217" s="1"/>
  <c r="AS217" s="1"/>
  <c r="AN993"/>
  <c r="AP993" s="1"/>
  <c r="AS993" s="1"/>
  <c r="AO993"/>
  <c r="AR993" s="1"/>
  <c r="AN411"/>
  <c r="AP411" s="1"/>
  <c r="AS411" s="1"/>
  <c r="AO411"/>
  <c r="AR411" s="1"/>
  <c r="AO459"/>
  <c r="AR459" s="1"/>
  <c r="AN459"/>
  <c r="AP459" s="1"/>
  <c r="AS459" s="1"/>
  <c r="AN321"/>
  <c r="AP321" s="1"/>
  <c r="AS321" s="1"/>
  <c r="AN563"/>
  <c r="AP563" s="1"/>
  <c r="AS563" s="1"/>
  <c r="AN886"/>
  <c r="AP886" s="1"/>
  <c r="AS886" s="1"/>
  <c r="AO341"/>
  <c r="AR341" s="1"/>
  <c r="AO1014"/>
  <c r="AR1014" s="1"/>
  <c r="AO382"/>
  <c r="AR382" s="1"/>
  <c r="AO1117"/>
  <c r="AR1117" s="1"/>
  <c r="AO518"/>
  <c r="AR518" s="1"/>
  <c r="AO1201"/>
  <c r="AR1201" s="1"/>
  <c r="AO249"/>
  <c r="AR249" s="1"/>
  <c r="AO160"/>
  <c r="AR160" s="1"/>
  <c r="AO186"/>
  <c r="AR186" s="1"/>
  <c r="AO267"/>
  <c r="AR267" s="1"/>
  <c r="AO1214"/>
  <c r="AR1214" s="1"/>
  <c r="AO1271"/>
  <c r="AR1271" s="1"/>
  <c r="AO884"/>
  <c r="AR884" s="1"/>
  <c r="AN98"/>
  <c r="AP98" s="1"/>
  <c r="AS98" s="1"/>
  <c r="AN890"/>
  <c r="AP890" s="1"/>
  <c r="AS890" s="1"/>
  <c r="AO920"/>
  <c r="AR920" s="1"/>
  <c r="AO1263"/>
  <c r="AR1263" s="1"/>
  <c r="AO1028"/>
  <c r="AR1028" s="1"/>
  <c r="AN960"/>
  <c r="AP960" s="1"/>
  <c r="AS960" s="1"/>
  <c r="AN635"/>
  <c r="AP635" s="1"/>
  <c r="AS635" s="1"/>
  <c r="AO649"/>
  <c r="AR649" s="1"/>
  <c r="AO1040"/>
  <c r="AR1040" s="1"/>
  <c r="AO339"/>
  <c r="AR339" s="1"/>
  <c r="AO586"/>
  <c r="AR586" s="1"/>
  <c r="AO119"/>
  <c r="AR119" s="1"/>
  <c r="AO788"/>
  <c r="AR788" s="1"/>
  <c r="AO1233"/>
  <c r="AR1233" s="1"/>
  <c r="AO1069"/>
  <c r="AR1069" s="1"/>
  <c r="AO1019"/>
  <c r="AR1019" s="1"/>
  <c r="AO615"/>
  <c r="AR615" s="1"/>
  <c r="AO660"/>
  <c r="AR660" s="1"/>
  <c r="AO818"/>
  <c r="AR818" s="1"/>
  <c r="AO514"/>
  <c r="AR514" s="1"/>
  <c r="AO633"/>
  <c r="AR633" s="1"/>
  <c r="AO665"/>
  <c r="AR665" s="1"/>
  <c r="AO522"/>
  <c r="AR522" s="1"/>
  <c r="AO1164"/>
  <c r="AR1164" s="1"/>
  <c r="AO324"/>
  <c r="AR324" s="1"/>
  <c r="AO1198"/>
  <c r="AR1198" s="1"/>
  <c r="AO834"/>
  <c r="AR834" s="1"/>
  <c r="AO1053"/>
  <c r="AR1053" s="1"/>
  <c r="AO580"/>
  <c r="AR580" s="1"/>
  <c r="AO288"/>
  <c r="AR288" s="1"/>
  <c r="AO1026"/>
  <c r="AR1026" s="1"/>
  <c r="AO789"/>
  <c r="AR789" s="1"/>
  <c r="AO880"/>
  <c r="AR880" s="1"/>
  <c r="AO366"/>
  <c r="AR366" s="1"/>
  <c r="AO879"/>
  <c r="AR879" s="1"/>
  <c r="AO1016"/>
  <c r="AR1016" s="1"/>
  <c r="AO323"/>
  <c r="AR323" s="1"/>
  <c r="AO868"/>
  <c r="AR868" s="1"/>
  <c r="AO809"/>
  <c r="AR809" s="1"/>
  <c r="AO908"/>
  <c r="AR908" s="1"/>
  <c r="AN58"/>
  <c r="AP58" s="1"/>
  <c r="AS58" s="1"/>
  <c r="AO883"/>
  <c r="AR883" s="1"/>
  <c r="AO653"/>
  <c r="AR653" s="1"/>
  <c r="AO345"/>
  <c r="AR345" s="1"/>
  <c r="AO1034"/>
  <c r="AR1034" s="1"/>
  <c r="AO1143"/>
  <c r="AR1143" s="1"/>
  <c r="AO696"/>
  <c r="AR696" s="1"/>
  <c r="AO1195"/>
  <c r="AR1195" s="1"/>
  <c r="AO1036"/>
  <c r="AR1036" s="1"/>
  <c r="AO565"/>
  <c r="AR565" s="1"/>
  <c r="AO255"/>
  <c r="AR255" s="1"/>
  <c r="AO690"/>
  <c r="AR690" s="1"/>
  <c r="AO1156"/>
  <c r="AR1156" s="1"/>
  <c r="AO956"/>
  <c r="AR956" s="1"/>
  <c r="AO199"/>
  <c r="AR199" s="1"/>
  <c r="AO631"/>
  <c r="AR631" s="1"/>
  <c r="AO839"/>
  <c r="AR839" s="1"/>
  <c r="AO966"/>
  <c r="AR966" s="1"/>
  <c r="AO815"/>
  <c r="AR815" s="1"/>
  <c r="AO600"/>
  <c r="AR600" s="1"/>
  <c r="AO616"/>
  <c r="AR616" s="1"/>
  <c r="AO1140"/>
  <c r="AR1140" s="1"/>
  <c r="AO630"/>
  <c r="AR630" s="1"/>
  <c r="AO1022"/>
  <c r="AR1022" s="1"/>
  <c r="AO887"/>
  <c r="AR887" s="1"/>
  <c r="AO128"/>
  <c r="AR128" s="1"/>
  <c r="AO1243"/>
  <c r="AR1243" s="1"/>
  <c r="AO1113"/>
  <c r="AR1113" s="1"/>
  <c r="AO252"/>
  <c r="AR252" s="1"/>
  <c r="AO145"/>
  <c r="AR145" s="1"/>
  <c r="AO1260"/>
  <c r="AR1260" s="1"/>
  <c r="AO283"/>
  <c r="AR283" s="1"/>
  <c r="AO708"/>
  <c r="AR708" s="1"/>
  <c r="AO1242"/>
  <c r="AR1242" s="1"/>
  <c r="AO530"/>
  <c r="AR530" s="1"/>
  <c r="AO1265"/>
  <c r="AR1265" s="1"/>
  <c r="AO1186"/>
  <c r="AR1186" s="1"/>
  <c r="AO603"/>
  <c r="AR603" s="1"/>
  <c r="AO1199"/>
  <c r="AR1199" s="1"/>
  <c r="AO520"/>
  <c r="AR520" s="1"/>
  <c r="AO684"/>
  <c r="AR684" s="1"/>
  <c r="AO262"/>
  <c r="AR262" s="1"/>
  <c r="AO1152"/>
  <c r="AR1152" s="1"/>
  <c r="AO492"/>
  <c r="AR492" s="1"/>
  <c r="AO597"/>
  <c r="AR597" s="1"/>
  <c r="AO364"/>
  <c r="AR364" s="1"/>
  <c r="AO370"/>
  <c r="AR370" s="1"/>
  <c r="AO299"/>
  <c r="AR299" s="1"/>
  <c r="AO114"/>
  <c r="AR114" s="1"/>
  <c r="AN50"/>
  <c r="AP50" s="1"/>
  <c r="AS50" s="1"/>
  <c r="AO360"/>
  <c r="AR360" s="1"/>
  <c r="AO1193"/>
  <c r="AR1193" s="1"/>
  <c r="AO1257"/>
  <c r="AR1257" s="1"/>
  <c r="AO674"/>
  <c r="AR674" s="1"/>
  <c r="AO1087"/>
  <c r="AR1087" s="1"/>
  <c r="AO388"/>
  <c r="AR388" s="1"/>
  <c r="AO1095"/>
  <c r="AR1095" s="1"/>
  <c r="AN94"/>
  <c r="AP94" s="1"/>
  <c r="AS94" s="1"/>
  <c r="AN88"/>
  <c r="AP88" s="1"/>
  <c r="AS88" s="1"/>
  <c r="AO644"/>
  <c r="AR644" s="1"/>
  <c r="AO1101"/>
  <c r="AR1101" s="1"/>
  <c r="AO1071"/>
  <c r="AR1071" s="1"/>
  <c r="AO1044"/>
  <c r="AR1044" s="1"/>
  <c r="AN43"/>
  <c r="AP43" s="1"/>
  <c r="AS43" s="1"/>
  <c r="AO610"/>
  <c r="AR610" s="1"/>
  <c r="AO742"/>
  <c r="AR742" s="1"/>
  <c r="AO825"/>
  <c r="AR825" s="1"/>
  <c r="AO864"/>
  <c r="AR864" s="1"/>
  <c r="AO642"/>
  <c r="AR642" s="1"/>
  <c r="AO718"/>
  <c r="AR718" s="1"/>
  <c r="AO395"/>
  <c r="AR395" s="1"/>
  <c r="AO1047"/>
  <c r="AR1047" s="1"/>
  <c r="AO505"/>
  <c r="AR505" s="1"/>
  <c r="AO1083"/>
  <c r="AR1083" s="1"/>
  <c r="AO1015"/>
  <c r="AR1015" s="1"/>
  <c r="AO881"/>
  <c r="AR881" s="1"/>
  <c r="AO272"/>
  <c r="AR272" s="1"/>
  <c r="AO1173"/>
  <c r="AR1173" s="1"/>
  <c r="AO582"/>
  <c r="AR582" s="1"/>
  <c r="AO508"/>
  <c r="AR508" s="1"/>
  <c r="AO309"/>
  <c r="AR309" s="1"/>
  <c r="AO1127"/>
  <c r="AR1127" s="1"/>
  <c r="AO1097"/>
  <c r="AR1097" s="1"/>
  <c r="AO1068"/>
  <c r="AR1068" s="1"/>
  <c r="AO590"/>
  <c r="AR590" s="1"/>
  <c r="AO919"/>
  <c r="AR919" s="1"/>
  <c r="AO734"/>
  <c r="AR734" s="1"/>
  <c r="AO727"/>
  <c r="AR727" s="1"/>
  <c r="AO115"/>
  <c r="AR115" s="1"/>
  <c r="AO154"/>
  <c r="AR154" s="1"/>
  <c r="AO150"/>
  <c r="AR150" s="1"/>
  <c r="AO552"/>
  <c r="AR552" s="1"/>
  <c r="AO1102"/>
  <c r="AR1102" s="1"/>
  <c r="AO332"/>
  <c r="AR332" s="1"/>
  <c r="AO376"/>
  <c r="AR376" s="1"/>
  <c r="AO822"/>
  <c r="AR822" s="1"/>
  <c r="AO369"/>
  <c r="AR369" s="1"/>
  <c r="AO545"/>
  <c r="AR545" s="1"/>
  <c r="AO146"/>
  <c r="AR146" s="1"/>
  <c r="AO290"/>
  <c r="AR290" s="1"/>
  <c r="AO831"/>
  <c r="AR831" s="1"/>
  <c r="AO278"/>
  <c r="AR278" s="1"/>
  <c r="AN99"/>
  <c r="AP99" s="1"/>
  <c r="AS99" s="1"/>
  <c r="AO118"/>
  <c r="AR118" s="1"/>
  <c r="AO182"/>
  <c r="AR182" s="1"/>
  <c r="AO1224"/>
  <c r="AR1224" s="1"/>
  <c r="AO129"/>
  <c r="AR129" s="1"/>
  <c r="AO1249"/>
  <c r="AR1249" s="1"/>
  <c r="AO108"/>
  <c r="AR108" s="1"/>
  <c r="AO685"/>
  <c r="AR685" s="1"/>
  <c r="AO260"/>
  <c r="AR260" s="1"/>
  <c r="AO179"/>
  <c r="AR179" s="1"/>
  <c r="AO318"/>
  <c r="AR318" s="1"/>
  <c r="AO996"/>
  <c r="AR996" s="1"/>
  <c r="AO337"/>
  <c r="AR337" s="1"/>
  <c r="AO861"/>
  <c r="AR861" s="1"/>
  <c r="AO785"/>
  <c r="AR785" s="1"/>
  <c r="AO301"/>
  <c r="AR301" s="1"/>
  <c r="AO334"/>
  <c r="AR334" s="1"/>
  <c r="AO1253"/>
  <c r="AR1253" s="1"/>
  <c r="AO516"/>
  <c r="AR516" s="1"/>
  <c r="AO1080"/>
  <c r="AR1080" s="1"/>
  <c r="AO687"/>
  <c r="AR687" s="1"/>
  <c r="AO1250"/>
  <c r="AR1250" s="1"/>
  <c r="AO1000"/>
  <c r="AR1000" s="1"/>
  <c r="AO1160"/>
  <c r="AR1160" s="1"/>
  <c r="AO584"/>
  <c r="AR584" s="1"/>
  <c r="AO1038"/>
  <c r="AR1038" s="1"/>
  <c r="AO976"/>
  <c r="AR976" s="1"/>
  <c r="AO152"/>
  <c r="AR152" s="1"/>
  <c r="AO571"/>
  <c r="AR571" s="1"/>
  <c r="AO500"/>
  <c r="AR500" s="1"/>
  <c r="AO903"/>
  <c r="AR903" s="1"/>
  <c r="AO1045"/>
  <c r="AR1045" s="1"/>
  <c r="AO813"/>
  <c r="AR813" s="1"/>
  <c r="AO875"/>
  <c r="AR875" s="1"/>
  <c r="AN39"/>
  <c r="AP39" s="1"/>
  <c r="AS39" s="1"/>
  <c r="AO1236"/>
  <c r="AR1236" s="1"/>
  <c r="AN82"/>
  <c r="AP82" s="1"/>
  <c r="AS82" s="1"/>
  <c r="AO1272"/>
  <c r="AR1272" s="1"/>
  <c r="AO528"/>
  <c r="AR528" s="1"/>
  <c r="AO342"/>
  <c r="AR342" s="1"/>
  <c r="AO820"/>
  <c r="AR820" s="1"/>
  <c r="AO625"/>
  <c r="AR625" s="1"/>
  <c r="AN49"/>
  <c r="AP49" s="1"/>
  <c r="AS49" s="1"/>
  <c r="AO151"/>
  <c r="AR151" s="1"/>
  <c r="AO846"/>
  <c r="AR846" s="1"/>
  <c r="AO544"/>
  <c r="AR544" s="1"/>
  <c r="AO654"/>
  <c r="AR654" s="1"/>
  <c r="AO1049"/>
  <c r="AR1049" s="1"/>
  <c r="AO320"/>
  <c r="AR320" s="1"/>
  <c r="AO844"/>
  <c r="AR844" s="1"/>
  <c r="AO1167"/>
  <c r="AR1167" s="1"/>
  <c r="AO1079"/>
  <c r="AR1079" s="1"/>
  <c r="AO253"/>
  <c r="AR253" s="1"/>
  <c r="AO1089"/>
  <c r="AR1089" s="1"/>
  <c r="AO358"/>
  <c r="AR358" s="1"/>
  <c r="AO782"/>
  <c r="AR782" s="1"/>
  <c r="AO736"/>
  <c r="AR736" s="1"/>
  <c r="AO713"/>
  <c r="AR713" s="1"/>
  <c r="AO547"/>
  <c r="AR547" s="1"/>
  <c r="AO738"/>
  <c r="AR738" s="1"/>
  <c r="AO314"/>
  <c r="AR314" s="1"/>
  <c r="AO44"/>
  <c r="AR44" s="1"/>
  <c r="AN698"/>
  <c r="AP698" s="1"/>
  <c r="AS698" s="1"/>
  <c r="AO1178"/>
  <c r="AR1178" s="1"/>
  <c r="AN93"/>
  <c r="AP93" s="1"/>
  <c r="AS93" s="1"/>
  <c r="AN558"/>
  <c r="AP558" s="1"/>
  <c r="AS558" s="1"/>
  <c r="AO451"/>
  <c r="AR451" s="1"/>
  <c r="AO784"/>
  <c r="AR784" s="1"/>
  <c r="AO304"/>
  <c r="AR304" s="1"/>
  <c r="AO1043"/>
  <c r="AR1043" s="1"/>
  <c r="AN1129"/>
  <c r="AP1129" s="1"/>
  <c r="AS1129" s="1"/>
  <c r="AO90"/>
  <c r="AR90" s="1"/>
  <c r="AO612"/>
  <c r="AR612" s="1"/>
  <c r="AO113"/>
  <c r="AR113" s="1"/>
  <c r="AN1268"/>
  <c r="AP1268" s="1"/>
  <c r="AS1268" s="1"/>
  <c r="AO1103"/>
  <c r="AR1103" s="1"/>
  <c r="AO1231"/>
  <c r="AR1231" s="1"/>
  <c r="AN1171"/>
  <c r="AP1171" s="1"/>
  <c r="AS1171" s="1"/>
  <c r="AO72"/>
  <c r="AR72" s="1"/>
  <c r="AO936"/>
  <c r="AR936" s="1"/>
  <c r="AO1237"/>
  <c r="AR1237" s="1"/>
  <c r="AO201"/>
  <c r="AR201" s="1"/>
  <c r="AO538"/>
  <c r="AR538" s="1"/>
  <c r="AO605"/>
  <c r="AR605" s="1"/>
  <c r="AO1018"/>
  <c r="AR1018" s="1"/>
  <c r="AN1126"/>
  <c r="AP1126" s="1"/>
  <c r="AS1126" s="1"/>
  <c r="AN1007"/>
  <c r="AP1007" s="1"/>
  <c r="AS1007" s="1"/>
  <c r="AO1007"/>
  <c r="AR1007" s="1"/>
  <c r="AO421"/>
  <c r="AR421" s="1"/>
  <c r="AN421"/>
  <c r="AP421" s="1"/>
  <c r="AS421" s="1"/>
  <c r="AO438"/>
  <c r="AR438" s="1"/>
  <c r="AN438"/>
  <c r="AP438" s="1"/>
  <c r="AS438" s="1"/>
  <c r="AN422"/>
  <c r="AP422" s="1"/>
  <c r="AS422" s="1"/>
  <c r="AO422"/>
  <c r="AR422" s="1"/>
  <c r="AO406"/>
  <c r="AR406" s="1"/>
  <c r="AN406"/>
  <c r="AP406" s="1"/>
  <c r="AS406" s="1"/>
  <c r="AN483"/>
  <c r="AP483" s="1"/>
  <c r="AS483" s="1"/>
  <c r="AO483"/>
  <c r="AR483" s="1"/>
  <c r="AN995"/>
  <c r="AP995" s="1"/>
  <c r="AS995" s="1"/>
  <c r="AO995"/>
  <c r="AR995" s="1"/>
  <c r="AN220"/>
  <c r="AP220" s="1"/>
  <c r="AS220" s="1"/>
  <c r="AO220"/>
  <c r="AR220" s="1"/>
  <c r="AO762"/>
  <c r="AR762" s="1"/>
  <c r="AN762"/>
  <c r="AP762" s="1"/>
  <c r="AS762" s="1"/>
  <c r="AO470"/>
  <c r="AR470" s="1"/>
  <c r="AN470"/>
  <c r="AP470" s="1"/>
  <c r="AS470" s="1"/>
  <c r="AN1001"/>
  <c r="AP1001" s="1"/>
  <c r="AS1001" s="1"/>
  <c r="AO1001"/>
  <c r="AR1001" s="1"/>
  <c r="AO435"/>
  <c r="AR435" s="1"/>
  <c r="AN435"/>
  <c r="AP435" s="1"/>
  <c r="AS435" s="1"/>
  <c r="AN479"/>
  <c r="AP479" s="1"/>
  <c r="AS479" s="1"/>
  <c r="AO479"/>
  <c r="AR479" s="1"/>
  <c r="AO208"/>
  <c r="AR208" s="1"/>
  <c r="AN208"/>
  <c r="AP208" s="1"/>
  <c r="AS208" s="1"/>
  <c r="AO413"/>
  <c r="AR413" s="1"/>
  <c r="AN413"/>
  <c r="AP413" s="1"/>
  <c r="AS413" s="1"/>
  <c r="AO204"/>
  <c r="AR204" s="1"/>
  <c r="AN204"/>
  <c r="AP204" s="1"/>
  <c r="AS204" s="1"/>
  <c r="AN462"/>
  <c r="AP462" s="1"/>
  <c r="AS462" s="1"/>
  <c r="AO462"/>
  <c r="AR462" s="1"/>
  <c r="AO420"/>
  <c r="AR420" s="1"/>
  <c r="AN420"/>
  <c r="AP420" s="1"/>
  <c r="AS420" s="1"/>
  <c r="AO766"/>
  <c r="AR766" s="1"/>
  <c r="AN766"/>
  <c r="AP766" s="1"/>
  <c r="AS766" s="1"/>
  <c r="AO221"/>
  <c r="AR221" s="1"/>
  <c r="AN221"/>
  <c r="AP221" s="1"/>
  <c r="AS221" s="1"/>
  <c r="AN464"/>
  <c r="AP464" s="1"/>
  <c r="AS464" s="1"/>
  <c r="AO464"/>
  <c r="AR464" s="1"/>
  <c r="AO233"/>
  <c r="AR233" s="1"/>
  <c r="AN233"/>
  <c r="AP233" s="1"/>
  <c r="AS233" s="1"/>
  <c r="AN941"/>
  <c r="AP941" s="1"/>
  <c r="AS941" s="1"/>
  <c r="AO941"/>
  <c r="AR941" s="1"/>
  <c r="AN465"/>
  <c r="AP465" s="1"/>
  <c r="AS465" s="1"/>
  <c r="AO465"/>
  <c r="AR465" s="1"/>
  <c r="AN458"/>
  <c r="AP458" s="1"/>
  <c r="AS458" s="1"/>
  <c r="AO458"/>
  <c r="AR458" s="1"/>
  <c r="AO746"/>
  <c r="AR746" s="1"/>
  <c r="AN746"/>
  <c r="AP746" s="1"/>
  <c r="AS746" s="1"/>
  <c r="AN447"/>
  <c r="AP447" s="1"/>
  <c r="AS447" s="1"/>
  <c r="AO447"/>
  <c r="AR447" s="1"/>
  <c r="AN203"/>
  <c r="AP203" s="1"/>
  <c r="AS203" s="1"/>
  <c r="AO203"/>
  <c r="AR203" s="1"/>
  <c r="AN469"/>
  <c r="AP469" s="1"/>
  <c r="AS469" s="1"/>
  <c r="AO469"/>
  <c r="AR469" s="1"/>
  <c r="AN939"/>
  <c r="AP939" s="1"/>
  <c r="AS939" s="1"/>
  <c r="AO939"/>
  <c r="AR939" s="1"/>
  <c r="AO461"/>
  <c r="AR461" s="1"/>
  <c r="AN461"/>
  <c r="AP461" s="1"/>
  <c r="AS461" s="1"/>
  <c r="AO209"/>
  <c r="AR209" s="1"/>
  <c r="AN209"/>
  <c r="AP209" s="1"/>
  <c r="AS209" s="1"/>
  <c r="AO885"/>
  <c r="AR885" s="1"/>
  <c r="AO1137"/>
  <c r="AR1137" s="1"/>
  <c r="AO371"/>
  <c r="AR371" s="1"/>
  <c r="AO1155"/>
  <c r="AR1155" s="1"/>
  <c r="AO566"/>
  <c r="AR566" s="1"/>
  <c r="AO164"/>
  <c r="AR164" s="1"/>
  <c r="AO1166"/>
  <c r="AR1166" s="1"/>
  <c r="AO158"/>
  <c r="AR158" s="1"/>
  <c r="AO1254"/>
  <c r="AR1254" s="1"/>
  <c r="AO195"/>
  <c r="AR195" s="1"/>
  <c r="AO689"/>
  <c r="AR689" s="1"/>
  <c r="AO1029"/>
  <c r="AR1029" s="1"/>
  <c r="AO573"/>
  <c r="AR573" s="1"/>
  <c r="AO351"/>
  <c r="AR351" s="1"/>
  <c r="AO1262"/>
  <c r="AR1262" s="1"/>
  <c r="AO1107"/>
  <c r="AR1107" s="1"/>
  <c r="AO107"/>
  <c r="AR107" s="1"/>
  <c r="AO1188"/>
  <c r="AR1188" s="1"/>
  <c r="AO892"/>
  <c r="AR892" s="1"/>
  <c r="AO791"/>
  <c r="AR791" s="1"/>
  <c r="AO1138"/>
  <c r="AR1138" s="1"/>
  <c r="AO1008"/>
  <c r="AR1008" s="1"/>
  <c r="AO1245"/>
  <c r="AR1245" s="1"/>
  <c r="AO197"/>
  <c r="AR197" s="1"/>
  <c r="AO306"/>
  <c r="AR306" s="1"/>
  <c r="AO811"/>
  <c r="AR811" s="1"/>
  <c r="AO144"/>
  <c r="AR144" s="1"/>
  <c r="AO153"/>
  <c r="AR153" s="1"/>
  <c r="AO1150"/>
  <c r="AR1150" s="1"/>
  <c r="AO185"/>
  <c r="AR185" s="1"/>
  <c r="AO163"/>
  <c r="AR163" s="1"/>
  <c r="AO166"/>
  <c r="AR166" s="1"/>
  <c r="AO291"/>
  <c r="AR291" s="1"/>
  <c r="AO847"/>
  <c r="AR847" s="1"/>
  <c r="AO116"/>
  <c r="AR116" s="1"/>
  <c r="AO1061"/>
  <c r="AR1061" s="1"/>
  <c r="AO579"/>
  <c r="AR579" s="1"/>
  <c r="AO550"/>
  <c r="AR550" s="1"/>
  <c r="AO335"/>
  <c r="AR335" s="1"/>
  <c r="AO1004"/>
  <c r="AR1004" s="1"/>
  <c r="AO922"/>
  <c r="AR922" s="1"/>
  <c r="AO1145"/>
  <c r="AR1145" s="1"/>
  <c r="AO1240"/>
  <c r="AR1240" s="1"/>
  <c r="AO1256"/>
  <c r="AR1256" s="1"/>
  <c r="AO693"/>
  <c r="AR693" s="1"/>
  <c r="AO928"/>
  <c r="AR928" s="1"/>
  <c r="AO398"/>
  <c r="AR398" s="1"/>
  <c r="AO159"/>
  <c r="AR159" s="1"/>
  <c r="AO915"/>
  <c r="AR915" s="1"/>
  <c r="AO243"/>
  <c r="AR243" s="1"/>
  <c r="AN38"/>
  <c r="AP38" s="1"/>
  <c r="AS38" s="1"/>
  <c r="AO110"/>
  <c r="AR110" s="1"/>
  <c r="AO686"/>
  <c r="AR686" s="1"/>
  <c r="AO1218"/>
  <c r="AR1218" s="1"/>
  <c r="AO872"/>
  <c r="AR872" s="1"/>
  <c r="AO867"/>
  <c r="AR867" s="1"/>
  <c r="AO142"/>
  <c r="AR142" s="1"/>
  <c r="AO307"/>
  <c r="AR307" s="1"/>
  <c r="AO837"/>
  <c r="AR837" s="1"/>
  <c r="AO183"/>
  <c r="AR183" s="1"/>
  <c r="AO794"/>
  <c r="AR794" s="1"/>
  <c r="AO1187"/>
  <c r="AR1187" s="1"/>
  <c r="AO139"/>
  <c r="AR139" s="1"/>
  <c r="AO1136"/>
  <c r="AR1136" s="1"/>
  <c r="AO540"/>
  <c r="AR540" s="1"/>
  <c r="AO287"/>
  <c r="AR287" s="1"/>
  <c r="AN42"/>
  <c r="AP42" s="1"/>
  <c r="AS42" s="1"/>
  <c r="AO670"/>
  <c r="AR670" s="1"/>
  <c r="AO1119"/>
  <c r="AR1119" s="1"/>
  <c r="AO692"/>
  <c r="AR692" s="1"/>
  <c r="AO1189"/>
  <c r="AR1189" s="1"/>
  <c r="AO1162"/>
  <c r="AR1162" s="1"/>
  <c r="AO1085"/>
  <c r="AR1085" s="1"/>
  <c r="AO1060"/>
  <c r="AR1060" s="1"/>
  <c r="AO1261"/>
  <c r="AR1261" s="1"/>
  <c r="AO655"/>
  <c r="AR655" s="1"/>
  <c r="AO297"/>
  <c r="AR297" s="1"/>
  <c r="AO1219"/>
  <c r="AR1219" s="1"/>
  <c r="AO391"/>
  <c r="AR391" s="1"/>
  <c r="AO968"/>
  <c r="AR968" s="1"/>
  <c r="AO285"/>
  <c r="AR285" s="1"/>
  <c r="AO792"/>
  <c r="AR792" s="1"/>
  <c r="AO162"/>
  <c r="AR162" s="1"/>
  <c r="AO352"/>
  <c r="AR352" s="1"/>
  <c r="AO589"/>
  <c r="AR589" s="1"/>
  <c r="AO613"/>
  <c r="AR613" s="1"/>
  <c r="AN64"/>
  <c r="AP64" s="1"/>
  <c r="AS64" s="1"/>
  <c r="AN77"/>
  <c r="AP77" s="1"/>
  <c r="AS77" s="1"/>
  <c r="AO1035"/>
  <c r="AR1035" s="1"/>
  <c r="AO1112"/>
  <c r="AR1112" s="1"/>
  <c r="AO1133"/>
  <c r="AR1133" s="1"/>
  <c r="AO135"/>
  <c r="AR135" s="1"/>
  <c r="AO1234"/>
  <c r="AR1234" s="1"/>
  <c r="AO697"/>
  <c r="AR697" s="1"/>
  <c r="AO974"/>
  <c r="AR974" s="1"/>
  <c r="AO1002"/>
  <c r="AR1002" s="1"/>
  <c r="AO795"/>
  <c r="AR795" s="1"/>
  <c r="AO1073"/>
  <c r="AR1073" s="1"/>
  <c r="AO350"/>
  <c r="AR350" s="1"/>
  <c r="AO1098"/>
  <c r="AR1098" s="1"/>
  <c r="AO1120"/>
  <c r="AR1120" s="1"/>
  <c r="AO843"/>
  <c r="AR843" s="1"/>
  <c r="AO1090"/>
  <c r="AR1090" s="1"/>
  <c r="AO542"/>
  <c r="AR542" s="1"/>
  <c r="AO136"/>
  <c r="AR136" s="1"/>
  <c r="AO859"/>
  <c r="AR859" s="1"/>
  <c r="AO282"/>
  <c r="AR282" s="1"/>
  <c r="AN65"/>
  <c r="AP65" s="1"/>
  <c r="AS65" s="1"/>
  <c r="AO385"/>
  <c r="AR385" s="1"/>
  <c r="AO165"/>
  <c r="AR165" s="1"/>
  <c r="AO1264"/>
  <c r="AR1264" s="1"/>
  <c r="AO732"/>
  <c r="AR732" s="1"/>
  <c r="AO269"/>
  <c r="AR269" s="1"/>
  <c r="AN73"/>
  <c r="AP73" s="1"/>
  <c r="AS73" s="1"/>
  <c r="AO250"/>
  <c r="AR250" s="1"/>
  <c r="AO970"/>
  <c r="AR970" s="1"/>
  <c r="AN87"/>
  <c r="AP87" s="1"/>
  <c r="AS87" s="1"/>
  <c r="AO1132"/>
  <c r="AR1132" s="1"/>
  <c r="AO328"/>
  <c r="AR328" s="1"/>
  <c r="AO869"/>
  <c r="AR869" s="1"/>
  <c r="AO1116"/>
  <c r="AR1116" s="1"/>
  <c r="AO780"/>
  <c r="AR780" s="1"/>
  <c r="AN70"/>
  <c r="AP70" s="1"/>
  <c r="AS70" s="1"/>
  <c r="AO731"/>
  <c r="AR731" s="1"/>
  <c r="AO663"/>
  <c r="AR663" s="1"/>
  <c r="AO266"/>
  <c r="AR266" s="1"/>
  <c r="AO681"/>
  <c r="AR681" s="1"/>
  <c r="AO682"/>
  <c r="AR682" s="1"/>
  <c r="AO355"/>
  <c r="AR355" s="1"/>
  <c r="AO326"/>
  <c r="AR326" s="1"/>
  <c r="AO1124"/>
  <c r="AR1124" s="1"/>
  <c r="AO715"/>
  <c r="AR715" s="1"/>
  <c r="AO1121"/>
  <c r="AR1121" s="1"/>
  <c r="AO716"/>
  <c r="AR716" s="1"/>
  <c r="AO1170"/>
  <c r="AR1170" s="1"/>
  <c r="AO799"/>
  <c r="AR799" s="1"/>
  <c r="AO808"/>
  <c r="AR808" s="1"/>
  <c r="AO862"/>
  <c r="AR862" s="1"/>
  <c r="AO596"/>
  <c r="AR596" s="1"/>
  <c r="AO914"/>
  <c r="AR914" s="1"/>
  <c r="AO554"/>
  <c r="AR554" s="1"/>
  <c r="AO609"/>
  <c r="AR609" s="1"/>
  <c r="AO1131"/>
  <c r="AR1131" s="1"/>
  <c r="AO561"/>
  <c r="AR561" s="1"/>
  <c r="AO1191"/>
  <c r="AR1191" s="1"/>
  <c r="AO711"/>
  <c r="AR711" s="1"/>
  <c r="AO1267"/>
  <c r="AR1267" s="1"/>
  <c r="AO1241"/>
  <c r="AR1241" s="1"/>
  <c r="AO348"/>
  <c r="AR348" s="1"/>
  <c r="AO661"/>
  <c r="AR661" s="1"/>
  <c r="AO275"/>
  <c r="AR275" s="1"/>
  <c r="AO1063"/>
  <c r="AR1063" s="1"/>
  <c r="AO730"/>
  <c r="AR730" s="1"/>
  <c r="AO106"/>
  <c r="AR106" s="1"/>
  <c r="AO948"/>
  <c r="AR948" s="1"/>
  <c r="AO1181"/>
  <c r="AR1181" s="1"/>
  <c r="AO1030"/>
  <c r="AR1030" s="1"/>
  <c r="AO191"/>
  <c r="AR191" s="1"/>
  <c r="AO394"/>
  <c r="AR394" s="1"/>
  <c r="AO319"/>
  <c r="AR319" s="1"/>
  <c r="AO604"/>
  <c r="AR604" s="1"/>
  <c r="AO251"/>
  <c r="AR251" s="1"/>
  <c r="AO733"/>
  <c r="AR733" s="1"/>
  <c r="AO373"/>
  <c r="AR373" s="1"/>
  <c r="AO673"/>
  <c r="AR673" s="1"/>
  <c r="AO543"/>
  <c r="AR543" s="1"/>
  <c r="AO374"/>
  <c r="AR374" s="1"/>
  <c r="AO349"/>
  <c r="AR349" s="1"/>
  <c r="AN45"/>
  <c r="AP45" s="1"/>
  <c r="AS45" s="1"/>
  <c r="AO551"/>
  <c r="AR551" s="1"/>
  <c r="AO308"/>
  <c r="AR308" s="1"/>
  <c r="AO1013"/>
  <c r="AR1013" s="1"/>
  <c r="AO1184"/>
  <c r="AR1184" s="1"/>
  <c r="AO265"/>
  <c r="AR265" s="1"/>
  <c r="AN56"/>
  <c r="AP56" s="1"/>
  <c r="AS56" s="1"/>
  <c r="AO1072"/>
  <c r="AR1072" s="1"/>
  <c r="AO1148"/>
  <c r="AR1148" s="1"/>
  <c r="AO504"/>
  <c r="AR504" s="1"/>
  <c r="AO192"/>
  <c r="AR192" s="1"/>
  <c r="AO347"/>
  <c r="AR347" s="1"/>
  <c r="AO1084"/>
  <c r="AR1084" s="1"/>
  <c r="AO1092"/>
  <c r="AR1092" s="1"/>
  <c r="AN63"/>
  <c r="AP63" s="1"/>
  <c r="AS63" s="1"/>
  <c r="AO1012"/>
  <c r="AR1012" s="1"/>
  <c r="AO268"/>
  <c r="AR268" s="1"/>
  <c r="AO1207"/>
  <c r="AR1207" s="1"/>
  <c r="AO691"/>
  <c r="AR691" s="1"/>
  <c r="AN89"/>
  <c r="AP89" s="1"/>
  <c r="AS89" s="1"/>
  <c r="AO637"/>
  <c r="AR637" s="1"/>
  <c r="AO832"/>
  <c r="AR832" s="1"/>
  <c r="AO147"/>
  <c r="AR147" s="1"/>
  <c r="AO1039"/>
  <c r="AR1039" s="1"/>
  <c r="AO1192"/>
  <c r="AR1192" s="1"/>
  <c r="AO1172"/>
  <c r="AR1172" s="1"/>
  <c r="AO1182"/>
  <c r="AR1182" s="1"/>
  <c r="AO836"/>
  <c r="AR836" s="1"/>
  <c r="AO786"/>
  <c r="AR786" s="1"/>
  <c r="AO896"/>
  <c r="AR896" s="1"/>
  <c r="AO263"/>
  <c r="AR263" s="1"/>
  <c r="AO284"/>
  <c r="AR284" s="1"/>
  <c r="AO802"/>
  <c r="AR802" s="1"/>
  <c r="AO1204"/>
  <c r="AR1204" s="1"/>
  <c r="AO546"/>
  <c r="AR546" s="1"/>
  <c r="AO1196"/>
  <c r="AR1196" s="1"/>
  <c r="AN57"/>
  <c r="AP57" s="1"/>
  <c r="AS57" s="1"/>
  <c r="AO132"/>
  <c r="AR132" s="1"/>
  <c r="AO375"/>
  <c r="AR375" s="1"/>
  <c r="AN100"/>
  <c r="AP100" s="1"/>
  <c r="AS100" s="1"/>
  <c r="AO651"/>
  <c r="AR651" s="1"/>
  <c r="AO549"/>
  <c r="AR549" s="1"/>
  <c r="AO1190"/>
  <c r="AR1190" s="1"/>
  <c r="AO174"/>
  <c r="AR174" s="1"/>
  <c r="AP595"/>
  <c r="AS595" s="1"/>
  <c r="AN84"/>
  <c r="AP84" s="1"/>
  <c r="AS84" s="1"/>
  <c r="AO379"/>
  <c r="AR379" s="1"/>
  <c r="AN35"/>
  <c r="AP35" s="1"/>
  <c r="AS35" s="1"/>
  <c r="AO1020"/>
  <c r="AR1020" s="1"/>
  <c r="AO1221"/>
  <c r="AR1221" s="1"/>
  <c r="AO556"/>
  <c r="AR556" s="1"/>
  <c r="AO1077"/>
  <c r="AR1077" s="1"/>
  <c r="AO177"/>
  <c r="AR177" s="1"/>
  <c r="AN78"/>
  <c r="AP78" s="1"/>
  <c r="AS78" s="1"/>
  <c r="AO1025"/>
  <c r="AR1025" s="1"/>
  <c r="AN1194"/>
  <c r="AP1194" s="1"/>
  <c r="AS1194" s="1"/>
  <c r="AN1115"/>
  <c r="AP1115" s="1"/>
  <c r="AS1115" s="1"/>
  <c r="AO805"/>
  <c r="AR805" s="1"/>
  <c r="AO800"/>
  <c r="AR800" s="1"/>
  <c r="AO701"/>
  <c r="AR701" s="1"/>
  <c r="AO363"/>
  <c r="AR363" s="1"/>
  <c r="AN501"/>
  <c r="AP501" s="1"/>
  <c r="AS501" s="1"/>
  <c r="AO519"/>
  <c r="AR519" s="1"/>
  <c r="AO1158"/>
  <c r="AR1158" s="1"/>
  <c r="AN1141"/>
  <c r="AP1141" s="1"/>
  <c r="AS1141" s="1"/>
  <c r="AO259"/>
  <c r="AR259" s="1"/>
  <c r="AO295"/>
  <c r="AR295" s="1"/>
  <c r="AO895"/>
  <c r="AR895" s="1"/>
  <c r="AN322"/>
  <c r="AP322" s="1"/>
  <c r="AS322" s="1"/>
  <c r="AN1211"/>
  <c r="AP1211" s="1"/>
  <c r="AS1211" s="1"/>
  <c r="AE7"/>
  <c r="AG7" s="1"/>
  <c r="AQ7" s="1"/>
  <c r="AE8"/>
  <c r="AG8" s="1"/>
  <c r="AQ8" s="1"/>
  <c r="AD3"/>
  <c r="AF3" s="1"/>
  <c r="AH3" s="1"/>
  <c r="AR3" s="1"/>
  <c r="AE3"/>
  <c r="AG3" s="1"/>
  <c r="AQ3" s="1"/>
  <c r="AD5"/>
  <c r="AF5" s="1"/>
  <c r="AH5" s="1"/>
  <c r="AR5" s="1"/>
  <c r="AD4"/>
  <c r="AF4" s="1"/>
  <c r="AH4" s="1"/>
  <c r="AR4" s="1"/>
  <c r="AD7"/>
  <c r="AF7" s="1"/>
  <c r="AH7" s="1"/>
  <c r="AR7" s="1"/>
  <c r="AE6"/>
  <c r="AG6" s="1"/>
  <c r="AQ6" s="1"/>
  <c r="AD6"/>
  <c r="AF6" s="1"/>
  <c r="AH6" s="1"/>
  <c r="AR6" s="1"/>
  <c r="AE4"/>
  <c r="AG4" s="1"/>
  <c r="AQ4" s="1"/>
  <c r="AD8"/>
  <c r="AF8" s="1"/>
  <c r="AH8" s="1"/>
  <c r="AR8" s="1"/>
  <c r="AN32"/>
  <c r="AP32" s="1"/>
  <c r="AS32" s="1"/>
  <c r="AO32"/>
  <c r="AR32" s="1"/>
  <c r="AR12" l="1"/>
  <c r="AR11"/>
  <c r="AQ12"/>
  <c r="AQ11"/>
</calcChain>
</file>

<file path=xl/sharedStrings.xml><?xml version="1.0" encoding="utf-8"?>
<sst xmlns="http://schemas.openxmlformats.org/spreadsheetml/2006/main" count="138" uniqueCount="77">
  <si>
    <t>AEDT</t>
  </si>
  <si>
    <t>T</t>
  </si>
  <si>
    <t>pixel x</t>
  </si>
  <si>
    <t>pixel y</t>
  </si>
  <si>
    <t>Long</t>
  </si>
  <si>
    <t>Image Angluar Size</t>
  </si>
  <si>
    <t>deg</t>
  </si>
  <si>
    <t>px</t>
  </si>
  <si>
    <t>Origin</t>
  </si>
  <si>
    <t>Top Left of Image</t>
  </si>
  <si>
    <t>Alt</t>
  </si>
  <si>
    <t>Az</t>
  </si>
  <si>
    <t>Image roll</t>
  </si>
  <si>
    <t>Center Pix X</t>
  </si>
  <si>
    <t>STEP I</t>
  </si>
  <si>
    <t>Center Pix Y</t>
  </si>
  <si>
    <t>R</t>
  </si>
  <si>
    <t>φ</t>
  </si>
  <si>
    <t>θ</t>
  </si>
  <si>
    <t>Half Horizontal Field of view</t>
  </si>
  <si>
    <t>Projection 'distance'</t>
  </si>
  <si>
    <t>Half Horizontal Width (Video)</t>
  </si>
  <si>
    <t>Video</t>
  </si>
  <si>
    <t>STEP II</t>
  </si>
  <si>
    <t>x</t>
  </si>
  <si>
    <t>y</t>
  </si>
  <si>
    <t>z</t>
  </si>
  <si>
    <t>Local Spherical</t>
  </si>
  <si>
    <t>Local Cartesian</t>
  </si>
  <si>
    <t>STEP V</t>
  </si>
  <si>
    <t>Image Center Global Cartesian</t>
  </si>
  <si>
    <t>STEP VI</t>
  </si>
  <si>
    <t>Local Unit Vectors in Global Cartesian Space</t>
  </si>
  <si>
    <t>i' hat</t>
  </si>
  <si>
    <t>j' har</t>
  </si>
  <si>
    <t>k' hat</t>
  </si>
  <si>
    <t>i</t>
  </si>
  <si>
    <t>j</t>
  </si>
  <si>
    <t>k</t>
  </si>
  <si>
    <t>B</t>
  </si>
  <si>
    <t>B = cos (rot) * sqrt((k' x)^2 +(k' y)^2)</t>
  </si>
  <si>
    <t>Rotation Direction</t>
  </si>
  <si>
    <t>STEP III</t>
  </si>
  <si>
    <t>Local Cartesian to Global Cartesian</t>
  </si>
  <si>
    <t>STEP IV</t>
  </si>
  <si>
    <t>Global Cartesian to Global Spherical</t>
  </si>
  <si>
    <t>r</t>
  </si>
  <si>
    <t>G - Sco</t>
  </si>
  <si>
    <t>η - Sgr</t>
  </si>
  <si>
    <t>π - Pav</t>
  </si>
  <si>
    <t>HIP 74184</t>
  </si>
  <si>
    <t>Atria</t>
  </si>
  <si>
    <t>β - Ara</t>
  </si>
  <si>
    <t>1 or -1</t>
  </si>
  <si>
    <t>Barrel Distortion Exponent</t>
  </si>
  <si>
    <t>Calibration Object</t>
  </si>
  <si>
    <t>Error</t>
  </si>
  <si>
    <t>Actual</t>
  </si>
  <si>
    <t>Degrees</t>
  </si>
  <si>
    <t>Seconds</t>
  </si>
  <si>
    <t>Decimal Degrees</t>
  </si>
  <si>
    <t>Minutes</t>
  </si>
  <si>
    <t>Average</t>
  </si>
  <si>
    <t>σ</t>
  </si>
  <si>
    <t>φ Degrees</t>
  </si>
  <si>
    <t>Actual Az</t>
  </si>
  <si>
    <t>Actual Alt</t>
  </si>
  <si>
    <t>Tracker Data</t>
  </si>
  <si>
    <t>STEP 0</t>
  </si>
  <si>
    <t>Fine Adjustment</t>
  </si>
  <si>
    <t>Field Of View</t>
  </si>
  <si>
    <t>Video Start</t>
  </si>
  <si>
    <t>Calibration Image Time</t>
  </si>
  <si>
    <t>Video Dimentions</t>
  </si>
  <si>
    <t>Epoch</t>
  </si>
  <si>
    <t xml:space="preserve">Lat </t>
  </si>
  <si>
    <t>Calibration Points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</si>
</sst>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20">
    <xf numFmtId="0" fontId="0" fillId="0" borderId="0" xfId="0"/>
    <xf numFmtId="20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0" borderId="0" xfId="0" applyFill="1" applyBorder="1"/>
    <xf numFmtId="0" fontId="1" fillId="0" borderId="0" xfId="0" applyFont="1"/>
    <xf numFmtId="164" fontId="0" fillId="0" borderId="0" xfId="0" applyNumberFormat="1"/>
    <xf numFmtId="164" fontId="0" fillId="0" borderId="1" xfId="0" applyNumberFormat="1" applyBorder="1"/>
    <xf numFmtId="0" fontId="0" fillId="0" borderId="0" xfId="0" applyBorder="1"/>
    <xf numFmtId="0" fontId="0" fillId="0" borderId="0" xfId="0" applyNumberFormat="1" applyBorder="1"/>
    <xf numFmtId="164" fontId="0" fillId="0" borderId="0" xfId="0" applyNumberFormat="1" applyBorder="1"/>
    <xf numFmtId="0" fontId="0" fillId="0" borderId="3" xfId="0" applyBorder="1"/>
    <xf numFmtId="0" fontId="0" fillId="0" borderId="4" xfId="0" applyBorder="1"/>
    <xf numFmtId="2" fontId="0" fillId="0" borderId="0" xfId="0" applyNumberFormat="1" applyBorder="1"/>
    <xf numFmtId="0" fontId="2" fillId="2" borderId="2" xfId="1" applyNumberFormat="1"/>
    <xf numFmtId="0" fontId="2" fillId="2" borderId="2" xfId="1"/>
    <xf numFmtId="165" fontId="2" fillId="2" borderId="2" xfId="1" applyNumberFormat="1"/>
    <xf numFmtId="14" fontId="2" fillId="2" borderId="2" xfId="1" applyNumberFormat="1"/>
    <xf numFmtId="20" fontId="2" fillId="2" borderId="2" xfId="1" applyNumberFormat="1"/>
    <xf numFmtId="11" fontId="2" fillId="2" borderId="2" xfId="1" applyNumberFormat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FF"/>
      <color rgb="FF00FFFF"/>
      <color rgb="FFFF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1272"/>
  <sheetViews>
    <sheetView tabSelected="1" zoomScaleNormal="100" workbookViewId="0">
      <pane xSplit="9" topLeftCell="J1" activePane="topRight" state="frozen"/>
      <selection pane="topRight" activeCell="B5" sqref="B5"/>
    </sheetView>
  </sheetViews>
  <sheetFormatPr defaultRowHeight="15"/>
  <cols>
    <col min="2" max="2" width="10.85546875" bestFit="1" customWidth="1"/>
    <col min="3" max="3" width="10.140625" bestFit="1" customWidth="1"/>
    <col min="4" max="4" width="9.140625" style="3"/>
    <col min="5" max="6" width="9.28515625" bestFit="1" customWidth="1"/>
    <col min="14" max="14" width="9.140625" style="3"/>
    <col min="15" max="18" width="9.140625" customWidth="1"/>
    <col min="19" max="19" width="9.140625" style="3" customWidth="1"/>
    <col min="20" max="24" width="9.140625" customWidth="1"/>
    <col min="25" max="25" width="9.140625" style="3" customWidth="1"/>
    <col min="26" max="31" width="9.140625" customWidth="1"/>
    <col min="32" max="32" width="9.140625" style="3" customWidth="1"/>
    <col min="33" max="38" width="9.140625" customWidth="1"/>
    <col min="39" max="39" width="9.140625" style="3" customWidth="1"/>
  </cols>
  <sheetData>
    <row r="1" spans="1:62">
      <c r="A1" t="s">
        <v>74</v>
      </c>
      <c r="E1" t="s">
        <v>69</v>
      </c>
      <c r="J1" t="s">
        <v>76</v>
      </c>
      <c r="K1" s="8"/>
      <c r="L1" s="8"/>
      <c r="M1" s="8"/>
      <c r="N1" s="8"/>
      <c r="O1" s="8"/>
      <c r="P1" s="8"/>
      <c r="Q1" s="8"/>
      <c r="R1" s="8"/>
      <c r="S1" s="8" t="s">
        <v>57</v>
      </c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 t="s">
        <v>65</v>
      </c>
      <c r="AJ1" s="8"/>
      <c r="AK1" s="8"/>
      <c r="AL1" s="8"/>
      <c r="AM1" s="8" t="s">
        <v>66</v>
      </c>
      <c r="AN1" s="8"/>
      <c r="AO1" s="8"/>
      <c r="AP1" s="8"/>
      <c r="AQ1" t="s">
        <v>56</v>
      </c>
    </row>
    <row r="2" spans="1:62">
      <c r="A2" t="s">
        <v>72</v>
      </c>
      <c r="B2" s="17">
        <v>43035</v>
      </c>
      <c r="C2" s="18">
        <v>0.86807870370370377</v>
      </c>
      <c r="D2" s="3" t="s">
        <v>0</v>
      </c>
      <c r="K2" s="8" t="s">
        <v>55</v>
      </c>
      <c r="L2" s="8" t="s">
        <v>2</v>
      </c>
      <c r="M2" s="8" t="s">
        <v>3</v>
      </c>
      <c r="N2" s="8" t="s">
        <v>13</v>
      </c>
      <c r="O2" s="8" t="s">
        <v>15</v>
      </c>
      <c r="P2" s="8" t="s">
        <v>17</v>
      </c>
      <c r="Q2" s="8" t="s">
        <v>18</v>
      </c>
      <c r="R2" s="8" t="s">
        <v>64</v>
      </c>
      <c r="S2" s="8" t="s">
        <v>60</v>
      </c>
      <c r="T2" s="8" t="s">
        <v>58</v>
      </c>
      <c r="U2" s="8" t="s">
        <v>61</v>
      </c>
      <c r="V2" s="8" t="s">
        <v>59</v>
      </c>
      <c r="W2" s="8" t="s">
        <v>56</v>
      </c>
      <c r="X2" s="4" t="s">
        <v>24</v>
      </c>
      <c r="Y2" s="4" t="s">
        <v>25</v>
      </c>
      <c r="Z2" s="4" t="s">
        <v>26</v>
      </c>
      <c r="AA2" s="8" t="s">
        <v>24</v>
      </c>
      <c r="AB2" s="8" t="s">
        <v>25</v>
      </c>
      <c r="AC2" s="8" t="s">
        <v>26</v>
      </c>
      <c r="AD2" s="8" t="s">
        <v>46</v>
      </c>
      <c r="AE2" s="8" t="s">
        <v>17</v>
      </c>
      <c r="AF2" s="8" t="s">
        <v>18</v>
      </c>
      <c r="AG2" s="8" t="s">
        <v>11</v>
      </c>
      <c r="AH2" s="8" t="s">
        <v>10</v>
      </c>
      <c r="AI2" s="8" t="s">
        <v>60</v>
      </c>
      <c r="AJ2" s="8" t="s">
        <v>58</v>
      </c>
      <c r="AK2" s="8" t="s">
        <v>61</v>
      </c>
      <c r="AL2" s="8" t="s">
        <v>59</v>
      </c>
      <c r="AM2" s="8" t="s">
        <v>60</v>
      </c>
      <c r="AN2" s="8" t="s">
        <v>58</v>
      </c>
      <c r="AO2" s="8" t="s">
        <v>61</v>
      </c>
      <c r="AP2" s="8" t="s">
        <v>59</v>
      </c>
      <c r="AQ2" s="8" t="s">
        <v>11</v>
      </c>
      <c r="AR2" s="8" t="s">
        <v>10</v>
      </c>
      <c r="AS2" s="8"/>
      <c r="AT2" s="8"/>
      <c r="AU2" s="8"/>
    </row>
    <row r="3" spans="1:62">
      <c r="A3" t="s">
        <v>71</v>
      </c>
      <c r="B3" s="17">
        <v>43035</v>
      </c>
      <c r="C3" s="18">
        <v>0.86807870370370377</v>
      </c>
      <c r="D3" s="3" t="s">
        <v>0</v>
      </c>
      <c r="K3" s="15" t="s">
        <v>52</v>
      </c>
      <c r="L3" s="15">
        <v>1184</v>
      </c>
      <c r="M3" s="15">
        <v>258</v>
      </c>
      <c r="N3" s="9">
        <f t="shared" ref="N3:N8" si="0">(L3-($B$15/2))</f>
        <v>224</v>
      </c>
      <c r="O3" s="9">
        <f t="shared" ref="O3:O8" si="1">(($C$15/2)-M3)</f>
        <v>282</v>
      </c>
      <c r="P3" s="8">
        <f t="shared" ref="P3:P8" si="2">ATAN((SQRT(N3^2+O3^2)^$B$16)/($F$24))</f>
        <v>0.22891555868329339</v>
      </c>
      <c r="Q3" s="8">
        <f t="shared" ref="Q3:Q8" si="3">ATAN2(N3,O3)</f>
        <v>0.89952458140819114</v>
      </c>
      <c r="R3" s="8">
        <f>DEGREES(P3)</f>
        <v>13.115895377432036</v>
      </c>
      <c r="S3" s="8">
        <f>T3+U3/60+V3/3600</f>
        <v>12.966666666666667</v>
      </c>
      <c r="T3" s="15">
        <v>12</v>
      </c>
      <c r="U3" s="15">
        <v>58</v>
      </c>
      <c r="V3" s="15">
        <v>0</v>
      </c>
      <c r="W3" s="10">
        <f>R3-S3</f>
        <v>0.14922871076536914</v>
      </c>
      <c r="X3" s="8">
        <f t="shared" ref="X3:X8" si="4">COS(Q3)*SIN(P3)</f>
        <v>0.14114116138978502</v>
      </c>
      <c r="Y3" s="8">
        <f t="shared" ref="Y3:Y8" si="5">SIN(Q3)*SIN(P3)</f>
        <v>0.17768664067821147</v>
      </c>
      <c r="Z3" s="8">
        <f t="shared" ref="Z3:Z8" si="6">COS(P3)</f>
        <v>0.97391305068062151</v>
      </c>
      <c r="AA3" s="8">
        <f t="shared" ref="AA3:AA8" si="7">$X3*$Z$27+$Y3*$Z$31+$Z3*$Z$35</f>
        <v>-0.51613512764341651</v>
      </c>
      <c r="AB3" s="8">
        <f t="shared" ref="AB3:AB8" si="8">$X3*$AA$27+$Y3*$AA$31+$Z3*$AA$35</f>
        <v>-0.52028769340154257</v>
      </c>
      <c r="AC3" s="8">
        <f t="shared" ref="AC3:AC8" si="9">$AB$27*$X3+$Y3*$AB$31+$AB$35*$Z3</f>
        <v>0.68037140306410349</v>
      </c>
      <c r="AD3" s="8">
        <f t="shared" ref="AD3:AD8" si="10">AA3^2+AB3^2+AC3^2</f>
        <v>1.0000000000000002</v>
      </c>
      <c r="AE3" s="8">
        <f t="shared" ref="AE3:AE8" si="11">IF(ATAN2(AA3,AB3)&gt;=0,ATAN2(AA3,AB3),ATAN2(AA3,AB3)+2*PI())</f>
        <v>3.9309974284333555</v>
      </c>
      <c r="AF3" s="8">
        <f t="shared" ref="AF3:AF8" si="12">ACOS(AC3/AD3)</f>
        <v>0.82252703061871391</v>
      </c>
      <c r="AG3" s="8">
        <f t="shared" ref="AG3:AG8" si="13">DEGREES(AE3)</f>
        <v>225.22956192601114</v>
      </c>
      <c r="AH3" s="8">
        <f t="shared" ref="AH3:AH8" si="14">90-DEGREES(AF3)</f>
        <v>42.872672610119857</v>
      </c>
      <c r="AI3" s="8">
        <f>AJ3+AK3/60+AL3/3600</f>
        <v>225.20999999999998</v>
      </c>
      <c r="AJ3" s="15">
        <v>225</v>
      </c>
      <c r="AK3" s="15">
        <v>12</v>
      </c>
      <c r="AL3" s="15">
        <v>36</v>
      </c>
      <c r="AM3" s="8">
        <f>AN3+AO3/60+AP3/3600</f>
        <v>42.732777777777777</v>
      </c>
      <c r="AN3" s="15">
        <v>42</v>
      </c>
      <c r="AO3" s="15">
        <v>43</v>
      </c>
      <c r="AP3" s="15">
        <v>58</v>
      </c>
      <c r="AQ3" s="10">
        <f>AG3-AI3</f>
        <v>1.9561926011164132E-2</v>
      </c>
      <c r="AR3" s="10">
        <f>AH3-AM3</f>
        <v>0.13989483234207967</v>
      </c>
      <c r="AS3" s="8"/>
      <c r="AT3" s="10"/>
      <c r="AU3" s="10"/>
    </row>
    <row r="4" spans="1:62">
      <c r="A4" t="s">
        <v>75</v>
      </c>
      <c r="B4" s="14"/>
      <c r="C4" s="1" t="s">
        <v>6</v>
      </c>
      <c r="K4" s="15" t="s">
        <v>51</v>
      </c>
      <c r="L4" s="15">
        <v>786</v>
      </c>
      <c r="M4" s="15">
        <v>278</v>
      </c>
      <c r="N4" s="9">
        <f t="shared" si="0"/>
        <v>-174</v>
      </c>
      <c r="O4" s="9">
        <f t="shared" si="1"/>
        <v>262</v>
      </c>
      <c r="P4" s="8">
        <f t="shared" si="2"/>
        <v>0.20050400563895932</v>
      </c>
      <c r="Q4" s="8">
        <f t="shared" si="3"/>
        <v>2.157035263740771</v>
      </c>
      <c r="R4" s="8">
        <f t="shared" ref="R4:R8" si="15">DEGREES(P4)</f>
        <v>11.488033298579628</v>
      </c>
      <c r="S4" s="8">
        <f t="shared" ref="S4:S8" si="16">T4+U4/60+V4/3600</f>
        <v>10.9</v>
      </c>
      <c r="T4" s="15">
        <v>10</v>
      </c>
      <c r="U4" s="15">
        <v>54</v>
      </c>
      <c r="V4" s="15">
        <v>0</v>
      </c>
      <c r="W4" s="10">
        <f t="shared" ref="W4:W8" si="17">R4-S4</f>
        <v>0.58803329857962794</v>
      </c>
      <c r="X4" s="8">
        <f t="shared" si="4"/>
        <v>-0.11018346631204022</v>
      </c>
      <c r="Y4" s="8">
        <f t="shared" si="5"/>
        <v>0.16590843778019862</v>
      </c>
      <c r="Z4" s="8">
        <f t="shared" si="6"/>
        <v>0.97996632290339314</v>
      </c>
      <c r="AA4" s="8">
        <f t="shared" si="7"/>
        <v>-0.68828210520993627</v>
      </c>
      <c r="AB4" s="8">
        <f t="shared" si="8"/>
        <v>-0.34114182153141925</v>
      </c>
      <c r="AC4" s="8">
        <f t="shared" si="9"/>
        <v>0.6402265233884048</v>
      </c>
      <c r="AD4" s="8">
        <f t="shared" si="10"/>
        <v>1</v>
      </c>
      <c r="AE4" s="8">
        <f t="shared" si="11"/>
        <v>3.6017481413242534</v>
      </c>
      <c r="AF4" s="8">
        <f t="shared" si="12"/>
        <v>0.87600321654515489</v>
      </c>
      <c r="AG4" s="8">
        <f t="shared" si="13"/>
        <v>206.3649673669685</v>
      </c>
      <c r="AH4" s="8">
        <f t="shared" si="14"/>
        <v>39.808712852077896</v>
      </c>
      <c r="AI4" s="8">
        <f t="shared" ref="AI4:AI8" si="18">AJ4+AK4/60+AL4/3600</f>
        <v>49.8</v>
      </c>
      <c r="AJ4" s="15">
        <v>49</v>
      </c>
      <c r="AK4" s="15">
        <v>48</v>
      </c>
      <c r="AL4" s="15">
        <v>0</v>
      </c>
      <c r="AM4" s="8">
        <f t="shared" ref="AM4:AM8" si="19">AN4+AO4/60+AP4/3600</f>
        <v>39.75</v>
      </c>
      <c r="AN4" s="15">
        <v>39</v>
      </c>
      <c r="AO4" s="15">
        <v>45</v>
      </c>
      <c r="AP4" s="15">
        <v>0</v>
      </c>
      <c r="AQ4" s="10">
        <f t="shared" ref="AQ4:AQ8" si="20">AG4-AI4</f>
        <v>156.56496736696852</v>
      </c>
      <c r="AR4" s="10">
        <f t="shared" ref="AR4:AR8" si="21">AH4-AM4</f>
        <v>5.8712852077896116E-2</v>
      </c>
      <c r="AS4" s="8"/>
      <c r="AT4" s="10"/>
      <c r="AU4" s="10"/>
    </row>
    <row r="5" spans="1:62">
      <c r="A5" t="s">
        <v>4</v>
      </c>
      <c r="B5" s="15"/>
      <c r="C5" t="s">
        <v>6</v>
      </c>
      <c r="K5" s="15" t="s">
        <v>50</v>
      </c>
      <c r="L5" s="15">
        <v>705</v>
      </c>
      <c r="M5" s="15">
        <v>531</v>
      </c>
      <c r="N5" s="9">
        <f t="shared" si="0"/>
        <v>-255</v>
      </c>
      <c r="O5" s="9">
        <f t="shared" si="1"/>
        <v>9</v>
      </c>
      <c r="P5" s="8">
        <f t="shared" si="2"/>
        <v>0.16310739069151725</v>
      </c>
      <c r="Q5" s="8">
        <f t="shared" si="3"/>
        <v>3.106313179996202</v>
      </c>
      <c r="R5" s="8">
        <f t="shared" si="15"/>
        <v>9.3453650940153477</v>
      </c>
      <c r="S5" s="8">
        <f t="shared" si="16"/>
        <v>9.0500000000000007</v>
      </c>
      <c r="T5" s="15">
        <v>9</v>
      </c>
      <c r="U5" s="15">
        <v>3</v>
      </c>
      <c r="V5" s="15">
        <v>0</v>
      </c>
      <c r="W5" s="10">
        <f t="shared" si="17"/>
        <v>0.29536509401534694</v>
      </c>
      <c r="X5" s="8">
        <f t="shared" si="4"/>
        <v>-0.16228408823305707</v>
      </c>
      <c r="Y5" s="8">
        <f t="shared" si="5"/>
        <v>5.7276737023431775E-3</v>
      </c>
      <c r="Z5" s="8">
        <f t="shared" si="6"/>
        <v>0.98672745399138706</v>
      </c>
      <c r="AA5" s="8">
        <f t="shared" si="7"/>
        <v>-0.77897644400843014</v>
      </c>
      <c r="AB5" s="8">
        <f t="shared" si="8"/>
        <v>-0.37534796672858994</v>
      </c>
      <c r="AC5" s="8">
        <f t="shared" si="9"/>
        <v>0.5023042937828569</v>
      </c>
      <c r="AD5" s="8">
        <f t="shared" si="10"/>
        <v>1</v>
      </c>
      <c r="AE5" s="8">
        <f t="shared" si="11"/>
        <v>3.5906132098093515</v>
      </c>
      <c r="AF5" s="8">
        <f t="shared" si="12"/>
        <v>1.0445347318975051</v>
      </c>
      <c r="AG5" s="8">
        <f t="shared" si="13"/>
        <v>205.72698278599739</v>
      </c>
      <c r="AH5" s="8">
        <f t="shared" si="14"/>
        <v>30.152568307443993</v>
      </c>
      <c r="AI5" s="8">
        <f t="shared" si="18"/>
        <v>12.05</v>
      </c>
      <c r="AJ5" s="15">
        <v>12</v>
      </c>
      <c r="AK5" s="15">
        <v>3</v>
      </c>
      <c r="AL5" s="15">
        <v>0</v>
      </c>
      <c r="AM5" s="8">
        <f t="shared" si="19"/>
        <v>30.37</v>
      </c>
      <c r="AN5" s="15">
        <v>30</v>
      </c>
      <c r="AO5" s="15">
        <v>22</v>
      </c>
      <c r="AP5" s="15">
        <v>12</v>
      </c>
      <c r="AQ5" s="10">
        <f t="shared" si="20"/>
        <v>193.67698278599738</v>
      </c>
      <c r="AR5" s="10">
        <f t="shared" si="21"/>
        <v>-0.21743169255600847</v>
      </c>
      <c r="AS5" s="8"/>
      <c r="AT5" s="10"/>
      <c r="AU5" s="10"/>
    </row>
    <row r="6" spans="1:62">
      <c r="K6" s="15" t="s">
        <v>49</v>
      </c>
      <c r="L6" s="15">
        <v>971</v>
      </c>
      <c r="M6" s="15">
        <v>77</v>
      </c>
      <c r="N6" s="9">
        <f t="shared" si="0"/>
        <v>11</v>
      </c>
      <c r="O6" s="9">
        <f t="shared" si="1"/>
        <v>463</v>
      </c>
      <c r="P6" s="8">
        <f t="shared" si="2"/>
        <v>0.29174264246170623</v>
      </c>
      <c r="Q6" s="8">
        <f t="shared" si="3"/>
        <v>1.5470426959944759</v>
      </c>
      <c r="R6" s="8">
        <f t="shared" si="15"/>
        <v>16.715622117049929</v>
      </c>
      <c r="S6" s="8">
        <f t="shared" si="16"/>
        <v>15.9</v>
      </c>
      <c r="T6" s="15">
        <v>15</v>
      </c>
      <c r="U6" s="15">
        <v>54</v>
      </c>
      <c r="V6" s="15">
        <v>0</v>
      </c>
      <c r="W6" s="10">
        <f t="shared" si="17"/>
        <v>0.81562211704992826</v>
      </c>
      <c r="X6" s="8">
        <f t="shared" si="4"/>
        <v>6.8314164141185466E-3</v>
      </c>
      <c r="Y6" s="8">
        <f t="shared" si="5"/>
        <v>0.28754052724880769</v>
      </c>
      <c r="Z6" s="8">
        <f t="shared" si="6"/>
        <v>0.95774410827697321</v>
      </c>
      <c r="AA6" s="8">
        <f t="shared" si="7"/>
        <v>-0.55713048071240612</v>
      </c>
      <c r="AB6" s="8">
        <f t="shared" si="8"/>
        <v>-0.36425890320781729</v>
      </c>
      <c r="AC6" s="8">
        <f t="shared" si="9"/>
        <v>0.74627145121262772</v>
      </c>
      <c r="AD6" s="8">
        <f t="shared" si="10"/>
        <v>1</v>
      </c>
      <c r="AE6" s="8">
        <f t="shared" si="11"/>
        <v>3.7206433861764232</v>
      </c>
      <c r="AF6" s="8">
        <f t="shared" si="12"/>
        <v>0.72835341199554782</v>
      </c>
      <c r="AG6" s="8">
        <f t="shared" si="13"/>
        <v>213.17716310117234</v>
      </c>
      <c r="AH6" s="8">
        <f t="shared" si="14"/>
        <v>48.268423498701885</v>
      </c>
      <c r="AI6" s="8">
        <f t="shared" si="18"/>
        <v>28.8</v>
      </c>
      <c r="AJ6" s="15">
        <v>28</v>
      </c>
      <c r="AK6" s="15">
        <v>48</v>
      </c>
      <c r="AL6" s="15">
        <v>0</v>
      </c>
      <c r="AM6" s="8">
        <f t="shared" si="19"/>
        <v>48.03</v>
      </c>
      <c r="AN6" s="15">
        <v>48</v>
      </c>
      <c r="AO6" s="15">
        <v>1</v>
      </c>
      <c r="AP6" s="15">
        <v>48</v>
      </c>
      <c r="AQ6" s="10">
        <f t="shared" si="20"/>
        <v>184.37716310117233</v>
      </c>
      <c r="AR6" s="10">
        <f t="shared" si="21"/>
        <v>0.23842349870188428</v>
      </c>
      <c r="AS6" s="8"/>
      <c r="AT6" s="10"/>
      <c r="AU6" s="10"/>
    </row>
    <row r="7" spans="1:62">
      <c r="A7" t="s">
        <v>70</v>
      </c>
      <c r="K7" s="15" t="s">
        <v>48</v>
      </c>
      <c r="L7" s="15">
        <v>1795</v>
      </c>
      <c r="M7" s="15">
        <v>39</v>
      </c>
      <c r="N7" s="9">
        <f t="shared" si="0"/>
        <v>835</v>
      </c>
      <c r="O7" s="9">
        <f t="shared" si="1"/>
        <v>501</v>
      </c>
      <c r="P7" s="8">
        <f t="shared" si="2"/>
        <v>0.56623282370198835</v>
      </c>
      <c r="Q7" s="8">
        <f t="shared" si="3"/>
        <v>0.54041950027058416</v>
      </c>
      <c r="R7" s="8">
        <f t="shared" si="15"/>
        <v>32.442751019899141</v>
      </c>
      <c r="S7" s="8">
        <f t="shared" si="16"/>
        <v>32.516666666666666</v>
      </c>
      <c r="T7" s="15">
        <v>32</v>
      </c>
      <c r="U7" s="15">
        <v>31</v>
      </c>
      <c r="V7" s="15">
        <v>0</v>
      </c>
      <c r="W7" s="10">
        <f t="shared" si="17"/>
        <v>-7.3915646767524379E-2</v>
      </c>
      <c r="X7" s="8">
        <f t="shared" si="4"/>
        <v>0.46000777179258145</v>
      </c>
      <c r="Y7" s="8">
        <f t="shared" si="5"/>
        <v>0.27600466307554888</v>
      </c>
      <c r="Z7" s="8">
        <f t="shared" si="6"/>
        <v>0.84392788545643938</v>
      </c>
      <c r="AA7" s="8">
        <f t="shared" si="7"/>
        <v>-0.18699585234407901</v>
      </c>
      <c r="AB7" s="8">
        <f t="shared" si="8"/>
        <v>-0.64951380093696387</v>
      </c>
      <c r="AC7" s="8">
        <f t="shared" si="9"/>
        <v>0.73699686132203412</v>
      </c>
      <c r="AD7" s="8">
        <f t="shared" si="10"/>
        <v>1.0000000000000002</v>
      </c>
      <c r="AE7" s="8">
        <f t="shared" si="11"/>
        <v>4.4320685567126077</v>
      </c>
      <c r="AF7" s="8">
        <f t="shared" si="12"/>
        <v>0.7421799943426316</v>
      </c>
      <c r="AG7" s="8">
        <f t="shared" si="13"/>
        <v>253.93882281227056</v>
      </c>
      <c r="AH7" s="8">
        <f t="shared" si="14"/>
        <v>47.476218685123897</v>
      </c>
      <c r="AI7" s="8">
        <f t="shared" si="18"/>
        <v>1.2</v>
      </c>
      <c r="AJ7" s="15">
        <v>1</v>
      </c>
      <c r="AK7" s="15">
        <v>12</v>
      </c>
      <c r="AL7" s="15">
        <v>0</v>
      </c>
      <c r="AM7" s="8">
        <f t="shared" si="19"/>
        <v>47.519999999999996</v>
      </c>
      <c r="AN7" s="15">
        <v>47</v>
      </c>
      <c r="AO7" s="15">
        <v>31</v>
      </c>
      <c r="AP7" s="15">
        <v>12</v>
      </c>
      <c r="AQ7" s="10">
        <f t="shared" si="20"/>
        <v>252.73882281227057</v>
      </c>
      <c r="AR7" s="10">
        <f t="shared" si="21"/>
        <v>-4.3781314876099486E-2</v>
      </c>
      <c r="AS7" s="8"/>
      <c r="AT7" s="10"/>
      <c r="AU7" s="10"/>
      <c r="BJ7" s="6"/>
    </row>
    <row r="8" spans="1:62">
      <c r="A8" t="s">
        <v>10</v>
      </c>
      <c r="B8" s="15">
        <f>31.94+G8</f>
        <v>31.740000000000002</v>
      </c>
      <c r="C8" t="s">
        <v>6</v>
      </c>
      <c r="F8" t="s">
        <v>10</v>
      </c>
      <c r="G8" s="15">
        <f>(H8-50)/10</f>
        <v>-0.2</v>
      </c>
      <c r="H8">
        <v>48</v>
      </c>
      <c r="K8" s="15" t="s">
        <v>47</v>
      </c>
      <c r="L8" s="15">
        <v>1761</v>
      </c>
      <c r="M8" s="15">
        <v>216</v>
      </c>
      <c r="N8" s="9">
        <f t="shared" si="0"/>
        <v>801</v>
      </c>
      <c r="O8" s="9">
        <f t="shared" si="1"/>
        <v>324</v>
      </c>
      <c r="P8" s="8">
        <f t="shared" si="2"/>
        <v>0.51309902063210355</v>
      </c>
      <c r="Q8" s="8">
        <f t="shared" si="3"/>
        <v>0.38437482976879184</v>
      </c>
      <c r="R8" s="8">
        <f t="shared" si="15"/>
        <v>29.398408354515482</v>
      </c>
      <c r="S8" s="8">
        <f t="shared" si="16"/>
        <v>29.55</v>
      </c>
      <c r="T8" s="15">
        <v>29</v>
      </c>
      <c r="U8" s="15">
        <v>33</v>
      </c>
      <c r="V8" s="15">
        <v>0</v>
      </c>
      <c r="W8" s="10">
        <f t="shared" si="17"/>
        <v>-0.15159164548451898</v>
      </c>
      <c r="X8" s="8">
        <f t="shared" si="4"/>
        <v>0.45506156294520739</v>
      </c>
      <c r="Y8" s="8">
        <f t="shared" si="5"/>
        <v>0.18406984568570184</v>
      </c>
      <c r="Z8" s="8">
        <f t="shared" si="6"/>
        <v>0.87122744782238526</v>
      </c>
      <c r="AA8" s="8">
        <f t="shared" si="7"/>
        <v>-0.23876239157875767</v>
      </c>
      <c r="AB8" s="8">
        <f t="shared" si="8"/>
        <v>-0.69958614360692128</v>
      </c>
      <c r="AC8" s="8">
        <f t="shared" si="9"/>
        <v>0.6734773552546427</v>
      </c>
      <c r="AD8" s="8">
        <f t="shared" si="10"/>
        <v>1</v>
      </c>
      <c r="AE8" s="8">
        <f t="shared" si="11"/>
        <v>4.3834937850525204</v>
      </c>
      <c r="AF8" s="8">
        <f t="shared" si="12"/>
        <v>0.83189339552391173</v>
      </c>
      <c r="AG8" s="8">
        <f t="shared" si="13"/>
        <v>251.15569340533588</v>
      </c>
      <c r="AH8" s="8">
        <f t="shared" si="14"/>
        <v>42.336019431672568</v>
      </c>
      <c r="AI8" s="8">
        <f t="shared" si="18"/>
        <v>1.8</v>
      </c>
      <c r="AJ8" s="15">
        <v>1</v>
      </c>
      <c r="AK8" s="15">
        <v>48</v>
      </c>
      <c r="AL8" s="15">
        <v>0</v>
      </c>
      <c r="AM8" s="8">
        <f t="shared" si="19"/>
        <v>42.38</v>
      </c>
      <c r="AN8" s="15">
        <v>42</v>
      </c>
      <c r="AO8" s="15">
        <v>22</v>
      </c>
      <c r="AP8" s="15">
        <v>48</v>
      </c>
      <c r="AQ8" s="10">
        <f t="shared" si="20"/>
        <v>249.35569340533587</v>
      </c>
      <c r="AR8" s="10">
        <f t="shared" si="21"/>
        <v>-4.3980568327434355E-2</v>
      </c>
      <c r="AS8" s="8"/>
      <c r="AT8" s="10"/>
      <c r="AU8" s="10"/>
      <c r="BJ8" s="6"/>
    </row>
    <row r="9" spans="1:62">
      <c r="A9" t="s">
        <v>11</v>
      </c>
      <c r="B9" s="15">
        <f>216.67+G9</f>
        <v>216.47</v>
      </c>
      <c r="C9" t="s">
        <v>6</v>
      </c>
      <c r="F9" t="s">
        <v>11</v>
      </c>
      <c r="G9" s="15">
        <f>(H9-50)/10</f>
        <v>-0.2</v>
      </c>
      <c r="H9">
        <v>48</v>
      </c>
      <c r="K9" s="8"/>
      <c r="L9" s="8"/>
      <c r="M9" s="8"/>
      <c r="N9" s="9"/>
      <c r="O9" s="9"/>
      <c r="P9" s="8"/>
      <c r="Q9" s="8"/>
      <c r="R9" s="8"/>
      <c r="S9" s="8"/>
      <c r="T9" s="10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0"/>
      <c r="AI9" s="10"/>
      <c r="AM9" s="8"/>
      <c r="AN9" s="8"/>
      <c r="AO9" s="8"/>
      <c r="AQ9" s="8"/>
      <c r="AS9" s="8"/>
      <c r="AT9" s="8"/>
      <c r="AU9" s="8"/>
      <c r="BJ9" s="6"/>
    </row>
    <row r="10" spans="1:62">
      <c r="A10" t="s">
        <v>12</v>
      </c>
      <c r="B10" s="15">
        <f>9+G10</f>
        <v>9</v>
      </c>
      <c r="C10" t="s">
        <v>6</v>
      </c>
      <c r="F10" t="s">
        <v>12</v>
      </c>
      <c r="G10" s="15">
        <f>(H10-50)/10</f>
        <v>0</v>
      </c>
      <c r="H10">
        <v>50</v>
      </c>
      <c r="K10" s="8"/>
      <c r="L10" s="8"/>
      <c r="M10" s="8"/>
      <c r="N10" s="9"/>
      <c r="O10" s="9"/>
      <c r="P10" s="8"/>
      <c r="Q10" s="8"/>
      <c r="R10" s="8"/>
      <c r="S10" s="8"/>
      <c r="T10" s="10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0"/>
      <c r="AI10" s="10"/>
      <c r="AM10" s="8"/>
      <c r="AN10" s="8"/>
      <c r="AO10" s="8"/>
      <c r="AW10" s="8"/>
      <c r="AX10" s="8"/>
      <c r="AY10" s="8"/>
      <c r="BJ10" s="6"/>
    </row>
    <row r="11" spans="1:62">
      <c r="A11" t="s">
        <v>41</v>
      </c>
      <c r="B11" s="15">
        <v>1</v>
      </c>
      <c r="C11" t="s">
        <v>53</v>
      </c>
      <c r="K11" s="8"/>
      <c r="L11" s="8"/>
      <c r="M11" s="8"/>
      <c r="N11" s="9"/>
      <c r="O11" s="9"/>
      <c r="P11" s="8"/>
      <c r="Q11" s="8"/>
      <c r="R11" s="8"/>
      <c r="S11" s="8"/>
      <c r="T11" s="10"/>
      <c r="U11" s="8"/>
      <c r="V11" s="8" t="s">
        <v>62</v>
      </c>
      <c r="W11" s="13">
        <f>AVERAGE(W3:W8)</f>
        <v>0.27045698802637147</v>
      </c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0"/>
      <c r="AI11" s="10"/>
      <c r="AM11" s="8"/>
      <c r="AN11" s="8"/>
      <c r="AO11" s="8"/>
      <c r="AP11" s="8" t="s">
        <v>62</v>
      </c>
      <c r="AQ11" s="13">
        <f>AVERAGE(AQ3:AQ8)</f>
        <v>172.7888652329593</v>
      </c>
      <c r="AR11" s="13">
        <f>AVERAGE(AR3:AR8)</f>
        <v>2.1972934560386292E-2</v>
      </c>
      <c r="AW11" s="8"/>
      <c r="AX11" s="8"/>
      <c r="AY11" s="8"/>
      <c r="BI11" s="6"/>
      <c r="BJ11" s="6"/>
    </row>
    <row r="12" spans="1:62">
      <c r="K12" s="8"/>
      <c r="L12" s="8"/>
      <c r="M12" s="8"/>
      <c r="N12" s="9"/>
      <c r="O12" s="9"/>
      <c r="P12" s="8"/>
      <c r="Q12" s="8"/>
      <c r="R12" s="8"/>
      <c r="S12" s="8"/>
      <c r="T12" s="10"/>
      <c r="U12" s="8"/>
      <c r="V12" s="8" t="s">
        <v>63</v>
      </c>
      <c r="W12" s="13">
        <f>STDEV(W3:W8)</f>
        <v>0.37685381795142214</v>
      </c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0"/>
      <c r="AI12" s="10"/>
      <c r="AM12" s="8"/>
      <c r="AN12" s="8"/>
      <c r="AO12" s="8"/>
      <c r="AP12" s="8" t="s">
        <v>63</v>
      </c>
      <c r="AQ12" s="13">
        <f>STDEV(AQ3:AQ8)</f>
        <v>92.668790887588727</v>
      </c>
      <c r="AR12" s="13">
        <f>STDEV(AR3:AR8)</f>
        <v>0.16005892888537751</v>
      </c>
      <c r="AW12" s="8"/>
      <c r="AX12" s="8"/>
      <c r="AY12" s="8"/>
      <c r="BI12" s="6"/>
      <c r="BJ12" s="6"/>
    </row>
    <row r="13" spans="1:62">
      <c r="A13" t="s">
        <v>22</v>
      </c>
      <c r="K13" s="8"/>
      <c r="L13" s="8"/>
      <c r="M13" s="8"/>
      <c r="N13" s="9"/>
      <c r="O13" s="9"/>
      <c r="P13" s="8"/>
      <c r="Q13" s="8"/>
      <c r="R13" s="8"/>
      <c r="S13" s="8"/>
      <c r="T13" s="10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10"/>
      <c r="AI13" s="10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10"/>
      <c r="BJ13" s="10"/>
    </row>
    <row r="14" spans="1:62">
      <c r="A14" t="s">
        <v>5</v>
      </c>
      <c r="B14" s="15">
        <f>61+G14</f>
        <v>61</v>
      </c>
      <c r="C14" s="15">
        <v>46.9</v>
      </c>
      <c r="D14" s="3" t="s">
        <v>6</v>
      </c>
      <c r="F14" t="s">
        <v>5</v>
      </c>
      <c r="G14" s="15">
        <f>(H14-50)/10</f>
        <v>0</v>
      </c>
      <c r="H14">
        <v>50</v>
      </c>
      <c r="K14" s="8"/>
      <c r="L14" s="8"/>
      <c r="M14" s="8"/>
      <c r="N14" s="9"/>
      <c r="O14" s="9"/>
      <c r="P14" s="8"/>
      <c r="Q14" s="8"/>
      <c r="R14" s="8"/>
      <c r="S14" s="8"/>
      <c r="T14" s="10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10"/>
      <c r="AI14" s="10"/>
      <c r="AJ14" s="8"/>
      <c r="AK14" s="8"/>
      <c r="AL14" s="8"/>
      <c r="AM14" s="8"/>
      <c r="AN14" s="8"/>
      <c r="AO14" s="8"/>
      <c r="AQ14" s="8"/>
      <c r="AR14" s="8"/>
      <c r="AW14" s="8"/>
      <c r="AX14" s="8"/>
      <c r="AY14" s="8"/>
    </row>
    <row r="15" spans="1:62">
      <c r="A15" t="s">
        <v>73</v>
      </c>
      <c r="B15" s="15">
        <v>1920</v>
      </c>
      <c r="C15" s="15">
        <v>1080</v>
      </c>
      <c r="D15" s="3" t="s">
        <v>7</v>
      </c>
      <c r="K15" s="8"/>
      <c r="L15" s="8"/>
      <c r="M15" s="8"/>
      <c r="N15" s="9"/>
      <c r="O15" s="9"/>
      <c r="P15" s="8"/>
      <c r="Q15" s="8"/>
      <c r="R15" s="8"/>
      <c r="S15" s="8"/>
      <c r="T15" s="10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10"/>
      <c r="AI15" s="10"/>
      <c r="AJ15" s="8"/>
      <c r="AK15" s="8"/>
      <c r="AL15" s="8"/>
      <c r="AM15" s="8"/>
      <c r="AN15" s="8"/>
      <c r="AO15" s="8"/>
      <c r="AQ15" s="8"/>
      <c r="AR15" s="8"/>
      <c r="AW15" s="8"/>
      <c r="AX15" s="8"/>
      <c r="AY15" s="8"/>
    </row>
    <row r="16" spans="1:62">
      <c r="A16" t="s">
        <v>54</v>
      </c>
      <c r="B16" s="16">
        <f>1+G16</f>
        <v>1.0089999999999999</v>
      </c>
      <c r="F16" t="s">
        <v>54</v>
      </c>
      <c r="G16" s="16">
        <f>(H16-50)/1000</f>
        <v>8.9999999999999993E-3</v>
      </c>
      <c r="H16">
        <v>59</v>
      </c>
      <c r="K16" s="8"/>
      <c r="L16" s="8"/>
      <c r="M16" s="8"/>
      <c r="N16" s="9"/>
      <c r="O16" s="9"/>
      <c r="P16" s="8"/>
      <c r="Q16" s="8"/>
      <c r="R16" s="8"/>
      <c r="S16" s="8"/>
      <c r="T16" s="10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10"/>
      <c r="AI16" s="10"/>
      <c r="AJ16" s="8"/>
      <c r="AK16" s="8"/>
      <c r="AL16" s="8"/>
      <c r="AM16" s="8"/>
      <c r="AN16" s="8"/>
      <c r="AO16" s="8"/>
      <c r="AQ16" s="8"/>
      <c r="AR16" s="8"/>
      <c r="AW16" s="8"/>
      <c r="AX16" s="8"/>
      <c r="AY16" s="8"/>
    </row>
    <row r="17" spans="1:51">
      <c r="A17" s="5" t="s">
        <v>8</v>
      </c>
      <c r="B17" s="5" t="s">
        <v>9</v>
      </c>
      <c r="C17" s="5"/>
      <c r="K17" s="8"/>
      <c r="L17" s="8"/>
      <c r="M17" s="8"/>
      <c r="N17" s="9"/>
      <c r="O17" s="9"/>
      <c r="P17" s="8"/>
      <c r="Q17" s="8"/>
      <c r="R17" s="8"/>
      <c r="S17" s="8"/>
      <c r="T17" s="10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10"/>
      <c r="AI17" s="10"/>
      <c r="AJ17" s="8"/>
      <c r="AK17" s="8"/>
      <c r="AL17" s="8"/>
      <c r="AM17" s="8"/>
      <c r="AN17" s="8"/>
      <c r="AO17" s="8"/>
      <c r="AQ17" s="8"/>
      <c r="AR17" s="8"/>
    </row>
    <row r="18" spans="1:51" ht="15.75" thickBot="1">
      <c r="K18" s="8"/>
      <c r="L18" s="8"/>
      <c r="M18" s="8"/>
      <c r="N18" s="9"/>
      <c r="O18" s="9"/>
      <c r="P18" s="8"/>
      <c r="Q18" s="8"/>
      <c r="R18" s="8"/>
      <c r="S18" s="8"/>
      <c r="T18" s="10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10"/>
      <c r="AI18" s="10"/>
      <c r="AJ18" s="8"/>
      <c r="AK18" s="8"/>
      <c r="AL18" s="8"/>
      <c r="AM18" s="8"/>
      <c r="AN18" s="8"/>
      <c r="AO18" s="8"/>
    </row>
    <row r="19" spans="1:51" s="11" customFormat="1" ht="15.75" thickBot="1">
      <c r="A19" s="11" t="s">
        <v>68</v>
      </c>
      <c r="C19" s="11" t="s">
        <v>67</v>
      </c>
      <c r="D19" s="12"/>
      <c r="E19" s="11" t="s">
        <v>14</v>
      </c>
      <c r="G19" s="11" t="s">
        <v>27</v>
      </c>
      <c r="N19" s="12"/>
      <c r="O19" s="11" t="s">
        <v>23</v>
      </c>
      <c r="Q19" s="11" t="s">
        <v>28</v>
      </c>
      <c r="S19" s="12"/>
      <c r="T19" s="11" t="s">
        <v>29</v>
      </c>
      <c r="V19" s="11" t="s">
        <v>30</v>
      </c>
      <c r="Y19" s="12"/>
      <c r="Z19" s="11" t="s">
        <v>31</v>
      </c>
      <c r="AB19" s="11" t="s">
        <v>32</v>
      </c>
      <c r="AF19" s="12"/>
      <c r="AG19" s="11" t="s">
        <v>42</v>
      </c>
      <c r="AI19" s="11" t="s">
        <v>43</v>
      </c>
      <c r="AM19" s="12"/>
      <c r="AN19" s="11" t="s">
        <v>44</v>
      </c>
      <c r="AP19" s="11" t="s">
        <v>45</v>
      </c>
    </row>
    <row r="20" spans="1:51" ht="15.75" thickTop="1"/>
    <row r="21" spans="1:51">
      <c r="E21" t="s">
        <v>19</v>
      </c>
      <c r="F21">
        <f>RADIANS(B14/2)</f>
        <v>0.53232542185827048</v>
      </c>
      <c r="T21" s="4" t="s">
        <v>24</v>
      </c>
      <c r="U21" s="4" t="s">
        <v>25</v>
      </c>
      <c r="V21" s="4" t="s">
        <v>26</v>
      </c>
      <c r="W21" s="4" t="s">
        <v>46</v>
      </c>
      <c r="Z21" t="s">
        <v>40</v>
      </c>
    </row>
    <row r="22" spans="1:51">
      <c r="E22" t="s">
        <v>21</v>
      </c>
      <c r="F22">
        <f>B15/2</f>
        <v>960</v>
      </c>
      <c r="T22">
        <f>COS(RADIANS($B$9))*SIN(RADIANS(90-$B$8))</f>
        <v>-0.68390006292386918</v>
      </c>
      <c r="U22">
        <f>SIN(RADIANS($B$9))*SIN(RADIANS(90-$B$8))</f>
        <v>-0.50550548207164836</v>
      </c>
      <c r="V22">
        <f>COS(RADIANS(90-$B$8))</f>
        <v>0.52606550117664841</v>
      </c>
      <c r="W22">
        <f>SQRT(T22^2+U22^2+V22^2)</f>
        <v>1</v>
      </c>
      <c r="Z22" t="s">
        <v>39</v>
      </c>
      <c r="AA22">
        <f>COS(RADIANS($B$10))*SQRT($T$22^2 + $U$22^2)</f>
        <v>0.83997367616683638</v>
      </c>
    </row>
    <row r="24" spans="1:51">
      <c r="E24" t="s">
        <v>20</v>
      </c>
      <c r="F24">
        <f>F22/TAN(F21)</f>
        <v>1629.7565945530457</v>
      </c>
    </row>
    <row r="25" spans="1:51">
      <c r="Z25" t="s">
        <v>33</v>
      </c>
    </row>
    <row r="26" spans="1:51">
      <c r="Z26" t="s">
        <v>36</v>
      </c>
      <c r="AA26" t="s">
        <v>37</v>
      </c>
      <c r="AB26" t="s">
        <v>38</v>
      </c>
      <c r="AC26" t="s">
        <v>46</v>
      </c>
    </row>
    <row r="27" spans="1:51">
      <c r="A27" t="s">
        <v>67</v>
      </c>
      <c r="Z27" s="2">
        <f>(-1*$B$11*$Z$35*$AB$35*SQRT($Z$35^2 + $AA$35^2 - $AA$22^2))/($Z$35^2 + $AA$35^2) - ($AA$35*$AA$22)/(Z35^2+AA35^2)</f>
        <v>0.65326257536445853</v>
      </c>
      <c r="AA27">
        <f>((-1*$B$11*$AA$35*$AB$35*SQRT($Z$35^2 + $AA$35^2 - $AA$22^2))/($Z$35^2+$AA$35^2)) + ( ($Z$35 * $AA$22)/($Z$35^2 + $AA$35^2))</f>
        <v>-0.74535139082828772</v>
      </c>
      <c r="AB27">
        <f>$B$11*1*SQRT($Z$35^2 + $AA$35^2 - $AA$22^2)</f>
        <v>0.13303876058702765</v>
      </c>
      <c r="AC27">
        <f>SQRT(Z27^2+AA27^2+AB27^2)</f>
        <v>1</v>
      </c>
      <c r="AR27" s="5"/>
    </row>
    <row r="29" spans="1:51">
      <c r="Z29" t="s">
        <v>34</v>
      </c>
    </row>
    <row r="30" spans="1:51">
      <c r="E30" s="8"/>
      <c r="Z30" t="s">
        <v>36</v>
      </c>
      <c r="AA30" t="s">
        <v>37</v>
      </c>
      <c r="AB30" t="s">
        <v>38</v>
      </c>
    </row>
    <row r="31" spans="1:51">
      <c r="A31" t="s">
        <v>1</v>
      </c>
      <c r="B31" t="s">
        <v>2</v>
      </c>
      <c r="C31" t="s">
        <v>3</v>
      </c>
      <c r="E31" t="s">
        <v>13</v>
      </c>
      <c r="F31" t="s">
        <v>15</v>
      </c>
      <c r="I31" t="s">
        <v>16</v>
      </c>
      <c r="J31" t="s">
        <v>17</v>
      </c>
      <c r="K31" t="s">
        <v>18</v>
      </c>
      <c r="O31" s="4" t="s">
        <v>24</v>
      </c>
      <c r="P31" s="4" t="s">
        <v>25</v>
      </c>
      <c r="Q31" s="4" t="s">
        <v>26</v>
      </c>
      <c r="R31" s="4" t="s">
        <v>46</v>
      </c>
      <c r="Z31">
        <f>$AA$35*$AB$27-$AB$35*$AA$27</f>
        <v>0.32485183016403507</v>
      </c>
      <c r="AA31">
        <f>AB35*Z27-Z35*AB27</f>
        <v>0.4346441208458337</v>
      </c>
      <c r="AB31">
        <f>Z35*AA27-AA35*Z27</f>
        <v>0.8399736761668366</v>
      </c>
      <c r="AC31">
        <f>SQRT(Z31^2+AA31^2+AB31^2)</f>
        <v>1.0000000000000002</v>
      </c>
      <c r="AG31" t="s">
        <v>24</v>
      </c>
      <c r="AH31" t="s">
        <v>25</v>
      </c>
      <c r="AI31" t="s">
        <v>26</v>
      </c>
      <c r="AN31" t="s">
        <v>46</v>
      </c>
      <c r="AO31" t="s">
        <v>17</v>
      </c>
      <c r="AP31" t="s">
        <v>18</v>
      </c>
      <c r="AR31" t="s">
        <v>11</v>
      </c>
      <c r="AS31" t="s">
        <v>10</v>
      </c>
    </row>
    <row r="32" spans="1:51">
      <c r="A32" s="19">
        <v>8.0079999999999991</v>
      </c>
      <c r="B32" s="19">
        <v>1095.833333</v>
      </c>
      <c r="C32" s="19">
        <v>580.58333330000005</v>
      </c>
      <c r="E32" s="9">
        <f t="shared" ref="E32:E95" si="22">(B32-($B$15/2))</f>
        <v>135.83333300000004</v>
      </c>
      <c r="F32" s="9">
        <f t="shared" ref="F32:F95" si="23">(($C$15/2)-C32)</f>
        <v>-40.583333300000049</v>
      </c>
      <c r="G32" s="8"/>
      <c r="H32" s="8"/>
      <c r="I32" s="8">
        <v>1</v>
      </c>
      <c r="J32">
        <f t="shared" ref="J32:J95" si="24">ATAN((SQRT(E32^2+F32^2)^$B$16)/($F$24))</f>
        <v>9.0702932906889966E-2</v>
      </c>
      <c r="K32" s="8">
        <f>ATAN2(E32,F32)</f>
        <v>-0.29033073267994147</v>
      </c>
      <c r="L32" s="8"/>
      <c r="M32" s="8"/>
      <c r="N32" s="7"/>
      <c r="O32" s="8">
        <f>COS(K32)*SIN(J32)</f>
        <v>8.6787831860109813E-2</v>
      </c>
      <c r="P32" s="8">
        <f>SIN(K32)*SIN(J32)</f>
        <v>-2.5929861463115236E-2</v>
      </c>
      <c r="Q32" s="8">
        <f>COS(J32)</f>
        <v>0.99588930836992373</v>
      </c>
      <c r="R32" s="8">
        <f t="shared" ref="R32:R63" si="25">SQRT(O32^2+P32^2+Q32^2)</f>
        <v>1</v>
      </c>
      <c r="AG32" s="8">
        <f t="shared" ref="AG32:AG95" si="26">$O32*$Z$27+$P32*$Z$31+$Q32*$Z$35</f>
        <v>-0.63281688106035927</v>
      </c>
      <c r="AH32" s="8">
        <f t="shared" ref="AH32:AH95" si="27">$O32*$AA$27+$P32*$AA$31+$Q32*$AA$35</f>
        <v>-0.57938519794073318</v>
      </c>
      <c r="AI32" s="8">
        <f t="shared" ref="AI32:AI95" si="28">$AB$27*$O32+$P32*$AB$31+$AB$35*$Q32</f>
        <v>0.51366875265312428</v>
      </c>
      <c r="AJ32" s="8"/>
      <c r="AK32" s="8"/>
      <c r="AL32" s="8"/>
      <c r="AN32" s="8">
        <f t="shared" ref="AN32" si="29">AG32^2+AH32^2+AI32^2</f>
        <v>1</v>
      </c>
      <c r="AO32" s="8">
        <f t="shared" ref="AO32" si="30">IF(ATAN2(AG32,AH32)&gt;=0,ATAN2(AG32,AH32),ATAN2(AG32,AH32)+2*PI())</f>
        <v>3.8829411321940008</v>
      </c>
      <c r="AP32" s="8">
        <f t="shared" ref="AP32" si="31">ACOS(AI32/AN32)</f>
        <v>1.0313409904689719</v>
      </c>
      <c r="AQ32" s="8"/>
      <c r="AR32" s="8">
        <f t="shared" ref="AR32" si="32">DEGREES(AO32)</f>
        <v>222.47613897246572</v>
      </c>
      <c r="AS32" s="8">
        <f t="shared" ref="AS32" si="33">90-DEGREES(AP32)</f>
        <v>30.908514007285852</v>
      </c>
      <c r="AX32" s="6"/>
      <c r="AY32" s="6"/>
    </row>
    <row r="33" spans="1:53">
      <c r="A33" s="19">
        <v>8.0413666670000001</v>
      </c>
      <c r="B33" s="19">
        <v>1095.164147</v>
      </c>
      <c r="C33" s="19">
        <v>580.54187779999995</v>
      </c>
      <c r="E33" s="9">
        <f t="shared" si="22"/>
        <v>135.16414699999996</v>
      </c>
      <c r="F33" s="9">
        <f t="shared" si="23"/>
        <v>-40.541877799999952</v>
      </c>
      <c r="I33">
        <v>1</v>
      </c>
      <c r="J33">
        <f t="shared" si="24"/>
        <v>9.0283702602555721E-2</v>
      </c>
      <c r="K33">
        <f t="shared" ref="K33:K96" si="34">ATAN2(E33,F33)</f>
        <v>-0.29140679471898495</v>
      </c>
      <c r="N33" s="7"/>
      <c r="O33">
        <f t="shared" ref="O33:O96" si="35">COS(K33)*SIN(J33)</f>
        <v>8.6359966711598998E-2</v>
      </c>
      <c r="P33">
        <f t="shared" ref="P33:P96" si="36">SIN(K33)*SIN(J33)</f>
        <v>-2.5903283488584526E-2</v>
      </c>
      <c r="Q33">
        <f t="shared" ref="Q33:Q96" si="37">COS(J33)</f>
        <v>0.99592719415330833</v>
      </c>
      <c r="R33">
        <f t="shared" si="25"/>
        <v>1</v>
      </c>
      <c r="Z33" t="s">
        <v>35</v>
      </c>
      <c r="AG33" s="8">
        <f t="shared" si="26"/>
        <v>-0.63311366553515658</v>
      </c>
      <c r="AH33" s="8">
        <f t="shared" si="27"/>
        <v>-0.57907388756802336</v>
      </c>
      <c r="AI33" s="8">
        <f t="shared" si="28"/>
        <v>0.51365408520666334</v>
      </c>
      <c r="AJ33" s="8"/>
      <c r="AK33" s="8"/>
      <c r="AL33" s="8"/>
      <c r="AN33" s="8">
        <f t="shared" ref="AN33:AN96" si="38">AG33^2+AH33^2+AI33^2</f>
        <v>1</v>
      </c>
      <c r="AO33" s="8">
        <f t="shared" ref="AO33:AO96" si="39">IF(ATAN2(AG33,AH33)&gt;=0,ATAN2(AG33,AH33),ATAN2(AG33,AH33)+2*PI())</f>
        <v>3.8824399381023169</v>
      </c>
      <c r="AP33" s="8">
        <f t="shared" ref="AP33:AP96" si="40">ACOS(AI33/AN33)</f>
        <v>1.0313580855348681</v>
      </c>
      <c r="AQ33" s="8"/>
      <c r="AR33" s="8">
        <f t="shared" ref="AR33:AR96" si="41">DEGREES(AO33)</f>
        <v>222.44742266629532</v>
      </c>
      <c r="AS33" s="8">
        <f t="shared" ref="AS33:AS96" si="42">90-DEGREES(AP33)</f>
        <v>30.907534532159502</v>
      </c>
      <c r="AX33" s="6"/>
      <c r="AY33" s="6"/>
    </row>
    <row r="34" spans="1:53">
      <c r="A34" s="19">
        <v>8.0747333329999993</v>
      </c>
      <c r="B34" s="19">
        <v>1094.657496</v>
      </c>
      <c r="C34" s="19">
        <v>580.58508519999998</v>
      </c>
      <c r="E34" s="9">
        <f t="shared" si="22"/>
        <v>134.65749600000004</v>
      </c>
      <c r="F34" s="9">
        <f t="shared" si="23"/>
        <v>-40.58508519999998</v>
      </c>
      <c r="I34">
        <v>1</v>
      </c>
      <c r="J34">
        <f t="shared" si="24"/>
        <v>8.9980167062797753E-2</v>
      </c>
      <c r="K34">
        <f t="shared" si="34"/>
        <v>-0.29273604553148308</v>
      </c>
      <c r="O34">
        <f t="shared" si="35"/>
        <v>8.603601563884733E-2</v>
      </c>
      <c r="P34">
        <f t="shared" si="36"/>
        <v>-2.5930818028661016E-2</v>
      </c>
      <c r="Q34">
        <f t="shared" si="37"/>
        <v>0.99595451537173951</v>
      </c>
      <c r="R34">
        <f t="shared" si="25"/>
        <v>1</v>
      </c>
      <c r="Z34" t="s">
        <v>36</v>
      </c>
      <c r="AA34" t="s">
        <v>37</v>
      </c>
      <c r="AB34" t="s">
        <v>38</v>
      </c>
      <c r="AG34" s="8">
        <f t="shared" si="26"/>
        <v>-0.63335292027597512</v>
      </c>
      <c r="AH34" s="8">
        <f t="shared" si="27"/>
        <v>-0.57885820893704587</v>
      </c>
      <c r="AI34" s="8">
        <f t="shared" si="28"/>
        <v>0.51360223161907081</v>
      </c>
      <c r="AJ34" s="8"/>
      <c r="AK34" s="8"/>
      <c r="AL34" s="8"/>
      <c r="AN34" s="8">
        <f t="shared" si="38"/>
        <v>1</v>
      </c>
      <c r="AO34" s="8">
        <f t="shared" si="39"/>
        <v>3.8820662618500874</v>
      </c>
      <c r="AP34" s="8">
        <f t="shared" si="40"/>
        <v>1.0314185200439208</v>
      </c>
      <c r="AQ34" s="8"/>
      <c r="AR34" s="8">
        <f t="shared" si="41"/>
        <v>222.42601259413831</v>
      </c>
      <c r="AS34" s="8">
        <f t="shared" si="42"/>
        <v>30.904071889853839</v>
      </c>
      <c r="AX34" s="6"/>
      <c r="AY34" s="6"/>
    </row>
    <row r="35" spans="1:53">
      <c r="A35" s="19">
        <v>8.1081000000000003</v>
      </c>
      <c r="B35" s="19">
        <v>1094.375284</v>
      </c>
      <c r="C35" s="19">
        <v>580.40812270000004</v>
      </c>
      <c r="E35" s="9">
        <f t="shared" si="22"/>
        <v>134.37528399999997</v>
      </c>
      <c r="F35" s="9">
        <f t="shared" si="23"/>
        <v>-40.408122700000035</v>
      </c>
      <c r="I35">
        <v>1</v>
      </c>
      <c r="J35">
        <f t="shared" si="24"/>
        <v>8.97739044272063E-2</v>
      </c>
      <c r="K35">
        <f t="shared" si="34"/>
        <v>-0.29210893763701029</v>
      </c>
      <c r="O35">
        <f t="shared" si="35"/>
        <v>8.5855532316524152E-2</v>
      </c>
      <c r="P35">
        <f t="shared" si="36"/>
        <v>-2.5817700852784266E-2</v>
      </c>
      <c r="Q35">
        <f t="shared" si="37"/>
        <v>0.99597302869772653</v>
      </c>
      <c r="R35">
        <f t="shared" si="25"/>
        <v>1</v>
      </c>
      <c r="Z35">
        <f>$T$22</f>
        <v>-0.68390006292386918</v>
      </c>
      <c r="AA35">
        <f>$U$22</f>
        <v>-0.50550548207164836</v>
      </c>
      <c r="AB35">
        <f>$V$22</f>
        <v>0.52606550117664841</v>
      </c>
      <c r="AC35">
        <f>SQRT(Z35^2+AA35^2+AB35^2)</f>
        <v>1</v>
      </c>
      <c r="AG35" s="8">
        <f t="shared" si="26"/>
        <v>-0.63344673821912723</v>
      </c>
      <c r="AH35" s="8">
        <f t="shared" si="27"/>
        <v>-0.57868387831404733</v>
      </c>
      <c r="AI35" s="8">
        <f t="shared" si="28"/>
        <v>0.51368297501373483</v>
      </c>
      <c r="AJ35" s="8"/>
      <c r="AK35" s="8"/>
      <c r="AL35" s="8"/>
      <c r="AN35" s="8">
        <f t="shared" si="38"/>
        <v>1</v>
      </c>
      <c r="AO35" s="8">
        <f t="shared" si="39"/>
        <v>3.8818425094393829</v>
      </c>
      <c r="AP35" s="8">
        <f t="shared" si="40"/>
        <v>1.0313244139883202</v>
      </c>
      <c r="AQ35" s="8"/>
      <c r="AR35" s="8">
        <f t="shared" si="41"/>
        <v>222.41319252534907</v>
      </c>
      <c r="AS35" s="8">
        <f t="shared" si="42"/>
        <v>30.909463769666374</v>
      </c>
      <c r="AX35" s="6"/>
      <c r="AY35" s="6"/>
    </row>
    <row r="36" spans="1:53">
      <c r="A36" s="19">
        <v>8.1414666669999995</v>
      </c>
      <c r="B36" s="19">
        <v>1094.026987</v>
      </c>
      <c r="C36" s="19">
        <v>579.95544640000003</v>
      </c>
      <c r="E36" s="9">
        <f t="shared" si="22"/>
        <v>134.02698699999996</v>
      </c>
      <c r="F36" s="9">
        <f t="shared" si="23"/>
        <v>-39.955446400000028</v>
      </c>
      <c r="I36">
        <v>1</v>
      </c>
      <c r="J36">
        <f t="shared" si="24"/>
        <v>8.9476295229558064E-2</v>
      </c>
      <c r="K36">
        <f t="shared" si="34"/>
        <v>-0.28972648023550612</v>
      </c>
      <c r="O36">
        <f t="shared" si="35"/>
        <v>8.5632737424652758E-2</v>
      </c>
      <c r="P36">
        <f t="shared" si="36"/>
        <v>-2.552839787598889E-2</v>
      </c>
      <c r="Q36">
        <f t="shared" si="37"/>
        <v>0.99599966625649317</v>
      </c>
      <c r="R36">
        <f t="shared" si="25"/>
        <v>1</v>
      </c>
      <c r="AG36" s="8">
        <f t="shared" si="26"/>
        <v>-0.63351651861060199</v>
      </c>
      <c r="AH36" s="8">
        <f t="shared" si="27"/>
        <v>-0.57840553942549977</v>
      </c>
      <c r="AI36" s="8">
        <f t="shared" si="28"/>
        <v>0.51391035464310275</v>
      </c>
      <c r="AJ36" s="8"/>
      <c r="AK36" s="8"/>
      <c r="AL36" s="8"/>
      <c r="AN36" s="8">
        <f t="shared" si="38"/>
        <v>1</v>
      </c>
      <c r="AO36" s="8">
        <f t="shared" si="39"/>
        <v>3.8815480939031493</v>
      </c>
      <c r="AP36" s="8">
        <f t="shared" si="40"/>
        <v>1.0310593755779873</v>
      </c>
      <c r="AQ36" s="8"/>
      <c r="AR36" s="8">
        <f t="shared" si="41"/>
        <v>222.3963237576998</v>
      </c>
      <c r="AS36" s="8">
        <f t="shared" si="42"/>
        <v>30.924649351987298</v>
      </c>
      <c r="AX36" s="10"/>
      <c r="AY36" s="10"/>
      <c r="AZ36" s="8"/>
      <c r="BA36" s="8"/>
    </row>
    <row r="37" spans="1:53">
      <c r="A37" s="19">
        <v>8.1748333330000005</v>
      </c>
      <c r="B37" s="19">
        <v>1093.166667</v>
      </c>
      <c r="C37" s="19">
        <v>579.83333330000005</v>
      </c>
      <c r="E37" s="9">
        <f t="shared" si="22"/>
        <v>133.16666699999996</v>
      </c>
      <c r="F37" s="9">
        <f t="shared" si="23"/>
        <v>-39.833333300000049</v>
      </c>
      <c r="I37">
        <v>1</v>
      </c>
      <c r="J37">
        <f t="shared" si="24"/>
        <v>8.8924538852861029E-2</v>
      </c>
      <c r="K37">
        <f t="shared" si="34"/>
        <v>-0.29065284288991766</v>
      </c>
      <c r="O37">
        <f t="shared" si="35"/>
        <v>8.5082539705830088E-2</v>
      </c>
      <c r="P37">
        <f t="shared" si="36"/>
        <v>-2.5450221429006846E-2</v>
      </c>
      <c r="Q37">
        <f t="shared" si="37"/>
        <v>0.99604881791326894</v>
      </c>
      <c r="R37">
        <f t="shared" si="25"/>
        <v>1</v>
      </c>
      <c r="AG37" s="8">
        <f t="shared" si="26"/>
        <v>-0.63388416124864355</v>
      </c>
      <c r="AH37" s="8">
        <f t="shared" si="27"/>
        <v>-0.57798631628942843</v>
      </c>
      <c r="AI37" s="8">
        <f t="shared" si="28"/>
        <v>0.51392868016902937</v>
      </c>
      <c r="AJ37" s="8"/>
      <c r="AK37" s="8"/>
      <c r="AL37" s="8"/>
      <c r="AN37" s="8">
        <f t="shared" si="38"/>
        <v>1</v>
      </c>
      <c r="AO37" s="8">
        <f t="shared" si="39"/>
        <v>3.8808982230268882</v>
      </c>
      <c r="AP37" s="8">
        <f t="shared" si="40"/>
        <v>1.0310380131327834</v>
      </c>
      <c r="AQ37" s="8"/>
      <c r="AR37" s="8">
        <f t="shared" si="41"/>
        <v>222.35908889926156</v>
      </c>
      <c r="AS37" s="8">
        <f t="shared" si="42"/>
        <v>30.925873329937566</v>
      </c>
      <c r="AX37" s="10"/>
      <c r="AY37" s="10"/>
      <c r="AZ37" s="8"/>
      <c r="BA37" s="8"/>
    </row>
    <row r="38" spans="1:53" s="8" customFormat="1">
      <c r="A38" s="19">
        <v>8.2081999999999997</v>
      </c>
      <c r="B38" s="19">
        <v>1092.8227939999999</v>
      </c>
      <c r="C38" s="19">
        <v>579.82078769999998</v>
      </c>
      <c r="D38" s="3"/>
      <c r="E38" s="9">
        <f t="shared" si="22"/>
        <v>132.82279399999993</v>
      </c>
      <c r="F38" s="9">
        <f t="shared" si="23"/>
        <v>-39.820787699999983</v>
      </c>
      <c r="G38"/>
      <c r="H38"/>
      <c r="I38">
        <v>1</v>
      </c>
      <c r="J38">
        <f t="shared" si="24"/>
        <v>8.871069917386179E-2</v>
      </c>
      <c r="K38">
        <f t="shared" si="34"/>
        <v>-0.29127684922532904</v>
      </c>
      <c r="L38"/>
      <c r="M38"/>
      <c r="N38" s="3"/>
      <c r="O38">
        <f t="shared" si="35"/>
        <v>8.4862617109935368E-2</v>
      </c>
      <c r="P38">
        <f t="shared" si="36"/>
        <v>-2.5442141049985174E-2</v>
      </c>
      <c r="Q38">
        <f t="shared" si="37"/>
        <v>0.99606778568330634</v>
      </c>
      <c r="R38">
        <f t="shared" si="25"/>
        <v>1</v>
      </c>
      <c r="S38" s="3"/>
      <c r="Y38" s="3"/>
      <c r="AF38" s="3"/>
      <c r="AG38" s="8">
        <f t="shared" si="26"/>
        <v>-0.63403817558322706</v>
      </c>
      <c r="AH38" s="8">
        <f t="shared" si="27"/>
        <v>-0.57782847289920436</v>
      </c>
      <c r="AI38" s="8">
        <f t="shared" si="28"/>
        <v>0.51391618753456902</v>
      </c>
      <c r="AM38" s="3"/>
      <c r="AN38" s="8">
        <f t="shared" si="38"/>
        <v>1</v>
      </c>
      <c r="AO38" s="8">
        <f t="shared" si="39"/>
        <v>3.8806412903121097</v>
      </c>
      <c r="AP38" s="8">
        <f t="shared" si="40"/>
        <v>1.031052576085232</v>
      </c>
      <c r="AR38" s="8">
        <f t="shared" si="41"/>
        <v>222.34436773908592</v>
      </c>
      <c r="AS38" s="8">
        <f t="shared" si="42"/>
        <v>30.925038934225007</v>
      </c>
      <c r="AX38" s="10"/>
      <c r="AY38" s="10"/>
    </row>
    <row r="39" spans="1:53">
      <c r="A39" s="19">
        <v>8.2415666670000007</v>
      </c>
      <c r="B39" s="19">
        <v>1092</v>
      </c>
      <c r="C39" s="19">
        <v>579.33333330000005</v>
      </c>
      <c r="E39" s="9">
        <f t="shared" si="22"/>
        <v>132</v>
      </c>
      <c r="F39" s="9">
        <f t="shared" si="23"/>
        <v>-39.333333300000049</v>
      </c>
      <c r="I39">
        <v>1</v>
      </c>
      <c r="J39">
        <f t="shared" si="24"/>
        <v>8.8114833912270846E-2</v>
      </c>
      <c r="K39">
        <f t="shared" si="34"/>
        <v>-0.28960236892613617</v>
      </c>
      <c r="O39">
        <f t="shared" si="35"/>
        <v>8.4336278996447703E-2</v>
      </c>
      <c r="P39">
        <f t="shared" si="36"/>
        <v>-2.5130507356432359E-2</v>
      </c>
      <c r="Q39">
        <f t="shared" si="37"/>
        <v>0.99612039917122552</v>
      </c>
      <c r="R39">
        <f t="shared" si="25"/>
        <v>1</v>
      </c>
      <c r="AG39" s="8">
        <f t="shared" si="26"/>
        <v>-0.63431676016676375</v>
      </c>
      <c r="AH39" s="8">
        <f t="shared" si="27"/>
        <v>-0.57732731270808424</v>
      </c>
      <c r="AI39" s="8">
        <f t="shared" si="28"/>
        <v>0.51413560640438272</v>
      </c>
      <c r="AJ39" s="8"/>
      <c r="AK39" s="8"/>
      <c r="AL39" s="8"/>
      <c r="AN39" s="8">
        <f t="shared" si="38"/>
        <v>1</v>
      </c>
      <c r="AO39" s="8">
        <f t="shared" si="39"/>
        <v>3.8799906467074412</v>
      </c>
      <c r="AP39" s="8">
        <f t="shared" si="40"/>
        <v>1.0307967759551846</v>
      </c>
      <c r="AQ39" s="8"/>
      <c r="AR39" s="8">
        <f t="shared" si="41"/>
        <v>222.30708860657126</v>
      </c>
      <c r="AS39" s="8">
        <f t="shared" si="42"/>
        <v>30.939695202075626</v>
      </c>
      <c r="AX39" s="10"/>
      <c r="AY39" s="10"/>
      <c r="AZ39" s="8"/>
      <c r="BA39" s="8"/>
    </row>
    <row r="40" spans="1:53">
      <c r="A40" s="19">
        <v>8.2749333329999999</v>
      </c>
      <c r="B40" s="19">
        <v>1091.862351</v>
      </c>
      <c r="C40" s="19">
        <v>579.28916430000004</v>
      </c>
      <c r="E40" s="9">
        <f t="shared" si="22"/>
        <v>131.86235099999999</v>
      </c>
      <c r="F40" s="9">
        <f t="shared" si="23"/>
        <v>-39.289164300000039</v>
      </c>
      <c r="I40">
        <v>1</v>
      </c>
      <c r="J40">
        <f t="shared" si="24"/>
        <v>8.8022021950378379E-2</v>
      </c>
      <c r="K40">
        <f t="shared" si="34"/>
        <v>-0.28958041179867633</v>
      </c>
      <c r="O40">
        <f t="shared" si="35"/>
        <v>8.4248227866014783E-2</v>
      </c>
      <c r="P40">
        <f t="shared" si="36"/>
        <v>-2.5102255810771162E-2</v>
      </c>
      <c r="Q40">
        <f t="shared" si="37"/>
        <v>0.99612856241282766</v>
      </c>
      <c r="R40">
        <f t="shared" si="25"/>
        <v>1</v>
      </c>
      <c r="AG40" s="8">
        <f t="shared" si="26"/>
        <v>-0.63437068595012647</v>
      </c>
      <c r="AH40" s="8">
        <f t="shared" si="27"/>
        <v>-0.57725353087070697</v>
      </c>
      <c r="AI40" s="8">
        <f t="shared" si="28"/>
        <v>0.51415191714557273</v>
      </c>
      <c r="AJ40" s="8"/>
      <c r="AK40" s="8"/>
      <c r="AL40" s="8"/>
      <c r="AN40" s="8">
        <f t="shared" si="38"/>
        <v>1.0000000000000002</v>
      </c>
      <c r="AO40" s="8">
        <f t="shared" si="39"/>
        <v>3.879884708791578</v>
      </c>
      <c r="AP40" s="8">
        <f t="shared" si="40"/>
        <v>1.0307777592072855</v>
      </c>
      <c r="AQ40" s="8"/>
      <c r="AR40" s="8">
        <f t="shared" si="41"/>
        <v>222.30101881110187</v>
      </c>
      <c r="AS40" s="8">
        <f t="shared" si="42"/>
        <v>30.940784781470306</v>
      </c>
      <c r="AX40" s="8"/>
      <c r="AY40" s="8"/>
      <c r="AZ40" s="8"/>
      <c r="BA40" s="8"/>
    </row>
    <row r="41" spans="1:53">
      <c r="A41" s="19">
        <v>8.3082999999999991</v>
      </c>
      <c r="B41" s="19">
        <v>1091.0249659999999</v>
      </c>
      <c r="C41" s="19">
        <v>579.36891209999999</v>
      </c>
      <c r="E41" s="9">
        <f t="shared" si="22"/>
        <v>131.02496599999995</v>
      </c>
      <c r="F41" s="9">
        <f t="shared" si="23"/>
        <v>-39.368912099999989</v>
      </c>
      <c r="I41">
        <v>1</v>
      </c>
      <c r="J41">
        <f t="shared" si="24"/>
        <v>8.7521519948010024E-2</v>
      </c>
      <c r="K41">
        <f t="shared" si="34"/>
        <v>-0.29188681527920973</v>
      </c>
      <c r="O41">
        <f t="shared" si="35"/>
        <v>8.3712621002914378E-2</v>
      </c>
      <c r="P41">
        <f t="shared" si="36"/>
        <v>-2.5153029369413084E-2</v>
      </c>
      <c r="Q41">
        <f t="shared" si="37"/>
        <v>0.99617243597600302</v>
      </c>
      <c r="R41">
        <f t="shared" si="25"/>
        <v>1</v>
      </c>
      <c r="AG41" s="8">
        <f t="shared" si="26"/>
        <v>-0.63476707688496337</v>
      </c>
      <c r="AH41" s="8">
        <f t="shared" si="27"/>
        <v>-0.57689856230581915</v>
      </c>
      <c r="AI41" s="8">
        <f t="shared" si="28"/>
        <v>0.51406109258763966</v>
      </c>
      <c r="AJ41" s="8"/>
      <c r="AK41" s="8"/>
      <c r="AL41" s="8"/>
      <c r="AN41" s="8">
        <f t="shared" si="38"/>
        <v>1</v>
      </c>
      <c r="AO41" s="8">
        <f t="shared" si="39"/>
        <v>3.879267605158589</v>
      </c>
      <c r="AP41" s="8">
        <f t="shared" si="40"/>
        <v>1.0308836491072442</v>
      </c>
      <c r="AQ41" s="8"/>
      <c r="AR41" s="8">
        <f t="shared" si="41"/>
        <v>222.2656613774094</v>
      </c>
      <c r="AS41" s="8">
        <f t="shared" si="42"/>
        <v>30.934717737109615</v>
      </c>
      <c r="AX41" s="10"/>
      <c r="AY41" s="10"/>
      <c r="AZ41" s="8"/>
      <c r="BA41" s="8"/>
    </row>
    <row r="42" spans="1:53">
      <c r="A42" s="19">
        <v>8.3416666670000001</v>
      </c>
      <c r="B42" s="19">
        <v>1090.8096350000001</v>
      </c>
      <c r="C42" s="19">
        <v>579.55520509999997</v>
      </c>
      <c r="E42" s="9">
        <f t="shared" si="22"/>
        <v>130.80963500000007</v>
      </c>
      <c r="F42" s="9">
        <f t="shared" si="23"/>
        <v>-39.555205099999966</v>
      </c>
      <c r="I42">
        <v>1</v>
      </c>
      <c r="J42">
        <f t="shared" si="24"/>
        <v>8.7423647470313379E-2</v>
      </c>
      <c r="K42">
        <f t="shared" si="34"/>
        <v>-0.29364576579030122</v>
      </c>
      <c r="O42">
        <f t="shared" si="35"/>
        <v>8.357492372387465E-2</v>
      </c>
      <c r="P42">
        <f t="shared" si="36"/>
        <v>-2.5272016462049705E-2</v>
      </c>
      <c r="Q42">
        <f t="shared" si="37"/>
        <v>0.99618098622112361</v>
      </c>
      <c r="R42">
        <f t="shared" si="25"/>
        <v>1</v>
      </c>
      <c r="AG42" s="8">
        <f t="shared" si="26"/>
        <v>-0.6349015300520745</v>
      </c>
      <c r="AH42" s="8">
        <f t="shared" si="27"/>
        <v>-0.57685196868342614</v>
      </c>
      <c r="AI42" s="8">
        <f t="shared" si="28"/>
        <v>0.51394732547566624</v>
      </c>
      <c r="AJ42" s="8"/>
      <c r="AK42" s="8"/>
      <c r="AL42" s="8"/>
      <c r="AN42" s="8">
        <f t="shared" si="38"/>
        <v>1</v>
      </c>
      <c r="AO42" s="8">
        <f t="shared" si="39"/>
        <v>3.8791219922405662</v>
      </c>
      <c r="AP42" s="8">
        <f t="shared" si="40"/>
        <v>1.0310162776319771</v>
      </c>
      <c r="AQ42" s="8"/>
      <c r="AR42" s="8">
        <f t="shared" si="41"/>
        <v>222.25731837176411</v>
      </c>
      <c r="AS42" s="8">
        <f t="shared" si="42"/>
        <v>30.927118682399367</v>
      </c>
      <c r="AX42" s="10"/>
      <c r="AY42" s="10"/>
      <c r="AZ42" s="8"/>
      <c r="BA42" s="8"/>
    </row>
    <row r="43" spans="1:53">
      <c r="A43" s="19">
        <v>8.3750333329999993</v>
      </c>
      <c r="B43" s="19">
        <v>1090.4166620000001</v>
      </c>
      <c r="C43" s="19">
        <v>579.46798309999997</v>
      </c>
      <c r="E43" s="9">
        <f t="shared" si="22"/>
        <v>130.41666200000009</v>
      </c>
      <c r="F43" s="9">
        <f t="shared" si="23"/>
        <v>-39.467983099999969</v>
      </c>
      <c r="I43">
        <v>1</v>
      </c>
      <c r="J43">
        <f t="shared" si="24"/>
        <v>8.7165872391509455E-2</v>
      </c>
      <c r="K43">
        <f t="shared" si="34"/>
        <v>-0.29386780903709442</v>
      </c>
      <c r="O43">
        <f t="shared" si="35"/>
        <v>8.3323525211192448E-2</v>
      </c>
      <c r="P43">
        <f t="shared" si="36"/>
        <v>-2.5216191201610134E-2</v>
      </c>
      <c r="Q43">
        <f t="shared" si="37"/>
        <v>0.99620346006609695</v>
      </c>
      <c r="R43">
        <f t="shared" si="25"/>
        <v>1</v>
      </c>
      <c r="AG43" s="8">
        <f t="shared" si="26"/>
        <v>-0.63506299421788015</v>
      </c>
      <c r="AH43" s="8">
        <f t="shared" si="27"/>
        <v>-0.57665168498293884</v>
      </c>
      <c r="AI43" s="8">
        <f t="shared" si="28"/>
        <v>0.51397259419287922</v>
      </c>
      <c r="AJ43" s="8"/>
      <c r="AK43" s="8"/>
      <c r="AL43" s="8"/>
      <c r="AN43" s="8">
        <f t="shared" si="38"/>
        <v>1</v>
      </c>
      <c r="AO43" s="8">
        <f t="shared" si="39"/>
        <v>3.8788226067648672</v>
      </c>
      <c r="AP43" s="8">
        <f t="shared" si="40"/>
        <v>1.030986820532833</v>
      </c>
      <c r="AQ43" s="8"/>
      <c r="AR43" s="8">
        <f t="shared" si="41"/>
        <v>222.24016484755904</v>
      </c>
      <c r="AS43" s="8">
        <f t="shared" si="42"/>
        <v>30.928806449857028</v>
      </c>
      <c r="AX43" s="8"/>
      <c r="AY43" s="8"/>
      <c r="AZ43" s="8"/>
      <c r="BA43" s="8"/>
    </row>
    <row r="44" spans="1:53">
      <c r="A44" s="19">
        <v>8.4084000000000003</v>
      </c>
      <c r="B44" s="19">
        <v>1089.689408</v>
      </c>
      <c r="C44" s="19">
        <v>579.26870959999997</v>
      </c>
      <c r="E44" s="9">
        <f t="shared" si="22"/>
        <v>129.68940799999996</v>
      </c>
      <c r="F44" s="9">
        <f t="shared" si="23"/>
        <v>-39.268709599999966</v>
      </c>
      <c r="I44">
        <v>1</v>
      </c>
      <c r="J44">
        <f t="shared" si="24"/>
        <v>8.6681772043179076E-2</v>
      </c>
      <c r="K44">
        <f t="shared" si="34"/>
        <v>-0.29401483757704855</v>
      </c>
      <c r="O44">
        <f t="shared" si="35"/>
        <v>8.2858239419469307E-2</v>
      </c>
      <c r="P44">
        <f t="shared" si="36"/>
        <v>-2.508868065563543E-2</v>
      </c>
      <c r="Q44">
        <f t="shared" si="37"/>
        <v>0.99624548694750203</v>
      </c>
      <c r="R44">
        <f t="shared" si="25"/>
        <v>1</v>
      </c>
      <c r="AG44" s="8">
        <f t="shared" si="26"/>
        <v>-0.63535426816507412</v>
      </c>
      <c r="AH44" s="8">
        <f t="shared" si="27"/>
        <v>-0.57627070668073632</v>
      </c>
      <c r="AI44" s="8">
        <f t="shared" si="28"/>
        <v>0.51403990754231133</v>
      </c>
      <c r="AJ44" s="8"/>
      <c r="AK44" s="8"/>
      <c r="AL44" s="8"/>
      <c r="AN44" s="8">
        <f t="shared" si="38"/>
        <v>1.0000000000000002</v>
      </c>
      <c r="AO44" s="8">
        <f t="shared" si="39"/>
        <v>3.8782655121637122</v>
      </c>
      <c r="AP44" s="8">
        <f t="shared" si="40"/>
        <v>1.0309083472130802</v>
      </c>
      <c r="AQ44" s="8"/>
      <c r="AR44" s="8">
        <f t="shared" si="41"/>
        <v>222.20824567812335</v>
      </c>
      <c r="AS44" s="8">
        <f t="shared" si="42"/>
        <v>30.933302639883237</v>
      </c>
      <c r="AX44" s="8"/>
      <c r="AY44" s="8"/>
      <c r="AZ44" s="8"/>
      <c r="BA44" s="8"/>
    </row>
    <row r="45" spans="1:53">
      <c r="A45" s="19">
        <v>8.4417666669999996</v>
      </c>
      <c r="B45" s="19">
        <v>1088.6943220000001</v>
      </c>
      <c r="C45" s="19">
        <v>578.82495329999995</v>
      </c>
      <c r="E45" s="9">
        <f t="shared" si="22"/>
        <v>128.69432200000006</v>
      </c>
      <c r="F45" s="9">
        <f t="shared" si="23"/>
        <v>-38.824953299999947</v>
      </c>
      <c r="I45">
        <v>1</v>
      </c>
      <c r="J45">
        <f t="shared" si="24"/>
        <v>8.5987562121351238E-2</v>
      </c>
      <c r="K45">
        <f t="shared" si="34"/>
        <v>-0.29300057199496821</v>
      </c>
      <c r="O45">
        <f t="shared" si="35"/>
        <v>8.2221495034662626E-2</v>
      </c>
      <c r="P45">
        <f t="shared" si="36"/>
        <v>-2.4804868275206057E-2</v>
      </c>
      <c r="Q45">
        <f t="shared" si="37"/>
        <v>0.99630534690129746</v>
      </c>
      <c r="R45">
        <f t="shared" si="25"/>
        <v>1</v>
      </c>
      <c r="AG45" s="8">
        <f t="shared" si="26"/>
        <v>-0.63571897069670347</v>
      </c>
      <c r="AH45" s="8">
        <f t="shared" si="27"/>
        <v>-0.57570301052014172</v>
      </c>
      <c r="AI45" s="8">
        <f t="shared" si="28"/>
        <v>0.5142250810436706</v>
      </c>
      <c r="AJ45" s="8"/>
      <c r="AK45" s="8"/>
      <c r="AL45" s="8"/>
      <c r="AN45" s="8">
        <f t="shared" si="38"/>
        <v>1</v>
      </c>
      <c r="AO45" s="8">
        <f t="shared" si="39"/>
        <v>3.8774895428337586</v>
      </c>
      <c r="AP45" s="8">
        <f t="shared" si="40"/>
        <v>1.0306924545055325</v>
      </c>
      <c r="AQ45" s="8"/>
      <c r="AR45" s="8">
        <f t="shared" si="41"/>
        <v>222.16378591048542</v>
      </c>
      <c r="AS45" s="8">
        <f t="shared" si="42"/>
        <v>30.945672380853381</v>
      </c>
      <c r="AX45" s="8"/>
      <c r="AY45" s="8"/>
      <c r="AZ45" s="8"/>
      <c r="BA45" s="8"/>
    </row>
    <row r="46" spans="1:53">
      <c r="A46" s="19">
        <v>8.4751333330000005</v>
      </c>
      <c r="B46" s="19">
        <v>1088.982485</v>
      </c>
      <c r="C46" s="19">
        <v>578.74933439999995</v>
      </c>
      <c r="E46" s="9">
        <f t="shared" si="22"/>
        <v>128.982485</v>
      </c>
      <c r="F46" s="9">
        <f t="shared" si="23"/>
        <v>-38.749334399999952</v>
      </c>
      <c r="I46">
        <v>1</v>
      </c>
      <c r="J46">
        <f t="shared" si="24"/>
        <v>8.6150778997182056E-2</v>
      </c>
      <c r="K46">
        <f t="shared" si="34"/>
        <v>-0.29184503109827431</v>
      </c>
      <c r="O46">
        <f t="shared" si="35"/>
        <v>8.2405839740981895E-2</v>
      </c>
      <c r="P46">
        <f t="shared" si="36"/>
        <v>-2.4756628317682928E-2</v>
      </c>
      <c r="Q46">
        <f t="shared" si="37"/>
        <v>0.99629131629806134</v>
      </c>
      <c r="R46">
        <f t="shared" si="25"/>
        <v>1</v>
      </c>
      <c r="AG46" s="8">
        <f t="shared" si="26"/>
        <v>-0.635573278830174</v>
      </c>
      <c r="AH46" s="8">
        <f t="shared" si="27"/>
        <v>-0.57581235234260875</v>
      </c>
      <c r="AI46" s="8">
        <f t="shared" si="28"/>
        <v>0.51428274531305562</v>
      </c>
      <c r="AJ46" s="8"/>
      <c r="AK46" s="8"/>
      <c r="AL46" s="8"/>
      <c r="AN46" s="8">
        <f t="shared" si="38"/>
        <v>1</v>
      </c>
      <c r="AO46" s="8">
        <f t="shared" si="39"/>
        <v>3.8776980771228486</v>
      </c>
      <c r="AP46" s="8">
        <f t="shared" si="40"/>
        <v>1.0306252183634341</v>
      </c>
      <c r="AQ46" s="8"/>
      <c r="AR46" s="8">
        <f t="shared" si="41"/>
        <v>222.17573404513402</v>
      </c>
      <c r="AS46" s="8">
        <f t="shared" si="42"/>
        <v>30.949524728026354</v>
      </c>
    </row>
    <row r="47" spans="1:53">
      <c r="A47" s="19">
        <v>8.5084999999999997</v>
      </c>
      <c r="B47" s="19">
        <v>1088.282841</v>
      </c>
      <c r="C47" s="19">
        <v>578.45267360000003</v>
      </c>
      <c r="E47" s="9">
        <f t="shared" si="22"/>
        <v>128.28284099999996</v>
      </c>
      <c r="F47" s="9">
        <f t="shared" si="23"/>
        <v>-38.452673600000026</v>
      </c>
      <c r="I47">
        <v>1</v>
      </c>
      <c r="J47">
        <f t="shared" si="24"/>
        <v>8.5665621750222687E-2</v>
      </c>
      <c r="K47">
        <f t="shared" si="34"/>
        <v>-0.29122664849216034</v>
      </c>
      <c r="O47">
        <f t="shared" si="35"/>
        <v>8.1958118465669208E-2</v>
      </c>
      <c r="P47">
        <f t="shared" si="36"/>
        <v>-2.4566877016938795E-2</v>
      </c>
      <c r="Q47">
        <f t="shared" si="37"/>
        <v>0.99633294403587902</v>
      </c>
      <c r="R47">
        <f t="shared" si="25"/>
        <v>1</v>
      </c>
      <c r="AG47" s="8">
        <f t="shared" si="26"/>
        <v>-0.63583258653872043</v>
      </c>
      <c r="AH47" s="8">
        <f t="shared" si="27"/>
        <v>-0.5754172114297329</v>
      </c>
      <c r="AI47" s="8">
        <f t="shared" si="28"/>
        <v>0.51440446604390111</v>
      </c>
      <c r="AJ47" s="8"/>
      <c r="AK47" s="8"/>
      <c r="AL47" s="8"/>
      <c r="AN47" s="8">
        <f t="shared" si="38"/>
        <v>1.0000000000000004</v>
      </c>
      <c r="AO47" s="8">
        <f t="shared" si="39"/>
        <v>3.877153576132053</v>
      </c>
      <c r="AP47" s="8">
        <f t="shared" si="40"/>
        <v>1.0304832839254461</v>
      </c>
      <c r="AQ47" s="8"/>
      <c r="AR47" s="8">
        <f t="shared" si="41"/>
        <v>222.14453643642074</v>
      </c>
      <c r="AS47" s="8">
        <f t="shared" si="42"/>
        <v>30.957656972290629</v>
      </c>
    </row>
    <row r="48" spans="1:53">
      <c r="A48" s="19">
        <v>8.5418666670000007</v>
      </c>
      <c r="B48" s="19">
        <v>1087.531931</v>
      </c>
      <c r="C48" s="19">
        <v>578.58477310000001</v>
      </c>
      <c r="E48" s="9">
        <f t="shared" si="22"/>
        <v>127.53193099999999</v>
      </c>
      <c r="F48" s="9">
        <f t="shared" si="23"/>
        <v>-38.584773100000007</v>
      </c>
      <c r="I48">
        <v>1</v>
      </c>
      <c r="J48">
        <f t="shared" si="24"/>
        <v>8.522827797332605E-2</v>
      </c>
      <c r="K48">
        <f t="shared" si="34"/>
        <v>-0.29379450831821152</v>
      </c>
      <c r="O48">
        <f t="shared" si="35"/>
        <v>8.1477686813053396E-2</v>
      </c>
      <c r="P48">
        <f t="shared" si="36"/>
        <v>-2.4651066080027661E-2</v>
      </c>
      <c r="Q48">
        <f t="shared" si="37"/>
        <v>0.99637026827014064</v>
      </c>
      <c r="R48">
        <f t="shared" si="25"/>
        <v>1</v>
      </c>
      <c r="AG48" s="8">
        <f t="shared" si="26"/>
        <v>-0.6361993095747791</v>
      </c>
      <c r="AH48" s="8">
        <f t="shared" si="27"/>
        <v>-0.57511458091560219</v>
      </c>
      <c r="AI48" s="8">
        <f t="shared" si="28"/>
        <v>0.51428946840747736</v>
      </c>
      <c r="AJ48" s="8"/>
      <c r="AK48" s="8"/>
      <c r="AL48" s="8"/>
      <c r="AN48" s="8">
        <f t="shared" si="38"/>
        <v>1</v>
      </c>
      <c r="AO48" s="8">
        <f t="shared" si="39"/>
        <v>3.8766050104237717</v>
      </c>
      <c r="AP48" s="8">
        <f t="shared" si="40"/>
        <v>1.0306173791050566</v>
      </c>
      <c r="AQ48" s="8"/>
      <c r="AR48" s="8">
        <f t="shared" si="41"/>
        <v>222.11310593655062</v>
      </c>
      <c r="AS48" s="8">
        <f t="shared" si="42"/>
        <v>30.949973884445903</v>
      </c>
    </row>
    <row r="49" spans="1:45">
      <c r="A49" s="19">
        <v>8.5752333329999999</v>
      </c>
      <c r="B49" s="19">
        <v>1087.1425959999999</v>
      </c>
      <c r="C49" s="19">
        <v>578.5687504</v>
      </c>
      <c r="E49" s="9">
        <f t="shared" si="22"/>
        <v>127.14259599999991</v>
      </c>
      <c r="F49" s="9">
        <f t="shared" si="23"/>
        <v>-38.568750399999999</v>
      </c>
      <c r="I49">
        <v>1</v>
      </c>
      <c r="J49">
        <f t="shared" si="24"/>
        <v>8.4985967368141596E-2</v>
      </c>
      <c r="K49">
        <f t="shared" si="34"/>
        <v>-0.29452766441769468</v>
      </c>
      <c r="O49">
        <f t="shared" si="35"/>
        <v>8.1228554541870474E-2</v>
      </c>
      <c r="P49">
        <f t="shared" si="36"/>
        <v>-2.4640710069174537E-2</v>
      </c>
      <c r="Q49">
        <f t="shared" si="37"/>
        <v>0.99639086574211688</v>
      </c>
      <c r="R49">
        <f t="shared" si="25"/>
        <v>1</v>
      </c>
      <c r="AG49" s="8">
        <f t="shared" si="26"/>
        <v>-0.6363727808071602</v>
      </c>
      <c r="AH49" s="8">
        <f t="shared" si="27"/>
        <v>-0.57493480078654391</v>
      </c>
      <c r="AI49" s="8">
        <f t="shared" si="28"/>
        <v>0.51427585855482183</v>
      </c>
      <c r="AJ49" s="8"/>
      <c r="AK49" s="8"/>
      <c r="AL49" s="8"/>
      <c r="AN49" s="8">
        <f t="shared" si="38"/>
        <v>1</v>
      </c>
      <c r="AO49" s="8">
        <f t="shared" si="39"/>
        <v>3.8763138643358599</v>
      </c>
      <c r="AP49" s="8">
        <f t="shared" si="40"/>
        <v>1.0306332484187797</v>
      </c>
      <c r="AQ49" s="8"/>
      <c r="AR49" s="8">
        <f t="shared" si="41"/>
        <v>222.09642449449154</v>
      </c>
      <c r="AS49" s="8">
        <f t="shared" si="42"/>
        <v>30.949064639745799</v>
      </c>
    </row>
    <row r="50" spans="1:45">
      <c r="A50" s="19">
        <v>8.6085999999999991</v>
      </c>
      <c r="B50" s="19">
        <v>1086.7429529999999</v>
      </c>
      <c r="C50" s="19">
        <v>578.65243499999997</v>
      </c>
      <c r="E50" s="9">
        <f t="shared" si="22"/>
        <v>126.74295299999994</v>
      </c>
      <c r="F50" s="9">
        <f t="shared" si="23"/>
        <v>-38.652434999999969</v>
      </c>
      <c r="I50">
        <v>1</v>
      </c>
      <c r="J50">
        <f t="shared" si="24"/>
        <v>8.4756024239087305E-2</v>
      </c>
      <c r="K50">
        <f t="shared" si="34"/>
        <v>-0.29600754440710408</v>
      </c>
      <c r="O50">
        <f t="shared" si="35"/>
        <v>8.0972849363394009E-2</v>
      </c>
      <c r="P50">
        <f t="shared" si="36"/>
        <v>-2.4694057718407249E-2</v>
      </c>
      <c r="Q50">
        <f t="shared" si="37"/>
        <v>0.99641035782421139</v>
      </c>
      <c r="R50">
        <f t="shared" si="25"/>
        <v>1</v>
      </c>
      <c r="AG50" s="8">
        <f t="shared" si="26"/>
        <v>-0.63657048414824491</v>
      </c>
      <c r="AH50" s="8">
        <f t="shared" si="27"/>
        <v>-0.57477725117258016</v>
      </c>
      <c r="AI50" s="8">
        <f t="shared" si="28"/>
        <v>0.51420728334569676</v>
      </c>
      <c r="AJ50" s="8"/>
      <c r="AK50" s="8"/>
      <c r="AL50" s="8"/>
      <c r="AN50" s="8">
        <f t="shared" si="38"/>
        <v>1</v>
      </c>
      <c r="AO50" s="8">
        <f t="shared" si="39"/>
        <v>3.8760230272888334</v>
      </c>
      <c r="AP50" s="8">
        <f t="shared" si="40"/>
        <v>1.0307132059517516</v>
      </c>
      <c r="AQ50" s="8"/>
      <c r="AR50" s="8">
        <f t="shared" si="41"/>
        <v>222.07976075917085</v>
      </c>
      <c r="AS50" s="8">
        <f t="shared" si="42"/>
        <v>30.944483410566228</v>
      </c>
    </row>
    <row r="51" spans="1:45">
      <c r="A51" s="19">
        <v>8.6419666670000002</v>
      </c>
      <c r="B51" s="19">
        <v>1085.916667</v>
      </c>
      <c r="C51" s="19">
        <v>578.5</v>
      </c>
      <c r="E51" s="9">
        <f t="shared" si="22"/>
        <v>125.91666699999996</v>
      </c>
      <c r="F51" s="9">
        <f t="shared" si="23"/>
        <v>-38.5</v>
      </c>
      <c r="I51">
        <v>1</v>
      </c>
      <c r="J51">
        <f t="shared" si="24"/>
        <v>8.4219826400438541E-2</v>
      </c>
      <c r="K51">
        <f t="shared" si="34"/>
        <v>-0.29673075065899329</v>
      </c>
      <c r="O51">
        <f t="shared" si="35"/>
        <v>8.0444033662359207E-2</v>
      </c>
      <c r="P51">
        <f t="shared" si="36"/>
        <v>-2.4596388784662079E-2</v>
      </c>
      <c r="Q51">
        <f t="shared" si="37"/>
        <v>0.99645560618970019</v>
      </c>
      <c r="R51">
        <f t="shared" si="25"/>
        <v>1</v>
      </c>
      <c r="AG51" s="8">
        <f t="shared" si="26"/>
        <v>-0.63691515708312385</v>
      </c>
      <c r="AH51" s="8">
        <f t="shared" si="27"/>
        <v>-0.57436351972328981</v>
      </c>
      <c r="AI51" s="8">
        <f t="shared" si="28"/>
        <v>0.51424277329764567</v>
      </c>
      <c r="AJ51" s="8"/>
      <c r="AK51" s="8"/>
      <c r="AL51" s="8"/>
      <c r="AN51" s="8">
        <f t="shared" si="38"/>
        <v>1</v>
      </c>
      <c r="AO51" s="8">
        <f t="shared" si="39"/>
        <v>3.8753956529019202</v>
      </c>
      <c r="AP51" s="8">
        <f t="shared" si="40"/>
        <v>1.030671825747147</v>
      </c>
      <c r="AQ51" s="8"/>
      <c r="AR51" s="8">
        <f t="shared" si="41"/>
        <v>222.04381485462613</v>
      </c>
      <c r="AS51" s="8">
        <f t="shared" si="42"/>
        <v>30.946854321645461</v>
      </c>
    </row>
    <row r="52" spans="1:45">
      <c r="A52" s="19">
        <v>8.6753333329999993</v>
      </c>
      <c r="B52" s="19">
        <v>1085.7661459999999</v>
      </c>
      <c r="C52" s="19">
        <v>578.49029380000002</v>
      </c>
      <c r="E52" s="9">
        <f t="shared" si="22"/>
        <v>125.76614599999994</v>
      </c>
      <c r="F52" s="9">
        <f t="shared" si="23"/>
        <v>-38.490293800000018</v>
      </c>
      <c r="I52">
        <v>1</v>
      </c>
      <c r="J52">
        <f t="shared" si="24"/>
        <v>8.4125546956266187E-2</v>
      </c>
      <c r="K52">
        <f t="shared" si="34"/>
        <v>-0.29699480565736153</v>
      </c>
      <c r="O52">
        <f t="shared" si="35"/>
        <v>8.0347703319570071E-2</v>
      </c>
      <c r="P52">
        <f t="shared" si="36"/>
        <v>-2.4590136577179449E-2</v>
      </c>
      <c r="Q52">
        <f t="shared" si="37"/>
        <v>0.99646353257627351</v>
      </c>
      <c r="R52">
        <f t="shared" si="25"/>
        <v>1</v>
      </c>
      <c r="AG52" s="8">
        <f t="shared" si="26"/>
        <v>-0.63698147590617293</v>
      </c>
      <c r="AH52" s="8">
        <f t="shared" si="27"/>
        <v>-0.57429300911495407</v>
      </c>
      <c r="AI52" s="8">
        <f t="shared" si="28"/>
        <v>0.51423937911646267</v>
      </c>
      <c r="AJ52" s="8"/>
      <c r="AK52" s="8"/>
      <c r="AL52" s="8"/>
      <c r="AN52" s="8">
        <f t="shared" si="38"/>
        <v>1.0000000000000002</v>
      </c>
      <c r="AO52" s="8">
        <f t="shared" si="39"/>
        <v>3.8752828125811924</v>
      </c>
      <c r="AP52" s="8">
        <f t="shared" si="40"/>
        <v>1.0306757833035776</v>
      </c>
      <c r="AQ52" s="8"/>
      <c r="AR52" s="8">
        <f t="shared" si="41"/>
        <v>222.03734958048952</v>
      </c>
      <c r="AS52" s="8">
        <f t="shared" si="42"/>
        <v>30.946627570364804</v>
      </c>
    </row>
    <row r="53" spans="1:45">
      <c r="A53" s="19">
        <v>8.7087000000000003</v>
      </c>
      <c r="B53" s="19">
        <v>1085.0154359999999</v>
      </c>
      <c r="C53" s="19">
        <v>577.89572290000001</v>
      </c>
      <c r="E53" s="9">
        <f t="shared" si="22"/>
        <v>125.01543599999991</v>
      </c>
      <c r="F53" s="9">
        <f t="shared" si="23"/>
        <v>-37.89572290000001</v>
      </c>
      <c r="I53">
        <v>1</v>
      </c>
      <c r="J53">
        <f t="shared" si="24"/>
        <v>8.3552972494817912E-2</v>
      </c>
      <c r="K53">
        <f t="shared" si="34"/>
        <v>-0.29432436391164674</v>
      </c>
      <c r="O53">
        <f t="shared" si="35"/>
        <v>7.9867055124966113E-2</v>
      </c>
      <c r="P53">
        <f t="shared" si="36"/>
        <v>-2.4209968678225814E-2</v>
      </c>
      <c r="Q53">
        <f t="shared" si="37"/>
        <v>0.99651148057725103</v>
      </c>
      <c r="R53">
        <f t="shared" si="25"/>
        <v>1</v>
      </c>
      <c r="AG53" s="8">
        <f t="shared" si="26"/>
        <v>-0.63720475878676508</v>
      </c>
      <c r="AH53" s="8">
        <f t="shared" si="27"/>
        <v>-0.57379375754974093</v>
      </c>
      <c r="AI53" s="8">
        <f t="shared" si="28"/>
        <v>0.51451998909318342</v>
      </c>
      <c r="AJ53" s="8"/>
      <c r="AK53" s="8"/>
      <c r="AL53" s="8"/>
      <c r="AN53" s="8">
        <f t="shared" si="38"/>
        <v>0.99999999999999989</v>
      </c>
      <c r="AO53" s="8">
        <f t="shared" si="39"/>
        <v>3.8746760195055447</v>
      </c>
      <c r="AP53" s="8">
        <f t="shared" si="40"/>
        <v>1.0303485652169617</v>
      </c>
      <c r="AQ53" s="8"/>
      <c r="AR53" s="8">
        <f t="shared" si="41"/>
        <v>222.00258289821716</v>
      </c>
      <c r="AS53" s="8">
        <f t="shared" si="42"/>
        <v>30.96537578570824</v>
      </c>
    </row>
    <row r="54" spans="1:45">
      <c r="A54" s="19">
        <v>8.7420666669999996</v>
      </c>
      <c r="B54" s="19">
        <v>1084.8176309999999</v>
      </c>
      <c r="C54" s="19">
        <v>577.74225160000003</v>
      </c>
      <c r="E54" s="9">
        <f t="shared" si="22"/>
        <v>124.81763099999989</v>
      </c>
      <c r="F54" s="9">
        <f t="shared" si="23"/>
        <v>-37.742251600000031</v>
      </c>
      <c r="I54">
        <v>1</v>
      </c>
      <c r="J54">
        <f t="shared" si="24"/>
        <v>8.3402795228677273E-2</v>
      </c>
      <c r="K54">
        <f t="shared" si="34"/>
        <v>-0.29363808697449945</v>
      </c>
      <c r="O54">
        <f t="shared" si="35"/>
        <v>7.9740402369649591E-2</v>
      </c>
      <c r="P54">
        <f t="shared" si="36"/>
        <v>-2.4111836643659387E-2</v>
      </c>
      <c r="Q54">
        <f t="shared" si="37"/>
        <v>0.99652400250249662</v>
      </c>
      <c r="R54">
        <f t="shared" si="25"/>
        <v>1</v>
      </c>
      <c r="AG54" s="8">
        <f t="shared" si="26"/>
        <v>-0.63726418166631693</v>
      </c>
      <c r="AH54" s="8">
        <f t="shared" si="27"/>
        <v>-0.5736630341323804</v>
      </c>
      <c r="AI54" s="8">
        <f t="shared" si="28"/>
        <v>0.51459215504629574</v>
      </c>
      <c r="AJ54" s="8"/>
      <c r="AK54" s="8"/>
      <c r="AL54" s="8"/>
      <c r="AN54" s="8">
        <f t="shared" si="38"/>
        <v>1.0000000000000002</v>
      </c>
      <c r="AO54" s="8">
        <f t="shared" si="39"/>
        <v>3.874516350103165</v>
      </c>
      <c r="AP54" s="8">
        <f t="shared" si="40"/>
        <v>1.0302644024243772</v>
      </c>
      <c r="AQ54" s="8"/>
      <c r="AR54" s="8">
        <f t="shared" si="41"/>
        <v>221.99343451534341</v>
      </c>
      <c r="AS54" s="8">
        <f t="shared" si="42"/>
        <v>30.970197958515364</v>
      </c>
    </row>
    <row r="55" spans="1:45">
      <c r="A55" s="19">
        <v>8.7754333330000005</v>
      </c>
      <c r="B55" s="19">
        <v>1083.8811109999999</v>
      </c>
      <c r="C55" s="19">
        <v>577.45916729999999</v>
      </c>
      <c r="E55" s="9">
        <f t="shared" si="22"/>
        <v>123.88111099999992</v>
      </c>
      <c r="F55" s="9">
        <f t="shared" si="23"/>
        <v>-37.45916729999999</v>
      </c>
      <c r="I55">
        <v>1</v>
      </c>
      <c r="J55">
        <f t="shared" si="24"/>
        <v>8.2774314046314273E-2</v>
      </c>
      <c r="K55">
        <f t="shared" si="34"/>
        <v>-0.29363882539106639</v>
      </c>
      <c r="O55">
        <f t="shared" si="35"/>
        <v>7.9140879643348552E-2</v>
      </c>
      <c r="P55">
        <f t="shared" si="36"/>
        <v>-2.3930617241795311E-2</v>
      </c>
      <c r="Q55">
        <f t="shared" si="37"/>
        <v>0.9965761620306316</v>
      </c>
      <c r="R55">
        <f t="shared" si="25"/>
        <v>1</v>
      </c>
      <c r="AG55" s="8">
        <f t="shared" si="26"/>
        <v>-0.63763262987670666</v>
      </c>
      <c r="AH55" s="8">
        <f t="shared" si="27"/>
        <v>-0.5731637800143099</v>
      </c>
      <c r="AI55" s="8">
        <f t="shared" si="28"/>
        <v>0.51469205414133101</v>
      </c>
      <c r="AJ55" s="8"/>
      <c r="AK55" s="8"/>
      <c r="AL55" s="8"/>
      <c r="AN55" s="8">
        <f t="shared" si="38"/>
        <v>1.0000000000000002</v>
      </c>
      <c r="AO55" s="8">
        <f t="shared" si="39"/>
        <v>3.8737960527310751</v>
      </c>
      <c r="AP55" s="8">
        <f t="shared" si="40"/>
        <v>1.0301478891271705</v>
      </c>
      <c r="AQ55" s="8"/>
      <c r="AR55" s="8">
        <f t="shared" si="41"/>
        <v>221.9521645159283</v>
      </c>
      <c r="AS55" s="8">
        <f t="shared" si="42"/>
        <v>30.976873678702468</v>
      </c>
    </row>
    <row r="56" spans="1:45">
      <c r="A56" s="19">
        <v>8.8087999999999997</v>
      </c>
      <c r="B56" s="19">
        <v>1083.0656630000001</v>
      </c>
      <c r="C56" s="19">
        <v>577.47729630000003</v>
      </c>
      <c r="E56" s="9">
        <f t="shared" si="22"/>
        <v>123.06566300000009</v>
      </c>
      <c r="F56" s="9">
        <f t="shared" si="23"/>
        <v>-37.477296300000035</v>
      </c>
      <c r="I56">
        <v>1</v>
      </c>
      <c r="J56">
        <f t="shared" si="24"/>
        <v>8.227642562460602E-2</v>
      </c>
      <c r="K56">
        <f t="shared" si="34"/>
        <v>-0.29560837636271886</v>
      </c>
      <c r="O56">
        <f t="shared" si="35"/>
        <v>7.8618922015040629E-2</v>
      </c>
      <c r="P56">
        <f t="shared" si="36"/>
        <v>-2.3941890559223421E-2</v>
      </c>
      <c r="Q56">
        <f t="shared" si="37"/>
        <v>0.99661720383387076</v>
      </c>
      <c r="R56">
        <f t="shared" si="25"/>
        <v>1</v>
      </c>
      <c r="AG56" s="8">
        <f t="shared" si="26"/>
        <v>-0.63800533591082265</v>
      </c>
      <c r="AH56" s="8">
        <f t="shared" si="27"/>
        <v>-0.57280038490777108</v>
      </c>
      <c r="AI56" s="8">
        <f t="shared" si="28"/>
        <v>0.51463473493228939</v>
      </c>
      <c r="AJ56" s="8"/>
      <c r="AK56" s="8"/>
      <c r="AL56" s="8"/>
      <c r="AN56" s="8">
        <f t="shared" si="38"/>
        <v>1</v>
      </c>
      <c r="AO56" s="8">
        <f t="shared" si="39"/>
        <v>3.8731902560699902</v>
      </c>
      <c r="AP56" s="8">
        <f t="shared" si="40"/>
        <v>1.0302147420808643</v>
      </c>
      <c r="AQ56" s="8"/>
      <c r="AR56" s="8">
        <f t="shared" si="41"/>
        <v>221.91745492400503</v>
      </c>
      <c r="AS56" s="8">
        <f t="shared" si="42"/>
        <v>30.973043286607826</v>
      </c>
    </row>
    <row r="57" spans="1:45">
      <c r="A57" s="19">
        <v>8.8421666670000008</v>
      </c>
      <c r="B57" s="19">
        <v>1082.4350159999999</v>
      </c>
      <c r="C57" s="19">
        <v>577.34071180000001</v>
      </c>
      <c r="E57" s="9">
        <f t="shared" si="22"/>
        <v>122.43501599999991</v>
      </c>
      <c r="F57" s="9">
        <f t="shared" si="23"/>
        <v>-37.340711800000008</v>
      </c>
      <c r="I57">
        <v>1</v>
      </c>
      <c r="J57">
        <f t="shared" si="24"/>
        <v>8.1863307562516641E-2</v>
      </c>
      <c r="K57">
        <f t="shared" si="34"/>
        <v>-0.29602290798739922</v>
      </c>
      <c r="O57">
        <f t="shared" si="35"/>
        <v>7.8215171423395111E-2</v>
      </c>
      <c r="P57">
        <f t="shared" si="36"/>
        <v>-2.3854370015425942E-2</v>
      </c>
      <c r="Q57">
        <f t="shared" si="37"/>
        <v>0.99665107033022149</v>
      </c>
      <c r="R57">
        <f t="shared" si="25"/>
        <v>1</v>
      </c>
      <c r="AG57" s="8">
        <f t="shared" si="26"/>
        <v>-0.63826382115228153</v>
      </c>
      <c r="AH57" s="8">
        <f t="shared" si="27"/>
        <v>-0.57247852825248935</v>
      </c>
      <c r="AI57" s="8">
        <f t="shared" si="28"/>
        <v>0.51467235140228007</v>
      </c>
      <c r="AJ57" s="8"/>
      <c r="AK57" s="8"/>
      <c r="AL57" s="8"/>
      <c r="AN57" s="8">
        <f t="shared" si="38"/>
        <v>1</v>
      </c>
      <c r="AO57" s="8">
        <f t="shared" si="39"/>
        <v>3.8727095167568724</v>
      </c>
      <c r="AP57" s="8">
        <f t="shared" si="40"/>
        <v>1.0301708692706171</v>
      </c>
      <c r="AQ57" s="8"/>
      <c r="AR57" s="8">
        <f t="shared" si="41"/>
        <v>221.88991059031736</v>
      </c>
      <c r="AS57" s="8">
        <f t="shared" si="42"/>
        <v>30.975557013470372</v>
      </c>
    </row>
    <row r="58" spans="1:45">
      <c r="A58" s="19">
        <v>8.8755333329999999</v>
      </c>
      <c r="B58" s="19">
        <v>1081.5326439999999</v>
      </c>
      <c r="C58" s="19">
        <v>577.55351629999996</v>
      </c>
      <c r="E58" s="9">
        <f t="shared" si="22"/>
        <v>121.53264399999989</v>
      </c>
      <c r="F58" s="9">
        <f t="shared" si="23"/>
        <v>-37.553516299999956</v>
      </c>
      <c r="I58">
        <v>1</v>
      </c>
      <c r="J58">
        <f t="shared" si="24"/>
        <v>8.1349243447381925E-2</v>
      </c>
      <c r="K58">
        <f t="shared" si="34"/>
        <v>-0.29969255567708286</v>
      </c>
      <c r="O58">
        <f t="shared" si="35"/>
        <v>7.7637591490396493E-2</v>
      </c>
      <c r="P58">
        <f t="shared" si="36"/>
        <v>-2.3989970608451053E-2</v>
      </c>
      <c r="Q58">
        <f t="shared" si="37"/>
        <v>0.99669297464052387</v>
      </c>
      <c r="R58">
        <f t="shared" si="25"/>
        <v>1</v>
      </c>
      <c r="AG58" s="8">
        <f t="shared" si="26"/>
        <v>-0.63871384096805917</v>
      </c>
      <c r="AH58" s="8">
        <f t="shared" si="27"/>
        <v>-0.57212814910523624</v>
      </c>
      <c r="AI58" s="8">
        <f t="shared" si="28"/>
        <v>0.51450365436724099</v>
      </c>
      <c r="AJ58" s="8"/>
      <c r="AK58" s="8"/>
      <c r="AL58" s="8"/>
      <c r="AN58" s="8">
        <f t="shared" si="38"/>
        <v>1</v>
      </c>
      <c r="AO58" s="8">
        <f t="shared" si="39"/>
        <v>3.8720549172062979</v>
      </c>
      <c r="AP58" s="8">
        <f t="shared" si="40"/>
        <v>1.0303676148313565</v>
      </c>
      <c r="AQ58" s="8"/>
      <c r="AR58" s="8">
        <f t="shared" si="41"/>
        <v>221.85240479879826</v>
      </c>
      <c r="AS58" s="8">
        <f t="shared" si="42"/>
        <v>30.964284323202065</v>
      </c>
    </row>
    <row r="59" spans="1:45">
      <c r="A59" s="19">
        <v>8.9088999999999992</v>
      </c>
      <c r="B59" s="19">
        <v>1080.9695449999999</v>
      </c>
      <c r="C59" s="19">
        <v>577.40482169999996</v>
      </c>
      <c r="E59" s="9">
        <f t="shared" si="22"/>
        <v>120.96954499999993</v>
      </c>
      <c r="F59" s="9">
        <f t="shared" si="23"/>
        <v>-37.404821699999957</v>
      </c>
      <c r="I59">
        <v>1</v>
      </c>
      <c r="J59">
        <f t="shared" si="24"/>
        <v>8.0975407010836498E-2</v>
      </c>
      <c r="K59">
        <f t="shared" si="34"/>
        <v>-0.29988347938373489</v>
      </c>
      <c r="O59">
        <f t="shared" si="35"/>
        <v>7.727703305794803E-2</v>
      </c>
      <c r="P59">
        <f t="shared" si="36"/>
        <v>-2.3894721956981405E-2</v>
      </c>
      <c r="Q59">
        <f t="shared" si="37"/>
        <v>0.99672328277429101</v>
      </c>
      <c r="R59">
        <f t="shared" si="25"/>
        <v>1</v>
      </c>
      <c r="AG59" s="8">
        <f t="shared" si="26"/>
        <v>-0.63893916633404979</v>
      </c>
      <c r="AH59" s="8">
        <f t="shared" si="27"/>
        <v>-0.57183332803752684</v>
      </c>
      <c r="AI59" s="8">
        <f t="shared" si="28"/>
        <v>0.51455163654377378</v>
      </c>
      <c r="AJ59" s="8"/>
      <c r="AK59" s="8"/>
      <c r="AL59" s="8"/>
      <c r="AN59" s="8">
        <f t="shared" si="38"/>
        <v>1.0000000000000002</v>
      </c>
      <c r="AO59" s="8">
        <f t="shared" si="39"/>
        <v>3.8716234769951452</v>
      </c>
      <c r="AP59" s="8">
        <f t="shared" si="40"/>
        <v>1.0303116572300217</v>
      </c>
      <c r="AQ59" s="8"/>
      <c r="AR59" s="8">
        <f t="shared" si="41"/>
        <v>221.82768509558699</v>
      </c>
      <c r="AS59" s="8">
        <f t="shared" si="42"/>
        <v>30.967490457590223</v>
      </c>
    </row>
    <row r="60" spans="1:45">
      <c r="A60" s="19">
        <v>8.9422666670000002</v>
      </c>
      <c r="B60" s="19">
        <v>1079.9400069999999</v>
      </c>
      <c r="C60" s="19">
        <v>577.46184400000004</v>
      </c>
      <c r="E60" s="9">
        <f t="shared" si="22"/>
        <v>119.94000699999992</v>
      </c>
      <c r="F60" s="9">
        <f t="shared" si="23"/>
        <v>-37.461844000000042</v>
      </c>
      <c r="I60">
        <v>1</v>
      </c>
      <c r="J60">
        <f t="shared" si="24"/>
        <v>8.0354638949685572E-2</v>
      </c>
      <c r="K60">
        <f t="shared" si="34"/>
        <v>-0.30273744221301829</v>
      </c>
      <c r="O60">
        <f t="shared" si="35"/>
        <v>7.6617912552484096E-2</v>
      </c>
      <c r="P60">
        <f t="shared" si="36"/>
        <v>-2.3930699684274703E-2</v>
      </c>
      <c r="Q60">
        <f t="shared" si="37"/>
        <v>0.99677330275681086</v>
      </c>
      <c r="R60">
        <f t="shared" si="25"/>
        <v>1</v>
      </c>
      <c r="AG60" s="8">
        <f t="shared" si="26"/>
        <v>-0.6394156411926738</v>
      </c>
      <c r="AH60" s="8">
        <f t="shared" si="27"/>
        <v>-0.57138297453508224</v>
      </c>
      <c r="AI60" s="8">
        <f t="shared" si="28"/>
        <v>0.51446004141196777</v>
      </c>
      <c r="AJ60" s="8"/>
      <c r="AK60" s="8"/>
      <c r="AL60" s="8"/>
      <c r="AN60" s="8">
        <f t="shared" si="38"/>
        <v>1.0000000000000002</v>
      </c>
      <c r="AO60" s="8">
        <f t="shared" si="39"/>
        <v>3.8708615769003245</v>
      </c>
      <c r="AP60" s="8">
        <f t="shared" si="40"/>
        <v>1.0304184753452763</v>
      </c>
      <c r="AQ60" s="8"/>
      <c r="AR60" s="8">
        <f t="shared" si="41"/>
        <v>221.78403143574315</v>
      </c>
      <c r="AS60" s="8">
        <f t="shared" si="42"/>
        <v>30.961370230410594</v>
      </c>
    </row>
    <row r="61" spans="1:45">
      <c r="A61" s="19">
        <v>8.9756333329999993</v>
      </c>
      <c r="B61" s="19">
        <v>1079.638567</v>
      </c>
      <c r="C61" s="19">
        <v>577.27666550000004</v>
      </c>
      <c r="E61" s="9">
        <f t="shared" si="22"/>
        <v>119.63856699999997</v>
      </c>
      <c r="F61" s="9">
        <f t="shared" si="23"/>
        <v>-37.276665500000036</v>
      </c>
      <c r="I61">
        <v>1</v>
      </c>
      <c r="J61">
        <f t="shared" si="24"/>
        <v>8.0134328116545889E-2</v>
      </c>
      <c r="K61">
        <f t="shared" si="34"/>
        <v>-0.30204406753335489</v>
      </c>
      <c r="O61">
        <f t="shared" si="35"/>
        <v>7.6424826455269476E-2</v>
      </c>
      <c r="P61">
        <f t="shared" si="36"/>
        <v>-2.3812243519003653E-2</v>
      </c>
      <c r="Q61">
        <f t="shared" si="37"/>
        <v>0.99679096251916011</v>
      </c>
      <c r="R61">
        <f t="shared" si="25"/>
        <v>1</v>
      </c>
      <c r="AG61" s="8">
        <f t="shared" si="26"/>
        <v>-0.63951537392430657</v>
      </c>
      <c r="AH61" s="8">
        <f t="shared" si="27"/>
        <v>-0.57119649837484021</v>
      </c>
      <c r="AI61" s="8">
        <f t="shared" si="28"/>
        <v>0.51454314372924592</v>
      </c>
      <c r="AJ61" s="8"/>
      <c r="AK61" s="8"/>
      <c r="AL61" s="8"/>
      <c r="AN61" s="8">
        <f t="shared" si="38"/>
        <v>0.99999999999999978</v>
      </c>
      <c r="AO61" s="8">
        <f t="shared" si="39"/>
        <v>3.8706219138918634</v>
      </c>
      <c r="AP61" s="8">
        <f t="shared" si="40"/>
        <v>1.0303215618264872</v>
      </c>
      <c r="AQ61" s="8"/>
      <c r="AR61" s="8">
        <f t="shared" si="41"/>
        <v>221.77029975685292</v>
      </c>
      <c r="AS61" s="8">
        <f t="shared" si="42"/>
        <v>30.966922966014977</v>
      </c>
    </row>
    <row r="62" spans="1:45">
      <c r="A62" s="19">
        <v>9.0090000000000003</v>
      </c>
      <c r="B62" s="19">
        <v>1078.849005</v>
      </c>
      <c r="C62" s="19">
        <v>577.39074849999997</v>
      </c>
      <c r="E62" s="9">
        <f t="shared" si="22"/>
        <v>118.84900500000003</v>
      </c>
      <c r="F62" s="9">
        <f t="shared" si="23"/>
        <v>-37.390748499999972</v>
      </c>
      <c r="I62">
        <v>1</v>
      </c>
      <c r="J62">
        <f t="shared" si="24"/>
        <v>7.9672118865790204E-2</v>
      </c>
      <c r="K62">
        <f t="shared" si="34"/>
        <v>-0.30480340968198927</v>
      </c>
      <c r="O62">
        <f t="shared" si="35"/>
        <v>7.5919332037428136E-2</v>
      </c>
      <c r="P62">
        <f t="shared" si="36"/>
        <v>-2.3884765804303241E-2</v>
      </c>
      <c r="Q62">
        <f t="shared" si="37"/>
        <v>0.99682785524154782</v>
      </c>
      <c r="R62">
        <f t="shared" si="25"/>
        <v>1</v>
      </c>
      <c r="AG62" s="8">
        <f t="shared" si="26"/>
        <v>-0.63989438444180757</v>
      </c>
      <c r="AH62" s="8">
        <f t="shared" si="27"/>
        <v>-0.57086989826579759</v>
      </c>
      <c r="AI62" s="8">
        <f t="shared" si="28"/>
        <v>0.51443438455631829</v>
      </c>
      <c r="AJ62" s="8"/>
      <c r="AK62" s="8"/>
      <c r="AL62" s="8"/>
      <c r="AN62" s="8">
        <f t="shared" si="38"/>
        <v>0.99999999999999978</v>
      </c>
      <c r="AO62" s="8">
        <f t="shared" si="39"/>
        <v>3.8700434363462994</v>
      </c>
      <c r="AP62" s="8">
        <f t="shared" si="40"/>
        <v>1.0304483951073067</v>
      </c>
      <c r="AQ62" s="8"/>
      <c r="AR62" s="8">
        <f t="shared" si="41"/>
        <v>221.73715543494902</v>
      </c>
      <c r="AS62" s="8">
        <f t="shared" si="42"/>
        <v>30.959655954322216</v>
      </c>
    </row>
    <row r="63" spans="1:45">
      <c r="A63" s="19">
        <v>9.0423666669999996</v>
      </c>
      <c r="B63" s="19">
        <v>1078.3464859999999</v>
      </c>
      <c r="C63" s="19">
        <v>577.20051350000006</v>
      </c>
      <c r="E63" s="9">
        <f t="shared" si="22"/>
        <v>118.34648599999991</v>
      </c>
      <c r="F63" s="9">
        <f t="shared" si="23"/>
        <v>-37.200513500000056</v>
      </c>
      <c r="I63">
        <v>1</v>
      </c>
      <c r="J63">
        <f t="shared" si="24"/>
        <v>7.9327455603961136E-2</v>
      </c>
      <c r="K63">
        <f t="shared" si="34"/>
        <v>-0.30455628232262616</v>
      </c>
      <c r="O63">
        <f t="shared" si="35"/>
        <v>7.5597468907827758E-2</v>
      </c>
      <c r="P63">
        <f t="shared" si="36"/>
        <v>-2.3762975629639593E-2</v>
      </c>
      <c r="Q63">
        <f t="shared" si="37"/>
        <v>0.9968552270435036</v>
      </c>
      <c r="R63">
        <f t="shared" si="25"/>
        <v>1</v>
      </c>
      <c r="AG63" s="8">
        <f t="shared" si="26"/>
        <v>-0.64008380139470966</v>
      </c>
      <c r="AH63" s="8">
        <f t="shared" si="27"/>
        <v>-0.57059089834704202</v>
      </c>
      <c r="AI63" s="8">
        <f t="shared" si="28"/>
        <v>0.51450826418592477</v>
      </c>
      <c r="AJ63" s="8"/>
      <c r="AK63" s="8"/>
      <c r="AL63" s="8"/>
      <c r="AN63" s="8">
        <f t="shared" si="38"/>
        <v>1</v>
      </c>
      <c r="AO63" s="8">
        <f t="shared" si="39"/>
        <v>3.8696535880952361</v>
      </c>
      <c r="AP63" s="8">
        <f t="shared" si="40"/>
        <v>1.030362238866775</v>
      </c>
      <c r="AQ63" s="8"/>
      <c r="AR63" s="8">
        <f t="shared" si="41"/>
        <v>221.71481877551253</v>
      </c>
      <c r="AS63" s="8">
        <f t="shared" si="42"/>
        <v>30.9645923432834</v>
      </c>
    </row>
    <row r="64" spans="1:45">
      <c r="A64" s="19">
        <v>9.0757333330000005</v>
      </c>
      <c r="B64" s="19">
        <v>1077.7483910000001</v>
      </c>
      <c r="C64" s="19">
        <v>577.16413130000001</v>
      </c>
      <c r="E64" s="9">
        <f t="shared" si="22"/>
        <v>117.74839100000008</v>
      </c>
      <c r="F64" s="9">
        <f t="shared" si="23"/>
        <v>-37.164131300000008</v>
      </c>
      <c r="I64">
        <v>1</v>
      </c>
      <c r="J64">
        <f t="shared" si="24"/>
        <v>7.8953903798675298E-2</v>
      </c>
      <c r="K64">
        <f t="shared" si="34"/>
        <v>-0.30572772488838434</v>
      </c>
      <c r="O64">
        <f t="shared" si="35"/>
        <v>7.5214465555230453E-2</v>
      </c>
      <c r="P64">
        <f t="shared" si="36"/>
        <v>-2.3739434991972931E-2</v>
      </c>
      <c r="Q64">
        <f t="shared" si="37"/>
        <v>0.99688475933655585</v>
      </c>
      <c r="R64">
        <f t="shared" ref="R64:R90" si="43">SQRT(O64^2+P64^2+Q64^2)</f>
        <v>1</v>
      </c>
      <c r="AG64" s="8">
        <f t="shared" si="26"/>
        <v>-0.64034655306904809</v>
      </c>
      <c r="AH64" s="8">
        <f t="shared" si="27"/>
        <v>-0.57031012320176511</v>
      </c>
      <c r="AI64" s="8">
        <f t="shared" si="28"/>
        <v>0.51449261933110024</v>
      </c>
      <c r="AJ64" s="8"/>
      <c r="AK64" s="8"/>
      <c r="AL64" s="8"/>
      <c r="AN64" s="8">
        <f t="shared" si="38"/>
        <v>1</v>
      </c>
      <c r="AO64" s="8">
        <f t="shared" si="39"/>
        <v>3.869205270202718</v>
      </c>
      <c r="AP64" s="8">
        <f t="shared" si="40"/>
        <v>1.0303804838057795</v>
      </c>
      <c r="AQ64" s="8"/>
      <c r="AR64" s="8">
        <f t="shared" si="41"/>
        <v>221.68913205239105</v>
      </c>
      <c r="AS64" s="8">
        <f t="shared" si="42"/>
        <v>30.963546985280963</v>
      </c>
    </row>
    <row r="65" spans="1:45">
      <c r="A65" s="19">
        <v>9.1090999999999998</v>
      </c>
      <c r="B65" s="19">
        <v>1077.140629</v>
      </c>
      <c r="C65" s="19">
        <v>577.10250180000003</v>
      </c>
      <c r="E65" s="9">
        <f t="shared" si="22"/>
        <v>117.14062899999999</v>
      </c>
      <c r="F65" s="9">
        <f t="shared" si="23"/>
        <v>-37.102501800000027</v>
      </c>
      <c r="I65">
        <v>1</v>
      </c>
      <c r="J65">
        <f t="shared" si="24"/>
        <v>7.8569634861600832E-2</v>
      </c>
      <c r="K65">
        <f t="shared" si="34"/>
        <v>-0.30673814963287371</v>
      </c>
      <c r="O65">
        <f t="shared" si="35"/>
        <v>7.4825243293126176E-2</v>
      </c>
      <c r="P65">
        <f t="shared" si="36"/>
        <v>-2.369975086926206E-2</v>
      </c>
      <c r="Q65">
        <f t="shared" si="37"/>
        <v>0.99691499375566595</v>
      </c>
      <c r="R65">
        <f t="shared" si="43"/>
        <v>1</v>
      </c>
      <c r="AG65" s="8">
        <f t="shared" si="26"/>
        <v>-0.64060860326762026</v>
      </c>
      <c r="AH65" s="8">
        <f t="shared" si="27"/>
        <v>-0.57001805104134451</v>
      </c>
      <c r="AI65" s="8">
        <f t="shared" si="28"/>
        <v>0.51449007658703783</v>
      </c>
      <c r="AJ65" s="8"/>
      <c r="AK65" s="8"/>
      <c r="AL65" s="8"/>
      <c r="AN65" s="8">
        <f t="shared" si="38"/>
        <v>1</v>
      </c>
      <c r="AO65" s="8">
        <f t="shared" si="39"/>
        <v>3.8687476639054204</v>
      </c>
      <c r="AP65" s="8">
        <f t="shared" si="40"/>
        <v>1.0303834491202966</v>
      </c>
      <c r="AQ65" s="8"/>
      <c r="AR65" s="8">
        <f t="shared" si="41"/>
        <v>221.66291314287727</v>
      </c>
      <c r="AS65" s="8">
        <f t="shared" si="42"/>
        <v>30.96337708527421</v>
      </c>
    </row>
    <row r="66" spans="1:45">
      <c r="A66" s="19">
        <v>9.1424666670000008</v>
      </c>
      <c r="B66" s="19">
        <v>1076.690466</v>
      </c>
      <c r="C66" s="19">
        <v>577.26595659999998</v>
      </c>
      <c r="E66" s="9">
        <f t="shared" si="22"/>
        <v>116.69046600000001</v>
      </c>
      <c r="F66" s="9">
        <f t="shared" si="23"/>
        <v>-37.265956599999981</v>
      </c>
      <c r="I66">
        <v>1</v>
      </c>
      <c r="J66">
        <f t="shared" si="24"/>
        <v>7.8325828660592511E-2</v>
      </c>
      <c r="K66">
        <f t="shared" si="34"/>
        <v>-0.30911986964514782</v>
      </c>
      <c r="O66">
        <f t="shared" si="35"/>
        <v>7.4537049022933316E-2</v>
      </c>
      <c r="P66">
        <f t="shared" si="36"/>
        <v>-2.3803953563615931E-2</v>
      </c>
      <c r="Q66">
        <f t="shared" si="37"/>
        <v>0.99693410018801842</v>
      </c>
      <c r="R66">
        <f t="shared" si="43"/>
        <v>1</v>
      </c>
      <c r="AG66" s="8">
        <f t="shared" si="26"/>
        <v>-0.64084378712502876</v>
      </c>
      <c r="AH66" s="8">
        <f t="shared" si="27"/>
        <v>-0.56985819453600173</v>
      </c>
      <c r="AI66" s="8">
        <f t="shared" si="28"/>
        <v>0.51437425929319136</v>
      </c>
      <c r="AJ66" s="8"/>
      <c r="AK66" s="8"/>
      <c r="AL66" s="8"/>
      <c r="AN66" s="8">
        <f t="shared" si="38"/>
        <v>1</v>
      </c>
      <c r="AO66" s="8">
        <f t="shared" si="39"/>
        <v>3.8684261007948075</v>
      </c>
      <c r="AP66" s="8">
        <f t="shared" si="40"/>
        <v>1.0305185081256272</v>
      </c>
      <c r="AQ66" s="8"/>
      <c r="AR66" s="8">
        <f t="shared" si="41"/>
        <v>221.64448893379208</v>
      </c>
      <c r="AS66" s="8">
        <f t="shared" si="42"/>
        <v>30.955638774283528</v>
      </c>
    </row>
    <row r="67" spans="1:45">
      <c r="A67" s="19">
        <v>9.1758333329999999</v>
      </c>
      <c r="B67" s="19">
        <v>1076.166667</v>
      </c>
      <c r="C67" s="19">
        <v>576.33333330000005</v>
      </c>
      <c r="E67" s="9">
        <f t="shared" si="22"/>
        <v>116.16666699999996</v>
      </c>
      <c r="F67" s="9">
        <f t="shared" si="23"/>
        <v>-36.333333300000049</v>
      </c>
      <c r="I67">
        <v>1</v>
      </c>
      <c r="J67">
        <f t="shared" si="24"/>
        <v>7.7824320294562627E-2</v>
      </c>
      <c r="K67">
        <f t="shared" si="34"/>
        <v>-0.30312992528825</v>
      </c>
      <c r="O67">
        <f t="shared" si="35"/>
        <v>7.4201110436038831E-2</v>
      </c>
      <c r="P67">
        <f t="shared" si="36"/>
        <v>-2.3207807767289316E-2</v>
      </c>
      <c r="Q67">
        <f t="shared" si="37"/>
        <v>0.99697321572281739</v>
      </c>
      <c r="R67">
        <f t="shared" si="43"/>
        <v>1</v>
      </c>
      <c r="AG67" s="8">
        <f t="shared" si="26"/>
        <v>-0.64089633529519674</v>
      </c>
      <c r="AH67" s="8">
        <f t="shared" si="27"/>
        <v>-0.56936846409476172</v>
      </c>
      <c r="AI67" s="8">
        <f t="shared" si="28"/>
        <v>0.51485089054944722</v>
      </c>
      <c r="AJ67" s="8"/>
      <c r="AK67" s="8"/>
      <c r="AL67" s="8"/>
      <c r="AN67" s="8">
        <f t="shared" si="38"/>
        <v>1</v>
      </c>
      <c r="AO67" s="8">
        <f t="shared" si="39"/>
        <v>3.8679584756855716</v>
      </c>
      <c r="AP67" s="8">
        <f t="shared" si="40"/>
        <v>1.0299626198799079</v>
      </c>
      <c r="AQ67" s="8"/>
      <c r="AR67" s="8">
        <f t="shared" si="41"/>
        <v>221.6176959886385</v>
      </c>
      <c r="AS67" s="8">
        <f t="shared" si="42"/>
        <v>30.987488824644174</v>
      </c>
    </row>
    <row r="68" spans="1:45">
      <c r="A68" s="19">
        <v>9.2091999999999992</v>
      </c>
      <c r="B68" s="19">
        <v>1075.25</v>
      </c>
      <c r="C68" s="19">
        <v>576.58333330000005</v>
      </c>
      <c r="E68" s="9">
        <f t="shared" si="22"/>
        <v>115.25</v>
      </c>
      <c r="F68" s="9">
        <f t="shared" si="23"/>
        <v>-36.583333300000049</v>
      </c>
      <c r="I68">
        <v>1</v>
      </c>
      <c r="J68">
        <f t="shared" si="24"/>
        <v>7.7310818055878916E-2</v>
      </c>
      <c r="K68">
        <f t="shared" si="34"/>
        <v>-0.30736619320957836</v>
      </c>
      <c r="O68">
        <f t="shared" si="35"/>
        <v>7.3614165799186268E-2</v>
      </c>
      <c r="P68">
        <f t="shared" si="36"/>
        <v>-2.336704176167545E-2</v>
      </c>
      <c r="Q68">
        <f t="shared" si="37"/>
        <v>0.99701300691264705</v>
      </c>
      <c r="R68">
        <f t="shared" si="43"/>
        <v>1</v>
      </c>
      <c r="AG68" s="8">
        <f t="shared" si="26"/>
        <v>-0.64135870491199232</v>
      </c>
      <c r="AH68" s="8">
        <f t="shared" si="27"/>
        <v>-0.56902030887744026</v>
      </c>
      <c r="AI68" s="8">
        <f t="shared" si="28"/>
        <v>0.51465998457101203</v>
      </c>
      <c r="AJ68" s="8"/>
      <c r="AK68" s="8"/>
      <c r="AL68" s="8"/>
      <c r="AN68" s="8">
        <f t="shared" si="38"/>
        <v>0.99999999999999989</v>
      </c>
      <c r="AO68" s="8">
        <f t="shared" si="39"/>
        <v>3.8672967445742872</v>
      </c>
      <c r="AP68" s="8">
        <f t="shared" si="40"/>
        <v>1.0301852930705429</v>
      </c>
      <c r="AQ68" s="8"/>
      <c r="AR68" s="8">
        <f t="shared" si="41"/>
        <v>221.57978158878942</v>
      </c>
      <c r="AS68" s="8">
        <f t="shared" si="42"/>
        <v>30.974730590610079</v>
      </c>
    </row>
    <row r="69" spans="1:45">
      <c r="A69" s="19">
        <v>9.2425666670000002</v>
      </c>
      <c r="B69" s="19">
        <v>1075.0725480000001</v>
      </c>
      <c r="C69" s="19">
        <v>577.16237620000004</v>
      </c>
      <c r="E69" s="9">
        <f t="shared" si="22"/>
        <v>115.0725480000001</v>
      </c>
      <c r="F69" s="9">
        <f t="shared" si="23"/>
        <v>-37.16237620000004</v>
      </c>
      <c r="I69">
        <v>1</v>
      </c>
      <c r="J69">
        <f t="shared" si="24"/>
        <v>7.7315682202586444E-2</v>
      </c>
      <c r="K69">
        <f t="shared" si="34"/>
        <v>-0.31237424251056367</v>
      </c>
      <c r="O69">
        <f t="shared" si="35"/>
        <v>7.3500834778152363E-2</v>
      </c>
      <c r="P69">
        <f t="shared" si="36"/>
        <v>-2.3736900942175565E-2</v>
      </c>
      <c r="Q69">
        <f t="shared" si="37"/>
        <v>0.99701263122418671</v>
      </c>
      <c r="R69">
        <f t="shared" si="43"/>
        <v>1</v>
      </c>
      <c r="AG69" s="8">
        <f t="shared" si="26"/>
        <v>-0.64155263232498838</v>
      </c>
      <c r="AH69" s="8">
        <f t="shared" si="27"/>
        <v>-0.56909640464905764</v>
      </c>
      <c r="AI69" s="8">
        <f t="shared" si="28"/>
        <v>0.5143340375401908</v>
      </c>
      <c r="AJ69" s="8"/>
      <c r="AK69" s="8"/>
      <c r="AL69" s="8"/>
      <c r="AN69" s="8">
        <f t="shared" si="38"/>
        <v>1</v>
      </c>
      <c r="AO69" s="8">
        <f t="shared" si="39"/>
        <v>3.8672130446486781</v>
      </c>
      <c r="AP69" s="8">
        <f t="shared" si="40"/>
        <v>1.030565409700664</v>
      </c>
      <c r="AQ69" s="8"/>
      <c r="AR69" s="8">
        <f t="shared" si="41"/>
        <v>221.57498593630643</v>
      </c>
      <c r="AS69" s="8">
        <f t="shared" si="42"/>
        <v>30.952951511981404</v>
      </c>
    </row>
    <row r="70" spans="1:45">
      <c r="A70" s="19">
        <v>9.2759333329999993</v>
      </c>
      <c r="B70" s="19">
        <v>1074.6104660000001</v>
      </c>
      <c r="C70" s="19">
        <v>577.24657200000001</v>
      </c>
      <c r="E70" s="9">
        <f t="shared" si="22"/>
        <v>114.61046600000009</v>
      </c>
      <c r="F70" s="9">
        <f t="shared" si="23"/>
        <v>-37.246572000000015</v>
      </c>
      <c r="I70">
        <v>1</v>
      </c>
      <c r="J70">
        <f t="shared" si="24"/>
        <v>7.7049892727579741E-2</v>
      </c>
      <c r="K70">
        <f t="shared" si="34"/>
        <v>-0.31421746163565434</v>
      </c>
      <c r="O70">
        <f t="shared" si="35"/>
        <v>7.3204934146887779E-2</v>
      </c>
      <c r="P70">
        <f t="shared" si="36"/>
        <v>-2.3790435076472972E-2</v>
      </c>
      <c r="Q70">
        <f t="shared" si="37"/>
        <v>0.99703312523477472</v>
      </c>
      <c r="R70">
        <f t="shared" si="43"/>
        <v>1</v>
      </c>
      <c r="AG70" s="8">
        <f t="shared" si="26"/>
        <v>-0.64177733965005368</v>
      </c>
      <c r="AH70" s="8">
        <f t="shared" si="27"/>
        <v>-0.56890948283343645</v>
      </c>
      <c r="AI70" s="8">
        <f t="shared" si="28"/>
        <v>0.51426048521531531</v>
      </c>
      <c r="AJ70" s="8"/>
      <c r="AK70" s="8"/>
      <c r="AL70" s="8"/>
      <c r="AN70" s="8">
        <f t="shared" si="38"/>
        <v>1</v>
      </c>
      <c r="AO70" s="8">
        <f t="shared" si="39"/>
        <v>3.8668761297842402</v>
      </c>
      <c r="AP70" s="8">
        <f t="shared" si="40"/>
        <v>1.0306511738057635</v>
      </c>
      <c r="AQ70" s="8"/>
      <c r="AR70" s="8">
        <f t="shared" si="41"/>
        <v>221.55568213651893</v>
      </c>
      <c r="AS70" s="8">
        <f t="shared" si="42"/>
        <v>30.948037590725484</v>
      </c>
    </row>
    <row r="71" spans="1:45">
      <c r="A71" s="19">
        <v>9.3093000000000004</v>
      </c>
      <c r="B71" s="19">
        <v>1073.9409430000001</v>
      </c>
      <c r="C71" s="19">
        <v>577.0388835</v>
      </c>
      <c r="E71" s="9">
        <f t="shared" si="22"/>
        <v>113.94094300000006</v>
      </c>
      <c r="F71" s="9">
        <f t="shared" si="23"/>
        <v>-37.038883499999997</v>
      </c>
      <c r="I71">
        <v>1</v>
      </c>
      <c r="J71">
        <f t="shared" si="24"/>
        <v>7.659949441576086E-2</v>
      </c>
      <c r="K71">
        <f t="shared" si="34"/>
        <v>-0.31429601335662249</v>
      </c>
      <c r="O71">
        <f t="shared" si="35"/>
        <v>7.2775993335164435E-2</v>
      </c>
      <c r="P71">
        <f t="shared" si="36"/>
        <v>-2.3657356765407232E-2</v>
      </c>
      <c r="Q71">
        <f t="shared" si="37"/>
        <v>0.99706769292007169</v>
      </c>
      <c r="R71">
        <f t="shared" si="43"/>
        <v>1</v>
      </c>
      <c r="AG71" s="8">
        <f t="shared" si="26"/>
        <v>-0.64203796073864394</v>
      </c>
      <c r="AH71" s="8">
        <f t="shared" si="27"/>
        <v>-0.56854940365173878</v>
      </c>
      <c r="AI71" s="8">
        <f t="shared" si="28"/>
        <v>0.51433338660621264</v>
      </c>
      <c r="AJ71" s="8"/>
      <c r="AK71" s="8"/>
      <c r="AL71" s="8"/>
      <c r="AN71" s="8">
        <f t="shared" si="38"/>
        <v>1</v>
      </c>
      <c r="AO71" s="8">
        <f t="shared" si="39"/>
        <v>3.8663603430047866</v>
      </c>
      <c r="AP71" s="8">
        <f t="shared" si="40"/>
        <v>1.0305661687275636</v>
      </c>
      <c r="AQ71" s="8"/>
      <c r="AR71" s="8">
        <f t="shared" si="41"/>
        <v>221.52612973092761</v>
      </c>
      <c r="AS71" s="8">
        <f t="shared" si="42"/>
        <v>30.952908022943525</v>
      </c>
    </row>
    <row r="72" spans="1:45">
      <c r="A72" s="19">
        <v>9.3426666669999996</v>
      </c>
      <c r="B72" s="19">
        <v>1073.2992710000001</v>
      </c>
      <c r="C72" s="19">
        <v>576.85586390000003</v>
      </c>
      <c r="E72" s="9">
        <f t="shared" si="22"/>
        <v>113.29927100000009</v>
      </c>
      <c r="F72" s="9">
        <f t="shared" si="23"/>
        <v>-36.855863900000031</v>
      </c>
      <c r="I72">
        <v>1</v>
      </c>
      <c r="J72">
        <f t="shared" si="24"/>
        <v>7.6171011045568046E-2</v>
      </c>
      <c r="K72">
        <f t="shared" si="34"/>
        <v>-0.31450011040589304</v>
      </c>
      <c r="O72">
        <f t="shared" si="35"/>
        <v>7.2364884825617842E-2</v>
      </c>
      <c r="P72">
        <f t="shared" si="36"/>
        <v>-2.3540048605186058E-2</v>
      </c>
      <c r="Q72">
        <f t="shared" si="37"/>
        <v>0.99710039091148717</v>
      </c>
      <c r="R72">
        <f t="shared" si="43"/>
        <v>1</v>
      </c>
      <c r="AG72" s="8">
        <f t="shared" si="26"/>
        <v>-0.6422907769301901</v>
      </c>
      <c r="AH72" s="8">
        <f t="shared" si="27"/>
        <v>-0.56820852506411268</v>
      </c>
      <c r="AI72" s="8">
        <f t="shared" si="28"/>
        <v>0.51439443029146259</v>
      </c>
      <c r="AJ72" s="8"/>
      <c r="AK72" s="8"/>
      <c r="AL72" s="8"/>
      <c r="AN72" s="8">
        <f t="shared" si="38"/>
        <v>1</v>
      </c>
      <c r="AO72" s="8">
        <f t="shared" si="39"/>
        <v>3.8658673040789466</v>
      </c>
      <c r="AP72" s="8">
        <f t="shared" si="40"/>
        <v>1.0304949867348623</v>
      </c>
      <c r="AQ72" s="8"/>
      <c r="AR72" s="8">
        <f t="shared" si="41"/>
        <v>221.49788068134131</v>
      </c>
      <c r="AS72" s="8">
        <f t="shared" si="42"/>
        <v>30.956986450702637</v>
      </c>
    </row>
    <row r="73" spans="1:45">
      <c r="A73" s="19">
        <v>9.3760333330000005</v>
      </c>
      <c r="B73" s="19">
        <v>1072.956158</v>
      </c>
      <c r="C73" s="19">
        <v>576.47652059999996</v>
      </c>
      <c r="E73" s="9">
        <f t="shared" si="22"/>
        <v>112.95615799999996</v>
      </c>
      <c r="F73" s="9">
        <f t="shared" si="23"/>
        <v>-36.476520599999958</v>
      </c>
      <c r="I73">
        <v>1</v>
      </c>
      <c r="J73">
        <f t="shared" si="24"/>
        <v>7.5886114835958196E-2</v>
      </c>
      <c r="K73">
        <f t="shared" si="34"/>
        <v>-0.31235521815091027</v>
      </c>
      <c r="O73">
        <f t="shared" si="35"/>
        <v>7.2144881595515561E-2</v>
      </c>
      <c r="P73">
        <f t="shared" si="36"/>
        <v>-2.3297483787500826E-2</v>
      </c>
      <c r="Q73">
        <f t="shared" si="37"/>
        <v>0.9971220302995718</v>
      </c>
      <c r="R73">
        <f t="shared" si="43"/>
        <v>1</v>
      </c>
      <c r="AG73" s="8">
        <f t="shared" si="26"/>
        <v>-0.64237049836078941</v>
      </c>
      <c r="AH73" s="8">
        <f t="shared" si="27"/>
        <v>-0.5679500548079438</v>
      </c>
      <c r="AI73" s="8">
        <f t="shared" si="28"/>
        <v>0.51458029313156239</v>
      </c>
      <c r="AJ73" s="8"/>
      <c r="AK73" s="8"/>
      <c r="AL73" s="8"/>
      <c r="AN73" s="8">
        <f t="shared" si="38"/>
        <v>1</v>
      </c>
      <c r="AO73" s="8">
        <f t="shared" si="39"/>
        <v>3.8655799238617652</v>
      </c>
      <c r="AP73" s="8">
        <f t="shared" si="40"/>
        <v>1.030278236551051</v>
      </c>
      <c r="AQ73" s="8"/>
      <c r="AR73" s="8">
        <f t="shared" si="41"/>
        <v>221.48141500778124</v>
      </c>
      <c r="AS73" s="8">
        <f t="shared" si="42"/>
        <v>30.969405321443709</v>
      </c>
    </row>
    <row r="74" spans="1:45">
      <c r="A74" s="19">
        <v>9.4093999999999998</v>
      </c>
      <c r="B74" s="19">
        <v>1072.105961</v>
      </c>
      <c r="C74" s="19">
        <v>576.39552619999995</v>
      </c>
      <c r="E74" s="9">
        <f t="shared" si="22"/>
        <v>112.10596099999998</v>
      </c>
      <c r="F74" s="9">
        <f t="shared" si="23"/>
        <v>-36.395526199999949</v>
      </c>
      <c r="I74">
        <v>1</v>
      </c>
      <c r="J74">
        <f t="shared" si="24"/>
        <v>7.5350314680703204E-2</v>
      </c>
      <c r="K74">
        <f t="shared" si="34"/>
        <v>-0.31391793387272221</v>
      </c>
      <c r="O74">
        <f t="shared" si="35"/>
        <v>7.1600226336240302E-2</v>
      </c>
      <c r="P74">
        <f t="shared" si="36"/>
        <v>-2.3245221666192761E-2</v>
      </c>
      <c r="Q74">
        <f t="shared" si="37"/>
        <v>0.99716250794857342</v>
      </c>
      <c r="R74">
        <f t="shared" si="43"/>
        <v>1</v>
      </c>
      <c r="AG74" s="8">
        <f t="shared" si="26"/>
        <v>-0.64273700647909349</v>
      </c>
      <c r="AH74" s="8">
        <f t="shared" si="27"/>
        <v>-0.56754184150262332</v>
      </c>
      <c r="AI74" s="8">
        <f t="shared" si="28"/>
        <v>0.51457302557178908</v>
      </c>
      <c r="AJ74" s="8"/>
      <c r="AK74" s="8"/>
      <c r="AL74" s="8"/>
      <c r="AN74" s="8">
        <f t="shared" si="38"/>
        <v>1.0000000000000002</v>
      </c>
      <c r="AO74" s="8">
        <f t="shared" si="39"/>
        <v>3.8649401311888116</v>
      </c>
      <c r="AP74" s="8">
        <f t="shared" si="40"/>
        <v>1.0302867123892028</v>
      </c>
      <c r="AQ74" s="8"/>
      <c r="AR74" s="8">
        <f t="shared" si="41"/>
        <v>221.44475758785762</v>
      </c>
      <c r="AS74" s="8">
        <f t="shared" si="42"/>
        <v>30.968919691689777</v>
      </c>
    </row>
    <row r="75" spans="1:45">
      <c r="A75" s="19">
        <v>9.4427666670000008</v>
      </c>
      <c r="B75" s="19">
        <v>1071.8219690000001</v>
      </c>
      <c r="C75" s="19">
        <v>576.33786220000002</v>
      </c>
      <c r="E75" s="9">
        <f t="shared" si="22"/>
        <v>111.82196900000008</v>
      </c>
      <c r="F75" s="9">
        <f t="shared" si="23"/>
        <v>-36.337862200000018</v>
      </c>
      <c r="I75">
        <v>1</v>
      </c>
      <c r="J75">
        <f t="shared" si="24"/>
        <v>7.5165299105939692E-2</v>
      </c>
      <c r="K75">
        <f t="shared" si="34"/>
        <v>-0.31419729855364575</v>
      </c>
      <c r="O75">
        <f t="shared" si="35"/>
        <v>7.1418269610325574E-2</v>
      </c>
      <c r="P75">
        <f t="shared" si="36"/>
        <v>-2.3208205533051002E-2</v>
      </c>
      <c r="Q75">
        <f t="shared" si="37"/>
        <v>0.99717641867515228</v>
      </c>
      <c r="R75">
        <f t="shared" si="43"/>
        <v>1</v>
      </c>
      <c r="AG75" s="8">
        <f t="shared" si="26"/>
        <v>-0.64285336078665534</v>
      </c>
      <c r="AH75" s="8">
        <f t="shared" si="27"/>
        <v>-0.56739716290779085</v>
      </c>
      <c r="AI75" s="8">
        <f t="shared" si="28"/>
        <v>0.51458722880527497</v>
      </c>
      <c r="AJ75" s="8"/>
      <c r="AK75" s="8"/>
      <c r="AL75" s="8"/>
      <c r="AN75" s="8">
        <f t="shared" si="38"/>
        <v>1.0000000000000002</v>
      </c>
      <c r="AO75" s="8">
        <f t="shared" si="39"/>
        <v>3.8647238299799396</v>
      </c>
      <c r="AP75" s="8">
        <f t="shared" si="40"/>
        <v>1.0302701477369389</v>
      </c>
      <c r="AQ75" s="8"/>
      <c r="AR75" s="8">
        <f t="shared" si="41"/>
        <v>221.43236444148567</v>
      </c>
      <c r="AS75" s="8">
        <f t="shared" si="42"/>
        <v>30.9698687763536</v>
      </c>
    </row>
    <row r="76" spans="1:45">
      <c r="A76" s="19">
        <v>9.4761333329999999</v>
      </c>
      <c r="B76" s="19">
        <v>1071.1242729999999</v>
      </c>
      <c r="C76" s="19">
        <v>576.35597240000004</v>
      </c>
      <c r="E76" s="9">
        <f t="shared" si="22"/>
        <v>111.1242729999999</v>
      </c>
      <c r="F76" s="9">
        <f t="shared" si="23"/>
        <v>-36.355972400000041</v>
      </c>
      <c r="I76">
        <v>1</v>
      </c>
      <c r="J76">
        <f t="shared" si="24"/>
        <v>7.4742646579248756E-2</v>
      </c>
      <c r="K76">
        <f t="shared" si="34"/>
        <v>-0.31618881659111531</v>
      </c>
      <c r="O76">
        <f t="shared" si="35"/>
        <v>7.0971335785977877E-2</v>
      </c>
      <c r="P76">
        <f t="shared" si="36"/>
        <v>-2.3219336832252208E-2</v>
      </c>
      <c r="Q76">
        <f t="shared" si="37"/>
        <v>0.99720806850617905</v>
      </c>
      <c r="R76">
        <f t="shared" si="43"/>
        <v>1</v>
      </c>
      <c r="AG76" s="8">
        <f t="shared" si="26"/>
        <v>-0.64317058727211462</v>
      </c>
      <c r="AH76" s="8">
        <f t="shared" si="27"/>
        <v>-0.56708487747705105</v>
      </c>
      <c r="AI76" s="8">
        <f t="shared" si="28"/>
        <v>0.51453506916912994</v>
      </c>
      <c r="AJ76" s="8"/>
      <c r="AK76" s="8"/>
      <c r="AL76" s="8"/>
      <c r="AN76" s="8">
        <f t="shared" si="38"/>
        <v>1.0000000000000002</v>
      </c>
      <c r="AO76" s="8">
        <f t="shared" si="39"/>
        <v>3.8642059664421242</v>
      </c>
      <c r="AP76" s="8">
        <f t="shared" si="40"/>
        <v>1.0303309785864672</v>
      </c>
      <c r="AQ76" s="8"/>
      <c r="AR76" s="8">
        <f t="shared" si="41"/>
        <v>221.40269304640515</v>
      </c>
      <c r="AS76" s="8">
        <f t="shared" si="42"/>
        <v>30.966383425411436</v>
      </c>
    </row>
    <row r="77" spans="1:45">
      <c r="A77" s="19">
        <v>9.5094999999999992</v>
      </c>
      <c r="B77" s="19">
        <v>1070.758476</v>
      </c>
      <c r="C77" s="19">
        <v>576.37536399999999</v>
      </c>
      <c r="E77" s="9">
        <f t="shared" si="22"/>
        <v>110.75847599999997</v>
      </c>
      <c r="F77" s="9">
        <f t="shared" si="23"/>
        <v>-36.37536399999999</v>
      </c>
      <c r="I77">
        <v>1</v>
      </c>
      <c r="J77">
        <f t="shared" si="24"/>
        <v>7.4523154979149644E-2</v>
      </c>
      <c r="K77">
        <f t="shared" si="34"/>
        <v>-0.31732258796674773</v>
      </c>
      <c r="O77">
        <f t="shared" si="35"/>
        <v>7.0737011946064715E-2</v>
      </c>
      <c r="P77">
        <f t="shared" si="36"/>
        <v>-2.3231491175541748E-2</v>
      </c>
      <c r="Q77">
        <f t="shared" si="37"/>
        <v>0.99722443459770027</v>
      </c>
      <c r="R77">
        <f t="shared" si="43"/>
        <v>1</v>
      </c>
      <c r="AG77" s="8">
        <f t="shared" si="26"/>
        <v>-0.64333880339892868</v>
      </c>
      <c r="AH77" s="8">
        <f t="shared" si="27"/>
        <v>-0.56692377983990505</v>
      </c>
      <c r="AI77" s="8">
        <f t="shared" si="28"/>
        <v>0.51450229532361602</v>
      </c>
      <c r="AJ77" s="8"/>
      <c r="AK77" s="8"/>
      <c r="AL77" s="8"/>
      <c r="AN77" s="8">
        <f t="shared" si="38"/>
        <v>1</v>
      </c>
      <c r="AO77" s="8">
        <f t="shared" si="39"/>
        <v>3.8639353094809437</v>
      </c>
      <c r="AP77" s="8">
        <f t="shared" si="40"/>
        <v>1.0303691997429629</v>
      </c>
      <c r="AQ77" s="8"/>
      <c r="AR77" s="8">
        <f t="shared" si="41"/>
        <v>221.38718554483367</v>
      </c>
      <c r="AS77" s="8">
        <f t="shared" si="42"/>
        <v>30.96419351445612</v>
      </c>
    </row>
    <row r="78" spans="1:45">
      <c r="A78" s="19">
        <v>9.5428666670000002</v>
      </c>
      <c r="B78" s="19">
        <v>1070.0627300000001</v>
      </c>
      <c r="C78" s="19">
        <v>576.33264499999996</v>
      </c>
      <c r="E78" s="9">
        <f t="shared" si="22"/>
        <v>110.0627300000001</v>
      </c>
      <c r="F78" s="9">
        <f t="shared" si="23"/>
        <v>-36.332644999999957</v>
      </c>
      <c r="I78">
        <v>1</v>
      </c>
      <c r="J78">
        <f t="shared" si="24"/>
        <v>7.4089894892557476E-2</v>
      </c>
      <c r="K78">
        <f t="shared" si="34"/>
        <v>-0.31884542076502814</v>
      </c>
      <c r="O78">
        <f t="shared" si="35"/>
        <v>7.0291264669052028E-2</v>
      </c>
      <c r="P78">
        <f t="shared" si="36"/>
        <v>-2.3203745407929681E-2</v>
      </c>
      <c r="Q78">
        <f t="shared" si="37"/>
        <v>0.99725659903069541</v>
      </c>
      <c r="R78">
        <f t="shared" si="43"/>
        <v>1</v>
      </c>
      <c r="AG78" s="8">
        <f t="shared" si="26"/>
        <v>-0.64364297740743293</v>
      </c>
      <c r="AH78" s="8">
        <f t="shared" si="27"/>
        <v>-0.56659574124946166</v>
      </c>
      <c r="AI78" s="8">
        <f t="shared" si="28"/>
        <v>0.51448321997133006</v>
      </c>
      <c r="AJ78" s="8"/>
      <c r="AK78" s="8"/>
      <c r="AL78" s="8"/>
      <c r="AN78" s="8">
        <f t="shared" si="38"/>
        <v>1</v>
      </c>
      <c r="AO78" s="8">
        <f t="shared" si="39"/>
        <v>3.863413774176407</v>
      </c>
      <c r="AP78" s="8">
        <f t="shared" si="40"/>
        <v>1.0303914451886136</v>
      </c>
      <c r="AQ78" s="8"/>
      <c r="AR78" s="8">
        <f t="shared" si="41"/>
        <v>221.35730377301664</v>
      </c>
      <c r="AS78" s="8">
        <f t="shared" si="42"/>
        <v>30.962918944306949</v>
      </c>
    </row>
    <row r="79" spans="1:45">
      <c r="A79" s="19">
        <v>9.5762333329999993</v>
      </c>
      <c r="B79" s="19">
        <v>1069.8413720000001</v>
      </c>
      <c r="C79" s="19">
        <v>576.34084540000003</v>
      </c>
      <c r="E79" s="9">
        <f t="shared" si="22"/>
        <v>109.84137200000009</v>
      </c>
      <c r="F79" s="9">
        <f t="shared" si="23"/>
        <v>-36.340845400000035</v>
      </c>
      <c r="I79">
        <v>1</v>
      </c>
      <c r="J79">
        <f t="shared" si="24"/>
        <v>7.3956482148081523E-2</v>
      </c>
      <c r="K79">
        <f t="shared" si="34"/>
        <v>-0.31951247609123445</v>
      </c>
      <c r="O79">
        <f t="shared" si="35"/>
        <v>7.0149457158126774E-2</v>
      </c>
      <c r="P79">
        <f t="shared" si="36"/>
        <v>-2.3208837718063178E-2</v>
      </c>
      <c r="Q79">
        <f t="shared" si="37"/>
        <v>0.99726646565108001</v>
      </c>
      <c r="R79">
        <f t="shared" si="43"/>
        <v>1</v>
      </c>
      <c r="AG79" s="8">
        <f t="shared" si="26"/>
        <v>-0.64374401697579442</v>
      </c>
      <c r="AH79" s="8">
        <f t="shared" si="27"/>
        <v>-0.56649724579731853</v>
      </c>
      <c r="AI79" s="8">
        <f t="shared" si="28"/>
        <v>0.51446526715796914</v>
      </c>
      <c r="AJ79" s="8"/>
      <c r="AK79" s="8"/>
      <c r="AL79" s="8"/>
      <c r="AN79" s="8">
        <f t="shared" si="38"/>
        <v>1</v>
      </c>
      <c r="AO79" s="8">
        <f t="shared" si="39"/>
        <v>3.8632497026013137</v>
      </c>
      <c r="AP79" s="8">
        <f t="shared" si="40"/>
        <v>1.0304123812717072</v>
      </c>
      <c r="AQ79" s="8"/>
      <c r="AR79" s="8">
        <f t="shared" si="41"/>
        <v>221.34790316422573</v>
      </c>
      <c r="AS79" s="8">
        <f t="shared" si="42"/>
        <v>30.961719395106144</v>
      </c>
    </row>
    <row r="80" spans="1:45">
      <c r="A80" s="19">
        <v>9.6096000000000004</v>
      </c>
      <c r="B80" s="19">
        <v>1068.75</v>
      </c>
      <c r="C80" s="19">
        <v>574.91666669999995</v>
      </c>
      <c r="E80" s="9">
        <f t="shared" si="22"/>
        <v>108.75</v>
      </c>
      <c r="F80" s="9">
        <f t="shared" si="23"/>
        <v>-34.916666699999951</v>
      </c>
      <c r="I80">
        <v>1</v>
      </c>
      <c r="J80">
        <f t="shared" si="24"/>
        <v>7.3006010499263002E-2</v>
      </c>
      <c r="K80">
        <f t="shared" si="34"/>
        <v>-0.3106757882747086</v>
      </c>
      <c r="O80">
        <f t="shared" si="35"/>
        <v>6.9449277095425796E-2</v>
      </c>
      <c r="P80">
        <f t="shared" si="36"/>
        <v>-2.2298273663419986E-2</v>
      </c>
      <c r="Q80">
        <f t="shared" si="37"/>
        <v>0.99733624465500803</v>
      </c>
      <c r="R80">
        <f t="shared" si="43"/>
        <v>1</v>
      </c>
      <c r="AG80" s="8">
        <f t="shared" si="26"/>
        <v>-0.64395334187231812</v>
      </c>
      <c r="AH80" s="8">
        <f t="shared" si="27"/>
        <v>-0.56561486796976901</v>
      </c>
      <c r="AI80" s="8">
        <f t="shared" si="28"/>
        <v>0.51517367423327665</v>
      </c>
      <c r="AJ80" s="8"/>
      <c r="AK80" s="8"/>
      <c r="AL80" s="8"/>
      <c r="AN80" s="8">
        <f t="shared" si="38"/>
        <v>1</v>
      </c>
      <c r="AO80" s="8">
        <f t="shared" si="39"/>
        <v>3.8623154927482424</v>
      </c>
      <c r="AP80" s="8">
        <f t="shared" si="40"/>
        <v>1.029586056457731</v>
      </c>
      <c r="AQ80" s="8"/>
      <c r="AR80" s="8">
        <f t="shared" si="41"/>
        <v>221.2943768824652</v>
      </c>
      <c r="AS80" s="8">
        <f t="shared" si="42"/>
        <v>31.009064319453913</v>
      </c>
    </row>
    <row r="81" spans="1:45">
      <c r="A81" s="19">
        <v>9.6429666669999996</v>
      </c>
      <c r="B81" s="19">
        <v>1068.660167</v>
      </c>
      <c r="C81" s="19">
        <v>575.87079570000003</v>
      </c>
      <c r="E81" s="9">
        <f t="shared" si="22"/>
        <v>108.660167</v>
      </c>
      <c r="F81" s="9">
        <f t="shared" si="23"/>
        <v>-35.870795700000031</v>
      </c>
      <c r="I81">
        <v>1</v>
      </c>
      <c r="J81">
        <f t="shared" si="24"/>
        <v>7.3140949284075468E-2</v>
      </c>
      <c r="K81">
        <f t="shared" si="34"/>
        <v>-0.31885495341032044</v>
      </c>
      <c r="O81">
        <f t="shared" si="35"/>
        <v>6.9392370081471116E-2</v>
      </c>
      <c r="P81">
        <f t="shared" si="36"/>
        <v>-2.2907746224347734E-2</v>
      </c>
      <c r="Q81">
        <f t="shared" si="37"/>
        <v>0.99732639298145376</v>
      </c>
      <c r="R81">
        <f t="shared" si="43"/>
        <v>1</v>
      </c>
      <c r="AG81" s="8">
        <f t="shared" si="26"/>
        <v>-0.64418176781149894</v>
      </c>
      <c r="AH81" s="8">
        <f t="shared" si="27"/>
        <v>-0.56583237583820489</v>
      </c>
      <c r="AI81" s="8">
        <f t="shared" si="28"/>
        <v>0.51464897986156033</v>
      </c>
      <c r="AJ81" s="8"/>
      <c r="AK81" s="8"/>
      <c r="AL81" s="8"/>
      <c r="AN81" s="8">
        <f t="shared" si="38"/>
        <v>1.0000000000000002</v>
      </c>
      <c r="AO81" s="8">
        <f t="shared" si="39"/>
        <v>3.8623302761349763</v>
      </c>
      <c r="AP81" s="8">
        <f t="shared" si="40"/>
        <v>1.0301981280826285</v>
      </c>
      <c r="AQ81" s="8"/>
      <c r="AR81" s="8">
        <f t="shared" si="41"/>
        <v>221.29522390813196</v>
      </c>
      <c r="AS81" s="8">
        <f t="shared" si="42"/>
        <v>30.973995198587581</v>
      </c>
    </row>
    <row r="82" spans="1:45">
      <c r="A82" s="19">
        <v>9.6763333330000005</v>
      </c>
      <c r="B82" s="19">
        <v>1067.75</v>
      </c>
      <c r="C82" s="19">
        <v>574.83333330000005</v>
      </c>
      <c r="E82" s="9">
        <f t="shared" si="22"/>
        <v>107.75</v>
      </c>
      <c r="F82" s="9">
        <f t="shared" si="23"/>
        <v>-34.833333300000049</v>
      </c>
      <c r="I82">
        <v>1</v>
      </c>
      <c r="J82">
        <f t="shared" si="24"/>
        <v>7.2377899937889484E-2</v>
      </c>
      <c r="K82">
        <f t="shared" si="34"/>
        <v>-0.31267470371619938</v>
      </c>
      <c r="O82">
        <f t="shared" si="35"/>
        <v>6.8808488239040705E-2</v>
      </c>
      <c r="P82">
        <f t="shared" si="36"/>
        <v>-2.224435271182959E-2</v>
      </c>
      <c r="Q82">
        <f t="shared" si="37"/>
        <v>0.99738186303877086</v>
      </c>
      <c r="R82">
        <f t="shared" si="43"/>
        <v>1</v>
      </c>
      <c r="AG82" s="8">
        <f t="shared" si="26"/>
        <v>-0.64438562734662264</v>
      </c>
      <c r="AH82" s="8">
        <f t="shared" si="27"/>
        <v>-0.56513687902291121</v>
      </c>
      <c r="AI82" s="8">
        <f t="shared" si="28"/>
        <v>0.51515771491587214</v>
      </c>
      <c r="AJ82" s="8"/>
      <c r="AK82" s="8"/>
      <c r="AL82" s="8"/>
      <c r="AN82" s="8">
        <f t="shared" si="38"/>
        <v>1</v>
      </c>
      <c r="AO82" s="8">
        <f t="shared" si="39"/>
        <v>3.8615636461854947</v>
      </c>
      <c r="AP82" s="8">
        <f t="shared" si="40"/>
        <v>1.0296046767964566</v>
      </c>
      <c r="AQ82" s="8"/>
      <c r="AR82" s="8">
        <f t="shared" si="41"/>
        <v>221.25129924757834</v>
      </c>
      <c r="AS82" s="8">
        <f t="shared" si="42"/>
        <v>31.007997452631834</v>
      </c>
    </row>
    <row r="83" spans="1:45">
      <c r="A83" s="19">
        <v>9.7096999999999998</v>
      </c>
      <c r="B83" s="19">
        <v>1067.666667</v>
      </c>
      <c r="C83" s="19">
        <v>574.33333330000005</v>
      </c>
      <c r="E83" s="9">
        <f t="shared" si="22"/>
        <v>107.66666699999996</v>
      </c>
      <c r="F83" s="9">
        <f t="shared" si="23"/>
        <v>-34.333333300000049</v>
      </c>
      <c r="I83">
        <v>1</v>
      </c>
      <c r="J83">
        <f t="shared" si="24"/>
        <v>7.2228676377276244E-2</v>
      </c>
      <c r="K83">
        <f t="shared" si="34"/>
        <v>-0.30869159412027081</v>
      </c>
      <c r="O83">
        <f t="shared" si="35"/>
        <v>6.8754745279710733E-2</v>
      </c>
      <c r="P83">
        <f t="shared" si="36"/>
        <v>-2.192488772448872E-2</v>
      </c>
      <c r="Q83">
        <f t="shared" si="37"/>
        <v>0.99739264299461861</v>
      </c>
      <c r="R83">
        <f t="shared" si="43"/>
        <v>1</v>
      </c>
      <c r="AG83" s="8">
        <f t="shared" si="26"/>
        <v>-0.64432432923731375</v>
      </c>
      <c r="AH83" s="8">
        <f t="shared" si="27"/>
        <v>-0.56496341738164124</v>
      </c>
      <c r="AI83" s="8">
        <f t="shared" si="28"/>
        <v>0.51542457816187148</v>
      </c>
      <c r="AJ83" s="8"/>
      <c r="AK83" s="8"/>
      <c r="AL83" s="8"/>
      <c r="AN83" s="8">
        <f t="shared" si="38"/>
        <v>1</v>
      </c>
      <c r="AO83" s="8">
        <f t="shared" si="39"/>
        <v>3.8614586264556103</v>
      </c>
      <c r="AP83" s="8">
        <f t="shared" si="40"/>
        <v>1.0292932899603193</v>
      </c>
      <c r="AQ83" s="8"/>
      <c r="AR83" s="8">
        <f t="shared" si="41"/>
        <v>221.24528206029038</v>
      </c>
      <c r="AS83" s="8">
        <f t="shared" si="42"/>
        <v>31.025838604138436</v>
      </c>
    </row>
    <row r="84" spans="1:45">
      <c r="A84" s="19">
        <v>9.7430666670000008</v>
      </c>
      <c r="B84" s="19">
        <v>1066.75</v>
      </c>
      <c r="C84" s="19">
        <v>574.5</v>
      </c>
      <c r="E84" s="9">
        <f t="shared" si="22"/>
        <v>106.75</v>
      </c>
      <c r="F84" s="9">
        <f t="shared" si="23"/>
        <v>-34.5</v>
      </c>
      <c r="I84">
        <v>1</v>
      </c>
      <c r="J84">
        <f t="shared" si="24"/>
        <v>7.1700506364962474E-2</v>
      </c>
      <c r="K84">
        <f t="shared" si="34"/>
        <v>-0.31258942943700901</v>
      </c>
      <c r="O84">
        <f t="shared" si="35"/>
        <v>6.8167489302290357E-2</v>
      </c>
      <c r="P84">
        <f t="shared" si="36"/>
        <v>-2.2030710828374874E-2</v>
      </c>
      <c r="Q84">
        <f t="shared" si="37"/>
        <v>0.99743061973383329</v>
      </c>
      <c r="R84">
        <f t="shared" si="43"/>
        <v>1</v>
      </c>
      <c r="AG84" s="8">
        <f t="shared" si="26"/>
        <v>-0.64476831071283125</v>
      </c>
      <c r="AH84" s="8">
        <f t="shared" si="27"/>
        <v>-0.56459089816191677</v>
      </c>
      <c r="AI84" s="8">
        <f t="shared" si="28"/>
        <v>0.51527753998524173</v>
      </c>
      <c r="AJ84" s="8"/>
      <c r="AK84" s="8"/>
      <c r="AL84" s="8"/>
      <c r="AN84" s="8">
        <f t="shared" si="38"/>
        <v>1.0000000000000002</v>
      </c>
      <c r="AO84" s="8">
        <f t="shared" si="39"/>
        <v>3.8607902609178044</v>
      </c>
      <c r="AP84" s="8">
        <f t="shared" si="40"/>
        <v>1.0294648672673818</v>
      </c>
      <c r="AQ84" s="8"/>
      <c r="AR84" s="8">
        <f t="shared" si="41"/>
        <v>221.20698753580209</v>
      </c>
      <c r="AS84" s="8">
        <f t="shared" si="42"/>
        <v>31.016007948583528</v>
      </c>
    </row>
    <row r="85" spans="1:45">
      <c r="A85" s="19">
        <v>9.7764333329999999</v>
      </c>
      <c r="B85" s="19">
        <v>1066.25</v>
      </c>
      <c r="C85" s="19">
        <v>574.58333330000005</v>
      </c>
      <c r="E85" s="9">
        <f t="shared" si="22"/>
        <v>106.25</v>
      </c>
      <c r="F85" s="9">
        <f t="shared" si="23"/>
        <v>-34.583333300000049</v>
      </c>
      <c r="I85">
        <v>1</v>
      </c>
      <c r="J85">
        <f t="shared" si="24"/>
        <v>7.1411371383914041E-2</v>
      </c>
      <c r="K85">
        <f t="shared" si="34"/>
        <v>-0.31467520048277248</v>
      </c>
      <c r="O85">
        <f t="shared" si="35"/>
        <v>6.7847156039497716E-2</v>
      </c>
      <c r="P85">
        <f t="shared" si="36"/>
        <v>-2.2083584101374686E-2</v>
      </c>
      <c r="Q85">
        <f t="shared" si="37"/>
        <v>0.99745129140755018</v>
      </c>
      <c r="R85">
        <f t="shared" si="43"/>
        <v>1</v>
      </c>
      <c r="AG85" s="8">
        <f t="shared" si="26"/>
        <v>-0.64500888578351456</v>
      </c>
      <c r="AH85" s="8">
        <f t="shared" si="27"/>
        <v>-0.56438556802061235</v>
      </c>
      <c r="AI85" s="8">
        <f t="shared" si="28"/>
        <v>0.51520138574188634</v>
      </c>
      <c r="AJ85" s="8"/>
      <c r="AK85" s="8"/>
      <c r="AL85" s="8"/>
      <c r="AN85" s="8">
        <f t="shared" si="38"/>
        <v>1</v>
      </c>
      <c r="AO85" s="8">
        <f t="shared" si="39"/>
        <v>3.8604251056583725</v>
      </c>
      <c r="AP85" s="8">
        <f t="shared" si="40"/>
        <v>1.029553723898287</v>
      </c>
      <c r="AQ85" s="8"/>
      <c r="AR85" s="8">
        <f t="shared" si="41"/>
        <v>221.18606568056964</v>
      </c>
      <c r="AS85" s="8">
        <f t="shared" si="42"/>
        <v>31.010916838650914</v>
      </c>
    </row>
    <row r="86" spans="1:45">
      <c r="A86" s="19">
        <v>9.8097999999999992</v>
      </c>
      <c r="B86" s="19">
        <v>1065.25</v>
      </c>
      <c r="C86" s="19">
        <v>574.58333330000005</v>
      </c>
      <c r="E86" s="9">
        <f t="shared" si="22"/>
        <v>105.25</v>
      </c>
      <c r="F86" s="9">
        <f t="shared" si="23"/>
        <v>-34.583333300000049</v>
      </c>
      <c r="I86">
        <v>1</v>
      </c>
      <c r="J86">
        <f t="shared" si="24"/>
        <v>7.080053657752973E-2</v>
      </c>
      <c r="K86">
        <f t="shared" si="34"/>
        <v>-0.31746894373811929</v>
      </c>
      <c r="O86">
        <f t="shared" si="35"/>
        <v>6.7206351401664144E-2</v>
      </c>
      <c r="P86">
        <f t="shared" si="36"/>
        <v>-2.208284703468576E-2</v>
      </c>
      <c r="Q86">
        <f t="shared" si="37"/>
        <v>0.99749468880697245</v>
      </c>
      <c r="R86">
        <f t="shared" si="43"/>
        <v>1</v>
      </c>
      <c r="AG86" s="8">
        <f t="shared" si="26"/>
        <v>-0.64545693951826399</v>
      </c>
      <c r="AH86" s="8">
        <f t="shared" si="27"/>
        <v>-0.56392956065416644</v>
      </c>
      <c r="AI86" s="8">
        <f t="shared" si="28"/>
        <v>0.51513958287838357</v>
      </c>
      <c r="AJ86" s="8"/>
      <c r="AK86" s="8"/>
      <c r="AL86" s="8"/>
      <c r="AN86" s="8">
        <f t="shared" si="38"/>
        <v>1</v>
      </c>
      <c r="AO86" s="8">
        <f t="shared" si="39"/>
        <v>3.8596804767661035</v>
      </c>
      <c r="AP86" s="8">
        <f t="shared" si="40"/>
        <v>1.029625831876934</v>
      </c>
      <c r="AQ86" s="8"/>
      <c r="AR86" s="8">
        <f t="shared" si="41"/>
        <v>221.14340158773913</v>
      </c>
      <c r="AS86" s="8">
        <f t="shared" si="42"/>
        <v>31.006785355805221</v>
      </c>
    </row>
    <row r="87" spans="1:45">
      <c r="A87" s="19">
        <v>9.8431666670000002</v>
      </c>
      <c r="B87" s="19">
        <v>1065.083333</v>
      </c>
      <c r="C87" s="19">
        <v>574.58333330000005</v>
      </c>
      <c r="E87" s="9">
        <f t="shared" si="22"/>
        <v>105.08333300000004</v>
      </c>
      <c r="F87" s="9">
        <f t="shared" si="23"/>
        <v>-34.583333300000049</v>
      </c>
      <c r="I87">
        <v>1</v>
      </c>
      <c r="J87">
        <f t="shared" si="24"/>
        <v>7.0698784558875932E-2</v>
      </c>
      <c r="K87">
        <f t="shared" si="34"/>
        <v>-0.31793923477435565</v>
      </c>
      <c r="O87">
        <f t="shared" si="35"/>
        <v>6.709954802612679E-2</v>
      </c>
      <c r="P87">
        <f t="shared" si="36"/>
        <v>-2.2082722039915716E-2</v>
      </c>
      <c r="Q87">
        <f t="shared" si="37"/>
        <v>0.99750188172353704</v>
      </c>
      <c r="R87">
        <f t="shared" si="43"/>
        <v>1</v>
      </c>
      <c r="AG87" s="8">
        <f t="shared" si="26"/>
        <v>-0.64553158879773653</v>
      </c>
      <c r="AH87" s="8">
        <f t="shared" si="27"/>
        <v>-0.56385353634017821</v>
      </c>
      <c r="AI87" s="8">
        <f t="shared" si="28"/>
        <v>0.51512926282724958</v>
      </c>
      <c r="AJ87" s="8"/>
      <c r="AK87" s="8"/>
      <c r="AL87" s="8"/>
      <c r="AN87" s="8">
        <f t="shared" si="38"/>
        <v>1.0000000000000002</v>
      </c>
      <c r="AO87" s="8">
        <f t="shared" si="39"/>
        <v>3.8595563781766971</v>
      </c>
      <c r="AP87" s="8">
        <f t="shared" si="40"/>
        <v>1.0296378724065494</v>
      </c>
      <c r="AQ87" s="8"/>
      <c r="AR87" s="8">
        <f t="shared" si="41"/>
        <v>221.1362912623226</v>
      </c>
      <c r="AS87" s="8">
        <f t="shared" si="42"/>
        <v>31.006095484275157</v>
      </c>
    </row>
    <row r="88" spans="1:45">
      <c r="A88" s="19">
        <v>9.8765333329999994</v>
      </c>
      <c r="B88" s="19">
        <v>1064.8403800000001</v>
      </c>
      <c r="C88" s="19">
        <v>575.53503929999999</v>
      </c>
      <c r="E88" s="9">
        <f t="shared" si="22"/>
        <v>104.8403800000001</v>
      </c>
      <c r="F88" s="9">
        <f t="shared" si="23"/>
        <v>-35.535039299999994</v>
      </c>
      <c r="I88">
        <v>1</v>
      </c>
      <c r="J88">
        <f t="shared" si="24"/>
        <v>7.074446167225576E-2</v>
      </c>
      <c r="K88">
        <f t="shared" si="34"/>
        <v>-0.32679181078487102</v>
      </c>
      <c r="O88">
        <f t="shared" si="35"/>
        <v>6.6944583997833845E-2</v>
      </c>
      <c r="P88">
        <f t="shared" si="36"/>
        <v>-2.26904788334912E-2</v>
      </c>
      <c r="Q88">
        <f t="shared" si="37"/>
        <v>0.9974986540560663</v>
      </c>
      <c r="R88">
        <f t="shared" si="43"/>
        <v>1</v>
      </c>
      <c r="AG88" s="8">
        <f t="shared" si="26"/>
        <v>-0.64582804450264919</v>
      </c>
      <c r="AH88" s="8">
        <f t="shared" si="27"/>
        <v>-0.56400055999979259</v>
      </c>
      <c r="AI88" s="8">
        <f t="shared" si="28"/>
        <v>0.51459644893236933</v>
      </c>
      <c r="AJ88" s="8"/>
      <c r="AK88" s="8"/>
      <c r="AL88" s="8"/>
      <c r="AN88" s="8">
        <f t="shared" si="38"/>
        <v>1</v>
      </c>
      <c r="AO88" s="8">
        <f t="shared" si="39"/>
        <v>3.8594580687514428</v>
      </c>
      <c r="AP88" s="8">
        <f t="shared" si="40"/>
        <v>1.0302593945903924</v>
      </c>
      <c r="AQ88" s="8"/>
      <c r="AR88" s="8">
        <f t="shared" si="41"/>
        <v>221.13065854716919</v>
      </c>
      <c r="AS88" s="8">
        <f t="shared" si="42"/>
        <v>30.970484886267201</v>
      </c>
    </row>
    <row r="89" spans="1:45">
      <c r="A89" s="19">
        <v>9.9099000000000004</v>
      </c>
      <c r="B89" s="19">
        <v>1064.3374819999999</v>
      </c>
      <c r="C89" s="19">
        <v>575.30013680000002</v>
      </c>
      <c r="E89" s="9">
        <f t="shared" si="22"/>
        <v>104.33748199999991</v>
      </c>
      <c r="F89" s="9">
        <f t="shared" si="23"/>
        <v>-35.300136800000018</v>
      </c>
      <c r="I89">
        <v>1</v>
      </c>
      <c r="J89">
        <f t="shared" si="24"/>
        <v>7.0389916174702319E-2</v>
      </c>
      <c r="K89">
        <f t="shared" si="34"/>
        <v>-0.32623766737428261</v>
      </c>
      <c r="O89">
        <f t="shared" si="35"/>
        <v>6.6622138435727715E-2</v>
      </c>
      <c r="P89">
        <f t="shared" si="36"/>
        <v>-2.2540036002495534E-2</v>
      </c>
      <c r="Q89">
        <f t="shared" si="37"/>
        <v>0.9975236525753447</v>
      </c>
      <c r="R89">
        <f t="shared" si="43"/>
        <v>1</v>
      </c>
      <c r="AG89" s="8">
        <f t="shared" si="26"/>
        <v>-0.64600691098088903</v>
      </c>
      <c r="AH89" s="8">
        <f t="shared" si="27"/>
        <v>-0.56370747254813358</v>
      </c>
      <c r="AI89" s="8">
        <f t="shared" si="28"/>
        <v>0.51469307005080711</v>
      </c>
      <c r="AJ89" s="8"/>
      <c r="AK89" s="8"/>
      <c r="AL89" s="8"/>
      <c r="AN89" s="8">
        <f t="shared" si="38"/>
        <v>1</v>
      </c>
      <c r="AO89" s="8">
        <f t="shared" si="39"/>
        <v>3.859063362172753</v>
      </c>
      <c r="AP89" s="8">
        <f t="shared" si="40"/>
        <v>1.0301467042200991</v>
      </c>
      <c r="AQ89" s="8"/>
      <c r="AR89" s="8">
        <f t="shared" si="41"/>
        <v>221.10804352606422</v>
      </c>
      <c r="AS89" s="8">
        <f t="shared" si="42"/>
        <v>30.976941568876768</v>
      </c>
    </row>
    <row r="90" spans="1:45">
      <c r="A90" s="19">
        <v>9.9432666669999996</v>
      </c>
      <c r="B90" s="19">
        <v>1063.915628</v>
      </c>
      <c r="C90" s="19">
        <v>575.31040159999998</v>
      </c>
      <c r="E90" s="9">
        <f t="shared" si="22"/>
        <v>103.91562799999997</v>
      </c>
      <c r="F90" s="9">
        <f t="shared" si="23"/>
        <v>-35.310401599999977</v>
      </c>
      <c r="I90">
        <v>1</v>
      </c>
      <c r="J90">
        <f t="shared" si="24"/>
        <v>7.0135275723867629E-2</v>
      </c>
      <c r="K90">
        <f t="shared" si="34"/>
        <v>-0.32755810900888516</v>
      </c>
      <c r="O90">
        <f t="shared" si="35"/>
        <v>6.6351811035089678E-2</v>
      </c>
      <c r="P90">
        <f t="shared" si="36"/>
        <v>-2.2546263152413683E-2</v>
      </c>
      <c r="Q90">
        <f t="shared" si="37"/>
        <v>0.99754152955665254</v>
      </c>
      <c r="R90">
        <f t="shared" si="43"/>
        <v>1</v>
      </c>
      <c r="AG90" s="8">
        <f t="shared" si="26"/>
        <v>-0.64619775472451035</v>
      </c>
      <c r="AH90" s="8">
        <f t="shared" si="27"/>
        <v>-0.56351772715024462</v>
      </c>
      <c r="AI90" s="8">
        <f t="shared" si="28"/>
        <v>0.51466127984959598</v>
      </c>
      <c r="AJ90" s="8"/>
      <c r="AK90" s="8"/>
      <c r="AL90" s="8"/>
      <c r="AN90" s="8">
        <f t="shared" si="38"/>
        <v>1</v>
      </c>
      <c r="AO90" s="8">
        <f t="shared" si="39"/>
        <v>3.858750269303767</v>
      </c>
      <c r="AP90" s="8">
        <f t="shared" si="40"/>
        <v>1.0301837823547961</v>
      </c>
      <c r="AQ90" s="8"/>
      <c r="AR90" s="8">
        <f t="shared" si="41"/>
        <v>221.09010462607566</v>
      </c>
      <c r="AS90" s="8">
        <f t="shared" si="42"/>
        <v>30.974817148246416</v>
      </c>
    </row>
    <row r="91" spans="1:45">
      <c r="A91" s="19">
        <v>9.9766333330000005</v>
      </c>
      <c r="B91" s="19">
        <v>1063.4857649999999</v>
      </c>
      <c r="C91" s="19">
        <v>575.28622310000003</v>
      </c>
      <c r="E91" s="9">
        <f t="shared" si="22"/>
        <v>103.4857649999999</v>
      </c>
      <c r="F91" s="9">
        <f t="shared" si="23"/>
        <v>-35.286223100000029</v>
      </c>
      <c r="I91">
        <v>1</v>
      </c>
      <c r="J91">
        <f t="shared" si="24"/>
        <v>6.9868739860180315E-2</v>
      </c>
      <c r="K91">
        <f t="shared" si="34"/>
        <v>-0.32861363908091307</v>
      </c>
      <c r="O91">
        <f t="shared" si="35"/>
        <v>6.6076319962950963E-2</v>
      </c>
      <c r="P91">
        <f t="shared" si="36"/>
        <v>-2.2530478156485345E-2</v>
      </c>
      <c r="Q91">
        <f t="shared" si="37"/>
        <v>0.99756017236765915</v>
      </c>
      <c r="R91">
        <f t="shared" ref="R91:R154" si="44">SQRT(O91^2+P91^2+Q91^2)</f>
        <v>1</v>
      </c>
      <c r="AG91" s="8">
        <f t="shared" si="26"/>
        <v>-0.6463853447665896</v>
      </c>
      <c r="AH91" s="8">
        <f t="shared" si="27"/>
        <v>-0.56331495268395249</v>
      </c>
      <c r="AI91" s="8">
        <f t="shared" si="28"/>
        <v>0.51464769517957965</v>
      </c>
      <c r="AJ91" s="8"/>
      <c r="AK91" s="8"/>
      <c r="AL91" s="8"/>
      <c r="AN91" s="8">
        <f t="shared" si="38"/>
        <v>1</v>
      </c>
      <c r="AO91" s="8">
        <f t="shared" si="39"/>
        <v>3.8584282276528521</v>
      </c>
      <c r="AP91" s="8">
        <f t="shared" si="40"/>
        <v>1.0301996264263953</v>
      </c>
      <c r="AQ91" s="8"/>
      <c r="AR91" s="8">
        <f t="shared" si="41"/>
        <v>221.07165299865082</v>
      </c>
      <c r="AS91" s="8">
        <f t="shared" si="42"/>
        <v>30.973909349813475</v>
      </c>
    </row>
    <row r="92" spans="1:45">
      <c r="A92" s="19">
        <v>10.01</v>
      </c>
      <c r="B92" s="19">
        <v>1063.106006</v>
      </c>
      <c r="C92" s="19">
        <v>575.03067269999997</v>
      </c>
      <c r="E92" s="9">
        <f t="shared" si="22"/>
        <v>103.10600599999998</v>
      </c>
      <c r="F92" s="9">
        <f t="shared" si="23"/>
        <v>-35.030672699999968</v>
      </c>
      <c r="I92">
        <v>1</v>
      </c>
      <c r="J92">
        <f t="shared" si="24"/>
        <v>6.9584772657732497E-2</v>
      </c>
      <c r="K92">
        <f t="shared" si="34"/>
        <v>-0.32751793534960466</v>
      </c>
      <c r="O92">
        <f t="shared" si="35"/>
        <v>6.5832747800142047E-2</v>
      </c>
      <c r="P92">
        <f t="shared" si="36"/>
        <v>-2.2366936035990173E-2</v>
      </c>
      <c r="Q92">
        <f t="shared" si="37"/>
        <v>0.99757995643930453</v>
      </c>
      <c r="R92">
        <f t="shared" si="44"/>
        <v>1</v>
      </c>
      <c r="AG92" s="8">
        <f t="shared" si="26"/>
        <v>-0.64650486471564461</v>
      </c>
      <c r="AH92" s="8">
        <f t="shared" si="27"/>
        <v>-0.56307232416912623</v>
      </c>
      <c r="AI92" s="8">
        <f t="shared" si="28"/>
        <v>0.51476306943465189</v>
      </c>
      <c r="AJ92" s="8"/>
      <c r="AK92" s="8"/>
      <c r="AL92" s="8"/>
      <c r="AN92" s="8">
        <f t="shared" si="38"/>
        <v>0.99999999999999967</v>
      </c>
      <c r="AO92" s="8">
        <f t="shared" si="39"/>
        <v>3.8581232820780706</v>
      </c>
      <c r="AP92" s="8">
        <f t="shared" si="40"/>
        <v>1.0300650583361675</v>
      </c>
      <c r="AQ92" s="8"/>
      <c r="AR92" s="8">
        <f t="shared" si="41"/>
        <v>221.05418090423464</v>
      </c>
      <c r="AS92" s="8">
        <f t="shared" si="42"/>
        <v>30.981619533440671</v>
      </c>
    </row>
    <row r="93" spans="1:45">
      <c r="A93" s="19">
        <v>10.043366669999999</v>
      </c>
      <c r="B93" s="19">
        <v>1062.010675</v>
      </c>
      <c r="C93" s="19">
        <v>574.63847880000003</v>
      </c>
      <c r="E93" s="9">
        <f t="shared" si="22"/>
        <v>102.01067499999999</v>
      </c>
      <c r="F93" s="9">
        <f t="shared" si="23"/>
        <v>-34.63847880000003</v>
      </c>
      <c r="I93">
        <v>1</v>
      </c>
      <c r="J93">
        <f t="shared" si="24"/>
        <v>6.8837154624767416E-2</v>
      </c>
      <c r="K93">
        <f t="shared" si="34"/>
        <v>-0.32734170928224399</v>
      </c>
      <c r="O93">
        <f t="shared" si="35"/>
        <v>6.5130463463674959E-2</v>
      </c>
      <c r="P93">
        <f t="shared" si="36"/>
        <v>-2.2115530339552034E-2</v>
      </c>
      <c r="Q93">
        <f t="shared" si="37"/>
        <v>0.99763165850267965</v>
      </c>
      <c r="R93">
        <f t="shared" si="44"/>
        <v>1</v>
      </c>
      <c r="AG93" s="8">
        <f t="shared" si="26"/>
        <v>-0.64691733023371722</v>
      </c>
      <c r="AH93" s="8">
        <f t="shared" si="27"/>
        <v>-0.56246573923075016</v>
      </c>
      <c r="AI93" s="8">
        <f t="shared" si="28"/>
        <v>0.51490801123587637</v>
      </c>
      <c r="AJ93" s="8"/>
      <c r="AK93" s="8"/>
      <c r="AL93" s="8"/>
      <c r="AN93" s="8">
        <f t="shared" si="38"/>
        <v>0.99999999999999989</v>
      </c>
      <c r="AO93" s="8">
        <f t="shared" si="39"/>
        <v>3.85727368292096</v>
      </c>
      <c r="AP93" s="8">
        <f t="shared" si="40"/>
        <v>1.0298959883868188</v>
      </c>
      <c r="AQ93" s="8"/>
      <c r="AR93" s="8">
        <f t="shared" si="41"/>
        <v>221.00550245825434</v>
      </c>
      <c r="AS93" s="8">
        <f t="shared" si="42"/>
        <v>30.991306527980832</v>
      </c>
    </row>
    <row r="94" spans="1:45">
      <c r="A94" s="19">
        <v>10.07673333</v>
      </c>
      <c r="B94" s="19">
        <v>1061.697017</v>
      </c>
      <c r="C94" s="19">
        <v>574.69933370000001</v>
      </c>
      <c r="E94" s="9">
        <f t="shared" si="22"/>
        <v>101.69701699999996</v>
      </c>
      <c r="F94" s="9">
        <f t="shared" si="23"/>
        <v>-34.699333700000011</v>
      </c>
      <c r="I94">
        <v>1</v>
      </c>
      <c r="J94">
        <f t="shared" si="24"/>
        <v>6.865892467196609E-2</v>
      </c>
      <c r="K94">
        <f t="shared" si="34"/>
        <v>-0.32881651108465665</v>
      </c>
      <c r="O94">
        <f t="shared" si="35"/>
        <v>6.4929493767157273E-2</v>
      </c>
      <c r="P94">
        <f t="shared" si="36"/>
        <v>-2.2154142153438597E-2</v>
      </c>
      <c r="Q94">
        <f t="shared" si="37"/>
        <v>0.99764390181295948</v>
      </c>
      <c r="R94">
        <f t="shared" si="44"/>
        <v>1</v>
      </c>
      <c r="AG94" s="8">
        <f t="shared" si="26"/>
        <v>-0.64706953253431243</v>
      </c>
      <c r="AH94" s="8">
        <f t="shared" si="27"/>
        <v>-0.56233891764630251</v>
      </c>
      <c r="AI94" s="8">
        <f t="shared" si="28"/>
        <v>0.51485528235244082</v>
      </c>
      <c r="AJ94" s="8"/>
      <c r="AK94" s="8"/>
      <c r="AL94" s="8"/>
      <c r="AN94" s="8">
        <f t="shared" si="38"/>
        <v>1.0000000000000002</v>
      </c>
      <c r="AO94" s="8">
        <f t="shared" si="39"/>
        <v>3.8570455534181698</v>
      </c>
      <c r="AP94" s="8">
        <f t="shared" si="40"/>
        <v>1.029957496920014</v>
      </c>
      <c r="AQ94" s="8"/>
      <c r="AR94" s="8">
        <f t="shared" si="41"/>
        <v>220.99243160056204</v>
      </c>
      <c r="AS94" s="8">
        <f t="shared" si="42"/>
        <v>30.987782348624712</v>
      </c>
    </row>
    <row r="95" spans="1:45">
      <c r="A95" s="19">
        <v>10.110099999999999</v>
      </c>
      <c r="B95" s="19">
        <v>1061.193724</v>
      </c>
      <c r="C95" s="19">
        <v>574.55485920000001</v>
      </c>
      <c r="E95" s="9">
        <f t="shared" si="22"/>
        <v>101.19372399999997</v>
      </c>
      <c r="F95" s="9">
        <f t="shared" si="23"/>
        <v>-34.55485920000001</v>
      </c>
      <c r="I95">
        <v>1</v>
      </c>
      <c r="J95">
        <f t="shared" si="24"/>
        <v>6.8322810920541918E-2</v>
      </c>
      <c r="K95">
        <f t="shared" si="34"/>
        <v>-0.32905770121118777</v>
      </c>
      <c r="O95">
        <f t="shared" si="35"/>
        <v>6.4606813954768055E-2</v>
      </c>
      <c r="P95">
        <f t="shared" si="36"/>
        <v>-2.2061440881132176E-2</v>
      </c>
      <c r="Q95">
        <f t="shared" si="37"/>
        <v>0.99766690454122131</v>
      </c>
      <c r="R95">
        <f t="shared" si="44"/>
        <v>1</v>
      </c>
      <c r="AG95" s="8">
        <f t="shared" si="26"/>
        <v>-0.64726594456891018</v>
      </c>
      <c r="AH95" s="8">
        <f t="shared" si="27"/>
        <v>-0.56206974374158214</v>
      </c>
      <c r="AI95" s="8">
        <f t="shared" si="28"/>
        <v>0.51490232100039013</v>
      </c>
      <c r="AJ95" s="8"/>
      <c r="AK95" s="8"/>
      <c r="AL95" s="8"/>
      <c r="AN95" s="8">
        <f t="shared" si="38"/>
        <v>1</v>
      </c>
      <c r="AO95" s="8">
        <f t="shared" si="39"/>
        <v>3.8566582565873015</v>
      </c>
      <c r="AP95" s="8">
        <f t="shared" si="40"/>
        <v>1.0299026261872601</v>
      </c>
      <c r="AQ95" s="8"/>
      <c r="AR95" s="8">
        <f t="shared" si="41"/>
        <v>220.97024112673449</v>
      </c>
      <c r="AS95" s="8">
        <f t="shared" si="42"/>
        <v>30.990926210030295</v>
      </c>
    </row>
    <row r="96" spans="1:45">
      <c r="A96" s="19">
        <v>10.14346667</v>
      </c>
      <c r="B96" s="19">
        <v>1060.8297909999999</v>
      </c>
      <c r="C96" s="19">
        <v>574.54170799999997</v>
      </c>
      <c r="E96" s="9">
        <f t="shared" ref="E96:E159" si="45">(B96-($B$15/2))</f>
        <v>100.82979099999989</v>
      </c>
      <c r="F96" s="9">
        <f t="shared" ref="F96:F159" si="46">(($C$15/2)-C96)</f>
        <v>-34.541707999999971</v>
      </c>
      <c r="I96">
        <v>1</v>
      </c>
      <c r="J96">
        <f t="shared" ref="J96:J159" si="47">ATAN((SQRT(E96^2+F96^2)^$B$16)/($F$24))</f>
        <v>6.8098765896900254E-2</v>
      </c>
      <c r="K96">
        <f t="shared" si="34"/>
        <v>-0.33004435595668663</v>
      </c>
      <c r="O96">
        <f t="shared" si="35"/>
        <v>6.4373555514298908E-2</v>
      </c>
      <c r="P96">
        <f t="shared" si="36"/>
        <v>-2.2052733973203446E-2</v>
      </c>
      <c r="Q96">
        <f t="shared" si="37"/>
        <v>0.9976821749809679</v>
      </c>
      <c r="R96">
        <f t="shared" si="44"/>
        <v>1</v>
      </c>
      <c r="AG96" s="8">
        <f t="shared" ref="AG96:AG159" si="48">$O96*$Z$27+$P96*$Z$31+$Q96*$Z$35</f>
        <v>-0.64742593857818442</v>
      </c>
      <c r="AH96" s="8">
        <f t="shared" ref="AH96:AH159" si="49">$O96*$AA$27+$P96*$AA$31+$Q96*$AA$35</f>
        <v>-0.56189981912321951</v>
      </c>
      <c r="AI96" s="8">
        <f t="shared" ref="AI96:AI159" si="50">$AB$27*$O96+$P96*$AB$31+$AB$35*$Q96</f>
        <v>0.51488663541157309</v>
      </c>
      <c r="AJ96" s="8"/>
      <c r="AK96" s="8"/>
      <c r="AL96" s="8"/>
      <c r="AN96" s="8">
        <f t="shared" si="38"/>
        <v>1</v>
      </c>
      <c r="AO96" s="8">
        <f t="shared" si="39"/>
        <v>3.8563862214076656</v>
      </c>
      <c r="AP96" s="8">
        <f t="shared" si="40"/>
        <v>1.0299209236775719</v>
      </c>
      <c r="AQ96" s="8"/>
      <c r="AR96" s="8">
        <f t="shared" si="41"/>
        <v>220.95465465906227</v>
      </c>
      <c r="AS96" s="8">
        <f t="shared" si="42"/>
        <v>30.989877841059752</v>
      </c>
    </row>
    <row r="97" spans="1:45">
      <c r="A97" s="19">
        <v>10.176833329999999</v>
      </c>
      <c r="B97" s="19">
        <v>1059.8088949999999</v>
      </c>
      <c r="C97" s="19">
        <v>574.49874720000003</v>
      </c>
      <c r="E97" s="9">
        <f t="shared" si="45"/>
        <v>99.808894999999893</v>
      </c>
      <c r="F97" s="9">
        <f t="shared" si="46"/>
        <v>-34.498747200000025</v>
      </c>
      <c r="I97">
        <v>1</v>
      </c>
      <c r="J97">
        <f t="shared" si="47"/>
        <v>6.7469365000780782E-2</v>
      </c>
      <c r="K97">
        <f t="shared" ref="K97:K160" si="51">ATAN2(E97,F97)</f>
        <v>-0.33279253078723969</v>
      </c>
      <c r="O97">
        <f t="shared" ref="O97:O160" si="52">COS(K97)*SIN(J97)</f>
        <v>6.3719205800496087E-2</v>
      </c>
      <c r="P97">
        <f t="shared" ref="P97:P160" si="53">SIN(K97)*SIN(J97)</f>
        <v>-2.2024417490005197E-2</v>
      </c>
      <c r="Q97">
        <f t="shared" ref="Q97:Q160" si="54">COS(J97)</f>
        <v>0.99772480566856714</v>
      </c>
      <c r="R97">
        <f t="shared" si="44"/>
        <v>1</v>
      </c>
      <c r="AG97" s="8">
        <f t="shared" si="48"/>
        <v>-0.64787335722595318</v>
      </c>
      <c r="AH97" s="8">
        <f t="shared" si="49"/>
        <v>-0.56142134110728925</v>
      </c>
      <c r="AI97" s="8">
        <f t="shared" si="50"/>
        <v>0.51484579317118384</v>
      </c>
      <c r="AJ97" s="8"/>
      <c r="AK97" s="8"/>
      <c r="AL97" s="8"/>
      <c r="AN97" s="8">
        <f t="shared" ref="AN97:AN160" si="55">AG97^2+AH97^2+AI97^2</f>
        <v>1.0000000000000002</v>
      </c>
      <c r="AO97" s="8">
        <f t="shared" ref="AO97:AO160" si="56">IF(ATAN2(AG97,AH97)&gt;=0,ATAN2(AG97,AH97),ATAN2(AG97,AH97)+2*PI())</f>
        <v>3.8556226157049087</v>
      </c>
      <c r="AP97" s="8">
        <f t="shared" ref="AP97:AP160" si="57">ACOS(AI97/AN97)</f>
        <v>1.029968565861012</v>
      </c>
      <c r="AQ97" s="8"/>
      <c r="AR97" s="8">
        <f t="shared" ref="AR97:AR160" si="58">DEGREES(AO97)</f>
        <v>220.91090327508218</v>
      </c>
      <c r="AS97" s="8">
        <f t="shared" ref="AS97:AS160" si="59">90-DEGREES(AP97)</f>
        <v>30.987148145021848</v>
      </c>
    </row>
    <row r="98" spans="1:45">
      <c r="A98" s="19">
        <v>10.2102</v>
      </c>
      <c r="B98" s="19">
        <v>1059.633693</v>
      </c>
      <c r="C98" s="19">
        <v>574.31448880000005</v>
      </c>
      <c r="E98" s="9">
        <f t="shared" si="45"/>
        <v>99.633692999999994</v>
      </c>
      <c r="F98" s="9">
        <f t="shared" si="46"/>
        <v>-34.314488800000049</v>
      </c>
      <c r="I98">
        <v>1</v>
      </c>
      <c r="J98">
        <f t="shared" si="47"/>
        <v>6.7324297344096146E-2</v>
      </c>
      <c r="K98">
        <f t="shared" si="51"/>
        <v>-0.33168305718955166</v>
      </c>
      <c r="O98">
        <f t="shared" si="52"/>
        <v>6.3606752651372514E-2</v>
      </c>
      <c r="P98">
        <f t="shared" si="53"/>
        <v>-2.1906577340858938E-2</v>
      </c>
      <c r="Q98">
        <f t="shared" si="54"/>
        <v>0.99773457536879817</v>
      </c>
      <c r="R98">
        <f t="shared" si="44"/>
        <v>1</v>
      </c>
      <c r="AG98" s="8">
        <f t="shared" si="48"/>
        <v>-0.64791521957024323</v>
      </c>
      <c r="AH98" s="8">
        <f t="shared" si="49"/>
        <v>-0.56129124410518594</v>
      </c>
      <c r="AI98" s="8">
        <f t="shared" si="50"/>
        <v>0.51493495466912709</v>
      </c>
      <c r="AJ98" s="8"/>
      <c r="AK98" s="8"/>
      <c r="AL98" s="8"/>
      <c r="AN98" s="8">
        <f t="shared" si="55"/>
        <v>0.99999999999999978</v>
      </c>
      <c r="AO98" s="8">
        <f t="shared" si="56"/>
        <v>3.8554759419122635</v>
      </c>
      <c r="AP98" s="8">
        <f t="shared" si="57"/>
        <v>1.0298645578461443</v>
      </c>
      <c r="AQ98" s="8"/>
      <c r="AR98" s="8">
        <f t="shared" si="58"/>
        <v>220.90249948579844</v>
      </c>
      <c r="AS98" s="8">
        <f t="shared" si="59"/>
        <v>30.993107365309299</v>
      </c>
    </row>
    <row r="99" spans="1:45">
      <c r="A99" s="19">
        <v>10.24356667</v>
      </c>
      <c r="B99" s="19">
        <v>1059.231826</v>
      </c>
      <c r="C99" s="19">
        <v>574.15843619999998</v>
      </c>
      <c r="E99" s="9">
        <f t="shared" si="45"/>
        <v>99.231825999999955</v>
      </c>
      <c r="F99" s="9">
        <f t="shared" si="46"/>
        <v>-34.158436199999983</v>
      </c>
      <c r="I99">
        <v>1</v>
      </c>
      <c r="J99">
        <f t="shared" si="47"/>
        <v>6.704743931682132E-2</v>
      </c>
      <c r="K99">
        <f t="shared" si="51"/>
        <v>-0.33152406974885001</v>
      </c>
      <c r="O99">
        <f t="shared" si="52"/>
        <v>6.3349042949302659E-2</v>
      </c>
      <c r="P99">
        <f t="shared" si="53"/>
        <v>-2.1806554702669834E-2</v>
      </c>
      <c r="Q99">
        <f t="shared" si="54"/>
        <v>0.99775316232493438</v>
      </c>
      <c r="R99">
        <f t="shared" si="44"/>
        <v>1</v>
      </c>
      <c r="AG99" s="8">
        <f t="shared" si="48"/>
        <v>-0.64806379075731135</v>
      </c>
      <c r="AH99" s="8">
        <f t="shared" si="49"/>
        <v>-0.56106508137689981</v>
      </c>
      <c r="AI99" s="8">
        <f t="shared" si="50"/>
        <v>0.51499446362926726</v>
      </c>
      <c r="AJ99" s="8"/>
      <c r="AK99" s="8"/>
      <c r="AL99" s="8"/>
      <c r="AN99" s="8">
        <f t="shared" si="55"/>
        <v>1</v>
      </c>
      <c r="AO99" s="8">
        <f t="shared" si="56"/>
        <v>3.8551630371307368</v>
      </c>
      <c r="AP99" s="8">
        <f t="shared" si="57"/>
        <v>1.029795136275665</v>
      </c>
      <c r="AQ99" s="8"/>
      <c r="AR99" s="8">
        <f t="shared" si="58"/>
        <v>220.88457136242749</v>
      </c>
      <c r="AS99" s="8">
        <f t="shared" si="59"/>
        <v>30.997084928304936</v>
      </c>
    </row>
    <row r="100" spans="1:45">
      <c r="A100" s="19">
        <v>10.27693333</v>
      </c>
      <c r="B100" s="19">
        <v>1058.8259579999999</v>
      </c>
      <c r="C100" s="19">
        <v>574.13736689999996</v>
      </c>
      <c r="E100" s="9">
        <f t="shared" si="45"/>
        <v>98.8259579999999</v>
      </c>
      <c r="F100" s="9">
        <f t="shared" si="46"/>
        <v>-34.137366899999961</v>
      </c>
      <c r="I100">
        <v>1</v>
      </c>
      <c r="J100">
        <f t="shared" si="47"/>
        <v>6.6796426050745122E-2</v>
      </c>
      <c r="K100">
        <f t="shared" si="51"/>
        <v>-0.33259700557036259</v>
      </c>
      <c r="O100">
        <f t="shared" si="52"/>
        <v>6.3088883402602977E-2</v>
      </c>
      <c r="P100">
        <f t="shared" si="53"/>
        <v>-2.1792739515117857E-2</v>
      </c>
      <c r="Q100">
        <f t="shared" si="54"/>
        <v>0.99776994808194086</v>
      </c>
      <c r="R100">
        <f t="shared" si="44"/>
        <v>1</v>
      </c>
      <c r="AG100" s="8">
        <f t="shared" si="48"/>
        <v>-0.64824073514410674</v>
      </c>
      <c r="AH100" s="8">
        <f t="shared" si="49"/>
        <v>-0.56087365169906955</v>
      </c>
      <c r="AI100" s="8">
        <f t="shared" si="50"/>
        <v>0.51498028712716659</v>
      </c>
      <c r="AJ100" s="8"/>
      <c r="AK100" s="8"/>
      <c r="AL100" s="8"/>
      <c r="AN100" s="8">
        <f t="shared" si="55"/>
        <v>1</v>
      </c>
      <c r="AO100" s="8">
        <f t="shared" si="56"/>
        <v>3.8548590910102956</v>
      </c>
      <c r="AP100" s="8">
        <f t="shared" si="57"/>
        <v>1.0298116744687507</v>
      </c>
      <c r="AQ100" s="8"/>
      <c r="AR100" s="8">
        <f t="shared" si="58"/>
        <v>220.86715653252685</v>
      </c>
      <c r="AS100" s="8">
        <f t="shared" si="59"/>
        <v>30.99613735964035</v>
      </c>
    </row>
    <row r="101" spans="1:45">
      <c r="A101" s="19">
        <v>10.3103</v>
      </c>
      <c r="B101" s="19">
        <v>1057.833333</v>
      </c>
      <c r="C101" s="19">
        <v>572.5</v>
      </c>
      <c r="E101" s="9">
        <f t="shared" si="45"/>
        <v>97.833333000000039</v>
      </c>
      <c r="F101" s="9">
        <f t="shared" si="46"/>
        <v>-32.5</v>
      </c>
      <c r="I101">
        <v>1</v>
      </c>
      <c r="J101">
        <f t="shared" si="47"/>
        <v>6.58545193642458E-2</v>
      </c>
      <c r="K101">
        <f t="shared" si="51"/>
        <v>-0.32072806088481165</v>
      </c>
      <c r="O101">
        <f t="shared" si="52"/>
        <v>6.2451180667852713E-2</v>
      </c>
      <c r="P101">
        <f t="shared" si="53"/>
        <v>-2.0746133341948109E-2</v>
      </c>
      <c r="Q101">
        <f t="shared" si="54"/>
        <v>0.99783237469253794</v>
      </c>
      <c r="R101">
        <f t="shared" si="44"/>
        <v>1</v>
      </c>
      <c r="AG101" s="8">
        <f t="shared" si="48"/>
        <v>-0.64836002410702687</v>
      </c>
      <c r="AH101" s="8">
        <f t="shared" si="49"/>
        <v>-0.55997499485266322</v>
      </c>
      <c r="AI101" s="8">
        <f t="shared" si="50"/>
        <v>0.51580741006667941</v>
      </c>
      <c r="AJ101" s="8"/>
      <c r="AK101" s="8"/>
      <c r="AL101" s="8"/>
      <c r="AN101" s="8">
        <f t="shared" si="55"/>
        <v>1.0000000000000002</v>
      </c>
      <c r="AO101" s="8">
        <f t="shared" si="56"/>
        <v>3.8539747233471542</v>
      </c>
      <c r="AP101" s="8">
        <f t="shared" si="57"/>
        <v>1.0288464843222327</v>
      </c>
      <c r="AQ101" s="8"/>
      <c r="AR101" s="8">
        <f t="shared" si="58"/>
        <v>220.81648599789099</v>
      </c>
      <c r="AS101" s="8">
        <f t="shared" si="59"/>
        <v>31.051438681463445</v>
      </c>
    </row>
    <row r="102" spans="1:45">
      <c r="A102" s="19">
        <v>10.343666669999999</v>
      </c>
      <c r="B102" s="19">
        <v>1057.263475</v>
      </c>
      <c r="C102" s="19">
        <v>572.48237859999995</v>
      </c>
      <c r="E102" s="9">
        <f t="shared" si="45"/>
        <v>97.263474999999971</v>
      </c>
      <c r="F102" s="9">
        <f t="shared" si="46"/>
        <v>-32.482378599999947</v>
      </c>
      <c r="I102">
        <v>1</v>
      </c>
      <c r="J102">
        <f t="shared" si="47"/>
        <v>6.5503465734235239E-2</v>
      </c>
      <c r="K102">
        <f t="shared" si="51"/>
        <v>-0.32231693177495596</v>
      </c>
      <c r="O102">
        <f t="shared" si="52"/>
        <v>6.2085881065555071E-2</v>
      </c>
      <c r="P102">
        <f t="shared" si="53"/>
        <v>-2.0734372224372289E-2</v>
      </c>
      <c r="Q102">
        <f t="shared" si="54"/>
        <v>0.99785541496790753</v>
      </c>
      <c r="R102">
        <f t="shared" si="44"/>
        <v>1</v>
      </c>
      <c r="AG102" s="8">
        <f t="shared" si="48"/>
        <v>-0.64861059729120929</v>
      </c>
      <c r="AH102" s="8">
        <f t="shared" si="49"/>
        <v>-0.55970925337092048</v>
      </c>
      <c r="AI102" s="8">
        <f t="shared" si="50"/>
        <v>0.51578081078352223</v>
      </c>
      <c r="AJ102" s="8"/>
      <c r="AK102" s="8"/>
      <c r="AL102" s="8"/>
      <c r="AN102" s="8">
        <f t="shared" si="55"/>
        <v>1</v>
      </c>
      <c r="AO102" s="8">
        <f t="shared" si="56"/>
        <v>3.8535487976853178</v>
      </c>
      <c r="AP102" s="8">
        <f t="shared" si="57"/>
        <v>1.028877532405271</v>
      </c>
      <c r="AQ102" s="8"/>
      <c r="AR102" s="8">
        <f t="shared" si="58"/>
        <v>220.79208225508145</v>
      </c>
      <c r="AS102" s="8">
        <f t="shared" si="59"/>
        <v>31.049659757343377</v>
      </c>
    </row>
    <row r="103" spans="1:45">
      <c r="A103" s="19">
        <v>10.37703333</v>
      </c>
      <c r="B103" s="19">
        <v>1056.787237</v>
      </c>
      <c r="C103" s="19">
        <v>572.50700830000005</v>
      </c>
      <c r="E103" s="9">
        <f t="shared" si="45"/>
        <v>96.787237000000005</v>
      </c>
      <c r="F103" s="9">
        <f t="shared" si="46"/>
        <v>-32.507008300000052</v>
      </c>
      <c r="I103">
        <v>1</v>
      </c>
      <c r="J103">
        <f t="shared" si="47"/>
        <v>6.5218263591754921E-2</v>
      </c>
      <c r="K103">
        <f t="shared" si="51"/>
        <v>-0.32402326337322573</v>
      </c>
      <c r="O103">
        <f t="shared" si="52"/>
        <v>6.1780627438923583E-2</v>
      </c>
      <c r="P103">
        <f t="shared" si="53"/>
        <v>-2.0749671456540286E-2</v>
      </c>
      <c r="Q103">
        <f t="shared" si="54"/>
        <v>0.99787404275674918</v>
      </c>
      <c r="R103">
        <f t="shared" si="44"/>
        <v>1</v>
      </c>
      <c r="AG103" s="8">
        <f t="shared" si="48"/>
        <v>-0.64882771759101265</v>
      </c>
      <c r="AH103" s="8">
        <f t="shared" si="49"/>
        <v>-0.55949779832644897</v>
      </c>
      <c r="AI103" s="8">
        <f t="shared" si="50"/>
        <v>0.51573714870415654</v>
      </c>
      <c r="AJ103" s="8"/>
      <c r="AK103" s="8"/>
      <c r="AL103" s="8"/>
      <c r="AN103" s="8">
        <f t="shared" si="55"/>
        <v>1</v>
      </c>
      <c r="AO103" s="8">
        <f t="shared" si="56"/>
        <v>3.8531963742373594</v>
      </c>
      <c r="AP103" s="8">
        <f t="shared" si="57"/>
        <v>1.028928495823803</v>
      </c>
      <c r="AQ103" s="8"/>
      <c r="AR103" s="8">
        <f t="shared" si="58"/>
        <v>220.77188987891199</v>
      </c>
      <c r="AS103" s="8">
        <f t="shared" si="59"/>
        <v>31.046739768551937</v>
      </c>
    </row>
    <row r="104" spans="1:45">
      <c r="A104" s="19">
        <v>10.410399999999999</v>
      </c>
      <c r="B104" s="19">
        <v>1056.5488760000001</v>
      </c>
      <c r="C104" s="19">
        <v>572.51194169999997</v>
      </c>
      <c r="E104" s="9">
        <f t="shared" si="45"/>
        <v>96.548876000000064</v>
      </c>
      <c r="F104" s="9">
        <f t="shared" si="46"/>
        <v>-32.511941699999966</v>
      </c>
      <c r="I104">
        <v>1</v>
      </c>
      <c r="J104">
        <f t="shared" si="47"/>
        <v>6.5074073320946932E-2</v>
      </c>
      <c r="K104">
        <f t="shared" si="51"/>
        <v>-0.32481409547617263</v>
      </c>
      <c r="O104">
        <f t="shared" si="52"/>
        <v>6.162783791494101E-2</v>
      </c>
      <c r="P104">
        <f t="shared" si="53"/>
        <v>-2.0752604860854187E-2</v>
      </c>
      <c r="Q104">
        <f t="shared" si="54"/>
        <v>0.99788342955749043</v>
      </c>
      <c r="R104">
        <f t="shared" si="44"/>
        <v>1</v>
      </c>
      <c r="AG104" s="8">
        <f t="shared" si="48"/>
        <v>-0.64893490182431579</v>
      </c>
      <c r="AH104" s="8">
        <f t="shared" si="49"/>
        <v>-0.55938993650841751</v>
      </c>
      <c r="AI104" s="8">
        <f t="shared" si="50"/>
        <v>0.51571929586488641</v>
      </c>
      <c r="AJ104" s="8"/>
      <c r="AK104" s="8"/>
      <c r="AL104" s="8"/>
      <c r="AN104" s="8">
        <f t="shared" si="55"/>
        <v>1</v>
      </c>
      <c r="AO104" s="8">
        <f t="shared" si="56"/>
        <v>3.8530193323293123</v>
      </c>
      <c r="AP104" s="8">
        <f t="shared" si="57"/>
        <v>1.0289493336324917</v>
      </c>
      <c r="AQ104" s="8"/>
      <c r="AR104" s="8">
        <f t="shared" si="58"/>
        <v>220.76174612478394</v>
      </c>
      <c r="AS104" s="8">
        <f t="shared" si="59"/>
        <v>31.045545850059774</v>
      </c>
    </row>
    <row r="105" spans="1:45">
      <c r="A105" s="19">
        <v>10.44376667</v>
      </c>
      <c r="B105" s="19">
        <v>1056.036255</v>
      </c>
      <c r="C105" s="19">
        <v>572.48502870000004</v>
      </c>
      <c r="E105" s="9">
        <f t="shared" si="45"/>
        <v>96.036254999999983</v>
      </c>
      <c r="F105" s="9">
        <f t="shared" si="46"/>
        <v>-32.485028700000044</v>
      </c>
      <c r="I105">
        <v>1</v>
      </c>
      <c r="J105">
        <f t="shared" si="47"/>
        <v>6.4756385683549827E-2</v>
      </c>
      <c r="K105">
        <f t="shared" si="51"/>
        <v>-0.32617616045889058</v>
      </c>
      <c r="O105">
        <f t="shared" si="52"/>
        <v>6.1299210810565871E-2</v>
      </c>
      <c r="P105">
        <f t="shared" si="53"/>
        <v>-2.0734946635190901E-2</v>
      </c>
      <c r="Q105">
        <f t="shared" si="54"/>
        <v>0.99790403784233561</v>
      </c>
      <c r="R105">
        <f t="shared" si="44"/>
        <v>1</v>
      </c>
      <c r="AG105" s="8">
        <f t="shared" si="48"/>
        <v>-0.64915793931323273</v>
      </c>
      <c r="AH105" s="8">
        <f t="shared" si="49"/>
        <v>-0.55914773639610382</v>
      </c>
      <c r="AI105" s="8">
        <f t="shared" si="50"/>
        <v>0.51570124947464546</v>
      </c>
      <c r="AJ105" s="8"/>
      <c r="AK105" s="8"/>
      <c r="AL105" s="8"/>
      <c r="AN105" s="8">
        <f t="shared" si="55"/>
        <v>1</v>
      </c>
      <c r="AO105" s="8">
        <f t="shared" si="56"/>
        <v>3.8526352443771983</v>
      </c>
      <c r="AP105" s="8">
        <f t="shared" si="57"/>
        <v>1.0289703970879647</v>
      </c>
      <c r="AQ105" s="8"/>
      <c r="AR105" s="8">
        <f t="shared" si="58"/>
        <v>220.73973950616599</v>
      </c>
      <c r="AS105" s="8">
        <f t="shared" si="59"/>
        <v>31.044339002959212</v>
      </c>
    </row>
    <row r="106" spans="1:45">
      <c r="A106" s="19">
        <v>10.477133329999999</v>
      </c>
      <c r="B106" s="19">
        <v>1055.4661719999999</v>
      </c>
      <c r="C106" s="19">
        <v>572.26656660000003</v>
      </c>
      <c r="E106" s="9">
        <f t="shared" si="45"/>
        <v>95.466171999999915</v>
      </c>
      <c r="F106" s="9">
        <f t="shared" si="46"/>
        <v>-32.266566600000033</v>
      </c>
      <c r="I106">
        <v>1</v>
      </c>
      <c r="J106">
        <f t="shared" si="47"/>
        <v>6.436433276259329E-2</v>
      </c>
      <c r="K106">
        <f t="shared" si="51"/>
        <v>-0.32593526144068186</v>
      </c>
      <c r="O106">
        <f t="shared" si="52"/>
        <v>6.0933565832434276E-2</v>
      </c>
      <c r="P106">
        <f t="shared" si="53"/>
        <v>-2.0594907273622839E-2</v>
      </c>
      <c r="Q106">
        <f t="shared" si="54"/>
        <v>0.99792933134031858</v>
      </c>
      <c r="R106">
        <f t="shared" si="44"/>
        <v>1</v>
      </c>
      <c r="AG106" s="8">
        <f t="shared" si="48"/>
        <v>-0.64936860767527782</v>
      </c>
      <c r="AH106" s="8">
        <f t="shared" si="49"/>
        <v>-0.55882712111980259</v>
      </c>
      <c r="AI106" s="8">
        <f t="shared" si="50"/>
        <v>0.51578353993397741</v>
      </c>
      <c r="AJ106" s="8"/>
      <c r="AK106" s="8"/>
      <c r="AL106" s="8"/>
      <c r="AN106" s="8">
        <f t="shared" si="55"/>
        <v>1.0000000000000002</v>
      </c>
      <c r="AO106" s="8">
        <f t="shared" si="56"/>
        <v>3.8521912111916636</v>
      </c>
      <c r="AP106" s="8">
        <f t="shared" si="57"/>
        <v>1.0288743468239623</v>
      </c>
      <c r="AQ106" s="8"/>
      <c r="AR106" s="8">
        <f t="shared" si="58"/>
        <v>220.71429827867109</v>
      </c>
      <c r="AS106" s="8">
        <f t="shared" si="59"/>
        <v>31.049842277707668</v>
      </c>
    </row>
    <row r="107" spans="1:45">
      <c r="A107" s="19">
        <v>10.5105</v>
      </c>
      <c r="B107" s="19">
        <v>1055.0694940000001</v>
      </c>
      <c r="C107" s="19">
        <v>572.23485400000004</v>
      </c>
      <c r="E107" s="9">
        <f t="shared" si="45"/>
        <v>95.069494000000077</v>
      </c>
      <c r="F107" s="9">
        <f t="shared" si="46"/>
        <v>-32.234854000000041</v>
      </c>
      <c r="I107">
        <v>1</v>
      </c>
      <c r="J107">
        <f t="shared" si="47"/>
        <v>6.4116320404600774E-2</v>
      </c>
      <c r="K107">
        <f t="shared" si="51"/>
        <v>-0.32690124856876251</v>
      </c>
      <c r="O107">
        <f t="shared" si="52"/>
        <v>6.0679249372578355E-2</v>
      </c>
      <c r="P107">
        <f t="shared" si="53"/>
        <v>-2.0574283737690408E-2</v>
      </c>
      <c r="Q107">
        <f t="shared" si="54"/>
        <v>0.99794525277905977</v>
      </c>
      <c r="R107">
        <f t="shared" si="44"/>
        <v>1</v>
      </c>
      <c r="AG107" s="8">
        <f t="shared" si="48"/>
        <v>-0.64953893218036562</v>
      </c>
      <c r="AH107" s="8">
        <f t="shared" si="49"/>
        <v>-0.55863665046866051</v>
      </c>
      <c r="AI107" s="8">
        <f t="shared" si="50"/>
        <v>0.51577540493430474</v>
      </c>
      <c r="AJ107" s="8"/>
      <c r="AK107" s="8"/>
      <c r="AL107" s="8"/>
      <c r="AN107" s="8">
        <f t="shared" si="55"/>
        <v>1</v>
      </c>
      <c r="AO107" s="8">
        <f t="shared" si="56"/>
        <v>3.8518930148625943</v>
      </c>
      <c r="AP107" s="8">
        <f t="shared" si="57"/>
        <v>1.0288838423259905</v>
      </c>
      <c r="AQ107" s="8"/>
      <c r="AR107" s="8">
        <f t="shared" si="58"/>
        <v>220.69721288754914</v>
      </c>
      <c r="AS107" s="8">
        <f t="shared" si="59"/>
        <v>31.049298225517092</v>
      </c>
    </row>
    <row r="108" spans="1:45">
      <c r="A108" s="19">
        <v>10.54386667</v>
      </c>
      <c r="B108" s="19">
        <v>1054.25</v>
      </c>
      <c r="C108" s="19">
        <v>572.08333330000005</v>
      </c>
      <c r="E108" s="9">
        <f t="shared" si="45"/>
        <v>94.25</v>
      </c>
      <c r="F108" s="9">
        <f t="shared" si="46"/>
        <v>-32.083333300000049</v>
      </c>
      <c r="I108">
        <v>1</v>
      </c>
      <c r="J108">
        <f t="shared" si="47"/>
        <v>6.3586315375419547E-2</v>
      </c>
      <c r="K108">
        <f t="shared" si="51"/>
        <v>-0.32810303612493691</v>
      </c>
      <c r="O108">
        <f t="shared" si="52"/>
        <v>6.0153769987490106E-2</v>
      </c>
      <c r="P108">
        <f t="shared" si="53"/>
        <v>-2.0476747498781801E-2</v>
      </c>
      <c r="Q108">
        <f t="shared" si="54"/>
        <v>0.99797907130769192</v>
      </c>
      <c r="R108">
        <f t="shared" si="44"/>
        <v>1</v>
      </c>
      <c r="AG108" s="8">
        <f t="shared" si="48"/>
        <v>-0.64987365186491208</v>
      </c>
      <c r="AH108" s="8">
        <f t="shared" si="49"/>
        <v>-0.55821968557694157</v>
      </c>
      <c r="AI108" s="8">
        <f t="shared" si="50"/>
        <v>0.51580521444256811</v>
      </c>
      <c r="AJ108" s="8"/>
      <c r="AK108" s="8"/>
      <c r="AL108" s="8"/>
      <c r="AN108" s="8">
        <f t="shared" si="55"/>
        <v>1.0000000000000002</v>
      </c>
      <c r="AO108" s="8">
        <f t="shared" si="56"/>
        <v>3.8512692459630058</v>
      </c>
      <c r="AP108" s="8">
        <f t="shared" si="57"/>
        <v>1.0288490471922125</v>
      </c>
      <c r="AQ108" s="8"/>
      <c r="AR108" s="8">
        <f t="shared" si="58"/>
        <v>220.6614735622112</v>
      </c>
      <c r="AS108" s="8">
        <f t="shared" si="59"/>
        <v>31.051291839830164</v>
      </c>
    </row>
    <row r="109" spans="1:45">
      <c r="A109" s="19">
        <v>10.57723333</v>
      </c>
      <c r="B109" s="19">
        <v>1053.7705619999999</v>
      </c>
      <c r="C109" s="19">
        <v>571.54506419999996</v>
      </c>
      <c r="E109" s="9">
        <f t="shared" si="45"/>
        <v>93.770561999999927</v>
      </c>
      <c r="F109" s="9">
        <f t="shared" si="46"/>
        <v>-31.545064199999956</v>
      </c>
      <c r="I109">
        <v>1</v>
      </c>
      <c r="J109">
        <f t="shared" si="47"/>
        <v>6.3183561492763413E-2</v>
      </c>
      <c r="K109">
        <f t="shared" si="51"/>
        <v>-0.3245142102811836</v>
      </c>
      <c r="O109">
        <f t="shared" si="52"/>
        <v>5.9845904071639339E-2</v>
      </c>
      <c r="P109">
        <f t="shared" si="53"/>
        <v>-2.0132575147058445E-2</v>
      </c>
      <c r="Q109">
        <f t="shared" si="54"/>
        <v>0.99800458274689108</v>
      </c>
      <c r="R109">
        <f t="shared" si="44"/>
        <v>1</v>
      </c>
      <c r="AG109" s="8">
        <f t="shared" si="48"/>
        <v>-0.64998041140249208</v>
      </c>
      <c r="AH109" s="8">
        <f t="shared" si="49"/>
        <v>-0.55785352097150998</v>
      </c>
      <c r="AI109" s="8">
        <f t="shared" si="50"/>
        <v>0.51606677274625634</v>
      </c>
      <c r="AJ109" s="8"/>
      <c r="AK109" s="8"/>
      <c r="AL109" s="8"/>
      <c r="AN109" s="8">
        <f t="shared" si="55"/>
        <v>0.99999999999999989</v>
      </c>
      <c r="AO109" s="8">
        <f t="shared" si="56"/>
        <v>3.8508637513466151</v>
      </c>
      <c r="AP109" s="8">
        <f t="shared" si="57"/>
        <v>1.0285437121231378</v>
      </c>
      <c r="AQ109" s="8"/>
      <c r="AR109" s="8">
        <f t="shared" si="58"/>
        <v>220.63824043207674</v>
      </c>
      <c r="AS109" s="8">
        <f t="shared" si="59"/>
        <v>31.068786250625479</v>
      </c>
    </row>
    <row r="110" spans="1:45">
      <c r="A110" s="19">
        <v>10.6106</v>
      </c>
      <c r="B110" s="19">
        <v>1053.7167039999999</v>
      </c>
      <c r="C110" s="19">
        <v>571.4687897</v>
      </c>
      <c r="E110" s="9">
        <f t="shared" si="45"/>
        <v>93.716703999999936</v>
      </c>
      <c r="F110" s="9">
        <f t="shared" si="46"/>
        <v>-31.468789700000002</v>
      </c>
      <c r="I110">
        <v>1</v>
      </c>
      <c r="J110">
        <f t="shared" si="47"/>
        <v>6.3135134926132708E-2</v>
      </c>
      <c r="K110">
        <f t="shared" si="51"/>
        <v>-0.32395663975304823</v>
      </c>
      <c r="O110">
        <f t="shared" si="52"/>
        <v>5.9811304054056831E-2</v>
      </c>
      <c r="P110">
        <f t="shared" si="53"/>
        <v>-2.0083819304612692E-2</v>
      </c>
      <c r="Q110">
        <f t="shared" si="54"/>
        <v>0.99800763930417524</v>
      </c>
      <c r="R110">
        <f t="shared" si="44"/>
        <v>1</v>
      </c>
      <c r="AG110" s="8">
        <f t="shared" si="48"/>
        <v>-0.64998926625415498</v>
      </c>
      <c r="AH110" s="8">
        <f t="shared" si="49"/>
        <v>-0.55780808546646976</v>
      </c>
      <c r="AI110" s="8">
        <f t="shared" si="50"/>
        <v>0.51610473117635425</v>
      </c>
      <c r="AJ110" s="8"/>
      <c r="AK110" s="8"/>
      <c r="AL110" s="8"/>
      <c r="AN110" s="8">
        <f t="shared" si="55"/>
        <v>1</v>
      </c>
      <c r="AO110" s="8">
        <f t="shared" si="56"/>
        <v>3.8508167648541307</v>
      </c>
      <c r="AP110" s="8">
        <f t="shared" si="57"/>
        <v>1.0284993959597775</v>
      </c>
      <c r="AQ110" s="8"/>
      <c r="AR110" s="8">
        <f t="shared" si="58"/>
        <v>220.63554830436325</v>
      </c>
      <c r="AS110" s="8">
        <f t="shared" si="59"/>
        <v>31.071325379750242</v>
      </c>
    </row>
    <row r="111" spans="1:45">
      <c r="A111" s="19">
        <v>10.643966669999999</v>
      </c>
      <c r="B111" s="19">
        <v>1052.8639989999999</v>
      </c>
      <c r="C111" s="19">
        <v>571.49264319999997</v>
      </c>
      <c r="E111" s="9">
        <f t="shared" si="45"/>
        <v>92.863998999999922</v>
      </c>
      <c r="F111" s="9">
        <f t="shared" si="46"/>
        <v>-31.492643199999975</v>
      </c>
      <c r="I111">
        <v>1</v>
      </c>
      <c r="J111">
        <f t="shared" si="47"/>
        <v>6.2620793926395163E-2</v>
      </c>
      <c r="K111">
        <f t="shared" si="51"/>
        <v>-0.32695531405644335</v>
      </c>
      <c r="O111">
        <f t="shared" si="52"/>
        <v>5.926467942046313E-2</v>
      </c>
      <c r="P111">
        <f t="shared" si="53"/>
        <v>-2.0098223460644077E-2</v>
      </c>
      <c r="Q111">
        <f t="shared" si="54"/>
        <v>0.99803995871253359</v>
      </c>
      <c r="R111">
        <f t="shared" si="44"/>
        <v>1</v>
      </c>
      <c r="AG111" s="8">
        <f t="shared" si="48"/>
        <v>-0.65037313813191266</v>
      </c>
      <c r="AH111" s="8">
        <f t="shared" si="49"/>
        <v>-0.5574232563553968</v>
      </c>
      <c r="AI111" s="8">
        <f t="shared" si="50"/>
        <v>0.51603691192645673</v>
      </c>
      <c r="AJ111" s="8"/>
      <c r="AK111" s="8"/>
      <c r="AL111" s="8"/>
      <c r="AN111" s="8">
        <f t="shared" si="55"/>
        <v>1</v>
      </c>
      <c r="AO111" s="8">
        <f t="shared" si="56"/>
        <v>3.850183972063173</v>
      </c>
      <c r="AP111" s="8">
        <f t="shared" si="57"/>
        <v>1.0285785735597459</v>
      </c>
      <c r="AQ111" s="8"/>
      <c r="AR111" s="8">
        <f t="shared" si="58"/>
        <v>220.59929194813506</v>
      </c>
      <c r="AS111" s="8">
        <f t="shared" si="59"/>
        <v>31.066788837440072</v>
      </c>
    </row>
    <row r="112" spans="1:45">
      <c r="A112" s="19">
        <v>10.67733333</v>
      </c>
      <c r="B112" s="19">
        <v>1052.4790330000001</v>
      </c>
      <c r="C112" s="19">
        <v>571.47422410000001</v>
      </c>
      <c r="E112" s="9">
        <f t="shared" si="45"/>
        <v>92.479033000000072</v>
      </c>
      <c r="F112" s="9">
        <f t="shared" si="46"/>
        <v>-31.474224100000015</v>
      </c>
      <c r="I112">
        <v>1</v>
      </c>
      <c r="J112">
        <f t="shared" si="47"/>
        <v>6.2382730360873051E-2</v>
      </c>
      <c r="K112">
        <f t="shared" si="51"/>
        <v>-0.32804237184390456</v>
      </c>
      <c r="O112">
        <f t="shared" si="52"/>
        <v>5.901786773479064E-2</v>
      </c>
      <c r="P112">
        <f t="shared" si="53"/>
        <v>-2.0086083674652602E-2</v>
      </c>
      <c r="Q112">
        <f t="shared" si="54"/>
        <v>0.99805482841908721</v>
      </c>
      <c r="R112">
        <f t="shared" si="44"/>
        <v>1</v>
      </c>
      <c r="AG112" s="8">
        <f t="shared" si="48"/>
        <v>-0.65054059673087572</v>
      </c>
      <c r="AH112" s="8">
        <f t="shared" si="49"/>
        <v>-0.55724153515377828</v>
      </c>
      <c r="AI112" s="8">
        <f t="shared" si="50"/>
        <v>0.51602209594599402</v>
      </c>
      <c r="AJ112" s="8"/>
      <c r="AK112" s="8"/>
      <c r="AL112" s="8"/>
      <c r="AN112" s="8">
        <f t="shared" si="55"/>
        <v>1</v>
      </c>
      <c r="AO112" s="8">
        <f t="shared" si="56"/>
        <v>3.8498956689394941</v>
      </c>
      <c r="AP112" s="8">
        <f t="shared" si="57"/>
        <v>1.0285958704140223</v>
      </c>
      <c r="AQ112" s="8"/>
      <c r="AR112" s="8">
        <f t="shared" si="58"/>
        <v>220.58277339592783</v>
      </c>
      <c r="AS112" s="8">
        <f t="shared" si="59"/>
        <v>31.065797800691179</v>
      </c>
    </row>
    <row r="113" spans="1:45">
      <c r="A113" s="19">
        <v>10.710699999999999</v>
      </c>
      <c r="B113" s="19">
        <v>1051.8943919999999</v>
      </c>
      <c r="C113" s="19">
        <v>571.48314400000004</v>
      </c>
      <c r="E113" s="9">
        <f t="shared" si="45"/>
        <v>91.894391999999925</v>
      </c>
      <c r="F113" s="9">
        <f t="shared" si="46"/>
        <v>-31.483144000000038</v>
      </c>
      <c r="I113">
        <v>1</v>
      </c>
      <c r="J113">
        <f t="shared" si="47"/>
        <v>6.2029013145125919E-2</v>
      </c>
      <c r="K113">
        <f t="shared" si="51"/>
        <v>-0.33006846201764745</v>
      </c>
      <c r="O113">
        <f t="shared" si="52"/>
        <v>5.8643074012489256E-2</v>
      </c>
      <c r="P113">
        <f t="shared" si="53"/>
        <v>-2.0091197118294889E-2</v>
      </c>
      <c r="Q113">
        <f t="shared" si="54"/>
        <v>0.99807681751893207</v>
      </c>
      <c r="R113">
        <f t="shared" si="44"/>
        <v>1</v>
      </c>
      <c r="AG113" s="8">
        <f t="shared" si="48"/>
        <v>-0.65080213490142991</v>
      </c>
      <c r="AH113" s="8">
        <f t="shared" si="49"/>
        <v>-0.55697552027032116</v>
      </c>
      <c r="AI113" s="8">
        <f t="shared" si="50"/>
        <v>0.51597950640247947</v>
      </c>
      <c r="AJ113" s="8"/>
      <c r="AK113" s="8"/>
      <c r="AL113" s="8"/>
      <c r="AN113" s="8">
        <f t="shared" si="55"/>
        <v>1.0000000000000004</v>
      </c>
      <c r="AO113" s="8">
        <f t="shared" si="56"/>
        <v>3.8494611934517442</v>
      </c>
      <c r="AP113" s="8">
        <f t="shared" si="57"/>
        <v>1.0286455903943961</v>
      </c>
      <c r="AQ113" s="8"/>
      <c r="AR113" s="8">
        <f t="shared" si="58"/>
        <v>220.55787978417789</v>
      </c>
      <c r="AS113" s="8">
        <f t="shared" si="59"/>
        <v>31.062949055658294</v>
      </c>
    </row>
    <row r="114" spans="1:45">
      <c r="A114" s="19">
        <v>10.74406667</v>
      </c>
      <c r="B114" s="19">
        <v>1051.58152</v>
      </c>
      <c r="C114" s="19">
        <v>571.48280469999997</v>
      </c>
      <c r="E114" s="9">
        <f t="shared" si="45"/>
        <v>91.581519999999955</v>
      </c>
      <c r="F114" s="9">
        <f t="shared" si="46"/>
        <v>-31.482804699999974</v>
      </c>
      <c r="I114">
        <v>1</v>
      </c>
      <c r="J114">
        <f t="shared" si="47"/>
        <v>6.1838759472748861E-2</v>
      </c>
      <c r="K114">
        <f t="shared" si="51"/>
        <v>-0.3311122597077516</v>
      </c>
      <c r="O114">
        <f t="shared" si="52"/>
        <v>5.8442496535275917E-2</v>
      </c>
      <c r="P114">
        <f t="shared" si="53"/>
        <v>-2.0090665721649061E-2</v>
      </c>
      <c r="Q114">
        <f t="shared" si="54"/>
        <v>0.99808859313669407</v>
      </c>
      <c r="R114">
        <f t="shared" si="44"/>
        <v>1</v>
      </c>
      <c r="AG114" s="8">
        <f t="shared" si="48"/>
        <v>-0.65094104538130981</v>
      </c>
      <c r="AH114" s="8">
        <f t="shared" si="49"/>
        <v>-0.55683174123961687</v>
      </c>
      <c r="AI114" s="8">
        <f t="shared" si="50"/>
        <v>0.51595946292896311</v>
      </c>
      <c r="AJ114" s="8"/>
      <c r="AK114" s="8"/>
      <c r="AL114" s="8"/>
      <c r="AN114" s="8">
        <f t="shared" si="55"/>
        <v>1</v>
      </c>
      <c r="AO114" s="8">
        <f t="shared" si="56"/>
        <v>3.8492282319524209</v>
      </c>
      <c r="AP114" s="8">
        <f t="shared" si="57"/>
        <v>1.0286689890758891</v>
      </c>
      <c r="AQ114" s="8"/>
      <c r="AR114" s="8">
        <f t="shared" si="58"/>
        <v>220.5445320734776</v>
      </c>
      <c r="AS114" s="8">
        <f t="shared" si="59"/>
        <v>31.061608409962567</v>
      </c>
    </row>
    <row r="115" spans="1:45">
      <c r="A115" s="19">
        <v>10.777433329999999</v>
      </c>
      <c r="B115" s="19">
        <v>1050.8974639999999</v>
      </c>
      <c r="C115" s="19">
        <v>571.23689309999997</v>
      </c>
      <c r="E115" s="9">
        <f t="shared" si="45"/>
        <v>90.8974639999999</v>
      </c>
      <c r="F115" s="9">
        <f t="shared" si="46"/>
        <v>-31.236893099999975</v>
      </c>
      <c r="I115">
        <v>1</v>
      </c>
      <c r="J115">
        <f t="shared" si="47"/>
        <v>6.1371648929446847E-2</v>
      </c>
      <c r="K115">
        <f t="shared" si="51"/>
        <v>-0.33100644088095621</v>
      </c>
      <c r="O115">
        <f t="shared" si="52"/>
        <v>5.800370639946105E-2</v>
      </c>
      <c r="P115">
        <f t="shared" si="53"/>
        <v>-1.9932960684180927E-2</v>
      </c>
      <c r="Q115">
        <f t="shared" si="54"/>
        <v>0.99811735137822744</v>
      </c>
      <c r="R115">
        <f t="shared" si="44"/>
        <v>1</v>
      </c>
      <c r="AG115" s="8">
        <f t="shared" si="48"/>
        <v>-0.65119612754862344</v>
      </c>
      <c r="AH115" s="8">
        <f t="shared" si="49"/>
        <v>-0.55645068028299205</v>
      </c>
      <c r="AI115" s="8">
        <f t="shared" si="50"/>
        <v>0.51604868363195378</v>
      </c>
      <c r="AJ115" s="8"/>
      <c r="AK115" s="8"/>
      <c r="AL115" s="8"/>
      <c r="AN115" s="8">
        <f t="shared" si="55"/>
        <v>1</v>
      </c>
      <c r="AO115" s="8">
        <f t="shared" si="56"/>
        <v>3.8486965910533151</v>
      </c>
      <c r="AP115" s="8">
        <f t="shared" si="57"/>
        <v>1.0285648306030204</v>
      </c>
      <c r="AQ115" s="8"/>
      <c r="AR115" s="8">
        <f t="shared" si="58"/>
        <v>220.51407129374232</v>
      </c>
      <c r="AS115" s="8">
        <f t="shared" si="59"/>
        <v>31.067576250858473</v>
      </c>
    </row>
    <row r="116" spans="1:45">
      <c r="A116" s="19">
        <v>10.8108</v>
      </c>
      <c r="B116" s="19">
        <v>1050.4037089999999</v>
      </c>
      <c r="C116" s="19">
        <v>570.95429230000002</v>
      </c>
      <c r="E116" s="9">
        <f t="shared" si="45"/>
        <v>90.403708999999935</v>
      </c>
      <c r="F116" s="9">
        <f t="shared" si="46"/>
        <v>-30.95429230000002</v>
      </c>
      <c r="I116">
        <v>1</v>
      </c>
      <c r="J116">
        <f t="shared" si="47"/>
        <v>6.101257686346255E-2</v>
      </c>
      <c r="K116">
        <f t="shared" si="51"/>
        <v>-0.3298888569648627</v>
      </c>
      <c r="O116">
        <f t="shared" si="52"/>
        <v>5.7686872440934775E-2</v>
      </c>
      <c r="P116">
        <f t="shared" si="53"/>
        <v>-1.975202490209237E-2</v>
      </c>
      <c r="Q116">
        <f t="shared" si="54"/>
        <v>0.99813931004657386</v>
      </c>
      <c r="R116">
        <f t="shared" si="44"/>
        <v>1</v>
      </c>
      <c r="AG116" s="8">
        <f t="shared" si="48"/>
        <v>-0.65135934353104341</v>
      </c>
      <c r="AH116" s="8">
        <f t="shared" si="49"/>
        <v>-0.55614698520463557</v>
      </c>
      <c r="AI116" s="8">
        <f t="shared" si="50"/>
        <v>0.51617006542669941</v>
      </c>
      <c r="AJ116" s="8"/>
      <c r="AK116" s="8"/>
      <c r="AL116" s="8"/>
      <c r="AN116" s="8">
        <f t="shared" si="55"/>
        <v>1</v>
      </c>
      <c r="AO116" s="8">
        <f t="shared" si="56"/>
        <v>3.8483032234492756</v>
      </c>
      <c r="AP116" s="8">
        <f t="shared" si="57"/>
        <v>1.0284231159738746</v>
      </c>
      <c r="AQ116" s="8"/>
      <c r="AR116" s="8">
        <f t="shared" si="58"/>
        <v>220.49153299023368</v>
      </c>
      <c r="AS116" s="8">
        <f t="shared" si="59"/>
        <v>31.07569590100379</v>
      </c>
    </row>
    <row r="117" spans="1:45">
      <c r="A117" s="19">
        <v>10.84416667</v>
      </c>
      <c r="B117" s="19">
        <v>1050.157005</v>
      </c>
      <c r="C117" s="19">
        <v>570.83273510000004</v>
      </c>
      <c r="E117" s="9">
        <f t="shared" si="45"/>
        <v>90.157005000000026</v>
      </c>
      <c r="F117" s="9">
        <f t="shared" si="46"/>
        <v>-30.832735100000036</v>
      </c>
      <c r="I117">
        <v>1</v>
      </c>
      <c r="J117">
        <f t="shared" si="47"/>
        <v>6.0837281003154567E-2</v>
      </c>
      <c r="K117">
        <f t="shared" si="51"/>
        <v>-0.32952063088287464</v>
      </c>
      <c r="O117">
        <f t="shared" si="52"/>
        <v>5.7528584960236911E-2</v>
      </c>
      <c r="P117">
        <f t="shared" si="53"/>
        <v>-1.9674163097552214E-2</v>
      </c>
      <c r="Q117">
        <f t="shared" si="54"/>
        <v>0.99814998332859961</v>
      </c>
      <c r="R117">
        <f t="shared" si="44"/>
        <v>1</v>
      </c>
      <c r="AG117" s="8">
        <f t="shared" si="48"/>
        <v>-0.65144475272687641</v>
      </c>
      <c r="AH117" s="8">
        <f t="shared" si="49"/>
        <v>-0.55600055863774056</v>
      </c>
      <c r="AI117" s="8">
        <f t="shared" si="50"/>
        <v>0.51622002376810161</v>
      </c>
      <c r="AJ117" s="8"/>
      <c r="AK117" s="8"/>
      <c r="AL117" s="8"/>
      <c r="AN117" s="8">
        <f t="shared" si="55"/>
        <v>1</v>
      </c>
      <c r="AO117" s="8">
        <f t="shared" si="56"/>
        <v>3.8481084476236003</v>
      </c>
      <c r="AP117" s="8">
        <f t="shared" si="57"/>
        <v>1.0283647855249272</v>
      </c>
      <c r="AQ117" s="8"/>
      <c r="AR117" s="8">
        <f t="shared" si="58"/>
        <v>220.48037315747129</v>
      </c>
      <c r="AS117" s="8">
        <f t="shared" si="59"/>
        <v>31.079037989545583</v>
      </c>
    </row>
    <row r="118" spans="1:45">
      <c r="A118" s="19">
        <v>10.87753333</v>
      </c>
      <c r="B118" s="19">
        <v>1049.416667</v>
      </c>
      <c r="C118" s="19">
        <v>570.75</v>
      </c>
      <c r="E118" s="9">
        <f t="shared" si="45"/>
        <v>89.416666999999961</v>
      </c>
      <c r="F118" s="9">
        <f t="shared" si="46"/>
        <v>-30.75</v>
      </c>
      <c r="I118">
        <v>1</v>
      </c>
      <c r="J118">
        <f t="shared" si="47"/>
        <v>6.0369990446041251E-2</v>
      </c>
      <c r="K118">
        <f t="shared" si="51"/>
        <v>-0.33122630084673071</v>
      </c>
      <c r="O118">
        <f t="shared" si="52"/>
        <v>5.7053864274825991E-2</v>
      </c>
      <c r="P118">
        <f t="shared" si="53"/>
        <v>-1.9620573941219483E-2</v>
      </c>
      <c r="Q118">
        <f t="shared" si="54"/>
        <v>0.99817828550290899</v>
      </c>
      <c r="R118">
        <f t="shared" si="44"/>
        <v>1</v>
      </c>
      <c r="AG118" s="8">
        <f t="shared" si="48"/>
        <v>-0.65175681730768609</v>
      </c>
      <c r="AH118" s="8">
        <f t="shared" si="49"/>
        <v>-0.55563773960714147</v>
      </c>
      <c r="AI118" s="8">
        <f t="shared" si="50"/>
        <v>0.51621676979464937</v>
      </c>
      <c r="AJ118" s="8"/>
      <c r="AK118" s="8"/>
      <c r="AL118" s="8"/>
      <c r="AN118" s="8">
        <f t="shared" si="55"/>
        <v>1</v>
      </c>
      <c r="AO118" s="8">
        <f t="shared" si="56"/>
        <v>3.8475496824132809</v>
      </c>
      <c r="AP118" s="8">
        <f t="shared" si="57"/>
        <v>1.0283685848674629</v>
      </c>
      <c r="AQ118" s="8"/>
      <c r="AR118" s="8">
        <f t="shared" si="58"/>
        <v>220.44835826918126</v>
      </c>
      <c r="AS118" s="8">
        <f t="shared" si="59"/>
        <v>31.078820303253359</v>
      </c>
    </row>
    <row r="119" spans="1:45">
      <c r="A119" s="19">
        <v>10.9109</v>
      </c>
      <c r="B119" s="19">
        <v>1048.885732</v>
      </c>
      <c r="C119" s="19">
        <v>570.52411470000004</v>
      </c>
      <c r="E119" s="9">
        <f t="shared" si="45"/>
        <v>88.885731999999962</v>
      </c>
      <c r="F119" s="9">
        <f t="shared" si="46"/>
        <v>-30.524114700000041</v>
      </c>
      <c r="I119">
        <v>1</v>
      </c>
      <c r="J119">
        <f t="shared" si="47"/>
        <v>6.0000138387452343E-2</v>
      </c>
      <c r="K119">
        <f t="shared" si="51"/>
        <v>-0.33079062124150738</v>
      </c>
      <c r="O119">
        <f t="shared" si="52"/>
        <v>5.6713239641447366E-2</v>
      </c>
      <c r="P119">
        <f t="shared" si="53"/>
        <v>-1.9475807791335162E-2</v>
      </c>
      <c r="Q119">
        <f t="shared" si="54"/>
        <v>0.99820053163692857</v>
      </c>
      <c r="R119">
        <f t="shared" si="44"/>
        <v>1</v>
      </c>
      <c r="AG119" s="8">
        <f t="shared" si="48"/>
        <v>-0.65194752121663968</v>
      </c>
      <c r="AH119" s="8">
        <f t="shared" si="49"/>
        <v>-0.55533217834965931</v>
      </c>
      <c r="AI119" s="8">
        <f t="shared" si="50"/>
        <v>0.51630475619434446</v>
      </c>
      <c r="AJ119" s="8"/>
      <c r="AK119" s="8"/>
      <c r="AL119" s="8"/>
      <c r="AN119" s="8">
        <f t="shared" si="55"/>
        <v>1.0000000000000002</v>
      </c>
      <c r="AO119" s="8">
        <f t="shared" si="56"/>
        <v>3.8471336982219575</v>
      </c>
      <c r="AP119" s="8">
        <f t="shared" si="57"/>
        <v>1.028265848799079</v>
      </c>
      <c r="AQ119" s="8"/>
      <c r="AR119" s="8">
        <f t="shared" si="58"/>
        <v>220.42452413067426</v>
      </c>
      <c r="AS119" s="8">
        <f t="shared" si="59"/>
        <v>31.084706646375523</v>
      </c>
    </row>
    <row r="120" spans="1:45">
      <c r="A120" s="19">
        <v>10.944266669999999</v>
      </c>
      <c r="B120" s="19">
        <v>1048.025337</v>
      </c>
      <c r="C120" s="19">
        <v>570.52133400000002</v>
      </c>
      <c r="E120" s="9">
        <f t="shared" si="45"/>
        <v>88.025337000000036</v>
      </c>
      <c r="F120" s="9">
        <f t="shared" si="46"/>
        <v>-30.521334000000024</v>
      </c>
      <c r="I120">
        <v>1</v>
      </c>
      <c r="J120">
        <f t="shared" si="47"/>
        <v>5.9476886102590311E-2</v>
      </c>
      <c r="K120">
        <f t="shared" si="51"/>
        <v>-0.33376184670009257</v>
      </c>
      <c r="O120">
        <f t="shared" si="52"/>
        <v>5.616162678465652E-2</v>
      </c>
      <c r="P120">
        <f t="shared" si="53"/>
        <v>-1.9473117939643316E-2</v>
      </c>
      <c r="Q120">
        <f t="shared" si="54"/>
        <v>0.99823177136104502</v>
      </c>
      <c r="R120">
        <f t="shared" si="44"/>
        <v>1</v>
      </c>
      <c r="AG120" s="8">
        <f t="shared" si="48"/>
        <v>-0.65232836029811503</v>
      </c>
      <c r="AH120" s="8">
        <f t="shared" si="49"/>
        <v>-0.554935655663227</v>
      </c>
      <c r="AI120" s="8">
        <f t="shared" si="50"/>
        <v>0.51625006384929095</v>
      </c>
      <c r="AJ120" s="8"/>
      <c r="AK120" s="8"/>
      <c r="AL120" s="8"/>
      <c r="AN120" s="8">
        <f t="shared" si="55"/>
        <v>1</v>
      </c>
      <c r="AO120" s="8">
        <f t="shared" si="56"/>
        <v>3.8464928920059878</v>
      </c>
      <c r="AP120" s="8">
        <f t="shared" si="57"/>
        <v>1.028329710286275</v>
      </c>
      <c r="AQ120" s="8"/>
      <c r="AR120" s="8">
        <f t="shared" si="58"/>
        <v>220.38780863901346</v>
      </c>
      <c r="AS120" s="8">
        <f t="shared" si="59"/>
        <v>31.081047652685768</v>
      </c>
    </row>
    <row r="121" spans="1:45">
      <c r="A121" s="19">
        <v>10.97763333</v>
      </c>
      <c r="B121" s="19">
        <v>1047.6899169999999</v>
      </c>
      <c r="C121" s="19">
        <v>570.50906069999996</v>
      </c>
      <c r="E121" s="9">
        <f t="shared" si="45"/>
        <v>87.689916999999923</v>
      </c>
      <c r="F121" s="9">
        <f t="shared" si="46"/>
        <v>-30.509060699999964</v>
      </c>
      <c r="I121">
        <v>1</v>
      </c>
      <c r="J121">
        <f t="shared" si="47"/>
        <v>5.9270683300162705E-2</v>
      </c>
      <c r="K121">
        <f t="shared" si="51"/>
        <v>-0.3348204574267441</v>
      </c>
      <c r="O121">
        <f t="shared" si="52"/>
        <v>5.5946571821212383E-2</v>
      </c>
      <c r="P121">
        <f t="shared" si="53"/>
        <v>-1.9464921555921621E-2</v>
      </c>
      <c r="Q121">
        <f t="shared" si="54"/>
        <v>0.99824400720979822</v>
      </c>
      <c r="R121">
        <f t="shared" si="44"/>
        <v>1</v>
      </c>
      <c r="AG121" s="8">
        <f t="shared" si="48"/>
        <v>-0.65247455314485892</v>
      </c>
      <c r="AH121" s="8">
        <f t="shared" si="49"/>
        <v>-0.55477798692574509</v>
      </c>
      <c r="AI121" s="8">
        <f t="shared" si="50"/>
        <v>0.51623477480796898</v>
      </c>
      <c r="AJ121" s="8"/>
      <c r="AK121" s="8"/>
      <c r="AL121" s="8"/>
      <c r="AN121" s="8">
        <f t="shared" si="55"/>
        <v>1</v>
      </c>
      <c r="AO121" s="8">
        <f t="shared" si="56"/>
        <v>3.846242065859788</v>
      </c>
      <c r="AP121" s="8">
        <f t="shared" si="57"/>
        <v>1.0283475620874545</v>
      </c>
      <c r="AQ121" s="8"/>
      <c r="AR121" s="8">
        <f t="shared" si="58"/>
        <v>220.37343735944467</v>
      </c>
      <c r="AS121" s="8">
        <f t="shared" si="59"/>
        <v>31.080024819821475</v>
      </c>
    </row>
    <row r="122" spans="1:45">
      <c r="A122" s="19">
        <v>11.010999999999999</v>
      </c>
      <c r="B122" s="19">
        <v>1047.1737579999999</v>
      </c>
      <c r="C122" s="19">
        <v>570.71423570000002</v>
      </c>
      <c r="E122" s="9">
        <f t="shared" si="45"/>
        <v>87.173757999999907</v>
      </c>
      <c r="F122" s="9">
        <f t="shared" si="46"/>
        <v>-30.714235700000017</v>
      </c>
      <c r="I122">
        <v>1</v>
      </c>
      <c r="J122">
        <f t="shared" si="47"/>
        <v>5.9001195942228878E-2</v>
      </c>
      <c r="K122">
        <f t="shared" si="51"/>
        <v>-0.33875215126114783</v>
      </c>
      <c r="O122">
        <f t="shared" si="52"/>
        <v>5.5615881378013127E-2</v>
      </c>
      <c r="P122">
        <f t="shared" si="53"/>
        <v>-1.9595338419476405E-2</v>
      </c>
      <c r="Q122">
        <f t="shared" si="54"/>
        <v>0.99825993431108562</v>
      </c>
      <c r="R122">
        <f t="shared" si="44"/>
        <v>1</v>
      </c>
      <c r="AG122" s="8">
        <f t="shared" si="48"/>
        <v>-0.65274383953781445</v>
      </c>
      <c r="AH122" s="8">
        <f t="shared" si="49"/>
        <v>-0.55459624250399042</v>
      </c>
      <c r="AI122" s="8">
        <f t="shared" si="50"/>
        <v>0.51608961212747451</v>
      </c>
      <c r="AJ122" s="8"/>
      <c r="AK122" s="8"/>
      <c r="AL122" s="8"/>
      <c r="AN122" s="8">
        <f t="shared" si="55"/>
        <v>1</v>
      </c>
      <c r="AO122" s="8">
        <f t="shared" si="56"/>
        <v>3.8458767627867561</v>
      </c>
      <c r="AP122" s="8">
        <f t="shared" si="57"/>
        <v>1.0285170474701442</v>
      </c>
      <c r="AQ122" s="8"/>
      <c r="AR122" s="8">
        <f t="shared" si="58"/>
        <v>220.35250703511679</v>
      </c>
      <c r="AS122" s="8">
        <f t="shared" si="59"/>
        <v>31.070314022704196</v>
      </c>
    </row>
    <row r="123" spans="1:45">
      <c r="A123" s="19">
        <v>11.04436667</v>
      </c>
      <c r="B123" s="19">
        <v>1046.5</v>
      </c>
      <c r="C123" s="19">
        <v>570.33333330000005</v>
      </c>
      <c r="E123" s="9">
        <f t="shared" si="45"/>
        <v>86.5</v>
      </c>
      <c r="F123" s="9">
        <f t="shared" si="46"/>
        <v>-30.333333300000049</v>
      </c>
      <c r="I123">
        <v>1</v>
      </c>
      <c r="J123">
        <f t="shared" si="47"/>
        <v>5.851156530548457E-2</v>
      </c>
      <c r="K123">
        <f t="shared" si="51"/>
        <v>-0.33727547110794065</v>
      </c>
      <c r="O123">
        <f t="shared" si="52"/>
        <v>5.5183509384378958E-2</v>
      </c>
      <c r="P123">
        <f t="shared" si="53"/>
        <v>-1.9351442575954309E-2</v>
      </c>
      <c r="Q123">
        <f t="shared" si="54"/>
        <v>0.99828868668449489</v>
      </c>
      <c r="R123">
        <f t="shared" si="44"/>
        <v>1</v>
      </c>
      <c r="AG123" s="8">
        <f t="shared" si="48"/>
        <v>-0.6529667257187376</v>
      </c>
      <c r="AH123" s="8">
        <f t="shared" si="49"/>
        <v>-0.55418250002507541</v>
      </c>
      <c r="AI123" s="8">
        <f t="shared" si="50"/>
        <v>0.51625208161334146</v>
      </c>
      <c r="AJ123" s="8"/>
      <c r="AK123" s="8"/>
      <c r="AL123" s="8"/>
      <c r="AN123" s="8">
        <f t="shared" si="55"/>
        <v>1</v>
      </c>
      <c r="AO123" s="8">
        <f t="shared" si="56"/>
        <v>3.8453400982895518</v>
      </c>
      <c r="AP123" s="8">
        <f t="shared" si="57"/>
        <v>1.0283273542888463</v>
      </c>
      <c r="AQ123" s="8"/>
      <c r="AR123" s="8">
        <f t="shared" si="58"/>
        <v>220.32175842441248</v>
      </c>
      <c r="AS123" s="8">
        <f t="shared" si="59"/>
        <v>31.081182641394975</v>
      </c>
    </row>
    <row r="124" spans="1:45">
      <c r="A124" s="19">
        <v>11.077733329999999</v>
      </c>
      <c r="B124" s="19">
        <v>1046.035517</v>
      </c>
      <c r="C124" s="19">
        <v>570.46342570000002</v>
      </c>
      <c r="E124" s="9">
        <f t="shared" si="45"/>
        <v>86.035517000000027</v>
      </c>
      <c r="F124" s="9">
        <f t="shared" si="46"/>
        <v>-30.463425700000016</v>
      </c>
      <c r="I124">
        <v>1</v>
      </c>
      <c r="J124">
        <f t="shared" si="47"/>
        <v>5.8257838952310743E-2</v>
      </c>
      <c r="K124">
        <f t="shared" si="51"/>
        <v>-0.34030461772150744</v>
      </c>
      <c r="O124">
        <f t="shared" si="52"/>
        <v>5.4885869559053869E-2</v>
      </c>
      <c r="P124">
        <f t="shared" si="53"/>
        <v>-1.9433969453477331E-2</v>
      </c>
      <c r="Q124">
        <f t="shared" si="54"/>
        <v>0.99830349200732937</v>
      </c>
      <c r="R124">
        <f t="shared" si="44"/>
        <v>1</v>
      </c>
      <c r="AG124" s="8">
        <f t="shared" si="48"/>
        <v>-0.65319809704597964</v>
      </c>
      <c r="AH124" s="8">
        <f t="shared" si="49"/>
        <v>-0.55400400776128722</v>
      </c>
      <c r="AI124" s="8">
        <f t="shared" si="50"/>
        <v>0.51615095214476037</v>
      </c>
      <c r="AJ124" s="8"/>
      <c r="AK124" s="8"/>
      <c r="AL124" s="8"/>
      <c r="AN124" s="8">
        <f t="shared" si="55"/>
        <v>1</v>
      </c>
      <c r="AO124" s="8">
        <f t="shared" si="56"/>
        <v>3.8450064112480922</v>
      </c>
      <c r="AP124" s="8">
        <f t="shared" si="57"/>
        <v>1.0284454317512146</v>
      </c>
      <c r="AQ124" s="8"/>
      <c r="AR124" s="8">
        <f t="shared" si="58"/>
        <v>220.30263956525863</v>
      </c>
      <c r="AS124" s="8">
        <f t="shared" si="59"/>
        <v>31.074417301145651</v>
      </c>
    </row>
    <row r="125" spans="1:45">
      <c r="A125" s="19">
        <v>11.1111</v>
      </c>
      <c r="B125" s="19">
        <v>1045.969595</v>
      </c>
      <c r="C125" s="19">
        <v>570.29926579999994</v>
      </c>
      <c r="E125" s="9">
        <f t="shared" si="45"/>
        <v>85.969595000000027</v>
      </c>
      <c r="F125" s="9">
        <f t="shared" si="46"/>
        <v>-30.299265799999944</v>
      </c>
      <c r="I125">
        <v>1</v>
      </c>
      <c r="J125">
        <f t="shared" si="47"/>
        <v>5.8182760152400127E-2</v>
      </c>
      <c r="K125">
        <f t="shared" si="51"/>
        <v>-0.33884834937130681</v>
      </c>
      <c r="O125">
        <f t="shared" si="52"/>
        <v>5.4843422722697308E-2</v>
      </c>
      <c r="P125">
        <f t="shared" si="53"/>
        <v>-1.9329106324820561E-2</v>
      </c>
      <c r="Q125">
        <f t="shared" si="54"/>
        <v>0.99830786064857935</v>
      </c>
      <c r="R125">
        <f t="shared" si="44"/>
        <v>1</v>
      </c>
      <c r="AG125" s="8">
        <f t="shared" si="48"/>
        <v>-0.65319474871037886</v>
      </c>
      <c r="AH125" s="8">
        <f t="shared" si="49"/>
        <v>-0.55392900018250946</v>
      </c>
      <c r="AI125" s="8">
        <f t="shared" si="50"/>
        <v>0.51623568552938148</v>
      </c>
      <c r="AJ125" s="8"/>
      <c r="AK125" s="8"/>
      <c r="AL125" s="8"/>
      <c r="AN125" s="8">
        <f t="shared" si="55"/>
        <v>1</v>
      </c>
      <c r="AO125" s="8">
        <f t="shared" si="56"/>
        <v>3.8449421481811119</v>
      </c>
      <c r="AP125" s="8">
        <f t="shared" si="57"/>
        <v>1.028346498715659</v>
      </c>
      <c r="AQ125" s="8"/>
      <c r="AR125" s="8">
        <f t="shared" si="58"/>
        <v>220.29895756274209</v>
      </c>
      <c r="AS125" s="8">
        <f t="shared" si="59"/>
        <v>31.080085746537407</v>
      </c>
    </row>
    <row r="126" spans="1:45">
      <c r="A126" s="19">
        <v>11.14446667</v>
      </c>
      <c r="B126" s="19">
        <v>1045.666667</v>
      </c>
      <c r="C126" s="19">
        <v>569.83333330000005</v>
      </c>
      <c r="E126" s="9">
        <f t="shared" si="45"/>
        <v>85.666666999999961</v>
      </c>
      <c r="F126" s="9">
        <f t="shared" si="46"/>
        <v>-29.833333300000049</v>
      </c>
      <c r="I126">
        <v>1</v>
      </c>
      <c r="J126">
        <f t="shared" si="47"/>
        <v>5.7900055254160171E-2</v>
      </c>
      <c r="K126">
        <f t="shared" si="51"/>
        <v>-0.33511408034881052</v>
      </c>
      <c r="O126">
        <f t="shared" si="52"/>
        <v>5.464869100789875E-2</v>
      </c>
      <c r="P126">
        <f t="shared" si="53"/>
        <v>-1.9031353387979476E-2</v>
      </c>
      <c r="Q126">
        <f t="shared" si="54"/>
        <v>0.99832426002744468</v>
      </c>
      <c r="R126">
        <f t="shared" si="44"/>
        <v>1</v>
      </c>
      <c r="AG126" s="8">
        <f t="shared" si="48"/>
        <v>-0.65323644960166172</v>
      </c>
      <c r="AH126" s="8">
        <f t="shared" si="49"/>
        <v>-0.55366273004050248</v>
      </c>
      <c r="AI126" s="8">
        <f t="shared" si="50"/>
        <v>0.51646851043980735</v>
      </c>
      <c r="AJ126" s="8"/>
      <c r="AK126" s="8"/>
      <c r="AL126" s="8"/>
      <c r="AN126" s="8">
        <f t="shared" si="55"/>
        <v>1</v>
      </c>
      <c r="AO126" s="8">
        <f t="shared" si="56"/>
        <v>3.844673494191484</v>
      </c>
      <c r="AP126" s="8">
        <f t="shared" si="57"/>
        <v>1.0280746265385401</v>
      </c>
      <c r="AQ126" s="8"/>
      <c r="AR126" s="8">
        <f t="shared" si="58"/>
        <v>220.28356482298705</v>
      </c>
      <c r="AS126" s="8">
        <f t="shared" si="59"/>
        <v>31.095662874853353</v>
      </c>
    </row>
    <row r="127" spans="1:45">
      <c r="A127" s="19">
        <v>11.17783333</v>
      </c>
      <c r="B127" s="19">
        <v>1044.5</v>
      </c>
      <c r="C127" s="19">
        <v>569.58333330000005</v>
      </c>
      <c r="E127" s="9">
        <f t="shared" si="45"/>
        <v>84.5</v>
      </c>
      <c r="F127" s="9">
        <f t="shared" si="46"/>
        <v>-29.583333300000049</v>
      </c>
      <c r="I127">
        <v>1</v>
      </c>
      <c r="J127">
        <f t="shared" si="47"/>
        <v>5.713933192675081E-2</v>
      </c>
      <c r="K127">
        <f t="shared" si="51"/>
        <v>-0.33676267319718678</v>
      </c>
      <c r="O127">
        <f t="shared" si="52"/>
        <v>5.3900436251962572E-2</v>
      </c>
      <c r="P127">
        <f t="shared" si="53"/>
        <v>-1.8870468291801355E-2</v>
      </c>
      <c r="Q127">
        <f t="shared" si="54"/>
        <v>0.99836799247486707</v>
      </c>
      <c r="R127">
        <f t="shared" si="44"/>
        <v>1</v>
      </c>
      <c r="AG127" s="8">
        <f t="shared" si="48"/>
        <v>-0.65370290123615771</v>
      </c>
      <c r="AH127" s="8">
        <f t="shared" si="49"/>
        <v>-0.5530571965482024</v>
      </c>
      <c r="AI127" s="8">
        <f t="shared" si="50"/>
        <v>0.51652710893202236</v>
      </c>
      <c r="AJ127" s="8"/>
      <c r="AK127" s="8"/>
      <c r="AL127" s="8"/>
      <c r="AN127" s="8">
        <f t="shared" si="55"/>
        <v>1</v>
      </c>
      <c r="AO127" s="8">
        <f t="shared" si="56"/>
        <v>3.8437818046660275</v>
      </c>
      <c r="AP127" s="8">
        <f t="shared" si="57"/>
        <v>1.0280061934210274</v>
      </c>
      <c r="AQ127" s="8"/>
      <c r="AR127" s="8">
        <f t="shared" si="58"/>
        <v>220.23247477654238</v>
      </c>
      <c r="AS127" s="8">
        <f t="shared" si="59"/>
        <v>31.099583803665752</v>
      </c>
    </row>
    <row r="128" spans="1:45">
      <c r="A128" s="19">
        <v>11.2112</v>
      </c>
      <c r="B128" s="19">
        <v>1044.019202</v>
      </c>
      <c r="C128" s="19">
        <v>569.71945389999996</v>
      </c>
      <c r="E128" s="9">
        <f t="shared" si="45"/>
        <v>84.01920199999995</v>
      </c>
      <c r="F128" s="9">
        <f t="shared" si="46"/>
        <v>-29.719453899999962</v>
      </c>
      <c r="I128">
        <v>1</v>
      </c>
      <c r="J128">
        <f t="shared" si="47"/>
        <v>5.687694227119814E-2</v>
      </c>
      <c r="K128">
        <f t="shared" si="51"/>
        <v>-0.33998692178396672</v>
      </c>
      <c r="O128">
        <f t="shared" si="52"/>
        <v>5.3592344751578765E-2</v>
      </c>
      <c r="P128">
        <f t="shared" si="53"/>
        <v>-1.8956800128111795E-2</v>
      </c>
      <c r="Q128">
        <f t="shared" si="54"/>
        <v>0.99838294271934092</v>
      </c>
      <c r="R128">
        <f t="shared" si="44"/>
        <v>1</v>
      </c>
      <c r="AG128" s="8">
        <f t="shared" si="48"/>
        <v>-0.65394243541130959</v>
      </c>
      <c r="AH128" s="8">
        <f t="shared" si="49"/>
        <v>-0.55287264117552293</v>
      </c>
      <c r="AI128" s="8">
        <f t="shared" si="50"/>
        <v>0.51642146915859988</v>
      </c>
      <c r="AJ128" s="8"/>
      <c r="AK128" s="8"/>
      <c r="AL128" s="8"/>
      <c r="AN128" s="8">
        <f t="shared" si="55"/>
        <v>1</v>
      </c>
      <c r="AO128" s="8">
        <f t="shared" si="56"/>
        <v>3.8434366031641543</v>
      </c>
      <c r="AP128" s="8">
        <f t="shared" si="57"/>
        <v>1.0281295607465564</v>
      </c>
      <c r="AQ128" s="8"/>
      <c r="AR128" s="8">
        <f t="shared" si="58"/>
        <v>220.21269618740345</v>
      </c>
      <c r="AS128" s="8">
        <f t="shared" si="59"/>
        <v>31.09251537658313</v>
      </c>
    </row>
    <row r="129" spans="1:45">
      <c r="A129" s="19">
        <v>11.244566669999999</v>
      </c>
      <c r="B129" s="19">
        <v>1043.5796560000001</v>
      </c>
      <c r="C129" s="19">
        <v>569.64293299999997</v>
      </c>
      <c r="E129" s="9">
        <f t="shared" si="45"/>
        <v>83.579656000000114</v>
      </c>
      <c r="F129" s="9">
        <f t="shared" si="46"/>
        <v>-29.642932999999971</v>
      </c>
      <c r="I129">
        <v>1</v>
      </c>
      <c r="J129">
        <f t="shared" si="47"/>
        <v>5.6594300295665527E-2</v>
      </c>
      <c r="K129">
        <f t="shared" si="51"/>
        <v>-0.34082630123499807</v>
      </c>
      <c r="O129">
        <f t="shared" si="52"/>
        <v>5.3310458482224835E-2</v>
      </c>
      <c r="P129">
        <f t="shared" si="53"/>
        <v>-1.89074521793661E-2</v>
      </c>
      <c r="Q129">
        <f t="shared" si="54"/>
        <v>0.99839896998569666</v>
      </c>
      <c r="R129">
        <f t="shared" si="44"/>
        <v>1</v>
      </c>
      <c r="AG129" s="8">
        <f t="shared" si="48"/>
        <v>-0.65412151143859198</v>
      </c>
      <c r="AH129" s="8">
        <f t="shared" si="49"/>
        <v>-0.55264918992781198</v>
      </c>
      <c r="AI129" s="8">
        <f t="shared" si="50"/>
        <v>0.51643384972852557</v>
      </c>
      <c r="AJ129" s="8"/>
      <c r="AK129" s="8"/>
      <c r="AL129" s="8"/>
      <c r="AN129" s="8">
        <f t="shared" si="55"/>
        <v>1.0000000000000002</v>
      </c>
      <c r="AO129" s="8">
        <f t="shared" si="56"/>
        <v>3.84310232024127</v>
      </c>
      <c r="AP129" s="8">
        <f t="shared" si="57"/>
        <v>1.0281151030514195</v>
      </c>
      <c r="AQ129" s="8"/>
      <c r="AR129" s="8">
        <f t="shared" si="58"/>
        <v>220.19354318675889</v>
      </c>
      <c r="AS129" s="8">
        <f t="shared" si="59"/>
        <v>31.093343741495957</v>
      </c>
    </row>
    <row r="130" spans="1:45">
      <c r="A130" s="19">
        <v>11.27793333</v>
      </c>
      <c r="B130" s="19">
        <v>1042.878328</v>
      </c>
      <c r="C130" s="19">
        <v>569.42850350000003</v>
      </c>
      <c r="E130" s="9">
        <f t="shared" si="45"/>
        <v>82.87832800000001</v>
      </c>
      <c r="F130" s="9">
        <f t="shared" si="46"/>
        <v>-29.428503500000033</v>
      </c>
      <c r="I130">
        <v>1</v>
      </c>
      <c r="J130">
        <f t="shared" si="47"/>
        <v>5.6123536157900639E-2</v>
      </c>
      <c r="K130">
        <f t="shared" si="51"/>
        <v>-0.3411939597265195</v>
      </c>
      <c r="O130">
        <f t="shared" si="52"/>
        <v>5.2860580437750583E-2</v>
      </c>
      <c r="P130">
        <f t="shared" si="53"/>
        <v>-1.8769777503527534E-2</v>
      </c>
      <c r="Q130">
        <f t="shared" si="54"/>
        <v>0.99842548769963413</v>
      </c>
      <c r="R130">
        <f t="shared" si="44"/>
        <v>1</v>
      </c>
      <c r="AG130" s="8">
        <f t="shared" si="48"/>
        <v>-0.65438881152434214</v>
      </c>
      <c r="AH130" s="8">
        <f t="shared" si="49"/>
        <v>-0.55226743806298473</v>
      </c>
      <c r="AI130" s="8">
        <f t="shared" si="50"/>
        <v>0.51650359166912518</v>
      </c>
      <c r="AJ130" s="8"/>
      <c r="AK130" s="8"/>
      <c r="AL130" s="8"/>
      <c r="AN130" s="8">
        <f t="shared" si="55"/>
        <v>1</v>
      </c>
      <c r="AO130" s="8">
        <f t="shared" si="56"/>
        <v>3.8425603088531437</v>
      </c>
      <c r="AP130" s="8">
        <f t="shared" si="57"/>
        <v>1.0280336579416962</v>
      </c>
      <c r="AQ130" s="8"/>
      <c r="AR130" s="8">
        <f t="shared" si="58"/>
        <v>220.16248822177124</v>
      </c>
      <c r="AS130" s="8">
        <f t="shared" si="59"/>
        <v>31.098010202545083</v>
      </c>
    </row>
    <row r="131" spans="1:45">
      <c r="A131" s="19">
        <v>11.311299999999999</v>
      </c>
      <c r="B131" s="19">
        <v>1042.503725</v>
      </c>
      <c r="C131" s="19">
        <v>569.40740840000001</v>
      </c>
      <c r="E131" s="9">
        <f t="shared" si="45"/>
        <v>82.503725000000031</v>
      </c>
      <c r="F131" s="9">
        <f t="shared" si="46"/>
        <v>-29.407408400000008</v>
      </c>
      <c r="I131">
        <v>1</v>
      </c>
      <c r="J131">
        <f t="shared" si="47"/>
        <v>5.5892221405748552E-2</v>
      </c>
      <c r="K131">
        <f t="shared" si="51"/>
        <v>-0.34239809443518138</v>
      </c>
      <c r="O131">
        <f t="shared" si="52"/>
        <v>5.262039499036502E-2</v>
      </c>
      <c r="P131">
        <f t="shared" si="53"/>
        <v>-1.875587369722977E-2</v>
      </c>
      <c r="Q131">
        <f t="shared" si="54"/>
        <v>0.99843843637597984</v>
      </c>
      <c r="R131">
        <f t="shared" si="44"/>
        <v>1</v>
      </c>
      <c r="AG131" s="8">
        <f t="shared" si="48"/>
        <v>-0.65455005461191185</v>
      </c>
      <c r="AH131" s="8">
        <f t="shared" si="49"/>
        <v>-0.55208891792493286</v>
      </c>
      <c r="AI131" s="8">
        <f t="shared" si="50"/>
        <v>0.51649012837809405</v>
      </c>
      <c r="AJ131" s="8"/>
      <c r="AK131" s="8"/>
      <c r="AL131" s="8"/>
      <c r="AN131" s="8">
        <f t="shared" si="55"/>
        <v>1.0000000000000002</v>
      </c>
      <c r="AO131" s="8">
        <f t="shared" si="56"/>
        <v>3.8422795366375957</v>
      </c>
      <c r="AP131" s="8">
        <f t="shared" si="57"/>
        <v>1.0280493807756077</v>
      </c>
      <c r="AQ131" s="8"/>
      <c r="AR131" s="8">
        <f t="shared" si="58"/>
        <v>220.14640115881579</v>
      </c>
      <c r="AS131" s="8">
        <f t="shared" si="59"/>
        <v>31.097109350519965</v>
      </c>
    </row>
    <row r="132" spans="1:45">
      <c r="A132" s="19">
        <v>11.344666670000001</v>
      </c>
      <c r="B132" s="19">
        <v>1041.900394</v>
      </c>
      <c r="C132" s="19">
        <v>569.46059830000002</v>
      </c>
      <c r="E132" s="9">
        <f t="shared" si="45"/>
        <v>81.900394000000006</v>
      </c>
      <c r="F132" s="9">
        <f t="shared" si="46"/>
        <v>-29.460598300000015</v>
      </c>
      <c r="I132">
        <v>1</v>
      </c>
      <c r="J132">
        <f t="shared" si="47"/>
        <v>5.5538779373556196E-2</v>
      </c>
      <c r="K132">
        <f t="shared" si="51"/>
        <v>-0.34530107291517376</v>
      </c>
      <c r="O132">
        <f t="shared" si="52"/>
        <v>5.2233661896412105E-2</v>
      </c>
      <c r="P132">
        <f t="shared" si="53"/>
        <v>-1.8789102905514884E-2</v>
      </c>
      <c r="Q132">
        <f t="shared" si="54"/>
        <v>0.99845811838899745</v>
      </c>
      <c r="R132">
        <f t="shared" si="44"/>
        <v>1</v>
      </c>
      <c r="AG132" s="8">
        <f t="shared" si="48"/>
        <v>-0.65482694796791363</v>
      </c>
      <c r="AH132" s="8">
        <f t="shared" si="49"/>
        <v>-0.55182505812097582</v>
      </c>
      <c r="AI132" s="8">
        <f t="shared" si="50"/>
        <v>0.51642112025439946</v>
      </c>
      <c r="AJ132" s="8"/>
      <c r="AK132" s="8"/>
      <c r="AL132" s="8"/>
      <c r="AN132" s="8">
        <f t="shared" si="55"/>
        <v>1</v>
      </c>
      <c r="AO132" s="8">
        <f t="shared" si="56"/>
        <v>3.8418355288084927</v>
      </c>
      <c r="AP132" s="8">
        <f t="shared" si="57"/>
        <v>1.0281299681856308</v>
      </c>
      <c r="AQ132" s="8"/>
      <c r="AR132" s="8">
        <f t="shared" si="58"/>
        <v>220.12096138413742</v>
      </c>
      <c r="AS132" s="8">
        <f t="shared" si="59"/>
        <v>31.092492032043751</v>
      </c>
    </row>
    <row r="133" spans="1:45">
      <c r="A133" s="19">
        <v>11.378033329999999</v>
      </c>
      <c r="B133" s="19">
        <v>1041.4458440000001</v>
      </c>
      <c r="C133" s="19">
        <v>569.21875839999996</v>
      </c>
      <c r="E133" s="9">
        <f t="shared" si="45"/>
        <v>81.445844000000079</v>
      </c>
      <c r="F133" s="9">
        <f t="shared" si="46"/>
        <v>-29.218758399999956</v>
      </c>
      <c r="I133">
        <v>1</v>
      </c>
      <c r="J133">
        <f t="shared" si="47"/>
        <v>5.5211389362663572E-2</v>
      </c>
      <c r="K133">
        <f t="shared" si="51"/>
        <v>-0.34444922659572413</v>
      </c>
      <c r="O133">
        <f t="shared" si="52"/>
        <v>5.1941961083371783E-2</v>
      </c>
      <c r="P133">
        <f t="shared" si="53"/>
        <v>-1.8634217992967678E-2</v>
      </c>
      <c r="Q133">
        <f t="shared" si="54"/>
        <v>0.99847623837455646</v>
      </c>
      <c r="R133">
        <f t="shared" si="44"/>
        <v>1</v>
      </c>
      <c r="AG133" s="8">
        <f t="shared" si="48"/>
        <v>-0.65497958280423463</v>
      </c>
      <c r="AH133" s="8">
        <f t="shared" si="49"/>
        <v>-0.55154947844965918</v>
      </c>
      <c r="AI133" s="8">
        <f t="shared" si="50"/>
        <v>0.51652194428842979</v>
      </c>
      <c r="AJ133" s="8"/>
      <c r="AK133" s="8"/>
      <c r="AL133" s="8"/>
      <c r="AN133" s="8">
        <f t="shared" si="55"/>
        <v>1</v>
      </c>
      <c r="AO133" s="8">
        <f t="shared" si="56"/>
        <v>3.8414745575891134</v>
      </c>
      <c r="AP133" s="8">
        <f t="shared" si="57"/>
        <v>1.0280122249638242</v>
      </c>
      <c r="AQ133" s="8"/>
      <c r="AR133" s="8">
        <f t="shared" si="58"/>
        <v>220.10027925674129</v>
      </c>
      <c r="AS133" s="8">
        <f t="shared" si="59"/>
        <v>31.099238221719546</v>
      </c>
    </row>
    <row r="134" spans="1:45">
      <c r="A134" s="19">
        <v>11.4114</v>
      </c>
      <c r="B134" s="19">
        <v>1041.25</v>
      </c>
      <c r="C134" s="19">
        <v>569.08333330000005</v>
      </c>
      <c r="E134" s="9">
        <f t="shared" si="45"/>
        <v>81.25</v>
      </c>
      <c r="F134" s="9">
        <f t="shared" si="46"/>
        <v>-29.083333300000049</v>
      </c>
      <c r="I134">
        <v>1</v>
      </c>
      <c r="J134">
        <f t="shared" si="47"/>
        <v>5.506358183883038E-2</v>
      </c>
      <c r="K134">
        <f t="shared" si="51"/>
        <v>-0.34373845763599908</v>
      </c>
      <c r="O134">
        <f t="shared" si="52"/>
        <v>5.1816243083105382E-2</v>
      </c>
      <c r="P134">
        <f t="shared" si="53"/>
        <v>-1.8547557759258784E-2</v>
      </c>
      <c r="Q134">
        <f t="shared" si="54"/>
        <v>0.99848438398100126</v>
      </c>
      <c r="R134">
        <f t="shared" si="44"/>
        <v>1</v>
      </c>
      <c r="AG134" s="8">
        <f t="shared" si="48"/>
        <v>-0.65503912871409564</v>
      </c>
      <c r="AH134" s="8">
        <f t="shared" si="49"/>
        <v>-0.55142222565092847</v>
      </c>
      <c r="AI134" s="8">
        <f t="shared" si="50"/>
        <v>0.51658229635911357</v>
      </c>
      <c r="AJ134" s="8"/>
      <c r="AK134" s="8"/>
      <c r="AL134" s="8"/>
      <c r="AN134" s="8">
        <f t="shared" si="55"/>
        <v>1</v>
      </c>
      <c r="AO134" s="8">
        <f t="shared" si="56"/>
        <v>3.8413160815438272</v>
      </c>
      <c r="AP134" s="8">
        <f t="shared" si="57"/>
        <v>1.027941741266857</v>
      </c>
      <c r="AQ134" s="8"/>
      <c r="AR134" s="8">
        <f t="shared" si="58"/>
        <v>220.09119924819248</v>
      </c>
      <c r="AS134" s="8">
        <f t="shared" si="59"/>
        <v>31.103276640080246</v>
      </c>
    </row>
    <row r="135" spans="1:45">
      <c r="A135" s="19">
        <v>11.44476667</v>
      </c>
      <c r="B135" s="19">
        <v>1040.7295819999999</v>
      </c>
      <c r="C135" s="19">
        <v>569.16513840000005</v>
      </c>
      <c r="E135" s="9">
        <f t="shared" si="45"/>
        <v>80.729581999999937</v>
      </c>
      <c r="F135" s="9">
        <f t="shared" si="46"/>
        <v>-29.165138400000046</v>
      </c>
      <c r="I135">
        <v>1</v>
      </c>
      <c r="J135">
        <f t="shared" si="47"/>
        <v>5.47667259886329E-2</v>
      </c>
      <c r="K135">
        <f t="shared" si="51"/>
        <v>-0.34667900406691793</v>
      </c>
      <c r="O135">
        <f t="shared" si="52"/>
        <v>5.1482705264737597E-2</v>
      </c>
      <c r="P135">
        <f t="shared" si="53"/>
        <v>-1.8599132895949892E-2</v>
      </c>
      <c r="Q135">
        <f t="shared" si="54"/>
        <v>0.99850067767335193</v>
      </c>
      <c r="R135">
        <f t="shared" si="44"/>
        <v>1</v>
      </c>
      <c r="AG135" s="8">
        <f t="shared" si="48"/>
        <v>-0.65528491402307298</v>
      </c>
      <c r="AH135" s="8">
        <f t="shared" si="49"/>
        <v>-0.55120427615486534</v>
      </c>
      <c r="AI135" s="8">
        <f t="shared" si="50"/>
        <v>0.51650317269341628</v>
      </c>
      <c r="AJ135" s="8"/>
      <c r="AK135" s="8"/>
      <c r="AL135" s="8"/>
      <c r="AN135" s="8">
        <f t="shared" si="55"/>
        <v>1.0000000000000002</v>
      </c>
      <c r="AO135" s="8">
        <f t="shared" si="56"/>
        <v>3.8409365082193165</v>
      </c>
      <c r="AP135" s="8">
        <f t="shared" si="57"/>
        <v>1.0280341472363075</v>
      </c>
      <c r="AQ135" s="8"/>
      <c r="AR135" s="8">
        <f t="shared" si="58"/>
        <v>220.06945129868228</v>
      </c>
      <c r="AS135" s="8">
        <f t="shared" si="59"/>
        <v>31.097982168028921</v>
      </c>
    </row>
    <row r="136" spans="1:45">
      <c r="A136" s="19">
        <v>11.47813333</v>
      </c>
      <c r="B136" s="19">
        <v>1040.082306</v>
      </c>
      <c r="C136" s="19">
        <v>568.87801679999995</v>
      </c>
      <c r="E136" s="9">
        <f t="shared" si="45"/>
        <v>80.082306000000017</v>
      </c>
      <c r="F136" s="9">
        <f t="shared" si="46"/>
        <v>-28.878016799999955</v>
      </c>
      <c r="I136">
        <v>1</v>
      </c>
      <c r="J136">
        <f t="shared" si="47"/>
        <v>5.4312932888767505E-2</v>
      </c>
      <c r="K136">
        <f t="shared" si="51"/>
        <v>-0.34609036722294101</v>
      </c>
      <c r="O136">
        <f t="shared" si="52"/>
        <v>5.1067393279139284E-2</v>
      </c>
      <c r="P136">
        <f t="shared" si="53"/>
        <v>-1.8415117080259759E-2</v>
      </c>
      <c r="Q136">
        <f t="shared" si="54"/>
        <v>0.99852541520313542</v>
      </c>
      <c r="R136">
        <f t="shared" si="44"/>
        <v>1</v>
      </c>
      <c r="AG136" s="8">
        <f t="shared" si="48"/>
        <v>-0.65551336192403409</v>
      </c>
      <c r="AH136" s="8">
        <f t="shared" si="49"/>
        <v>-0.55082724635325797</v>
      </c>
      <c r="AI136" s="8">
        <f t="shared" si="50"/>
        <v>0.51661550210377694</v>
      </c>
      <c r="AJ136" s="8"/>
      <c r="AK136" s="8"/>
      <c r="AL136" s="8"/>
      <c r="AN136" s="8">
        <f t="shared" si="55"/>
        <v>1</v>
      </c>
      <c r="AO136" s="8">
        <f t="shared" si="56"/>
        <v>3.8404277786949379</v>
      </c>
      <c r="AP136" s="8">
        <f t="shared" si="57"/>
        <v>1.0279029598172587</v>
      </c>
      <c r="AQ136" s="8"/>
      <c r="AR136" s="8">
        <f t="shared" si="58"/>
        <v>220.04030324402169</v>
      </c>
      <c r="AS136" s="8">
        <f t="shared" si="59"/>
        <v>31.105498653465631</v>
      </c>
    </row>
    <row r="137" spans="1:45">
      <c r="A137" s="19">
        <v>11.5115</v>
      </c>
      <c r="B137" s="19">
        <v>1039.038294</v>
      </c>
      <c r="C137" s="19">
        <v>568.6742673</v>
      </c>
      <c r="E137" s="9">
        <f t="shared" si="45"/>
        <v>79.038293999999951</v>
      </c>
      <c r="F137" s="9">
        <f t="shared" si="46"/>
        <v>-28.674267299999997</v>
      </c>
      <c r="I137">
        <v>1</v>
      </c>
      <c r="J137">
        <f t="shared" si="47"/>
        <v>5.3637659180271337E-2</v>
      </c>
      <c r="K137">
        <f t="shared" si="51"/>
        <v>-0.34802288665502351</v>
      </c>
      <c r="O137">
        <f t="shared" si="52"/>
        <v>5.0397844580200836E-2</v>
      </c>
      <c r="P137">
        <f t="shared" si="53"/>
        <v>-1.8283811475441711E-2</v>
      </c>
      <c r="Q137">
        <f t="shared" si="54"/>
        <v>0.99856184560576944</v>
      </c>
      <c r="R137">
        <f t="shared" si="44"/>
        <v>1</v>
      </c>
      <c r="AG137" s="8">
        <f t="shared" si="48"/>
        <v>-0.65593301292005246</v>
      </c>
      <c r="AH137" s="8">
        <f t="shared" si="49"/>
        <v>-0.55028954185835421</v>
      </c>
      <c r="AI137" s="8">
        <f t="shared" si="50"/>
        <v>0.51665588420431752</v>
      </c>
      <c r="AJ137" s="8"/>
      <c r="AK137" s="8"/>
      <c r="AL137" s="8"/>
      <c r="AN137" s="8">
        <f t="shared" si="55"/>
        <v>1.0000000000000002</v>
      </c>
      <c r="AO137" s="8">
        <f t="shared" si="56"/>
        <v>3.8396316558613854</v>
      </c>
      <c r="AP137" s="8">
        <f t="shared" si="57"/>
        <v>1.027855795779248</v>
      </c>
      <c r="AQ137" s="8"/>
      <c r="AR137" s="8">
        <f t="shared" si="58"/>
        <v>219.99468876568511</v>
      </c>
      <c r="AS137" s="8">
        <f t="shared" si="59"/>
        <v>31.108200953788433</v>
      </c>
    </row>
    <row r="138" spans="1:45">
      <c r="A138" s="19">
        <v>11.544866669999999</v>
      </c>
      <c r="B138" s="19">
        <v>1038.9551309999999</v>
      </c>
      <c r="C138" s="19">
        <v>568.68617740000002</v>
      </c>
      <c r="E138" s="9">
        <f t="shared" si="45"/>
        <v>78.955130999999938</v>
      </c>
      <c r="F138" s="9">
        <f t="shared" si="46"/>
        <v>-28.68617740000002</v>
      </c>
      <c r="I138">
        <v>1</v>
      </c>
      <c r="J138">
        <f t="shared" si="47"/>
        <v>5.3590049621028077E-2</v>
      </c>
      <c r="K138">
        <f t="shared" si="51"/>
        <v>-0.34849378794795177</v>
      </c>
      <c r="O138">
        <f t="shared" si="52"/>
        <v>5.0344545759879546E-2</v>
      </c>
      <c r="P138">
        <f t="shared" si="53"/>
        <v>-1.8291307385587451E-2</v>
      </c>
      <c r="Q138">
        <f t="shared" si="54"/>
        <v>0.99856439691506993</v>
      </c>
      <c r="R138">
        <f t="shared" si="44"/>
        <v>1</v>
      </c>
      <c r="AG138" s="8">
        <f t="shared" si="48"/>
        <v>-0.65597201094540014</v>
      </c>
      <c r="AH138" s="8">
        <f t="shared" si="49"/>
        <v>-0.55025436326261146</v>
      </c>
      <c r="AI138" s="8">
        <f t="shared" si="50"/>
        <v>0.51664383918392565</v>
      </c>
      <c r="AJ138" s="8"/>
      <c r="AK138" s="8"/>
      <c r="AL138" s="8"/>
      <c r="AN138" s="8">
        <f t="shared" si="55"/>
        <v>1.0000000000000002</v>
      </c>
      <c r="AO138" s="8">
        <f t="shared" si="56"/>
        <v>3.8395709047320103</v>
      </c>
      <c r="AP138" s="8">
        <f t="shared" si="57"/>
        <v>1.0278698638307988</v>
      </c>
      <c r="AQ138" s="8"/>
      <c r="AR138" s="8">
        <f t="shared" si="58"/>
        <v>219.99120798237126</v>
      </c>
      <c r="AS138" s="8">
        <f t="shared" si="59"/>
        <v>31.107394913808598</v>
      </c>
    </row>
    <row r="139" spans="1:45">
      <c r="A139" s="19">
        <v>11.57823333</v>
      </c>
      <c r="B139" s="19">
        <v>1038.341997</v>
      </c>
      <c r="C139" s="19">
        <v>568.62232280000001</v>
      </c>
      <c r="E139" s="9">
        <f t="shared" si="45"/>
        <v>78.341996999999992</v>
      </c>
      <c r="F139" s="9">
        <f t="shared" si="46"/>
        <v>-28.622322800000006</v>
      </c>
      <c r="I139">
        <v>1</v>
      </c>
      <c r="J139">
        <f t="shared" si="47"/>
        <v>5.320590182849471E-2</v>
      </c>
      <c r="K139">
        <f t="shared" si="51"/>
        <v>-0.35028450910758441</v>
      </c>
      <c r="O139">
        <f t="shared" si="52"/>
        <v>4.9951404255461636E-2</v>
      </c>
      <c r="P139">
        <f t="shared" si="53"/>
        <v>-1.8249792852652418E-2</v>
      </c>
      <c r="Q139">
        <f t="shared" si="54"/>
        <v>0.99858489988270038</v>
      </c>
      <c r="R139">
        <f t="shared" si="44"/>
        <v>1</v>
      </c>
      <c r="AG139" s="8">
        <f t="shared" si="48"/>
        <v>-0.65622937148590899</v>
      </c>
      <c r="AH139" s="8">
        <f t="shared" si="49"/>
        <v>-0.54995365501036719</v>
      </c>
      <c r="AI139" s="8">
        <f t="shared" si="50"/>
        <v>0.51663719314422851</v>
      </c>
      <c r="AJ139" s="8"/>
      <c r="AK139" s="8"/>
      <c r="AL139" s="8"/>
      <c r="AN139" s="8">
        <f t="shared" si="55"/>
        <v>1</v>
      </c>
      <c r="AO139" s="8">
        <f t="shared" si="56"/>
        <v>3.839108651256125</v>
      </c>
      <c r="AP139" s="8">
        <f t="shared" si="57"/>
        <v>1.0278776260603526</v>
      </c>
      <c r="AQ139" s="8"/>
      <c r="AR139" s="8">
        <f t="shared" si="58"/>
        <v>219.96472280913778</v>
      </c>
      <c r="AS139" s="8">
        <f t="shared" si="59"/>
        <v>31.106950170815558</v>
      </c>
    </row>
    <row r="140" spans="1:45">
      <c r="A140" s="19">
        <v>11.611599999999999</v>
      </c>
      <c r="B140" s="19">
        <v>1038.016437</v>
      </c>
      <c r="C140" s="19">
        <v>568.54789970000002</v>
      </c>
      <c r="E140" s="9">
        <f t="shared" si="45"/>
        <v>78.016436999999996</v>
      </c>
      <c r="F140" s="9">
        <f t="shared" si="46"/>
        <v>-28.547899700000016</v>
      </c>
      <c r="I140">
        <v>1</v>
      </c>
      <c r="J140">
        <f t="shared" si="47"/>
        <v>5.299305210549856E-2</v>
      </c>
      <c r="K140">
        <f t="shared" si="51"/>
        <v>-0.3507878708141422</v>
      </c>
      <c r="O140">
        <f t="shared" si="52"/>
        <v>4.9742605755680264E-2</v>
      </c>
      <c r="P140">
        <f t="shared" si="53"/>
        <v>-1.8201894043556537E-2</v>
      </c>
      <c r="Q140">
        <f t="shared" si="54"/>
        <v>0.99859619678119249</v>
      </c>
      <c r="R140">
        <f t="shared" si="44"/>
        <v>1</v>
      </c>
      <c r="AG140" s="8">
        <f t="shared" si="48"/>
        <v>-0.65635793766540051</v>
      </c>
      <c r="AH140" s="8">
        <f t="shared" si="49"/>
        <v>-0.54978291846650151</v>
      </c>
      <c r="AI140" s="8">
        <f t="shared" si="50"/>
        <v>0.5166555914979325</v>
      </c>
      <c r="AJ140" s="8"/>
      <c r="AK140" s="8"/>
      <c r="AL140" s="8"/>
      <c r="AN140" s="8">
        <f t="shared" si="55"/>
        <v>1.0000000000000002</v>
      </c>
      <c r="AO140" s="8">
        <f t="shared" si="56"/>
        <v>3.838859362435926</v>
      </c>
      <c r="AP140" s="8">
        <f t="shared" si="57"/>
        <v>1.0278561376487869</v>
      </c>
      <c r="AQ140" s="8"/>
      <c r="AR140" s="8">
        <f t="shared" si="58"/>
        <v>219.95043961186059</v>
      </c>
      <c r="AS140" s="8">
        <f t="shared" si="59"/>
        <v>31.108181366106713</v>
      </c>
    </row>
    <row r="141" spans="1:45">
      <c r="A141" s="19">
        <v>11.644966670000001</v>
      </c>
      <c r="B141" s="19">
        <v>1037.5321710000001</v>
      </c>
      <c r="C141" s="19">
        <v>568.53764339999998</v>
      </c>
      <c r="E141" s="9">
        <f t="shared" si="45"/>
        <v>77.532171000000062</v>
      </c>
      <c r="F141" s="9">
        <f t="shared" si="46"/>
        <v>-28.537643399999979</v>
      </c>
      <c r="I141">
        <v>1</v>
      </c>
      <c r="J141">
        <f t="shared" si="47"/>
        <v>5.2698726468482095E-2</v>
      </c>
      <c r="K141">
        <f t="shared" si="51"/>
        <v>-0.35268553990966528</v>
      </c>
      <c r="O141">
        <f t="shared" si="52"/>
        <v>4.9432151193009255E-2</v>
      </c>
      <c r="P141">
        <f t="shared" si="53"/>
        <v>-1.8194732393614785E-2</v>
      </c>
      <c r="Q141">
        <f t="shared" si="54"/>
        <v>0.99861174344264358</v>
      </c>
      <c r="R141">
        <f t="shared" si="44"/>
        <v>1</v>
      </c>
      <c r="AG141" s="8">
        <f t="shared" si="48"/>
        <v>-0.65656905190019876</v>
      </c>
      <c r="AH141" s="8">
        <f t="shared" si="49"/>
        <v>-0.54955626687997428</v>
      </c>
      <c r="AI141" s="8">
        <f t="shared" si="50"/>
        <v>0.51662848316737298</v>
      </c>
      <c r="AJ141" s="8"/>
      <c r="AK141" s="8"/>
      <c r="AL141" s="8"/>
      <c r="AN141" s="8">
        <f t="shared" si="55"/>
        <v>1</v>
      </c>
      <c r="AO141" s="8">
        <f t="shared" si="56"/>
        <v>3.8384981041684041</v>
      </c>
      <c r="AP141" s="8">
        <f t="shared" si="57"/>
        <v>1.0278877988063808</v>
      </c>
      <c r="AQ141" s="8"/>
      <c r="AR141" s="8">
        <f t="shared" si="58"/>
        <v>219.92974103781739</v>
      </c>
      <c r="AS141" s="8">
        <f t="shared" si="59"/>
        <v>31.106367315402082</v>
      </c>
    </row>
    <row r="142" spans="1:45">
      <c r="A142" s="19">
        <v>11.678333329999999</v>
      </c>
      <c r="B142" s="19">
        <v>1036.99083</v>
      </c>
      <c r="C142" s="19">
        <v>568.51598579999995</v>
      </c>
      <c r="E142" s="9">
        <f t="shared" si="45"/>
        <v>76.99082999999996</v>
      </c>
      <c r="F142" s="9">
        <f t="shared" si="46"/>
        <v>-28.515985799999953</v>
      </c>
      <c r="I142">
        <v>1</v>
      </c>
      <c r="J142">
        <f t="shared" si="47"/>
        <v>5.236767294356498E-2</v>
      </c>
      <c r="K142">
        <f t="shared" si="51"/>
        <v>-0.35471551557496256</v>
      </c>
      <c r="O142">
        <f t="shared" si="52"/>
        <v>4.9085098880457777E-2</v>
      </c>
      <c r="P142">
        <f t="shared" si="53"/>
        <v>-1.8180216821493265E-2</v>
      </c>
      <c r="Q142">
        <f t="shared" si="54"/>
        <v>0.99862912674536941</v>
      </c>
      <c r="R142">
        <f t="shared" si="44"/>
        <v>1</v>
      </c>
      <c r="AG142" s="8">
        <f t="shared" si="48"/>
        <v>-0.6568029412193408</v>
      </c>
      <c r="AH142" s="8">
        <f t="shared" si="49"/>
        <v>-0.549300069202865</v>
      </c>
      <c r="AI142" s="8">
        <f t="shared" si="50"/>
        <v>0.51660364921218938</v>
      </c>
      <c r="AJ142" s="8"/>
      <c r="AK142" s="8"/>
      <c r="AL142" s="8"/>
      <c r="AN142" s="8">
        <f t="shared" si="55"/>
        <v>1</v>
      </c>
      <c r="AO142" s="8">
        <f t="shared" si="56"/>
        <v>3.8380933249544777</v>
      </c>
      <c r="AP142" s="8">
        <f t="shared" si="57"/>
        <v>1.0279168030778321</v>
      </c>
      <c r="AQ142" s="8"/>
      <c r="AR142" s="8">
        <f t="shared" si="58"/>
        <v>219.90654889722478</v>
      </c>
      <c r="AS142" s="8">
        <f t="shared" si="59"/>
        <v>31.104705493060074</v>
      </c>
    </row>
    <row r="143" spans="1:45">
      <c r="A143" s="19">
        <v>11.7117</v>
      </c>
      <c r="B143" s="19">
        <v>1036.607366</v>
      </c>
      <c r="C143" s="19">
        <v>568.51698320000003</v>
      </c>
      <c r="E143" s="9">
        <f t="shared" si="45"/>
        <v>76.607365999999956</v>
      </c>
      <c r="F143" s="9">
        <f t="shared" si="46"/>
        <v>-28.516983200000027</v>
      </c>
      <c r="I143">
        <v>1</v>
      </c>
      <c r="J143">
        <f t="shared" si="47"/>
        <v>5.2136966018937698E-2</v>
      </c>
      <c r="K143">
        <f t="shared" si="51"/>
        <v>-0.35635628700138827</v>
      </c>
      <c r="O143">
        <f t="shared" si="52"/>
        <v>4.8839285762071395E-2</v>
      </c>
      <c r="P143">
        <f t="shared" si="53"/>
        <v>-1.818035476610684E-2</v>
      </c>
      <c r="Q143">
        <f t="shared" si="54"/>
        <v>0.9986411762323989</v>
      </c>
      <c r="R143">
        <f t="shared" si="44"/>
        <v>1</v>
      </c>
      <c r="AG143" s="8">
        <f t="shared" si="48"/>
        <v>-0.65697180718661408</v>
      </c>
      <c r="AH143" s="8">
        <f t="shared" si="49"/>
        <v>-0.54912300309175677</v>
      </c>
      <c r="AI143" s="8">
        <f t="shared" si="50"/>
        <v>0.51657716948917221</v>
      </c>
      <c r="AJ143" s="8"/>
      <c r="AK143" s="8"/>
      <c r="AL143" s="8"/>
      <c r="AN143" s="8">
        <f t="shared" si="55"/>
        <v>1</v>
      </c>
      <c r="AO143" s="8">
        <f t="shared" si="56"/>
        <v>3.8378081717171626</v>
      </c>
      <c r="AP143" s="8">
        <f t="shared" si="57"/>
        <v>1.0279477289284813</v>
      </c>
      <c r="AQ143" s="8"/>
      <c r="AR143" s="8">
        <f t="shared" si="58"/>
        <v>219.89021082021213</v>
      </c>
      <c r="AS143" s="8">
        <f t="shared" si="59"/>
        <v>31.102933572340021</v>
      </c>
    </row>
    <row r="144" spans="1:45">
      <c r="A144" s="19">
        <v>11.74506667</v>
      </c>
      <c r="B144" s="19">
        <v>1036.083333</v>
      </c>
      <c r="C144" s="19">
        <v>568.33333330000005</v>
      </c>
      <c r="E144" s="9">
        <f t="shared" si="45"/>
        <v>76.083333000000039</v>
      </c>
      <c r="F144" s="9">
        <f t="shared" si="46"/>
        <v>-28.333333300000049</v>
      </c>
      <c r="I144">
        <v>1</v>
      </c>
      <c r="J144">
        <f t="shared" si="47"/>
        <v>5.178032904946963E-2</v>
      </c>
      <c r="K144">
        <f t="shared" si="51"/>
        <v>-0.3564881188194845</v>
      </c>
      <c r="O144">
        <f t="shared" si="52"/>
        <v>4.850312506895188E-2</v>
      </c>
      <c r="P144">
        <f t="shared" si="53"/>
        <v>-1.8062500083562329E-2</v>
      </c>
      <c r="Q144">
        <f t="shared" si="54"/>
        <v>0.99865969827027512</v>
      </c>
      <c r="R144">
        <f t="shared" si="44"/>
        <v>1</v>
      </c>
      <c r="AG144" s="8">
        <f t="shared" si="48"/>
        <v>-0.65716579030028877</v>
      </c>
      <c r="AH144" s="8">
        <f t="shared" si="49"/>
        <v>-0.54883058339840174</v>
      </c>
      <c r="AI144" s="8">
        <f t="shared" si="50"/>
        <v>0.5166411857232901</v>
      </c>
      <c r="AJ144" s="8"/>
      <c r="AK144" s="8"/>
      <c r="AL144" s="8"/>
      <c r="AN144" s="8">
        <f t="shared" si="55"/>
        <v>1.0000000000000002</v>
      </c>
      <c r="AO144" s="8">
        <f t="shared" si="56"/>
        <v>3.837400824833554</v>
      </c>
      <c r="AP144" s="8">
        <f t="shared" si="57"/>
        <v>1.0278729629395134</v>
      </c>
      <c r="AQ144" s="8"/>
      <c r="AR144" s="8">
        <f t="shared" si="58"/>
        <v>219.86687156298356</v>
      </c>
      <c r="AS144" s="8">
        <f t="shared" si="59"/>
        <v>31.107217347959008</v>
      </c>
    </row>
    <row r="145" spans="1:45">
      <c r="A145" s="19">
        <v>11.77843333</v>
      </c>
      <c r="B145" s="19">
        <v>1035.127043</v>
      </c>
      <c r="C145" s="19">
        <v>567.73412150000001</v>
      </c>
      <c r="E145" s="9">
        <f t="shared" si="45"/>
        <v>75.127042999999958</v>
      </c>
      <c r="F145" s="9">
        <f t="shared" si="46"/>
        <v>-27.734121500000015</v>
      </c>
      <c r="I145">
        <v>1</v>
      </c>
      <c r="J145">
        <f t="shared" si="47"/>
        <v>5.1070548651888384E-2</v>
      </c>
      <c r="K145">
        <f t="shared" si="51"/>
        <v>-0.3536434701292398</v>
      </c>
      <c r="O145">
        <f t="shared" si="52"/>
        <v>4.7889333339001292E-2</v>
      </c>
      <c r="P145">
        <f t="shared" si="53"/>
        <v>-1.7678968003277645E-2</v>
      </c>
      <c r="Q145">
        <f t="shared" si="54"/>
        <v>0.99869618295189511</v>
      </c>
      <c r="R145">
        <f t="shared" si="44"/>
        <v>1</v>
      </c>
      <c r="AG145" s="8">
        <f t="shared" si="48"/>
        <v>-0.6574671182443822</v>
      </c>
      <c r="AH145" s="8">
        <f t="shared" si="49"/>
        <v>-0.54822483612152328</v>
      </c>
      <c r="AI145" s="8">
        <f t="shared" si="50"/>
        <v>0.51690087781600524</v>
      </c>
      <c r="AJ145" s="8"/>
      <c r="AK145" s="8"/>
      <c r="AL145" s="8"/>
      <c r="AN145" s="8">
        <f t="shared" si="55"/>
        <v>1.0000000000000002</v>
      </c>
      <c r="AO145" s="8">
        <f t="shared" si="56"/>
        <v>3.8366320735889143</v>
      </c>
      <c r="AP145" s="8">
        <f t="shared" si="57"/>
        <v>1.0275696281403925</v>
      </c>
      <c r="AQ145" s="8"/>
      <c r="AR145" s="8">
        <f t="shared" si="58"/>
        <v>219.82282536117026</v>
      </c>
      <c r="AS145" s="8">
        <f t="shared" si="59"/>
        <v>31.124597151728075</v>
      </c>
    </row>
    <row r="146" spans="1:45">
      <c r="A146" s="19">
        <v>11.8118</v>
      </c>
      <c r="B146" s="19">
        <v>1034.5111830000001</v>
      </c>
      <c r="C146" s="19">
        <v>567.63228839999999</v>
      </c>
      <c r="E146" s="9">
        <f t="shared" si="45"/>
        <v>74.511183000000074</v>
      </c>
      <c r="F146" s="9">
        <f t="shared" si="46"/>
        <v>-27.632288399999993</v>
      </c>
      <c r="I146">
        <v>1</v>
      </c>
      <c r="J146">
        <f t="shared" si="47"/>
        <v>5.0676844133668859E-2</v>
      </c>
      <c r="K146">
        <f t="shared" si="51"/>
        <v>-0.35512519063627623</v>
      </c>
      <c r="O146">
        <f t="shared" si="52"/>
        <v>4.7494424553735946E-2</v>
      </c>
      <c r="P146">
        <f t="shared" si="53"/>
        <v>-1.7613190179263039E-2</v>
      </c>
      <c r="Q146">
        <f t="shared" si="54"/>
        <v>0.99871620351730483</v>
      </c>
      <c r="R146">
        <f t="shared" si="44"/>
        <v>1</v>
      </c>
      <c r="AG146" s="8">
        <f t="shared" si="48"/>
        <v>-0.65771742139390688</v>
      </c>
      <c r="AH146" s="8">
        <f t="shared" si="49"/>
        <v>-0.54791202087025415</v>
      </c>
      <c r="AI146" s="8">
        <f t="shared" si="50"/>
        <v>0.51691412341009246</v>
      </c>
      <c r="AJ146" s="8"/>
      <c r="AK146" s="8"/>
      <c r="AL146" s="8"/>
      <c r="AN146" s="8">
        <f t="shared" si="55"/>
        <v>1.0000000000000002</v>
      </c>
      <c r="AO146" s="8">
        <f t="shared" si="56"/>
        <v>3.8361641627639909</v>
      </c>
      <c r="AP146" s="8">
        <f t="shared" si="57"/>
        <v>1.027554155061309</v>
      </c>
      <c r="AQ146" s="8"/>
      <c r="AR146" s="8">
        <f t="shared" si="58"/>
        <v>219.79601604571366</v>
      </c>
      <c r="AS146" s="8">
        <f t="shared" si="59"/>
        <v>31.125483693855635</v>
      </c>
    </row>
    <row r="147" spans="1:45">
      <c r="A147" s="19">
        <v>11.845166669999999</v>
      </c>
      <c r="B147" s="19">
        <v>1034.1738809999999</v>
      </c>
      <c r="C147" s="19">
        <v>567.60477219999996</v>
      </c>
      <c r="E147" s="9">
        <f t="shared" si="45"/>
        <v>74.173880999999938</v>
      </c>
      <c r="F147" s="9">
        <f t="shared" si="46"/>
        <v>-27.604772199999957</v>
      </c>
      <c r="I147">
        <v>1</v>
      </c>
      <c r="J147">
        <f t="shared" si="47"/>
        <v>5.0467595704253888E-2</v>
      </c>
      <c r="K147">
        <f t="shared" si="51"/>
        <v>-0.35628109830012111</v>
      </c>
      <c r="O147">
        <f t="shared" si="52"/>
        <v>4.7278176615711147E-2</v>
      </c>
      <c r="P147">
        <f t="shared" si="53"/>
        <v>-1.7595186848967388E-2</v>
      </c>
      <c r="Q147">
        <f t="shared" si="54"/>
        <v>0.99872678116472047</v>
      </c>
      <c r="R147">
        <f t="shared" si="44"/>
        <v>1</v>
      </c>
      <c r="AG147" s="8">
        <f t="shared" si="48"/>
        <v>-0.65786007371775568</v>
      </c>
      <c r="AH147" s="8">
        <f t="shared" si="49"/>
        <v>-0.54774836218597101</v>
      </c>
      <c r="AI147" s="8">
        <f t="shared" si="50"/>
        <v>0.51690604091135883</v>
      </c>
      <c r="AJ147" s="8"/>
      <c r="AK147" s="8"/>
      <c r="AL147" s="8"/>
      <c r="AN147" s="8">
        <f t="shared" si="55"/>
        <v>1</v>
      </c>
      <c r="AO147" s="8">
        <f t="shared" si="56"/>
        <v>3.835910613245658</v>
      </c>
      <c r="AP147" s="8">
        <f t="shared" si="57"/>
        <v>1.02756359679484</v>
      </c>
      <c r="AQ147" s="8"/>
      <c r="AR147" s="8">
        <f t="shared" si="58"/>
        <v>219.78148872841561</v>
      </c>
      <c r="AS147" s="8">
        <f t="shared" si="59"/>
        <v>31.124942722373021</v>
      </c>
    </row>
    <row r="148" spans="1:45">
      <c r="A148" s="19">
        <v>11.87853333</v>
      </c>
      <c r="B148" s="19">
        <v>1033.753107</v>
      </c>
      <c r="C148" s="19">
        <v>567.38129479999998</v>
      </c>
      <c r="E148" s="9">
        <f t="shared" si="45"/>
        <v>73.753107</v>
      </c>
      <c r="F148" s="9">
        <f t="shared" si="46"/>
        <v>-27.381294799999978</v>
      </c>
      <c r="I148">
        <v>1</v>
      </c>
      <c r="J148">
        <f t="shared" si="47"/>
        <v>5.0164252452405432E-2</v>
      </c>
      <c r="K148">
        <f t="shared" si="51"/>
        <v>-0.35548436057616617</v>
      </c>
      <c r="O148">
        <f t="shared" si="52"/>
        <v>4.7008162629884581E-2</v>
      </c>
      <c r="P148">
        <f t="shared" si="53"/>
        <v>-1.7452069632472731E-2</v>
      </c>
      <c r="Q148">
        <f t="shared" si="54"/>
        <v>0.99874203772130554</v>
      </c>
      <c r="R148">
        <f t="shared" si="44"/>
        <v>1</v>
      </c>
      <c r="AG148" s="8">
        <f t="shared" si="48"/>
        <v>-0.65800040581982333</v>
      </c>
      <c r="AH148" s="8">
        <f t="shared" si="49"/>
        <v>-0.54749261410234218</v>
      </c>
      <c r="AI148" s="8">
        <f t="shared" si="50"/>
        <v>0.51699835922789117</v>
      </c>
      <c r="AJ148" s="8"/>
      <c r="AK148" s="8"/>
      <c r="AL148" s="8"/>
      <c r="AN148" s="8">
        <f t="shared" si="55"/>
        <v>1</v>
      </c>
      <c r="AO148" s="8">
        <f t="shared" si="56"/>
        <v>3.8355761067270451</v>
      </c>
      <c r="AP148" s="8">
        <f t="shared" si="57"/>
        <v>1.0274557500914141</v>
      </c>
      <c r="AQ148" s="8"/>
      <c r="AR148" s="8">
        <f t="shared" si="58"/>
        <v>219.76232291667949</v>
      </c>
      <c r="AS148" s="8">
        <f t="shared" si="59"/>
        <v>31.131121883313725</v>
      </c>
    </row>
    <row r="149" spans="1:45">
      <c r="A149" s="19">
        <v>11.911899999999999</v>
      </c>
      <c r="B149" s="19">
        <v>1033.1028409999999</v>
      </c>
      <c r="C149" s="19">
        <v>567.39728419999994</v>
      </c>
      <c r="E149" s="9">
        <f t="shared" si="45"/>
        <v>73.102840999999898</v>
      </c>
      <c r="F149" s="9">
        <f t="shared" si="46"/>
        <v>-27.397284199999945</v>
      </c>
      <c r="I149">
        <v>1</v>
      </c>
      <c r="J149">
        <f t="shared" si="47"/>
        <v>4.9776520170998331E-2</v>
      </c>
      <c r="K149">
        <f t="shared" si="51"/>
        <v>-0.35857539807992916</v>
      </c>
      <c r="O149">
        <f t="shared" si="52"/>
        <v>4.6591374728246815E-2</v>
      </c>
      <c r="P149">
        <f t="shared" si="53"/>
        <v>-1.7461388876780792E-2</v>
      </c>
      <c r="Q149">
        <f t="shared" si="54"/>
        <v>0.99876140479066666</v>
      </c>
      <c r="R149">
        <f t="shared" si="44"/>
        <v>1</v>
      </c>
      <c r="AG149" s="8">
        <f t="shared" si="48"/>
        <v>-0.65828895027135204</v>
      </c>
      <c r="AH149" s="8">
        <f t="shared" si="49"/>
        <v>-0.54719580137465906</v>
      </c>
      <c r="AI149" s="8">
        <f t="shared" si="50"/>
        <v>0.51694527070917884</v>
      </c>
      <c r="AJ149" s="8"/>
      <c r="AK149" s="8"/>
      <c r="AL149" s="8"/>
      <c r="AN149" s="8">
        <f t="shared" si="55"/>
        <v>1</v>
      </c>
      <c r="AO149" s="8">
        <f t="shared" si="56"/>
        <v>3.8350939728229632</v>
      </c>
      <c r="AP149" s="8">
        <f t="shared" si="57"/>
        <v>1.0275177692136837</v>
      </c>
      <c r="AQ149" s="8"/>
      <c r="AR149" s="8">
        <f t="shared" si="58"/>
        <v>219.73469867881542</v>
      </c>
      <c r="AS149" s="8">
        <f t="shared" si="59"/>
        <v>31.127568449358577</v>
      </c>
    </row>
    <row r="150" spans="1:45">
      <c r="A150" s="19">
        <v>11.945266670000001</v>
      </c>
      <c r="B150" s="19">
        <v>1032.6137759999999</v>
      </c>
      <c r="C150" s="19">
        <v>567.37154699999996</v>
      </c>
      <c r="E150" s="9">
        <f t="shared" si="45"/>
        <v>72.613775999999916</v>
      </c>
      <c r="F150" s="9">
        <f t="shared" si="46"/>
        <v>-27.371546999999964</v>
      </c>
      <c r="I150">
        <v>1</v>
      </c>
      <c r="J150">
        <f t="shared" si="47"/>
        <v>4.9476674653426034E-2</v>
      </c>
      <c r="K150">
        <f t="shared" si="51"/>
        <v>-0.36047655943078588</v>
      </c>
      <c r="O150">
        <f t="shared" si="52"/>
        <v>4.6277864961633018E-2</v>
      </c>
      <c r="P150">
        <f t="shared" si="53"/>
        <v>-1.7444303624383768E-2</v>
      </c>
      <c r="Q150">
        <f t="shared" si="54"/>
        <v>0.99877627899627908</v>
      </c>
      <c r="R150">
        <f t="shared" si="44"/>
        <v>1</v>
      </c>
      <c r="AG150" s="8">
        <f t="shared" si="48"/>
        <v>-0.65849837676353629</v>
      </c>
      <c r="AH150" s="8">
        <f t="shared" si="49"/>
        <v>-0.54696221942204615</v>
      </c>
      <c r="AI150" s="8">
        <f t="shared" si="50"/>
        <v>0.51692573772709094</v>
      </c>
      <c r="AJ150" s="8"/>
      <c r="AK150" s="8"/>
      <c r="AL150" s="8"/>
      <c r="AN150" s="8">
        <f t="shared" si="55"/>
        <v>1</v>
      </c>
      <c r="AO150" s="8">
        <f t="shared" si="56"/>
        <v>3.8347277475306933</v>
      </c>
      <c r="AP150" s="8">
        <f t="shared" si="57"/>
        <v>1.0275405874689505</v>
      </c>
      <c r="AQ150" s="8"/>
      <c r="AR150" s="8">
        <f t="shared" si="58"/>
        <v>219.71371551521742</v>
      </c>
      <c r="AS150" s="8">
        <f t="shared" si="59"/>
        <v>31.126261059635929</v>
      </c>
    </row>
    <row r="151" spans="1:45">
      <c r="A151" s="19">
        <v>11.978633329999999</v>
      </c>
      <c r="B151" s="19">
        <v>1032.2354700000001</v>
      </c>
      <c r="C151" s="19">
        <v>567.25726759999998</v>
      </c>
      <c r="E151" s="9">
        <f t="shared" si="45"/>
        <v>72.235470000000078</v>
      </c>
      <c r="F151" s="9">
        <f t="shared" si="46"/>
        <v>-27.257267599999977</v>
      </c>
      <c r="I151">
        <v>1</v>
      </c>
      <c r="J151">
        <f t="shared" si="47"/>
        <v>4.9223435138922987E-2</v>
      </c>
      <c r="K151">
        <f t="shared" si="51"/>
        <v>-0.36081981376948219</v>
      </c>
      <c r="O151">
        <f t="shared" si="52"/>
        <v>4.6035230018816528E-2</v>
      </c>
      <c r="P151">
        <f t="shared" si="53"/>
        <v>-1.7370892494371983E-2</v>
      </c>
      <c r="Q151">
        <f t="shared" si="54"/>
        <v>0.99878877130805976</v>
      </c>
      <c r="R151">
        <f t="shared" si="44"/>
        <v>1</v>
      </c>
      <c r="AG151" s="8">
        <f t="shared" si="48"/>
        <v>-0.65864157684402813</v>
      </c>
      <c r="AH151" s="8">
        <f t="shared" si="49"/>
        <v>-0.54675577834597888</v>
      </c>
      <c r="AI151" s="8">
        <f t="shared" si="50"/>
        <v>0.5169616930660289</v>
      </c>
      <c r="AJ151" s="8"/>
      <c r="AK151" s="8"/>
      <c r="AL151" s="8"/>
      <c r="AN151" s="8">
        <f t="shared" si="55"/>
        <v>1</v>
      </c>
      <c r="AO151" s="8">
        <f t="shared" si="56"/>
        <v>3.8344353414743515</v>
      </c>
      <c r="AP151" s="8">
        <f t="shared" si="57"/>
        <v>1.0274985845197337</v>
      </c>
      <c r="AQ151" s="8"/>
      <c r="AR151" s="8">
        <f t="shared" si="58"/>
        <v>219.69696188228497</v>
      </c>
      <c r="AS151" s="8">
        <f t="shared" si="59"/>
        <v>31.128667651353155</v>
      </c>
    </row>
    <row r="152" spans="1:45">
      <c r="A152" s="19">
        <v>12.012</v>
      </c>
      <c r="B152" s="19">
        <v>1032.416667</v>
      </c>
      <c r="C152" s="19">
        <v>567.5</v>
      </c>
      <c r="E152" s="9">
        <f t="shared" si="45"/>
        <v>72.416666999999961</v>
      </c>
      <c r="F152" s="9">
        <f t="shared" si="46"/>
        <v>-27.5</v>
      </c>
      <c r="I152">
        <v>1</v>
      </c>
      <c r="J152">
        <f t="shared" si="47"/>
        <v>4.9387464313185893E-2</v>
      </c>
      <c r="K152">
        <f t="shared" si="51"/>
        <v>-0.36292576948406308</v>
      </c>
      <c r="O152">
        <f t="shared" si="52"/>
        <v>4.6151703942262659E-2</v>
      </c>
      <c r="P152">
        <f t="shared" si="53"/>
        <v>-1.7525963441706364E-2</v>
      </c>
      <c r="Q152">
        <f t="shared" si="54"/>
        <v>0.99878068705230061</v>
      </c>
      <c r="R152">
        <f t="shared" si="44"/>
        <v>1</v>
      </c>
      <c r="AG152" s="8">
        <f t="shared" si="48"/>
        <v>-0.6586103350468594</v>
      </c>
      <c r="AH152" s="8">
        <f t="shared" si="49"/>
        <v>-0.54690590638678294</v>
      </c>
      <c r="AI152" s="8">
        <f t="shared" si="50"/>
        <v>0.51684268025068814</v>
      </c>
      <c r="AJ152" s="8"/>
      <c r="AK152" s="8"/>
      <c r="AL152" s="8"/>
      <c r="AN152" s="8">
        <f t="shared" si="55"/>
        <v>1</v>
      </c>
      <c r="AO152" s="8">
        <f t="shared" si="56"/>
        <v>3.8345935842209542</v>
      </c>
      <c r="AP152" s="8">
        <f t="shared" si="57"/>
        <v>1.0276376109606882</v>
      </c>
      <c r="AQ152" s="8"/>
      <c r="AR152" s="8">
        <f t="shared" si="58"/>
        <v>219.70602852380387</v>
      </c>
      <c r="AS152" s="8">
        <f t="shared" si="59"/>
        <v>31.120702023045737</v>
      </c>
    </row>
    <row r="153" spans="1:45">
      <c r="A153" s="19">
        <v>12.04536667</v>
      </c>
      <c r="B153" s="19">
        <v>1031.553995</v>
      </c>
      <c r="C153" s="19">
        <v>567.05776289999994</v>
      </c>
      <c r="E153" s="9">
        <f t="shared" si="45"/>
        <v>71.553994999999986</v>
      </c>
      <c r="F153" s="9">
        <f t="shared" si="46"/>
        <v>-27.057762899999943</v>
      </c>
      <c r="I153">
        <v>1</v>
      </c>
      <c r="J153">
        <f t="shared" si="47"/>
        <v>4.8768725338207426E-2</v>
      </c>
      <c r="K153">
        <f t="shared" si="51"/>
        <v>-0.36152480000276216</v>
      </c>
      <c r="O153">
        <f t="shared" si="52"/>
        <v>4.5598166035237628E-2</v>
      </c>
      <c r="P153">
        <f t="shared" si="53"/>
        <v>-1.724270413212135E-2</v>
      </c>
      <c r="Q153">
        <f t="shared" si="54"/>
        <v>0.99881104139293286</v>
      </c>
      <c r="R153">
        <f t="shared" si="44"/>
        <v>1</v>
      </c>
      <c r="AG153" s="8">
        <f t="shared" si="48"/>
        <v>-0.65890068267590318</v>
      </c>
      <c r="AH153" s="8">
        <f t="shared" si="49"/>
        <v>-0.54638555342991391</v>
      </c>
      <c r="AI153" s="8">
        <f t="shared" si="50"/>
        <v>0.5170229369885978</v>
      </c>
      <c r="AJ153" s="8"/>
      <c r="AK153" s="8"/>
      <c r="AL153" s="8"/>
      <c r="AN153" s="8">
        <f t="shared" si="55"/>
        <v>1.0000000000000002</v>
      </c>
      <c r="AO153" s="8">
        <f t="shared" si="56"/>
        <v>3.8339092009208384</v>
      </c>
      <c r="AP153" s="8">
        <f t="shared" si="57"/>
        <v>1.0274270370485792</v>
      </c>
      <c r="AQ153" s="8"/>
      <c r="AR153" s="8">
        <f t="shared" si="58"/>
        <v>219.66681624913798</v>
      </c>
      <c r="AS153" s="8">
        <f t="shared" si="59"/>
        <v>31.132767019485144</v>
      </c>
    </row>
    <row r="154" spans="1:45">
      <c r="A154" s="19">
        <v>12.07873333</v>
      </c>
      <c r="B154" s="19">
        <v>1030.5839089999999</v>
      </c>
      <c r="C154" s="19">
        <v>566.84851639999999</v>
      </c>
      <c r="E154" s="9">
        <f t="shared" si="45"/>
        <v>70.583908999999949</v>
      </c>
      <c r="F154" s="9">
        <f t="shared" si="46"/>
        <v>-26.848516399999994</v>
      </c>
      <c r="I154">
        <v>1</v>
      </c>
      <c r="J154">
        <f t="shared" si="47"/>
        <v>4.8138561306128917E-2</v>
      </c>
      <c r="K154">
        <f t="shared" si="51"/>
        <v>-0.36347665697945769</v>
      </c>
      <c r="O154">
        <f t="shared" si="52"/>
        <v>4.4976122017764894E-2</v>
      </c>
      <c r="P154">
        <f t="shared" si="53"/>
        <v>-1.7107895648034489E-2</v>
      </c>
      <c r="Q154">
        <f t="shared" si="54"/>
        <v>0.9988415631894475</v>
      </c>
      <c r="R154">
        <f t="shared" si="44"/>
        <v>1</v>
      </c>
      <c r="AG154" s="8">
        <f t="shared" si="48"/>
        <v>-0.65928412182852714</v>
      </c>
      <c r="AH154" s="8">
        <f t="shared" si="49"/>
        <v>-0.54587874727674657</v>
      </c>
      <c r="AI154" s="8">
        <f t="shared" si="50"/>
        <v>0.51706947306561979</v>
      </c>
      <c r="AJ154" s="8"/>
      <c r="AK154" s="8"/>
      <c r="AL154" s="8"/>
      <c r="AN154" s="8">
        <f t="shared" si="55"/>
        <v>1</v>
      </c>
      <c r="AO154" s="8">
        <f t="shared" si="56"/>
        <v>3.8331674677913115</v>
      </c>
      <c r="AP154" s="8">
        <f t="shared" si="57"/>
        <v>1.0273726697725554</v>
      </c>
      <c r="AQ154" s="8"/>
      <c r="AR154" s="8">
        <f t="shared" si="58"/>
        <v>219.62431807129107</v>
      </c>
      <c r="AS154" s="8">
        <f t="shared" si="59"/>
        <v>31.135882034944935</v>
      </c>
    </row>
    <row r="155" spans="1:45">
      <c r="A155" s="19">
        <v>12.1121</v>
      </c>
      <c r="B155" s="19">
        <v>1029.9472639999999</v>
      </c>
      <c r="C155" s="19">
        <v>566.63321029999997</v>
      </c>
      <c r="E155" s="9">
        <f t="shared" si="45"/>
        <v>69.947263999999905</v>
      </c>
      <c r="F155" s="9">
        <f t="shared" si="46"/>
        <v>-26.633210299999973</v>
      </c>
      <c r="I155">
        <v>1</v>
      </c>
      <c r="J155">
        <f t="shared" si="47"/>
        <v>4.770727859149354E-2</v>
      </c>
      <c r="K155">
        <f t="shared" si="51"/>
        <v>-0.36381207026182411</v>
      </c>
      <c r="O155">
        <f t="shared" si="52"/>
        <v>4.4567789990911807E-2</v>
      </c>
      <c r="P155">
        <f t="shared" si="53"/>
        <v>-1.6969689099407659E-2</v>
      </c>
      <c r="Q155">
        <f t="shared" si="54"/>
        <v>0.99886222360603638</v>
      </c>
      <c r="R155">
        <f t="shared" ref="R155:R218" si="60">SQRT(O155^2+P155^2+Q155^2)</f>
        <v>1</v>
      </c>
      <c r="AG155" s="8">
        <f t="shared" si="48"/>
        <v>-0.65952010286993601</v>
      </c>
      <c r="AH155" s="8">
        <f t="shared" si="49"/>
        <v>-0.54552476972263642</v>
      </c>
      <c r="AI155" s="8">
        <f t="shared" si="50"/>
        <v>0.51714210767398705</v>
      </c>
      <c r="AJ155" s="8"/>
      <c r="AK155" s="8"/>
      <c r="AL155" s="8"/>
      <c r="AN155" s="8">
        <f t="shared" si="55"/>
        <v>1</v>
      </c>
      <c r="AO155" s="8">
        <f t="shared" si="56"/>
        <v>3.8326730806219658</v>
      </c>
      <c r="AP155" s="8">
        <f t="shared" si="57"/>
        <v>1.0272878084750678</v>
      </c>
      <c r="AQ155" s="8"/>
      <c r="AR155" s="8">
        <f t="shared" si="58"/>
        <v>219.59599177304213</v>
      </c>
      <c r="AS155" s="8">
        <f t="shared" si="59"/>
        <v>31.140744229134974</v>
      </c>
    </row>
    <row r="156" spans="1:45">
      <c r="A156" s="19">
        <v>12.145466669999999</v>
      </c>
      <c r="B156" s="19">
        <v>1029.708374</v>
      </c>
      <c r="C156" s="19">
        <v>566.59084029999997</v>
      </c>
      <c r="E156" s="9">
        <f t="shared" si="45"/>
        <v>69.708374000000049</v>
      </c>
      <c r="F156" s="9">
        <f t="shared" si="46"/>
        <v>-26.590840299999968</v>
      </c>
      <c r="I156">
        <v>1</v>
      </c>
      <c r="J156">
        <f t="shared" si="47"/>
        <v>4.7554240622232305E-2</v>
      </c>
      <c r="K156">
        <f t="shared" si="51"/>
        <v>-0.36442071549429833</v>
      </c>
      <c r="O156">
        <f t="shared" si="52"/>
        <v>4.441462735939436E-2</v>
      </c>
      <c r="P156">
        <f t="shared" si="53"/>
        <v>-1.694232981388526E-2</v>
      </c>
      <c r="Q156">
        <f t="shared" si="54"/>
        <v>0.99886951016486814</v>
      </c>
      <c r="R156">
        <f t="shared" si="60"/>
        <v>1</v>
      </c>
      <c r="AG156" s="8">
        <f t="shared" si="48"/>
        <v>-0.65961625384912026</v>
      </c>
      <c r="AH156" s="8">
        <f t="shared" si="49"/>
        <v>-0.54540240158504394</v>
      </c>
      <c r="AI156" s="8">
        <f t="shared" si="50"/>
        <v>0.51714854539418298</v>
      </c>
      <c r="AJ156" s="8"/>
      <c r="AK156" s="8"/>
      <c r="AL156" s="8"/>
      <c r="AN156" s="8">
        <f t="shared" si="55"/>
        <v>1</v>
      </c>
      <c r="AO156" s="8">
        <f t="shared" si="56"/>
        <v>3.8324913114031642</v>
      </c>
      <c r="AP156" s="8">
        <f t="shared" si="57"/>
        <v>1.0272802868741731</v>
      </c>
      <c r="AQ156" s="8"/>
      <c r="AR156" s="8">
        <f t="shared" si="58"/>
        <v>219.58557716395941</v>
      </c>
      <c r="AS156" s="8">
        <f t="shared" si="59"/>
        <v>31.141175185121426</v>
      </c>
    </row>
    <row r="157" spans="1:45">
      <c r="A157" s="19">
        <v>12.17883333</v>
      </c>
      <c r="B157" s="19">
        <v>1029.75</v>
      </c>
      <c r="C157" s="19">
        <v>566.66666669999995</v>
      </c>
      <c r="E157" s="9">
        <f t="shared" si="45"/>
        <v>69.75</v>
      </c>
      <c r="F157" s="9">
        <f t="shared" si="46"/>
        <v>-26.666666699999951</v>
      </c>
      <c r="I157">
        <v>1</v>
      </c>
      <c r="J157">
        <f t="shared" si="47"/>
        <v>4.759658360802084E-2</v>
      </c>
      <c r="K157">
        <f t="shared" si="51"/>
        <v>-0.36517079228619415</v>
      </c>
      <c r="O157">
        <f t="shared" si="52"/>
        <v>4.4441413073353538E-2</v>
      </c>
      <c r="P157">
        <f t="shared" si="53"/>
        <v>-1.6990743370668662E-2</v>
      </c>
      <c r="Q157">
        <f t="shared" si="54"/>
        <v>0.99886749643972084</v>
      </c>
      <c r="R157">
        <f t="shared" si="60"/>
        <v>1</v>
      </c>
      <c r="AG157" s="8">
        <f t="shared" si="48"/>
        <v>-0.65961310579040722</v>
      </c>
      <c r="AH157" s="8">
        <f t="shared" si="49"/>
        <v>-0.54544239107292158</v>
      </c>
      <c r="AI157" s="8">
        <f t="shared" si="50"/>
        <v>0.51711038346777305</v>
      </c>
      <c r="AJ157" s="8"/>
      <c r="AK157" s="8"/>
      <c r="AL157" s="8"/>
      <c r="AN157" s="8">
        <f t="shared" si="55"/>
        <v>1.0000000000000002</v>
      </c>
      <c r="AO157" s="8">
        <f t="shared" si="56"/>
        <v>3.8325296618707778</v>
      </c>
      <c r="AP157" s="8">
        <f t="shared" si="57"/>
        <v>1.027324873398139</v>
      </c>
      <c r="AQ157" s="8"/>
      <c r="AR157" s="8">
        <f t="shared" si="58"/>
        <v>219.58777448389603</v>
      </c>
      <c r="AS157" s="8">
        <f t="shared" si="59"/>
        <v>31.138620565475016</v>
      </c>
    </row>
    <row r="158" spans="1:45">
      <c r="A158" s="19">
        <v>12.212199999999999</v>
      </c>
      <c r="B158" s="19">
        <v>1029.083333</v>
      </c>
      <c r="C158" s="19">
        <v>566.5</v>
      </c>
      <c r="E158" s="9">
        <f t="shared" si="45"/>
        <v>69.083333000000039</v>
      </c>
      <c r="F158" s="9">
        <f t="shared" si="46"/>
        <v>-26.5</v>
      </c>
      <c r="I158">
        <v>1</v>
      </c>
      <c r="J158">
        <f t="shared" si="47"/>
        <v>4.7158523699367585E-2</v>
      </c>
      <c r="K158">
        <f t="shared" si="51"/>
        <v>-0.36628437177039819</v>
      </c>
      <c r="O158">
        <f t="shared" si="52"/>
        <v>4.4013922923920756E-2</v>
      </c>
      <c r="P158">
        <f t="shared" si="53"/>
        <v>-1.6883507306804373E-2</v>
      </c>
      <c r="Q158">
        <f t="shared" si="54"/>
        <v>0.9988882428829905</v>
      </c>
      <c r="R158">
        <f t="shared" si="60"/>
        <v>1</v>
      </c>
      <c r="AG158" s="8">
        <f t="shared" si="48"/>
        <v>-0.6598717217686203</v>
      </c>
      <c r="AH158" s="8">
        <f t="shared" si="49"/>
        <v>-0.54508763861158149</v>
      </c>
      <c r="AI158" s="8">
        <f t="shared" si="50"/>
        <v>0.51715450016698739</v>
      </c>
      <c r="AJ158" s="8"/>
      <c r="AK158" s="8"/>
      <c r="AL158" s="8"/>
      <c r="AN158" s="8">
        <f t="shared" si="55"/>
        <v>1</v>
      </c>
      <c r="AO158" s="8">
        <f t="shared" si="56"/>
        <v>3.8320176869878404</v>
      </c>
      <c r="AP158" s="8">
        <f t="shared" si="57"/>
        <v>1.0272733295012197</v>
      </c>
      <c r="AQ158" s="8"/>
      <c r="AR158" s="8">
        <f t="shared" si="58"/>
        <v>219.55844048388701</v>
      </c>
      <c r="AS158" s="8">
        <f t="shared" si="59"/>
        <v>31.141573813228149</v>
      </c>
    </row>
    <row r="159" spans="1:45">
      <c r="A159" s="19">
        <v>12.245566670000001</v>
      </c>
      <c r="B159" s="19">
        <v>1028.333333</v>
      </c>
      <c r="C159" s="19">
        <v>566.5</v>
      </c>
      <c r="E159" s="9">
        <f t="shared" si="45"/>
        <v>68.333333000000039</v>
      </c>
      <c r="F159" s="9">
        <f t="shared" si="46"/>
        <v>-26.5</v>
      </c>
      <c r="I159">
        <v>1</v>
      </c>
      <c r="J159">
        <f t="shared" si="47"/>
        <v>4.6709196982623775E-2</v>
      </c>
      <c r="K159">
        <f t="shared" si="51"/>
        <v>-0.36994933853974798</v>
      </c>
      <c r="O159">
        <f t="shared" si="52"/>
        <v>4.3533283479457209E-2</v>
      </c>
      <c r="P159">
        <f t="shared" si="53"/>
        <v>-1.6882419773167151E-2</v>
      </c>
      <c r="Q159">
        <f t="shared" si="54"/>
        <v>0.99890932377874009</v>
      </c>
      <c r="R159">
        <f t="shared" si="60"/>
        <v>1</v>
      </c>
      <c r="AG159" s="8">
        <f t="shared" si="48"/>
        <v>-0.66019976946856951</v>
      </c>
      <c r="AH159" s="8">
        <f t="shared" si="49"/>
        <v>-0.5447395771514304</v>
      </c>
      <c r="AI159" s="8">
        <f t="shared" si="50"/>
        <v>0.51710255992262166</v>
      </c>
      <c r="AJ159" s="8"/>
      <c r="AK159" s="8"/>
      <c r="AL159" s="8"/>
      <c r="AN159" s="8">
        <f t="shared" si="55"/>
        <v>1</v>
      </c>
      <c r="AO159" s="8">
        <f t="shared" si="56"/>
        <v>3.8314600799665879</v>
      </c>
      <c r="AP159" s="8">
        <f t="shared" si="57"/>
        <v>1.0273340138963984</v>
      </c>
      <c r="AQ159" s="8"/>
      <c r="AR159" s="8">
        <f t="shared" si="58"/>
        <v>219.52649195494237</v>
      </c>
      <c r="AS159" s="8">
        <f t="shared" si="59"/>
        <v>31.138096853502105</v>
      </c>
    </row>
    <row r="160" spans="1:45">
      <c r="A160" s="19">
        <v>12.278933329999999</v>
      </c>
      <c r="B160" s="19">
        <v>1027.583333</v>
      </c>
      <c r="C160" s="19">
        <v>566.41666669999995</v>
      </c>
      <c r="E160" s="9">
        <f t="shared" ref="E160:E223" si="61">(B160-($B$15/2))</f>
        <v>67.583333000000039</v>
      </c>
      <c r="F160" s="9">
        <f t="shared" ref="F160:F223" si="62">(($C$15/2)-C160)</f>
        <v>-26.416666699999951</v>
      </c>
      <c r="I160">
        <v>1</v>
      </c>
      <c r="J160">
        <f t="shared" ref="J160:J223" si="63">ATAN((SQRT(E160^2+F160^2)^$B$16)/($F$24))</f>
        <v>4.6241028513746459E-2</v>
      </c>
      <c r="K160">
        <f t="shared" si="51"/>
        <v>-0.37261573470511516</v>
      </c>
      <c r="O160">
        <f t="shared" si="52"/>
        <v>4.3052542453254267E-2</v>
      </c>
      <c r="P160">
        <f t="shared" si="53"/>
        <v>-1.6828182542805568E-2</v>
      </c>
      <c r="Q160">
        <f t="shared" si="54"/>
        <v>0.99893107412904958</v>
      </c>
      <c r="R160">
        <f t="shared" si="60"/>
        <v>1</v>
      </c>
      <c r="AG160" s="8">
        <f t="shared" ref="AG160:AG223" si="64">$O160*$Z$27+$P160*$Z$31+$Q160*$Z$35</f>
        <v>-0.66051107559182953</v>
      </c>
      <c r="AH160" s="8">
        <f t="shared" ref="AH160:AH223" si="65">$O160*$AA$27+$P160*$AA$31+$Q160*$AA$35</f>
        <v>-0.5443686771869326</v>
      </c>
      <c r="AI160" s="8">
        <f t="shared" ref="AI160:AI223" si="66">$AB$27*$O160+$P160*$AB$31+$AB$35*$Q160</f>
        <v>0.51709560268704058</v>
      </c>
      <c r="AJ160" s="8"/>
      <c r="AK160" s="8"/>
      <c r="AL160" s="8"/>
      <c r="AN160" s="8">
        <f t="shared" si="55"/>
        <v>1</v>
      </c>
      <c r="AO160" s="8">
        <f t="shared" si="56"/>
        <v>3.8308943633028689</v>
      </c>
      <c r="AP160" s="8">
        <f t="shared" si="57"/>
        <v>1.0273421422150526</v>
      </c>
      <c r="AQ160" s="8"/>
      <c r="AR160" s="8">
        <f t="shared" si="58"/>
        <v>219.49407877771105</v>
      </c>
      <c r="AS160" s="8">
        <f t="shared" si="59"/>
        <v>31.137631135148681</v>
      </c>
    </row>
    <row r="161" spans="1:45">
      <c r="A161" s="19">
        <v>12.3123</v>
      </c>
      <c r="B161" s="19">
        <v>1027.166667</v>
      </c>
      <c r="C161" s="19">
        <v>566.66666669999995</v>
      </c>
      <c r="E161" s="9">
        <f t="shared" si="61"/>
        <v>67.166666999999961</v>
      </c>
      <c r="F161" s="9">
        <f t="shared" si="62"/>
        <v>-26.666666699999951</v>
      </c>
      <c r="I161">
        <v>1</v>
      </c>
      <c r="J161">
        <f t="shared" si="63"/>
        <v>4.6050952091449771E-2</v>
      </c>
      <c r="K161">
        <f t="shared" ref="K161:K224" si="67">ATAN2(E161,F161)</f>
        <v>-0.37793678834675803</v>
      </c>
      <c r="O161">
        <f t="shared" ref="O161:O224" si="68">COS(K161)*SIN(J161)</f>
        <v>4.2785915453929076E-2</v>
      </c>
      <c r="P161">
        <f t="shared" ref="P161:P224" si="69">SIN(K161)*SIN(J161)</f>
        <v>-1.6986963888863275E-2</v>
      </c>
      <c r="Q161">
        <f t="shared" ref="Q161:Q224" si="70">COS(J161)</f>
        <v>0.99893984228110944</v>
      </c>
      <c r="R161">
        <f t="shared" si="60"/>
        <v>1</v>
      </c>
      <c r="AG161" s="8">
        <f t="shared" si="64"/>
        <v>-0.66074282998267864</v>
      </c>
      <c r="AH161" s="8">
        <f t="shared" si="65"/>
        <v>-0.54424339210965111</v>
      </c>
      <c r="AI161" s="8">
        <f t="shared" si="66"/>
        <v>0.51693137143286427</v>
      </c>
      <c r="AJ161" s="8"/>
      <c r="AK161" s="8"/>
      <c r="AL161" s="8"/>
      <c r="AN161" s="8">
        <f t="shared" ref="AN161:AN224" si="71">AG161^2+AH161^2+AI161^2</f>
        <v>1.0000000000000004</v>
      </c>
      <c r="AO161" s="8">
        <f t="shared" ref="AO161:AO224" si="72">IF(ATAN2(AG161,AH161)&gt;=0,ATAN2(AG161,AH161),ATAN2(AG161,AH161)+2*PI())</f>
        <v>3.8306092358858983</v>
      </c>
      <c r="AP161" s="8">
        <f t="shared" ref="AP161:AP224" si="73">ACOS(AI161/AN161)</f>
        <v>1.0275340062564342</v>
      </c>
      <c r="AQ161" s="8"/>
      <c r="AR161" s="8">
        <f t="shared" ref="AR161:AR224" si="74">DEGREES(AO161)</f>
        <v>219.47774218009519</v>
      </c>
      <c r="AS161" s="8">
        <f t="shared" ref="AS161:AS224" si="75">90-DEGREES(AP161)</f>
        <v>31.126638135337195</v>
      </c>
    </row>
    <row r="162" spans="1:45">
      <c r="A162" s="19">
        <v>12.34566667</v>
      </c>
      <c r="B162" s="19">
        <v>1026.7037399999999</v>
      </c>
      <c r="C162" s="19">
        <v>566.28138530000001</v>
      </c>
      <c r="E162" s="9">
        <f t="shared" si="61"/>
        <v>66.703739999999925</v>
      </c>
      <c r="F162" s="9">
        <f t="shared" si="62"/>
        <v>-26.281385300000011</v>
      </c>
      <c r="I162">
        <v>1</v>
      </c>
      <c r="J162">
        <f t="shared" si="63"/>
        <v>4.5683581602575948E-2</v>
      </c>
      <c r="K162">
        <f t="shared" si="67"/>
        <v>-0.37532473606571631</v>
      </c>
      <c r="O162">
        <f t="shared" si="68"/>
        <v>4.2488702431449567E-2</v>
      </c>
      <c r="P162">
        <f t="shared" si="69"/>
        <v>-1.6740619933724474E-2</v>
      </c>
      <c r="Q162">
        <f t="shared" si="70"/>
        <v>0.99895668665359372</v>
      </c>
      <c r="R162">
        <f t="shared" si="60"/>
        <v>1</v>
      </c>
      <c r="AG162" s="8">
        <f t="shared" si="64"/>
        <v>-0.66086848270990062</v>
      </c>
      <c r="AH162" s="8">
        <f t="shared" si="65"/>
        <v>-0.5439233069407996</v>
      </c>
      <c r="AI162" s="8">
        <f t="shared" si="66"/>
        <v>0.51710761426157559</v>
      </c>
      <c r="AJ162" s="8"/>
      <c r="AK162" s="8"/>
      <c r="AL162" s="8"/>
      <c r="AN162" s="8">
        <f t="shared" si="71"/>
        <v>1</v>
      </c>
      <c r="AO162" s="8">
        <f t="shared" si="72"/>
        <v>3.8302272471371421</v>
      </c>
      <c r="AP162" s="8">
        <f t="shared" si="73"/>
        <v>1.0273281087561625</v>
      </c>
      <c r="AQ162" s="8"/>
      <c r="AR162" s="8">
        <f t="shared" si="74"/>
        <v>219.45585583696996</v>
      </c>
      <c r="AS162" s="8">
        <f t="shared" si="75"/>
        <v>31.13843519311505</v>
      </c>
    </row>
    <row r="163" spans="1:45">
      <c r="A163" s="19">
        <v>12.37903333</v>
      </c>
      <c r="B163" s="19">
        <v>1026.103738</v>
      </c>
      <c r="C163" s="19">
        <v>565.97369270000002</v>
      </c>
      <c r="E163" s="9">
        <f t="shared" si="61"/>
        <v>66.103738000000021</v>
      </c>
      <c r="F163" s="9">
        <f t="shared" si="62"/>
        <v>-25.973692700000015</v>
      </c>
      <c r="I163">
        <v>1</v>
      </c>
      <c r="J163">
        <f t="shared" si="63"/>
        <v>4.5252785797570146E-2</v>
      </c>
      <c r="K163">
        <f t="shared" si="67"/>
        <v>-0.37439084558971764</v>
      </c>
      <c r="O163">
        <f t="shared" si="68"/>
        <v>4.2103777372900449E-2</v>
      </c>
      <c r="P163">
        <f t="shared" si="69"/>
        <v>-1.6543551213290385E-2</v>
      </c>
      <c r="Q163">
        <f t="shared" si="70"/>
        <v>0.99897626740788315</v>
      </c>
      <c r="R163">
        <f t="shared" si="60"/>
        <v>1</v>
      </c>
      <c r="AG163" s="8">
        <f t="shared" si="64"/>
        <v>-0.66106931298956029</v>
      </c>
      <c r="AH163" s="8">
        <f t="shared" si="65"/>
        <v>-0.54356064593094244</v>
      </c>
      <c r="AI163" s="8">
        <f t="shared" si="66"/>
        <v>0.51723223760574655</v>
      </c>
      <c r="AJ163" s="8"/>
      <c r="AK163" s="8"/>
      <c r="AL163" s="8"/>
      <c r="AN163" s="8">
        <f t="shared" si="71"/>
        <v>1</v>
      </c>
      <c r="AO163" s="8">
        <f t="shared" si="72"/>
        <v>3.8297509458135872</v>
      </c>
      <c r="AP163" s="8">
        <f t="shared" si="73"/>
        <v>1.027182500791058</v>
      </c>
      <c r="AQ163" s="8"/>
      <c r="AR163" s="8">
        <f t="shared" si="74"/>
        <v>219.42856578135377</v>
      </c>
      <c r="AS163" s="8">
        <f t="shared" si="75"/>
        <v>31.146777914979033</v>
      </c>
    </row>
    <row r="164" spans="1:45">
      <c r="A164" s="19">
        <v>12.4124</v>
      </c>
      <c r="B164" s="19">
        <v>1025.7127700000001</v>
      </c>
      <c r="C164" s="19">
        <v>565.58730119999996</v>
      </c>
      <c r="E164" s="9">
        <f t="shared" si="61"/>
        <v>65.712770000000091</v>
      </c>
      <c r="F164" s="9">
        <f t="shared" si="62"/>
        <v>-25.587301199999956</v>
      </c>
      <c r="I164">
        <v>1</v>
      </c>
      <c r="J164">
        <f t="shared" si="63"/>
        <v>4.4928667466388877E-2</v>
      </c>
      <c r="K164">
        <f t="shared" si="67"/>
        <v>-0.37131864328548492</v>
      </c>
      <c r="O164">
        <f t="shared" si="68"/>
        <v>4.1852681153587104E-2</v>
      </c>
      <c r="P164">
        <f t="shared" si="69"/>
        <v>-1.6296636996194092E-2</v>
      </c>
      <c r="Q164">
        <f t="shared" si="70"/>
        <v>0.99899087718700941</v>
      </c>
      <c r="R164">
        <f t="shared" si="60"/>
        <v>1</v>
      </c>
      <c r="AG164" s="8">
        <f t="shared" si="64"/>
        <v>-0.66116312584599979</v>
      </c>
      <c r="AH164" s="8">
        <f t="shared" si="65"/>
        <v>-0.54327355652527154</v>
      </c>
      <c r="AI164" s="8">
        <f t="shared" si="66"/>
        <v>0.51741391921935131</v>
      </c>
      <c r="AJ164" s="8"/>
      <c r="AK164" s="8"/>
      <c r="AL164" s="8"/>
      <c r="AN164" s="8">
        <f t="shared" si="71"/>
        <v>1.0000000000000002</v>
      </c>
      <c r="AO164" s="8">
        <f t="shared" si="72"/>
        <v>3.8294221820251231</v>
      </c>
      <c r="AP164" s="8">
        <f t="shared" si="73"/>
        <v>1.0269702038770228</v>
      </c>
      <c r="AQ164" s="8"/>
      <c r="AR164" s="8">
        <f t="shared" si="74"/>
        <v>219.40972900381806</v>
      </c>
      <c r="AS164" s="8">
        <f t="shared" si="75"/>
        <v>31.158941632156903</v>
      </c>
    </row>
    <row r="165" spans="1:45">
      <c r="A165" s="19">
        <v>12.445766669999999</v>
      </c>
      <c r="B165" s="19">
        <v>1024.990186</v>
      </c>
      <c r="C165" s="19">
        <v>565.5082304</v>
      </c>
      <c r="E165" s="9">
        <f t="shared" si="61"/>
        <v>64.990185999999994</v>
      </c>
      <c r="F165" s="9">
        <f t="shared" si="62"/>
        <v>-25.508230400000002</v>
      </c>
      <c r="I165">
        <v>1</v>
      </c>
      <c r="J165">
        <f t="shared" si="63"/>
        <v>4.4478147833263322E-2</v>
      </c>
      <c r="K165">
        <f t="shared" si="67"/>
        <v>-0.37401861823617172</v>
      </c>
      <c r="O165">
        <f t="shared" si="68"/>
        <v>4.1389573424853054E-2</v>
      </c>
      <c r="P165">
        <f t="shared" si="69"/>
        <v>-1.6245141613825648E-2</v>
      </c>
      <c r="Q165">
        <f t="shared" si="70"/>
        <v>0.99901101024245742</v>
      </c>
      <c r="R165">
        <f t="shared" si="60"/>
        <v>1</v>
      </c>
      <c r="AG165" s="8">
        <f t="shared" si="64"/>
        <v>-0.66146269742222408</v>
      </c>
      <c r="AH165" s="8">
        <f t="shared" si="65"/>
        <v>-0.54291617374025891</v>
      </c>
      <c r="AI165" s="8">
        <f t="shared" si="66"/>
        <v>0.51740615401264045</v>
      </c>
      <c r="AJ165" s="8"/>
      <c r="AK165" s="8"/>
      <c r="AL165" s="8"/>
      <c r="AN165" s="8">
        <f t="shared" si="71"/>
        <v>1</v>
      </c>
      <c r="AO165" s="8">
        <f t="shared" si="72"/>
        <v>3.8288772621586946</v>
      </c>
      <c r="AP165" s="8">
        <f t="shared" si="73"/>
        <v>1.0269792781617531</v>
      </c>
      <c r="AQ165" s="8"/>
      <c r="AR165" s="8">
        <f t="shared" si="74"/>
        <v>219.37850739529887</v>
      </c>
      <c r="AS165" s="8">
        <f t="shared" si="75"/>
        <v>31.158421713939759</v>
      </c>
    </row>
    <row r="166" spans="1:45">
      <c r="A166" s="19">
        <v>12.47913333</v>
      </c>
      <c r="B166" s="19">
        <v>1024.6949340000001</v>
      </c>
      <c r="C166" s="19">
        <v>565.45111799999995</v>
      </c>
      <c r="E166" s="9">
        <f t="shared" si="61"/>
        <v>64.694934000000103</v>
      </c>
      <c r="F166" s="9">
        <f t="shared" si="62"/>
        <v>-25.451117999999951</v>
      </c>
      <c r="I166">
        <v>1</v>
      </c>
      <c r="J166">
        <f t="shared" si="63"/>
        <v>4.4288333221286696E-2</v>
      </c>
      <c r="K166">
        <f t="shared" si="67"/>
        <v>-0.3748055583789599</v>
      </c>
      <c r="O166">
        <f t="shared" si="68"/>
        <v>4.120031314646367E-2</v>
      </c>
      <c r="P166">
        <f t="shared" si="69"/>
        <v>-1.6208286595169794E-2</v>
      </c>
      <c r="Q166">
        <f t="shared" si="70"/>
        <v>0.99901943206440291</v>
      </c>
      <c r="R166">
        <f t="shared" si="60"/>
        <v>1</v>
      </c>
      <c r="AG166" s="8">
        <f t="shared" si="64"/>
        <v>-0.66158012134339628</v>
      </c>
      <c r="AH166" s="8">
        <f t="shared" si="65"/>
        <v>-0.5427633467885129</v>
      </c>
      <c r="AI166" s="8">
        <f t="shared" si="66"/>
        <v>0.51741636273526326</v>
      </c>
      <c r="AJ166" s="8"/>
      <c r="AK166" s="8"/>
      <c r="AL166" s="8"/>
      <c r="AN166" s="8">
        <f t="shared" si="71"/>
        <v>1</v>
      </c>
      <c r="AO166" s="8">
        <f t="shared" si="72"/>
        <v>3.8286521578039889</v>
      </c>
      <c r="AP166" s="8">
        <f t="shared" si="73"/>
        <v>1.0269673484167723</v>
      </c>
      <c r="AQ166" s="8"/>
      <c r="AR166" s="8">
        <f t="shared" si="74"/>
        <v>219.36560986582421</v>
      </c>
      <c r="AS166" s="8">
        <f t="shared" si="75"/>
        <v>31.159105237977819</v>
      </c>
    </row>
    <row r="167" spans="1:45">
      <c r="A167" s="19">
        <v>12.512499999999999</v>
      </c>
      <c r="B167" s="19">
        <v>1023.998648</v>
      </c>
      <c r="C167" s="19">
        <v>565.46408759999997</v>
      </c>
      <c r="E167" s="9">
        <f t="shared" si="61"/>
        <v>63.998648000000003</v>
      </c>
      <c r="F167" s="9">
        <f t="shared" si="62"/>
        <v>-25.464087599999971</v>
      </c>
      <c r="I167">
        <v>1</v>
      </c>
      <c r="J167">
        <f t="shared" si="63"/>
        <v>4.3875777779795982E-2</v>
      </c>
      <c r="K167">
        <f t="shared" si="67"/>
        <v>-0.37868157751607667</v>
      </c>
      <c r="O167">
        <f t="shared" si="68"/>
        <v>4.07542255088316E-2</v>
      </c>
      <c r="P167">
        <f t="shared" si="69"/>
        <v>-1.6215485808810229E-2</v>
      </c>
      <c r="Q167">
        <f t="shared" si="70"/>
        <v>0.99903761246669764</v>
      </c>
      <c r="R167">
        <f t="shared" si="60"/>
        <v>1</v>
      </c>
      <c r="AG167" s="8">
        <f t="shared" si="64"/>
        <v>-0.66188630595839426</v>
      </c>
      <c r="AH167" s="8">
        <f t="shared" si="65"/>
        <v>-0.54244317413628229</v>
      </c>
      <c r="AI167" s="8">
        <f t="shared" si="66"/>
        <v>0.5173605327213372</v>
      </c>
      <c r="AJ167" s="8"/>
      <c r="AK167" s="8"/>
      <c r="AL167" s="8"/>
      <c r="AN167" s="8">
        <f t="shared" si="71"/>
        <v>1</v>
      </c>
      <c r="AO167" s="8">
        <f t="shared" si="72"/>
        <v>3.8281359746548715</v>
      </c>
      <c r="AP167" s="8">
        <f t="shared" si="73"/>
        <v>1.0270325893993129</v>
      </c>
      <c r="AQ167" s="8"/>
      <c r="AR167" s="8">
        <f t="shared" si="74"/>
        <v>219.33603474992401</v>
      </c>
      <c r="AS167" s="8">
        <f t="shared" si="75"/>
        <v>31.155367205026963</v>
      </c>
    </row>
    <row r="168" spans="1:45">
      <c r="A168" s="19">
        <v>12.545866670000001</v>
      </c>
      <c r="B168" s="19">
        <v>1023.373541</v>
      </c>
      <c r="C168" s="19">
        <v>565.44492260000004</v>
      </c>
      <c r="E168" s="9">
        <f t="shared" si="61"/>
        <v>63.373541000000046</v>
      </c>
      <c r="F168" s="9">
        <f t="shared" si="62"/>
        <v>-25.444922600000041</v>
      </c>
      <c r="I168">
        <v>1</v>
      </c>
      <c r="J168">
        <f t="shared" si="63"/>
        <v>4.3498617057414021E-2</v>
      </c>
      <c r="K168">
        <f t="shared" si="67"/>
        <v>-0.38180487045765293</v>
      </c>
      <c r="O168">
        <f t="shared" si="68"/>
        <v>4.0353712293463774E-2</v>
      </c>
      <c r="P168">
        <f t="shared" si="69"/>
        <v>-1.6202299409620414E-2</v>
      </c>
      <c r="Q168">
        <f t="shared" si="70"/>
        <v>0.9990540843207526</v>
      </c>
      <c r="R168">
        <f t="shared" si="60"/>
        <v>1</v>
      </c>
      <c r="AG168" s="8">
        <f t="shared" si="64"/>
        <v>-0.66215492772904749</v>
      </c>
      <c r="AH168" s="8">
        <f t="shared" si="65"/>
        <v>-0.54214724627580446</v>
      </c>
      <c r="AI168" s="8">
        <f t="shared" si="66"/>
        <v>0.51732699044192765</v>
      </c>
      <c r="AJ168" s="8"/>
      <c r="AK168" s="8"/>
      <c r="AL168" s="8"/>
      <c r="AN168" s="8">
        <f t="shared" si="71"/>
        <v>1.0000000000000002</v>
      </c>
      <c r="AO168" s="8">
        <f t="shared" si="72"/>
        <v>3.8276695581556703</v>
      </c>
      <c r="AP168" s="8">
        <f t="shared" si="73"/>
        <v>1.0270717844850434</v>
      </c>
      <c r="AQ168" s="8"/>
      <c r="AR168" s="8">
        <f t="shared" si="74"/>
        <v>219.30931105302452</v>
      </c>
      <c r="AS168" s="8">
        <f t="shared" si="75"/>
        <v>31.153121492036945</v>
      </c>
    </row>
    <row r="169" spans="1:45">
      <c r="A169" s="19">
        <v>12.579233329999999</v>
      </c>
      <c r="B169" s="19">
        <v>1023.163618</v>
      </c>
      <c r="C169" s="19">
        <v>565.46179610000002</v>
      </c>
      <c r="E169" s="9">
        <f t="shared" si="61"/>
        <v>63.163618000000042</v>
      </c>
      <c r="F169" s="9">
        <f t="shared" si="62"/>
        <v>-25.461796100000015</v>
      </c>
      <c r="I169">
        <v>1</v>
      </c>
      <c r="J169">
        <f t="shared" si="63"/>
        <v>4.3377651586273054E-2</v>
      </c>
      <c r="K169">
        <f t="shared" si="67"/>
        <v>-0.38318330804931922</v>
      </c>
      <c r="O169">
        <f t="shared" si="68"/>
        <v>4.0219252978629806E-2</v>
      </c>
      <c r="P169">
        <f t="shared" si="69"/>
        <v>-1.6212725791549649E-2</v>
      </c>
      <c r="Q169">
        <f t="shared" si="70"/>
        <v>0.99905933718285667</v>
      </c>
      <c r="R169">
        <f t="shared" si="60"/>
        <v>1</v>
      </c>
      <c r="AG169" s="8">
        <f t="shared" si="64"/>
        <v>-0.66224974442931295</v>
      </c>
      <c r="AH169" s="8">
        <f t="shared" si="65"/>
        <v>-0.54205421395468056</v>
      </c>
      <c r="AI169" s="8">
        <f t="shared" si="66"/>
        <v>0.51730310760450982</v>
      </c>
      <c r="AJ169" s="8"/>
      <c r="AK169" s="8"/>
      <c r="AL169" s="8"/>
      <c r="AN169" s="8">
        <f t="shared" si="71"/>
        <v>1</v>
      </c>
      <c r="AO169" s="8">
        <f t="shared" si="72"/>
        <v>3.8275152589801049</v>
      </c>
      <c r="AP169" s="8">
        <f t="shared" si="73"/>
        <v>1.0270996916783237</v>
      </c>
      <c r="AQ169" s="8"/>
      <c r="AR169" s="8">
        <f t="shared" si="74"/>
        <v>219.30047036148227</v>
      </c>
      <c r="AS169" s="8">
        <f t="shared" si="75"/>
        <v>31.151522527643927</v>
      </c>
    </row>
    <row r="170" spans="1:45">
      <c r="A170" s="19">
        <v>12.6126</v>
      </c>
      <c r="B170" s="19">
        <v>1022.663512</v>
      </c>
      <c r="C170" s="19">
        <v>565.42452700000001</v>
      </c>
      <c r="E170" s="9">
        <f t="shared" si="61"/>
        <v>62.663511999999969</v>
      </c>
      <c r="F170" s="9">
        <f t="shared" si="62"/>
        <v>-25.424527000000012</v>
      </c>
      <c r="I170">
        <v>1</v>
      </c>
      <c r="J170">
        <f t="shared" si="63"/>
        <v>4.3071098343391345E-2</v>
      </c>
      <c r="K170">
        <f t="shared" si="67"/>
        <v>-0.38543707745509642</v>
      </c>
      <c r="O170">
        <f t="shared" si="68"/>
        <v>3.9898813723797485E-2</v>
      </c>
      <c r="P170">
        <f t="shared" si="69"/>
        <v>-1.6188184070957606E-2</v>
      </c>
      <c r="Q170">
        <f t="shared" si="70"/>
        <v>0.99907258362939699</v>
      </c>
      <c r="R170">
        <f t="shared" si="60"/>
        <v>1</v>
      </c>
      <c r="AG170" s="8">
        <f t="shared" si="64"/>
        <v>-0.6624601622249453</v>
      </c>
      <c r="AH170" s="8">
        <f t="shared" si="65"/>
        <v>-0.54181140334718869</v>
      </c>
      <c r="AI170" s="8">
        <f t="shared" si="66"/>
        <v>0.51728805966100677</v>
      </c>
      <c r="AJ170" s="8"/>
      <c r="AK170" s="8"/>
      <c r="AL170" s="8"/>
      <c r="AN170" s="8">
        <f t="shared" si="71"/>
        <v>1.0000000000000002</v>
      </c>
      <c r="AO170" s="8">
        <f t="shared" si="72"/>
        <v>3.8271399761553062</v>
      </c>
      <c r="AP170" s="8">
        <f t="shared" si="73"/>
        <v>1.0271172750201494</v>
      </c>
      <c r="AQ170" s="8"/>
      <c r="AR170" s="8">
        <f t="shared" si="74"/>
        <v>219.27896823949757</v>
      </c>
      <c r="AS170" s="8">
        <f t="shared" si="75"/>
        <v>31.150515076367583</v>
      </c>
    </row>
    <row r="171" spans="1:45">
      <c r="A171" s="19">
        <v>12.64596667</v>
      </c>
      <c r="B171" s="19">
        <v>1022.033669</v>
      </c>
      <c r="C171" s="19">
        <v>565.36267510000005</v>
      </c>
      <c r="E171" s="9">
        <f t="shared" si="61"/>
        <v>62.033669000000032</v>
      </c>
      <c r="F171" s="9">
        <f t="shared" si="62"/>
        <v>-25.362675100000047</v>
      </c>
      <c r="I171">
        <v>1</v>
      </c>
      <c r="J171">
        <f t="shared" si="63"/>
        <v>4.2681730769692637E-2</v>
      </c>
      <c r="K171">
        <f t="shared" si="67"/>
        <v>-0.3881152229935651</v>
      </c>
      <c r="O171">
        <f t="shared" si="68"/>
        <v>3.9495239646566434E-2</v>
      </c>
      <c r="P171">
        <f t="shared" si="69"/>
        <v>-1.6147762131440337E-2</v>
      </c>
      <c r="Q171">
        <f t="shared" si="70"/>
        <v>0.99908927320005125</v>
      </c>
      <c r="R171">
        <f t="shared" si="60"/>
        <v>1</v>
      </c>
      <c r="AG171" s="8">
        <f t="shared" si="64"/>
        <v>-0.66272208492337714</v>
      </c>
      <c r="AH171" s="8">
        <f t="shared" si="65"/>
        <v>-0.54150146635851704</v>
      </c>
      <c r="AI171" s="8">
        <f t="shared" si="66"/>
        <v>0.51727710183845155</v>
      </c>
      <c r="AJ171" s="8"/>
      <c r="AK171" s="8"/>
      <c r="AL171" s="8"/>
      <c r="AN171" s="8">
        <f t="shared" si="71"/>
        <v>0.99999999999999978</v>
      </c>
      <c r="AO171" s="8">
        <f t="shared" si="72"/>
        <v>3.8266658844771086</v>
      </c>
      <c r="AP171" s="8">
        <f t="shared" si="73"/>
        <v>1.0271300789870268</v>
      </c>
      <c r="AQ171" s="8"/>
      <c r="AR171" s="8">
        <f t="shared" si="74"/>
        <v>219.25180478723456</v>
      </c>
      <c r="AS171" s="8">
        <f t="shared" si="75"/>
        <v>31.149781463104482</v>
      </c>
    </row>
    <row r="172" spans="1:45">
      <c r="A172" s="19">
        <v>12.67933333</v>
      </c>
      <c r="B172" s="19">
        <v>1021.3115780000001</v>
      </c>
      <c r="C172" s="19">
        <v>564.90115749999995</v>
      </c>
      <c r="E172" s="9">
        <f t="shared" si="61"/>
        <v>61.311578000000054</v>
      </c>
      <c r="F172" s="9">
        <f t="shared" si="62"/>
        <v>-24.901157499999954</v>
      </c>
      <c r="I172">
        <v>1</v>
      </c>
      <c r="J172">
        <f t="shared" si="63"/>
        <v>4.2140782372210472E-2</v>
      </c>
      <c r="K172">
        <f t="shared" si="67"/>
        <v>-0.38578927334891533</v>
      </c>
      <c r="O172">
        <f t="shared" si="68"/>
        <v>3.9031952722488404E-2</v>
      </c>
      <c r="P172">
        <f t="shared" si="69"/>
        <v>-1.5852483886081594E-2</v>
      </c>
      <c r="Q172">
        <f t="shared" si="70"/>
        <v>0.99911220862389172</v>
      </c>
      <c r="R172">
        <f t="shared" si="60"/>
        <v>1</v>
      </c>
      <c r="AG172" s="8">
        <f t="shared" si="64"/>
        <v>-0.66294449679192835</v>
      </c>
      <c r="AH172" s="8">
        <f t="shared" si="65"/>
        <v>-0.54103940783442905</v>
      </c>
      <c r="AI172" s="8">
        <f t="shared" si="66"/>
        <v>0.51747555820875946</v>
      </c>
      <c r="AJ172" s="8"/>
      <c r="AK172" s="8"/>
      <c r="AL172" s="8"/>
      <c r="AN172" s="8">
        <f t="shared" si="71"/>
        <v>1</v>
      </c>
      <c r="AO172" s="8">
        <f t="shared" si="72"/>
        <v>3.8260832815634434</v>
      </c>
      <c r="AP172" s="8">
        <f t="shared" si="73"/>
        <v>1.0268981718659198</v>
      </c>
      <c r="AQ172" s="8"/>
      <c r="AR172" s="8">
        <f t="shared" si="74"/>
        <v>219.21842409914953</v>
      </c>
      <c r="AS172" s="8">
        <f t="shared" si="75"/>
        <v>31.163068762382942</v>
      </c>
    </row>
    <row r="173" spans="1:45">
      <c r="A173" s="19">
        <v>12.7127</v>
      </c>
      <c r="B173" s="19">
        <v>1020.7514660000001</v>
      </c>
      <c r="C173" s="19">
        <v>564.75186900000006</v>
      </c>
      <c r="E173" s="9">
        <f t="shared" si="61"/>
        <v>60.75146600000005</v>
      </c>
      <c r="F173" s="9">
        <f t="shared" si="62"/>
        <v>-24.751869000000056</v>
      </c>
      <c r="I173">
        <v>1</v>
      </c>
      <c r="J173">
        <f t="shared" si="63"/>
        <v>4.1771718425789556E-2</v>
      </c>
      <c r="K173">
        <f t="shared" si="67"/>
        <v>-0.38689367115338652</v>
      </c>
      <c r="O173">
        <f t="shared" si="68"/>
        <v>3.867293745739301E-2</v>
      </c>
      <c r="P173">
        <f t="shared" si="69"/>
        <v>-1.5756450746235263E-2</v>
      </c>
      <c r="Q173">
        <f t="shared" si="70"/>
        <v>0.99912768862057766</v>
      </c>
      <c r="R173">
        <f t="shared" si="60"/>
        <v>1</v>
      </c>
      <c r="AG173" s="8">
        <f t="shared" si="64"/>
        <v>-0.66315841825807176</v>
      </c>
      <c r="AH173" s="8">
        <f t="shared" si="65"/>
        <v>-0.54073790029080826</v>
      </c>
      <c r="AI173" s="8">
        <f t="shared" si="66"/>
        <v>0.51751660406458477</v>
      </c>
      <c r="AJ173" s="8"/>
      <c r="AK173" s="8"/>
      <c r="AL173" s="8"/>
      <c r="AN173" s="8">
        <f t="shared" si="71"/>
        <v>1</v>
      </c>
      <c r="AO173" s="8">
        <f t="shared" si="72"/>
        <v>3.8256522194684073</v>
      </c>
      <c r="AP173" s="8">
        <f t="shared" si="73"/>
        <v>1.0268502034801532</v>
      </c>
      <c r="AQ173" s="8"/>
      <c r="AR173" s="8">
        <f t="shared" si="74"/>
        <v>219.19372606039587</v>
      </c>
      <c r="AS173" s="8">
        <f t="shared" si="75"/>
        <v>31.165817148437426</v>
      </c>
    </row>
    <row r="174" spans="1:45">
      <c r="A174" s="19">
        <v>12.746066669999999</v>
      </c>
      <c r="B174" s="19">
        <v>1020.037384</v>
      </c>
      <c r="C174" s="19">
        <v>564.52054069999997</v>
      </c>
      <c r="E174" s="9">
        <f t="shared" si="61"/>
        <v>60.037383999999975</v>
      </c>
      <c r="F174" s="9">
        <f t="shared" si="62"/>
        <v>-24.52054069999997</v>
      </c>
      <c r="I174">
        <v>1</v>
      </c>
      <c r="J174">
        <f t="shared" si="63"/>
        <v>4.1291348326441532E-2</v>
      </c>
      <c r="K174">
        <f t="shared" si="67"/>
        <v>-0.3877448898845911</v>
      </c>
      <c r="O174">
        <f t="shared" si="68"/>
        <v>3.8215185363782544E-2</v>
      </c>
      <c r="P174">
        <f t="shared" si="69"/>
        <v>-1.5607892043908399E-2</v>
      </c>
      <c r="Q174">
        <f t="shared" si="70"/>
        <v>0.99914763339236179</v>
      </c>
      <c r="R174">
        <f t="shared" si="60"/>
        <v>1</v>
      </c>
      <c r="AG174" s="8">
        <f t="shared" si="64"/>
        <v>-0.66342283123396273</v>
      </c>
      <c r="AH174" s="8">
        <f t="shared" si="65"/>
        <v>-0.54034222615608984</v>
      </c>
      <c r="AI174" s="8">
        <f t="shared" si="66"/>
        <v>0.51759098294907924</v>
      </c>
      <c r="AJ174" s="8"/>
      <c r="AK174" s="8"/>
      <c r="AL174" s="8"/>
      <c r="AN174" s="8">
        <f t="shared" si="71"/>
        <v>1</v>
      </c>
      <c r="AO174" s="8">
        <f t="shared" si="72"/>
        <v>3.8250985359640115</v>
      </c>
      <c r="AP174" s="8">
        <f t="shared" si="73"/>
        <v>1.0267632767855777</v>
      </c>
      <c r="AQ174" s="8"/>
      <c r="AR174" s="8">
        <f t="shared" si="74"/>
        <v>219.16200233240801</v>
      </c>
      <c r="AS174" s="8">
        <f t="shared" si="75"/>
        <v>31.170797681163627</v>
      </c>
    </row>
    <row r="175" spans="1:45">
      <c r="A175" s="19">
        <v>12.77943333</v>
      </c>
      <c r="B175" s="19">
        <v>1019.812879</v>
      </c>
      <c r="C175" s="19">
        <v>564.52044239999998</v>
      </c>
      <c r="E175" s="9">
        <f t="shared" si="61"/>
        <v>59.812878999999953</v>
      </c>
      <c r="F175" s="9">
        <f t="shared" si="62"/>
        <v>-24.520442399999979</v>
      </c>
      <c r="I175">
        <v>1</v>
      </c>
      <c r="J175">
        <f t="shared" si="63"/>
        <v>4.1157990362660157E-2</v>
      </c>
      <c r="K175">
        <f t="shared" si="67"/>
        <v>-0.38905661073321107</v>
      </c>
      <c r="O175">
        <f t="shared" si="68"/>
        <v>3.8071392366332973E-2</v>
      </c>
      <c r="P175">
        <f t="shared" si="69"/>
        <v>-1.5607464466080414E-2</v>
      </c>
      <c r="Q175">
        <f t="shared" si="70"/>
        <v>0.99915312947326984</v>
      </c>
      <c r="R175">
        <f t="shared" si="60"/>
        <v>1</v>
      </c>
      <c r="AG175" s="8">
        <f t="shared" si="64"/>
        <v>-0.66352038568843497</v>
      </c>
      <c r="AH175" s="8">
        <f t="shared" si="65"/>
        <v>-0.54023764230028926</v>
      </c>
      <c r="AI175" s="8">
        <f t="shared" si="66"/>
        <v>0.51757510335959489</v>
      </c>
      <c r="AJ175" s="8"/>
      <c r="AK175" s="8"/>
      <c r="AL175" s="8"/>
      <c r="AN175" s="8">
        <f t="shared" si="71"/>
        <v>1</v>
      </c>
      <c r="AO175" s="8">
        <f t="shared" si="72"/>
        <v>3.8249317625591992</v>
      </c>
      <c r="AP175" s="8">
        <f t="shared" si="73"/>
        <v>1.0267818356652478</v>
      </c>
      <c r="AQ175" s="8"/>
      <c r="AR175" s="8">
        <f t="shared" si="74"/>
        <v>219.15244692017723</v>
      </c>
      <c r="AS175" s="8">
        <f t="shared" si="75"/>
        <v>31.16973433568603</v>
      </c>
    </row>
    <row r="176" spans="1:45">
      <c r="A176" s="19">
        <v>12.812799999999999</v>
      </c>
      <c r="B176" s="19">
        <v>1019.333333</v>
      </c>
      <c r="C176" s="19">
        <v>564.5</v>
      </c>
      <c r="E176" s="9">
        <f t="shared" si="61"/>
        <v>59.333333000000039</v>
      </c>
      <c r="F176" s="9">
        <f t="shared" si="62"/>
        <v>-24.5</v>
      </c>
      <c r="I176">
        <v>1</v>
      </c>
      <c r="J176">
        <f t="shared" si="63"/>
        <v>4.0868428588679583E-2</v>
      </c>
      <c r="K176">
        <f t="shared" si="67"/>
        <v>-0.39159560629524937</v>
      </c>
      <c r="O176">
        <f t="shared" si="68"/>
        <v>3.7764225169961474E-2</v>
      </c>
      <c r="P176">
        <f t="shared" si="69"/>
        <v>-1.5593654862841692E-2</v>
      </c>
      <c r="Q176">
        <f t="shared" si="70"/>
        <v>0.999165002001837</v>
      </c>
      <c r="R176">
        <f t="shared" si="60"/>
        <v>1</v>
      </c>
      <c r="AG176" s="8">
        <f t="shared" si="64"/>
        <v>-0.66372468007035224</v>
      </c>
      <c r="AH176" s="8">
        <f t="shared" si="65"/>
        <v>-0.5400086941686747</v>
      </c>
      <c r="AI176" s="8">
        <f t="shared" si="66"/>
        <v>0.51755208364738636</v>
      </c>
      <c r="AJ176" s="8"/>
      <c r="AK176" s="8"/>
      <c r="AL176" s="8"/>
      <c r="AN176" s="8">
        <f t="shared" si="71"/>
        <v>0.99999999999999989</v>
      </c>
      <c r="AO176" s="8">
        <f t="shared" si="72"/>
        <v>3.8245735201483466</v>
      </c>
      <c r="AP176" s="8">
        <f t="shared" si="73"/>
        <v>1.026808739017826</v>
      </c>
      <c r="AQ176" s="8"/>
      <c r="AR176" s="8">
        <f t="shared" si="74"/>
        <v>219.13192114199279</v>
      </c>
      <c r="AS176" s="8">
        <f t="shared" si="75"/>
        <v>31.168192887128555</v>
      </c>
    </row>
    <row r="177" spans="1:45">
      <c r="A177" s="19">
        <v>12.846166670000001</v>
      </c>
      <c r="B177" s="19">
        <v>1019.083333</v>
      </c>
      <c r="C177" s="19">
        <v>564.33333330000005</v>
      </c>
      <c r="E177" s="9">
        <f t="shared" si="61"/>
        <v>59.083333000000039</v>
      </c>
      <c r="F177" s="9">
        <f t="shared" si="62"/>
        <v>-24.333333300000049</v>
      </c>
      <c r="I177">
        <v>1</v>
      </c>
      <c r="J177">
        <f t="shared" si="63"/>
        <v>4.0679357834709468E-2</v>
      </c>
      <c r="K177">
        <f t="shared" si="67"/>
        <v>-0.39067798228060174</v>
      </c>
      <c r="O177">
        <f t="shared" si="68"/>
        <v>3.7603839206591161E-2</v>
      </c>
      <c r="P177">
        <f t="shared" si="69"/>
        <v>-1.5487053730932742E-2</v>
      </c>
      <c r="Q177">
        <f t="shared" si="70"/>
        <v>0.99917270901664446</v>
      </c>
      <c r="R177">
        <f t="shared" si="60"/>
        <v>1</v>
      </c>
      <c r="AG177" s="8">
        <f t="shared" si="64"/>
        <v>-0.66380009547294949</v>
      </c>
      <c r="AH177" s="8">
        <f t="shared" si="65"/>
        <v>-0.5398467126507831</v>
      </c>
      <c r="AI177" s="8">
        <f t="shared" si="66"/>
        <v>0.51762434263686441</v>
      </c>
      <c r="AJ177" s="8"/>
      <c r="AK177" s="8"/>
      <c r="AL177" s="8"/>
      <c r="AN177" s="8">
        <f t="shared" si="71"/>
        <v>1</v>
      </c>
      <c r="AO177" s="8">
        <f t="shared" si="72"/>
        <v>3.8243710401438271</v>
      </c>
      <c r="AP177" s="8">
        <f t="shared" si="73"/>
        <v>1.0267242877922715</v>
      </c>
      <c r="AQ177" s="8"/>
      <c r="AR177" s="8">
        <f t="shared" si="74"/>
        <v>219.12031989229803</v>
      </c>
      <c r="AS177" s="8">
        <f t="shared" si="75"/>
        <v>31.173031585927532</v>
      </c>
    </row>
    <row r="178" spans="1:45">
      <c r="A178" s="19">
        <v>12.879533329999999</v>
      </c>
      <c r="B178" s="19">
        <v>1018.416667</v>
      </c>
      <c r="C178" s="19">
        <v>564.5</v>
      </c>
      <c r="E178" s="9">
        <f t="shared" si="61"/>
        <v>58.416666999999961</v>
      </c>
      <c r="F178" s="9">
        <f t="shared" si="62"/>
        <v>-24.5</v>
      </c>
      <c r="I178">
        <v>1</v>
      </c>
      <c r="J178">
        <f t="shared" si="63"/>
        <v>4.0325399493676528E-2</v>
      </c>
      <c r="K178">
        <f t="shared" si="67"/>
        <v>-0.397118577538004</v>
      </c>
      <c r="O178">
        <f t="shared" si="68"/>
        <v>3.7177168786042811E-2</v>
      </c>
      <c r="P178">
        <f t="shared" si="69"/>
        <v>-1.5592136320582095E-2</v>
      </c>
      <c r="Q178">
        <f t="shared" si="70"/>
        <v>0.99918704125204427</v>
      </c>
      <c r="R178">
        <f t="shared" si="60"/>
        <v>1</v>
      </c>
      <c r="AG178" s="8">
        <f t="shared" si="64"/>
        <v>-0.66412276137896642</v>
      </c>
      <c r="AH178" s="8">
        <f t="shared" si="65"/>
        <v>-0.53958161181276143</v>
      </c>
      <c r="AI178" s="8">
        <f t="shared" si="66"/>
        <v>0.51748685201840527</v>
      </c>
      <c r="AJ178" s="8"/>
      <c r="AK178" s="8"/>
      <c r="AL178" s="8"/>
      <c r="AN178" s="8">
        <f t="shared" si="71"/>
        <v>1</v>
      </c>
      <c r="AO178" s="8">
        <f t="shared" si="72"/>
        <v>3.8238927628700861</v>
      </c>
      <c r="AP178" s="8">
        <f t="shared" si="73"/>
        <v>1.0268849734537744</v>
      </c>
      <c r="AQ178" s="8"/>
      <c r="AR178" s="8">
        <f t="shared" si="74"/>
        <v>219.09291662307564</v>
      </c>
      <c r="AS178" s="8">
        <f t="shared" si="75"/>
        <v>31.16382497569515</v>
      </c>
    </row>
    <row r="179" spans="1:45">
      <c r="A179" s="19">
        <v>12.9129</v>
      </c>
      <c r="B179" s="19">
        <v>1018.25</v>
      </c>
      <c r="C179" s="19">
        <v>564.5</v>
      </c>
      <c r="E179" s="9">
        <f t="shared" si="61"/>
        <v>58.25</v>
      </c>
      <c r="F179" s="9">
        <f t="shared" si="62"/>
        <v>-24.5</v>
      </c>
      <c r="I179">
        <v>1</v>
      </c>
      <c r="J179">
        <f t="shared" si="63"/>
        <v>4.0226806391081574E-2</v>
      </c>
      <c r="K179">
        <f t="shared" si="67"/>
        <v>-0.39813864219265388</v>
      </c>
      <c r="O179">
        <f t="shared" si="68"/>
        <v>3.7070436593509497E-2</v>
      </c>
      <c r="P179">
        <f t="shared" si="69"/>
        <v>-1.559185745134734E-2</v>
      </c>
      <c r="Q179">
        <f t="shared" si="70"/>
        <v>0.99919101112449138</v>
      </c>
      <c r="R179">
        <f t="shared" si="60"/>
        <v>1</v>
      </c>
      <c r="AG179" s="8">
        <f t="shared" si="64"/>
        <v>-0.66419510993077013</v>
      </c>
      <c r="AH179" s="8">
        <f t="shared" si="65"/>
        <v>-0.5395039444080223</v>
      </c>
      <c r="AI179" s="8">
        <f t="shared" si="66"/>
        <v>0.51747497515555063</v>
      </c>
      <c r="AJ179" s="8"/>
      <c r="AK179" s="8"/>
      <c r="AL179" s="8"/>
      <c r="AN179" s="8">
        <f t="shared" si="71"/>
        <v>1</v>
      </c>
      <c r="AO179" s="8">
        <f t="shared" si="72"/>
        <v>3.8237690030114742</v>
      </c>
      <c r="AP179" s="8">
        <f t="shared" si="73"/>
        <v>1.0268988532431078</v>
      </c>
      <c r="AQ179" s="8"/>
      <c r="AR179" s="8">
        <f t="shared" si="74"/>
        <v>219.08582570550405</v>
      </c>
      <c r="AS179" s="8">
        <f t="shared" si="75"/>
        <v>31.163029722345811</v>
      </c>
    </row>
    <row r="180" spans="1:45">
      <c r="A180" s="19">
        <v>12.94626667</v>
      </c>
      <c r="B180" s="19">
        <v>1017.583333</v>
      </c>
      <c r="C180" s="19">
        <v>564.41666669999995</v>
      </c>
      <c r="E180" s="9">
        <f t="shared" si="61"/>
        <v>57.583333000000039</v>
      </c>
      <c r="F180" s="9">
        <f t="shared" si="62"/>
        <v>-24.416666699999951</v>
      </c>
      <c r="I180">
        <v>1</v>
      </c>
      <c r="J180">
        <f t="shared" si="63"/>
        <v>3.9811973882902869E-2</v>
      </c>
      <c r="K180">
        <f t="shared" si="67"/>
        <v>-0.40104296251475557</v>
      </c>
      <c r="O180">
        <f t="shared" si="68"/>
        <v>3.6643385004082901E-2</v>
      </c>
      <c r="P180">
        <f t="shared" si="69"/>
        <v>-1.5537643824897527E-2</v>
      </c>
      <c r="Q180">
        <f t="shared" si="70"/>
        <v>0.99920760803739539</v>
      </c>
      <c r="R180">
        <f t="shared" si="60"/>
        <v>1</v>
      </c>
      <c r="AG180" s="8">
        <f t="shared" si="64"/>
        <v>-0.66446782598589982</v>
      </c>
      <c r="AH180" s="8">
        <f t="shared" si="65"/>
        <v>-0.53917046710834016</v>
      </c>
      <c r="AI180" s="8">
        <f t="shared" si="66"/>
        <v>0.51747242982379882</v>
      </c>
      <c r="AJ180" s="8"/>
      <c r="AK180" s="8"/>
      <c r="AL180" s="8"/>
      <c r="AN180" s="8">
        <f t="shared" si="71"/>
        <v>1</v>
      </c>
      <c r="AO180" s="8">
        <f t="shared" si="72"/>
        <v>3.8232655683773444</v>
      </c>
      <c r="AP180" s="8">
        <f t="shared" si="73"/>
        <v>1.0269018278070887</v>
      </c>
      <c r="AQ180" s="8"/>
      <c r="AR180" s="8">
        <f t="shared" si="74"/>
        <v>219.0569810257077</v>
      </c>
      <c r="AS180" s="8">
        <f t="shared" si="75"/>
        <v>31.162859292383814</v>
      </c>
    </row>
    <row r="181" spans="1:45">
      <c r="A181" s="19">
        <v>12.97963333</v>
      </c>
      <c r="B181" s="19">
        <v>1017.333333</v>
      </c>
      <c r="C181" s="19">
        <v>564.25</v>
      </c>
      <c r="E181" s="9">
        <f t="shared" si="61"/>
        <v>57.333333000000039</v>
      </c>
      <c r="F181" s="9">
        <f t="shared" si="62"/>
        <v>-24.25</v>
      </c>
      <c r="I181">
        <v>1</v>
      </c>
      <c r="J181">
        <f t="shared" si="63"/>
        <v>3.9622583232874292E-2</v>
      </c>
      <c r="K181">
        <f t="shared" si="67"/>
        <v>-0.40014582294967083</v>
      </c>
      <c r="O181">
        <f t="shared" si="68"/>
        <v>3.648301766731285E-2</v>
      </c>
      <c r="P181">
        <f t="shared" si="69"/>
        <v>-1.5431043899581698E-2</v>
      </c>
      <c r="Q181">
        <f t="shared" si="70"/>
        <v>0.99921512814111046</v>
      </c>
      <c r="R181">
        <f t="shared" si="60"/>
        <v>1</v>
      </c>
      <c r="AG181" s="8">
        <f t="shared" si="64"/>
        <v>-0.66454310178389231</v>
      </c>
      <c r="AH181" s="8">
        <f t="shared" si="65"/>
        <v>-0.5390084055136678</v>
      </c>
      <c r="AI181" s="8">
        <f t="shared" si="66"/>
        <v>0.51754459195035263</v>
      </c>
      <c r="AJ181" s="8"/>
      <c r="AK181" s="8"/>
      <c r="AL181" s="8"/>
      <c r="AN181" s="8">
        <f t="shared" si="71"/>
        <v>1.0000000000000002</v>
      </c>
      <c r="AO181" s="8">
        <f t="shared" si="72"/>
        <v>3.8230630632508551</v>
      </c>
      <c r="AP181" s="8">
        <f t="shared" si="73"/>
        <v>1.0268174945396704</v>
      </c>
      <c r="AQ181" s="8"/>
      <c r="AR181" s="8">
        <f t="shared" si="74"/>
        <v>219.04537833663008</v>
      </c>
      <c r="AS181" s="8">
        <f t="shared" si="75"/>
        <v>31.167691232679431</v>
      </c>
    </row>
    <row r="182" spans="1:45">
      <c r="A182" s="19">
        <v>13.013</v>
      </c>
      <c r="B182" s="19">
        <v>1016.833333</v>
      </c>
      <c r="C182" s="19">
        <v>564.41666669999995</v>
      </c>
      <c r="E182" s="9">
        <f t="shared" si="61"/>
        <v>56.833333000000039</v>
      </c>
      <c r="F182" s="9">
        <f t="shared" si="62"/>
        <v>-24.416666699999951</v>
      </c>
      <c r="I182">
        <v>1</v>
      </c>
      <c r="J182">
        <f t="shared" si="63"/>
        <v>3.9369432887785639E-2</v>
      </c>
      <c r="K182">
        <f t="shared" si="67"/>
        <v>-0.40577627479027151</v>
      </c>
      <c r="O182">
        <f t="shared" si="68"/>
        <v>3.6163143890098774E-2</v>
      </c>
      <c r="P182">
        <f t="shared" si="69"/>
        <v>-1.5536365449280984E-2</v>
      </c>
      <c r="Q182">
        <f t="shared" si="70"/>
        <v>0.99922512396987417</v>
      </c>
      <c r="R182">
        <f t="shared" si="60"/>
        <v>1</v>
      </c>
      <c r="AG182" s="8">
        <f t="shared" si="64"/>
        <v>-0.6647931133974827</v>
      </c>
      <c r="AH182" s="8">
        <f t="shared" si="65"/>
        <v>-0.53882081748754473</v>
      </c>
      <c r="AI182" s="8">
        <f t="shared" si="66"/>
        <v>0.51741882747087553</v>
      </c>
      <c r="AJ182" s="8"/>
      <c r="AK182" s="8"/>
      <c r="AL182" s="8"/>
      <c r="AN182" s="8">
        <f t="shared" si="71"/>
        <v>1</v>
      </c>
      <c r="AO182" s="8">
        <f t="shared" si="72"/>
        <v>3.8227087690616983</v>
      </c>
      <c r="AP182" s="8">
        <f t="shared" si="73"/>
        <v>1.0269644681544676</v>
      </c>
      <c r="AQ182" s="8"/>
      <c r="AR182" s="8">
        <f t="shared" si="74"/>
        <v>219.0250787748854</v>
      </c>
      <c r="AS182" s="8">
        <f t="shared" si="75"/>
        <v>31.15927026485177</v>
      </c>
    </row>
    <row r="183" spans="1:45">
      <c r="A183" s="19">
        <v>13.046366669999999</v>
      </c>
      <c r="B183" s="19">
        <v>1015.666667</v>
      </c>
      <c r="C183" s="19">
        <v>564.5</v>
      </c>
      <c r="E183" s="9">
        <f t="shared" si="61"/>
        <v>55.666666999999961</v>
      </c>
      <c r="F183" s="9">
        <f t="shared" si="62"/>
        <v>-24.5</v>
      </c>
      <c r="I183">
        <v>1</v>
      </c>
      <c r="J183">
        <f t="shared" si="63"/>
        <v>3.8704414987277863E-2</v>
      </c>
      <c r="K183">
        <f t="shared" si="67"/>
        <v>-0.41460720346926783</v>
      </c>
      <c r="O183">
        <f t="shared" si="68"/>
        <v>3.5416324769122522E-2</v>
      </c>
      <c r="P183">
        <f t="shared" si="69"/>
        <v>-1.5587424281096303E-2</v>
      </c>
      <c r="Q183">
        <f t="shared" si="70"/>
        <v>0.99925107762970622</v>
      </c>
      <c r="R183">
        <f t="shared" si="60"/>
        <v>1</v>
      </c>
      <c r="AG183" s="8">
        <f t="shared" si="64"/>
        <v>-0.66531531864433657</v>
      </c>
      <c r="AH183" s="8">
        <f t="shared" si="65"/>
        <v>-0.53829948695541863</v>
      </c>
      <c r="AI183" s="8">
        <f t="shared" si="66"/>
        <v>0.51729023683104447</v>
      </c>
      <c r="AJ183" s="8"/>
      <c r="AK183" s="8"/>
      <c r="AL183" s="8"/>
      <c r="AN183" s="8">
        <f t="shared" si="71"/>
        <v>1</v>
      </c>
      <c r="AO183" s="8">
        <f t="shared" si="72"/>
        <v>3.8218513143114032</v>
      </c>
      <c r="AP183" s="8">
        <f t="shared" si="73"/>
        <v>1.0271147310345889</v>
      </c>
      <c r="AQ183" s="8"/>
      <c r="AR183" s="8">
        <f t="shared" si="74"/>
        <v>218.97595023657004</v>
      </c>
      <c r="AS183" s="8">
        <f t="shared" si="75"/>
        <v>31.15066083600334</v>
      </c>
    </row>
    <row r="184" spans="1:45">
      <c r="A184" s="19">
        <v>13.07973333</v>
      </c>
      <c r="B184" s="19">
        <v>1015.314403</v>
      </c>
      <c r="C184" s="19">
        <v>563.78145110000003</v>
      </c>
      <c r="E184" s="9">
        <f t="shared" si="61"/>
        <v>55.31440299999997</v>
      </c>
      <c r="F184" s="9">
        <f t="shared" si="62"/>
        <v>-23.781451100000027</v>
      </c>
      <c r="I184">
        <v>1</v>
      </c>
      <c r="J184">
        <f t="shared" si="63"/>
        <v>3.8313348597072742E-2</v>
      </c>
      <c r="K184">
        <f t="shared" si="67"/>
        <v>-0.40604096088678204</v>
      </c>
      <c r="O184">
        <f t="shared" si="68"/>
        <v>3.5189546260543235E-2</v>
      </c>
      <c r="P184">
        <f t="shared" si="69"/>
        <v>-1.5129124210674352E-2</v>
      </c>
      <c r="Q184">
        <f t="shared" si="70"/>
        <v>0.99926613343723159</v>
      </c>
      <c r="R184">
        <f t="shared" si="60"/>
        <v>1</v>
      </c>
      <c r="AG184" s="8">
        <f t="shared" si="64"/>
        <v>-0.66532488160796155</v>
      </c>
      <c r="AH184" s="8">
        <f t="shared" si="65"/>
        <v>-0.53793887064068813</v>
      </c>
      <c r="AI184" s="8">
        <f t="shared" si="66"/>
        <v>0.51765294683520657</v>
      </c>
      <c r="AJ184" s="8"/>
      <c r="AK184" s="8"/>
      <c r="AL184" s="8"/>
      <c r="AN184" s="8">
        <f t="shared" si="71"/>
        <v>1.0000000000000002</v>
      </c>
      <c r="AO184" s="8">
        <f t="shared" si="72"/>
        <v>3.8215166194580101</v>
      </c>
      <c r="AP184" s="8">
        <f t="shared" si="73"/>
        <v>1.026690856024677</v>
      </c>
      <c r="AQ184" s="8"/>
      <c r="AR184" s="8">
        <f t="shared" si="74"/>
        <v>218.95677363404587</v>
      </c>
      <c r="AS184" s="8">
        <f t="shared" si="75"/>
        <v>31.174947085112358</v>
      </c>
    </row>
    <row r="185" spans="1:45">
      <c r="A185" s="19">
        <v>13.113099999999999</v>
      </c>
      <c r="B185" s="19">
        <v>1015.135949</v>
      </c>
      <c r="C185" s="19">
        <v>563.62891690000004</v>
      </c>
      <c r="E185" s="9">
        <f t="shared" si="61"/>
        <v>55.135948999999982</v>
      </c>
      <c r="F185" s="9">
        <f t="shared" si="62"/>
        <v>-23.628916900000036</v>
      </c>
      <c r="I185">
        <v>1</v>
      </c>
      <c r="J185">
        <f t="shared" si="63"/>
        <v>3.8169573520669908E-2</v>
      </c>
      <c r="K185">
        <f t="shared" si="67"/>
        <v>-0.40487990308946259</v>
      </c>
      <c r="O185">
        <f t="shared" si="68"/>
        <v>3.5075034123219599E-2</v>
      </c>
      <c r="P185">
        <f t="shared" si="69"/>
        <v>-1.503166412465707E-2</v>
      </c>
      <c r="Q185">
        <f t="shared" si="70"/>
        <v>0.99927163026621468</v>
      </c>
      <c r="R185">
        <f t="shared" si="60"/>
        <v>1</v>
      </c>
      <c r="AG185" s="8">
        <f t="shared" si="64"/>
        <v>-0.66537178729607671</v>
      </c>
      <c r="AH185" s="8">
        <f t="shared" si="65"/>
        <v>-0.53781393708364766</v>
      </c>
      <c r="AI185" s="8">
        <f t="shared" si="66"/>
        <v>0.51772246788121024</v>
      </c>
      <c r="AJ185" s="8"/>
      <c r="AK185" s="8"/>
      <c r="AL185" s="8"/>
      <c r="AN185" s="8">
        <f t="shared" si="71"/>
        <v>1</v>
      </c>
      <c r="AO185" s="8">
        <f t="shared" si="72"/>
        <v>3.8213685950305716</v>
      </c>
      <c r="AP185" s="8">
        <f t="shared" si="73"/>
        <v>1.0266095989984481</v>
      </c>
      <c r="AQ185" s="8"/>
      <c r="AR185" s="8">
        <f t="shared" si="74"/>
        <v>218.9482924590888</v>
      </c>
      <c r="AS185" s="8">
        <f t="shared" si="75"/>
        <v>31.179602769771058</v>
      </c>
    </row>
    <row r="186" spans="1:45">
      <c r="A186" s="19">
        <v>13.146466670000001</v>
      </c>
      <c r="B186" s="19">
        <v>1014.945187</v>
      </c>
      <c r="C186" s="19">
        <v>563.55697510000005</v>
      </c>
      <c r="E186" s="9">
        <f t="shared" si="61"/>
        <v>54.945187000000033</v>
      </c>
      <c r="F186" s="9">
        <f t="shared" si="62"/>
        <v>-23.556975100000045</v>
      </c>
      <c r="I186">
        <v>1</v>
      </c>
      <c r="J186">
        <f t="shared" si="63"/>
        <v>3.8038933962265001E-2</v>
      </c>
      <c r="K186">
        <f t="shared" si="67"/>
        <v>-0.40503074186043642</v>
      </c>
      <c r="O186">
        <f t="shared" si="68"/>
        <v>3.4952783973727045E-2</v>
      </c>
      <c r="P186">
        <f t="shared" si="69"/>
        <v>-1.498551386757075E-2</v>
      </c>
      <c r="Q186">
        <f t="shared" si="70"/>
        <v>0.99927660698457799</v>
      </c>
      <c r="R186">
        <f t="shared" si="60"/>
        <v>1</v>
      </c>
      <c r="AG186" s="8">
        <f t="shared" si="64"/>
        <v>-0.66544006032609782</v>
      </c>
      <c r="AH186" s="8">
        <f t="shared" si="65"/>
        <v>-0.53770527458519168</v>
      </c>
      <c r="AI186" s="8">
        <f t="shared" si="66"/>
        <v>0.51774758695378109</v>
      </c>
      <c r="AJ186" s="8"/>
      <c r="AK186" s="8"/>
      <c r="AL186" s="8"/>
      <c r="AN186" s="8">
        <f t="shared" si="71"/>
        <v>1.0000000000000002</v>
      </c>
      <c r="AO186" s="8">
        <f t="shared" si="72"/>
        <v>3.8212196516839159</v>
      </c>
      <c r="AP186" s="8">
        <f t="shared" si="73"/>
        <v>1.0265802385447604</v>
      </c>
      <c r="AQ186" s="8"/>
      <c r="AR186" s="8">
        <f t="shared" si="74"/>
        <v>218.93975863393888</v>
      </c>
      <c r="AS186" s="8">
        <f t="shared" si="75"/>
        <v>31.181284999851954</v>
      </c>
    </row>
    <row r="187" spans="1:45">
      <c r="A187" s="19">
        <v>13.179833329999999</v>
      </c>
      <c r="B187" s="19">
        <v>1014.021197</v>
      </c>
      <c r="C187" s="19">
        <v>563.65698190000001</v>
      </c>
      <c r="E187" s="9">
        <f t="shared" si="61"/>
        <v>54.021197000000029</v>
      </c>
      <c r="F187" s="9">
        <f t="shared" si="62"/>
        <v>-23.656981900000005</v>
      </c>
      <c r="I187">
        <v>1</v>
      </c>
      <c r="J187">
        <f t="shared" si="63"/>
        <v>3.7520665842076771E-2</v>
      </c>
      <c r="K187">
        <f t="shared" si="67"/>
        <v>-0.41276321174083574</v>
      </c>
      <c r="O187">
        <f t="shared" si="68"/>
        <v>3.436146210546151E-2</v>
      </c>
      <c r="P187">
        <f t="shared" si="69"/>
        <v>-1.5047583767653992E-2</v>
      </c>
      <c r="Q187">
        <f t="shared" si="70"/>
        <v>0.99929618239275309</v>
      </c>
      <c r="R187">
        <f t="shared" si="60"/>
        <v>1</v>
      </c>
      <c r="AG187" s="8">
        <f t="shared" si="64"/>
        <v>-0.66585989991615302</v>
      </c>
      <c r="AH187" s="8">
        <f t="shared" si="65"/>
        <v>-0.53730140580155183</v>
      </c>
      <c r="AI187" s="8">
        <f t="shared" si="66"/>
        <v>0.5176270790900791</v>
      </c>
      <c r="AJ187" s="8"/>
      <c r="AK187" s="8"/>
      <c r="AL187" s="8"/>
      <c r="AN187" s="8">
        <f t="shared" si="71"/>
        <v>1.0000000000000002</v>
      </c>
      <c r="AO187" s="8">
        <f t="shared" si="72"/>
        <v>3.8205441044301889</v>
      </c>
      <c r="AP187" s="8">
        <f t="shared" si="73"/>
        <v>1.0267210895333956</v>
      </c>
      <c r="AQ187" s="8"/>
      <c r="AR187" s="8">
        <f t="shared" si="74"/>
        <v>218.90105262743867</v>
      </c>
      <c r="AS187" s="8">
        <f t="shared" si="75"/>
        <v>31.173214832662914</v>
      </c>
    </row>
    <row r="188" spans="1:45">
      <c r="A188" s="19">
        <v>13.213200000000001</v>
      </c>
      <c r="B188" s="19">
        <v>1013.537768</v>
      </c>
      <c r="C188" s="19">
        <v>563.31197229999998</v>
      </c>
      <c r="E188" s="9">
        <f t="shared" si="61"/>
        <v>53.537768000000028</v>
      </c>
      <c r="F188" s="9">
        <f t="shared" si="62"/>
        <v>-23.311972299999979</v>
      </c>
      <c r="I188">
        <v>1</v>
      </c>
      <c r="J188">
        <f t="shared" si="63"/>
        <v>3.7147991456635943E-2</v>
      </c>
      <c r="K188">
        <f t="shared" si="67"/>
        <v>-0.41067202415127207</v>
      </c>
      <c r="O188">
        <f t="shared" si="68"/>
        <v>3.4051404844116714E-2</v>
      </c>
      <c r="P188">
        <f t="shared" si="69"/>
        <v>-1.482701719096944E-2</v>
      </c>
      <c r="Q188">
        <f t="shared" si="70"/>
        <v>0.99931009270864501</v>
      </c>
      <c r="R188">
        <f t="shared" si="60"/>
        <v>1</v>
      </c>
      <c r="AG188" s="8">
        <f t="shared" si="64"/>
        <v>-0.66600031053101438</v>
      </c>
      <c r="AH188" s="8">
        <f t="shared" si="65"/>
        <v>-0.53698146796570168</v>
      </c>
      <c r="AI188" s="8">
        <f t="shared" si="66"/>
        <v>0.51777841731187724</v>
      </c>
      <c r="AJ188" s="8"/>
      <c r="AK188" s="8"/>
      <c r="AL188" s="8"/>
      <c r="AN188" s="8">
        <f t="shared" si="71"/>
        <v>1</v>
      </c>
      <c r="AO188" s="8">
        <f t="shared" si="72"/>
        <v>3.8201500020169004</v>
      </c>
      <c r="AP188" s="8">
        <f t="shared" si="73"/>
        <v>1.0265442017360327</v>
      </c>
      <c r="AQ188" s="8"/>
      <c r="AR188" s="8">
        <f t="shared" si="74"/>
        <v>218.87847222246131</v>
      </c>
      <c r="AS188" s="8">
        <f t="shared" si="75"/>
        <v>31.183349756899169</v>
      </c>
    </row>
    <row r="189" spans="1:45">
      <c r="A189" s="19">
        <v>13.24656667</v>
      </c>
      <c r="B189" s="19">
        <v>1012.833333</v>
      </c>
      <c r="C189" s="19">
        <v>563.25</v>
      </c>
      <c r="E189" s="9">
        <f t="shared" si="61"/>
        <v>52.833333000000039</v>
      </c>
      <c r="F189" s="9">
        <f t="shared" si="62"/>
        <v>-23.25</v>
      </c>
      <c r="I189">
        <v>1</v>
      </c>
      <c r="J189">
        <f t="shared" si="63"/>
        <v>3.6718223325315283E-2</v>
      </c>
      <c r="K189">
        <f t="shared" si="67"/>
        <v>-0.41455973382704764</v>
      </c>
      <c r="O189">
        <f t="shared" si="68"/>
        <v>3.3600408696239543E-2</v>
      </c>
      <c r="P189">
        <f t="shared" si="69"/>
        <v>-1.4786299819236634E-2</v>
      </c>
      <c r="Q189">
        <f t="shared" si="70"/>
        <v>0.99932596177278477</v>
      </c>
      <c r="R189">
        <f t="shared" si="60"/>
        <v>1</v>
      </c>
      <c r="AG189" s="8">
        <f t="shared" si="64"/>
        <v>-0.66629255517729291</v>
      </c>
      <c r="AH189" s="8">
        <f t="shared" si="65"/>
        <v>-0.53663564169230127</v>
      </c>
      <c r="AI189" s="8">
        <f t="shared" si="66"/>
        <v>0.51776096703093222</v>
      </c>
      <c r="AJ189" s="8"/>
      <c r="AK189" s="8"/>
      <c r="AL189" s="8"/>
      <c r="AN189" s="8">
        <f t="shared" si="71"/>
        <v>1</v>
      </c>
      <c r="AO189" s="8">
        <f t="shared" si="72"/>
        <v>3.8196209096727713</v>
      </c>
      <c r="AP189" s="8">
        <f t="shared" si="73"/>
        <v>1.0265645990149341</v>
      </c>
      <c r="AQ189" s="8"/>
      <c r="AR189" s="8">
        <f t="shared" si="74"/>
        <v>218.84815746417004</v>
      </c>
      <c r="AS189" s="8">
        <f t="shared" si="75"/>
        <v>31.18218107890457</v>
      </c>
    </row>
    <row r="190" spans="1:45">
      <c r="A190" s="19">
        <v>13.27993333</v>
      </c>
      <c r="B190" s="19">
        <v>1012.482109</v>
      </c>
      <c r="C190" s="19">
        <v>563.08232310000005</v>
      </c>
      <c r="E190" s="9">
        <f t="shared" si="61"/>
        <v>52.482109000000037</v>
      </c>
      <c r="F190" s="9">
        <f t="shared" si="62"/>
        <v>-23.082323100000053</v>
      </c>
      <c r="I190">
        <v>1</v>
      </c>
      <c r="J190">
        <f t="shared" si="63"/>
        <v>3.6468771684702736E-2</v>
      </c>
      <c r="K190">
        <f t="shared" si="67"/>
        <v>-0.41435034327659681</v>
      </c>
      <c r="O190">
        <f t="shared" si="68"/>
        <v>3.3375314380103764E-2</v>
      </c>
      <c r="P190">
        <f t="shared" si="69"/>
        <v>-1.4678903054098538E-2</v>
      </c>
      <c r="Q190">
        <f t="shared" si="70"/>
        <v>0.99933508804362392</v>
      </c>
      <c r="R190">
        <f t="shared" si="60"/>
        <v>1</v>
      </c>
      <c r="AG190" s="8">
        <f t="shared" si="64"/>
        <v>-0.66641095429144404</v>
      </c>
      <c r="AH190" s="8">
        <f t="shared" si="65"/>
        <v>-0.53642580133807682</v>
      </c>
      <c r="AI190" s="8">
        <f t="shared" si="66"/>
        <v>0.51782603223396273</v>
      </c>
      <c r="AJ190" s="8"/>
      <c r="AK190" s="8"/>
      <c r="AL190" s="8"/>
      <c r="AN190" s="8">
        <f t="shared" si="71"/>
        <v>1</v>
      </c>
      <c r="AO190" s="8">
        <f t="shared" si="72"/>
        <v>3.8193430642539248</v>
      </c>
      <c r="AP190" s="8">
        <f t="shared" si="73"/>
        <v>1.0264885443399074</v>
      </c>
      <c r="AQ190" s="8"/>
      <c r="AR190" s="8">
        <f t="shared" si="74"/>
        <v>218.83223809431308</v>
      </c>
      <c r="AS190" s="8">
        <f t="shared" si="75"/>
        <v>31.186538690795835</v>
      </c>
    </row>
    <row r="191" spans="1:45">
      <c r="A191" s="19">
        <v>13.3133</v>
      </c>
      <c r="B191" s="19">
        <v>1012.048641</v>
      </c>
      <c r="C191" s="19">
        <v>562.99141980000002</v>
      </c>
      <c r="E191" s="9">
        <f t="shared" si="61"/>
        <v>52.048640999999975</v>
      </c>
      <c r="F191" s="9">
        <f t="shared" si="62"/>
        <v>-22.991419800000017</v>
      </c>
      <c r="I191">
        <v>1</v>
      </c>
      <c r="J191">
        <f t="shared" si="63"/>
        <v>3.6190924641497466E-2</v>
      </c>
      <c r="K191">
        <f t="shared" si="67"/>
        <v>-0.41595492238560272</v>
      </c>
      <c r="O191">
        <f t="shared" si="68"/>
        <v>3.3097730397923242E-2</v>
      </c>
      <c r="P191">
        <f t="shared" si="69"/>
        <v>-1.4620243667954272E-2</v>
      </c>
      <c r="Q191">
        <f t="shared" si="70"/>
        <v>0.99934517996415839</v>
      </c>
      <c r="R191">
        <f t="shared" si="60"/>
        <v>1</v>
      </c>
      <c r="AG191" s="8">
        <f t="shared" si="64"/>
        <v>-0.66658013577466657</v>
      </c>
      <c r="AH191" s="8">
        <f t="shared" si="65"/>
        <v>-0.53619850929472179</v>
      </c>
      <c r="AI191" s="8">
        <f t="shared" si="66"/>
        <v>0.51784368415646964</v>
      </c>
      <c r="AJ191" s="8"/>
      <c r="AK191" s="8"/>
      <c r="AL191" s="8"/>
      <c r="AN191" s="8">
        <f t="shared" si="71"/>
        <v>1.0000000000000002</v>
      </c>
      <c r="AO191" s="8">
        <f t="shared" si="72"/>
        <v>3.8190120890569879</v>
      </c>
      <c r="AP191" s="8">
        <f t="shared" si="73"/>
        <v>1.0264679104149823</v>
      </c>
      <c r="AQ191" s="8"/>
      <c r="AR191" s="8">
        <f t="shared" si="74"/>
        <v>218.81327461240508</v>
      </c>
      <c r="AS191" s="8">
        <f t="shared" si="75"/>
        <v>31.187720927608837</v>
      </c>
    </row>
    <row r="192" spans="1:45">
      <c r="A192" s="19">
        <v>13.346666669999999</v>
      </c>
      <c r="B192" s="19">
        <v>1011.4453130000001</v>
      </c>
      <c r="C192" s="19">
        <v>562.71383309999999</v>
      </c>
      <c r="E192" s="9">
        <f t="shared" si="61"/>
        <v>51.445313000000056</v>
      </c>
      <c r="F192" s="9">
        <f t="shared" si="62"/>
        <v>-22.713833099999988</v>
      </c>
      <c r="I192">
        <v>1</v>
      </c>
      <c r="J192">
        <f t="shared" si="63"/>
        <v>3.5765153244219125E-2</v>
      </c>
      <c r="K192">
        <f t="shared" si="67"/>
        <v>-0.41577471474624433</v>
      </c>
      <c r="O192">
        <f t="shared" si="68"/>
        <v>3.2711119357425364E-2</v>
      </c>
      <c r="P192">
        <f t="shared" si="69"/>
        <v>-1.4442421714855496E-2</v>
      </c>
      <c r="Q192">
        <f t="shared" si="70"/>
        <v>0.99936049507942559</v>
      </c>
      <c r="R192">
        <f t="shared" si="60"/>
        <v>1</v>
      </c>
      <c r="AG192" s="8">
        <f t="shared" si="64"/>
        <v>-0.66678540252003393</v>
      </c>
      <c r="AH192" s="8">
        <f t="shared" si="65"/>
        <v>-0.53584080082623142</v>
      </c>
      <c r="AI192" s="8">
        <f t="shared" si="66"/>
        <v>0.51794967241624879</v>
      </c>
      <c r="AJ192" s="8"/>
      <c r="AK192" s="8"/>
      <c r="AL192" s="8"/>
      <c r="AN192" s="8">
        <f t="shared" si="71"/>
        <v>1</v>
      </c>
      <c r="AO192" s="8">
        <f t="shared" si="72"/>
        <v>3.8185358480357054</v>
      </c>
      <c r="AP192" s="8">
        <f t="shared" si="73"/>
        <v>1.0263440117591047</v>
      </c>
      <c r="AQ192" s="8"/>
      <c r="AR192" s="8">
        <f t="shared" si="74"/>
        <v>218.78598801185461</v>
      </c>
      <c r="AS192" s="8">
        <f t="shared" si="75"/>
        <v>31.194819797677965</v>
      </c>
    </row>
    <row r="193" spans="1:45">
      <c r="A193" s="19">
        <v>13.38003333</v>
      </c>
      <c r="B193" s="19">
        <v>1010.982629</v>
      </c>
      <c r="C193" s="19">
        <v>562.64465859999996</v>
      </c>
      <c r="E193" s="9">
        <f t="shared" si="61"/>
        <v>50.982628999999974</v>
      </c>
      <c r="F193" s="9">
        <f t="shared" si="62"/>
        <v>-22.644658599999957</v>
      </c>
      <c r="I193">
        <v>1</v>
      </c>
      <c r="J193">
        <f t="shared" si="63"/>
        <v>3.5475956539930596E-2</v>
      </c>
      <c r="K193">
        <f t="shared" si="67"/>
        <v>-0.41799028629644092</v>
      </c>
      <c r="O193">
        <f t="shared" si="68"/>
        <v>3.2414909766729588E-2</v>
      </c>
      <c r="P193">
        <f t="shared" si="69"/>
        <v>-1.4397542449554653E-2</v>
      </c>
      <c r="Q193">
        <f t="shared" si="70"/>
        <v>0.99937079424817499</v>
      </c>
      <c r="R193">
        <f t="shared" si="60"/>
        <v>1</v>
      </c>
      <c r="AG193" s="8">
        <f t="shared" si="64"/>
        <v>-0.66697136965078585</v>
      </c>
      <c r="AH193" s="8">
        <f t="shared" si="65"/>
        <v>-0.53560572037328247</v>
      </c>
      <c r="AI193" s="8">
        <f t="shared" si="66"/>
        <v>0.5179533804982569</v>
      </c>
      <c r="AJ193" s="8"/>
      <c r="AK193" s="8"/>
      <c r="AL193" s="8"/>
      <c r="AN193" s="8">
        <f t="shared" si="71"/>
        <v>1.0000000000000002</v>
      </c>
      <c r="AO193" s="8">
        <f t="shared" si="72"/>
        <v>3.8181854478583279</v>
      </c>
      <c r="AP193" s="8">
        <f t="shared" si="73"/>
        <v>1.0263396768996347</v>
      </c>
      <c r="AQ193" s="8"/>
      <c r="AR193" s="8">
        <f t="shared" si="74"/>
        <v>218.76591156055025</v>
      </c>
      <c r="AS193" s="8">
        <f t="shared" si="75"/>
        <v>31.195068166830382</v>
      </c>
    </row>
    <row r="194" spans="1:45">
      <c r="A194" s="19">
        <v>13.413399999999999</v>
      </c>
      <c r="B194" s="19">
        <v>1010.416667</v>
      </c>
      <c r="C194" s="19">
        <v>563.25</v>
      </c>
      <c r="E194" s="9">
        <f t="shared" si="61"/>
        <v>50.416666999999961</v>
      </c>
      <c r="F194" s="9">
        <f t="shared" si="62"/>
        <v>-23.25</v>
      </c>
      <c r="I194">
        <v>1</v>
      </c>
      <c r="J194">
        <f t="shared" si="63"/>
        <v>3.5305425774252192E-2</v>
      </c>
      <c r="K194">
        <f t="shared" si="67"/>
        <v>-0.43209327469154302</v>
      </c>
      <c r="O194">
        <f t="shared" si="68"/>
        <v>3.2053884100064128E-2</v>
      </c>
      <c r="P194">
        <f t="shared" si="69"/>
        <v>-1.4781873726926286E-2</v>
      </c>
      <c r="Q194">
        <f t="shared" si="70"/>
        <v>0.99937682819005813</v>
      </c>
      <c r="R194">
        <f t="shared" si="60"/>
        <v>1</v>
      </c>
      <c r="AG194" s="8">
        <f t="shared" si="64"/>
        <v>-0.66733619153964141</v>
      </c>
      <c r="AH194" s="8">
        <f t="shared" si="65"/>
        <v>-0.53550672691137569</v>
      </c>
      <c r="AI194" s="8">
        <f t="shared" si="66"/>
        <v>0.51758569618376471</v>
      </c>
      <c r="AJ194" s="8"/>
      <c r="AK194" s="8"/>
      <c r="AL194" s="8"/>
      <c r="AN194" s="8">
        <f t="shared" si="71"/>
        <v>1</v>
      </c>
      <c r="AO194" s="8">
        <f t="shared" si="72"/>
        <v>3.8178282661811576</v>
      </c>
      <c r="AP194" s="8">
        <f t="shared" si="73"/>
        <v>1.0267694555856535</v>
      </c>
      <c r="AQ194" s="8"/>
      <c r="AR194" s="8">
        <f t="shared" si="74"/>
        <v>218.74544655792897</v>
      </c>
      <c r="AS194" s="8">
        <f t="shared" si="75"/>
        <v>31.170443661996828</v>
      </c>
    </row>
    <row r="195" spans="1:45">
      <c r="A195" s="19">
        <v>13.446766670000001</v>
      </c>
      <c r="B195" s="19">
        <v>1009.937232</v>
      </c>
      <c r="C195" s="19">
        <v>563.13316610000004</v>
      </c>
      <c r="E195" s="9">
        <f t="shared" si="61"/>
        <v>49.937231999999995</v>
      </c>
      <c r="F195" s="9">
        <f t="shared" si="62"/>
        <v>-23.133166100000039</v>
      </c>
      <c r="I195">
        <v>1</v>
      </c>
      <c r="J195">
        <f t="shared" si="63"/>
        <v>3.4995002822220379E-2</v>
      </c>
      <c r="K195">
        <f t="shared" si="67"/>
        <v>-0.43381360101665811</v>
      </c>
      <c r="O195">
        <f t="shared" si="68"/>
        <v>3.1746912746285279E-2</v>
      </c>
      <c r="P195">
        <f t="shared" si="69"/>
        <v>-1.4706594184515989E-2</v>
      </c>
      <c r="Q195">
        <f t="shared" si="70"/>
        <v>0.99938773737652575</v>
      </c>
      <c r="R195">
        <f t="shared" si="60"/>
        <v>1</v>
      </c>
      <c r="AG195" s="8">
        <f t="shared" si="64"/>
        <v>-0.66751973053295999</v>
      </c>
      <c r="AH195" s="8">
        <f t="shared" si="65"/>
        <v>-0.53525072022892795</v>
      </c>
      <c r="AI195" s="8">
        <f t="shared" si="66"/>
        <v>0.5176138288759472</v>
      </c>
      <c r="AJ195" s="8"/>
      <c r="AK195" s="8"/>
      <c r="AL195" s="8"/>
      <c r="AN195" s="8">
        <f t="shared" si="71"/>
        <v>1</v>
      </c>
      <c r="AO195" s="8">
        <f t="shared" si="72"/>
        <v>3.8174606491974057</v>
      </c>
      <c r="AP195" s="8">
        <f t="shared" si="73"/>
        <v>1.026736575804899</v>
      </c>
      <c r="AQ195" s="8"/>
      <c r="AR195" s="8">
        <f t="shared" si="74"/>
        <v>218.72438365628267</v>
      </c>
      <c r="AS195" s="8">
        <f t="shared" si="75"/>
        <v>31.172327534665378</v>
      </c>
    </row>
    <row r="196" spans="1:45">
      <c r="A196" s="19">
        <v>13.480133329999999</v>
      </c>
      <c r="B196" s="19">
        <v>1009.450232</v>
      </c>
      <c r="C196" s="19">
        <v>563.26031309999996</v>
      </c>
      <c r="E196" s="9">
        <f t="shared" si="61"/>
        <v>49.450232000000028</v>
      </c>
      <c r="F196" s="9">
        <f t="shared" si="62"/>
        <v>-23.260313099999962</v>
      </c>
      <c r="I196">
        <v>1</v>
      </c>
      <c r="J196">
        <f t="shared" si="63"/>
        <v>3.4746591099238403E-2</v>
      </c>
      <c r="K196">
        <f t="shared" si="67"/>
        <v>-0.43967064648439463</v>
      </c>
      <c r="O196">
        <f t="shared" si="68"/>
        <v>3.1435582408568072E-2</v>
      </c>
      <c r="P196">
        <f t="shared" si="69"/>
        <v>-1.478661392941784E-2</v>
      </c>
      <c r="Q196">
        <f t="shared" si="70"/>
        <v>0.99939639793584234</v>
      </c>
      <c r="R196">
        <f t="shared" si="60"/>
        <v>1</v>
      </c>
      <c r="AG196" s="8">
        <f t="shared" si="64"/>
        <v>-0.6677550285088083</v>
      </c>
      <c r="AH196" s="8">
        <f t="shared" si="65"/>
        <v>-0.53505782780058897</v>
      </c>
      <c r="AI196" s="8">
        <f t="shared" si="66"/>
        <v>0.51750975141587052</v>
      </c>
      <c r="AJ196" s="8"/>
      <c r="AK196" s="8"/>
      <c r="AL196" s="8"/>
      <c r="AN196" s="8">
        <f t="shared" si="71"/>
        <v>1.0000000000000002</v>
      </c>
      <c r="AO196" s="8">
        <f t="shared" si="72"/>
        <v>3.8171127560753124</v>
      </c>
      <c r="AP196" s="8">
        <f t="shared" si="73"/>
        <v>1.0268582119492775</v>
      </c>
      <c r="AQ196" s="8"/>
      <c r="AR196" s="8">
        <f t="shared" si="74"/>
        <v>218.70445084866509</v>
      </c>
      <c r="AS196" s="8">
        <f t="shared" si="75"/>
        <v>31.165358296956242</v>
      </c>
    </row>
    <row r="197" spans="1:45">
      <c r="A197" s="19">
        <v>13.513500000000001</v>
      </c>
      <c r="B197" s="19">
        <v>1009.010954</v>
      </c>
      <c r="C197" s="19">
        <v>563.17056049999997</v>
      </c>
      <c r="E197" s="9">
        <f t="shared" si="61"/>
        <v>49.01095399999997</v>
      </c>
      <c r="F197" s="9">
        <f t="shared" si="62"/>
        <v>-23.170560499999965</v>
      </c>
      <c r="I197">
        <v>1</v>
      </c>
      <c r="J197">
        <f t="shared" si="63"/>
        <v>3.4467364390949315E-2</v>
      </c>
      <c r="K197">
        <f t="shared" si="67"/>
        <v>-0.44162147765642762</v>
      </c>
      <c r="O197">
        <f t="shared" si="68"/>
        <v>3.1154389924031304E-2</v>
      </c>
      <c r="P197">
        <f t="shared" si="69"/>
        <v>-1.4728639572601608E-2</v>
      </c>
      <c r="Q197">
        <f t="shared" si="70"/>
        <v>0.99940605919956371</v>
      </c>
      <c r="R197">
        <f t="shared" si="60"/>
        <v>1</v>
      </c>
      <c r="AG197" s="8">
        <f t="shared" si="64"/>
        <v>-0.66792649529838266</v>
      </c>
      <c r="AH197" s="8">
        <f t="shared" si="65"/>
        <v>-0.53482792619957387</v>
      </c>
      <c r="AI197" s="8">
        <f t="shared" si="66"/>
        <v>0.51752612130740128</v>
      </c>
      <c r="AJ197" s="8"/>
      <c r="AK197" s="8"/>
      <c r="AL197" s="8"/>
      <c r="AN197" s="8">
        <f t="shared" si="71"/>
        <v>1.0000000000000002</v>
      </c>
      <c r="AO197" s="8">
        <f t="shared" si="72"/>
        <v>3.8167777780433085</v>
      </c>
      <c r="AP197" s="8">
        <f t="shared" si="73"/>
        <v>1.026839080921655</v>
      </c>
      <c r="AQ197" s="8"/>
      <c r="AR197" s="8">
        <f t="shared" si="74"/>
        <v>218.68525802120166</v>
      </c>
      <c r="AS197" s="8">
        <f t="shared" si="75"/>
        <v>31.166454424096756</v>
      </c>
    </row>
    <row r="198" spans="1:45">
      <c r="A198" s="19">
        <v>13.54686667</v>
      </c>
      <c r="B198" s="19">
        <v>1008.462004</v>
      </c>
      <c r="C198" s="19">
        <v>562.99087680000002</v>
      </c>
      <c r="E198" s="9">
        <f t="shared" si="61"/>
        <v>48.462003999999979</v>
      </c>
      <c r="F198" s="9">
        <f t="shared" si="62"/>
        <v>-22.990876800000024</v>
      </c>
      <c r="I198">
        <v>1</v>
      </c>
      <c r="J198">
        <f t="shared" si="63"/>
        <v>3.4100062140748087E-2</v>
      </c>
      <c r="K198">
        <f t="shared" si="67"/>
        <v>-0.4429671337799207</v>
      </c>
      <c r="O198">
        <f t="shared" si="68"/>
        <v>3.0802885390536102E-2</v>
      </c>
      <c r="P198">
        <f t="shared" si="69"/>
        <v>-1.4613207970069425E-2</v>
      </c>
      <c r="Q198">
        <f t="shared" si="70"/>
        <v>0.9994186492178545</v>
      </c>
      <c r="R198">
        <f t="shared" si="60"/>
        <v>1</v>
      </c>
      <c r="AG198" s="8">
        <f t="shared" si="64"/>
        <v>-0.66812723220214587</v>
      </c>
      <c r="AH198" s="8">
        <f t="shared" si="65"/>
        <v>-0.53452212446251579</v>
      </c>
      <c r="AI198" s="8">
        <f t="shared" si="66"/>
        <v>0.51758294026173102</v>
      </c>
      <c r="AJ198" s="8"/>
      <c r="AK198" s="8"/>
      <c r="AL198" s="8"/>
      <c r="AN198" s="8">
        <f t="shared" si="71"/>
        <v>1</v>
      </c>
      <c r="AO198" s="8">
        <f t="shared" si="72"/>
        <v>3.8163521573418615</v>
      </c>
      <c r="AP198" s="8">
        <f t="shared" si="73"/>
        <v>1.026772676504655</v>
      </c>
      <c r="AQ198" s="8"/>
      <c r="AR198" s="8">
        <f t="shared" si="74"/>
        <v>218.66087175133535</v>
      </c>
      <c r="AS198" s="8">
        <f t="shared" si="75"/>
        <v>31.170259116931888</v>
      </c>
    </row>
    <row r="199" spans="1:45">
      <c r="A199" s="19">
        <v>13.58023333</v>
      </c>
      <c r="B199" s="19">
        <v>1007.666667</v>
      </c>
      <c r="C199" s="19">
        <v>562.58333330000005</v>
      </c>
      <c r="E199" s="9">
        <f t="shared" si="61"/>
        <v>47.666666999999961</v>
      </c>
      <c r="F199" s="9">
        <f t="shared" si="62"/>
        <v>-22.583333300000049</v>
      </c>
      <c r="I199">
        <v>1</v>
      </c>
      <c r="J199">
        <f t="shared" si="63"/>
        <v>3.352756014767682E-2</v>
      </c>
      <c r="K199">
        <f t="shared" si="67"/>
        <v>-0.44244936811785057</v>
      </c>
      <c r="O199">
        <f t="shared" si="68"/>
        <v>3.0293369937154885E-2</v>
      </c>
      <c r="P199">
        <f t="shared" si="69"/>
        <v>-1.435227829273171E-2</v>
      </c>
      <c r="Q199">
        <f t="shared" si="70"/>
        <v>0.99943800400307903</v>
      </c>
      <c r="R199">
        <f t="shared" si="60"/>
        <v>1</v>
      </c>
      <c r="AG199" s="8">
        <f t="shared" si="64"/>
        <v>-0.66838855283501541</v>
      </c>
      <c r="AH199" s="8">
        <f t="shared" si="65"/>
        <v>-0.53403872881051584</v>
      </c>
      <c r="AI199" s="8">
        <f t="shared" si="66"/>
        <v>0.51774451090239693</v>
      </c>
      <c r="AJ199" s="8"/>
      <c r="AK199" s="8"/>
      <c r="AL199" s="8"/>
      <c r="AN199" s="8">
        <f t="shared" si="71"/>
        <v>1</v>
      </c>
      <c r="AO199" s="8">
        <f t="shared" si="72"/>
        <v>3.8157201407304706</v>
      </c>
      <c r="AP199" s="8">
        <f t="shared" si="73"/>
        <v>1.0265838340185995</v>
      </c>
      <c r="AQ199" s="8"/>
      <c r="AR199" s="8">
        <f t="shared" si="74"/>
        <v>218.6246598669205</v>
      </c>
      <c r="AS199" s="8">
        <f t="shared" si="75"/>
        <v>31.181078994375618</v>
      </c>
    </row>
    <row r="200" spans="1:45">
      <c r="A200" s="19">
        <v>13.6136</v>
      </c>
      <c r="B200" s="19">
        <v>1007.3932119999999</v>
      </c>
      <c r="C200" s="19">
        <v>562.61097529999995</v>
      </c>
      <c r="E200" s="9">
        <f t="shared" si="61"/>
        <v>47.393211999999949</v>
      </c>
      <c r="F200" s="9">
        <f t="shared" si="62"/>
        <v>-22.61097529999995</v>
      </c>
      <c r="I200">
        <v>1</v>
      </c>
      <c r="J200">
        <f t="shared" si="63"/>
        <v>3.3376893248513353E-2</v>
      </c>
      <c r="K200">
        <f t="shared" si="67"/>
        <v>-0.44515474720250403</v>
      </c>
      <c r="O200">
        <f t="shared" si="68"/>
        <v>3.0118523338414305E-2</v>
      </c>
      <c r="P200">
        <f t="shared" si="69"/>
        <v>-1.4369340218539282E-2</v>
      </c>
      <c r="Q200">
        <f t="shared" si="70"/>
        <v>0.99944304320636368</v>
      </c>
      <c r="R200">
        <f t="shared" si="60"/>
        <v>1</v>
      </c>
      <c r="AG200" s="8">
        <f t="shared" si="64"/>
        <v>-0.6685117624836705</v>
      </c>
      <c r="AH200" s="8">
        <f t="shared" si="65"/>
        <v>-0.53391836986559116</v>
      </c>
      <c r="AI200" s="8">
        <f t="shared" si="66"/>
        <v>0.51770956891006603</v>
      </c>
      <c r="AJ200" s="8"/>
      <c r="AK200" s="8"/>
      <c r="AL200" s="8"/>
      <c r="AN200" s="8">
        <f t="shared" si="71"/>
        <v>1</v>
      </c>
      <c r="AO200" s="8">
        <f t="shared" si="72"/>
        <v>3.8155203408458389</v>
      </c>
      <c r="AP200" s="8">
        <f t="shared" si="73"/>
        <v>1.0266246757713597</v>
      </c>
      <c r="AQ200" s="8"/>
      <c r="AR200" s="8">
        <f t="shared" si="74"/>
        <v>218.61321217678389</v>
      </c>
      <c r="AS200" s="8">
        <f t="shared" si="75"/>
        <v>31.178738934314545</v>
      </c>
    </row>
    <row r="201" spans="1:45">
      <c r="A201" s="19">
        <v>13.646966669999999</v>
      </c>
      <c r="B201" s="19">
        <v>1007.2001299999999</v>
      </c>
      <c r="C201" s="19">
        <v>562.3491133</v>
      </c>
      <c r="E201" s="9">
        <f t="shared" si="61"/>
        <v>47.200129999999945</v>
      </c>
      <c r="F201" s="9">
        <f t="shared" si="62"/>
        <v>-22.349113299999999</v>
      </c>
      <c r="I201">
        <v>1</v>
      </c>
      <c r="J201">
        <f t="shared" si="63"/>
        <v>3.3193098129567417E-2</v>
      </c>
      <c r="K201">
        <f t="shared" si="67"/>
        <v>-0.44222119402103344</v>
      </c>
      <c r="O201">
        <f t="shared" si="68"/>
        <v>2.9994524273952283E-2</v>
      </c>
      <c r="P201">
        <f t="shared" si="69"/>
        <v>-1.4202313031302257E-2</v>
      </c>
      <c r="Q201">
        <f t="shared" si="70"/>
        <v>0.99944915969655013</v>
      </c>
      <c r="R201">
        <f t="shared" si="60"/>
        <v>1</v>
      </c>
      <c r="AG201" s="8">
        <f t="shared" si="64"/>
        <v>-0.66854269041242598</v>
      </c>
      <c r="AH201" s="8">
        <f t="shared" si="65"/>
        <v>-0.5337564415247994</v>
      </c>
      <c r="AI201" s="8">
        <f t="shared" si="66"/>
        <v>0.51783658834317481</v>
      </c>
      <c r="AJ201" s="8"/>
      <c r="AK201" s="8"/>
      <c r="AL201" s="8"/>
      <c r="AN201" s="8">
        <f t="shared" si="71"/>
        <v>1</v>
      </c>
      <c r="AO201" s="8">
        <f t="shared" si="72"/>
        <v>3.8153498775177268</v>
      </c>
      <c r="AP201" s="8">
        <f t="shared" si="73"/>
        <v>1.0264762049803786</v>
      </c>
      <c r="AQ201" s="8"/>
      <c r="AR201" s="8">
        <f t="shared" si="74"/>
        <v>218.60344534752133</v>
      </c>
      <c r="AS201" s="8">
        <f t="shared" si="75"/>
        <v>31.187245684018734</v>
      </c>
    </row>
    <row r="202" spans="1:45">
      <c r="A202" s="19">
        <v>13.68033333</v>
      </c>
      <c r="B202" s="19">
        <v>1006.384047</v>
      </c>
      <c r="C202" s="19">
        <v>562.30195779999997</v>
      </c>
      <c r="E202" s="9">
        <f t="shared" si="61"/>
        <v>46.38404700000001</v>
      </c>
      <c r="F202" s="9">
        <f t="shared" si="62"/>
        <v>-22.301957799999968</v>
      </c>
      <c r="I202">
        <v>1</v>
      </c>
      <c r="J202">
        <f t="shared" si="63"/>
        <v>3.2708104253605749E-2</v>
      </c>
      <c r="K202">
        <f t="shared" si="67"/>
        <v>-0.44817886291647269</v>
      </c>
      <c r="O202">
        <f t="shared" si="68"/>
        <v>2.9472522271319003E-2</v>
      </c>
      <c r="P202">
        <f t="shared" si="69"/>
        <v>-1.4170711493857261E-2</v>
      </c>
      <c r="Q202">
        <f t="shared" si="70"/>
        <v>0.99946513764449252</v>
      </c>
      <c r="R202">
        <f t="shared" si="60"/>
        <v>1</v>
      </c>
      <c r="AG202" s="8">
        <f t="shared" si="64"/>
        <v>-0.66888435628733989</v>
      </c>
      <c r="AH202" s="8">
        <f t="shared" si="65"/>
        <v>-0.53336170812393835</v>
      </c>
      <c r="AI202" s="8">
        <f t="shared" si="66"/>
        <v>0.51780209175049274</v>
      </c>
      <c r="AJ202" s="8"/>
      <c r="AK202" s="8"/>
      <c r="AL202" s="8"/>
      <c r="AN202" s="8">
        <f t="shared" si="71"/>
        <v>1</v>
      </c>
      <c r="AO202" s="8">
        <f t="shared" si="72"/>
        <v>3.8147401152542475</v>
      </c>
      <c r="AP202" s="8">
        <f t="shared" si="73"/>
        <v>1.0265165287631226</v>
      </c>
      <c r="AQ202" s="8"/>
      <c r="AR202" s="8">
        <f t="shared" si="74"/>
        <v>218.56850854331762</v>
      </c>
      <c r="AS202" s="8">
        <f t="shared" si="75"/>
        <v>31.1849353014535</v>
      </c>
    </row>
    <row r="203" spans="1:45">
      <c r="A203" s="19">
        <v>13.713699999999999</v>
      </c>
      <c r="B203" s="19">
        <v>1005.816325</v>
      </c>
      <c r="C203" s="19">
        <v>562.19896619999997</v>
      </c>
      <c r="E203" s="9">
        <f t="shared" si="61"/>
        <v>45.816325000000006</v>
      </c>
      <c r="F203" s="9">
        <f t="shared" si="62"/>
        <v>-22.198966199999973</v>
      </c>
      <c r="I203">
        <v>1</v>
      </c>
      <c r="J203">
        <f t="shared" si="63"/>
        <v>3.2351812433884276E-2</v>
      </c>
      <c r="K203">
        <f t="shared" si="67"/>
        <v>-0.4511878087592946</v>
      </c>
      <c r="O203">
        <f t="shared" si="68"/>
        <v>2.9109282019516115E-2</v>
      </c>
      <c r="P203">
        <f t="shared" si="69"/>
        <v>-1.4104054999118876E-2</v>
      </c>
      <c r="Q203">
        <f t="shared" si="70"/>
        <v>0.99947672575847912</v>
      </c>
      <c r="R203">
        <f t="shared" si="60"/>
        <v>1</v>
      </c>
      <c r="AG203" s="8">
        <f t="shared" si="64"/>
        <v>-0.66910791917728507</v>
      </c>
      <c r="AH203" s="8">
        <f t="shared" si="65"/>
        <v>-0.53306785249864519</v>
      </c>
      <c r="AI203" s="8">
        <f t="shared" si="66"/>
        <v>0.51781585252551543</v>
      </c>
      <c r="AJ203" s="8"/>
      <c r="AK203" s="8"/>
      <c r="AL203" s="8"/>
      <c r="AN203" s="8">
        <f t="shared" si="71"/>
        <v>1</v>
      </c>
      <c r="AO203" s="8">
        <f t="shared" si="72"/>
        <v>3.8143086265249719</v>
      </c>
      <c r="AP203" s="8">
        <f t="shared" si="73"/>
        <v>1.0265004436257565</v>
      </c>
      <c r="AQ203" s="8"/>
      <c r="AR203" s="8">
        <f t="shared" si="74"/>
        <v>218.54378606022266</v>
      </c>
      <c r="AS203" s="8">
        <f t="shared" si="75"/>
        <v>31.185856911937464</v>
      </c>
    </row>
    <row r="204" spans="1:45">
      <c r="A204" s="19">
        <v>13.747066670000001</v>
      </c>
      <c r="B204" s="19">
        <v>1005.440881</v>
      </c>
      <c r="C204" s="19">
        <v>562.1896011</v>
      </c>
      <c r="E204" s="9">
        <f t="shared" si="61"/>
        <v>45.44088099999999</v>
      </c>
      <c r="F204" s="9">
        <f t="shared" si="62"/>
        <v>-22.189601100000004</v>
      </c>
      <c r="I204">
        <v>1</v>
      </c>
      <c r="J204">
        <f t="shared" si="63"/>
        <v>3.2132868293403206E-2</v>
      </c>
      <c r="K204">
        <f t="shared" si="67"/>
        <v>-0.45425842704824404</v>
      </c>
      <c r="O204">
        <f t="shared" si="68"/>
        <v>2.8869198654093042E-2</v>
      </c>
      <c r="P204">
        <f t="shared" si="69"/>
        <v>-1.4097349965793616E-2</v>
      </c>
      <c r="Q204">
        <f t="shared" si="70"/>
        <v>0.99948378380692726</v>
      </c>
      <c r="R204">
        <f t="shared" si="60"/>
        <v>1</v>
      </c>
      <c r="AG204" s="8">
        <f t="shared" si="64"/>
        <v>-0.66926740551231445</v>
      </c>
      <c r="AH204" s="8">
        <f t="shared" si="65"/>
        <v>-0.53288955960718076</v>
      </c>
      <c r="AI204" s="8">
        <f t="shared" si="66"/>
        <v>0.51779325717942726</v>
      </c>
      <c r="AJ204" s="8"/>
      <c r="AK204" s="8"/>
      <c r="AL204" s="8"/>
      <c r="AN204" s="8">
        <f t="shared" si="71"/>
        <v>1.0000000000000002</v>
      </c>
      <c r="AO204" s="8">
        <f t="shared" si="72"/>
        <v>3.8140294623708613</v>
      </c>
      <c r="AP204" s="8">
        <f t="shared" si="73"/>
        <v>1.0265268555181981</v>
      </c>
      <c r="AQ204" s="8"/>
      <c r="AR204" s="8">
        <f t="shared" si="74"/>
        <v>218.52779113240078</v>
      </c>
      <c r="AS204" s="8">
        <f t="shared" si="75"/>
        <v>31.184343621971607</v>
      </c>
    </row>
    <row r="205" spans="1:45">
      <c r="A205" s="19">
        <v>13.780433329999999</v>
      </c>
      <c r="B205" s="19">
        <v>1004.824437</v>
      </c>
      <c r="C205" s="19">
        <v>562.09893399999999</v>
      </c>
      <c r="E205" s="9">
        <f t="shared" si="61"/>
        <v>44.824436999999989</v>
      </c>
      <c r="F205" s="9">
        <f t="shared" si="62"/>
        <v>-22.098933999999986</v>
      </c>
      <c r="I205">
        <v>1</v>
      </c>
      <c r="J205">
        <f t="shared" si="63"/>
        <v>3.1752720939214781E-2</v>
      </c>
      <c r="K205">
        <f t="shared" si="67"/>
        <v>-0.45804067634379331</v>
      </c>
      <c r="O205">
        <f t="shared" si="68"/>
        <v>2.8474884534110966E-2</v>
      </c>
      <c r="P205">
        <f t="shared" si="69"/>
        <v>-1.4038427163668307E-2</v>
      </c>
      <c r="Q205">
        <f t="shared" si="70"/>
        <v>0.99949592471082116</v>
      </c>
      <c r="R205">
        <f t="shared" si="60"/>
        <v>1</v>
      </c>
      <c r="AG205" s="8">
        <f t="shared" si="64"/>
        <v>-0.66951415815466464</v>
      </c>
      <c r="AH205" s="8">
        <f t="shared" si="65"/>
        <v>-0.53257618387337702</v>
      </c>
      <c r="AI205" s="8">
        <f t="shared" si="66"/>
        <v>0.51779667863102574</v>
      </c>
      <c r="AJ205" s="8"/>
      <c r="AK205" s="8"/>
      <c r="AL205" s="8"/>
      <c r="AN205" s="8">
        <f t="shared" si="71"/>
        <v>1.0000000000000002</v>
      </c>
      <c r="AO205" s="8">
        <f t="shared" si="72"/>
        <v>3.81356323815278</v>
      </c>
      <c r="AP205" s="8">
        <f t="shared" si="73"/>
        <v>1.0265228561814175</v>
      </c>
      <c r="AQ205" s="8"/>
      <c r="AR205" s="8">
        <f t="shared" si="74"/>
        <v>218.50107845239793</v>
      </c>
      <c r="AS205" s="8">
        <f t="shared" si="75"/>
        <v>31.184572767089989</v>
      </c>
    </row>
    <row r="206" spans="1:45">
      <c r="A206" s="19">
        <v>13.813800000000001</v>
      </c>
      <c r="B206" s="19">
        <v>1004.221477</v>
      </c>
      <c r="C206" s="19">
        <v>562.10333189999994</v>
      </c>
      <c r="E206" s="9">
        <f t="shared" si="61"/>
        <v>44.22147700000005</v>
      </c>
      <c r="F206" s="9">
        <f t="shared" si="62"/>
        <v>-22.103331899999944</v>
      </c>
      <c r="I206">
        <v>1</v>
      </c>
      <c r="J206">
        <f t="shared" si="63"/>
        <v>3.1407987192965899E-2</v>
      </c>
      <c r="K206">
        <f t="shared" si="67"/>
        <v>-0.46351360902250832</v>
      </c>
      <c r="O206">
        <f t="shared" si="68"/>
        <v>2.8089420960994888E-2</v>
      </c>
      <c r="P206">
        <f t="shared" si="69"/>
        <v>-1.4040005818432628E-2</v>
      </c>
      <c r="Q206">
        <f t="shared" si="70"/>
        <v>0.9995068097150186</v>
      </c>
      <c r="R206">
        <f t="shared" si="60"/>
        <v>1</v>
      </c>
      <c r="AG206" s="8">
        <f t="shared" si="64"/>
        <v>-0.66977392416509263</v>
      </c>
      <c r="AH206" s="8">
        <f t="shared" si="65"/>
        <v>-0.53229506664534765</v>
      </c>
      <c r="AI206" s="8">
        <f t="shared" si="66"/>
        <v>0.51774979723174963</v>
      </c>
      <c r="AJ206" s="8"/>
      <c r="AK206" s="8"/>
      <c r="AL206" s="8"/>
      <c r="AN206" s="8">
        <f t="shared" si="71"/>
        <v>1.0000000000000002</v>
      </c>
      <c r="AO206" s="8">
        <f t="shared" si="72"/>
        <v>3.8131170674814268</v>
      </c>
      <c r="AP206" s="8">
        <f t="shared" si="73"/>
        <v>1.026577655034123</v>
      </c>
      <c r="AQ206" s="8"/>
      <c r="AR206" s="8">
        <f t="shared" si="74"/>
        <v>218.47551475598686</v>
      </c>
      <c r="AS206" s="8">
        <f t="shared" si="75"/>
        <v>31.181433024107804</v>
      </c>
    </row>
    <row r="207" spans="1:45">
      <c r="A207" s="19">
        <v>13.84716667</v>
      </c>
      <c r="B207" s="19">
        <v>1004.083333</v>
      </c>
      <c r="C207" s="19">
        <v>561.66666669999995</v>
      </c>
      <c r="E207" s="9">
        <f t="shared" si="61"/>
        <v>44.083333000000039</v>
      </c>
      <c r="F207" s="9">
        <f t="shared" si="62"/>
        <v>-21.666666699999951</v>
      </c>
      <c r="I207">
        <v>1</v>
      </c>
      <c r="J207">
        <f t="shared" si="63"/>
        <v>3.1204474901271147E-2</v>
      </c>
      <c r="K207">
        <f t="shared" si="67"/>
        <v>-0.45681919066268289</v>
      </c>
      <c r="O207">
        <f t="shared" si="68"/>
        <v>2.8000225856093727E-2</v>
      </c>
      <c r="P207">
        <f t="shared" si="69"/>
        <v>-1.3761925876809336E-2</v>
      </c>
      <c r="Q207">
        <f t="shared" si="70"/>
        <v>0.99951317987716848</v>
      </c>
      <c r="R207">
        <f t="shared" si="60"/>
        <v>1</v>
      </c>
      <c r="AG207" s="8">
        <f t="shared" si="64"/>
        <v>-0.66974621376535715</v>
      </c>
      <c r="AH207" s="8">
        <f t="shared" si="65"/>
        <v>-0.5321109392899912</v>
      </c>
      <c r="AI207" s="8">
        <f t="shared" si="66"/>
        <v>0.5179748617789206</v>
      </c>
      <c r="AJ207" s="8"/>
      <c r="AK207" s="8"/>
      <c r="AL207" s="8"/>
      <c r="AN207" s="8">
        <f t="shared" si="71"/>
        <v>1</v>
      </c>
      <c r="AO207" s="8">
        <f t="shared" si="72"/>
        <v>3.8129687061323381</v>
      </c>
      <c r="AP207" s="8">
        <f t="shared" si="73"/>
        <v>1.0263145644121261</v>
      </c>
      <c r="AQ207" s="8"/>
      <c r="AR207" s="8">
        <f t="shared" si="74"/>
        <v>218.46701427684124</v>
      </c>
      <c r="AS207" s="8">
        <f t="shared" si="75"/>
        <v>31.196507006377701</v>
      </c>
    </row>
    <row r="208" spans="1:45">
      <c r="A208" s="19">
        <v>13.88053333</v>
      </c>
      <c r="B208" s="19">
        <v>1003.083333</v>
      </c>
      <c r="C208" s="19">
        <v>560.75</v>
      </c>
      <c r="E208" s="9">
        <f t="shared" si="61"/>
        <v>43.083333000000039</v>
      </c>
      <c r="F208" s="9">
        <f t="shared" si="62"/>
        <v>-20.75</v>
      </c>
      <c r="I208">
        <v>1</v>
      </c>
      <c r="J208">
        <f t="shared" si="63"/>
        <v>3.0371635727531342E-2</v>
      </c>
      <c r="K208">
        <f t="shared" si="67"/>
        <v>-0.44883965315258767</v>
      </c>
      <c r="O208">
        <f t="shared" si="68"/>
        <v>2.7359155233379763E-2</v>
      </c>
      <c r="P208">
        <f t="shared" si="69"/>
        <v>-1.3176846626342248E-2</v>
      </c>
      <c r="Q208">
        <f t="shared" si="70"/>
        <v>0.99953881732422067</v>
      </c>
      <c r="R208">
        <f t="shared" si="60"/>
        <v>1</v>
      </c>
      <c r="AG208" s="8">
        <f t="shared" si="64"/>
        <v>-0.66999247059768874</v>
      </c>
      <c r="AH208" s="8">
        <f t="shared" si="65"/>
        <v>-0.53139177502331902</v>
      </c>
      <c r="AI208" s="8">
        <f t="shared" si="66"/>
        <v>0.5183945126831222</v>
      </c>
      <c r="AJ208" s="8"/>
      <c r="AK208" s="8"/>
      <c r="AL208" s="8"/>
      <c r="AN208" s="8">
        <f t="shared" si="71"/>
        <v>1.0000000000000004</v>
      </c>
      <c r="AO208" s="8">
        <f t="shared" si="72"/>
        <v>3.8121311032496941</v>
      </c>
      <c r="AP208" s="8">
        <f t="shared" si="73"/>
        <v>1.0258238988588415</v>
      </c>
      <c r="AQ208" s="8"/>
      <c r="AR208" s="8">
        <f t="shared" si="74"/>
        <v>218.41902316675774</v>
      </c>
      <c r="AS208" s="8">
        <f t="shared" si="75"/>
        <v>31.224620071733355</v>
      </c>
    </row>
    <row r="209" spans="1:45">
      <c r="A209" s="19">
        <v>13.9139</v>
      </c>
      <c r="B209" s="19">
        <v>1002.620312</v>
      </c>
      <c r="C209" s="19">
        <v>561.37803759999997</v>
      </c>
      <c r="E209" s="9">
        <f t="shared" si="61"/>
        <v>42.620312000000013</v>
      </c>
      <c r="F209" s="9">
        <f t="shared" si="62"/>
        <v>-21.378037599999971</v>
      </c>
      <c r="I209">
        <v>1</v>
      </c>
      <c r="J209">
        <f t="shared" si="63"/>
        <v>3.0282950072092679E-2</v>
      </c>
      <c r="K209">
        <f t="shared" si="67"/>
        <v>-0.46492096138195477</v>
      </c>
      <c r="O209">
        <f t="shared" si="68"/>
        <v>2.706449001390655E-2</v>
      </c>
      <c r="P209">
        <f t="shared" si="69"/>
        <v>-1.3575350765665859E-2</v>
      </c>
      <c r="Q209">
        <f t="shared" si="70"/>
        <v>0.99954150650779694</v>
      </c>
      <c r="R209">
        <f t="shared" si="60"/>
        <v>1</v>
      </c>
      <c r="AG209" s="8">
        <f t="shared" si="64"/>
        <v>-0.67031625828963637</v>
      </c>
      <c r="AH209" s="8">
        <f t="shared" si="65"/>
        <v>-0.53134671277048584</v>
      </c>
      <c r="AI209" s="8">
        <f t="shared" si="66"/>
        <v>0.5180219924873658</v>
      </c>
      <c r="AJ209" s="8"/>
      <c r="AK209" s="8"/>
      <c r="AL209" s="8"/>
      <c r="AN209" s="8">
        <f t="shared" si="71"/>
        <v>1</v>
      </c>
      <c r="AO209" s="8">
        <f t="shared" si="72"/>
        <v>3.8118546022127928</v>
      </c>
      <c r="AP209" s="8">
        <f t="shared" si="73"/>
        <v>1.0262594653661137</v>
      </c>
      <c r="AQ209" s="8"/>
      <c r="AR209" s="8">
        <f t="shared" si="74"/>
        <v>218.4031808243123</v>
      </c>
      <c r="AS209" s="8">
        <f t="shared" si="75"/>
        <v>31.199663949169405</v>
      </c>
    </row>
    <row r="210" spans="1:45">
      <c r="A210" s="19">
        <v>13.947266669999999</v>
      </c>
      <c r="B210" s="19">
        <v>1001.943126</v>
      </c>
      <c r="C210" s="19">
        <v>561.36311599999999</v>
      </c>
      <c r="E210" s="9">
        <f t="shared" si="61"/>
        <v>41.943126000000007</v>
      </c>
      <c r="F210" s="9">
        <f t="shared" si="62"/>
        <v>-21.363115999999991</v>
      </c>
      <c r="I210">
        <v>1</v>
      </c>
      <c r="J210">
        <f t="shared" si="63"/>
        <v>2.9891596541929879E-2</v>
      </c>
      <c r="K210">
        <f t="shared" si="67"/>
        <v>-0.47108795343463999</v>
      </c>
      <c r="O210">
        <f t="shared" si="68"/>
        <v>2.6631689278381995E-2</v>
      </c>
      <c r="P210">
        <f t="shared" si="69"/>
        <v>-1.3564460296307684E-2</v>
      </c>
      <c r="Q210">
        <f t="shared" si="70"/>
        <v>0.99955327949191863</v>
      </c>
      <c r="R210">
        <f t="shared" si="60"/>
        <v>1</v>
      </c>
      <c r="AG210" s="8">
        <f t="shared" si="64"/>
        <v>-0.67060350456842399</v>
      </c>
      <c r="AH210" s="8">
        <f t="shared" si="65"/>
        <v>-0.53102534196984508</v>
      </c>
      <c r="AI210" s="8">
        <f t="shared" si="66"/>
        <v>0.51797975428230481</v>
      </c>
      <c r="AJ210" s="8"/>
      <c r="AK210" s="8"/>
      <c r="AL210" s="8"/>
      <c r="AN210" s="8">
        <f t="shared" si="71"/>
        <v>1</v>
      </c>
      <c r="AO210" s="8">
        <f t="shared" si="72"/>
        <v>3.8113515818736605</v>
      </c>
      <c r="AP210" s="8">
        <f t="shared" si="73"/>
        <v>1.0263088448240365</v>
      </c>
      <c r="AQ210" s="8"/>
      <c r="AR210" s="8">
        <f t="shared" si="74"/>
        <v>218.37435988187079</v>
      </c>
      <c r="AS210" s="8">
        <f t="shared" si="75"/>
        <v>31.196834714635784</v>
      </c>
    </row>
    <row r="211" spans="1:45">
      <c r="A211" s="19">
        <v>13.98063333</v>
      </c>
      <c r="B211" s="19">
        <v>1001.492626</v>
      </c>
      <c r="C211" s="19">
        <v>561.31425539999998</v>
      </c>
      <c r="E211" s="9">
        <f t="shared" si="61"/>
        <v>41.492625999999973</v>
      </c>
      <c r="F211" s="9">
        <f t="shared" si="62"/>
        <v>-21.314255399999979</v>
      </c>
      <c r="I211">
        <v>1</v>
      </c>
      <c r="J211">
        <f t="shared" si="63"/>
        <v>2.9620516654173774E-2</v>
      </c>
      <c r="K211">
        <f t="shared" si="67"/>
        <v>-0.47453778407635894</v>
      </c>
      <c r="O211">
        <f t="shared" si="68"/>
        <v>2.634371589795758E-2</v>
      </c>
      <c r="P211">
        <f t="shared" si="69"/>
        <v>-1.3532445230969668E-2</v>
      </c>
      <c r="Q211">
        <f t="shared" si="70"/>
        <v>0.99956134457008616</v>
      </c>
      <c r="R211">
        <f t="shared" si="60"/>
        <v>1</v>
      </c>
      <c r="AG211" s="8">
        <f t="shared" si="64"/>
        <v>-0.67078674235545488</v>
      </c>
      <c r="AH211" s="8">
        <f t="shared" si="65"/>
        <v>-0.53080086239152358</v>
      </c>
      <c r="AI211" s="8">
        <f t="shared" si="66"/>
        <v>0.51797257723220402</v>
      </c>
      <c r="AJ211" s="8"/>
      <c r="AK211" s="8"/>
      <c r="AL211" s="8"/>
      <c r="AN211" s="8">
        <f t="shared" si="71"/>
        <v>1</v>
      </c>
      <c r="AO211" s="8">
        <f t="shared" si="72"/>
        <v>3.811012863176245</v>
      </c>
      <c r="AP211" s="8">
        <f t="shared" si="73"/>
        <v>1.0263172351579533</v>
      </c>
      <c r="AQ211" s="8"/>
      <c r="AR211" s="8">
        <f t="shared" si="74"/>
        <v>218.35495273006671</v>
      </c>
      <c r="AS211" s="8">
        <f t="shared" si="75"/>
        <v>31.196353983913646</v>
      </c>
    </row>
    <row r="212" spans="1:45">
      <c r="A212" s="19">
        <v>14.013999999999999</v>
      </c>
      <c r="B212" s="19">
        <v>1001.26219</v>
      </c>
      <c r="C212" s="19">
        <v>561.32132230000002</v>
      </c>
      <c r="E212" s="9">
        <f t="shared" si="61"/>
        <v>41.262190000000032</v>
      </c>
      <c r="F212" s="9">
        <f t="shared" si="62"/>
        <v>-21.32132230000002</v>
      </c>
      <c r="I212">
        <v>1</v>
      </c>
      <c r="J212">
        <f t="shared" si="63"/>
        <v>2.9491420464197088E-2</v>
      </c>
      <c r="K212">
        <f t="shared" si="67"/>
        <v>-0.47694015037260035</v>
      </c>
      <c r="O212">
        <f t="shared" si="68"/>
        <v>2.61964905712169E-2</v>
      </c>
      <c r="P212">
        <f t="shared" si="69"/>
        <v>-1.3536455980592081E-2</v>
      </c>
      <c r="Q212">
        <f t="shared" si="70"/>
        <v>0.99956515957752234</v>
      </c>
      <c r="R212">
        <f t="shared" si="60"/>
        <v>1</v>
      </c>
      <c r="AG212" s="8">
        <f t="shared" si="64"/>
        <v>-0.67088683113474112</v>
      </c>
      <c r="AH212" s="8">
        <f t="shared" si="65"/>
        <v>-0.53069479954538901</v>
      </c>
      <c r="AI212" s="8">
        <f t="shared" si="66"/>
        <v>0.5179516285769018</v>
      </c>
      <c r="AJ212" s="8"/>
      <c r="AK212" s="8"/>
      <c r="AL212" s="8"/>
      <c r="AN212" s="8">
        <f t="shared" si="71"/>
        <v>1</v>
      </c>
      <c r="AO212" s="8">
        <f t="shared" si="72"/>
        <v>3.8108430255784316</v>
      </c>
      <c r="AP212" s="8">
        <f t="shared" si="73"/>
        <v>1.0263417249498445</v>
      </c>
      <c r="AQ212" s="8"/>
      <c r="AR212" s="8">
        <f t="shared" si="74"/>
        <v>218.34522175250936</v>
      </c>
      <c r="AS212" s="8">
        <f t="shared" si="75"/>
        <v>31.194950822197121</v>
      </c>
    </row>
    <row r="213" spans="1:45">
      <c r="A213" s="19">
        <v>14.047366670000001</v>
      </c>
      <c r="B213" s="19">
        <v>1000.472978</v>
      </c>
      <c r="C213" s="19">
        <v>561.33055920000004</v>
      </c>
      <c r="E213" s="9">
        <f t="shared" si="61"/>
        <v>40.472978000000012</v>
      </c>
      <c r="F213" s="9">
        <f t="shared" si="62"/>
        <v>-21.330559200000039</v>
      </c>
      <c r="I213">
        <v>1</v>
      </c>
      <c r="J213">
        <f t="shared" si="63"/>
        <v>2.9046171409905612E-2</v>
      </c>
      <c r="K213">
        <f t="shared" si="67"/>
        <v>-0.48503870388267467</v>
      </c>
      <c r="O213">
        <f t="shared" si="68"/>
        <v>2.5692283049852643E-2</v>
      </c>
      <c r="P213">
        <f t="shared" si="69"/>
        <v>-1.3540658277679472E-2</v>
      </c>
      <c r="Q213">
        <f t="shared" si="70"/>
        <v>0.99957818962054856</v>
      </c>
      <c r="R213">
        <f t="shared" si="60"/>
        <v>1</v>
      </c>
      <c r="AG213" s="8">
        <f t="shared" si="64"/>
        <v>-0.67122648740981095</v>
      </c>
      <c r="AH213" s="8">
        <f t="shared" si="65"/>
        <v>-0.53032740102997855</v>
      </c>
      <c r="AI213" s="8">
        <f t="shared" si="66"/>
        <v>0.51788787427036298</v>
      </c>
      <c r="AJ213" s="8"/>
      <c r="AK213" s="8"/>
      <c r="AL213" s="8"/>
      <c r="AN213" s="8">
        <f t="shared" si="71"/>
        <v>1</v>
      </c>
      <c r="AO213" s="8">
        <f t="shared" si="72"/>
        <v>3.8102598600917754</v>
      </c>
      <c r="AP213" s="8">
        <f t="shared" si="73"/>
        <v>1.0264162539768193</v>
      </c>
      <c r="AQ213" s="8"/>
      <c r="AR213" s="8">
        <f t="shared" si="74"/>
        <v>218.31180883136625</v>
      </c>
      <c r="AS213" s="8">
        <f t="shared" si="75"/>
        <v>31.190680623500249</v>
      </c>
    </row>
    <row r="214" spans="1:45">
      <c r="A214" s="19">
        <v>14.080733329999999</v>
      </c>
      <c r="B214" s="19">
        <v>1000.128289</v>
      </c>
      <c r="C214" s="19">
        <v>561.27936390000002</v>
      </c>
      <c r="E214" s="9">
        <f t="shared" si="61"/>
        <v>40.128288999999995</v>
      </c>
      <c r="F214" s="9">
        <f t="shared" si="62"/>
        <v>-21.279363900000021</v>
      </c>
      <c r="I214">
        <v>1</v>
      </c>
      <c r="J214">
        <f t="shared" si="63"/>
        <v>2.8835758028171395E-2</v>
      </c>
      <c r="K214">
        <f t="shared" si="67"/>
        <v>-0.48757977259518043</v>
      </c>
      <c r="O214">
        <f t="shared" si="68"/>
        <v>2.5471976479184071E-2</v>
      </c>
      <c r="P214">
        <f t="shared" si="69"/>
        <v>-1.35073652592763E-2</v>
      </c>
      <c r="Q214">
        <f t="shared" si="70"/>
        <v>0.99958427833674757</v>
      </c>
      <c r="R214">
        <f t="shared" si="60"/>
        <v>1</v>
      </c>
      <c r="AG214" s="8">
        <f t="shared" si="64"/>
        <v>-0.67136375422296735</v>
      </c>
      <c r="AH214" s="8">
        <f t="shared" si="65"/>
        <v>-0.53015180248582527</v>
      </c>
      <c r="AI214" s="8">
        <f t="shared" si="66"/>
        <v>0.51788973327984955</v>
      </c>
      <c r="AJ214" s="8"/>
      <c r="AK214" s="8"/>
      <c r="AL214" s="8"/>
      <c r="AN214" s="8">
        <f t="shared" si="71"/>
        <v>1</v>
      </c>
      <c r="AO214" s="8">
        <f t="shared" si="72"/>
        <v>3.8099993175328879</v>
      </c>
      <c r="AP214" s="8">
        <f t="shared" si="73"/>
        <v>1.026414080835254</v>
      </c>
      <c r="AQ214" s="8"/>
      <c r="AR214" s="8">
        <f t="shared" si="74"/>
        <v>218.29688084235846</v>
      </c>
      <c r="AS214" s="8">
        <f t="shared" si="75"/>
        <v>31.190805135340234</v>
      </c>
    </row>
    <row r="215" spans="1:45">
      <c r="A215" s="19">
        <v>14.114100000000001</v>
      </c>
      <c r="B215" s="19">
        <v>999.54629499999999</v>
      </c>
      <c r="C215" s="19">
        <v>561.23772120000001</v>
      </c>
      <c r="E215" s="9">
        <f t="shared" si="61"/>
        <v>39.546294999999986</v>
      </c>
      <c r="F215" s="9">
        <f t="shared" si="62"/>
        <v>-21.23772120000001</v>
      </c>
      <c r="I215">
        <v>1</v>
      </c>
      <c r="J215">
        <f t="shared" si="63"/>
        <v>2.8494500227516879E-2</v>
      </c>
      <c r="K215">
        <f t="shared" si="67"/>
        <v>-0.49283435795436625</v>
      </c>
      <c r="O215">
        <f t="shared" si="68"/>
        <v>2.5100126515266576E-2</v>
      </c>
      <c r="P215">
        <f t="shared" si="69"/>
        <v>-1.3479631632140493E-2</v>
      </c>
      <c r="Q215">
        <f t="shared" si="70"/>
        <v>0.99959405919602151</v>
      </c>
      <c r="R215">
        <f t="shared" si="60"/>
        <v>1</v>
      </c>
      <c r="AG215" s="8">
        <f t="shared" si="64"/>
        <v>-0.67160434969878602</v>
      </c>
      <c r="AH215" s="8">
        <f t="shared" si="65"/>
        <v>-0.52986753361803796</v>
      </c>
      <c r="AI215" s="8">
        <f t="shared" si="66"/>
        <v>0.51786870371090021</v>
      </c>
      <c r="AJ215" s="8"/>
      <c r="AK215" s="8"/>
      <c r="AL215" s="8"/>
      <c r="AN215" s="8">
        <f t="shared" si="71"/>
        <v>1</v>
      </c>
      <c r="AO215" s="8">
        <f t="shared" si="72"/>
        <v>3.8095642267096541</v>
      </c>
      <c r="AP215" s="8">
        <f t="shared" si="73"/>
        <v>1.0264386637761769</v>
      </c>
      <c r="AQ215" s="8"/>
      <c r="AR215" s="8">
        <f t="shared" si="74"/>
        <v>218.27195197448231</v>
      </c>
      <c r="AS215" s="8">
        <f t="shared" si="75"/>
        <v>31.189396636577328</v>
      </c>
    </row>
    <row r="216" spans="1:45">
      <c r="A216" s="19">
        <v>14.14746667</v>
      </c>
      <c r="B216" s="19">
        <v>999.17608170000005</v>
      </c>
      <c r="C216" s="19">
        <v>561.13343280000004</v>
      </c>
      <c r="E216" s="9">
        <f t="shared" si="61"/>
        <v>39.176081700000054</v>
      </c>
      <c r="F216" s="9">
        <f t="shared" si="62"/>
        <v>-21.133432800000037</v>
      </c>
      <c r="I216">
        <v>1</v>
      </c>
      <c r="J216">
        <f t="shared" si="63"/>
        <v>2.8254180942998194E-2</v>
      </c>
      <c r="K216">
        <f t="shared" si="67"/>
        <v>-0.4947052714797362</v>
      </c>
      <c r="O216">
        <f t="shared" si="68"/>
        <v>2.4863441425409683E-2</v>
      </c>
      <c r="P216">
        <f t="shared" si="69"/>
        <v>-1.3412517172196724E-2</v>
      </c>
      <c r="Q216">
        <f t="shared" si="70"/>
        <v>0.99960087718228352</v>
      </c>
      <c r="R216">
        <f t="shared" si="60"/>
        <v>1</v>
      </c>
      <c r="AG216" s="8">
        <f t="shared" si="64"/>
        <v>-0.67174182777622671</v>
      </c>
      <c r="AH216" s="8">
        <f t="shared" si="65"/>
        <v>-0.52966539568111859</v>
      </c>
      <c r="AI216" s="8">
        <f t="shared" si="66"/>
        <v>0.51789717650689915</v>
      </c>
      <c r="AJ216" s="8"/>
      <c r="AK216" s="8"/>
      <c r="AL216" s="8"/>
      <c r="AN216" s="8">
        <f t="shared" si="71"/>
        <v>1</v>
      </c>
      <c r="AO216" s="8">
        <f t="shared" si="72"/>
        <v>3.8092791724989823</v>
      </c>
      <c r="AP216" s="8">
        <f t="shared" si="73"/>
        <v>1.0264053798364476</v>
      </c>
      <c r="AQ216" s="8"/>
      <c r="AR216" s="8">
        <f t="shared" si="74"/>
        <v>218.25561957127837</v>
      </c>
      <c r="AS216" s="8">
        <f t="shared" si="75"/>
        <v>31.191303665849382</v>
      </c>
    </row>
    <row r="217" spans="1:45">
      <c r="A217" s="19">
        <v>14.18083333</v>
      </c>
      <c r="B217" s="19">
        <v>998.74340340000003</v>
      </c>
      <c r="C217" s="19">
        <v>561.01690810000002</v>
      </c>
      <c r="E217" s="9">
        <f t="shared" si="61"/>
        <v>38.743403400000034</v>
      </c>
      <c r="F217" s="9">
        <f t="shared" si="62"/>
        <v>-21.016908100000023</v>
      </c>
      <c r="I217">
        <v>1</v>
      </c>
      <c r="J217">
        <f t="shared" si="63"/>
        <v>2.7975096715712442E-2</v>
      </c>
      <c r="K217">
        <f t="shared" si="67"/>
        <v>-0.49703913927888915</v>
      </c>
      <c r="O217">
        <f t="shared" si="68"/>
        <v>2.4586853103357065E-2</v>
      </c>
      <c r="P217">
        <f t="shared" si="69"/>
        <v>-1.3337486818245177E-2</v>
      </c>
      <c r="Q217">
        <f t="shared" si="70"/>
        <v>0.99960872250088284</v>
      </c>
      <c r="R217">
        <f t="shared" si="60"/>
        <v>1</v>
      </c>
      <c r="AG217" s="8">
        <f t="shared" si="64"/>
        <v>-0.67190350424189127</v>
      </c>
      <c r="AH217" s="8">
        <f t="shared" si="65"/>
        <v>-0.52943059453992036</v>
      </c>
      <c r="AI217" s="8">
        <f t="shared" si="66"/>
        <v>0.51792753021303406</v>
      </c>
      <c r="AJ217" s="8"/>
      <c r="AK217" s="8"/>
      <c r="AL217" s="8"/>
      <c r="AN217" s="8">
        <f t="shared" si="71"/>
        <v>1</v>
      </c>
      <c r="AO217" s="8">
        <f t="shared" si="72"/>
        <v>3.8089466072836071</v>
      </c>
      <c r="AP217" s="8">
        <f t="shared" si="73"/>
        <v>1.0263698964242665</v>
      </c>
      <c r="AQ217" s="8"/>
      <c r="AR217" s="8">
        <f t="shared" si="74"/>
        <v>218.23656498802453</v>
      </c>
      <c r="AS217" s="8">
        <f t="shared" si="75"/>
        <v>31.193336715610087</v>
      </c>
    </row>
    <row r="218" spans="1:45">
      <c r="A218" s="19">
        <v>14.2142</v>
      </c>
      <c r="B218" s="19">
        <v>997.83333330000005</v>
      </c>
      <c r="C218" s="19">
        <v>560.5</v>
      </c>
      <c r="E218" s="9">
        <f t="shared" si="61"/>
        <v>37.833333300000049</v>
      </c>
      <c r="F218" s="9">
        <f t="shared" si="62"/>
        <v>-20.5</v>
      </c>
      <c r="I218">
        <v>1</v>
      </c>
      <c r="J218">
        <f t="shared" si="63"/>
        <v>2.7305376095057253E-2</v>
      </c>
      <c r="K218">
        <f t="shared" si="67"/>
        <v>-0.49656465812944051</v>
      </c>
      <c r="O218">
        <f t="shared" si="68"/>
        <v>2.4004568956633554E-2</v>
      </c>
      <c r="P218">
        <f t="shared" si="69"/>
        <v>-1.3006880987961671E-2</v>
      </c>
      <c r="Q218">
        <f t="shared" si="70"/>
        <v>0.99962723137986353</v>
      </c>
      <c r="R218">
        <f t="shared" si="60"/>
        <v>1</v>
      </c>
      <c r="AG218" s="8">
        <f t="shared" si="64"/>
        <v>-0.6721891489976427</v>
      </c>
      <c r="AH218" s="8">
        <f t="shared" si="65"/>
        <v>-0.52886224870064447</v>
      </c>
      <c r="AI218" s="8">
        <f t="shared" si="66"/>
        <v>0.51813750092916711</v>
      </c>
      <c r="AJ218" s="8"/>
      <c r="AK218" s="8"/>
      <c r="AL218" s="8"/>
      <c r="AN218" s="8">
        <f t="shared" si="71"/>
        <v>1</v>
      </c>
      <c r="AO218" s="8">
        <f t="shared" si="72"/>
        <v>3.8082179688688313</v>
      </c>
      <c r="AP218" s="8">
        <f t="shared" si="73"/>
        <v>1.0261244202621116</v>
      </c>
      <c r="AQ218" s="8"/>
      <c r="AR218" s="8">
        <f t="shared" si="74"/>
        <v>218.19481708206675</v>
      </c>
      <c r="AS218" s="8">
        <f t="shared" si="75"/>
        <v>31.207401463672632</v>
      </c>
    </row>
    <row r="219" spans="1:45">
      <c r="A219" s="19">
        <v>14.247566669999999</v>
      </c>
      <c r="B219" s="19">
        <v>997.46811600000001</v>
      </c>
      <c r="C219" s="19">
        <v>560.18512910000004</v>
      </c>
      <c r="E219" s="9">
        <f t="shared" si="61"/>
        <v>37.468116000000009</v>
      </c>
      <c r="F219" s="9">
        <f t="shared" si="62"/>
        <v>-20.18512910000004</v>
      </c>
      <c r="I219">
        <v>1</v>
      </c>
      <c r="J219">
        <f t="shared" si="63"/>
        <v>2.7003976306261973E-2</v>
      </c>
      <c r="K219">
        <f t="shared" si="67"/>
        <v>-0.49414803686954517</v>
      </c>
      <c r="O219">
        <f t="shared" si="68"/>
        <v>2.3770685095084728E-2</v>
      </c>
      <c r="P219">
        <f t="shared" si="69"/>
        <v>-1.2805937385261959E-2</v>
      </c>
      <c r="Q219">
        <f t="shared" si="70"/>
        <v>0.99963541478770901</v>
      </c>
      <c r="R219">
        <f t="shared" ref="R219:R282" si="76">SQRT(O219^2+P219^2+Q219^2)</f>
        <v>1</v>
      </c>
      <c r="AG219" s="8">
        <f t="shared" si="64"/>
        <v>-0.672282256307418</v>
      </c>
      <c r="AH219" s="8">
        <f t="shared" si="65"/>
        <v>-0.52860472084113963</v>
      </c>
      <c r="AI219" s="8">
        <f t="shared" si="66"/>
        <v>0.51827947765531679</v>
      </c>
      <c r="AJ219" s="8"/>
      <c r="AK219" s="8"/>
      <c r="AL219" s="8"/>
      <c r="AN219" s="8">
        <f t="shared" si="71"/>
        <v>1</v>
      </c>
      <c r="AO219" s="8">
        <f t="shared" si="72"/>
        <v>3.8079139899886627</v>
      </c>
      <c r="AP219" s="8">
        <f t="shared" si="73"/>
        <v>1.025958414990666</v>
      </c>
      <c r="AQ219" s="8"/>
      <c r="AR219" s="8">
        <f t="shared" si="74"/>
        <v>218.177400375172</v>
      </c>
      <c r="AS219" s="8">
        <f t="shared" si="75"/>
        <v>31.216912865103389</v>
      </c>
    </row>
    <row r="220" spans="1:45">
      <c r="A220" s="19">
        <v>14.28093333</v>
      </c>
      <c r="B220" s="19">
        <v>996.98432739999998</v>
      </c>
      <c r="C220" s="19">
        <v>560.26553609999996</v>
      </c>
      <c r="E220" s="9">
        <f t="shared" si="61"/>
        <v>36.984327399999984</v>
      </c>
      <c r="F220" s="9">
        <f t="shared" si="62"/>
        <v>-20.265536099999963</v>
      </c>
      <c r="I220">
        <v>1</v>
      </c>
      <c r="J220">
        <f t="shared" si="63"/>
        <v>2.675652869131075E-2</v>
      </c>
      <c r="K220">
        <f t="shared" si="67"/>
        <v>-0.50126740954363569</v>
      </c>
      <c r="O220">
        <f t="shared" si="68"/>
        <v>2.3461986425860136E-2</v>
      </c>
      <c r="P220">
        <f t="shared" si="69"/>
        <v>-1.2855978905566844E-2</v>
      </c>
      <c r="Q220">
        <f t="shared" si="70"/>
        <v>0.99964206544109191</v>
      </c>
      <c r="R220">
        <f t="shared" si="76"/>
        <v>1</v>
      </c>
      <c r="AG220" s="8">
        <f t="shared" si="64"/>
        <v>-0.67250472205680956</v>
      </c>
      <c r="AH220" s="8">
        <f t="shared" si="65"/>
        <v>-0.52839974405302947</v>
      </c>
      <c r="AI220" s="8">
        <f t="shared" si="66"/>
        <v>0.51819987388650179</v>
      </c>
      <c r="AJ220" s="8"/>
      <c r="AK220" s="8"/>
      <c r="AL220" s="8"/>
      <c r="AN220" s="8">
        <f t="shared" si="71"/>
        <v>1</v>
      </c>
      <c r="AO220" s="8">
        <f t="shared" si="72"/>
        <v>3.8075648116206655</v>
      </c>
      <c r="AP220" s="8">
        <f t="shared" si="73"/>
        <v>1.0260514931843501</v>
      </c>
      <c r="AQ220" s="8"/>
      <c r="AR220" s="8">
        <f t="shared" si="74"/>
        <v>218.15739392838847</v>
      </c>
      <c r="AS220" s="8">
        <f t="shared" si="75"/>
        <v>31.211579877440592</v>
      </c>
    </row>
    <row r="221" spans="1:45">
      <c r="A221" s="19">
        <v>14.314299999999999</v>
      </c>
      <c r="B221" s="19">
        <v>996.47357959999999</v>
      </c>
      <c r="C221" s="19">
        <v>560.26786670000001</v>
      </c>
      <c r="E221" s="9">
        <f t="shared" si="61"/>
        <v>36.473579599999994</v>
      </c>
      <c r="F221" s="9">
        <f t="shared" si="62"/>
        <v>-20.267866700000013</v>
      </c>
      <c r="I221">
        <v>1</v>
      </c>
      <c r="J221">
        <f t="shared" si="63"/>
        <v>2.6471126408575921E-2</v>
      </c>
      <c r="K221">
        <f t="shared" si="67"/>
        <v>-0.50719836972072674</v>
      </c>
      <c r="O221">
        <f t="shared" si="68"/>
        <v>2.3135941629070372E-2</v>
      </c>
      <c r="P221">
        <f t="shared" si="69"/>
        <v>-1.2856324661837676E-2</v>
      </c>
      <c r="Q221">
        <f t="shared" si="70"/>
        <v>0.9996496601915722</v>
      </c>
      <c r="R221">
        <f t="shared" si="76"/>
        <v>1</v>
      </c>
      <c r="AG221" s="8">
        <f t="shared" si="64"/>
        <v>-0.67272302129033335</v>
      </c>
      <c r="AH221" s="8">
        <f t="shared" si="65"/>
        <v>-0.52816071557920297</v>
      </c>
      <c r="AI221" s="8">
        <f t="shared" si="66"/>
        <v>0.51816020220089287</v>
      </c>
      <c r="AJ221" s="8"/>
      <c r="AK221" s="8"/>
      <c r="AL221" s="8"/>
      <c r="AN221" s="8">
        <f t="shared" si="71"/>
        <v>1.0000000000000002</v>
      </c>
      <c r="AO221" s="8">
        <f t="shared" si="72"/>
        <v>3.8071873666090141</v>
      </c>
      <c r="AP221" s="8">
        <f t="shared" si="73"/>
        <v>1.0260978780839385</v>
      </c>
      <c r="AQ221" s="8"/>
      <c r="AR221" s="8">
        <f t="shared" si="74"/>
        <v>218.13576792222258</v>
      </c>
      <c r="AS221" s="8">
        <f t="shared" si="75"/>
        <v>31.208922218461034</v>
      </c>
    </row>
    <row r="222" spans="1:45">
      <c r="A222" s="19">
        <v>14.347666670000001</v>
      </c>
      <c r="B222" s="19">
        <v>996.11032069999999</v>
      </c>
      <c r="C222" s="19">
        <v>560.27086870000005</v>
      </c>
      <c r="E222" s="9">
        <f t="shared" si="61"/>
        <v>36.110320699999988</v>
      </c>
      <c r="F222" s="9">
        <f t="shared" si="62"/>
        <v>-20.270868700000051</v>
      </c>
      <c r="I222">
        <v>1</v>
      </c>
      <c r="J222">
        <f t="shared" si="63"/>
        <v>2.6269156939109528E-2</v>
      </c>
      <c r="K222">
        <f t="shared" si="67"/>
        <v>-0.51152260372281033</v>
      </c>
      <c r="O222">
        <f t="shared" si="68"/>
        <v>2.2904075551420405E-2</v>
      </c>
      <c r="P222">
        <f t="shared" si="69"/>
        <v>-1.2857418577224779E-2</v>
      </c>
      <c r="Q222">
        <f t="shared" si="70"/>
        <v>0.99965498553784293</v>
      </c>
      <c r="R222">
        <f t="shared" si="76"/>
        <v>1</v>
      </c>
      <c r="AG222" s="8">
        <f t="shared" si="64"/>
        <v>-0.67287848808642381</v>
      </c>
      <c r="AH222" s="8">
        <f t="shared" si="65"/>
        <v>-0.52799106133136608</v>
      </c>
      <c r="AI222" s="8">
        <f t="shared" si="66"/>
        <v>0.5181312376461259</v>
      </c>
      <c r="AJ222" s="8"/>
      <c r="AK222" s="8"/>
      <c r="AL222" s="8"/>
      <c r="AN222" s="8">
        <f t="shared" si="71"/>
        <v>1.0000000000000002</v>
      </c>
      <c r="AO222" s="8">
        <f t="shared" si="72"/>
        <v>3.8069191026789566</v>
      </c>
      <c r="AP222" s="8">
        <f t="shared" si="73"/>
        <v>1.0261317431764914</v>
      </c>
      <c r="AQ222" s="8"/>
      <c r="AR222" s="8">
        <f t="shared" si="74"/>
        <v>218.12039753123472</v>
      </c>
      <c r="AS222" s="8">
        <f t="shared" si="75"/>
        <v>31.206981891584931</v>
      </c>
    </row>
    <row r="223" spans="1:45">
      <c r="A223" s="19">
        <v>14.381033329999999</v>
      </c>
      <c r="B223" s="19">
        <v>995.47230809999996</v>
      </c>
      <c r="C223" s="19">
        <v>560.08517289999998</v>
      </c>
      <c r="E223" s="9">
        <f t="shared" si="61"/>
        <v>35.472308099999964</v>
      </c>
      <c r="F223" s="9">
        <f t="shared" si="62"/>
        <v>-20.085172899999975</v>
      </c>
      <c r="I223">
        <v>1</v>
      </c>
      <c r="J223">
        <f t="shared" si="63"/>
        <v>2.5855271552581053E-2</v>
      </c>
      <c r="K223">
        <f t="shared" si="67"/>
        <v>-0.51521175298599986</v>
      </c>
      <c r="O223">
        <f t="shared" si="68"/>
        <v>2.2496450909928658E-2</v>
      </c>
      <c r="P223">
        <f t="shared" si="69"/>
        <v>-1.2737967455866774E-2</v>
      </c>
      <c r="Q223">
        <f t="shared" si="70"/>
        <v>0.99966577108629184</v>
      </c>
      <c r="R223">
        <f t="shared" si="76"/>
        <v>1</v>
      </c>
      <c r="AG223" s="8">
        <f t="shared" si="64"/>
        <v>-0.67311334633138131</v>
      </c>
      <c r="AH223" s="8">
        <f t="shared" si="65"/>
        <v>-0.52764077116413566</v>
      </c>
      <c r="AI223" s="8">
        <f t="shared" si="66"/>
        <v>0.51818301747151663</v>
      </c>
      <c r="AJ223" s="8"/>
      <c r="AK223" s="8"/>
      <c r="AL223" s="8"/>
      <c r="AN223" s="8">
        <f t="shared" si="71"/>
        <v>1</v>
      </c>
      <c r="AO223" s="8">
        <f t="shared" si="72"/>
        <v>3.8064273743115811</v>
      </c>
      <c r="AP223" s="8">
        <f t="shared" si="73"/>
        <v>1.0260712021889706</v>
      </c>
      <c r="AQ223" s="8"/>
      <c r="AR223" s="8">
        <f t="shared" si="74"/>
        <v>218.09222357111722</v>
      </c>
      <c r="AS223" s="8">
        <f t="shared" si="75"/>
        <v>31.210450634657427</v>
      </c>
    </row>
    <row r="224" spans="1:45">
      <c r="A224" s="19">
        <v>14.414400000000001</v>
      </c>
      <c r="B224" s="19">
        <v>995.31507520000002</v>
      </c>
      <c r="C224" s="19">
        <v>560.24728400000004</v>
      </c>
      <c r="E224" s="9">
        <f t="shared" ref="E224:E287" si="77">(B224-($B$15/2))</f>
        <v>35.315075200000024</v>
      </c>
      <c r="F224" s="9">
        <f t="shared" ref="F224:F287" si="78">(($C$15/2)-C224)</f>
        <v>-20.247284000000036</v>
      </c>
      <c r="I224">
        <v>1</v>
      </c>
      <c r="J224">
        <f t="shared" ref="J224:J287" si="79">ATAN((SQRT(E224^2+F224^2)^$B$16)/($F$24))</f>
        <v>2.5819218483780975E-2</v>
      </c>
      <c r="K224">
        <f t="shared" si="67"/>
        <v>-0.52058028405857348</v>
      </c>
      <c r="O224">
        <f t="shared" si="68"/>
        <v>2.2396476173654273E-2</v>
      </c>
      <c r="P224">
        <f t="shared" si="69"/>
        <v>-1.2840629989291707E-2</v>
      </c>
      <c r="Q224">
        <f t="shared" si="70"/>
        <v>0.99966670249462697</v>
      </c>
      <c r="R224">
        <f t="shared" si="76"/>
        <v>1</v>
      </c>
      <c r="AG224" s="8">
        <f t="shared" ref="AG224:AG287" si="80">$O224*$Z$27+$P224*$Z$31+$Q224*$Z$35</f>
        <v>-0.67321264318716267</v>
      </c>
      <c r="AH224" s="8">
        <f t="shared" ref="AH224:AH287" si="81">$O224*$AA$27+$P224*$AA$31+$Q224*$AA$35</f>
        <v>-0.52761134735400961</v>
      </c>
      <c r="AI224" s="8">
        <f t="shared" ref="AI224:AI287" si="82">$AB$27*$O224+$P224*$AB$31+$AB$35*$Q224</f>
        <v>0.51808397311269982</v>
      </c>
      <c r="AJ224" s="8"/>
      <c r="AK224" s="8"/>
      <c r="AL224" s="8"/>
      <c r="AN224" s="8">
        <f t="shared" si="71"/>
        <v>1</v>
      </c>
      <c r="AO224" s="8">
        <f t="shared" si="72"/>
        <v>3.8063286799705227</v>
      </c>
      <c r="AP224" s="8">
        <f t="shared" si="73"/>
        <v>1.0261870029449827</v>
      </c>
      <c r="AQ224" s="8"/>
      <c r="AR224" s="8">
        <f t="shared" si="74"/>
        <v>218.08656880191276</v>
      </c>
      <c r="AS224" s="8">
        <f t="shared" si="75"/>
        <v>31.203815740073516</v>
      </c>
    </row>
    <row r="225" spans="1:45">
      <c r="A225" s="19">
        <v>14.44776667</v>
      </c>
      <c r="B225" s="19">
        <v>994.44864270000005</v>
      </c>
      <c r="C225" s="19">
        <v>559.95557229999997</v>
      </c>
      <c r="E225" s="9">
        <f t="shared" si="77"/>
        <v>34.44864270000005</v>
      </c>
      <c r="F225" s="9">
        <f t="shared" si="78"/>
        <v>-19.955572299999972</v>
      </c>
      <c r="I225">
        <v>1</v>
      </c>
      <c r="J225">
        <f t="shared" si="79"/>
        <v>2.5245884631687438E-2</v>
      </c>
      <c r="K225">
        <f t="shared" ref="K225:K288" si="83">ATAN2(E225,F225)</f>
        <v>-0.52504839753731025</v>
      </c>
      <c r="O225">
        <f t="shared" ref="O225:O288" si="84">COS(K225)*SIN(J225)</f>
        <v>2.1842935516801831E-2</v>
      </c>
      <c r="P225">
        <f t="shared" ref="P225:P288" si="85">SIN(K225)*SIN(J225)</f>
        <v>-1.2653278758926996E-2</v>
      </c>
      <c r="Q225">
        <f t="shared" ref="Q225:Q288" si="86">COS(J225)</f>
        <v>0.99968133958009731</v>
      </c>
      <c r="R225">
        <f t="shared" si="76"/>
        <v>1</v>
      </c>
      <c r="AG225" s="8">
        <f t="shared" si="80"/>
        <v>-0.67352339949583384</v>
      </c>
      <c r="AH225" s="8">
        <f t="shared" si="81"/>
        <v>-0.52712473307168017</v>
      </c>
      <c r="AI225" s="8">
        <f t="shared" si="82"/>
        <v>0.51817540091718517</v>
      </c>
      <c r="AJ225" s="8"/>
      <c r="AK225" s="8"/>
      <c r="AL225" s="8"/>
      <c r="AN225" s="8">
        <f t="shared" ref="AN225:AN288" si="87">AG225^2+AH225^2+AI225^2</f>
        <v>1.0000000000000002</v>
      </c>
      <c r="AO225" s="8">
        <f t="shared" ref="AO225:AO288" si="88">IF(ATAN2(AG225,AH225)&gt;=0,ATAN2(AG225,AH225),ATAN2(AG225,AH225)+2*PI())</f>
        <v>3.8056567380564505</v>
      </c>
      <c r="AP225" s="8">
        <f t="shared" ref="AP225:AP288" si="89">ACOS(AI225/AN225)</f>
        <v>1.0260801076058934</v>
      </c>
      <c r="AQ225" s="8"/>
      <c r="AR225" s="8">
        <f t="shared" ref="AR225:AR288" si="90">DEGREES(AO225)</f>
        <v>218.04806936615847</v>
      </c>
      <c r="AS225" s="8">
        <f t="shared" ref="AS225:AS288" si="91">90-DEGREES(AP225)</f>
        <v>31.209940391852946</v>
      </c>
    </row>
    <row r="226" spans="1:45">
      <c r="A226" s="19">
        <v>14.48113333</v>
      </c>
      <c r="B226" s="19">
        <v>993.97764629999995</v>
      </c>
      <c r="C226" s="19">
        <v>559.86640120000004</v>
      </c>
      <c r="E226" s="9">
        <f t="shared" si="77"/>
        <v>33.977646299999947</v>
      </c>
      <c r="F226" s="9">
        <f t="shared" si="78"/>
        <v>-19.866401200000041</v>
      </c>
      <c r="I226">
        <v>1</v>
      </c>
      <c r="J226">
        <f t="shared" si="79"/>
        <v>2.4956854362759413E-2</v>
      </c>
      <c r="K226">
        <f t="shared" si="83"/>
        <v>-0.52908632404444467</v>
      </c>
      <c r="O226">
        <f t="shared" si="84"/>
        <v>2.1542232418976865E-2</v>
      </c>
      <c r="P226">
        <f t="shared" si="85"/>
        <v>-1.2595534964381639E-2</v>
      </c>
      <c r="Q226">
        <f t="shared" si="86"/>
        <v>0.99968859387379616</v>
      </c>
      <c r="R226">
        <f t="shared" si="76"/>
        <v>1</v>
      </c>
      <c r="AG226" s="8">
        <f t="shared" si="80"/>
        <v>-0.67370604061051742</v>
      </c>
      <c r="AH226" s="8">
        <f t="shared" si="81"/>
        <v>-0.52687917268390894</v>
      </c>
      <c r="AI226" s="8">
        <f t="shared" si="82"/>
        <v>0.51818771525077623</v>
      </c>
      <c r="AJ226" s="8"/>
      <c r="AK226" s="8"/>
      <c r="AL226" s="8"/>
      <c r="AN226" s="8">
        <f t="shared" si="87"/>
        <v>1</v>
      </c>
      <c r="AO226" s="8">
        <f t="shared" si="88"/>
        <v>3.8052990215018907</v>
      </c>
      <c r="AP226" s="8">
        <f t="shared" si="89"/>
        <v>1.026065709434167</v>
      </c>
      <c r="AQ226" s="8"/>
      <c r="AR226" s="8">
        <f t="shared" si="90"/>
        <v>218.02757371732025</v>
      </c>
      <c r="AS226" s="8">
        <f t="shared" si="91"/>
        <v>31.210765346325573</v>
      </c>
    </row>
    <row r="227" spans="1:45">
      <c r="A227" s="19">
        <v>14.5145</v>
      </c>
      <c r="B227" s="19">
        <v>993.55412609999996</v>
      </c>
      <c r="C227" s="19">
        <v>559.86280169999998</v>
      </c>
      <c r="E227" s="9">
        <f t="shared" si="77"/>
        <v>33.554126099999962</v>
      </c>
      <c r="F227" s="9">
        <f t="shared" si="78"/>
        <v>-19.862801699999977</v>
      </c>
      <c r="I227">
        <v>1</v>
      </c>
      <c r="J227">
        <f t="shared" si="79"/>
        <v>2.4722249347222728E-2</v>
      </c>
      <c r="K227">
        <f t="shared" si="83"/>
        <v>-0.53448899485383672</v>
      </c>
      <c r="O227">
        <f t="shared" si="84"/>
        <v>2.1272046673381669E-2</v>
      </c>
      <c r="P227">
        <f t="shared" si="85"/>
        <v>-1.2592264914523428E-2</v>
      </c>
      <c r="Q227">
        <f t="shared" si="86"/>
        <v>0.99969442075798742</v>
      </c>
      <c r="R227">
        <f t="shared" si="76"/>
        <v>1</v>
      </c>
      <c r="AG227" s="8">
        <f t="shared" si="80"/>
        <v>-0.67388546557129558</v>
      </c>
      <c r="AH227" s="8">
        <f t="shared" si="81"/>
        <v>-0.5266793135766038</v>
      </c>
      <c r="AI227" s="8">
        <f t="shared" si="82"/>
        <v>0.5181575821526071</v>
      </c>
      <c r="AJ227" s="8"/>
      <c r="AK227" s="8"/>
      <c r="AL227" s="8"/>
      <c r="AN227" s="8">
        <f t="shared" si="87"/>
        <v>1</v>
      </c>
      <c r="AO227" s="8">
        <f t="shared" si="88"/>
        <v>3.8049857166853629</v>
      </c>
      <c r="AP227" s="8">
        <f t="shared" si="89"/>
        <v>1.0261009414490152</v>
      </c>
      <c r="AQ227" s="8"/>
      <c r="AR227" s="8">
        <f t="shared" si="90"/>
        <v>218.00962267363207</v>
      </c>
      <c r="AS227" s="8">
        <f t="shared" si="91"/>
        <v>31.208746700571034</v>
      </c>
    </row>
    <row r="228" spans="1:45">
      <c r="A228" s="19">
        <v>14.547866669999999</v>
      </c>
      <c r="B228" s="19">
        <v>993.33572249999997</v>
      </c>
      <c r="C228" s="19">
        <v>559.88596680000001</v>
      </c>
      <c r="E228" s="9">
        <f t="shared" si="77"/>
        <v>33.335722499999974</v>
      </c>
      <c r="F228" s="9">
        <f t="shared" si="78"/>
        <v>-19.885966800000006</v>
      </c>
      <c r="I228">
        <v>1</v>
      </c>
      <c r="J228">
        <f t="shared" si="79"/>
        <v>2.460975495051081E-2</v>
      </c>
      <c r="K228">
        <f t="shared" si="83"/>
        <v>-0.53786873088531562</v>
      </c>
      <c r="O228">
        <f t="shared" si="84"/>
        <v>2.1132785651354888E-2</v>
      </c>
      <c r="P228">
        <f t="shared" si="85"/>
        <v>-1.2606472646703852E-2</v>
      </c>
      <c r="Q228">
        <f t="shared" si="86"/>
        <v>0.99969719526365675</v>
      </c>
      <c r="R228">
        <f t="shared" si="76"/>
        <v>1</v>
      </c>
      <c r="AG228" s="8">
        <f t="shared" si="80"/>
        <v>-0.67398295247759588</v>
      </c>
      <c r="AH228" s="8">
        <f t="shared" si="81"/>
        <v>-0.52658309301523665</v>
      </c>
      <c r="AI228" s="8">
        <f t="shared" si="82"/>
        <v>0.51812858048952448</v>
      </c>
      <c r="AJ228" s="8"/>
      <c r="AK228" s="8"/>
      <c r="AL228" s="8"/>
      <c r="AN228" s="8">
        <f t="shared" si="87"/>
        <v>1.0000000000000002</v>
      </c>
      <c r="AO228" s="8">
        <f t="shared" si="88"/>
        <v>3.804826890207945</v>
      </c>
      <c r="AP228" s="8">
        <f t="shared" si="89"/>
        <v>1.0261348498648988</v>
      </c>
      <c r="AQ228" s="8"/>
      <c r="AR228" s="8">
        <f t="shared" si="90"/>
        <v>218.00052258680111</v>
      </c>
      <c r="AS228" s="8">
        <f t="shared" si="91"/>
        <v>31.206803891450924</v>
      </c>
    </row>
    <row r="229" spans="1:45">
      <c r="A229" s="19">
        <v>14.58123333</v>
      </c>
      <c r="B229" s="19">
        <v>992.47183589999997</v>
      </c>
      <c r="C229" s="19">
        <v>559.80111239999997</v>
      </c>
      <c r="E229" s="9">
        <f t="shared" si="77"/>
        <v>32.471835899999974</v>
      </c>
      <c r="F229" s="9">
        <f t="shared" si="78"/>
        <v>-19.801112399999965</v>
      </c>
      <c r="I229">
        <v>1</v>
      </c>
      <c r="J229">
        <f t="shared" si="79"/>
        <v>2.4108732859268876E-2</v>
      </c>
      <c r="K229">
        <f t="shared" si="83"/>
        <v>-0.54758945431092054</v>
      </c>
      <c r="O229">
        <f t="shared" si="84"/>
        <v>2.0581608374698235E-2</v>
      </c>
      <c r="P229">
        <f t="shared" si="85"/>
        <v>-1.2550529697650407E-2</v>
      </c>
      <c r="Q229">
        <f t="shared" si="86"/>
        <v>0.99970939857591568</v>
      </c>
      <c r="R229">
        <f t="shared" si="76"/>
        <v>1</v>
      </c>
      <c r="AG229" s="8">
        <f t="shared" si="80"/>
        <v>-0.67433318864146385</v>
      </c>
      <c r="AH229" s="8">
        <f t="shared" si="81"/>
        <v>-0.52615412583282517</v>
      </c>
      <c r="AI229" s="8">
        <f t="shared" si="82"/>
        <v>0.51810866289392576</v>
      </c>
      <c r="AJ229" s="8"/>
      <c r="AK229" s="8"/>
      <c r="AL229" s="8"/>
      <c r="AN229" s="8">
        <f t="shared" si="87"/>
        <v>1</v>
      </c>
      <c r="AO229" s="8">
        <f t="shared" si="88"/>
        <v>3.8041795755458487</v>
      </c>
      <c r="AP229" s="8">
        <f t="shared" si="89"/>
        <v>1.0261581368885719</v>
      </c>
      <c r="AQ229" s="8"/>
      <c r="AR229" s="8">
        <f t="shared" si="90"/>
        <v>217.96343418864603</v>
      </c>
      <c r="AS229" s="8">
        <f t="shared" si="91"/>
        <v>31.205469643277034</v>
      </c>
    </row>
    <row r="230" spans="1:45">
      <c r="A230" s="19">
        <v>14.614599999999999</v>
      </c>
      <c r="B230" s="19">
        <v>992.08333330000005</v>
      </c>
      <c r="C230" s="19">
        <v>559.16666669999995</v>
      </c>
      <c r="E230" s="9">
        <f t="shared" si="77"/>
        <v>32.083333300000049</v>
      </c>
      <c r="F230" s="9">
        <f t="shared" si="78"/>
        <v>-19.166666699999951</v>
      </c>
      <c r="I230">
        <v>1</v>
      </c>
      <c r="J230">
        <f t="shared" si="79"/>
        <v>2.3686493338688774E-2</v>
      </c>
      <c r="K230">
        <f t="shared" si="83"/>
        <v>-0.53850745793469112</v>
      </c>
      <c r="O230">
        <f t="shared" si="84"/>
        <v>2.0332363257053305E-2</v>
      </c>
      <c r="P230">
        <f t="shared" si="85"/>
        <v>-1.2146606654841113E-2</v>
      </c>
      <c r="Q230">
        <f t="shared" si="86"/>
        <v>0.99971948813212386</v>
      </c>
      <c r="R230">
        <f t="shared" si="76"/>
        <v>1</v>
      </c>
      <c r="AG230" s="8">
        <f t="shared" si="80"/>
        <v>-0.67437169625733728</v>
      </c>
      <c r="AH230" s="8">
        <f t="shared" si="81"/>
        <v>-0.5257978881878751</v>
      </c>
      <c r="AI230" s="8">
        <f t="shared" si="82"/>
        <v>0.51842009612299234</v>
      </c>
      <c r="AJ230" s="8"/>
      <c r="AK230" s="8"/>
      <c r="AL230" s="8"/>
      <c r="AN230" s="8">
        <f t="shared" si="87"/>
        <v>1.0000000000000002</v>
      </c>
      <c r="AO230" s="8">
        <f t="shared" si="88"/>
        <v>3.8038234323896134</v>
      </c>
      <c r="AP230" s="8">
        <f t="shared" si="89"/>
        <v>1.0257939813898056</v>
      </c>
      <c r="AQ230" s="8"/>
      <c r="AR230" s="8">
        <f t="shared" si="90"/>
        <v>217.9430286888913</v>
      </c>
      <c r="AS230" s="8">
        <f t="shared" si="91"/>
        <v>31.226334216442829</v>
      </c>
    </row>
    <row r="231" spans="1:45">
      <c r="A231" s="19">
        <v>14.647966670000001</v>
      </c>
      <c r="B231" s="19">
        <v>991.16666669999995</v>
      </c>
      <c r="C231" s="19">
        <v>559</v>
      </c>
      <c r="E231" s="9">
        <f t="shared" si="77"/>
        <v>31.166666699999951</v>
      </c>
      <c r="F231" s="9">
        <f t="shared" si="78"/>
        <v>-19</v>
      </c>
      <c r="I231">
        <v>1</v>
      </c>
      <c r="J231">
        <f t="shared" si="79"/>
        <v>2.3129783577672737E-2</v>
      </c>
      <c r="K231">
        <f t="shared" si="83"/>
        <v>-0.54746715131546586</v>
      </c>
      <c r="O231">
        <f t="shared" si="84"/>
        <v>1.9747504755390548E-2</v>
      </c>
      <c r="P231">
        <f t="shared" si="85"/>
        <v>-1.20385857738332E-2</v>
      </c>
      <c r="Q231">
        <f t="shared" si="86"/>
        <v>0.99973251848106948</v>
      </c>
      <c r="R231">
        <f t="shared" si="76"/>
        <v>1</v>
      </c>
      <c r="AG231" s="8">
        <f t="shared" si="80"/>
        <v>-0.67472758310392977</v>
      </c>
      <c r="AH231" s="8">
        <f t="shared" si="81"/>
        <v>-0.52532159936218958</v>
      </c>
      <c r="AI231" s="8">
        <f t="shared" si="82"/>
        <v>0.51843987678638381</v>
      </c>
      <c r="AJ231" s="8"/>
      <c r="AK231" s="8"/>
      <c r="AL231" s="8"/>
      <c r="AN231" s="8">
        <f t="shared" si="87"/>
        <v>1</v>
      </c>
      <c r="AO231" s="8">
        <f t="shared" si="88"/>
        <v>3.803128274841364</v>
      </c>
      <c r="AP231" s="8">
        <f t="shared" si="89"/>
        <v>1.0257708493597164</v>
      </c>
      <c r="AQ231" s="8"/>
      <c r="AR231" s="8">
        <f t="shared" si="90"/>
        <v>217.90319909527994</v>
      </c>
      <c r="AS231" s="8">
        <f t="shared" si="91"/>
        <v>31.227659584138507</v>
      </c>
    </row>
    <row r="232" spans="1:45">
      <c r="A232" s="19">
        <v>14.681333329999999</v>
      </c>
      <c r="B232" s="19">
        <v>990.5</v>
      </c>
      <c r="C232" s="19">
        <v>559.16666669999995</v>
      </c>
      <c r="E232" s="9">
        <f t="shared" si="77"/>
        <v>30.5</v>
      </c>
      <c r="F232" s="9">
        <f t="shared" si="78"/>
        <v>-19.166666699999951</v>
      </c>
      <c r="I232">
        <v>1</v>
      </c>
      <c r="J232">
        <f t="shared" si="79"/>
        <v>2.2823553482131716E-2</v>
      </c>
      <c r="K232">
        <f t="shared" si="83"/>
        <v>-0.5610514936542903</v>
      </c>
      <c r="O232">
        <f t="shared" si="84"/>
        <v>1.9322936106808842E-2</v>
      </c>
      <c r="P232">
        <f t="shared" si="85"/>
        <v>-1.2142828722118023E-2</v>
      </c>
      <c r="Q232">
        <f t="shared" si="86"/>
        <v>0.99973955400936176</v>
      </c>
      <c r="R232">
        <f t="shared" si="76"/>
        <v>1</v>
      </c>
      <c r="AG232" s="8">
        <f t="shared" si="80"/>
        <v>-0.67504361302349503</v>
      </c>
      <c r="AH232" s="8">
        <f t="shared" si="81"/>
        <v>-0.52505401161219978</v>
      </c>
      <c r="AI232" s="8">
        <f t="shared" si="82"/>
        <v>0.51829953251582428</v>
      </c>
      <c r="AJ232" s="8"/>
      <c r="AK232" s="8"/>
      <c r="AL232" s="8"/>
      <c r="AN232" s="8">
        <f t="shared" si="87"/>
        <v>1.0000000000000002</v>
      </c>
      <c r="AO232" s="8">
        <f t="shared" si="88"/>
        <v>3.8026543659333747</v>
      </c>
      <c r="AP232" s="8">
        <f t="shared" si="89"/>
        <v>1.0259349646424258</v>
      </c>
      <c r="AQ232" s="8"/>
      <c r="AR232" s="8">
        <f t="shared" si="90"/>
        <v>217.87604611497849</v>
      </c>
      <c r="AS232" s="8">
        <f t="shared" si="91"/>
        <v>31.21825647108566</v>
      </c>
    </row>
    <row r="233" spans="1:45">
      <c r="A233" s="19">
        <v>14.714700000000001</v>
      </c>
      <c r="B233" s="19">
        <v>990.41666669999995</v>
      </c>
      <c r="C233" s="19">
        <v>559.41666669999995</v>
      </c>
      <c r="E233" s="9">
        <f t="shared" si="77"/>
        <v>30.416666699999951</v>
      </c>
      <c r="F233" s="9">
        <f t="shared" si="78"/>
        <v>-19.416666699999951</v>
      </c>
      <c r="I233">
        <v>1</v>
      </c>
      <c r="J233">
        <f t="shared" si="79"/>
        <v>2.2864051507271183E-2</v>
      </c>
      <c r="K233">
        <f t="shared" si="83"/>
        <v>-0.56814614919830975</v>
      </c>
      <c r="O233">
        <f t="shared" si="84"/>
        <v>1.92704282188302E-2</v>
      </c>
      <c r="P233">
        <f t="shared" si="85"/>
        <v>-1.230139665143848E-2</v>
      </c>
      <c r="Q233">
        <f t="shared" si="86"/>
        <v>0.99973862896093346</v>
      </c>
      <c r="R233">
        <f t="shared" si="76"/>
        <v>1</v>
      </c>
      <c r="AG233" s="8">
        <f t="shared" si="80"/>
        <v>-0.67512879290298966</v>
      </c>
      <c r="AH233" s="8">
        <f t="shared" si="81"/>
        <v>-0.5250833277860476</v>
      </c>
      <c r="AI233" s="8">
        <f t="shared" si="82"/>
        <v>0.51815886740890804</v>
      </c>
      <c r="AJ233" s="8"/>
      <c r="AK233" s="8"/>
      <c r="AL233" s="8"/>
      <c r="AN233" s="8">
        <f t="shared" si="87"/>
        <v>1</v>
      </c>
      <c r="AO233" s="8">
        <f t="shared" si="88"/>
        <v>3.8026202764754831</v>
      </c>
      <c r="AP233" s="8">
        <f t="shared" si="89"/>
        <v>1.0260994387257916</v>
      </c>
      <c r="AQ233" s="8"/>
      <c r="AR233" s="8">
        <f t="shared" si="90"/>
        <v>217.87409293291543</v>
      </c>
      <c r="AS233" s="8">
        <f t="shared" si="91"/>
        <v>31.208832800269519</v>
      </c>
    </row>
    <row r="234" spans="1:45">
      <c r="A234" s="19">
        <v>14.74806667</v>
      </c>
      <c r="B234" s="19">
        <v>990</v>
      </c>
      <c r="C234" s="19">
        <v>558.91666669999995</v>
      </c>
      <c r="E234" s="9">
        <f t="shared" si="77"/>
        <v>30</v>
      </c>
      <c r="F234" s="9">
        <f t="shared" si="78"/>
        <v>-18.916666699999951</v>
      </c>
      <c r="I234">
        <v>1</v>
      </c>
      <c r="J234">
        <f t="shared" si="79"/>
        <v>2.2468042092825498E-2</v>
      </c>
      <c r="K234">
        <f t="shared" si="83"/>
        <v>-0.56258435108350424</v>
      </c>
      <c r="O234">
        <f t="shared" si="84"/>
        <v>1.9003657495135651E-2</v>
      </c>
      <c r="P234">
        <f t="shared" si="85"/>
        <v>-1.1982861830547904E-2</v>
      </c>
      <c r="Q234">
        <f t="shared" si="86"/>
        <v>0.99974760416024877</v>
      </c>
      <c r="R234">
        <f t="shared" si="76"/>
        <v>1</v>
      </c>
      <c r="AG234" s="8">
        <f t="shared" si="80"/>
        <v>-0.67520572575282145</v>
      </c>
      <c r="AH234" s="8">
        <f t="shared" si="81"/>
        <v>-0.52475057758138144</v>
      </c>
      <c r="AI234" s="8">
        <f t="shared" si="82"/>
        <v>0.51839565896968343</v>
      </c>
      <c r="AJ234" s="8"/>
      <c r="AK234" s="8"/>
      <c r="AL234" s="8"/>
      <c r="AN234" s="8">
        <f t="shared" si="87"/>
        <v>1</v>
      </c>
      <c r="AO234" s="8">
        <f t="shared" si="88"/>
        <v>3.8022578899315866</v>
      </c>
      <c r="AP234" s="8">
        <f t="shared" si="89"/>
        <v>1.0258225583942351</v>
      </c>
      <c r="AQ234" s="8"/>
      <c r="AR234" s="8">
        <f t="shared" si="90"/>
        <v>217.85332971339781</v>
      </c>
      <c r="AS234" s="8">
        <f t="shared" si="91"/>
        <v>31.224696874697891</v>
      </c>
    </row>
    <row r="235" spans="1:45">
      <c r="A235" s="19">
        <v>14.78143333</v>
      </c>
      <c r="B235" s="19">
        <v>989.72420380000005</v>
      </c>
      <c r="C235" s="19">
        <v>559.55698719999998</v>
      </c>
      <c r="E235" s="9">
        <f t="shared" si="77"/>
        <v>29.724203800000055</v>
      </c>
      <c r="F235" s="9">
        <f t="shared" si="78"/>
        <v>-19.55698719999998</v>
      </c>
      <c r="I235">
        <v>1</v>
      </c>
      <c r="J235">
        <f t="shared" si="79"/>
        <v>2.2541467717235864E-2</v>
      </c>
      <c r="K235">
        <f t="shared" si="83"/>
        <v>-0.58194244941864859</v>
      </c>
      <c r="O235">
        <f t="shared" si="84"/>
        <v>1.8829469980850552E-2</v>
      </c>
      <c r="P235">
        <f t="shared" si="85"/>
        <v>-1.2388816396093927E-2</v>
      </c>
      <c r="Q235">
        <f t="shared" si="86"/>
        <v>0.99974595187404691</v>
      </c>
      <c r="R235">
        <f t="shared" si="76"/>
        <v>1</v>
      </c>
      <c r="AG235" s="8">
        <f t="shared" si="80"/>
        <v>-0.67545026102194328</v>
      </c>
      <c r="AH235" s="8">
        <f t="shared" si="81"/>
        <v>-0.52479635720085627</v>
      </c>
      <c r="AI235" s="8">
        <f t="shared" si="82"/>
        <v>0.51803062491912588</v>
      </c>
      <c r="AJ235" s="8"/>
      <c r="AK235" s="8"/>
      <c r="AL235" s="8"/>
      <c r="AN235" s="8">
        <f t="shared" si="87"/>
        <v>1.0000000000000002</v>
      </c>
      <c r="AO235" s="8">
        <f t="shared" si="88"/>
        <v>3.8021247178951381</v>
      </c>
      <c r="AP235" s="8">
        <f t="shared" si="89"/>
        <v>1.0262493732593008</v>
      </c>
      <c r="AQ235" s="8"/>
      <c r="AR235" s="8">
        <f t="shared" si="90"/>
        <v>217.84569951776015</v>
      </c>
      <c r="AS235" s="8">
        <f t="shared" si="91"/>
        <v>31.200242184296179</v>
      </c>
    </row>
    <row r="236" spans="1:45">
      <c r="A236" s="19">
        <v>14.8148</v>
      </c>
      <c r="B236" s="19">
        <v>988.78620190000004</v>
      </c>
      <c r="C236" s="19">
        <v>559.39622870000005</v>
      </c>
      <c r="E236" s="9">
        <f t="shared" si="77"/>
        <v>28.786201900000037</v>
      </c>
      <c r="F236" s="9">
        <f t="shared" si="78"/>
        <v>-19.396228700000052</v>
      </c>
      <c r="I236">
        <v>1</v>
      </c>
      <c r="J236">
        <f t="shared" si="79"/>
        <v>2.1985665483943997E-2</v>
      </c>
      <c r="K236">
        <f t="shared" si="83"/>
        <v>-0.59292687109622422</v>
      </c>
      <c r="O236">
        <f t="shared" si="84"/>
        <v>1.8231435380677168E-2</v>
      </c>
      <c r="P236">
        <f t="shared" si="85"/>
        <v>-1.2284395537880471E-2</v>
      </c>
      <c r="Q236">
        <f t="shared" si="86"/>
        <v>0.99975832499170969</v>
      </c>
      <c r="R236">
        <f t="shared" si="76"/>
        <v>1</v>
      </c>
      <c r="AG236" s="8">
        <f t="shared" si="80"/>
        <v>-0.67581547531405972</v>
      </c>
      <c r="AH236" s="8">
        <f t="shared" si="81"/>
        <v>-0.52431148004654615</v>
      </c>
      <c r="AI236" s="8">
        <f t="shared" si="82"/>
        <v>0.51804528297961716</v>
      </c>
      <c r="AJ236" s="8"/>
      <c r="AK236" s="8"/>
      <c r="AL236" s="8"/>
      <c r="AN236" s="8">
        <f t="shared" si="87"/>
        <v>0.99999999999999978</v>
      </c>
      <c r="AO236" s="8">
        <f t="shared" si="88"/>
        <v>3.8014151121719686</v>
      </c>
      <c r="AP236" s="8">
        <f t="shared" si="89"/>
        <v>1.0262322364969139</v>
      </c>
      <c r="AQ236" s="8"/>
      <c r="AR236" s="8">
        <f t="shared" si="90"/>
        <v>217.80504210470423</v>
      </c>
      <c r="AS236" s="8">
        <f t="shared" si="91"/>
        <v>31.201224048455472</v>
      </c>
    </row>
    <row r="237" spans="1:45">
      <c r="A237" s="19">
        <v>14.848166669999999</v>
      </c>
      <c r="B237" s="19">
        <v>988.28780670000003</v>
      </c>
      <c r="C237" s="19">
        <v>559.04870129999995</v>
      </c>
      <c r="E237" s="9">
        <f t="shared" si="77"/>
        <v>28.287806700000033</v>
      </c>
      <c r="F237" s="9">
        <f t="shared" si="78"/>
        <v>-19.048701299999948</v>
      </c>
      <c r="I237">
        <v>1</v>
      </c>
      <c r="J237">
        <f t="shared" si="79"/>
        <v>2.1597559324454525E-2</v>
      </c>
      <c r="K237">
        <f t="shared" si="83"/>
        <v>-0.59264218218787346</v>
      </c>
      <c r="O237">
        <f t="shared" si="84"/>
        <v>1.7913086756251393E-2</v>
      </c>
      <c r="P237">
        <f t="shared" si="85"/>
        <v>-1.2062477752324904E-2</v>
      </c>
      <c r="Q237">
        <f t="shared" si="86"/>
        <v>0.99976678178130007</v>
      </c>
      <c r="R237">
        <f t="shared" si="76"/>
        <v>1</v>
      </c>
      <c r="AG237" s="8">
        <f t="shared" si="80"/>
        <v>-0.67595713375646516</v>
      </c>
      <c r="AH237" s="8">
        <f t="shared" si="81"/>
        <v>-0.52398201814925804</v>
      </c>
      <c r="AI237" s="8">
        <f t="shared" si="82"/>
        <v>0.51819378419658313</v>
      </c>
      <c r="AJ237" s="8"/>
      <c r="AK237" s="8"/>
      <c r="AL237" s="8"/>
      <c r="AN237" s="8">
        <f t="shared" si="87"/>
        <v>1</v>
      </c>
      <c r="AO237" s="8">
        <f t="shared" si="88"/>
        <v>3.8010092236665685</v>
      </c>
      <c r="AP237" s="8">
        <f t="shared" si="89"/>
        <v>1.0260586134518905</v>
      </c>
      <c r="AQ237" s="8"/>
      <c r="AR237" s="8">
        <f t="shared" si="90"/>
        <v>217.78178640639192</v>
      </c>
      <c r="AS237" s="8">
        <f t="shared" si="91"/>
        <v>31.211171916161518</v>
      </c>
    </row>
    <row r="238" spans="1:45">
      <c r="A238" s="19">
        <v>14.88153333</v>
      </c>
      <c r="B238" s="19">
        <v>987.52161909999995</v>
      </c>
      <c r="C238" s="19">
        <v>559.06796529999997</v>
      </c>
      <c r="E238" s="9">
        <f t="shared" si="77"/>
        <v>27.521619099999953</v>
      </c>
      <c r="F238" s="9">
        <f t="shared" si="78"/>
        <v>-19.067965299999969</v>
      </c>
      <c r="I238">
        <v>1</v>
      </c>
      <c r="J238">
        <f t="shared" si="79"/>
        <v>2.1200370657896594E-2</v>
      </c>
      <c r="K238">
        <f t="shared" si="83"/>
        <v>-0.60590163297595345</v>
      </c>
      <c r="O238">
        <f t="shared" si="84"/>
        <v>1.7425165014762212E-2</v>
      </c>
      <c r="P238">
        <f t="shared" si="85"/>
        <v>-1.2072779607950461E-2</v>
      </c>
      <c r="Q238">
        <f t="shared" si="86"/>
        <v>0.99977528055895948</v>
      </c>
      <c r="R238">
        <f t="shared" si="76"/>
        <v>1</v>
      </c>
      <c r="AG238" s="8">
        <f t="shared" si="80"/>
        <v>-0.67628503366111681</v>
      </c>
      <c r="AH238" s="8">
        <f t="shared" si="81"/>
        <v>-0.52362711882030288</v>
      </c>
      <c r="AI238" s="8">
        <f t="shared" si="82"/>
        <v>0.51812468931901956</v>
      </c>
      <c r="AJ238" s="8"/>
      <c r="AK238" s="8"/>
      <c r="AL238" s="8"/>
      <c r="AN238" s="8">
        <f t="shared" si="87"/>
        <v>1</v>
      </c>
      <c r="AO238" s="8">
        <f t="shared" si="88"/>
        <v>3.8004464017720982</v>
      </c>
      <c r="AP238" s="8">
        <f t="shared" si="89"/>
        <v>1.0261393993243693</v>
      </c>
      <c r="AQ238" s="8"/>
      <c r="AR238" s="8">
        <f t="shared" si="90"/>
        <v>217.74953908722122</v>
      </c>
      <c r="AS238" s="8">
        <f t="shared" si="91"/>
        <v>31.206543226624206</v>
      </c>
    </row>
    <row r="239" spans="1:45">
      <c r="A239" s="19">
        <v>14.914899999999999</v>
      </c>
      <c r="B239" s="19">
        <v>986.83333330000005</v>
      </c>
      <c r="C239" s="19">
        <v>558</v>
      </c>
      <c r="E239" s="9">
        <f t="shared" si="77"/>
        <v>26.833333300000049</v>
      </c>
      <c r="F239" s="9">
        <f t="shared" si="78"/>
        <v>-18</v>
      </c>
      <c r="I239">
        <v>1</v>
      </c>
      <c r="J239">
        <f t="shared" si="79"/>
        <v>2.0452995325415987E-2</v>
      </c>
      <c r="K239">
        <f t="shared" si="83"/>
        <v>-0.59086382664339065</v>
      </c>
      <c r="O239">
        <f t="shared" si="84"/>
        <v>1.6984205576042233E-2</v>
      </c>
      <c r="P239">
        <f t="shared" si="85"/>
        <v>-1.1393131704914189E-2</v>
      </c>
      <c r="Q239">
        <f t="shared" si="86"/>
        <v>0.99979084478250013</v>
      </c>
      <c r="R239">
        <f t="shared" si="76"/>
        <v>1</v>
      </c>
      <c r="AG239" s="8">
        <f t="shared" si="80"/>
        <v>-0.67636295546797676</v>
      </c>
      <c r="AH239" s="8">
        <f t="shared" si="81"/>
        <v>-0.52301091192437821</v>
      </c>
      <c r="AI239" s="8">
        <f t="shared" si="82"/>
        <v>0.51864509877049281</v>
      </c>
      <c r="AJ239" s="8"/>
      <c r="AK239" s="8"/>
      <c r="AL239" s="8"/>
      <c r="AN239" s="8">
        <f t="shared" si="87"/>
        <v>1.0000000000000004</v>
      </c>
      <c r="AO239" s="8">
        <f t="shared" si="88"/>
        <v>3.7998207380190556</v>
      </c>
      <c r="AP239" s="8">
        <f t="shared" si="89"/>
        <v>1.0255308382048001</v>
      </c>
      <c r="AQ239" s="8"/>
      <c r="AR239" s="8">
        <f t="shared" si="90"/>
        <v>217.71369119477757</v>
      </c>
      <c r="AS239" s="8">
        <f t="shared" si="91"/>
        <v>31.241411210351274</v>
      </c>
    </row>
    <row r="240" spans="1:45">
      <c r="A240" s="19">
        <v>14.948266670000001</v>
      </c>
      <c r="B240" s="19">
        <v>986.75</v>
      </c>
      <c r="C240" s="19">
        <v>557.91666669999995</v>
      </c>
      <c r="E240" s="9">
        <f t="shared" si="77"/>
        <v>26.75</v>
      </c>
      <c r="F240" s="9">
        <f t="shared" si="78"/>
        <v>-17.916666699999951</v>
      </c>
      <c r="I240">
        <v>1</v>
      </c>
      <c r="J240">
        <f t="shared" si="79"/>
        <v>2.037917127043298E-2</v>
      </c>
      <c r="K240">
        <f t="shared" si="83"/>
        <v>-0.59015622634741027</v>
      </c>
      <c r="O240">
        <f t="shared" si="84"/>
        <v>1.6930938896484525E-2</v>
      </c>
      <c r="P240">
        <f t="shared" si="85"/>
        <v>-1.1340036976687036E-2</v>
      </c>
      <c r="Q240">
        <f t="shared" si="86"/>
        <v>0.99979235187585369</v>
      </c>
      <c r="R240">
        <f t="shared" si="76"/>
        <v>1</v>
      </c>
      <c r="AG240" s="8">
        <f t="shared" si="80"/>
        <v>-0.67638153537784829</v>
      </c>
      <c r="AH240" s="8">
        <f t="shared" si="81"/>
        <v>-0.52294889406316536</v>
      </c>
      <c r="AI240" s="8">
        <f t="shared" si="82"/>
        <v>0.51868340324133833</v>
      </c>
      <c r="AJ240" s="8"/>
      <c r="AK240" s="8"/>
      <c r="AL240" s="8"/>
      <c r="AN240" s="8">
        <f t="shared" si="87"/>
        <v>1</v>
      </c>
      <c r="AO240" s="8">
        <f t="shared" si="88"/>
        <v>3.7997500609048296</v>
      </c>
      <c r="AP240" s="8">
        <f t="shared" si="89"/>
        <v>1.0254860365017395</v>
      </c>
      <c r="AQ240" s="8"/>
      <c r="AR240" s="8">
        <f t="shared" si="90"/>
        <v>217.70964169442425</v>
      </c>
      <c r="AS240" s="8">
        <f t="shared" si="91"/>
        <v>31.24397815885164</v>
      </c>
    </row>
    <row r="241" spans="1:45">
      <c r="A241" s="19">
        <v>14.981633329999999</v>
      </c>
      <c r="B241" s="19">
        <v>986.16666669999995</v>
      </c>
      <c r="C241" s="19">
        <v>557.83333330000005</v>
      </c>
      <c r="E241" s="9">
        <f t="shared" si="77"/>
        <v>26.166666699999951</v>
      </c>
      <c r="F241" s="9">
        <f t="shared" si="78"/>
        <v>-17.833333300000049</v>
      </c>
      <c r="I241">
        <v>1</v>
      </c>
      <c r="J241">
        <f t="shared" si="79"/>
        <v>2.0040785424969655E-2</v>
      </c>
      <c r="K241">
        <f t="shared" si="83"/>
        <v>-0.59822122449520299</v>
      </c>
      <c r="O241">
        <f t="shared" si="84"/>
        <v>1.6559367675004422E-2</v>
      </c>
      <c r="P241">
        <f t="shared" si="85"/>
        <v>-1.1285683666601726E-2</v>
      </c>
      <c r="Q241">
        <f t="shared" si="86"/>
        <v>0.99979919018089902</v>
      </c>
      <c r="R241">
        <f t="shared" si="76"/>
        <v>1</v>
      </c>
      <c r="AG241" s="8">
        <f t="shared" si="80"/>
        <v>-0.67661128889591782</v>
      </c>
      <c r="AH241" s="8">
        <f t="shared" si="81"/>
        <v>-0.52265177539045482</v>
      </c>
      <c r="AI241" s="8">
        <f t="shared" si="82"/>
        <v>0.5186832226126179</v>
      </c>
      <c r="AJ241" s="8"/>
      <c r="AK241" s="8"/>
      <c r="AL241" s="8"/>
      <c r="AN241" s="8">
        <f t="shared" si="87"/>
        <v>1.0000000000000002</v>
      </c>
      <c r="AO241" s="8">
        <f t="shared" si="88"/>
        <v>3.7993107597191549</v>
      </c>
      <c r="AP241" s="8">
        <f t="shared" si="89"/>
        <v>1.0254862477716924</v>
      </c>
      <c r="AQ241" s="8"/>
      <c r="AR241" s="8">
        <f t="shared" si="90"/>
        <v>217.68447159055</v>
      </c>
      <c r="AS241" s="8">
        <f t="shared" si="91"/>
        <v>31.243966053975001</v>
      </c>
    </row>
    <row r="242" spans="1:45">
      <c r="A242" s="19">
        <v>15.015000000000001</v>
      </c>
      <c r="B242" s="19">
        <v>985.58333330000005</v>
      </c>
      <c r="C242" s="19">
        <v>557.75</v>
      </c>
      <c r="E242" s="9">
        <f t="shared" si="77"/>
        <v>25.583333300000049</v>
      </c>
      <c r="F242" s="9">
        <f t="shared" si="78"/>
        <v>-17.75</v>
      </c>
      <c r="I242">
        <v>1</v>
      </c>
      <c r="J242">
        <f t="shared" si="79"/>
        <v>1.9703805387741916E-2</v>
      </c>
      <c r="K242">
        <f t="shared" si="83"/>
        <v>-0.60656023597167619</v>
      </c>
      <c r="O242">
        <f t="shared" si="84"/>
        <v>1.6187868816570486E-2</v>
      </c>
      <c r="P242">
        <f t="shared" si="85"/>
        <v>-1.1231322678899138E-2</v>
      </c>
      <c r="Q242">
        <f t="shared" si="86"/>
        <v>0.9998058863069671</v>
      </c>
      <c r="R242">
        <f t="shared" si="76"/>
        <v>1</v>
      </c>
      <c r="AG242" s="8">
        <f t="shared" si="80"/>
        <v>-0.67684089541161796</v>
      </c>
      <c r="AH242" s="8">
        <f t="shared" si="81"/>
        <v>-0.52235463544435767</v>
      </c>
      <c r="AI242" s="8">
        <f t="shared" si="82"/>
        <v>0.51868298326452889</v>
      </c>
      <c r="AJ242" s="8"/>
      <c r="AK242" s="8"/>
      <c r="AL242" s="8"/>
      <c r="AN242" s="8">
        <f t="shared" si="87"/>
        <v>1</v>
      </c>
      <c r="AO242" s="8">
        <f t="shared" si="88"/>
        <v>3.7988715440816172</v>
      </c>
      <c r="AP242" s="8">
        <f t="shared" si="89"/>
        <v>1.0254865277219229</v>
      </c>
      <c r="AQ242" s="8"/>
      <c r="AR242" s="8">
        <f t="shared" si="90"/>
        <v>217.65930638822294</v>
      </c>
      <c r="AS242" s="8">
        <f t="shared" si="91"/>
        <v>31.24395001400832</v>
      </c>
    </row>
    <row r="243" spans="1:45">
      <c r="A243" s="19">
        <v>15.04836667</v>
      </c>
      <c r="B243" s="19">
        <v>985.42371390000005</v>
      </c>
      <c r="C243" s="19">
        <v>558.52927020000004</v>
      </c>
      <c r="E243" s="9">
        <f t="shared" si="77"/>
        <v>25.423713900000052</v>
      </c>
      <c r="F243" s="9">
        <f t="shared" si="78"/>
        <v>-18.529270200000042</v>
      </c>
      <c r="I243">
        <v>1</v>
      </c>
      <c r="J243">
        <f t="shared" si="79"/>
        <v>1.9909081073315769E-2</v>
      </c>
      <c r="K243">
        <f t="shared" si="83"/>
        <v>-0.6298064894753187</v>
      </c>
      <c r="O243">
        <f t="shared" si="84"/>
        <v>1.6088291747624328E-2</v>
      </c>
      <c r="P243">
        <f t="shared" si="85"/>
        <v>-1.1725442868839139E-2</v>
      </c>
      <c r="Q243">
        <f t="shared" si="86"/>
        <v>0.99980182079158708</v>
      </c>
      <c r="R243">
        <f t="shared" si="76"/>
        <v>1</v>
      </c>
      <c r="AG243" s="8">
        <f t="shared" si="80"/>
        <v>-0.67706368082592383</v>
      </c>
      <c r="AH243" s="8">
        <f t="shared" si="81"/>
        <v>-0.52249312683276072</v>
      </c>
      <c r="AI243" s="8">
        <f t="shared" si="82"/>
        <v>0.51825254897489526</v>
      </c>
      <c r="AJ243" s="8"/>
      <c r="AK243" s="8"/>
      <c r="AL243" s="8"/>
      <c r="AN243" s="8">
        <f t="shared" si="87"/>
        <v>1</v>
      </c>
      <c r="AO243" s="8">
        <f t="shared" si="88"/>
        <v>3.798840585883831</v>
      </c>
      <c r="AP243" s="8">
        <f t="shared" si="89"/>
        <v>1.0259899024408625</v>
      </c>
      <c r="AQ243" s="8"/>
      <c r="AR243" s="8">
        <f t="shared" si="90"/>
        <v>217.65753261414847</v>
      </c>
      <c r="AS243" s="8">
        <f t="shared" si="91"/>
        <v>31.215108767099501</v>
      </c>
    </row>
    <row r="244" spans="1:45">
      <c r="A244" s="19">
        <v>15.08173333</v>
      </c>
      <c r="B244" s="19">
        <v>984.56282880000003</v>
      </c>
      <c r="C244" s="19">
        <v>558.30462139999997</v>
      </c>
      <c r="E244" s="9">
        <f t="shared" si="77"/>
        <v>24.562828800000034</v>
      </c>
      <c r="F244" s="9">
        <f t="shared" si="78"/>
        <v>-18.304621399999974</v>
      </c>
      <c r="I244">
        <v>1</v>
      </c>
      <c r="J244">
        <f t="shared" si="79"/>
        <v>1.9381647051662811E-2</v>
      </c>
      <c r="K244">
        <f t="shared" si="83"/>
        <v>-0.64043253063056071</v>
      </c>
      <c r="O244">
        <f t="shared" si="84"/>
        <v>1.5539956075518809E-2</v>
      </c>
      <c r="P244">
        <f t="shared" si="85"/>
        <v>-1.158062920403536E-2</v>
      </c>
      <c r="Q244">
        <f t="shared" si="86"/>
        <v>0.99981218175835884</v>
      </c>
      <c r="R244">
        <f t="shared" si="76"/>
        <v>1</v>
      </c>
      <c r="AG244" s="8">
        <f t="shared" si="80"/>
        <v>-0.6773819308810306</v>
      </c>
      <c r="AH244" s="8">
        <f t="shared" si="81"/>
        <v>-0.5220267191943937</v>
      </c>
      <c r="AI244" s="8">
        <f t="shared" si="82"/>
        <v>0.51830668929025459</v>
      </c>
      <c r="AJ244" s="8"/>
      <c r="AK244" s="8"/>
      <c r="AL244" s="8"/>
      <c r="AN244" s="8">
        <f t="shared" si="87"/>
        <v>1.0000000000000002</v>
      </c>
      <c r="AO244" s="8">
        <f t="shared" si="88"/>
        <v>3.7981814660500661</v>
      </c>
      <c r="AP244" s="8">
        <f t="shared" si="89"/>
        <v>1.0259265960740778</v>
      </c>
      <c r="AQ244" s="8"/>
      <c r="AR244" s="8">
        <f t="shared" si="90"/>
        <v>217.61976782948037</v>
      </c>
      <c r="AS244" s="8">
        <f t="shared" si="91"/>
        <v>31.218735954732573</v>
      </c>
    </row>
    <row r="245" spans="1:45">
      <c r="A245" s="19">
        <v>15.1151</v>
      </c>
      <c r="B245" s="19">
        <v>983.5</v>
      </c>
      <c r="C245" s="19">
        <v>557.41666669999995</v>
      </c>
      <c r="E245" s="9">
        <f t="shared" si="77"/>
        <v>23.5</v>
      </c>
      <c r="F245" s="9">
        <f t="shared" si="78"/>
        <v>-17.416666699999951</v>
      </c>
      <c r="I245">
        <v>1</v>
      </c>
      <c r="J245">
        <f t="shared" si="79"/>
        <v>1.849932251746178E-2</v>
      </c>
      <c r="K245">
        <f t="shared" si="83"/>
        <v>-0.63780316567585116</v>
      </c>
      <c r="O245">
        <f t="shared" si="84"/>
        <v>1.4861614578108549E-2</v>
      </c>
      <c r="P245">
        <f t="shared" si="85"/>
        <v>-1.101445905237349E-2</v>
      </c>
      <c r="Q245">
        <f t="shared" si="86"/>
        <v>0.9998288924130545</v>
      </c>
      <c r="R245">
        <f t="shared" si="76"/>
        <v>1</v>
      </c>
      <c r="AG245" s="8">
        <f t="shared" si="80"/>
        <v>-0.67765257300245152</v>
      </c>
      <c r="AH245" s="8">
        <f t="shared" si="81"/>
        <v>-0.52128348121558188</v>
      </c>
      <c r="AI245" s="8">
        <f t="shared" si="82"/>
        <v>0.51870080250074924</v>
      </c>
      <c r="AJ245" s="8"/>
      <c r="AK245" s="8"/>
      <c r="AL245" s="8"/>
      <c r="AN245" s="8">
        <f t="shared" si="87"/>
        <v>1</v>
      </c>
      <c r="AO245" s="8">
        <f t="shared" si="88"/>
        <v>3.7972996563936832</v>
      </c>
      <c r="AP245" s="8">
        <f t="shared" si="89"/>
        <v>1.0254656855651008</v>
      </c>
      <c r="AQ245" s="8"/>
      <c r="AR245" s="8">
        <f t="shared" si="90"/>
        <v>217.56924385783574</v>
      </c>
      <c r="AS245" s="8">
        <f t="shared" si="91"/>
        <v>31.245144181630181</v>
      </c>
    </row>
    <row r="246" spans="1:45">
      <c r="A246" s="19">
        <v>15.148466669999999</v>
      </c>
      <c r="B246" s="19">
        <v>983.50730959999999</v>
      </c>
      <c r="C246" s="19">
        <v>558.1072332</v>
      </c>
      <c r="E246" s="9">
        <f t="shared" si="77"/>
        <v>23.507309599999985</v>
      </c>
      <c r="F246" s="9">
        <f t="shared" si="78"/>
        <v>-18.107233199999996</v>
      </c>
      <c r="I246">
        <v>1</v>
      </c>
      <c r="J246">
        <f t="shared" si="79"/>
        <v>1.8768675703371644E-2</v>
      </c>
      <c r="K246">
        <f t="shared" si="83"/>
        <v>-0.65635508192310754</v>
      </c>
      <c r="O246">
        <f t="shared" si="84"/>
        <v>1.4868079966203939E-2</v>
      </c>
      <c r="P246">
        <f t="shared" si="85"/>
        <v>-1.1452599032613368E-2</v>
      </c>
      <c r="Q246">
        <f t="shared" si="86"/>
        <v>0.99982387357649982</v>
      </c>
      <c r="R246">
        <f t="shared" si="76"/>
        <v>1</v>
      </c>
      <c r="AG246" s="8">
        <f t="shared" si="80"/>
        <v>-0.67778724759818698</v>
      </c>
      <c r="AH246" s="8">
        <f t="shared" si="81"/>
        <v>-0.52147619811871782</v>
      </c>
      <c r="AI246" s="8">
        <f t="shared" si="82"/>
        <v>0.51833099636132296</v>
      </c>
      <c r="AJ246" s="8"/>
      <c r="AK246" s="8"/>
      <c r="AL246" s="8"/>
      <c r="AN246" s="8">
        <f t="shared" si="87"/>
        <v>1</v>
      </c>
      <c r="AO246" s="8">
        <f t="shared" si="88"/>
        <v>3.7973822552993668</v>
      </c>
      <c r="AP246" s="8">
        <f t="shared" si="89"/>
        <v>1.0258981729827097</v>
      </c>
      <c r="AQ246" s="8"/>
      <c r="AR246" s="8">
        <f t="shared" si="90"/>
        <v>217.57397642652381</v>
      </c>
      <c r="AS246" s="8">
        <f t="shared" si="91"/>
        <v>31.220364477908674</v>
      </c>
    </row>
    <row r="247" spans="1:45">
      <c r="A247" s="19">
        <v>15.18183333</v>
      </c>
      <c r="B247" s="19">
        <v>983.08333330000005</v>
      </c>
      <c r="C247" s="19">
        <v>557.41666669999995</v>
      </c>
      <c r="E247" s="9">
        <f t="shared" si="77"/>
        <v>23.083333300000049</v>
      </c>
      <c r="F247" s="9">
        <f t="shared" si="78"/>
        <v>-17.416666699999951</v>
      </c>
      <c r="I247">
        <v>1</v>
      </c>
      <c r="J247">
        <f t="shared" si="79"/>
        <v>1.8286442429619597E-2</v>
      </c>
      <c r="K247">
        <f t="shared" si="83"/>
        <v>-0.64638294681027719</v>
      </c>
      <c r="O247">
        <f t="shared" si="84"/>
        <v>1.4596660563385473E-2</v>
      </c>
      <c r="P247">
        <f t="shared" si="85"/>
        <v>-1.1013364866395519E-2</v>
      </c>
      <c r="Q247">
        <f t="shared" si="86"/>
        <v>0.99983280767072102</v>
      </c>
      <c r="R247">
        <f t="shared" si="76"/>
        <v>1</v>
      </c>
      <c r="AG247" s="8">
        <f t="shared" si="80"/>
        <v>-0.67782797974110975</v>
      </c>
      <c r="AH247" s="8">
        <f t="shared" si="81"/>
        <v>-0.52108750097491419</v>
      </c>
      <c r="AI247" s="8">
        <f t="shared" si="82"/>
        <v>0.51866853211642283</v>
      </c>
      <c r="AJ247" s="8"/>
      <c r="AK247" s="8"/>
      <c r="AL247" s="8"/>
      <c r="AN247" s="8">
        <f t="shared" si="87"/>
        <v>1.0000000000000002</v>
      </c>
      <c r="AO247" s="8">
        <f t="shared" si="88"/>
        <v>3.7969928800359236</v>
      </c>
      <c r="AP247" s="8">
        <f t="shared" si="89"/>
        <v>1.0255034302222845</v>
      </c>
      <c r="AQ247" s="8"/>
      <c r="AR247" s="8">
        <f t="shared" si="90"/>
        <v>217.55166686728171</v>
      </c>
      <c r="AS247" s="8">
        <f t="shared" si="91"/>
        <v>31.242981572074385</v>
      </c>
    </row>
    <row r="248" spans="1:45">
      <c r="A248" s="19">
        <v>15.215199999999999</v>
      </c>
      <c r="B248" s="19">
        <v>982.33333330000005</v>
      </c>
      <c r="C248" s="19">
        <v>557.5</v>
      </c>
      <c r="E248" s="9">
        <f t="shared" si="77"/>
        <v>22.333333300000049</v>
      </c>
      <c r="F248" s="9">
        <f t="shared" si="78"/>
        <v>-17.5</v>
      </c>
      <c r="I248">
        <v>1</v>
      </c>
      <c r="J248">
        <f t="shared" si="79"/>
        <v>1.7939578778401081E-2</v>
      </c>
      <c r="K248">
        <f t="shared" si="83"/>
        <v>-0.66464954240003593</v>
      </c>
      <c r="O248">
        <f t="shared" si="84"/>
        <v>1.4120076878439494E-2</v>
      </c>
      <c r="P248">
        <f t="shared" si="85"/>
        <v>-1.1064239361559638E-2</v>
      </c>
      <c r="Q248">
        <f t="shared" si="86"/>
        <v>0.99983909007214611</v>
      </c>
      <c r="R248">
        <f t="shared" si="76"/>
        <v>1</v>
      </c>
      <c r="AG248" s="8">
        <f t="shared" si="80"/>
        <v>-0.67816013723410684</v>
      </c>
      <c r="AH248" s="8">
        <f t="shared" si="81"/>
        <v>-0.52075756675107865</v>
      </c>
      <c r="AI248" s="8">
        <f t="shared" si="82"/>
        <v>0.51856569973158972</v>
      </c>
      <c r="AJ248" s="8"/>
      <c r="AK248" s="8"/>
      <c r="AL248" s="8"/>
      <c r="AN248" s="8">
        <f t="shared" si="87"/>
        <v>1</v>
      </c>
      <c r="AO248" s="8">
        <f t="shared" si="88"/>
        <v>3.796450195910217</v>
      </c>
      <c r="AP248" s="8">
        <f t="shared" si="89"/>
        <v>1.0256237010890721</v>
      </c>
      <c r="AQ248" s="8"/>
      <c r="AR248" s="8">
        <f t="shared" si="90"/>
        <v>217.52057335727</v>
      </c>
      <c r="AS248" s="8">
        <f t="shared" si="91"/>
        <v>31.236090559009078</v>
      </c>
    </row>
    <row r="249" spans="1:45">
      <c r="A249" s="19">
        <v>15.248566670000001</v>
      </c>
      <c r="B249" s="19">
        <v>981.58333330000005</v>
      </c>
      <c r="C249" s="19">
        <v>557.25</v>
      </c>
      <c r="E249" s="9">
        <f t="shared" si="77"/>
        <v>21.583333300000049</v>
      </c>
      <c r="F249" s="9">
        <f t="shared" si="78"/>
        <v>-17.25</v>
      </c>
      <c r="I249">
        <v>1</v>
      </c>
      <c r="J249">
        <f t="shared" si="79"/>
        <v>1.7465553335455714E-2</v>
      </c>
      <c r="K249">
        <f t="shared" si="83"/>
        <v>-0.67426991145247972</v>
      </c>
      <c r="O249">
        <f t="shared" si="84"/>
        <v>1.3642749940818657E-2</v>
      </c>
      <c r="P249">
        <f t="shared" si="85"/>
        <v>-1.0903665027455297E-2</v>
      </c>
      <c r="Q249">
        <f t="shared" si="86"/>
        <v>0.99984748110050337</v>
      </c>
      <c r="R249">
        <f t="shared" si="76"/>
        <v>1</v>
      </c>
      <c r="AG249" s="8">
        <f t="shared" si="80"/>
        <v>-0.67842553281717832</v>
      </c>
      <c r="AH249" s="8">
        <f t="shared" si="81"/>
        <v>-0.52033623947480068</v>
      </c>
      <c r="AI249" s="8">
        <f t="shared" si="82"/>
        <v>0.51864148919166764</v>
      </c>
      <c r="AJ249" s="8"/>
      <c r="AK249" s="8"/>
      <c r="AL249" s="8"/>
      <c r="AN249" s="8">
        <f t="shared" si="87"/>
        <v>1</v>
      </c>
      <c r="AO249" s="8">
        <f t="shared" si="88"/>
        <v>3.795870298548949</v>
      </c>
      <c r="AP249" s="8">
        <f t="shared" si="89"/>
        <v>1.0255350599802355</v>
      </c>
      <c r="AQ249" s="8"/>
      <c r="AR249" s="8">
        <f t="shared" si="90"/>
        <v>217.48734768591856</v>
      </c>
      <c r="AS249" s="8">
        <f t="shared" si="91"/>
        <v>31.241169320436768</v>
      </c>
    </row>
    <row r="250" spans="1:45">
      <c r="A250" s="19">
        <v>15.281933329999999</v>
      </c>
      <c r="B250" s="19">
        <v>981.5</v>
      </c>
      <c r="C250" s="19">
        <v>557.25</v>
      </c>
      <c r="E250" s="9">
        <f t="shared" si="77"/>
        <v>21.5</v>
      </c>
      <c r="F250" s="9">
        <f t="shared" si="78"/>
        <v>-17.25</v>
      </c>
      <c r="I250">
        <v>1</v>
      </c>
      <c r="J250">
        <f t="shared" si="79"/>
        <v>1.7424073543269938E-2</v>
      </c>
      <c r="K250">
        <f t="shared" si="83"/>
        <v>-0.67615737187120462</v>
      </c>
      <c r="O250">
        <f t="shared" si="84"/>
        <v>1.3589796797886102E-2</v>
      </c>
      <c r="P250">
        <f t="shared" si="85"/>
        <v>-1.0903441616908616E-2</v>
      </c>
      <c r="Q250">
        <f t="shared" si="86"/>
        <v>0.99984820467103852</v>
      </c>
      <c r="R250">
        <f t="shared" si="76"/>
        <v>1</v>
      </c>
      <c r="AG250" s="8">
        <f t="shared" si="80"/>
        <v>-0.67846054739831363</v>
      </c>
      <c r="AH250" s="8">
        <f t="shared" si="81"/>
        <v>-0.52029703944085881</v>
      </c>
      <c r="AI250" s="8">
        <f t="shared" si="82"/>
        <v>0.51863501267563716</v>
      </c>
      <c r="AJ250" s="8"/>
      <c r="AK250" s="8"/>
      <c r="AL250" s="8"/>
      <c r="AN250" s="8">
        <f t="shared" si="87"/>
        <v>1.0000000000000002</v>
      </c>
      <c r="AO250" s="8">
        <f t="shared" si="88"/>
        <v>3.7958089951579579</v>
      </c>
      <c r="AP250" s="8">
        <f t="shared" si="89"/>
        <v>1.025542634907888</v>
      </c>
      <c r="AQ250" s="8"/>
      <c r="AR250" s="8">
        <f t="shared" si="90"/>
        <v>217.48383526034493</v>
      </c>
      <c r="AS250" s="8">
        <f t="shared" si="91"/>
        <v>31.24073530905217</v>
      </c>
    </row>
    <row r="251" spans="1:45">
      <c r="A251" s="19">
        <v>15.315300000000001</v>
      </c>
      <c r="B251" s="19">
        <v>980.97614439999995</v>
      </c>
      <c r="C251" s="19">
        <v>557.2312177</v>
      </c>
      <c r="E251" s="9">
        <f t="shared" si="77"/>
        <v>20.976144399999953</v>
      </c>
      <c r="F251" s="9">
        <f t="shared" si="78"/>
        <v>-17.231217700000002</v>
      </c>
      <c r="I251">
        <v>1</v>
      </c>
      <c r="J251">
        <f t="shared" si="79"/>
        <v>1.7157194144041356E-2</v>
      </c>
      <c r="K251">
        <f t="shared" si="83"/>
        <v>-0.68769440898828738</v>
      </c>
      <c r="O251">
        <f t="shared" si="84"/>
        <v>1.3256911794864617E-2</v>
      </c>
      <c r="P251">
        <f t="shared" si="85"/>
        <v>-1.08901201675085E-2</v>
      </c>
      <c r="Q251">
        <f t="shared" si="86"/>
        <v>0.99985281895507017</v>
      </c>
      <c r="R251">
        <f t="shared" si="76"/>
        <v>1</v>
      </c>
      <c r="AG251" s="8">
        <f t="shared" si="80"/>
        <v>-0.67867683692460912</v>
      </c>
      <c r="AH251" s="8">
        <f t="shared" si="81"/>
        <v>-0.52004546559708176</v>
      </c>
      <c r="AI251" s="8">
        <f t="shared" si="82"/>
        <v>0.51860434314988324</v>
      </c>
      <c r="AJ251" s="8"/>
      <c r="AK251" s="8"/>
      <c r="AL251" s="8"/>
      <c r="AN251" s="8">
        <f t="shared" si="87"/>
        <v>0.99999999999999978</v>
      </c>
      <c r="AO251" s="8">
        <f t="shared" si="88"/>
        <v>3.7954215742190334</v>
      </c>
      <c r="AP251" s="8">
        <f t="shared" si="89"/>
        <v>1.0255785054865236</v>
      </c>
      <c r="AQ251" s="8"/>
      <c r="AR251" s="8">
        <f t="shared" si="90"/>
        <v>217.46163767564954</v>
      </c>
      <c r="AS251" s="8">
        <f t="shared" si="91"/>
        <v>31.23868007628765</v>
      </c>
    </row>
    <row r="252" spans="1:45">
      <c r="A252" s="19">
        <v>15.34866667</v>
      </c>
      <c r="B252" s="19">
        <v>980.46114720000003</v>
      </c>
      <c r="C252" s="19">
        <v>557.17716089999999</v>
      </c>
      <c r="E252" s="9">
        <f t="shared" si="77"/>
        <v>20.461147200000028</v>
      </c>
      <c r="F252" s="9">
        <f t="shared" si="78"/>
        <v>-17.17716089999999</v>
      </c>
      <c r="I252">
        <v>1</v>
      </c>
      <c r="J252">
        <f t="shared" si="79"/>
        <v>1.6882578285875232E-2</v>
      </c>
      <c r="K252">
        <f t="shared" si="83"/>
        <v>-0.69836739827499394</v>
      </c>
      <c r="O252">
        <f t="shared" si="84"/>
        <v>1.2929632929683122E-2</v>
      </c>
      <c r="P252">
        <f t="shared" si="85"/>
        <v>-1.0854444427783841E-2</v>
      </c>
      <c r="Q252">
        <f t="shared" si="86"/>
        <v>0.99985749266006296</v>
      </c>
      <c r="R252">
        <f t="shared" si="76"/>
        <v>1</v>
      </c>
      <c r="AG252" s="8">
        <f t="shared" si="80"/>
        <v>-0.67888224297673661</v>
      </c>
      <c r="AH252" s="8">
        <f t="shared" si="81"/>
        <v>-0.51978838417269735</v>
      </c>
      <c r="AI252" s="8">
        <f t="shared" si="82"/>
        <v>0.51859322773249905</v>
      </c>
      <c r="AJ252" s="8"/>
      <c r="AK252" s="8"/>
      <c r="AL252" s="8"/>
      <c r="AN252" s="8">
        <f t="shared" si="87"/>
        <v>1</v>
      </c>
      <c r="AO252" s="8">
        <f t="shared" si="88"/>
        <v>3.7950367938870793</v>
      </c>
      <c r="AP252" s="8">
        <f t="shared" si="89"/>
        <v>1.0255915057052767</v>
      </c>
      <c r="AQ252" s="8"/>
      <c r="AR252" s="8">
        <f t="shared" si="90"/>
        <v>217.43959138658894</v>
      </c>
      <c r="AS252" s="8">
        <f t="shared" si="91"/>
        <v>31.237935218620358</v>
      </c>
    </row>
    <row r="253" spans="1:45">
      <c r="A253" s="19">
        <v>15.382033330000001</v>
      </c>
      <c r="B253" s="19">
        <v>979.67285760000004</v>
      </c>
      <c r="C253" s="19">
        <v>557.16104629999995</v>
      </c>
      <c r="E253" s="9">
        <f t="shared" si="77"/>
        <v>19.672857600000043</v>
      </c>
      <c r="F253" s="9">
        <f t="shared" si="78"/>
        <v>-17.161046299999953</v>
      </c>
      <c r="I253">
        <v>1</v>
      </c>
      <c r="J253">
        <f t="shared" si="79"/>
        <v>1.6494104227818069E-2</v>
      </c>
      <c r="K253">
        <f t="shared" si="83"/>
        <v>-0.71731065907662506</v>
      </c>
      <c r="O253">
        <f t="shared" si="84"/>
        <v>1.242900275919394E-2</v>
      </c>
      <c r="P253">
        <f t="shared" si="85"/>
        <v>-1.0842079790856305E-2</v>
      </c>
      <c r="Q253">
        <f t="shared" si="86"/>
        <v>0.99986397534675719</v>
      </c>
      <c r="R253">
        <f t="shared" si="76"/>
        <v>1</v>
      </c>
      <c r="AG253" s="8">
        <f t="shared" si="80"/>
        <v>-0.67920970276611847</v>
      </c>
      <c r="AH253" s="8">
        <f t="shared" si="81"/>
        <v>-0.51941314159574825</v>
      </c>
      <c r="AI253" s="8">
        <f t="shared" si="82"/>
        <v>0.51854042080246399</v>
      </c>
      <c r="AJ253" s="8"/>
      <c r="AK253" s="8"/>
      <c r="AL253" s="8"/>
      <c r="AN253" s="8">
        <f t="shared" si="87"/>
        <v>1.0000000000000002</v>
      </c>
      <c r="AO253" s="8">
        <f t="shared" si="88"/>
        <v>3.794455529961418</v>
      </c>
      <c r="AP253" s="8">
        <f t="shared" si="89"/>
        <v>1.0256532655164263</v>
      </c>
      <c r="AQ253" s="8"/>
      <c r="AR253" s="8">
        <f t="shared" si="90"/>
        <v>217.40628741686535</v>
      </c>
      <c r="AS253" s="8">
        <f t="shared" si="91"/>
        <v>31.234396642097956</v>
      </c>
    </row>
    <row r="254" spans="1:45">
      <c r="A254" s="19">
        <v>15.4154</v>
      </c>
      <c r="B254" s="19">
        <v>979.25</v>
      </c>
      <c r="C254" s="19">
        <v>556.41666669999995</v>
      </c>
      <c r="E254" s="9">
        <f t="shared" si="77"/>
        <v>19.25</v>
      </c>
      <c r="F254" s="9">
        <f t="shared" si="78"/>
        <v>-16.416666699999951</v>
      </c>
      <c r="I254">
        <v>1</v>
      </c>
      <c r="J254">
        <f t="shared" si="79"/>
        <v>1.5980186837806349E-2</v>
      </c>
      <c r="K254">
        <f t="shared" si="83"/>
        <v>-0.706125385167928</v>
      </c>
      <c r="O254">
        <f t="shared" si="84"/>
        <v>1.2158515542591054E-2</v>
      </c>
      <c r="P254">
        <f t="shared" si="85"/>
        <v>-1.0368950505427865E-2</v>
      </c>
      <c r="Q254">
        <f t="shared" si="86"/>
        <v>0.99987231953145728</v>
      </c>
      <c r="R254">
        <f t="shared" si="76"/>
        <v>1</v>
      </c>
      <c r="AG254" s="8">
        <f t="shared" si="80"/>
        <v>-0.67923841161600529</v>
      </c>
      <c r="AH254" s="8">
        <f t="shared" si="81"/>
        <v>-0.51901010874144982</v>
      </c>
      <c r="AI254" s="8">
        <f t="shared" si="82"/>
        <v>0.51890624125130225</v>
      </c>
      <c r="AJ254" s="8"/>
      <c r="AK254" s="8"/>
      <c r="AL254" s="8"/>
      <c r="AN254" s="8">
        <f t="shared" si="87"/>
        <v>1</v>
      </c>
      <c r="AO254" s="8">
        <f t="shared" si="88"/>
        <v>3.7940606123258078</v>
      </c>
      <c r="AP254" s="8">
        <f t="shared" si="89"/>
        <v>1.0252253763917596</v>
      </c>
      <c r="AQ254" s="8"/>
      <c r="AR254" s="8">
        <f t="shared" si="90"/>
        <v>217.38366030308958</v>
      </c>
      <c r="AS254" s="8">
        <f t="shared" si="91"/>
        <v>31.258912883040907</v>
      </c>
    </row>
    <row r="255" spans="1:45">
      <c r="A255" s="19">
        <v>15.448766669999999</v>
      </c>
      <c r="B255" s="19">
        <v>978.51780680000002</v>
      </c>
      <c r="C255" s="19">
        <v>556.69985599999995</v>
      </c>
      <c r="E255" s="9">
        <f t="shared" si="77"/>
        <v>18.517806800000017</v>
      </c>
      <c r="F255" s="9">
        <f t="shared" si="78"/>
        <v>-16.699855999999954</v>
      </c>
      <c r="I255">
        <v>1</v>
      </c>
      <c r="J255">
        <f t="shared" si="79"/>
        <v>1.5748389478625571E-2</v>
      </c>
      <c r="K255">
        <f t="shared" si="83"/>
        <v>-0.73382351343692043</v>
      </c>
      <c r="O255">
        <f t="shared" si="84"/>
        <v>1.1694572614900681E-2</v>
      </c>
      <c r="P255">
        <f t="shared" si="85"/>
        <v>-1.0546479977876437E-2</v>
      </c>
      <c r="Q255">
        <f t="shared" si="86"/>
        <v>0.99987599667730354</v>
      </c>
      <c r="R255">
        <f t="shared" si="76"/>
        <v>1</v>
      </c>
      <c r="AG255" s="8">
        <f t="shared" si="80"/>
        <v>-0.67960167374207914</v>
      </c>
      <c r="AH255" s="8">
        <f t="shared" si="81"/>
        <v>-0.5187433291938911</v>
      </c>
      <c r="AI255" s="8">
        <f t="shared" si="82"/>
        <v>0.51869733319519107</v>
      </c>
      <c r="AJ255" s="8"/>
      <c r="AK255" s="8"/>
      <c r="AL255" s="8"/>
      <c r="AN255" s="8">
        <f t="shared" si="87"/>
        <v>1</v>
      </c>
      <c r="AO255" s="8">
        <f t="shared" si="88"/>
        <v>3.7935546995727583</v>
      </c>
      <c r="AP255" s="8">
        <f t="shared" si="89"/>
        <v>1.0254697434370412</v>
      </c>
      <c r="AQ255" s="8"/>
      <c r="AR255" s="8">
        <f t="shared" si="90"/>
        <v>217.35467363753801</v>
      </c>
      <c r="AS255" s="8">
        <f t="shared" si="91"/>
        <v>31.244911682694188</v>
      </c>
    </row>
    <row r="256" spans="1:45">
      <c r="A256" s="19">
        <v>15.48213333</v>
      </c>
      <c r="B256" s="19">
        <v>978.08229019999999</v>
      </c>
      <c r="C256" s="19">
        <v>556.19439950000003</v>
      </c>
      <c r="E256" s="9">
        <f t="shared" si="77"/>
        <v>18.082290199999989</v>
      </c>
      <c r="F256" s="9">
        <f t="shared" si="78"/>
        <v>-16.194399500000031</v>
      </c>
      <c r="I256">
        <v>1</v>
      </c>
      <c r="J256">
        <f t="shared" si="79"/>
        <v>1.5326787322379206E-2</v>
      </c>
      <c r="K256">
        <f t="shared" si="83"/>
        <v>-0.73037578057585917</v>
      </c>
      <c r="O256">
        <f t="shared" si="84"/>
        <v>1.1416840933493823E-2</v>
      </c>
      <c r="P256">
        <f t="shared" si="85"/>
        <v>-1.0224859852373808E-2</v>
      </c>
      <c r="Q256">
        <f t="shared" si="86"/>
        <v>0.99988254709445679</v>
      </c>
      <c r="R256">
        <f t="shared" si="76"/>
        <v>1</v>
      </c>
      <c r="AG256" s="8">
        <f t="shared" si="80"/>
        <v>-0.67968310639985141</v>
      </c>
      <c r="AH256" s="8">
        <f t="shared" si="81"/>
        <v>-0.51839984247396276</v>
      </c>
      <c r="AI256" s="8">
        <f t="shared" si="82"/>
        <v>0.51893398250415124</v>
      </c>
      <c r="AJ256" s="8"/>
      <c r="AK256" s="8"/>
      <c r="AL256" s="8"/>
      <c r="AN256" s="8">
        <f t="shared" si="87"/>
        <v>0.99999999999999978</v>
      </c>
      <c r="AO256" s="8">
        <f t="shared" si="88"/>
        <v>3.7931774891471495</v>
      </c>
      <c r="AP256" s="8">
        <f t="shared" si="89"/>
        <v>1.0251929237538722</v>
      </c>
      <c r="AQ256" s="8"/>
      <c r="AR256" s="8">
        <f t="shared" si="90"/>
        <v>217.33306107216228</v>
      </c>
      <c r="AS256" s="8">
        <f t="shared" si="91"/>
        <v>31.260772282225922</v>
      </c>
    </row>
    <row r="257" spans="1:45">
      <c r="A257" s="19">
        <v>15.515499999999999</v>
      </c>
      <c r="B257" s="19">
        <v>977.60642299999995</v>
      </c>
      <c r="C257" s="19">
        <v>556.20459300000005</v>
      </c>
      <c r="E257" s="9">
        <f t="shared" si="77"/>
        <v>17.60642299999995</v>
      </c>
      <c r="F257" s="9">
        <f t="shared" si="78"/>
        <v>-16.204593000000045</v>
      </c>
      <c r="I257">
        <v>1</v>
      </c>
      <c r="J257">
        <f t="shared" si="79"/>
        <v>1.5106735913057884E-2</v>
      </c>
      <c r="K257">
        <f t="shared" si="83"/>
        <v>-0.74396114825855064</v>
      </c>
      <c r="O257">
        <f t="shared" si="84"/>
        <v>1.1114989902054005E-2</v>
      </c>
      <c r="P257">
        <f t="shared" si="85"/>
        <v>-1.0230010238984719E-2</v>
      </c>
      <c r="Q257">
        <f t="shared" si="86"/>
        <v>0.9998858954350679</v>
      </c>
      <c r="R257">
        <f t="shared" si="76"/>
        <v>1</v>
      </c>
      <c r="AG257" s="8">
        <f t="shared" si="80"/>
        <v>-0.67988425742489755</v>
      </c>
      <c r="AH257" s="8">
        <f t="shared" si="81"/>
        <v>-0.51817878857765143</v>
      </c>
      <c r="AI257" s="8">
        <f t="shared" si="82"/>
        <v>0.51889125987435303</v>
      </c>
      <c r="AJ257" s="8"/>
      <c r="AK257" s="8"/>
      <c r="AL257" s="8"/>
      <c r="AN257" s="8">
        <f t="shared" si="87"/>
        <v>1.0000000000000002</v>
      </c>
      <c r="AO257" s="8">
        <f t="shared" si="88"/>
        <v>3.7928291753082806</v>
      </c>
      <c r="AP257" s="8">
        <f t="shared" si="89"/>
        <v>1.0252429018376668</v>
      </c>
      <c r="AQ257" s="8"/>
      <c r="AR257" s="8">
        <f t="shared" si="90"/>
        <v>217.31310415924909</v>
      </c>
      <c r="AS257" s="8">
        <f t="shared" si="91"/>
        <v>31.257908748956339</v>
      </c>
    </row>
    <row r="258" spans="1:45">
      <c r="A258" s="19">
        <v>15.548866670000001</v>
      </c>
      <c r="B258" s="19">
        <v>977.4070074</v>
      </c>
      <c r="C258" s="19">
        <v>556.22074080000004</v>
      </c>
      <c r="E258" s="9">
        <f t="shared" si="77"/>
        <v>17.407007399999998</v>
      </c>
      <c r="F258" s="9">
        <f t="shared" si="78"/>
        <v>-16.220740800000044</v>
      </c>
      <c r="I258">
        <v>1</v>
      </c>
      <c r="J258">
        <f t="shared" si="79"/>
        <v>1.5020538754238649E-2</v>
      </c>
      <c r="K258">
        <f t="shared" si="83"/>
        <v>-0.75013636452782195</v>
      </c>
      <c r="O258">
        <f t="shared" si="84"/>
        <v>1.0988551518677635E-2</v>
      </c>
      <c r="P258">
        <f t="shared" si="85"/>
        <v>-1.0239694960543118E-2</v>
      </c>
      <c r="Q258">
        <f t="shared" si="86"/>
        <v>0.99988719382870206</v>
      </c>
      <c r="R258">
        <f t="shared" si="76"/>
        <v>1</v>
      </c>
      <c r="AG258" s="8">
        <f t="shared" si="80"/>
        <v>-0.67997088895985791</v>
      </c>
      <c r="AH258" s="8">
        <f t="shared" si="81"/>
        <v>-0.51808941330513525</v>
      </c>
      <c r="AI258" s="8">
        <f t="shared" si="82"/>
        <v>0.5188669867974659</v>
      </c>
      <c r="AJ258" s="8"/>
      <c r="AK258" s="8"/>
      <c r="AL258" s="8"/>
      <c r="AN258" s="8">
        <f t="shared" si="87"/>
        <v>1.0000000000000004</v>
      </c>
      <c r="AO258" s="8">
        <f t="shared" si="88"/>
        <v>3.7926845932007978</v>
      </c>
      <c r="AP258" s="8">
        <f t="shared" si="89"/>
        <v>1.0252712964617947</v>
      </c>
      <c r="AQ258" s="8"/>
      <c r="AR258" s="8">
        <f t="shared" si="90"/>
        <v>217.30482021469723</v>
      </c>
      <c r="AS258" s="8">
        <f t="shared" si="91"/>
        <v>31.256281856832949</v>
      </c>
    </row>
    <row r="259" spans="1:45">
      <c r="A259" s="19">
        <v>15.582233329999999</v>
      </c>
      <c r="B259" s="19">
        <v>976.57623909999995</v>
      </c>
      <c r="C259" s="19">
        <v>556.22510220000004</v>
      </c>
      <c r="E259" s="9">
        <f t="shared" si="77"/>
        <v>16.576239099999952</v>
      </c>
      <c r="F259" s="9">
        <f t="shared" si="78"/>
        <v>-16.225102200000038</v>
      </c>
      <c r="I259">
        <v>1</v>
      </c>
      <c r="J259">
        <f t="shared" si="79"/>
        <v>1.463983985999266E-2</v>
      </c>
      <c r="K259">
        <f t="shared" si="83"/>
        <v>-0.77469361675282222</v>
      </c>
      <c r="O259">
        <f t="shared" si="84"/>
        <v>1.0461773835429787E-2</v>
      </c>
      <c r="P259">
        <f t="shared" si="85"/>
        <v>-1.024016054842833E-2</v>
      </c>
      <c r="Q259">
        <f t="shared" si="86"/>
        <v>0.99989283945838847</v>
      </c>
      <c r="R259">
        <f t="shared" si="76"/>
        <v>1</v>
      </c>
      <c r="AG259" s="8">
        <f t="shared" si="80"/>
        <v>-0.68031902539943523</v>
      </c>
      <c r="AH259" s="8">
        <f t="shared" si="81"/>
        <v>-0.51769983508806239</v>
      </c>
      <c r="AI259" s="8">
        <f t="shared" si="82"/>
        <v>0.51879948383682462</v>
      </c>
      <c r="AJ259" s="8"/>
      <c r="AK259" s="8"/>
      <c r="AL259" s="8"/>
      <c r="AN259" s="8">
        <f t="shared" si="87"/>
        <v>1</v>
      </c>
      <c r="AO259" s="8">
        <f t="shared" si="88"/>
        <v>3.7920753152551385</v>
      </c>
      <c r="AP259" s="8">
        <f t="shared" si="89"/>
        <v>1.0253502587935364</v>
      </c>
      <c r="AQ259" s="8"/>
      <c r="AR259" s="8">
        <f t="shared" si="90"/>
        <v>217.26991115986056</v>
      </c>
      <c r="AS259" s="8">
        <f t="shared" si="91"/>
        <v>31.25175764848364</v>
      </c>
    </row>
    <row r="260" spans="1:45">
      <c r="A260" s="19">
        <v>15.615600000000001</v>
      </c>
      <c r="B260" s="19">
        <v>976.19542190000004</v>
      </c>
      <c r="C260" s="19">
        <v>556.2035343</v>
      </c>
      <c r="E260" s="9">
        <f t="shared" si="77"/>
        <v>16.195421900000042</v>
      </c>
      <c r="F260" s="9">
        <f t="shared" si="78"/>
        <v>-16.203534300000001</v>
      </c>
      <c r="I260">
        <v>1</v>
      </c>
      <c r="J260">
        <f t="shared" si="79"/>
        <v>1.4457831878624308E-2</v>
      </c>
      <c r="K260">
        <f t="shared" si="83"/>
        <v>-0.78564855417486545</v>
      </c>
      <c r="O260">
        <f t="shared" si="84"/>
        <v>1.0220314773886225E-2</v>
      </c>
      <c r="P260">
        <f t="shared" si="85"/>
        <v>-1.0225434200973904E-2</v>
      </c>
      <c r="Q260">
        <f t="shared" si="86"/>
        <v>0.99989548736921707</v>
      </c>
      <c r="R260">
        <f t="shared" si="76"/>
        <v>1</v>
      </c>
      <c r="AG260" s="8">
        <f t="shared" si="80"/>
        <v>-0.68047378859328433</v>
      </c>
      <c r="AH260" s="8">
        <f t="shared" si="81"/>
        <v>-0.51751480105381009</v>
      </c>
      <c r="AI260" s="8">
        <f t="shared" si="82"/>
        <v>0.51878112314128921</v>
      </c>
      <c r="AJ260" s="8"/>
      <c r="AK260" s="8"/>
      <c r="AL260" s="8"/>
      <c r="AN260" s="8">
        <f t="shared" si="87"/>
        <v>1</v>
      </c>
      <c r="AO260" s="8">
        <f t="shared" si="88"/>
        <v>3.7917934500429618</v>
      </c>
      <c r="AP260" s="8">
        <f t="shared" si="89"/>
        <v>1.0253717357648067</v>
      </c>
      <c r="AQ260" s="8"/>
      <c r="AR260" s="8">
        <f t="shared" si="90"/>
        <v>217.25376147281128</v>
      </c>
      <c r="AS260" s="8">
        <f t="shared" si="91"/>
        <v>31.250527108673133</v>
      </c>
    </row>
    <row r="261" spans="1:45">
      <c r="A261" s="19">
        <v>15.64896667</v>
      </c>
      <c r="B261" s="19">
        <v>975.61419939999996</v>
      </c>
      <c r="C261" s="19">
        <v>556.18986649999999</v>
      </c>
      <c r="E261" s="9">
        <f t="shared" si="77"/>
        <v>15.614199399999961</v>
      </c>
      <c r="F261" s="9">
        <f t="shared" si="78"/>
        <v>-16.189866499999994</v>
      </c>
      <c r="I261">
        <v>1</v>
      </c>
      <c r="J261">
        <f t="shared" si="79"/>
        <v>1.4192379635314147E-2</v>
      </c>
      <c r="K261">
        <f t="shared" si="83"/>
        <v>-0.80349661176718956</v>
      </c>
      <c r="O261">
        <f t="shared" si="84"/>
        <v>9.8519360271905315E-3</v>
      </c>
      <c r="P261">
        <f t="shared" si="85"/>
        <v>-1.0215158969133916E-2</v>
      </c>
      <c r="Q261">
        <f t="shared" si="86"/>
        <v>0.99989928987061061</v>
      </c>
      <c r="R261">
        <f t="shared" si="76"/>
        <v>1</v>
      </c>
      <c r="AG261" s="8">
        <f t="shared" si="80"/>
        <v>-0.68071369924513403</v>
      </c>
      <c r="AH261" s="8">
        <f t="shared" si="81"/>
        <v>-0.51723768555879923</v>
      </c>
      <c r="AI261" s="8">
        <f t="shared" si="82"/>
        <v>0.51874274577846569</v>
      </c>
      <c r="AJ261" s="8"/>
      <c r="AK261" s="8"/>
      <c r="AL261" s="8"/>
      <c r="AN261" s="8">
        <f t="shared" si="87"/>
        <v>1</v>
      </c>
      <c r="AO261" s="8">
        <f t="shared" si="88"/>
        <v>3.7913655760240843</v>
      </c>
      <c r="AP261" s="8">
        <f t="shared" si="89"/>
        <v>1.0254166258355779</v>
      </c>
      <c r="AQ261" s="8"/>
      <c r="AR261" s="8">
        <f t="shared" si="90"/>
        <v>217.22924609736629</v>
      </c>
      <c r="AS261" s="8">
        <f t="shared" si="91"/>
        <v>31.247955097075895</v>
      </c>
    </row>
    <row r="262" spans="1:45">
      <c r="A262" s="19">
        <v>15.682333330000001</v>
      </c>
      <c r="B262" s="19">
        <v>975.25</v>
      </c>
      <c r="C262" s="19">
        <v>555.66666669999995</v>
      </c>
      <c r="E262" s="9">
        <f t="shared" si="77"/>
        <v>15.25</v>
      </c>
      <c r="F262" s="9">
        <f t="shared" si="78"/>
        <v>-15.666666699999951</v>
      </c>
      <c r="I262">
        <v>1</v>
      </c>
      <c r="J262">
        <f t="shared" si="79"/>
        <v>1.3791905491606363E-2</v>
      </c>
      <c r="K262">
        <f t="shared" si="83"/>
        <v>-0.79887443754204468</v>
      </c>
      <c r="O262">
        <f t="shared" si="84"/>
        <v>9.6197380080725262E-3</v>
      </c>
      <c r="P262">
        <f t="shared" si="85"/>
        <v>-9.8825724009045067E-3</v>
      </c>
      <c r="Q262">
        <f t="shared" si="86"/>
        <v>0.99990489317904474</v>
      </c>
      <c r="R262">
        <f t="shared" si="76"/>
        <v>1</v>
      </c>
      <c r="AG262" s="8">
        <f t="shared" si="80"/>
        <v>-0.68076117626871091</v>
      </c>
      <c r="AH262" s="8">
        <f t="shared" si="81"/>
        <v>-0.5169228921488801</v>
      </c>
      <c r="AI262" s="8">
        <f t="shared" si="82"/>
        <v>0.51899416611141047</v>
      </c>
      <c r="AJ262" s="8"/>
      <c r="AK262" s="8"/>
      <c r="AL262" s="8"/>
      <c r="AN262" s="8">
        <f t="shared" si="87"/>
        <v>1</v>
      </c>
      <c r="AO262" s="8">
        <f t="shared" si="88"/>
        <v>3.7910387436422255</v>
      </c>
      <c r="AP262" s="8">
        <f t="shared" si="89"/>
        <v>1.0251225167752918</v>
      </c>
      <c r="AQ262" s="8"/>
      <c r="AR262" s="8">
        <f t="shared" si="90"/>
        <v>217.21051998127757</v>
      </c>
      <c r="AS262" s="8">
        <f t="shared" si="91"/>
        <v>31.264806304946852</v>
      </c>
    </row>
    <row r="263" spans="1:45">
      <c r="A263" s="19">
        <v>15.7157</v>
      </c>
      <c r="B263" s="19">
        <v>974.54496440000003</v>
      </c>
      <c r="C263" s="19">
        <v>556.05615899999998</v>
      </c>
      <c r="E263" s="9">
        <f t="shared" si="77"/>
        <v>14.544964400000026</v>
      </c>
      <c r="F263" s="9">
        <f t="shared" si="78"/>
        <v>-16.05615899999998</v>
      </c>
      <c r="I263">
        <v>1</v>
      </c>
      <c r="J263">
        <f t="shared" si="79"/>
        <v>1.3665429106926011E-2</v>
      </c>
      <c r="K263">
        <f t="shared" si="83"/>
        <v>-0.83474170882598409</v>
      </c>
      <c r="O263">
        <f t="shared" si="84"/>
        <v>9.1742617131334823E-3</v>
      </c>
      <c r="P263">
        <f t="shared" si="85"/>
        <v>-1.0127450347948814E-2</v>
      </c>
      <c r="Q263">
        <f t="shared" si="86"/>
        <v>0.99990662947670705</v>
      </c>
      <c r="R263">
        <f t="shared" si="76"/>
        <v>1</v>
      </c>
      <c r="AG263" s="8">
        <f t="shared" si="80"/>
        <v>-0.68113292576375128</v>
      </c>
      <c r="AH263" s="8">
        <f t="shared" si="81"/>
        <v>-0.51669816824086068</v>
      </c>
      <c r="AI263" s="8">
        <f t="shared" si="82"/>
        <v>0.51873012287416975</v>
      </c>
      <c r="AJ263" s="8"/>
      <c r="AK263" s="8"/>
      <c r="AL263" s="8"/>
      <c r="AN263" s="8">
        <f t="shared" si="87"/>
        <v>1</v>
      </c>
      <c r="AO263" s="8">
        <f t="shared" si="88"/>
        <v>3.7905664425622985</v>
      </c>
      <c r="AP263" s="8">
        <f t="shared" si="89"/>
        <v>1.02543139060236</v>
      </c>
      <c r="AQ263" s="8"/>
      <c r="AR263" s="8">
        <f t="shared" si="90"/>
        <v>217.18345912273827</v>
      </c>
      <c r="AS263" s="8">
        <f t="shared" si="91"/>
        <v>31.247109138253784</v>
      </c>
    </row>
    <row r="264" spans="1:45">
      <c r="A264" s="19">
        <v>15.749066669999999</v>
      </c>
      <c r="B264" s="19">
        <v>974.21022909999999</v>
      </c>
      <c r="C264" s="19">
        <v>555.42335149999997</v>
      </c>
      <c r="E264" s="9">
        <f t="shared" si="77"/>
        <v>14.210229099999992</v>
      </c>
      <c r="F264" s="9">
        <f t="shared" si="78"/>
        <v>-15.423351499999967</v>
      </c>
      <c r="I264">
        <v>1</v>
      </c>
      <c r="J264">
        <f t="shared" si="79"/>
        <v>1.3224503253423687E-2</v>
      </c>
      <c r="K264">
        <f t="shared" si="83"/>
        <v>-0.82631273992026999</v>
      </c>
      <c r="O264">
        <f t="shared" si="84"/>
        <v>8.9605578899055755E-3</v>
      </c>
      <c r="P264">
        <f t="shared" si="85"/>
        <v>-9.7255176534846843E-3</v>
      </c>
      <c r="Q264">
        <f t="shared" si="86"/>
        <v>0.99991255753124408</v>
      </c>
      <c r="R264">
        <f t="shared" si="76"/>
        <v>1</v>
      </c>
      <c r="AG264" s="8">
        <f t="shared" si="80"/>
        <v>-0.68114601609914982</v>
      </c>
      <c r="AH264" s="8">
        <f t="shared" si="81"/>
        <v>-0.51636718278043436</v>
      </c>
      <c r="AI264" s="8">
        <f t="shared" si="82"/>
        <v>0.51904242341031659</v>
      </c>
      <c r="AJ264" s="8"/>
      <c r="AK264" s="8"/>
      <c r="AL264" s="8"/>
      <c r="AN264" s="8">
        <f t="shared" si="87"/>
        <v>1.0000000000000002</v>
      </c>
      <c r="AO264" s="8">
        <f t="shared" si="88"/>
        <v>3.7902486777602671</v>
      </c>
      <c r="AP264" s="8">
        <f t="shared" si="89"/>
        <v>1.0250660598491763</v>
      </c>
      <c r="AQ264" s="8"/>
      <c r="AR264" s="8">
        <f t="shared" si="90"/>
        <v>217.16525254070407</v>
      </c>
      <c r="AS264" s="8">
        <f t="shared" si="91"/>
        <v>31.268041048537548</v>
      </c>
    </row>
    <row r="265" spans="1:45">
      <c r="A265" s="19">
        <v>15.78243333</v>
      </c>
      <c r="B265" s="19">
        <v>973.58804180000004</v>
      </c>
      <c r="C265" s="19">
        <v>555.23737129999995</v>
      </c>
      <c r="E265" s="9">
        <f t="shared" si="77"/>
        <v>13.588041800000042</v>
      </c>
      <c r="F265" s="9">
        <f t="shared" si="78"/>
        <v>-15.23737129999995</v>
      </c>
      <c r="I265">
        <v>1</v>
      </c>
      <c r="J265">
        <f t="shared" si="79"/>
        <v>1.2871029896113261E-2</v>
      </c>
      <c r="K265">
        <f t="shared" si="83"/>
        <v>-0.84255374049705767</v>
      </c>
      <c r="O265">
        <f t="shared" si="84"/>
        <v>8.5661936012678738E-3</v>
      </c>
      <c r="P265">
        <f t="shared" si="85"/>
        <v>-9.6059663674424294E-3</v>
      </c>
      <c r="Q265">
        <f t="shared" si="86"/>
        <v>0.99991716943821563</v>
      </c>
      <c r="R265">
        <f t="shared" si="76"/>
        <v>1</v>
      </c>
      <c r="AG265" s="8">
        <f t="shared" si="80"/>
        <v>-0.68136795715937593</v>
      </c>
      <c r="AH265" s="8">
        <f t="shared" si="81"/>
        <v>-0.51602361189004431</v>
      </c>
      <c r="AI265" s="8">
        <f t="shared" si="82"/>
        <v>0.5190928037725161</v>
      </c>
      <c r="AJ265" s="8"/>
      <c r="AK265" s="8"/>
      <c r="AL265" s="8"/>
      <c r="AN265" s="8">
        <f t="shared" si="87"/>
        <v>1</v>
      </c>
      <c r="AO265" s="8">
        <f t="shared" si="88"/>
        <v>3.7897714810458281</v>
      </c>
      <c r="AP265" s="8">
        <f t="shared" si="89"/>
        <v>1.0250071170547788</v>
      </c>
      <c r="AQ265" s="8"/>
      <c r="AR265" s="8">
        <f t="shared" si="90"/>
        <v>217.13791118296922</v>
      </c>
      <c r="AS265" s="8">
        <f t="shared" si="91"/>
        <v>31.271418221889235</v>
      </c>
    </row>
    <row r="266" spans="1:45">
      <c r="A266" s="19">
        <v>15.815799999999999</v>
      </c>
      <c r="B266" s="19">
        <v>973.26493029999995</v>
      </c>
      <c r="C266" s="19">
        <v>555.24619310000003</v>
      </c>
      <c r="E266" s="9">
        <f t="shared" si="77"/>
        <v>13.264930299999946</v>
      </c>
      <c r="F266" s="9">
        <f t="shared" si="78"/>
        <v>-15.246193100000028</v>
      </c>
      <c r="I266">
        <v>1</v>
      </c>
      <c r="J266">
        <f t="shared" si="79"/>
        <v>1.2739402951722675E-2</v>
      </c>
      <c r="K266">
        <f t="shared" si="83"/>
        <v>-0.85477750073491632</v>
      </c>
      <c r="O266">
        <f t="shared" si="84"/>
        <v>8.3617444712748915E-3</v>
      </c>
      <c r="P266">
        <f t="shared" si="85"/>
        <v>-9.6106627007241149E-3</v>
      </c>
      <c r="Q266">
        <f t="shared" si="86"/>
        <v>0.99991885490366172</v>
      </c>
      <c r="R266">
        <f t="shared" si="76"/>
        <v>1</v>
      </c>
      <c r="AG266" s="8">
        <f t="shared" si="80"/>
        <v>-0.68150419442695231</v>
      </c>
      <c r="AH266" s="8">
        <f t="shared" si="81"/>
        <v>-0.51587411869232369</v>
      </c>
      <c r="AI266" s="8">
        <f t="shared" si="82"/>
        <v>0.5190625459825523</v>
      </c>
      <c r="AJ266" s="8"/>
      <c r="AK266" s="8"/>
      <c r="AL266" s="8"/>
      <c r="AN266" s="8">
        <f t="shared" si="87"/>
        <v>1.0000000000000002</v>
      </c>
      <c r="AO266" s="8">
        <f t="shared" si="88"/>
        <v>3.7895358235939551</v>
      </c>
      <c r="AP266" s="8">
        <f t="shared" si="89"/>
        <v>1.0250425175831603</v>
      </c>
      <c r="AQ266" s="8"/>
      <c r="AR266" s="8">
        <f t="shared" si="90"/>
        <v>217.12440900556609</v>
      </c>
      <c r="AS266" s="8">
        <f t="shared" si="91"/>
        <v>31.269389921020434</v>
      </c>
    </row>
    <row r="267" spans="1:45">
      <c r="A267" s="19">
        <v>15.849166670000001</v>
      </c>
      <c r="B267" s="19">
        <v>972.44929569999999</v>
      </c>
      <c r="C267" s="19">
        <v>555.2512782</v>
      </c>
      <c r="E267" s="9">
        <f t="shared" si="77"/>
        <v>12.449295699999993</v>
      </c>
      <c r="F267" s="9">
        <f t="shared" si="78"/>
        <v>-15.251278200000002</v>
      </c>
      <c r="I267">
        <v>1</v>
      </c>
      <c r="J267">
        <f t="shared" si="79"/>
        <v>1.2407575242080054E-2</v>
      </c>
      <c r="K267">
        <f t="shared" si="83"/>
        <v>-0.88620778140505396</v>
      </c>
      <c r="O267">
        <f t="shared" si="84"/>
        <v>7.8457824905322285E-3</v>
      </c>
      <c r="P267">
        <f t="shared" si="85"/>
        <v>-9.611645055534827E-3</v>
      </c>
      <c r="Q267">
        <f t="shared" si="86"/>
        <v>0.99992302702579949</v>
      </c>
      <c r="R267">
        <f t="shared" si="76"/>
        <v>1</v>
      </c>
      <c r="AG267" s="8">
        <f t="shared" si="80"/>
        <v>-0.68184442551363322</v>
      </c>
      <c r="AH267" s="8">
        <f t="shared" si="81"/>
        <v>-0.51549208171771821</v>
      </c>
      <c r="AI267" s="8">
        <f t="shared" si="82"/>
        <v>0.51899527269746604</v>
      </c>
      <c r="AJ267" s="8"/>
      <c r="AK267" s="8"/>
      <c r="AL267" s="8"/>
      <c r="AN267" s="8">
        <f t="shared" si="87"/>
        <v>1.0000000000000004</v>
      </c>
      <c r="AO267" s="8">
        <f t="shared" si="88"/>
        <v>3.7889392305532854</v>
      </c>
      <c r="AP267" s="8">
        <f t="shared" si="89"/>
        <v>1.0251212221856167</v>
      </c>
      <c r="AQ267" s="8"/>
      <c r="AR267" s="8">
        <f t="shared" si="90"/>
        <v>217.09022674224883</v>
      </c>
      <c r="AS267" s="8">
        <f t="shared" si="91"/>
        <v>31.264880479471429</v>
      </c>
    </row>
    <row r="268" spans="1:45">
      <c r="A268" s="19">
        <v>15.882533329999999</v>
      </c>
      <c r="B268" s="19">
        <v>971.87517149999996</v>
      </c>
      <c r="C268" s="19">
        <v>555.25068039999996</v>
      </c>
      <c r="E268" s="9">
        <f t="shared" si="77"/>
        <v>11.875171499999965</v>
      </c>
      <c r="F268" s="9">
        <f t="shared" si="78"/>
        <v>-15.250680399999965</v>
      </c>
      <c r="I268">
        <v>1</v>
      </c>
      <c r="J268">
        <f t="shared" si="79"/>
        <v>1.2179705076779344E-2</v>
      </c>
      <c r="K268">
        <f t="shared" si="83"/>
        <v>-0.90920056967243312</v>
      </c>
      <c r="O268">
        <f t="shared" si="84"/>
        <v>7.4827420836156419E-3</v>
      </c>
      <c r="P268">
        <f t="shared" si="85"/>
        <v>-9.6097061025899547E-3</v>
      </c>
      <c r="Q268">
        <f t="shared" si="86"/>
        <v>0.99992582830904608</v>
      </c>
      <c r="R268">
        <f t="shared" si="76"/>
        <v>1</v>
      </c>
      <c r="AG268" s="8">
        <f t="shared" si="80"/>
        <v>-0.6820828721501927</v>
      </c>
      <c r="AH268" s="8">
        <f t="shared" si="81"/>
        <v>-0.51522206235503598</v>
      </c>
      <c r="AI268" s="8">
        <f t="shared" si="82"/>
        <v>0.5189500765795948</v>
      </c>
      <c r="AJ268" s="8"/>
      <c r="AK268" s="8"/>
      <c r="AL268" s="8"/>
      <c r="AN268" s="8">
        <f t="shared" si="87"/>
        <v>1</v>
      </c>
      <c r="AO268" s="8">
        <f t="shared" si="88"/>
        <v>3.7885190276329839</v>
      </c>
      <c r="AP268" s="8">
        <f t="shared" si="89"/>
        <v>1.0251740960774487</v>
      </c>
      <c r="AQ268" s="8"/>
      <c r="AR268" s="8">
        <f t="shared" si="90"/>
        <v>217.06615088837648</v>
      </c>
      <c r="AS268" s="8">
        <f t="shared" si="91"/>
        <v>31.261851028623028</v>
      </c>
    </row>
    <row r="269" spans="1:45">
      <c r="A269" s="19">
        <v>15.915900000000001</v>
      </c>
      <c r="B269" s="19">
        <v>971.53835000000004</v>
      </c>
      <c r="C269" s="19">
        <v>555.25130850000005</v>
      </c>
      <c r="E269" s="9">
        <f t="shared" si="77"/>
        <v>11.538350000000037</v>
      </c>
      <c r="F269" s="9">
        <f t="shared" si="78"/>
        <v>-15.25130850000005</v>
      </c>
      <c r="I269">
        <v>1</v>
      </c>
      <c r="J269">
        <f t="shared" si="79"/>
        <v>1.2049646395266591E-2</v>
      </c>
      <c r="K269">
        <f t="shared" si="83"/>
        <v>-0.92311752516007906</v>
      </c>
      <c r="O269">
        <f t="shared" si="84"/>
        <v>7.2698204807902095E-3</v>
      </c>
      <c r="P269">
        <f t="shared" si="85"/>
        <v>-9.6091967128878741E-3</v>
      </c>
      <c r="Q269">
        <f t="shared" si="86"/>
        <v>0.99992740388925738</v>
      </c>
      <c r="R269">
        <f t="shared" si="76"/>
        <v>1</v>
      </c>
      <c r="AG269" s="8">
        <f t="shared" si="80"/>
        <v>-0.68222287792803382</v>
      </c>
      <c r="AH269" s="8">
        <f t="shared" si="81"/>
        <v>-0.5150639360034277</v>
      </c>
      <c r="AI269" s="8">
        <f t="shared" si="82"/>
        <v>0.51892300648578693</v>
      </c>
      <c r="AJ269" s="8"/>
      <c r="AK269" s="8"/>
      <c r="AL269" s="8"/>
      <c r="AN269" s="8">
        <f t="shared" si="87"/>
        <v>1</v>
      </c>
      <c r="AO269" s="8">
        <f t="shared" si="88"/>
        <v>3.7882727047302964</v>
      </c>
      <c r="AP269" s="8">
        <f t="shared" si="89"/>
        <v>1.0252057639407159</v>
      </c>
      <c r="AQ269" s="8"/>
      <c r="AR269" s="8">
        <f t="shared" si="90"/>
        <v>217.05203762565509</v>
      </c>
      <c r="AS269" s="8">
        <f t="shared" si="91"/>
        <v>31.260036593711618</v>
      </c>
    </row>
    <row r="270" spans="1:45">
      <c r="A270" s="19">
        <v>15.94926667</v>
      </c>
      <c r="B270" s="19">
        <v>971</v>
      </c>
      <c r="C270" s="19">
        <v>555.5</v>
      </c>
      <c r="E270" s="9">
        <f t="shared" si="77"/>
        <v>11</v>
      </c>
      <c r="F270" s="9">
        <f t="shared" si="78"/>
        <v>-15.5</v>
      </c>
      <c r="I270">
        <v>1</v>
      </c>
      <c r="J270">
        <f t="shared" si="79"/>
        <v>1.1974863085890297E-2</v>
      </c>
      <c r="K270">
        <f t="shared" si="83"/>
        <v>-0.95360493525453449</v>
      </c>
      <c r="O270">
        <f t="shared" si="84"/>
        <v>6.9302505248209174E-3</v>
      </c>
      <c r="P270">
        <f t="shared" si="85"/>
        <v>-9.7653530122476587E-3</v>
      </c>
      <c r="Q270">
        <f t="shared" si="86"/>
        <v>0.99992830218381623</v>
      </c>
      <c r="R270">
        <f t="shared" si="76"/>
        <v>1</v>
      </c>
      <c r="AG270" s="8">
        <f t="shared" si="80"/>
        <v>-0.68249604827533072</v>
      </c>
      <c r="AH270" s="8">
        <f t="shared" si="81"/>
        <v>-0.51487916357473629</v>
      </c>
      <c r="AI270" s="8">
        <f t="shared" si="82"/>
        <v>0.51874713590065968</v>
      </c>
      <c r="AJ270" s="8"/>
      <c r="AK270" s="8"/>
      <c r="AL270" s="8"/>
      <c r="AN270" s="8">
        <f t="shared" si="87"/>
        <v>1.0000000000000002</v>
      </c>
      <c r="AO270" s="8">
        <f t="shared" si="88"/>
        <v>3.7879076904016524</v>
      </c>
      <c r="AP270" s="8">
        <f t="shared" si="89"/>
        <v>1.0254114907636367</v>
      </c>
      <c r="AQ270" s="8"/>
      <c r="AR270" s="8">
        <f t="shared" si="90"/>
        <v>217.03112384516197</v>
      </c>
      <c r="AS270" s="8">
        <f t="shared" si="91"/>
        <v>31.248249315025625</v>
      </c>
    </row>
    <row r="271" spans="1:45">
      <c r="A271" s="19">
        <v>15.982633330000001</v>
      </c>
      <c r="B271" s="19">
        <v>970.67158370000004</v>
      </c>
      <c r="C271" s="19">
        <v>555.16679209999995</v>
      </c>
      <c r="E271" s="9">
        <f t="shared" si="77"/>
        <v>10.671583700000042</v>
      </c>
      <c r="F271" s="9">
        <f t="shared" si="78"/>
        <v>-15.166792099999952</v>
      </c>
      <c r="I271">
        <v>1</v>
      </c>
      <c r="J271">
        <f t="shared" si="79"/>
        <v>1.1681446640794256E-2</v>
      </c>
      <c r="K271">
        <f t="shared" si="83"/>
        <v>-0.95764824978833107</v>
      </c>
      <c r="O271">
        <f t="shared" si="84"/>
        <v>6.7218763947426664E-3</v>
      </c>
      <c r="P271">
        <f t="shared" si="85"/>
        <v>-9.5533432213026504E-3</v>
      </c>
      <c r="Q271">
        <f t="shared" si="86"/>
        <v>0.99993177267803113</v>
      </c>
      <c r="R271">
        <f t="shared" si="76"/>
        <v>1</v>
      </c>
      <c r="AG271" s="8">
        <f t="shared" si="80"/>
        <v>-0.68256567299879567</v>
      </c>
      <c r="AH271" s="8">
        <f t="shared" si="81"/>
        <v>-0.51463345717172482</v>
      </c>
      <c r="AI271" s="8">
        <f t="shared" si="82"/>
        <v>0.51889932241541759</v>
      </c>
      <c r="AJ271" s="8"/>
      <c r="AK271" s="8"/>
      <c r="AL271" s="8"/>
      <c r="AN271" s="8">
        <f t="shared" si="87"/>
        <v>0.99999999999999989</v>
      </c>
      <c r="AO271" s="8">
        <f t="shared" si="88"/>
        <v>3.787629179565009</v>
      </c>
      <c r="AP271" s="8">
        <f t="shared" si="89"/>
        <v>1.0252334701758992</v>
      </c>
      <c r="AQ271" s="8"/>
      <c r="AR271" s="8">
        <f t="shared" si="90"/>
        <v>217.01516634967365</v>
      </c>
      <c r="AS271" s="8">
        <f t="shared" si="91"/>
        <v>31.258449143369418</v>
      </c>
    </row>
    <row r="272" spans="1:45">
      <c r="A272" s="19">
        <v>16.015999999999998</v>
      </c>
      <c r="B272" s="19">
        <v>970.39776900000004</v>
      </c>
      <c r="C272" s="19">
        <v>555.212129</v>
      </c>
      <c r="E272" s="9">
        <f t="shared" si="77"/>
        <v>10.397769000000039</v>
      </c>
      <c r="F272" s="9">
        <f t="shared" si="78"/>
        <v>-15.212129000000004</v>
      </c>
      <c r="I272">
        <v>1</v>
      </c>
      <c r="J272">
        <f t="shared" si="79"/>
        <v>1.1605956040817973E-2</v>
      </c>
      <c r="K272">
        <f t="shared" si="83"/>
        <v>-0.97121774305425979</v>
      </c>
      <c r="O272">
        <f t="shared" si="84"/>
        <v>6.5490314513025729E-3</v>
      </c>
      <c r="P272">
        <f t="shared" si="85"/>
        <v>-9.5813545446404545E-3</v>
      </c>
      <c r="Q272">
        <f t="shared" si="86"/>
        <v>0.99993265164816958</v>
      </c>
      <c r="R272">
        <f t="shared" si="76"/>
        <v>1</v>
      </c>
      <c r="AG272" s="8">
        <f t="shared" si="80"/>
        <v>-0.68268828678907079</v>
      </c>
      <c r="AH272" s="8">
        <f t="shared" si="81"/>
        <v>-0.51451724623396367</v>
      </c>
      <c r="AI272" s="8">
        <f t="shared" si="82"/>
        <v>0.51885326095999662</v>
      </c>
      <c r="AJ272" s="8"/>
      <c r="AK272" s="8"/>
      <c r="AL272" s="8"/>
      <c r="AN272" s="8">
        <f t="shared" si="87"/>
        <v>1</v>
      </c>
      <c r="AO272" s="8">
        <f t="shared" si="88"/>
        <v>3.7874342847763334</v>
      </c>
      <c r="AP272" s="8">
        <f t="shared" si="89"/>
        <v>1.0252873527178665</v>
      </c>
      <c r="AQ272" s="8"/>
      <c r="AR272" s="8">
        <f t="shared" si="90"/>
        <v>217.00399970083345</v>
      </c>
      <c r="AS272" s="8">
        <f t="shared" si="91"/>
        <v>31.255361901125255</v>
      </c>
    </row>
    <row r="273" spans="1:45">
      <c r="A273" s="19">
        <v>16.049366670000001</v>
      </c>
      <c r="B273" s="19">
        <v>969.88548920000005</v>
      </c>
      <c r="C273" s="19">
        <v>554.93828340000005</v>
      </c>
      <c r="E273" s="9">
        <f t="shared" si="77"/>
        <v>9.8854892000000518</v>
      </c>
      <c r="F273" s="9">
        <f t="shared" si="78"/>
        <v>-14.938283400000046</v>
      </c>
      <c r="I273">
        <v>1</v>
      </c>
      <c r="J273">
        <f t="shared" si="79"/>
        <v>1.1279904615442966E-2</v>
      </c>
      <c r="K273">
        <f t="shared" si="83"/>
        <v>-0.98620156600072373</v>
      </c>
      <c r="O273">
        <f t="shared" si="84"/>
        <v>6.2248128968331049E-3</v>
      </c>
      <c r="P273">
        <f t="shared" si="85"/>
        <v>-9.4065166916441224E-3</v>
      </c>
      <c r="Q273">
        <f t="shared" si="86"/>
        <v>0.99993638255047468</v>
      </c>
      <c r="R273">
        <f t="shared" si="76"/>
        <v>1</v>
      </c>
      <c r="AG273" s="8">
        <f t="shared" si="80"/>
        <v>-0.68284584180473773</v>
      </c>
      <c r="AH273" s="8">
        <f t="shared" si="81"/>
        <v>-0.5142014832301196</v>
      </c>
      <c r="AI273" s="8">
        <f t="shared" si="82"/>
        <v>0.51895894921845609</v>
      </c>
      <c r="AJ273" s="8"/>
      <c r="AK273" s="8"/>
      <c r="AL273" s="8"/>
      <c r="AN273" s="8">
        <f t="shared" si="87"/>
        <v>1</v>
      </c>
      <c r="AO273" s="8">
        <f t="shared" si="88"/>
        <v>3.7870283484290117</v>
      </c>
      <c r="AP273" s="8">
        <f t="shared" si="89"/>
        <v>1.0251637163165768</v>
      </c>
      <c r="AQ273" s="8"/>
      <c r="AR273" s="8">
        <f t="shared" si="90"/>
        <v>216.98074126138096</v>
      </c>
      <c r="AS273" s="8">
        <f t="shared" si="91"/>
        <v>31.26244574511334</v>
      </c>
    </row>
    <row r="274" spans="1:45">
      <c r="A274" s="19">
        <v>16.08273333</v>
      </c>
      <c r="B274" s="19">
        <v>969.0932401</v>
      </c>
      <c r="C274" s="19">
        <v>554.8130506</v>
      </c>
      <c r="E274" s="9">
        <f t="shared" si="77"/>
        <v>9.0932401000000027</v>
      </c>
      <c r="F274" s="9">
        <f t="shared" si="78"/>
        <v>-14.813050599999997</v>
      </c>
      <c r="I274">
        <v>1</v>
      </c>
      <c r="J274">
        <f t="shared" si="79"/>
        <v>1.0942227482948871E-2</v>
      </c>
      <c r="K274">
        <f t="shared" si="83"/>
        <v>-1.0202429885169506</v>
      </c>
      <c r="O274">
        <f t="shared" si="84"/>
        <v>5.7244092767977789E-3</v>
      </c>
      <c r="P274">
        <f t="shared" si="85"/>
        <v>-9.3251649950730833E-3</v>
      </c>
      <c r="Q274">
        <f t="shared" si="86"/>
        <v>0.99994013442617968</v>
      </c>
      <c r="R274">
        <f t="shared" si="76"/>
        <v>1</v>
      </c>
      <c r="AG274" s="8">
        <f t="shared" si="80"/>
        <v>-0.68314887542279645</v>
      </c>
      <c r="AH274" s="8">
        <f t="shared" si="81"/>
        <v>-0.51379504425305222</v>
      </c>
      <c r="AI274" s="8">
        <f t="shared" si="82"/>
        <v>0.51896268315705762</v>
      </c>
      <c r="AJ274" s="8"/>
      <c r="AK274" s="8"/>
      <c r="AL274" s="8"/>
      <c r="AN274" s="8">
        <f t="shared" si="87"/>
        <v>0.99999999999999989</v>
      </c>
      <c r="AO274" s="8">
        <f t="shared" si="88"/>
        <v>3.7864352629173084</v>
      </c>
      <c r="AP274" s="8">
        <f t="shared" si="89"/>
        <v>1.0251593481050545</v>
      </c>
      <c r="AQ274" s="8"/>
      <c r="AR274" s="8">
        <f t="shared" si="90"/>
        <v>216.94675996467001</v>
      </c>
      <c r="AS274" s="8">
        <f t="shared" si="91"/>
        <v>31.262696025197592</v>
      </c>
    </row>
    <row r="275" spans="1:45">
      <c r="A275" s="19">
        <v>16.116099999999999</v>
      </c>
      <c r="B275" s="19">
        <v>968.62108450000005</v>
      </c>
      <c r="C275" s="19">
        <v>554.38577650000002</v>
      </c>
      <c r="E275" s="9">
        <f t="shared" si="77"/>
        <v>8.6210845000000518</v>
      </c>
      <c r="F275" s="9">
        <f t="shared" si="78"/>
        <v>-14.38577650000002</v>
      </c>
      <c r="I275">
        <v>1</v>
      </c>
      <c r="J275">
        <f t="shared" si="79"/>
        <v>1.05547205946911E-2</v>
      </c>
      <c r="K275">
        <f t="shared" si="83"/>
        <v>-1.0309076155759505</v>
      </c>
      <c r="O275">
        <f t="shared" si="84"/>
        <v>5.4254534866742064E-3</v>
      </c>
      <c r="P275">
        <f t="shared" si="85"/>
        <v>-9.0533112476093372E-3</v>
      </c>
      <c r="Q275">
        <f t="shared" si="86"/>
        <v>0.99994429945368346</v>
      </c>
      <c r="R275">
        <f t="shared" si="76"/>
        <v>1</v>
      </c>
      <c r="AG275" s="8">
        <f t="shared" si="80"/>
        <v>-0.68325870832734403</v>
      </c>
      <c r="AH275" s="8">
        <f t="shared" si="81"/>
        <v>-0.51345616295025864</v>
      </c>
      <c r="AI275" s="8">
        <f t="shared" si="82"/>
        <v>0.51915345151818726</v>
      </c>
      <c r="AJ275" s="8"/>
      <c r="AK275" s="8"/>
      <c r="AL275" s="8"/>
      <c r="AN275" s="8">
        <f t="shared" si="87"/>
        <v>1</v>
      </c>
      <c r="AO275" s="8">
        <f t="shared" si="88"/>
        <v>3.7860411397548299</v>
      </c>
      <c r="AP275" s="8">
        <f t="shared" si="89"/>
        <v>1.0249361590770776</v>
      </c>
      <c r="AQ275" s="8"/>
      <c r="AR275" s="8">
        <f t="shared" si="90"/>
        <v>216.92417837085162</v>
      </c>
      <c r="AS275" s="8">
        <f t="shared" si="91"/>
        <v>31.275483814534297</v>
      </c>
    </row>
    <row r="276" spans="1:45">
      <c r="A276" s="19">
        <v>16.149466669999999</v>
      </c>
      <c r="B276" s="19">
        <v>968.1103339</v>
      </c>
      <c r="C276" s="19">
        <v>554.42666410000004</v>
      </c>
      <c r="E276" s="9">
        <f t="shared" si="77"/>
        <v>8.1103339000000005</v>
      </c>
      <c r="F276" s="9">
        <f t="shared" si="78"/>
        <v>-14.426664100000039</v>
      </c>
      <c r="I276">
        <v>1</v>
      </c>
      <c r="J276">
        <f t="shared" si="79"/>
        <v>1.0414337643466991E-2</v>
      </c>
      <c r="K276">
        <f t="shared" si="83"/>
        <v>-1.0586525204543356</v>
      </c>
      <c r="O276">
        <f t="shared" si="84"/>
        <v>5.1034239041999607E-3</v>
      </c>
      <c r="P276">
        <f t="shared" si="85"/>
        <v>-9.0779717991393196E-3</v>
      </c>
      <c r="Q276">
        <f t="shared" si="86"/>
        <v>0.99994577127585682</v>
      </c>
      <c r="R276">
        <f t="shared" si="76"/>
        <v>1</v>
      </c>
      <c r="AG276" s="8">
        <f t="shared" si="80"/>
        <v>-0.68347809580630914</v>
      </c>
      <c r="AH276" s="8">
        <f t="shared" si="81"/>
        <v>-0.51322760033099024</v>
      </c>
      <c r="AI276" s="8">
        <f t="shared" si="82"/>
        <v>0.51909066916240687</v>
      </c>
      <c r="AJ276" s="8"/>
      <c r="AK276" s="8"/>
      <c r="AL276" s="8"/>
      <c r="AN276" s="8">
        <f t="shared" si="87"/>
        <v>1.0000000000000004</v>
      </c>
      <c r="AO276" s="8">
        <f t="shared" si="88"/>
        <v>3.7856731606464176</v>
      </c>
      <c r="AP276" s="8">
        <f t="shared" si="89"/>
        <v>1.0250096144969536</v>
      </c>
      <c r="AQ276" s="8"/>
      <c r="AR276" s="8">
        <f t="shared" si="90"/>
        <v>216.90309472099062</v>
      </c>
      <c r="AS276" s="8">
        <f t="shared" si="91"/>
        <v>31.27127512899304</v>
      </c>
    </row>
    <row r="277" spans="1:45">
      <c r="A277" s="19">
        <v>16.182833330000001</v>
      </c>
      <c r="B277" s="19">
        <v>967.66579869999998</v>
      </c>
      <c r="C277" s="19">
        <v>554.42683820000002</v>
      </c>
      <c r="E277" s="9">
        <f t="shared" si="77"/>
        <v>7.6657986999999821</v>
      </c>
      <c r="F277" s="9">
        <f t="shared" si="78"/>
        <v>-14.42683820000002</v>
      </c>
      <c r="I277">
        <v>1</v>
      </c>
      <c r="J277">
        <f t="shared" si="79"/>
        <v>1.0279057072129481E-2</v>
      </c>
      <c r="K277">
        <f t="shared" si="83"/>
        <v>-1.0823790803291391</v>
      </c>
      <c r="O277">
        <f t="shared" si="84"/>
        <v>4.8231445129369756E-3</v>
      </c>
      <c r="P277">
        <f t="shared" si="85"/>
        <v>-9.0770353131448388E-3</v>
      </c>
      <c r="Q277">
        <f t="shared" si="86"/>
        <v>0.99994717095801178</v>
      </c>
      <c r="R277">
        <f t="shared" si="76"/>
        <v>1</v>
      </c>
      <c r="AG277" s="8">
        <f t="shared" si="80"/>
        <v>-0.68366184486679171</v>
      </c>
      <c r="AH277" s="8">
        <f t="shared" si="81"/>
        <v>-0.51301899420576247</v>
      </c>
      <c r="AI277" s="8">
        <f t="shared" si="82"/>
        <v>0.51905490408765309</v>
      </c>
      <c r="AJ277" s="8"/>
      <c r="AK277" s="8"/>
      <c r="AL277" s="8"/>
      <c r="AN277" s="8">
        <f t="shared" si="87"/>
        <v>1</v>
      </c>
      <c r="AO277" s="8">
        <f t="shared" si="88"/>
        <v>3.7853489139112657</v>
      </c>
      <c r="AP277" s="8">
        <f t="shared" si="89"/>
        <v>1.0250514582055668</v>
      </c>
      <c r="AQ277" s="8"/>
      <c r="AR277" s="8">
        <f t="shared" si="90"/>
        <v>216.88451675154553</v>
      </c>
      <c r="AS277" s="8">
        <f t="shared" si="91"/>
        <v>31.268877661090329</v>
      </c>
    </row>
    <row r="278" spans="1:45">
      <c r="A278" s="19">
        <v>16.216200000000001</v>
      </c>
      <c r="B278" s="19">
        <v>967.28162840000005</v>
      </c>
      <c r="C278" s="19">
        <v>554.36604590000002</v>
      </c>
      <c r="E278" s="9">
        <f t="shared" si="77"/>
        <v>7.2816284000000451</v>
      </c>
      <c r="F278" s="9">
        <f t="shared" si="78"/>
        <v>-14.366045900000017</v>
      </c>
      <c r="I278">
        <v>1</v>
      </c>
      <c r="J278">
        <f t="shared" si="79"/>
        <v>1.0132457501914691E-2</v>
      </c>
      <c r="K278">
        <f t="shared" si="83"/>
        <v>-1.1016727789652654</v>
      </c>
      <c r="O278">
        <f t="shared" si="84"/>
        <v>4.5808532197122243E-3</v>
      </c>
      <c r="P278">
        <f t="shared" si="85"/>
        <v>-9.0376415824169609E-3</v>
      </c>
      <c r="Q278">
        <f t="shared" si="86"/>
        <v>0.99994866709166985</v>
      </c>
      <c r="R278">
        <f t="shared" si="76"/>
        <v>1</v>
      </c>
      <c r="AG278" s="8">
        <f t="shared" si="80"/>
        <v>-0.68380835078137114</v>
      </c>
      <c r="AH278" s="8">
        <f t="shared" si="81"/>
        <v>-0.51282203610367882</v>
      </c>
      <c r="AI278" s="8">
        <f t="shared" si="82"/>
        <v>0.51905654671542145</v>
      </c>
      <c r="AJ278" s="8"/>
      <c r="AK278" s="8"/>
      <c r="AL278" s="8"/>
      <c r="AN278" s="8">
        <f t="shared" si="87"/>
        <v>1</v>
      </c>
      <c r="AO278" s="8">
        <f t="shared" si="88"/>
        <v>3.7850617273911498</v>
      </c>
      <c r="AP278" s="8">
        <f t="shared" si="89"/>
        <v>1.0250495364199983</v>
      </c>
      <c r="AQ278" s="8"/>
      <c r="AR278" s="8">
        <f t="shared" si="90"/>
        <v>216.86806217600983</v>
      </c>
      <c r="AS278" s="8">
        <f t="shared" si="91"/>
        <v>31.268987771292529</v>
      </c>
    </row>
    <row r="279" spans="1:45">
      <c r="A279" s="19">
        <v>16.24956667</v>
      </c>
      <c r="B279" s="19">
        <v>966.90683220000005</v>
      </c>
      <c r="C279" s="19">
        <v>554.42437150000001</v>
      </c>
      <c r="E279" s="9">
        <f t="shared" si="77"/>
        <v>6.9068322000000535</v>
      </c>
      <c r="F279" s="9">
        <f t="shared" si="78"/>
        <v>-14.424371500000007</v>
      </c>
      <c r="I279">
        <v>1</v>
      </c>
      <c r="J279">
        <f t="shared" si="79"/>
        <v>1.006051018049408E-2</v>
      </c>
      <c r="K279">
        <f t="shared" si="83"/>
        <v>-1.1242271096295153</v>
      </c>
      <c r="O279">
        <f t="shared" si="84"/>
        <v>4.3447968837316848E-3</v>
      </c>
      <c r="P279">
        <f t="shared" si="85"/>
        <v>-9.0737638512468372E-3</v>
      </c>
      <c r="Q279">
        <f t="shared" si="86"/>
        <v>0.99994939349429623</v>
      </c>
      <c r="R279">
        <f t="shared" si="76"/>
        <v>1</v>
      </c>
      <c r="AG279" s="8">
        <f t="shared" si="80"/>
        <v>-0.68397478872328576</v>
      </c>
      <c r="AH279" s="8">
        <f t="shared" si="81"/>
        <v>-0.51266215871763032</v>
      </c>
      <c r="AI279" s="8">
        <f t="shared" si="82"/>
        <v>0.51899518245347509</v>
      </c>
      <c r="AJ279" s="8"/>
      <c r="AK279" s="8"/>
      <c r="AL279" s="8"/>
      <c r="AN279" s="8">
        <f t="shared" si="87"/>
        <v>1</v>
      </c>
      <c r="AO279" s="8">
        <f t="shared" si="88"/>
        <v>3.7847952679048493</v>
      </c>
      <c r="AP279" s="8">
        <f t="shared" si="89"/>
        <v>1.0251213277616631</v>
      </c>
      <c r="AQ279" s="8"/>
      <c r="AR279" s="8">
        <f t="shared" si="90"/>
        <v>216.85279517203358</v>
      </c>
      <c r="AS279" s="8">
        <f t="shared" si="91"/>
        <v>31.264874430409556</v>
      </c>
    </row>
    <row r="280" spans="1:45">
      <c r="A280" s="19">
        <v>16.282933329999999</v>
      </c>
      <c r="B280" s="19">
        <v>966.08417559999998</v>
      </c>
      <c r="C280" s="19">
        <v>554.4319749</v>
      </c>
      <c r="E280" s="9">
        <f t="shared" si="77"/>
        <v>6.0841755999999805</v>
      </c>
      <c r="F280" s="9">
        <f t="shared" si="78"/>
        <v>-14.4319749</v>
      </c>
      <c r="I280">
        <v>1</v>
      </c>
      <c r="J280">
        <f t="shared" si="79"/>
        <v>9.8506481639713088E-3</v>
      </c>
      <c r="K280">
        <f t="shared" si="83"/>
        <v>-1.1718293296603002</v>
      </c>
      <c r="O280">
        <f t="shared" si="84"/>
        <v>3.8265866629365571E-3</v>
      </c>
      <c r="P280">
        <f t="shared" si="85"/>
        <v>-9.0768587731385238E-3</v>
      </c>
      <c r="Q280">
        <f t="shared" si="86"/>
        <v>0.99995148275770041</v>
      </c>
      <c r="R280">
        <f t="shared" si="76"/>
        <v>1</v>
      </c>
      <c r="AG280" s="8">
        <f t="shared" si="80"/>
        <v>-0.68431575030511693</v>
      </c>
      <c r="AH280" s="8">
        <f t="shared" si="81"/>
        <v>-0.51227831133252821</v>
      </c>
      <c r="AI280" s="8">
        <f t="shared" si="82"/>
        <v>0.51892473984445797</v>
      </c>
      <c r="AJ280" s="8"/>
      <c r="AK280" s="8"/>
      <c r="AL280" s="8"/>
      <c r="AN280" s="8">
        <f t="shared" si="87"/>
        <v>1.0000000000000002</v>
      </c>
      <c r="AO280" s="8">
        <f t="shared" si="88"/>
        <v>3.7841967299296844</v>
      </c>
      <c r="AP280" s="8">
        <f t="shared" si="89"/>
        <v>1.0252037361948232</v>
      </c>
      <c r="AQ280" s="8"/>
      <c r="AR280" s="8">
        <f t="shared" si="90"/>
        <v>216.81850147217833</v>
      </c>
      <c r="AS280" s="8">
        <f t="shared" si="91"/>
        <v>31.260152774993195</v>
      </c>
    </row>
    <row r="281" spans="1:45">
      <c r="A281" s="19">
        <v>16.316299999999998</v>
      </c>
      <c r="B281" s="19">
        <v>965.65989100000002</v>
      </c>
      <c r="C281" s="19">
        <v>554.30018010000003</v>
      </c>
      <c r="E281" s="9">
        <f t="shared" si="77"/>
        <v>5.659891000000016</v>
      </c>
      <c r="F281" s="9">
        <f t="shared" si="78"/>
        <v>-14.300180100000034</v>
      </c>
      <c r="I281">
        <v>1</v>
      </c>
      <c r="J281">
        <f t="shared" si="79"/>
        <v>9.6713893747276698E-3</v>
      </c>
      <c r="K281">
        <f t="shared" si="83"/>
        <v>-1.1939231469337579</v>
      </c>
      <c r="O281">
        <f t="shared" si="84"/>
        <v>3.5591598464585188E-3</v>
      </c>
      <c r="P281">
        <f t="shared" si="85"/>
        <v>-8.992510069371502E-3</v>
      </c>
      <c r="Q281">
        <f t="shared" si="86"/>
        <v>0.99995323247831924</v>
      </c>
      <c r="R281">
        <f t="shared" si="76"/>
        <v>1</v>
      </c>
      <c r="AG281" s="8">
        <f t="shared" si="80"/>
        <v>-0.68446424603922151</v>
      </c>
      <c r="AH281" s="8">
        <f t="shared" si="81"/>
        <v>-0.51204320720809315</v>
      </c>
      <c r="AI281" s="8">
        <f t="shared" si="82"/>
        <v>0.51896093287068323</v>
      </c>
      <c r="AJ281" s="8"/>
      <c r="AK281" s="8"/>
      <c r="AL281" s="8"/>
      <c r="AN281" s="8">
        <f t="shared" si="87"/>
        <v>1</v>
      </c>
      <c r="AO281" s="8">
        <f t="shared" si="88"/>
        <v>3.7838724420628753</v>
      </c>
      <c r="AP281" s="8">
        <f t="shared" si="89"/>
        <v>1.025161395708754</v>
      </c>
      <c r="AQ281" s="8"/>
      <c r="AR281" s="8">
        <f t="shared" si="90"/>
        <v>216.79992114606287</v>
      </c>
      <c r="AS281" s="8">
        <f t="shared" si="91"/>
        <v>31.262578706147494</v>
      </c>
    </row>
    <row r="282" spans="1:45">
      <c r="A282" s="19">
        <v>16.349666670000001</v>
      </c>
      <c r="B282" s="19">
        <v>964.97752700000001</v>
      </c>
      <c r="C282" s="19">
        <v>554.05312990000004</v>
      </c>
      <c r="E282" s="9">
        <f t="shared" si="77"/>
        <v>4.9775270000000091</v>
      </c>
      <c r="F282" s="9">
        <f t="shared" si="78"/>
        <v>-14.053129900000044</v>
      </c>
      <c r="I282">
        <v>1</v>
      </c>
      <c r="J282">
        <f t="shared" si="79"/>
        <v>9.3726459700692964E-3</v>
      </c>
      <c r="K282">
        <f t="shared" si="83"/>
        <v>-1.2303905624709677</v>
      </c>
      <c r="O282">
        <f t="shared" si="84"/>
        <v>3.129195753994831E-3</v>
      </c>
      <c r="P282">
        <f t="shared" si="85"/>
        <v>-8.834707358376534E-3</v>
      </c>
      <c r="Q282">
        <f t="shared" si="86"/>
        <v>0.99995607707530088</v>
      </c>
      <c r="R282">
        <f t="shared" si="76"/>
        <v>1</v>
      </c>
      <c r="AG282" s="8">
        <f t="shared" si="80"/>
        <v>-0.68469580841016175</v>
      </c>
      <c r="AH282" s="8">
        <f t="shared" si="81"/>
        <v>-0.51165558281255019</v>
      </c>
      <c r="AI282" s="8">
        <f t="shared" si="82"/>
        <v>0.51903777754832525</v>
      </c>
      <c r="AJ282" s="8"/>
      <c r="AK282" s="8"/>
      <c r="AL282" s="8"/>
      <c r="AN282" s="8">
        <f t="shared" si="87"/>
        <v>1</v>
      </c>
      <c r="AO282" s="8">
        <f t="shared" si="88"/>
        <v>3.7833470325978946</v>
      </c>
      <c r="AP282" s="8">
        <f t="shared" si="89"/>
        <v>1.0250714951958744</v>
      </c>
      <c r="AQ282" s="8"/>
      <c r="AR282" s="8">
        <f t="shared" si="90"/>
        <v>216.76981740120326</v>
      </c>
      <c r="AS282" s="8">
        <f t="shared" si="91"/>
        <v>31.267729626111553</v>
      </c>
    </row>
    <row r="283" spans="1:45">
      <c r="A283" s="19">
        <v>16.38303333</v>
      </c>
      <c r="B283" s="19">
        <v>964.79325710000001</v>
      </c>
      <c r="C283" s="19">
        <v>553.76521230000003</v>
      </c>
      <c r="E283" s="9">
        <f t="shared" si="77"/>
        <v>4.7932571000000053</v>
      </c>
      <c r="F283" s="9">
        <f t="shared" si="78"/>
        <v>-13.76521230000003</v>
      </c>
      <c r="I283">
        <v>1</v>
      </c>
      <c r="J283">
        <f t="shared" si="79"/>
        <v>9.1616291447143006E-3</v>
      </c>
      <c r="K283">
        <f t="shared" si="83"/>
        <v>-1.2357123524037581</v>
      </c>
      <c r="O283">
        <f t="shared" si="84"/>
        <v>3.01274562627365E-3</v>
      </c>
      <c r="P283">
        <f t="shared" si="85"/>
        <v>-8.651963015201769E-3</v>
      </c>
      <c r="Q283">
        <f t="shared" si="86"/>
        <v>0.99995803256925486</v>
      </c>
      <c r="R283">
        <f t="shared" ref="R283:R346" si="92">SQRT(O283^2+P283^2+Q283^2)</f>
        <v>1</v>
      </c>
      <c r="AG283" s="8">
        <f t="shared" si="80"/>
        <v>-0.68471385344860403</v>
      </c>
      <c r="AH283" s="8">
        <f t="shared" si="81"/>
        <v>-0.5114903463064262</v>
      </c>
      <c r="AI283" s="8">
        <f t="shared" si="82"/>
        <v>0.5191768143233052</v>
      </c>
      <c r="AJ283" s="8"/>
      <c r="AK283" s="8"/>
      <c r="AL283" s="8"/>
      <c r="AN283" s="8">
        <f t="shared" si="87"/>
        <v>0.99999999999999989</v>
      </c>
      <c r="AO283" s="8">
        <f t="shared" si="88"/>
        <v>3.7831795240914188</v>
      </c>
      <c r="AP283" s="8">
        <f t="shared" si="89"/>
        <v>1.0249088237346862</v>
      </c>
      <c r="AQ283" s="8"/>
      <c r="AR283" s="8">
        <f t="shared" si="90"/>
        <v>216.76021987074964</v>
      </c>
      <c r="AS283" s="8">
        <f t="shared" si="91"/>
        <v>31.277050014284868</v>
      </c>
    </row>
    <row r="284" spans="1:45">
      <c r="A284" s="19">
        <v>16.416399999999999</v>
      </c>
      <c r="B284" s="19">
        <v>964.16666669999995</v>
      </c>
      <c r="C284" s="19">
        <v>553</v>
      </c>
      <c r="E284" s="9">
        <f t="shared" si="77"/>
        <v>4.1666666999999507</v>
      </c>
      <c r="F284" s="9">
        <f t="shared" si="78"/>
        <v>-13</v>
      </c>
      <c r="I284">
        <v>1</v>
      </c>
      <c r="J284">
        <f t="shared" si="79"/>
        <v>8.5755276493250775E-3</v>
      </c>
      <c r="K284">
        <f t="shared" si="83"/>
        <v>-1.2606282636816795</v>
      </c>
      <c r="O284">
        <f t="shared" si="84"/>
        <v>2.6173791856481114E-3</v>
      </c>
      <c r="P284">
        <f t="shared" si="85"/>
        <v>-8.1662229938924222E-3</v>
      </c>
      <c r="Q284">
        <f t="shared" si="86"/>
        <v>0.99996323038810409</v>
      </c>
      <c r="R284">
        <f t="shared" si="92"/>
        <v>1</v>
      </c>
      <c r="AG284" s="8">
        <f t="shared" si="80"/>
        <v>-0.6848178928015517</v>
      </c>
      <c r="AH284" s="8">
        <f t="shared" si="81"/>
        <v>-0.51098716286142054</v>
      </c>
      <c r="AI284" s="8">
        <f t="shared" si="82"/>
        <v>0.51953495848660525</v>
      </c>
      <c r="AJ284" s="8"/>
      <c r="AK284" s="8"/>
      <c r="AL284" s="8"/>
      <c r="AN284" s="8">
        <f t="shared" si="87"/>
        <v>1</v>
      </c>
      <c r="AO284" s="8">
        <f t="shared" si="88"/>
        <v>3.7826348595938093</v>
      </c>
      <c r="AP284" s="8">
        <f t="shared" si="89"/>
        <v>1.0244897250342202</v>
      </c>
      <c r="AQ284" s="8"/>
      <c r="AR284" s="8">
        <f t="shared" si="90"/>
        <v>216.72901289378601</v>
      </c>
      <c r="AS284" s="8">
        <f t="shared" si="91"/>
        <v>31.301062601020988</v>
      </c>
    </row>
    <row r="285" spans="1:45">
      <c r="A285" s="19">
        <v>16.449766669999999</v>
      </c>
      <c r="B285" s="19">
        <v>963.33333330000005</v>
      </c>
      <c r="C285" s="19">
        <v>553</v>
      </c>
      <c r="E285" s="9">
        <f t="shared" si="77"/>
        <v>3.3333333000000493</v>
      </c>
      <c r="F285" s="9">
        <f t="shared" si="78"/>
        <v>-13</v>
      </c>
      <c r="I285">
        <v>1</v>
      </c>
      <c r="J285">
        <f t="shared" si="79"/>
        <v>8.4292153961987564E-3</v>
      </c>
      <c r="K285">
        <f t="shared" si="83"/>
        <v>-1.3197936425577808</v>
      </c>
      <c r="O285">
        <f t="shared" si="84"/>
        <v>2.0935845145493254E-3</v>
      </c>
      <c r="P285">
        <f t="shared" si="85"/>
        <v>-8.1649796883920458E-3</v>
      </c>
      <c r="Q285">
        <f t="shared" si="86"/>
        <v>0.99996447437424929</v>
      </c>
      <c r="R285">
        <f t="shared" si="92"/>
        <v>1</v>
      </c>
      <c r="AG285" s="8">
        <f t="shared" si="80"/>
        <v>-0.68516051512949161</v>
      </c>
      <c r="AH285" s="8">
        <f t="shared" si="81"/>
        <v>-0.51059684022119856</v>
      </c>
      <c r="AI285" s="8">
        <f t="shared" si="82"/>
        <v>0.51946697225484695</v>
      </c>
      <c r="AJ285" s="8"/>
      <c r="AK285" s="8"/>
      <c r="AL285" s="8"/>
      <c r="AN285" s="8">
        <f t="shared" si="87"/>
        <v>1.0000000000000004</v>
      </c>
      <c r="AO285" s="8">
        <f t="shared" si="88"/>
        <v>3.7820289642248826</v>
      </c>
      <c r="AP285" s="8">
        <f t="shared" si="89"/>
        <v>1.0245692904287771</v>
      </c>
      <c r="AQ285" s="8"/>
      <c r="AR285" s="8">
        <f t="shared" si="90"/>
        <v>216.69429764632</v>
      </c>
      <c r="AS285" s="8">
        <f t="shared" si="91"/>
        <v>31.29650383971758</v>
      </c>
    </row>
    <row r="286" spans="1:45">
      <c r="A286" s="19">
        <v>16.483133330000001</v>
      </c>
      <c r="B286" s="19">
        <v>962.70405089999997</v>
      </c>
      <c r="C286" s="19">
        <v>552.99235229999999</v>
      </c>
      <c r="E286" s="9">
        <f t="shared" si="77"/>
        <v>2.7040508999999702</v>
      </c>
      <c r="F286" s="9">
        <f t="shared" si="78"/>
        <v>-12.992352299999993</v>
      </c>
      <c r="I286">
        <v>1</v>
      </c>
      <c r="J286">
        <f t="shared" si="79"/>
        <v>8.3342994898945554E-3</v>
      </c>
      <c r="K286">
        <f t="shared" si="83"/>
        <v>-1.3655993163838829</v>
      </c>
      <c r="O286">
        <f t="shared" si="84"/>
        <v>1.6981775475505393E-3</v>
      </c>
      <c r="P286">
        <f t="shared" si="85"/>
        <v>-8.1593585999904187E-3</v>
      </c>
      <c r="Q286">
        <f t="shared" si="86"/>
        <v>0.99996526992703794</v>
      </c>
      <c r="R286">
        <f t="shared" si="92"/>
        <v>1</v>
      </c>
      <c r="AG286" s="8">
        <f t="shared" si="80"/>
        <v>-0.68541753776081771</v>
      </c>
      <c r="AH286" s="8">
        <f t="shared" si="81"/>
        <v>-0.51030008207167221</v>
      </c>
      <c r="AI286" s="8">
        <f t="shared" si="82"/>
        <v>0.51941950788119517</v>
      </c>
      <c r="AJ286" s="8"/>
      <c r="AK286" s="8"/>
      <c r="AL286" s="8"/>
      <c r="AN286" s="8">
        <f t="shared" si="87"/>
        <v>1.0000000000000004</v>
      </c>
      <c r="AO286" s="8">
        <f t="shared" si="88"/>
        <v>3.7815707723975249</v>
      </c>
      <c r="AP286" s="8">
        <f t="shared" si="89"/>
        <v>1.0246248364771815</v>
      </c>
      <c r="AQ286" s="8"/>
      <c r="AR286" s="8">
        <f t="shared" si="90"/>
        <v>216.66804518840502</v>
      </c>
      <c r="AS286" s="8">
        <f t="shared" si="91"/>
        <v>31.293321285575381</v>
      </c>
    </row>
    <row r="287" spans="1:45">
      <c r="A287" s="19">
        <v>16.516500000000001</v>
      </c>
      <c r="B287" s="19">
        <v>962.18378889999997</v>
      </c>
      <c r="C287" s="19">
        <v>553.0401564</v>
      </c>
      <c r="E287" s="9">
        <f t="shared" si="77"/>
        <v>2.1837888999999677</v>
      </c>
      <c r="F287" s="9">
        <f t="shared" si="78"/>
        <v>-13.040156400000001</v>
      </c>
      <c r="I287">
        <v>1</v>
      </c>
      <c r="J287">
        <f t="shared" si="79"/>
        <v>8.3032428158330285E-3</v>
      </c>
      <c r="K287">
        <f t="shared" si="83"/>
        <v>-1.4048695679434733</v>
      </c>
      <c r="O287">
        <f t="shared" si="84"/>
        <v>1.37140123371594E-3</v>
      </c>
      <c r="P287">
        <f t="shared" si="85"/>
        <v>-8.1891095676917616E-3</v>
      </c>
      <c r="Q287">
        <f t="shared" si="86"/>
        <v>0.99996552827742247</v>
      </c>
      <c r="R287">
        <f t="shared" si="92"/>
        <v>1</v>
      </c>
      <c r="AG287" s="8">
        <f t="shared" si="80"/>
        <v>-0.68564084983931251</v>
      </c>
      <c r="AH287" s="8">
        <f t="shared" si="81"/>
        <v>-0.51006958057240237</v>
      </c>
      <c r="AI287" s="8">
        <f t="shared" si="82"/>
        <v>0.51935117984492818</v>
      </c>
      <c r="AJ287" s="8"/>
      <c r="AK287" s="8"/>
      <c r="AL287" s="8"/>
      <c r="AN287" s="8">
        <f t="shared" si="87"/>
        <v>1</v>
      </c>
      <c r="AO287" s="8">
        <f t="shared" si="88"/>
        <v>3.7811983655560164</v>
      </c>
      <c r="AP287" s="8">
        <f t="shared" si="89"/>
        <v>1.024704795314064</v>
      </c>
      <c r="AQ287" s="8"/>
      <c r="AR287" s="8">
        <f t="shared" si="90"/>
        <v>216.64670784812478</v>
      </c>
      <c r="AS287" s="8">
        <f t="shared" si="91"/>
        <v>31.288739981687236</v>
      </c>
    </row>
    <row r="288" spans="1:45">
      <c r="A288" s="19">
        <v>16.54986667</v>
      </c>
      <c r="B288" s="19">
        <v>961.5448275</v>
      </c>
      <c r="C288" s="19">
        <v>553.06754639999997</v>
      </c>
      <c r="E288" s="9">
        <f t="shared" ref="E288:E351" si="93">(B288-($B$15/2))</f>
        <v>1.5448274999999967</v>
      </c>
      <c r="F288" s="9">
        <f t="shared" ref="F288:F351" si="94">(($C$15/2)-C288)</f>
        <v>-13.067546399999969</v>
      </c>
      <c r="I288">
        <v>1</v>
      </c>
      <c r="J288">
        <f t="shared" ref="J288:J351" si="95">ATAN((SQRT(E288^2+F288^2)^$B$16)/($F$24))</f>
        <v>8.2631959465434904E-3</v>
      </c>
      <c r="K288">
        <f t="shared" si="83"/>
        <v>-1.4531238464541789</v>
      </c>
      <c r="O288">
        <f t="shared" si="84"/>
        <v>9.7009728266920679E-4</v>
      </c>
      <c r="P288">
        <f t="shared" si="85"/>
        <v>-8.2059590820293959E-3</v>
      </c>
      <c r="Q288">
        <f t="shared" si="86"/>
        <v>0.99996585999063303</v>
      </c>
      <c r="R288">
        <f t="shared" si="92"/>
        <v>1</v>
      </c>
      <c r="AG288" s="8">
        <f t="shared" ref="AG288:AG351" si="96">$O288*$Z$27+$P288*$Z$31+$Q288*$Z$35</f>
        <v>-0.68590870714613272</v>
      </c>
      <c r="AH288" s="8">
        <f t="shared" ref="AH288:AH351" si="97">$O288*$AA$27+$P288*$AA$31+$Q288*$AA$35</f>
        <v>-0.50977795933953718</v>
      </c>
      <c r="AI288" s="8">
        <f t="shared" ref="AI288:AI351" si="98">$AB$27*$O288+$P288*$AB$31+$AB$35*$Q288</f>
        <v>0.51928381221903885</v>
      </c>
      <c r="AJ288" s="8"/>
      <c r="AK288" s="8"/>
      <c r="AL288" s="8"/>
      <c r="AN288" s="8">
        <f t="shared" si="87"/>
        <v>1</v>
      </c>
      <c r="AO288" s="8">
        <f t="shared" si="88"/>
        <v>3.7807375015231455</v>
      </c>
      <c r="AP288" s="8">
        <f t="shared" si="89"/>
        <v>1.0247836264556636</v>
      </c>
      <c r="AQ288" s="8"/>
      <c r="AR288" s="8">
        <f t="shared" si="90"/>
        <v>216.62030228411189</v>
      </c>
      <c r="AS288" s="8">
        <f t="shared" si="91"/>
        <v>31.284223289979387</v>
      </c>
    </row>
    <row r="289" spans="1:45">
      <c r="A289" s="19">
        <v>16.583233329999999</v>
      </c>
      <c r="B289" s="19">
        <v>961.27820850000001</v>
      </c>
      <c r="C289" s="19">
        <v>552.99065510000003</v>
      </c>
      <c r="E289" s="9">
        <f t="shared" si="93"/>
        <v>1.2782085000000052</v>
      </c>
      <c r="F289" s="9">
        <f t="shared" si="94"/>
        <v>-12.990655100000026</v>
      </c>
      <c r="I289">
        <v>1</v>
      </c>
      <c r="J289">
        <f t="shared" si="95"/>
        <v>8.196572443320671E-3</v>
      </c>
      <c r="K289">
        <f t="shared" ref="K289:K352" si="99">ATAN2(E289,F289)</f>
        <v>-1.4727175687781857</v>
      </c>
      <c r="O289">
        <f t="shared" ref="O289:O352" si="100">COS(K289)*SIN(J289)</f>
        <v>8.0261241736515239E-4</v>
      </c>
      <c r="P289">
        <f t="shared" ref="P289:P352" si="101">SIN(K289)*SIN(J289)</f>
        <v>-8.1570894677730002E-3</v>
      </c>
      <c r="Q289">
        <f t="shared" ref="Q289:Q352" si="102">COS(J289)</f>
        <v>0.99996640828815953</v>
      </c>
      <c r="R289">
        <f t="shared" si="92"/>
        <v>1</v>
      </c>
      <c r="AG289" s="8">
        <f t="shared" si="96"/>
        <v>-0.68600261833765819</v>
      </c>
      <c r="AH289" s="8">
        <f t="shared" si="97"/>
        <v>-0.50963216053912097</v>
      </c>
      <c r="AI289" s="8">
        <f t="shared" si="98"/>
        <v>0.51930286787009461</v>
      </c>
      <c r="AJ289" s="8"/>
      <c r="AK289" s="8"/>
      <c r="AL289" s="8"/>
      <c r="AN289" s="8">
        <f t="shared" ref="AN289:AN352" si="103">AG289^2+AH289^2+AI289^2</f>
        <v>1</v>
      </c>
      <c r="AO289" s="8">
        <f t="shared" ref="AO289:AO352" si="104">IF(ATAN2(AG289,AH289)&gt;=0,ATAN2(AG289,AH289),ATAN2(AG289,AH289)+2*PI())</f>
        <v>3.78053502096376</v>
      </c>
      <c r="AP289" s="8">
        <f t="shared" ref="AP289:AP352" si="105">ACOS(AI289/AN289)</f>
        <v>1.0247613286100117</v>
      </c>
      <c r="AQ289" s="8"/>
      <c r="AR289" s="8">
        <f t="shared" ref="AR289:AR352" si="106">DEGREES(AO289)</f>
        <v>216.60870100262565</v>
      </c>
      <c r="AS289" s="8">
        <f t="shared" ref="AS289:AS352" si="107">90-DEGREES(AP289)</f>
        <v>31.285500862427469</v>
      </c>
    </row>
    <row r="290" spans="1:45">
      <c r="A290" s="19">
        <v>16.616599999999998</v>
      </c>
      <c r="B290" s="19">
        <v>960.55297889999997</v>
      </c>
      <c r="C290" s="19">
        <v>552.98457299999995</v>
      </c>
      <c r="E290" s="9">
        <f t="shared" si="93"/>
        <v>0.55297889999997096</v>
      </c>
      <c r="F290" s="9">
        <f t="shared" si="94"/>
        <v>-12.984572999999955</v>
      </c>
      <c r="I290">
        <v>1</v>
      </c>
      <c r="J290">
        <f t="shared" si="95"/>
        <v>8.160432093370253E-3</v>
      </c>
      <c r="K290">
        <f t="shared" si="99"/>
        <v>-1.5282346689298936</v>
      </c>
      <c r="O290">
        <f t="shared" si="100"/>
        <v>3.472128127695175E-4</v>
      </c>
      <c r="P290">
        <f t="shared" si="101"/>
        <v>-8.15295143077132E-3</v>
      </c>
      <c r="Q290">
        <f t="shared" si="102"/>
        <v>0.9999667038587986</v>
      </c>
      <c r="R290">
        <f t="shared" si="92"/>
        <v>1</v>
      </c>
      <c r="AG290" s="8">
        <f t="shared" si="96"/>
        <v>-0.68629897174806165</v>
      </c>
      <c r="AH290" s="8">
        <f t="shared" si="97"/>
        <v>-0.50929107864957679</v>
      </c>
      <c r="AI290" s="8">
        <f t="shared" si="98"/>
        <v>0.51924591340279613</v>
      </c>
      <c r="AJ290" s="8"/>
      <c r="AK290" s="8"/>
      <c r="AL290" s="8"/>
      <c r="AN290" s="8">
        <f t="shared" si="103"/>
        <v>1.0000000000000002</v>
      </c>
      <c r="AO290" s="8">
        <f t="shared" si="104"/>
        <v>3.7800078598060605</v>
      </c>
      <c r="AP290" s="8">
        <f t="shared" si="105"/>
        <v>1.0248279726101206</v>
      </c>
      <c r="AQ290" s="8"/>
      <c r="AR290" s="8">
        <f t="shared" si="106"/>
        <v>216.57849689316623</v>
      </c>
      <c r="AS290" s="8">
        <f t="shared" si="107"/>
        <v>31.281682442491359</v>
      </c>
    </row>
    <row r="291" spans="1:45">
      <c r="A291" s="19">
        <v>16.649966670000001</v>
      </c>
      <c r="B291" s="19">
        <v>960.33792779999999</v>
      </c>
      <c r="C291" s="19">
        <v>552.90036239999995</v>
      </c>
      <c r="E291" s="9">
        <f t="shared" si="93"/>
        <v>0.33792779999998857</v>
      </c>
      <c r="F291" s="9">
        <f t="shared" si="94"/>
        <v>-12.900362399999949</v>
      </c>
      <c r="I291">
        <v>1</v>
      </c>
      <c r="J291">
        <f t="shared" si="95"/>
        <v>8.1024315487779313E-3</v>
      </c>
      <c r="K291">
        <f t="shared" si="99"/>
        <v>-1.5446070983708478</v>
      </c>
      <c r="O291">
        <f t="shared" si="100"/>
        <v>2.1216985323602142E-4</v>
      </c>
      <c r="P291">
        <f t="shared" si="101"/>
        <v>-8.0995644545952261E-3</v>
      </c>
      <c r="Q291">
        <f t="shared" si="102"/>
        <v>0.99996717548107505</v>
      </c>
      <c r="R291">
        <f t="shared" si="92"/>
        <v>1</v>
      </c>
      <c r="AG291" s="8">
        <f t="shared" si="96"/>
        <v>-0.68637016994517808</v>
      </c>
      <c r="AH291" s="8">
        <f t="shared" si="97"/>
        <v>-0.50916745826418841</v>
      </c>
      <c r="AI291" s="8">
        <f t="shared" si="98"/>
        <v>0.51927303921368106</v>
      </c>
      <c r="AJ291" s="8"/>
      <c r="AK291" s="8"/>
      <c r="AL291" s="8"/>
      <c r="AN291" s="8">
        <f t="shared" si="103"/>
        <v>0.99999999999999978</v>
      </c>
      <c r="AO291" s="8">
        <f t="shared" si="104"/>
        <v>3.7798420517669333</v>
      </c>
      <c r="AP291" s="8">
        <f t="shared" si="105"/>
        <v>1.0247962322838591</v>
      </c>
      <c r="AQ291" s="8"/>
      <c r="AR291" s="8">
        <f t="shared" si="106"/>
        <v>216.56899679231492</v>
      </c>
      <c r="AS291" s="8">
        <f t="shared" si="107"/>
        <v>31.283501029226514</v>
      </c>
    </row>
    <row r="292" spans="1:45">
      <c r="A292" s="19">
        <v>16.68333333</v>
      </c>
      <c r="B292" s="19">
        <v>960.08333330000005</v>
      </c>
      <c r="C292" s="19">
        <v>552.5</v>
      </c>
      <c r="E292" s="9">
        <f t="shared" si="93"/>
        <v>8.3333300000049348E-2</v>
      </c>
      <c r="F292" s="9">
        <f t="shared" si="94"/>
        <v>-12.5</v>
      </c>
      <c r="I292">
        <v>1</v>
      </c>
      <c r="J292">
        <f t="shared" si="95"/>
        <v>7.8462163919033358E-3</v>
      </c>
      <c r="K292">
        <f t="shared" si="99"/>
        <v>-1.5641297615575727</v>
      </c>
      <c r="O292">
        <f t="shared" si="100"/>
        <v>5.2306389299318371E-5</v>
      </c>
      <c r="P292">
        <f t="shared" si="101"/>
        <v>-7.8459615332778006E-3</v>
      </c>
      <c r="Q292">
        <f t="shared" si="102"/>
        <v>0.99996921860208277</v>
      </c>
      <c r="R292">
        <f t="shared" si="92"/>
        <v>1</v>
      </c>
      <c r="AG292" s="8">
        <f t="shared" si="96"/>
        <v>-0.68639361668079701</v>
      </c>
      <c r="AH292" s="8">
        <f t="shared" si="97"/>
        <v>-0.50893910959909061</v>
      </c>
      <c r="AI292" s="8">
        <f t="shared" si="98"/>
        <v>0.51946586577015841</v>
      </c>
      <c r="AJ292" s="8"/>
      <c r="AK292" s="8"/>
      <c r="AL292" s="8"/>
      <c r="AN292" s="8">
        <f t="shared" si="103"/>
        <v>1.0000000000000004</v>
      </c>
      <c r="AO292" s="8">
        <f t="shared" si="104"/>
        <v>3.7796110777288208</v>
      </c>
      <c r="AP292" s="8">
        <f t="shared" si="105"/>
        <v>1.0245705853340044</v>
      </c>
      <c r="AQ292" s="8"/>
      <c r="AR292" s="8">
        <f t="shared" si="106"/>
        <v>216.55576295475396</v>
      </c>
      <c r="AS292" s="8">
        <f t="shared" si="107"/>
        <v>31.296429647113186</v>
      </c>
    </row>
    <row r="293" spans="1:45">
      <c r="A293" s="19">
        <v>16.716699999999999</v>
      </c>
      <c r="B293" s="19">
        <v>959.41666669999995</v>
      </c>
      <c r="C293" s="19">
        <v>552.75</v>
      </c>
      <c r="E293" s="9">
        <f t="shared" si="93"/>
        <v>-0.58333330000004935</v>
      </c>
      <c r="F293" s="9">
        <f t="shared" si="94"/>
        <v>-12.75</v>
      </c>
      <c r="I293">
        <v>1</v>
      </c>
      <c r="J293">
        <f t="shared" si="95"/>
        <v>8.0128291212822507E-3</v>
      </c>
      <c r="K293">
        <f t="shared" si="99"/>
        <v>-1.6165160755822707</v>
      </c>
      <c r="O293">
        <f t="shared" si="100"/>
        <v>-3.662130009486177E-4</v>
      </c>
      <c r="P293">
        <f t="shared" si="101"/>
        <v>-8.0043703352688563E-3</v>
      </c>
      <c r="Q293">
        <f t="shared" si="102"/>
        <v>0.99996789745650028</v>
      </c>
      <c r="R293">
        <f t="shared" si="92"/>
        <v>1</v>
      </c>
      <c r="AG293" s="8">
        <f t="shared" si="96"/>
        <v>-0.68671757559320412</v>
      </c>
      <c r="AH293" s="8">
        <f t="shared" si="97"/>
        <v>-0.50869534919762183</v>
      </c>
      <c r="AI293" s="8">
        <f t="shared" si="98"/>
        <v>0.51927643223633957</v>
      </c>
      <c r="AJ293" s="8"/>
      <c r="AK293" s="8"/>
      <c r="AL293" s="8"/>
      <c r="AN293" s="8">
        <f t="shared" si="103"/>
        <v>1</v>
      </c>
      <c r="AO293" s="8">
        <f t="shared" si="104"/>
        <v>3.779156179652059</v>
      </c>
      <c r="AP293" s="8">
        <f t="shared" si="105"/>
        <v>1.0247922620130701</v>
      </c>
      <c r="AQ293" s="8"/>
      <c r="AR293" s="8">
        <f t="shared" si="106"/>
        <v>216.52969921484689</v>
      </c>
      <c r="AS293" s="8">
        <f t="shared" si="107"/>
        <v>31.28372850898625</v>
      </c>
    </row>
    <row r="294" spans="1:45">
      <c r="A294" s="19">
        <v>16.750066669999999</v>
      </c>
      <c r="B294" s="19">
        <v>958.28556479999997</v>
      </c>
      <c r="C294" s="19">
        <v>552.2230161</v>
      </c>
      <c r="E294" s="9">
        <f t="shared" si="93"/>
        <v>-1.7144352000000254</v>
      </c>
      <c r="F294" s="9">
        <f t="shared" si="94"/>
        <v>-12.223016099999995</v>
      </c>
      <c r="I294">
        <v>1</v>
      </c>
      <c r="J294">
        <f t="shared" si="95"/>
        <v>7.746405607391032E-3</v>
      </c>
      <c r="K294">
        <f t="shared" si="99"/>
        <v>-1.7101500662696747</v>
      </c>
      <c r="O294">
        <f t="shared" si="100"/>
        <v>-1.0759893636629334E-3</v>
      </c>
      <c r="P294">
        <f t="shared" si="101"/>
        <v>-7.6712350023381438E-3</v>
      </c>
      <c r="Q294">
        <f t="shared" si="102"/>
        <v>0.99996999675011655</v>
      </c>
      <c r="R294">
        <f t="shared" si="92"/>
        <v>1</v>
      </c>
      <c r="AG294" s="8">
        <f t="shared" si="96"/>
        <v>-0.68707446201228517</v>
      </c>
      <c r="AH294" s="8">
        <f t="shared" si="97"/>
        <v>-0.50802258228902275</v>
      </c>
      <c r="AI294" s="8">
        <f t="shared" si="98"/>
        <v>0.51946293374496133</v>
      </c>
      <c r="AJ294" s="8"/>
      <c r="AK294" s="8"/>
      <c r="AL294" s="8"/>
      <c r="AN294" s="8">
        <f t="shared" si="103"/>
        <v>1</v>
      </c>
      <c r="AO294" s="8">
        <f t="shared" si="104"/>
        <v>3.7782749158442877</v>
      </c>
      <c r="AP294" s="8">
        <f t="shared" si="105"/>
        <v>1.0245740166415849</v>
      </c>
      <c r="AQ294" s="8"/>
      <c r="AR294" s="8">
        <f t="shared" si="106"/>
        <v>216.47920651802397</v>
      </c>
      <c r="AS294" s="8">
        <f t="shared" si="107"/>
        <v>31.296233047670611</v>
      </c>
    </row>
    <row r="295" spans="1:45">
      <c r="A295" s="19">
        <v>16.783433330000001</v>
      </c>
      <c r="B295" s="19">
        <v>957.9923824</v>
      </c>
      <c r="C295" s="19">
        <v>552.05106499999999</v>
      </c>
      <c r="E295" s="9">
        <f t="shared" si="93"/>
        <v>-2.0076176000000032</v>
      </c>
      <c r="F295" s="9">
        <f t="shared" si="94"/>
        <v>-12.051064999999994</v>
      </c>
      <c r="I295">
        <v>1</v>
      </c>
      <c r="J295">
        <f t="shared" si="95"/>
        <v>7.666926385313454E-3</v>
      </c>
      <c r="K295">
        <f t="shared" si="99"/>
        <v>-1.7358728859082264</v>
      </c>
      <c r="O295">
        <f t="shared" si="100"/>
        <v>-1.2598771846040724E-3</v>
      </c>
      <c r="P295">
        <f t="shared" si="101"/>
        <v>-7.5626263904444001E-3</v>
      </c>
      <c r="Q295">
        <f t="shared" si="102"/>
        <v>0.99997060926387149</v>
      </c>
      <c r="R295">
        <f t="shared" si="92"/>
        <v>1</v>
      </c>
      <c r="AG295" s="8">
        <f t="shared" si="96"/>
        <v>-0.6871597262356216</v>
      </c>
      <c r="AH295" s="8">
        <f t="shared" si="97"/>
        <v>-0.50783862478035602</v>
      </c>
      <c r="AI295" s="8">
        <f t="shared" si="98"/>
        <v>0.51953002013452743</v>
      </c>
      <c r="AJ295" s="8"/>
      <c r="AK295" s="8"/>
      <c r="AL295" s="8"/>
      <c r="AN295" s="8">
        <f t="shared" si="103"/>
        <v>1</v>
      </c>
      <c r="AO295" s="8">
        <f t="shared" si="104"/>
        <v>3.7780424775239005</v>
      </c>
      <c r="AP295" s="8">
        <f t="shared" si="105"/>
        <v>1.024495504597744</v>
      </c>
      <c r="AQ295" s="8"/>
      <c r="AR295" s="8">
        <f t="shared" si="106"/>
        <v>216.4658887832687</v>
      </c>
      <c r="AS295" s="8">
        <f t="shared" si="107"/>
        <v>31.300731456423648</v>
      </c>
    </row>
    <row r="296" spans="1:45">
      <c r="A296" s="19">
        <v>16.816800000000001</v>
      </c>
      <c r="B296" s="19">
        <v>957.46992150000005</v>
      </c>
      <c r="C296" s="19">
        <v>551.9373071</v>
      </c>
      <c r="E296" s="9">
        <f t="shared" si="93"/>
        <v>-2.5300784999999451</v>
      </c>
      <c r="F296" s="9">
        <f t="shared" si="94"/>
        <v>-11.937307099999998</v>
      </c>
      <c r="I296">
        <v>1</v>
      </c>
      <c r="J296">
        <f t="shared" si="95"/>
        <v>7.6576412944276617E-3</v>
      </c>
      <c r="K296">
        <f t="shared" si="99"/>
        <v>-1.7796527189284135</v>
      </c>
      <c r="O296">
        <f t="shared" si="100"/>
        <v>-1.5877296298253492E-3</v>
      </c>
      <c r="P296">
        <f t="shared" si="101"/>
        <v>-7.4911573625067087E-3</v>
      </c>
      <c r="Q296">
        <f t="shared" si="102"/>
        <v>0.99997068040817716</v>
      </c>
      <c r="R296">
        <f t="shared" si="92"/>
        <v>1</v>
      </c>
      <c r="AG296" s="8">
        <f t="shared" si="96"/>
        <v>-0.68735073177939587</v>
      </c>
      <c r="AH296" s="8">
        <f t="shared" si="97"/>
        <v>-0.50756323187534469</v>
      </c>
      <c r="AI296" s="8">
        <f t="shared" si="98"/>
        <v>0.51954647258025355</v>
      </c>
      <c r="AJ296" s="8"/>
      <c r="AK296" s="8"/>
      <c r="AL296" s="8"/>
      <c r="AN296" s="8">
        <f t="shared" si="103"/>
        <v>1</v>
      </c>
      <c r="AO296" s="8">
        <f t="shared" si="104"/>
        <v>3.7776504123952503</v>
      </c>
      <c r="AP296" s="8">
        <f t="shared" si="105"/>
        <v>1.0244762495217068</v>
      </c>
      <c r="AQ296" s="8"/>
      <c r="AR296" s="8">
        <f t="shared" si="106"/>
        <v>216.44342510610278</v>
      </c>
      <c r="AS296" s="8">
        <f t="shared" si="107"/>
        <v>31.301834691014776</v>
      </c>
    </row>
    <row r="297" spans="1:45">
      <c r="A297" s="19">
        <v>16.85016667</v>
      </c>
      <c r="B297" s="19">
        <v>957.15750690000004</v>
      </c>
      <c r="C297" s="19">
        <v>551.93452230000003</v>
      </c>
      <c r="E297" s="9">
        <f t="shared" si="93"/>
        <v>-2.842493099999956</v>
      </c>
      <c r="F297" s="9">
        <f t="shared" si="94"/>
        <v>-11.934522300000026</v>
      </c>
      <c r="I297">
        <v>1</v>
      </c>
      <c r="J297">
        <f t="shared" si="95"/>
        <v>7.6993517803395301E-3</v>
      </c>
      <c r="K297">
        <f t="shared" si="99"/>
        <v>-1.8046140575477743</v>
      </c>
      <c r="O297">
        <f t="shared" si="100"/>
        <v>-1.7838686665070012E-3</v>
      </c>
      <c r="P297">
        <f t="shared" si="101"/>
        <v>-7.4897702937957713E-3</v>
      </c>
      <c r="Q297">
        <f t="shared" si="102"/>
        <v>0.99997036013750273</v>
      </c>
      <c r="R297">
        <f t="shared" si="92"/>
        <v>1</v>
      </c>
      <c r="AG297" s="8">
        <f t="shared" si="96"/>
        <v>-0.6874781924466844</v>
      </c>
      <c r="AH297" s="8">
        <f t="shared" si="97"/>
        <v>-0.50741627459171623</v>
      </c>
      <c r="AI297" s="8">
        <f t="shared" si="98"/>
        <v>0.51952137510376206</v>
      </c>
      <c r="AJ297" s="8"/>
      <c r="AK297" s="8"/>
      <c r="AL297" s="8"/>
      <c r="AN297" s="8">
        <f t="shared" si="103"/>
        <v>1.0000000000000002</v>
      </c>
      <c r="AO297" s="8">
        <f t="shared" si="104"/>
        <v>3.7774234447693051</v>
      </c>
      <c r="AP297" s="8">
        <f t="shared" si="105"/>
        <v>1.0245056221961277</v>
      </c>
      <c r="AQ297" s="8"/>
      <c r="AR297" s="8">
        <f t="shared" si="106"/>
        <v>216.43042081905</v>
      </c>
      <c r="AS297" s="8">
        <f t="shared" si="107"/>
        <v>31.30015176073745</v>
      </c>
    </row>
    <row r="298" spans="1:45">
      <c r="A298" s="19">
        <v>16.883533329999999</v>
      </c>
      <c r="B298" s="19">
        <v>956.47465669999997</v>
      </c>
      <c r="C298" s="19">
        <v>551.90790709999999</v>
      </c>
      <c r="E298" s="9">
        <f t="shared" si="93"/>
        <v>-3.5253433000000314</v>
      </c>
      <c r="F298" s="9">
        <f t="shared" si="94"/>
        <v>-11.907907099999989</v>
      </c>
      <c r="I298">
        <v>1</v>
      </c>
      <c r="J298">
        <f t="shared" si="95"/>
        <v>7.7946099209152001E-3</v>
      </c>
      <c r="K298">
        <f t="shared" si="99"/>
        <v>-1.8586259115890682</v>
      </c>
      <c r="O298">
        <f t="shared" si="100"/>
        <v>-2.2126472792320558E-3</v>
      </c>
      <c r="P298">
        <f t="shared" si="101"/>
        <v>-7.4738815496813689E-3</v>
      </c>
      <c r="Q298">
        <f t="shared" si="102"/>
        <v>0.99996962218189356</v>
      </c>
      <c r="R298">
        <f t="shared" si="92"/>
        <v>1</v>
      </c>
      <c r="AG298" s="8">
        <f t="shared" si="96"/>
        <v>-0.68775263129200215</v>
      </c>
      <c r="AH298" s="8">
        <f t="shared" si="97"/>
        <v>-0.5070894048665413</v>
      </c>
      <c r="AI298" s="8">
        <f t="shared" si="98"/>
        <v>0.51947728884237487</v>
      </c>
      <c r="AJ298" s="8"/>
      <c r="AK298" s="8"/>
      <c r="AL298" s="8"/>
      <c r="AN298" s="8">
        <f t="shared" si="103"/>
        <v>1</v>
      </c>
      <c r="AO298" s="8">
        <f t="shared" si="104"/>
        <v>3.7769249372110374</v>
      </c>
      <c r="AP298" s="8">
        <f t="shared" si="105"/>
        <v>1.024557217006036</v>
      </c>
      <c r="AQ298" s="8"/>
      <c r="AR298" s="8">
        <f t="shared" si="106"/>
        <v>216.40185843990591</v>
      </c>
      <c r="AS298" s="8">
        <f t="shared" si="107"/>
        <v>31.297195595884922</v>
      </c>
    </row>
    <row r="299" spans="1:45">
      <c r="A299" s="19">
        <v>16.916899999999998</v>
      </c>
      <c r="B299" s="19">
        <v>955.70879839999998</v>
      </c>
      <c r="C299" s="19">
        <v>551.73134130000005</v>
      </c>
      <c r="E299" s="9">
        <f t="shared" si="93"/>
        <v>-4.2912016000000222</v>
      </c>
      <c r="F299" s="9">
        <f t="shared" si="94"/>
        <v>-11.731341300000054</v>
      </c>
      <c r="I299">
        <v>1</v>
      </c>
      <c r="J299">
        <f t="shared" si="95"/>
        <v>7.840687999710624E-3</v>
      </c>
      <c r="K299">
        <f t="shared" si="99"/>
        <v>-1.9214676990290538</v>
      </c>
      <c r="O299">
        <f t="shared" si="100"/>
        <v>-2.6934713970251708E-3</v>
      </c>
      <c r="P299">
        <f t="shared" si="101"/>
        <v>-7.3634462292077041E-3</v>
      </c>
      <c r="Q299">
        <f t="shared" si="102"/>
        <v>0.99996926196331803</v>
      </c>
      <c r="R299">
        <f t="shared" si="92"/>
        <v>1</v>
      </c>
      <c r="AG299" s="8">
        <f t="shared" si="96"/>
        <v>-0.6880306142240119</v>
      </c>
      <c r="AH299" s="8">
        <f t="shared" si="97"/>
        <v>-0.5066828397863582</v>
      </c>
      <c r="AI299" s="8">
        <f t="shared" si="98"/>
        <v>0.51950589386123491</v>
      </c>
      <c r="AJ299" s="8"/>
      <c r="AK299" s="8"/>
      <c r="AL299" s="8"/>
      <c r="AN299" s="8">
        <f t="shared" si="103"/>
        <v>1</v>
      </c>
      <c r="AO299" s="8">
        <f t="shared" si="104"/>
        <v>3.7763489037669586</v>
      </c>
      <c r="AP299" s="8">
        <f t="shared" si="105"/>
        <v>1.0245237403097722</v>
      </c>
      <c r="AQ299" s="8"/>
      <c r="AR299" s="8">
        <f t="shared" si="106"/>
        <v>216.36885415470181</v>
      </c>
      <c r="AS299" s="8">
        <f t="shared" si="107"/>
        <v>31.299113669292879</v>
      </c>
    </row>
    <row r="300" spans="1:45">
      <c r="A300" s="19">
        <v>16.950266670000001</v>
      </c>
      <c r="B300" s="19">
        <v>955.14940019999995</v>
      </c>
      <c r="C300" s="19">
        <v>551.64199140000005</v>
      </c>
      <c r="E300" s="9">
        <f t="shared" si="93"/>
        <v>-4.8505998000000545</v>
      </c>
      <c r="F300" s="9">
        <f t="shared" si="94"/>
        <v>-11.641991400000052</v>
      </c>
      <c r="I300">
        <v>1</v>
      </c>
      <c r="J300">
        <f t="shared" si="95"/>
        <v>7.9170172479778658E-3</v>
      </c>
      <c r="K300">
        <f t="shared" si="99"/>
        <v>-1.9655706164614601</v>
      </c>
      <c r="O300">
        <f t="shared" si="100"/>
        <v>-3.0448518308963156E-3</v>
      </c>
      <c r="P300">
        <f t="shared" si="101"/>
        <v>-7.3079908240562185E-3</v>
      </c>
      <c r="Q300">
        <f t="shared" si="102"/>
        <v>0.99996866058264211</v>
      </c>
      <c r="R300">
        <f t="shared" si="92"/>
        <v>1</v>
      </c>
      <c r="AG300" s="8">
        <f t="shared" si="96"/>
        <v>-0.6882417318370373</v>
      </c>
      <c r="AH300" s="8">
        <f t="shared" si="97"/>
        <v>-0.50639653052421574</v>
      </c>
      <c r="AI300" s="8">
        <f t="shared" si="98"/>
        <v>0.51950541135871986</v>
      </c>
      <c r="AJ300" s="8"/>
      <c r="AK300" s="8"/>
      <c r="AL300" s="8"/>
      <c r="AN300" s="8">
        <f t="shared" si="103"/>
        <v>1</v>
      </c>
      <c r="AO300" s="8">
        <f t="shared" si="104"/>
        <v>3.7759325862203656</v>
      </c>
      <c r="AP300" s="8">
        <f t="shared" si="105"/>
        <v>1.0245243049922088</v>
      </c>
      <c r="AQ300" s="8"/>
      <c r="AR300" s="8">
        <f t="shared" si="106"/>
        <v>216.34500091634479</v>
      </c>
      <c r="AS300" s="8">
        <f t="shared" si="107"/>
        <v>31.299081315372497</v>
      </c>
    </row>
    <row r="301" spans="1:45">
      <c r="A301" s="19">
        <v>16.98363333</v>
      </c>
      <c r="B301" s="19">
        <v>954.99445349999996</v>
      </c>
      <c r="C301" s="19">
        <v>551.32185130000005</v>
      </c>
      <c r="E301" s="9">
        <f t="shared" si="93"/>
        <v>-5.0055465000000368</v>
      </c>
      <c r="F301" s="9">
        <f t="shared" si="94"/>
        <v>-11.321851300000048</v>
      </c>
      <c r="I301">
        <v>1</v>
      </c>
      <c r="J301">
        <f t="shared" si="95"/>
        <v>7.7694180942193816E-3</v>
      </c>
      <c r="K301">
        <f t="shared" si="99"/>
        <v>-1.9870727508278392</v>
      </c>
      <c r="O301">
        <f t="shared" si="100"/>
        <v>-3.1415922539712866E-3</v>
      </c>
      <c r="P301">
        <f t="shared" si="101"/>
        <v>-7.1058455544653603E-3</v>
      </c>
      <c r="Q301">
        <f t="shared" si="102"/>
        <v>0.99996981822306308</v>
      </c>
      <c r="R301">
        <f t="shared" si="92"/>
        <v>1</v>
      </c>
      <c r="AG301" s="8">
        <f t="shared" si="96"/>
        <v>-0.68824005318452819</v>
      </c>
      <c r="AH301" s="8">
        <f t="shared" si="97"/>
        <v>-0.50623714885592208</v>
      </c>
      <c r="AI301" s="8">
        <f t="shared" si="98"/>
        <v>0.51966294683264147</v>
      </c>
      <c r="AJ301" s="8"/>
      <c r="AK301" s="8"/>
      <c r="AL301" s="8"/>
      <c r="AN301" s="8">
        <f t="shared" si="103"/>
        <v>1</v>
      </c>
      <c r="AO301" s="8">
        <f t="shared" si="104"/>
        <v>3.7757834927398815</v>
      </c>
      <c r="AP301" s="8">
        <f t="shared" si="105"/>
        <v>1.0243399277423046</v>
      </c>
      <c r="AQ301" s="8"/>
      <c r="AR301" s="8">
        <f t="shared" si="106"/>
        <v>216.33645848916012</v>
      </c>
      <c r="AS301" s="8">
        <f t="shared" si="107"/>
        <v>31.309645353630238</v>
      </c>
    </row>
    <row r="302" spans="1:45">
      <c r="A302" s="19">
        <v>17.016999999999999</v>
      </c>
      <c r="B302" s="19">
        <v>954.2727711</v>
      </c>
      <c r="C302" s="19">
        <v>551.21419479999997</v>
      </c>
      <c r="E302" s="9">
        <f t="shared" si="93"/>
        <v>-5.7272289000000001</v>
      </c>
      <c r="F302" s="9">
        <f t="shared" si="94"/>
        <v>-11.214194799999973</v>
      </c>
      <c r="I302">
        <v>1</v>
      </c>
      <c r="J302">
        <f t="shared" si="95"/>
        <v>7.9043279861201413E-3</v>
      </c>
      <c r="K302">
        <f t="shared" si="99"/>
        <v>-2.0429771231723288</v>
      </c>
      <c r="O302">
        <f t="shared" si="100"/>
        <v>-3.595084392584773E-3</v>
      </c>
      <c r="P302">
        <f t="shared" si="101"/>
        <v>-7.039351387000653E-3</v>
      </c>
      <c r="Q302">
        <f t="shared" si="102"/>
        <v>0.99996876096219156</v>
      </c>
      <c r="R302">
        <f t="shared" si="92"/>
        <v>1</v>
      </c>
      <c r="AG302" s="8">
        <f t="shared" si="96"/>
        <v>-0.68851397881413379</v>
      </c>
      <c r="AH302" s="8">
        <f t="shared" si="97"/>
        <v>-0.50586970210955118</v>
      </c>
      <c r="AI302" s="8">
        <f t="shared" si="98"/>
        <v>0.51965791196240307</v>
      </c>
      <c r="AJ302" s="8"/>
      <c r="AK302" s="8"/>
      <c r="AL302" s="8"/>
      <c r="AN302" s="8">
        <f t="shared" si="103"/>
        <v>1.0000000000000002</v>
      </c>
      <c r="AO302" s="8">
        <f t="shared" si="104"/>
        <v>3.7752470706738963</v>
      </c>
      <c r="AP302" s="8">
        <f t="shared" si="105"/>
        <v>1.0243458208017491</v>
      </c>
      <c r="AQ302" s="8"/>
      <c r="AR302" s="8">
        <f t="shared" si="106"/>
        <v>216.30572376874147</v>
      </c>
      <c r="AS302" s="8">
        <f t="shared" si="107"/>
        <v>31.309307706195646</v>
      </c>
    </row>
    <row r="303" spans="1:45">
      <c r="A303" s="19">
        <v>17.050366669999999</v>
      </c>
      <c r="B303" s="19">
        <v>953.66666669999995</v>
      </c>
      <c r="C303" s="19">
        <v>551.41666669999995</v>
      </c>
      <c r="E303" s="9">
        <f t="shared" si="93"/>
        <v>-6.3333333000000493</v>
      </c>
      <c r="F303" s="9">
        <f t="shared" si="94"/>
        <v>-11.416666699999951</v>
      </c>
      <c r="I303">
        <v>1</v>
      </c>
      <c r="J303">
        <f t="shared" si="95"/>
        <v>8.198039349669551E-3</v>
      </c>
      <c r="K303">
        <f t="shared" si="99"/>
        <v>-2.0772748649932598</v>
      </c>
      <c r="O303">
        <f t="shared" si="100"/>
        <v>-3.9768316380868569E-3</v>
      </c>
      <c r="P303">
        <f t="shared" si="101"/>
        <v>-7.1687623536332967E-3</v>
      </c>
      <c r="Q303">
        <f t="shared" si="102"/>
        <v>0.99996639626361417</v>
      </c>
      <c r="R303">
        <f t="shared" si="92"/>
        <v>1</v>
      </c>
      <c r="AG303" s="8">
        <f t="shared" si="96"/>
        <v>-0.68880378217471672</v>
      </c>
      <c r="AH303" s="8">
        <f t="shared" si="97"/>
        <v>-0.5056402186168969</v>
      </c>
      <c r="AI303" s="8">
        <f t="shared" si="98"/>
        <v>0.51949717899028303</v>
      </c>
      <c r="AJ303" s="8"/>
      <c r="AK303" s="8"/>
      <c r="AL303" s="8"/>
      <c r="AN303" s="8">
        <f t="shared" si="103"/>
        <v>1</v>
      </c>
      <c r="AO303" s="8">
        <f t="shared" si="104"/>
        <v>3.7748298254676609</v>
      </c>
      <c r="AP303" s="8">
        <f t="shared" si="105"/>
        <v>1.0245339394693556</v>
      </c>
      <c r="AQ303" s="8"/>
      <c r="AR303" s="8">
        <f t="shared" si="106"/>
        <v>216.28181737940213</v>
      </c>
      <c r="AS303" s="8">
        <f t="shared" si="107"/>
        <v>31.298529300494174</v>
      </c>
    </row>
    <row r="304" spans="1:45">
      <c r="A304" s="19">
        <v>17.083733330000001</v>
      </c>
      <c r="B304" s="19">
        <v>953.15756969999995</v>
      </c>
      <c r="C304" s="19">
        <v>551.42225550000001</v>
      </c>
      <c r="E304" s="9">
        <f t="shared" si="93"/>
        <v>-6.8424303000000464</v>
      </c>
      <c r="F304" s="9">
        <f t="shared" si="94"/>
        <v>-11.422255500000006</v>
      </c>
      <c r="I304">
        <v>1</v>
      </c>
      <c r="J304">
        <f t="shared" si="95"/>
        <v>8.3622729848205155E-3</v>
      </c>
      <c r="K304">
        <f t="shared" si="99"/>
        <v>-2.1105123752616071</v>
      </c>
      <c r="O304">
        <f t="shared" si="100"/>
        <v>-4.2972586446693023E-3</v>
      </c>
      <c r="P304">
        <f t="shared" si="101"/>
        <v>-7.1735310462711158E-3</v>
      </c>
      <c r="Q304">
        <f t="shared" si="102"/>
        <v>0.9999650363990078</v>
      </c>
      <c r="R304">
        <f t="shared" si="92"/>
        <v>1</v>
      </c>
      <c r="AG304" s="8">
        <f t="shared" si="96"/>
        <v>-0.6890137242532941</v>
      </c>
      <c r="AH304" s="8">
        <f t="shared" si="97"/>
        <v>-0.50540277316708748</v>
      </c>
      <c r="AI304" s="8">
        <f t="shared" si="98"/>
        <v>0.51944982882432755</v>
      </c>
      <c r="AJ304" s="8"/>
      <c r="AK304" s="8"/>
      <c r="AL304" s="8"/>
      <c r="AN304" s="8">
        <f t="shared" si="103"/>
        <v>1</v>
      </c>
      <c r="AO304" s="8">
        <f t="shared" si="104"/>
        <v>3.7744604363091376</v>
      </c>
      <c r="AP304" s="8">
        <f t="shared" si="105"/>
        <v>1.0245893530571935</v>
      </c>
      <c r="AQ304" s="8"/>
      <c r="AR304" s="8">
        <f t="shared" si="106"/>
        <v>216.26065293962085</v>
      </c>
      <c r="AS304" s="8">
        <f t="shared" si="107"/>
        <v>31.295354335783387</v>
      </c>
    </row>
    <row r="305" spans="1:45">
      <c r="A305" s="19">
        <v>17.117100000000001</v>
      </c>
      <c r="B305" s="19">
        <v>952.63344619999998</v>
      </c>
      <c r="C305" s="19">
        <v>551.41734719999999</v>
      </c>
      <c r="E305" s="9">
        <f t="shared" si="93"/>
        <v>-7.3665538000000197</v>
      </c>
      <c r="F305" s="9">
        <f t="shared" si="94"/>
        <v>-11.417347199999995</v>
      </c>
      <c r="I305">
        <v>1</v>
      </c>
      <c r="J305">
        <f t="shared" si="95"/>
        <v>8.5350609644540207E-3</v>
      </c>
      <c r="K305">
        <f t="shared" si="99"/>
        <v>-2.1437948351504468</v>
      </c>
      <c r="O305">
        <f t="shared" si="100"/>
        <v>-4.6272618255191718E-3</v>
      </c>
      <c r="P305">
        <f t="shared" si="101"/>
        <v>-7.1717462848446233E-3</v>
      </c>
      <c r="Q305">
        <f t="shared" si="102"/>
        <v>0.9999635765882795</v>
      </c>
      <c r="R305">
        <f t="shared" si="92"/>
        <v>1</v>
      </c>
      <c r="AG305" s="8">
        <f t="shared" si="96"/>
        <v>-0.68922772483342987</v>
      </c>
      <c r="AH305" s="8">
        <f t="shared" si="97"/>
        <v>-0.50515529115887625</v>
      </c>
      <c r="AI305" s="8">
        <f t="shared" si="98"/>
        <v>0.51940665680671161</v>
      </c>
      <c r="AJ305" s="8"/>
      <c r="AK305" s="8"/>
      <c r="AL305" s="8"/>
      <c r="AN305" s="8">
        <f t="shared" si="103"/>
        <v>1.0000000000000002</v>
      </c>
      <c r="AO305" s="8">
        <f t="shared" si="104"/>
        <v>3.7740787913227529</v>
      </c>
      <c r="AP305" s="8">
        <f t="shared" si="105"/>
        <v>1.0246398753586994</v>
      </c>
      <c r="AQ305" s="8"/>
      <c r="AR305" s="8">
        <f t="shared" si="106"/>
        <v>216.23878629262867</v>
      </c>
      <c r="AS305" s="8">
        <f t="shared" si="107"/>
        <v>31.292459621135805</v>
      </c>
    </row>
    <row r="306" spans="1:45">
      <c r="A306" s="19">
        <v>17.15046667</v>
      </c>
      <c r="B306" s="19">
        <v>951.97368989999995</v>
      </c>
      <c r="C306" s="19">
        <v>551.42406979999998</v>
      </c>
      <c r="E306" s="9">
        <f t="shared" si="93"/>
        <v>-8.0263101000000461</v>
      </c>
      <c r="F306" s="9">
        <f t="shared" si="94"/>
        <v>-11.424069799999984</v>
      </c>
      <c r="I306">
        <v>1</v>
      </c>
      <c r="J306">
        <f t="shared" si="95"/>
        <v>8.7722512077445473E-3</v>
      </c>
      <c r="K306">
        <f t="shared" si="99"/>
        <v>-2.183250983180625</v>
      </c>
      <c r="O306">
        <f t="shared" si="100"/>
        <v>-5.0429068015007805E-3</v>
      </c>
      <c r="P306">
        <f t="shared" si="101"/>
        <v>-7.1777091312780527E-3</v>
      </c>
      <c r="Q306">
        <f t="shared" si="102"/>
        <v>0.99996152405110972</v>
      </c>
      <c r="R306">
        <f t="shared" si="92"/>
        <v>1</v>
      </c>
      <c r="AG306" s="8">
        <f t="shared" si="96"/>
        <v>-0.68949978345215424</v>
      </c>
      <c r="AH306" s="8">
        <f t="shared" si="97"/>
        <v>-0.50484704374529177</v>
      </c>
      <c r="AI306" s="8">
        <f t="shared" si="98"/>
        <v>0.51934527151122878</v>
      </c>
      <c r="AJ306" s="8"/>
      <c r="AK306" s="8"/>
      <c r="AL306" s="8"/>
      <c r="AN306" s="8">
        <f t="shared" si="103"/>
        <v>1</v>
      </c>
      <c r="AO306" s="8">
        <f t="shared" si="104"/>
        <v>3.7735996606202589</v>
      </c>
      <c r="AP306" s="8">
        <f t="shared" si="105"/>
        <v>1.0247117091819988</v>
      </c>
      <c r="AQ306" s="8"/>
      <c r="AR306" s="8">
        <f t="shared" si="106"/>
        <v>216.21133412554065</v>
      </c>
      <c r="AS306" s="8">
        <f t="shared" si="107"/>
        <v>31.288343846234461</v>
      </c>
    </row>
    <row r="307" spans="1:45">
      <c r="A307" s="19">
        <v>17.183833329999999</v>
      </c>
      <c r="B307" s="19">
        <v>951.60781889999998</v>
      </c>
      <c r="C307" s="19">
        <v>551.41672830000005</v>
      </c>
      <c r="E307" s="9">
        <f t="shared" si="93"/>
        <v>-8.3921811000000162</v>
      </c>
      <c r="F307" s="9">
        <f t="shared" si="94"/>
        <v>-11.416728300000045</v>
      </c>
      <c r="I307">
        <v>1</v>
      </c>
      <c r="J307">
        <f t="shared" si="95"/>
        <v>8.90384834767214E-3</v>
      </c>
      <c r="K307">
        <f t="shared" si="99"/>
        <v>-2.2046784881743706</v>
      </c>
      <c r="O307">
        <f t="shared" si="100"/>
        <v>-5.2734767220029566E-3</v>
      </c>
      <c r="P307">
        <f t="shared" si="101"/>
        <v>-7.1740409571812627E-3</v>
      </c>
      <c r="Q307">
        <f t="shared" si="102"/>
        <v>0.99996036100417862</v>
      </c>
      <c r="R307">
        <f t="shared" si="92"/>
        <v>1</v>
      </c>
      <c r="AG307" s="8">
        <f t="shared" si="96"/>
        <v>-0.68964841913128494</v>
      </c>
      <c r="AH307" s="8">
        <f t="shared" si="97"/>
        <v>-0.50467300585745745</v>
      </c>
      <c r="AI307" s="8">
        <f t="shared" si="98"/>
        <v>0.51931706610559059</v>
      </c>
      <c r="AJ307" s="8"/>
      <c r="AK307" s="8"/>
      <c r="AL307" s="8"/>
      <c r="AN307" s="8">
        <f t="shared" si="103"/>
        <v>1</v>
      </c>
      <c r="AO307" s="8">
        <f t="shared" si="104"/>
        <v>3.773332594112925</v>
      </c>
      <c r="AP307" s="8">
        <f t="shared" si="105"/>
        <v>1.0247447144410362</v>
      </c>
      <c r="AQ307" s="8"/>
      <c r="AR307" s="8">
        <f t="shared" si="106"/>
        <v>216.19603234182111</v>
      </c>
      <c r="AS307" s="8">
        <f t="shared" si="107"/>
        <v>31.286452784189883</v>
      </c>
    </row>
    <row r="308" spans="1:45">
      <c r="A308" s="19">
        <v>17.217199999999998</v>
      </c>
      <c r="B308" s="19">
        <v>950.91808279999998</v>
      </c>
      <c r="C308" s="19">
        <v>551.27577540000004</v>
      </c>
      <c r="E308" s="9">
        <f t="shared" si="93"/>
        <v>-9.0819172000000208</v>
      </c>
      <c r="F308" s="9">
        <f t="shared" si="94"/>
        <v>-11.275775400000043</v>
      </c>
      <c r="I308">
        <v>1</v>
      </c>
      <c r="J308">
        <f t="shared" si="95"/>
        <v>9.0998157205319299E-3</v>
      </c>
      <c r="K308">
        <f t="shared" si="99"/>
        <v>-2.2488432198636663</v>
      </c>
      <c r="O308">
        <f t="shared" si="100"/>
        <v>-5.7079912304901876E-3</v>
      </c>
      <c r="P308">
        <f t="shared" si="101"/>
        <v>-7.0868326238624057E-3</v>
      </c>
      <c r="Q308">
        <f t="shared" si="102"/>
        <v>0.99995859696263123</v>
      </c>
      <c r="R308">
        <f t="shared" si="92"/>
        <v>1</v>
      </c>
      <c r="AG308" s="8">
        <f t="shared" si="96"/>
        <v>-0.68990273498332311</v>
      </c>
      <c r="AH308" s="8">
        <f t="shared" si="97"/>
        <v>-0.50431034354218274</v>
      </c>
      <c r="AI308" s="8">
        <f t="shared" si="98"/>
        <v>0.51933158353685394</v>
      </c>
      <c r="AJ308" s="8"/>
      <c r="AK308" s="8"/>
      <c r="AL308" s="8"/>
      <c r="AN308" s="8">
        <f t="shared" si="103"/>
        <v>1</v>
      </c>
      <c r="AO308" s="8">
        <f t="shared" si="104"/>
        <v>3.7728143759955164</v>
      </c>
      <c r="AP308" s="8">
        <f t="shared" si="105"/>
        <v>1.0247277265893617</v>
      </c>
      <c r="AQ308" s="8"/>
      <c r="AR308" s="8">
        <f t="shared" si="106"/>
        <v>216.16634063082637</v>
      </c>
      <c r="AS308" s="8">
        <f t="shared" si="107"/>
        <v>31.287426116393824</v>
      </c>
    </row>
    <row r="309" spans="1:45">
      <c r="A309" s="19">
        <v>17.250566670000001</v>
      </c>
      <c r="B309" s="19">
        <v>950.49550969999996</v>
      </c>
      <c r="C309" s="19">
        <v>551.2642975</v>
      </c>
      <c r="E309" s="9">
        <f t="shared" si="93"/>
        <v>-9.5044903000000431</v>
      </c>
      <c r="F309" s="9">
        <f t="shared" si="94"/>
        <v>-11.264297499999998</v>
      </c>
      <c r="I309">
        <v>1</v>
      </c>
      <c r="J309">
        <f t="shared" si="95"/>
        <v>9.2646818988213527E-3</v>
      </c>
      <c r="K309">
        <f t="shared" si="99"/>
        <v>-2.2716631433061232</v>
      </c>
      <c r="O309">
        <f t="shared" si="100"/>
        <v>-5.9745265108050484E-3</v>
      </c>
      <c r="P309">
        <f t="shared" si="101"/>
        <v>-7.0807420403537838E-3</v>
      </c>
      <c r="Q309">
        <f t="shared" si="102"/>
        <v>0.99995708314163645</v>
      </c>
      <c r="R309">
        <f t="shared" si="92"/>
        <v>1</v>
      </c>
      <c r="AG309" s="8">
        <f t="shared" si="96"/>
        <v>-0.69007383866749394</v>
      </c>
      <c r="AH309" s="8">
        <f t="shared" si="97"/>
        <v>-0.50410826861916902</v>
      </c>
      <c r="AI309" s="8">
        <f t="shared" si="98"/>
        <v>0.51930044357432759</v>
      </c>
      <c r="AJ309" s="8"/>
      <c r="AK309" s="8"/>
      <c r="AL309" s="8"/>
      <c r="AN309" s="8">
        <f t="shared" si="103"/>
        <v>1.0000000000000002</v>
      </c>
      <c r="AO309" s="8">
        <f t="shared" si="104"/>
        <v>3.7725053276021452</v>
      </c>
      <c r="AP309" s="8">
        <f t="shared" si="105"/>
        <v>1.0247641654006463</v>
      </c>
      <c r="AQ309" s="8"/>
      <c r="AR309" s="8">
        <f t="shared" si="106"/>
        <v>216.14863346222091</v>
      </c>
      <c r="AS309" s="8">
        <f t="shared" si="107"/>
        <v>31.285338326296745</v>
      </c>
    </row>
    <row r="310" spans="1:45">
      <c r="A310" s="19">
        <v>17.28393333</v>
      </c>
      <c r="B310" s="19">
        <v>949.9249049</v>
      </c>
      <c r="C310" s="19">
        <v>551.04734810000002</v>
      </c>
      <c r="E310" s="9">
        <f t="shared" si="93"/>
        <v>-10.075095099999999</v>
      </c>
      <c r="F310" s="9">
        <f t="shared" si="94"/>
        <v>-11.047348100000022</v>
      </c>
      <c r="I310">
        <v>1</v>
      </c>
      <c r="J310">
        <f t="shared" si="95"/>
        <v>9.3999468332737028E-3</v>
      </c>
      <c r="K310">
        <f t="shared" si="99"/>
        <v>-2.3101975747983099</v>
      </c>
      <c r="O310">
        <f t="shared" si="100"/>
        <v>-6.3340198288024917E-3</v>
      </c>
      <c r="P310">
        <f t="shared" si="101"/>
        <v>-6.9452567173369636E-3</v>
      </c>
      <c r="Q310">
        <f t="shared" si="102"/>
        <v>0.99995582082506951</v>
      </c>
      <c r="R310">
        <f t="shared" si="92"/>
        <v>1</v>
      </c>
      <c r="AG310" s="8">
        <f t="shared" si="96"/>
        <v>-0.6902638062447134</v>
      </c>
      <c r="AH310" s="8">
        <f t="shared" si="97"/>
        <v>-0.50378079376755125</v>
      </c>
      <c r="AI310" s="8">
        <f t="shared" si="98"/>
        <v>0.51936575707250554</v>
      </c>
      <c r="AJ310" s="8"/>
      <c r="AK310" s="8"/>
      <c r="AL310" s="8"/>
      <c r="AN310" s="8">
        <f t="shared" si="103"/>
        <v>1</v>
      </c>
      <c r="AO310" s="8">
        <f t="shared" si="104"/>
        <v>3.7720647564780627</v>
      </c>
      <c r="AP310" s="8">
        <f t="shared" si="105"/>
        <v>1.0246877370763916</v>
      </c>
      <c r="AQ310" s="8"/>
      <c r="AR310" s="8">
        <f t="shared" si="106"/>
        <v>216.12339059623565</v>
      </c>
      <c r="AS310" s="8">
        <f t="shared" si="107"/>
        <v>31.289717346711797</v>
      </c>
    </row>
    <row r="311" spans="1:45">
      <c r="A311" s="19">
        <v>17.317299999999999</v>
      </c>
      <c r="B311" s="19">
        <v>949.39639099999999</v>
      </c>
      <c r="C311" s="19">
        <v>550.75955299999998</v>
      </c>
      <c r="E311" s="9">
        <f t="shared" si="93"/>
        <v>-10.603609000000006</v>
      </c>
      <c r="F311" s="9">
        <f t="shared" si="94"/>
        <v>-10.759552999999983</v>
      </c>
      <c r="I311">
        <v>1</v>
      </c>
      <c r="J311">
        <f t="shared" si="95"/>
        <v>9.498144187534887E-3</v>
      </c>
      <c r="K311">
        <f t="shared" si="99"/>
        <v>-2.3488949513761863</v>
      </c>
      <c r="O311">
        <f t="shared" si="100"/>
        <v>-6.666898247729351E-3</v>
      </c>
      <c r="P311">
        <f t="shared" si="101"/>
        <v>-6.7649462595283328E-3</v>
      </c>
      <c r="Q311">
        <f t="shared" si="102"/>
        <v>0.99995489296760787</v>
      </c>
      <c r="R311">
        <f t="shared" si="92"/>
        <v>1</v>
      </c>
      <c r="AG311" s="8">
        <f t="shared" si="96"/>
        <v>-0.69042205451395144</v>
      </c>
      <c r="AH311" s="8">
        <f t="shared" si="97"/>
        <v>-0.5034538424575804</v>
      </c>
      <c r="AI311" s="8">
        <f t="shared" si="98"/>
        <v>0.51947243926452158</v>
      </c>
      <c r="AJ311" s="8"/>
      <c r="AK311" s="8"/>
      <c r="AL311" s="8"/>
      <c r="AN311" s="8">
        <f t="shared" si="103"/>
        <v>1</v>
      </c>
      <c r="AO311" s="8">
        <f t="shared" si="104"/>
        <v>3.7716465100855512</v>
      </c>
      <c r="AP311" s="8">
        <f t="shared" si="105"/>
        <v>1.024562892440597</v>
      </c>
      <c r="AQ311" s="8"/>
      <c r="AR311" s="8">
        <f t="shared" si="106"/>
        <v>216.09942684314817</v>
      </c>
      <c r="AS311" s="8">
        <f t="shared" si="107"/>
        <v>31.296870417437681</v>
      </c>
    </row>
    <row r="312" spans="1:45">
      <c r="A312" s="19">
        <v>17.350666669999999</v>
      </c>
      <c r="B312" s="19">
        <v>948.80615439999997</v>
      </c>
      <c r="C312" s="19">
        <v>550.4879995</v>
      </c>
      <c r="E312" s="9">
        <f t="shared" si="93"/>
        <v>-11.193845600000031</v>
      </c>
      <c r="F312" s="9">
        <f t="shared" si="94"/>
        <v>-10.487999500000001</v>
      </c>
      <c r="I312">
        <v>1</v>
      </c>
      <c r="J312">
        <f t="shared" si="95"/>
        <v>9.6460017537798367E-3</v>
      </c>
      <c r="K312">
        <f t="shared" si="99"/>
        <v>-2.3887377032442019</v>
      </c>
      <c r="O312">
        <f t="shared" si="100"/>
        <v>-7.0389626644596524E-3</v>
      </c>
      <c r="P312">
        <f t="shared" si="101"/>
        <v>-6.5951094506226963E-3</v>
      </c>
      <c r="Q312">
        <f t="shared" si="102"/>
        <v>0.99995347768580845</v>
      </c>
      <c r="R312">
        <f t="shared" si="92"/>
        <v>1</v>
      </c>
      <c r="AG312" s="8">
        <f t="shared" si="96"/>
        <v>-0.69060897056351234</v>
      </c>
      <c r="AH312" s="8">
        <f t="shared" si="97"/>
        <v>-0.50310198972389042</v>
      </c>
      <c r="AI312" s="8">
        <f t="shared" si="98"/>
        <v>0.5195648541934571</v>
      </c>
      <c r="AJ312" s="8"/>
      <c r="AK312" s="8"/>
      <c r="AL312" s="8"/>
      <c r="AN312" s="8">
        <f t="shared" si="103"/>
        <v>1</v>
      </c>
      <c r="AO312" s="8">
        <f t="shared" si="104"/>
        <v>3.7711848879366654</v>
      </c>
      <c r="AP312" s="8">
        <f t="shared" si="105"/>
        <v>1.0244547363830043</v>
      </c>
      <c r="AQ312" s="8"/>
      <c r="AR312" s="8">
        <f t="shared" si="106"/>
        <v>216.07297784228726</v>
      </c>
      <c r="AS312" s="8">
        <f t="shared" si="107"/>
        <v>31.303067303066506</v>
      </c>
    </row>
    <row r="313" spans="1:45">
      <c r="A313" s="19">
        <v>17.384033330000001</v>
      </c>
      <c r="B313" s="19">
        <v>948.19839549999995</v>
      </c>
      <c r="C313" s="19">
        <v>550.25553520000005</v>
      </c>
      <c r="E313" s="9">
        <f t="shared" si="93"/>
        <v>-11.801604500000053</v>
      </c>
      <c r="F313" s="9">
        <f t="shared" si="94"/>
        <v>-10.255535200000054</v>
      </c>
      <c r="I313">
        <v>1</v>
      </c>
      <c r="J313">
        <f t="shared" si="95"/>
        <v>9.8335108151740343E-3</v>
      </c>
      <c r="K313">
        <f t="shared" si="99"/>
        <v>-2.4261738591609294</v>
      </c>
      <c r="O313">
        <f t="shared" si="100"/>
        <v>-7.4223973032896779E-3</v>
      </c>
      <c r="P313">
        <f t="shared" si="101"/>
        <v>-6.4500260801209196E-3</v>
      </c>
      <c r="Q313">
        <f t="shared" si="102"/>
        <v>0.9999516514221265</v>
      </c>
      <c r="R313">
        <f t="shared" si="92"/>
        <v>1</v>
      </c>
      <c r="AG313" s="8">
        <f t="shared" si="96"/>
        <v>-0.69081107448287737</v>
      </c>
      <c r="AH313" s="8">
        <f t="shared" si="97"/>
        <v>-0.50275221336222264</v>
      </c>
      <c r="AI313" s="8">
        <f t="shared" si="98"/>
        <v>0.51963474800209297</v>
      </c>
      <c r="AJ313" s="8"/>
      <c r="AK313" s="8"/>
      <c r="AL313" s="8"/>
      <c r="AN313" s="8">
        <f t="shared" si="103"/>
        <v>1</v>
      </c>
      <c r="AO313" s="8">
        <f t="shared" si="104"/>
        <v>3.7707147097916507</v>
      </c>
      <c r="AP313" s="8">
        <f t="shared" si="105"/>
        <v>1.0243729327665996</v>
      </c>
      <c r="AQ313" s="8"/>
      <c r="AR313" s="8">
        <f t="shared" si="106"/>
        <v>216.04603861895862</v>
      </c>
      <c r="AS313" s="8">
        <f t="shared" si="107"/>
        <v>31.307754305035409</v>
      </c>
    </row>
    <row r="314" spans="1:45">
      <c r="A314" s="19">
        <v>17.417400000000001</v>
      </c>
      <c r="B314" s="19">
        <v>948.16666669999995</v>
      </c>
      <c r="C314" s="19">
        <v>550.08333330000005</v>
      </c>
      <c r="E314" s="9">
        <f t="shared" si="93"/>
        <v>-11.833333300000049</v>
      </c>
      <c r="F314" s="9">
        <f t="shared" si="94"/>
        <v>-10.083333300000049</v>
      </c>
      <c r="I314">
        <v>1</v>
      </c>
      <c r="J314">
        <f t="shared" si="95"/>
        <v>9.7774981187656717E-3</v>
      </c>
      <c r="K314">
        <f t="shared" si="99"/>
        <v>-2.4358733502592123</v>
      </c>
      <c r="O314">
        <f t="shared" si="100"/>
        <v>-7.441977398892392E-3</v>
      </c>
      <c r="P314">
        <f t="shared" si="101"/>
        <v>-6.3414032734207797E-3</v>
      </c>
      <c r="Q314">
        <f t="shared" si="102"/>
        <v>0.99995220064607004</v>
      </c>
      <c r="R314">
        <f t="shared" si="92"/>
        <v>1</v>
      </c>
      <c r="AG314" s="8">
        <f t="shared" si="96"/>
        <v>-0.69078895472329216</v>
      </c>
      <c r="AH314" s="8">
        <f t="shared" si="97"/>
        <v>-0.50269068468212508</v>
      </c>
      <c r="AI314" s="8">
        <f t="shared" si="98"/>
        <v>0.51972367231647032</v>
      </c>
      <c r="AJ314" s="8"/>
      <c r="AK314" s="8"/>
      <c r="AL314" s="8"/>
      <c r="AN314" s="8">
        <f t="shared" si="103"/>
        <v>1</v>
      </c>
      <c r="AO314" s="8">
        <f t="shared" si="104"/>
        <v>3.7706717141833108</v>
      </c>
      <c r="AP314" s="8">
        <f t="shared" si="105"/>
        <v>1.0242688499892731</v>
      </c>
      <c r="AQ314" s="8"/>
      <c r="AR314" s="8">
        <f t="shared" si="106"/>
        <v>216.04357515206314</v>
      </c>
      <c r="AS314" s="8">
        <f t="shared" si="107"/>
        <v>31.313717808896214</v>
      </c>
    </row>
    <row r="315" spans="1:45">
      <c r="A315" s="19">
        <v>17.45076667</v>
      </c>
      <c r="B315" s="19">
        <v>947.44138390000001</v>
      </c>
      <c r="C315" s="19">
        <v>550.54962339999997</v>
      </c>
      <c r="E315" s="9">
        <f t="shared" si="93"/>
        <v>-12.558616099999995</v>
      </c>
      <c r="F315" s="9">
        <f t="shared" si="94"/>
        <v>-10.549623399999973</v>
      </c>
      <c r="I315">
        <v>1</v>
      </c>
      <c r="J315">
        <f t="shared" si="95"/>
        <v>1.0320072958796483E-2</v>
      </c>
      <c r="K315">
        <f t="shared" si="99"/>
        <v>-2.4429148143678638</v>
      </c>
      <c r="O315">
        <f t="shared" si="100"/>
        <v>-7.9018702267109574E-3</v>
      </c>
      <c r="P315">
        <f t="shared" si="101"/>
        <v>-6.6378137832776869E-3</v>
      </c>
      <c r="Q315">
        <f t="shared" si="102"/>
        <v>0.99994674851968934</v>
      </c>
      <c r="R315">
        <f t="shared" si="92"/>
        <v>1</v>
      </c>
      <c r="AG315" s="8">
        <f t="shared" si="96"/>
        <v>-0.69118194628341667</v>
      </c>
      <c r="AH315" s="8">
        <f t="shared" si="97"/>
        <v>-0.50247397992897036</v>
      </c>
      <c r="AI315" s="8">
        <f t="shared" si="98"/>
        <v>0.51941064354343858</v>
      </c>
      <c r="AJ315" s="8"/>
      <c r="AK315" s="8"/>
      <c r="AL315" s="8"/>
      <c r="AN315" s="8">
        <f t="shared" si="103"/>
        <v>1.0000000000000002</v>
      </c>
      <c r="AO315" s="8">
        <f t="shared" si="104"/>
        <v>3.7701960611530501</v>
      </c>
      <c r="AP315" s="8">
        <f t="shared" si="105"/>
        <v>1.024635209922176</v>
      </c>
      <c r="AQ315" s="8"/>
      <c r="AR315" s="8">
        <f t="shared" si="106"/>
        <v>216.01632224091659</v>
      </c>
      <c r="AS315" s="8">
        <f t="shared" si="107"/>
        <v>31.292726930958182</v>
      </c>
    </row>
    <row r="316" spans="1:45">
      <c r="A316" s="19">
        <v>17.484133329999999</v>
      </c>
      <c r="B316" s="19">
        <v>946.78724520000003</v>
      </c>
      <c r="C316" s="19">
        <v>550.37578269999995</v>
      </c>
      <c r="E316" s="9">
        <f t="shared" si="93"/>
        <v>-13.212754799999971</v>
      </c>
      <c r="F316" s="9">
        <f t="shared" si="94"/>
        <v>-10.375782699999945</v>
      </c>
      <c r="I316">
        <v>1</v>
      </c>
      <c r="J316">
        <f t="shared" si="95"/>
        <v>1.0572879631888065E-2</v>
      </c>
      <c r="K316">
        <f t="shared" si="99"/>
        <v>-2.4758886845757551</v>
      </c>
      <c r="O316">
        <f t="shared" si="100"/>
        <v>-8.3152267070021706E-3</v>
      </c>
      <c r="P316">
        <f t="shared" si="101"/>
        <v>-6.5298256661124781E-3</v>
      </c>
      <c r="Q316">
        <f t="shared" si="102"/>
        <v>0.99994410762881214</v>
      </c>
      <c r="R316">
        <f t="shared" si="92"/>
        <v>1</v>
      </c>
      <c r="AG316" s="8">
        <f t="shared" si="96"/>
        <v>-0.69141509035934112</v>
      </c>
      <c r="AH316" s="8">
        <f t="shared" si="97"/>
        <v>-0.50211761271641431</v>
      </c>
      <c r="AI316" s="8">
        <f t="shared" si="98"/>
        <v>0.51944496900379467</v>
      </c>
      <c r="AJ316" s="8"/>
      <c r="AK316" s="8"/>
      <c r="AL316" s="8"/>
      <c r="AN316" s="8">
        <f t="shared" si="103"/>
        <v>1</v>
      </c>
      <c r="AO316" s="8">
        <f t="shared" si="104"/>
        <v>3.7696982988389127</v>
      </c>
      <c r="AP316" s="8">
        <f t="shared" si="105"/>
        <v>1.0245950403675772</v>
      </c>
      <c r="AQ316" s="8"/>
      <c r="AR316" s="8">
        <f t="shared" si="106"/>
        <v>215.98780256111587</v>
      </c>
      <c r="AS316" s="8">
        <f t="shared" si="107"/>
        <v>31.295028476901614</v>
      </c>
    </row>
    <row r="317" spans="1:45">
      <c r="A317" s="19">
        <v>17.517499999999998</v>
      </c>
      <c r="B317" s="19">
        <v>946.43082919999995</v>
      </c>
      <c r="C317" s="19">
        <v>550.19918659999996</v>
      </c>
      <c r="E317" s="9">
        <f t="shared" si="93"/>
        <v>-13.569170800000052</v>
      </c>
      <c r="F317" s="9">
        <f t="shared" si="94"/>
        <v>-10.199186599999962</v>
      </c>
      <c r="I317">
        <v>1</v>
      </c>
      <c r="J317">
        <f t="shared" si="95"/>
        <v>1.0684030833186139E-2</v>
      </c>
      <c r="K317">
        <f t="shared" si="99"/>
        <v>-2.4970401779275191</v>
      </c>
      <c r="O317">
        <f t="shared" si="100"/>
        <v>-8.5403177626358854E-3</v>
      </c>
      <c r="P317">
        <f t="shared" si="101"/>
        <v>-6.4192790973209143E-3</v>
      </c>
      <c r="Q317">
        <f t="shared" si="102"/>
        <v>0.99994292628548753</v>
      </c>
      <c r="R317">
        <f t="shared" si="92"/>
        <v>1</v>
      </c>
      <c r="AG317" s="8">
        <f t="shared" si="96"/>
        <v>-0.69152541474607154</v>
      </c>
      <c r="AH317" s="8">
        <f t="shared" si="97"/>
        <v>-0.50190119519330301</v>
      </c>
      <c r="AI317" s="8">
        <f t="shared" si="98"/>
        <v>0.51950725791254138</v>
      </c>
      <c r="AJ317" s="8"/>
      <c r="AK317" s="8"/>
      <c r="AL317" s="8"/>
      <c r="AN317" s="8">
        <f t="shared" si="103"/>
        <v>1</v>
      </c>
      <c r="AO317" s="8">
        <f t="shared" si="104"/>
        <v>3.7694174912135896</v>
      </c>
      <c r="AP317" s="8">
        <f t="shared" si="105"/>
        <v>1.0245221439319354</v>
      </c>
      <c r="AQ317" s="8"/>
      <c r="AR317" s="8">
        <f t="shared" si="106"/>
        <v>215.97171346932976</v>
      </c>
      <c r="AS317" s="8">
        <f t="shared" si="107"/>
        <v>31.299205135005437</v>
      </c>
    </row>
    <row r="318" spans="1:45">
      <c r="A318" s="19">
        <v>17.550866670000001</v>
      </c>
      <c r="B318" s="19">
        <v>945.83412380000004</v>
      </c>
      <c r="C318" s="19">
        <v>549.86999949999995</v>
      </c>
      <c r="E318" s="9">
        <f t="shared" si="93"/>
        <v>-14.165876199999957</v>
      </c>
      <c r="F318" s="9">
        <f t="shared" si="94"/>
        <v>-9.869999499999949</v>
      </c>
      <c r="I318">
        <v>1</v>
      </c>
      <c r="J318">
        <f t="shared" si="95"/>
        <v>1.0868450685677034E-2</v>
      </c>
      <c r="K318">
        <f t="shared" si="99"/>
        <v>-2.5330547811606237</v>
      </c>
      <c r="O318">
        <f t="shared" si="100"/>
        <v>-8.9172224505535448E-3</v>
      </c>
      <c r="P318">
        <f t="shared" si="101"/>
        <v>-6.2130276931512424E-3</v>
      </c>
      <c r="Q318">
        <f t="shared" si="102"/>
        <v>0.99994093897122316</v>
      </c>
      <c r="R318">
        <f t="shared" si="92"/>
        <v>1</v>
      </c>
      <c r="AG318" s="8">
        <f t="shared" si="96"/>
        <v>-0.69170327220269878</v>
      </c>
      <c r="AH318" s="8">
        <f t="shared" si="97"/>
        <v>-0.50152961820146003</v>
      </c>
      <c r="AI318" s="8">
        <f t="shared" si="98"/>
        <v>0.51962931527270184</v>
      </c>
      <c r="AJ318" s="8"/>
      <c r="AK318" s="8"/>
      <c r="AL318" s="8"/>
      <c r="AN318" s="8">
        <f t="shared" si="103"/>
        <v>1</v>
      </c>
      <c r="AO318" s="8">
        <f t="shared" si="104"/>
        <v>3.768943246448579</v>
      </c>
      <c r="AP318" s="8">
        <f t="shared" si="105"/>
        <v>1.0243792913713943</v>
      </c>
      <c r="AQ318" s="8"/>
      <c r="AR318" s="8">
        <f t="shared" si="106"/>
        <v>215.94454124583848</v>
      </c>
      <c r="AS318" s="8">
        <f t="shared" si="107"/>
        <v>31.307389983817082</v>
      </c>
    </row>
    <row r="319" spans="1:45">
      <c r="A319" s="19">
        <v>17.58423333</v>
      </c>
      <c r="B319" s="19">
        <v>945.21933320000005</v>
      </c>
      <c r="C319" s="19">
        <v>549.68693610000003</v>
      </c>
      <c r="E319" s="9">
        <f t="shared" si="93"/>
        <v>-14.780666799999949</v>
      </c>
      <c r="F319" s="9">
        <f t="shared" si="94"/>
        <v>-9.6869361000000254</v>
      </c>
      <c r="I319">
        <v>1</v>
      </c>
      <c r="J319">
        <f t="shared" si="95"/>
        <v>1.112690275528991E-2</v>
      </c>
      <c r="K319">
        <f t="shared" si="99"/>
        <v>-2.5614454710562025</v>
      </c>
      <c r="O319">
        <f t="shared" si="100"/>
        <v>-9.3061489402453314E-3</v>
      </c>
      <c r="P319">
        <f t="shared" si="101"/>
        <v>-6.0990529954467144E-3</v>
      </c>
      <c r="Q319">
        <f t="shared" si="102"/>
        <v>0.99993809665621836</v>
      </c>
      <c r="R319">
        <f t="shared" si="92"/>
        <v>1</v>
      </c>
      <c r="AG319" s="8">
        <f t="shared" si="96"/>
        <v>-0.69191837457442995</v>
      </c>
      <c r="AH319" s="8">
        <f t="shared" si="97"/>
        <v>-0.50118875606333924</v>
      </c>
      <c r="AI319" s="8">
        <f t="shared" si="98"/>
        <v>0.51967181347650715</v>
      </c>
      <c r="AJ319" s="8"/>
      <c r="AK319" s="8"/>
      <c r="AL319" s="8"/>
      <c r="AN319" s="8">
        <f t="shared" si="103"/>
        <v>1</v>
      </c>
      <c r="AO319" s="8">
        <f t="shared" si="104"/>
        <v>3.7684724615693885</v>
      </c>
      <c r="AP319" s="8">
        <f t="shared" si="105"/>
        <v>1.024329549735433</v>
      </c>
      <c r="AQ319" s="8"/>
      <c r="AR319" s="8">
        <f t="shared" si="106"/>
        <v>215.91756725920229</v>
      </c>
      <c r="AS319" s="8">
        <f t="shared" si="107"/>
        <v>31.310239969623737</v>
      </c>
    </row>
    <row r="320" spans="1:45">
      <c r="A320" s="19">
        <v>17.617599999999999</v>
      </c>
      <c r="B320" s="19">
        <v>944.82448639999996</v>
      </c>
      <c r="C320" s="19">
        <v>549.45422350000001</v>
      </c>
      <c r="E320" s="9">
        <f t="shared" si="93"/>
        <v>-15.175513600000045</v>
      </c>
      <c r="F320" s="9">
        <f t="shared" si="94"/>
        <v>-9.4542235000000119</v>
      </c>
      <c r="I320">
        <v>1</v>
      </c>
      <c r="J320">
        <f t="shared" si="95"/>
        <v>1.1258664169415069E-2</v>
      </c>
      <c r="K320">
        <f t="shared" si="99"/>
        <v>-2.5844385998629673</v>
      </c>
      <c r="O320">
        <f t="shared" si="100"/>
        <v>-9.5557402587109694E-3</v>
      </c>
      <c r="P320">
        <f t="shared" si="101"/>
        <v>-5.9531496920012762E-3</v>
      </c>
      <c r="Q320">
        <f t="shared" si="102"/>
        <v>0.99993662191003518</v>
      </c>
      <c r="R320">
        <f t="shared" si="92"/>
        <v>1</v>
      </c>
      <c r="AG320" s="8">
        <f t="shared" si="96"/>
        <v>-0.6920330177077606</v>
      </c>
      <c r="AH320" s="8">
        <f t="shared" si="97"/>
        <v>-0.50093856132164738</v>
      </c>
      <c r="AI320" s="8">
        <f t="shared" si="98"/>
        <v>0.51976038727791518</v>
      </c>
      <c r="AJ320" s="8"/>
      <c r="AK320" s="8"/>
      <c r="AL320" s="8"/>
      <c r="AN320" s="8">
        <f t="shared" si="103"/>
        <v>0.99999999999999989</v>
      </c>
      <c r="AO320" s="8">
        <f t="shared" si="104"/>
        <v>3.7681565638881991</v>
      </c>
      <c r="AP320" s="8">
        <f t="shared" si="105"/>
        <v>1.0242258744981161</v>
      </c>
      <c r="AQ320" s="8"/>
      <c r="AR320" s="8">
        <f t="shared" si="106"/>
        <v>215.89946765531215</v>
      </c>
      <c r="AS320" s="8">
        <f t="shared" si="107"/>
        <v>31.316180123162013</v>
      </c>
    </row>
    <row r="321" spans="1:45">
      <c r="A321" s="19">
        <v>17.650966669999999</v>
      </c>
      <c r="B321" s="19">
        <v>944.41735459999995</v>
      </c>
      <c r="C321" s="19">
        <v>549.48249090000002</v>
      </c>
      <c r="E321" s="9">
        <f t="shared" si="93"/>
        <v>-15.582645400000047</v>
      </c>
      <c r="F321" s="9">
        <f t="shared" si="94"/>
        <v>-9.4824909000000162</v>
      </c>
      <c r="I321">
        <v>1</v>
      </c>
      <c r="J321">
        <f t="shared" si="95"/>
        <v>1.1488353782056048E-2</v>
      </c>
      <c r="K321">
        <f t="shared" si="99"/>
        <v>-2.5949254541630431</v>
      </c>
      <c r="O321">
        <f t="shared" si="100"/>
        <v>-9.8138458606199276E-3</v>
      </c>
      <c r="P321">
        <f t="shared" si="101"/>
        <v>-5.9720093526180792E-3</v>
      </c>
      <c r="Q321">
        <f t="shared" si="102"/>
        <v>0.99993400958949097</v>
      </c>
      <c r="R321">
        <f t="shared" si="92"/>
        <v>1</v>
      </c>
      <c r="AG321" s="8">
        <f t="shared" si="96"/>
        <v>-0.69220596846706273</v>
      </c>
      <c r="AH321" s="8">
        <f t="shared" si="97"/>
        <v>-0.50075305865053621</v>
      </c>
      <c r="AI321" s="8">
        <f t="shared" si="98"/>
        <v>0.51970883335836082</v>
      </c>
      <c r="AJ321" s="8"/>
      <c r="AK321" s="8"/>
      <c r="AL321" s="8"/>
      <c r="AN321" s="8">
        <f t="shared" si="103"/>
        <v>1</v>
      </c>
      <c r="AO321" s="8">
        <f t="shared" si="104"/>
        <v>3.7678619772728386</v>
      </c>
      <c r="AP321" s="8">
        <f t="shared" si="105"/>
        <v>1.0242862189250608</v>
      </c>
      <c r="AQ321" s="8"/>
      <c r="AR321" s="8">
        <f t="shared" si="106"/>
        <v>215.88258908555096</v>
      </c>
      <c r="AS321" s="8">
        <f t="shared" si="107"/>
        <v>31.312722642180951</v>
      </c>
    </row>
    <row r="322" spans="1:45">
      <c r="A322" s="19">
        <v>17.684333330000001</v>
      </c>
      <c r="B322" s="19">
        <v>944.00097900000003</v>
      </c>
      <c r="C322" s="19">
        <v>549.43029209999997</v>
      </c>
      <c r="E322" s="9">
        <f t="shared" si="93"/>
        <v>-15.999020999999971</v>
      </c>
      <c r="F322" s="9">
        <f t="shared" si="94"/>
        <v>-9.4302920999999742</v>
      </c>
      <c r="I322">
        <v>1</v>
      </c>
      <c r="J322">
        <f t="shared" si="95"/>
        <v>1.169830862217526E-2</v>
      </c>
      <c r="K322">
        <f t="shared" si="99"/>
        <v>-2.6089819694020724</v>
      </c>
      <c r="O322">
        <f t="shared" si="100"/>
        <v>-1.0077679867601722E-2</v>
      </c>
      <c r="P322">
        <f t="shared" si="101"/>
        <v>-5.9400800112565325E-3</v>
      </c>
      <c r="Q322">
        <f t="shared" si="102"/>
        <v>0.99993157556802159</v>
      </c>
      <c r="R322">
        <f t="shared" si="92"/>
        <v>1</v>
      </c>
      <c r="AG322" s="8">
        <f t="shared" si="96"/>
        <v>-0.69236628441751924</v>
      </c>
      <c r="AH322" s="8">
        <f t="shared" si="97"/>
        <v>-0.50054130129478303</v>
      </c>
      <c r="AI322" s="8">
        <f t="shared" si="98"/>
        <v>0.51969927256058812</v>
      </c>
      <c r="AJ322" s="8"/>
      <c r="AK322" s="8"/>
      <c r="AL322" s="8"/>
      <c r="AN322" s="8">
        <f t="shared" si="103"/>
        <v>1.0000000000000004</v>
      </c>
      <c r="AO322" s="8">
        <f t="shared" si="104"/>
        <v>3.7675511730265581</v>
      </c>
      <c r="AP322" s="8">
        <f t="shared" si="105"/>
        <v>1.0242974096999697</v>
      </c>
      <c r="AQ322" s="8"/>
      <c r="AR322" s="8">
        <f t="shared" si="106"/>
        <v>215.86478131398434</v>
      </c>
      <c r="AS322" s="8">
        <f t="shared" si="107"/>
        <v>31.312081458009182</v>
      </c>
    </row>
    <row r="323" spans="1:45">
      <c r="A323" s="19">
        <v>17.717700000000001</v>
      </c>
      <c r="B323" s="19">
        <v>943.25</v>
      </c>
      <c r="C323" s="19">
        <v>549.25</v>
      </c>
      <c r="E323" s="9">
        <f t="shared" si="93"/>
        <v>-16.75</v>
      </c>
      <c r="F323" s="9">
        <f t="shared" si="94"/>
        <v>-9.25</v>
      </c>
      <c r="I323">
        <v>1</v>
      </c>
      <c r="J323">
        <f t="shared" si="95"/>
        <v>1.2056110929210226E-2</v>
      </c>
      <c r="K323">
        <f t="shared" si="99"/>
        <v>-2.6370322148135479</v>
      </c>
      <c r="O323">
        <f t="shared" si="100"/>
        <v>-1.0553507752569373E-2</v>
      </c>
      <c r="P323">
        <f t="shared" si="101"/>
        <v>-5.8280565200756222E-3</v>
      </c>
      <c r="Q323">
        <f t="shared" si="102"/>
        <v>0.99992732597490064</v>
      </c>
      <c r="R323">
        <f t="shared" si="92"/>
        <v>1</v>
      </c>
      <c r="AG323" s="8">
        <f t="shared" si="96"/>
        <v>-0.6926378276339491</v>
      </c>
      <c r="AH323" s="8">
        <f t="shared" si="97"/>
        <v>-0.50013580377446987</v>
      </c>
      <c r="AI323" s="8">
        <f t="shared" si="98"/>
        <v>0.5197278302278886</v>
      </c>
      <c r="AJ323" s="8"/>
      <c r="AK323" s="8"/>
      <c r="AL323" s="8"/>
      <c r="AN323" s="8">
        <f t="shared" si="103"/>
        <v>1.0000000000000002</v>
      </c>
      <c r="AO323" s="8">
        <f t="shared" si="104"/>
        <v>3.7669803103451818</v>
      </c>
      <c r="AP323" s="8">
        <f t="shared" si="105"/>
        <v>1.0242639831391651</v>
      </c>
      <c r="AQ323" s="8"/>
      <c r="AR323" s="8">
        <f t="shared" si="106"/>
        <v>215.83207329165995</v>
      </c>
      <c r="AS323" s="8">
        <f t="shared" si="107"/>
        <v>31.313996658866927</v>
      </c>
    </row>
    <row r="324" spans="1:45">
      <c r="A324" s="19">
        <v>17.75106667</v>
      </c>
      <c r="B324" s="19">
        <v>942.66666669999995</v>
      </c>
      <c r="C324" s="19">
        <v>549.5</v>
      </c>
      <c r="E324" s="9">
        <f t="shared" si="93"/>
        <v>-17.333333300000049</v>
      </c>
      <c r="F324" s="9">
        <f t="shared" si="94"/>
        <v>-9.5</v>
      </c>
      <c r="I324">
        <v>1</v>
      </c>
      <c r="J324">
        <f t="shared" si="95"/>
        <v>1.2457665640987846E-2</v>
      </c>
      <c r="K324">
        <f t="shared" si="99"/>
        <v>-2.6402270913116013</v>
      </c>
      <c r="O324">
        <f t="shared" si="100"/>
        <v>-1.0924181520042743E-2</v>
      </c>
      <c r="P324">
        <f t="shared" si="101"/>
        <v>-5.9872918061528203E-3</v>
      </c>
      <c r="Q324">
        <f t="shared" si="102"/>
        <v>0.99992240428692525</v>
      </c>
      <c r="R324">
        <f t="shared" si="92"/>
        <v>1</v>
      </c>
      <c r="AG324" s="8">
        <f t="shared" si="96"/>
        <v>-0.69292833686530153</v>
      </c>
      <c r="AH324" s="8">
        <f t="shared" si="97"/>
        <v>-0.49992624430701205</v>
      </c>
      <c r="AI324" s="8">
        <f t="shared" si="98"/>
        <v>0.51954217367040867</v>
      </c>
      <c r="AJ324" s="8"/>
      <c r="AK324" s="8"/>
      <c r="AL324" s="8"/>
      <c r="AN324" s="8">
        <f t="shared" si="103"/>
        <v>1.0000000000000002</v>
      </c>
      <c r="AO324" s="8">
        <f t="shared" si="104"/>
        <v>3.7665824321720551</v>
      </c>
      <c r="AP324" s="8">
        <f t="shared" si="105"/>
        <v>1.0244812807611514</v>
      </c>
      <c r="AQ324" s="8"/>
      <c r="AR324" s="8">
        <f t="shared" si="106"/>
        <v>215.80927655157942</v>
      </c>
      <c r="AS324" s="8">
        <f t="shared" si="107"/>
        <v>31.301546422228881</v>
      </c>
    </row>
    <row r="325" spans="1:45">
      <c r="A325" s="19">
        <v>17.784433329999999</v>
      </c>
      <c r="B325" s="19">
        <v>942.41666669999995</v>
      </c>
      <c r="C325" s="19">
        <v>549.58333330000005</v>
      </c>
      <c r="E325" s="9">
        <f t="shared" si="93"/>
        <v>-17.583333300000049</v>
      </c>
      <c r="F325" s="9">
        <f t="shared" si="94"/>
        <v>-9.5833333000000493</v>
      </c>
      <c r="I325">
        <v>1</v>
      </c>
      <c r="J325">
        <f t="shared" si="95"/>
        <v>1.2622579376043332E-2</v>
      </c>
      <c r="K325">
        <f t="shared" si="99"/>
        <v>-2.6425780481386529</v>
      </c>
      <c r="O325">
        <f t="shared" si="100"/>
        <v>-1.1083019054080592E-2</v>
      </c>
      <c r="P325">
        <f t="shared" si="101"/>
        <v>-6.0405080056979464E-3</v>
      </c>
      <c r="Q325">
        <f t="shared" si="102"/>
        <v>0.99992033630268762</v>
      </c>
      <c r="R325">
        <f t="shared" si="92"/>
        <v>1</v>
      </c>
      <c r="AG325" s="8">
        <f t="shared" si="96"/>
        <v>-0.69304797256711803</v>
      </c>
      <c r="AH325" s="8">
        <f t="shared" si="97"/>
        <v>-0.49982993926099822</v>
      </c>
      <c r="AI325" s="8">
        <f t="shared" si="98"/>
        <v>0.51947525401981753</v>
      </c>
      <c r="AJ325" s="8"/>
      <c r="AK325" s="8"/>
      <c r="AL325" s="8"/>
      <c r="AN325" s="8">
        <f t="shared" si="103"/>
        <v>1</v>
      </c>
      <c r="AO325" s="8">
        <f t="shared" si="104"/>
        <v>3.766409113901164</v>
      </c>
      <c r="AP325" s="8">
        <f t="shared" si="105"/>
        <v>1.0245595983501818</v>
      </c>
      <c r="AQ325" s="8"/>
      <c r="AR325" s="8">
        <f t="shared" si="106"/>
        <v>215.79934614614484</v>
      </c>
      <c r="AS325" s="8">
        <f t="shared" si="107"/>
        <v>31.2970591549158</v>
      </c>
    </row>
    <row r="326" spans="1:45">
      <c r="A326" s="19">
        <v>17.817799999999998</v>
      </c>
      <c r="B326" s="19">
        <v>941.91666669999995</v>
      </c>
      <c r="C326" s="19">
        <v>549.33333330000005</v>
      </c>
      <c r="E326" s="9">
        <f t="shared" si="93"/>
        <v>-18.083333300000049</v>
      </c>
      <c r="F326" s="9">
        <f t="shared" si="94"/>
        <v>-9.3333333000000493</v>
      </c>
      <c r="I326">
        <v>1</v>
      </c>
      <c r="J326">
        <f t="shared" si="95"/>
        <v>1.2828992968156769E-2</v>
      </c>
      <c r="K326">
        <f t="shared" si="99"/>
        <v>-2.6651252348203935</v>
      </c>
      <c r="O326">
        <f t="shared" si="100"/>
        <v>-1.1399795456651008E-2</v>
      </c>
      <c r="P326">
        <f t="shared" si="101"/>
        <v>-5.8837653868133825E-3</v>
      </c>
      <c r="Q326">
        <f t="shared" si="102"/>
        <v>0.99991770959835458</v>
      </c>
      <c r="R326">
        <f t="shared" si="92"/>
        <v>1</v>
      </c>
      <c r="AG326" s="8">
        <f t="shared" si="96"/>
        <v>-0.69320219620580792</v>
      </c>
      <c r="AH326" s="8">
        <f t="shared" si="97"/>
        <v>-0.49952437445753656</v>
      </c>
      <c r="AI326" s="8">
        <f t="shared" si="98"/>
        <v>0.51956338833510152</v>
      </c>
      <c r="AJ326" s="8"/>
      <c r="AK326" s="8"/>
      <c r="AL326" s="8"/>
      <c r="AN326" s="8">
        <f t="shared" si="103"/>
        <v>1.0000000000000002</v>
      </c>
      <c r="AO326" s="8">
        <f t="shared" si="104"/>
        <v>3.7660134738560038</v>
      </c>
      <c r="AP326" s="8">
        <f t="shared" si="105"/>
        <v>1.0244564519780173</v>
      </c>
      <c r="AQ326" s="8"/>
      <c r="AR326" s="8">
        <f t="shared" si="106"/>
        <v>215.7766776413508</v>
      </c>
      <c r="AS326" s="8">
        <f t="shared" si="107"/>
        <v>31.302969006712914</v>
      </c>
    </row>
    <row r="327" spans="1:45">
      <c r="A327" s="19">
        <v>17.851166670000001</v>
      </c>
      <c r="B327" s="19">
        <v>941.58333330000005</v>
      </c>
      <c r="C327" s="19">
        <v>549.5</v>
      </c>
      <c r="E327" s="9">
        <f t="shared" si="93"/>
        <v>-18.416666699999951</v>
      </c>
      <c r="F327" s="9">
        <f t="shared" si="94"/>
        <v>-9.5</v>
      </c>
      <c r="I327">
        <v>1</v>
      </c>
      <c r="J327">
        <f t="shared" si="95"/>
        <v>1.3066024996669182E-2</v>
      </c>
      <c r="K327">
        <f t="shared" si="99"/>
        <v>-2.6653557823998555</v>
      </c>
      <c r="O327">
        <f t="shared" si="100"/>
        <v>-1.1611790599204454E-2</v>
      </c>
      <c r="P327">
        <f t="shared" si="101"/>
        <v>-5.9897924249474876E-3</v>
      </c>
      <c r="Q327">
        <f t="shared" si="102"/>
        <v>0.99991464070978897</v>
      </c>
      <c r="R327">
        <f t="shared" si="92"/>
        <v>1</v>
      </c>
      <c r="AG327" s="8">
        <f t="shared" si="96"/>
        <v>-0.69337302896289876</v>
      </c>
      <c r="AH327" s="8">
        <f t="shared" si="97"/>
        <v>-0.49941089627196739</v>
      </c>
      <c r="AI327" s="8">
        <f t="shared" si="98"/>
        <v>0.51944451040668982</v>
      </c>
      <c r="AJ327" s="8"/>
      <c r="AK327" s="8"/>
      <c r="AL327" s="8"/>
      <c r="AN327" s="8">
        <f t="shared" si="103"/>
        <v>1.0000000000000002</v>
      </c>
      <c r="AO327" s="8">
        <f t="shared" si="104"/>
        <v>3.7657888540206303</v>
      </c>
      <c r="AP327" s="8">
        <f t="shared" si="105"/>
        <v>1.0245955770497708</v>
      </c>
      <c r="AQ327" s="8"/>
      <c r="AR327" s="8">
        <f t="shared" si="106"/>
        <v>215.76380787278899</v>
      </c>
      <c r="AS327" s="8">
        <f t="shared" si="107"/>
        <v>31.294997727276986</v>
      </c>
    </row>
    <row r="328" spans="1:45">
      <c r="A328" s="19">
        <v>17.88453333</v>
      </c>
      <c r="B328" s="19">
        <v>941</v>
      </c>
      <c r="C328" s="19">
        <v>548.5</v>
      </c>
      <c r="E328" s="9">
        <f t="shared" si="93"/>
        <v>-19</v>
      </c>
      <c r="F328" s="9">
        <f t="shared" si="94"/>
        <v>-8.5</v>
      </c>
      <c r="I328">
        <v>1</v>
      </c>
      <c r="J328">
        <f t="shared" si="95"/>
        <v>1.3124625639894546E-2</v>
      </c>
      <c r="K328">
        <f t="shared" si="99"/>
        <v>-2.720929304456758</v>
      </c>
      <c r="O328">
        <f t="shared" si="100"/>
        <v>-1.1980053887514238E-2</v>
      </c>
      <c r="P328">
        <f t="shared" si="101"/>
        <v>-5.3594977917826893E-3</v>
      </c>
      <c r="Q328">
        <f t="shared" si="102"/>
        <v>0.99991387333723503</v>
      </c>
      <c r="R328">
        <f t="shared" si="92"/>
        <v>1</v>
      </c>
      <c r="AG328" s="8">
        <f t="shared" si="96"/>
        <v>-0.69340832441576805</v>
      </c>
      <c r="AH328" s="8">
        <f t="shared" si="97"/>
        <v>-0.4988620689500961</v>
      </c>
      <c r="AI328" s="8">
        <f t="shared" si="98"/>
        <v>0.51992454432710389</v>
      </c>
      <c r="AJ328" s="8"/>
      <c r="AK328" s="8"/>
      <c r="AL328" s="8"/>
      <c r="AN328" s="8">
        <f t="shared" si="103"/>
        <v>1</v>
      </c>
      <c r="AO328" s="8">
        <f t="shared" si="104"/>
        <v>3.7652433631296436</v>
      </c>
      <c r="AP328" s="8">
        <f t="shared" si="105"/>
        <v>1.0240337121146299</v>
      </c>
      <c r="AQ328" s="8"/>
      <c r="AR328" s="8">
        <f t="shared" si="106"/>
        <v>215.73255354697261</v>
      </c>
      <c r="AS328" s="8">
        <f t="shared" si="107"/>
        <v>31.32719021671695</v>
      </c>
    </row>
    <row r="329" spans="1:45">
      <c r="A329" s="19">
        <v>17.917899999999999</v>
      </c>
      <c r="B329" s="19">
        <v>940.10559460000002</v>
      </c>
      <c r="C329" s="19">
        <v>548.66726789999996</v>
      </c>
      <c r="E329" s="9">
        <f t="shared" si="93"/>
        <v>-19.894405399999982</v>
      </c>
      <c r="F329" s="9">
        <f t="shared" si="94"/>
        <v>-8.6672678999999562</v>
      </c>
      <c r="I329">
        <v>1</v>
      </c>
      <c r="J329">
        <f t="shared" si="95"/>
        <v>1.368821419499916E-2</v>
      </c>
      <c r="K329">
        <f t="shared" si="99"/>
        <v>-2.7307246386009694</v>
      </c>
      <c r="O329">
        <f t="shared" si="100"/>
        <v>-1.254861355501625E-2</v>
      </c>
      <c r="P329">
        <f t="shared" si="101"/>
        <v>-5.466973918953958E-3</v>
      </c>
      <c r="Q329">
        <f t="shared" si="102"/>
        <v>0.99990631785883644</v>
      </c>
      <c r="R329">
        <f t="shared" si="92"/>
        <v>1</v>
      </c>
      <c r="AG329" s="8">
        <f t="shared" si="96"/>
        <v>-0.69380948979286716</v>
      </c>
      <c r="AH329" s="8">
        <f t="shared" si="97"/>
        <v>-0.49848118674221076</v>
      </c>
      <c r="AI329" s="8">
        <f t="shared" si="98"/>
        <v>0.51975465205944904</v>
      </c>
      <c r="AJ329" s="8"/>
      <c r="AK329" s="8"/>
      <c r="AL329" s="8"/>
      <c r="AN329" s="8">
        <f t="shared" si="103"/>
        <v>1.0000000000000004</v>
      </c>
      <c r="AO329" s="8">
        <f t="shared" si="104"/>
        <v>3.764607224122122</v>
      </c>
      <c r="AP329" s="8">
        <f t="shared" si="105"/>
        <v>1.0242325877436036</v>
      </c>
      <c r="AQ329" s="8"/>
      <c r="AR329" s="8">
        <f t="shared" si="106"/>
        <v>215.696105466658</v>
      </c>
      <c r="AS329" s="8">
        <f t="shared" si="107"/>
        <v>31.315795482528742</v>
      </c>
    </row>
    <row r="330" spans="1:45">
      <c r="A330" s="19">
        <v>17.951266669999999</v>
      </c>
      <c r="B330" s="19">
        <v>939.46191339999996</v>
      </c>
      <c r="C330" s="19">
        <v>548.44480910000004</v>
      </c>
      <c r="E330" s="9">
        <f t="shared" si="93"/>
        <v>-20.538086600000042</v>
      </c>
      <c r="F330" s="9">
        <f t="shared" si="94"/>
        <v>-8.4448091000000431</v>
      </c>
      <c r="I330">
        <v>1</v>
      </c>
      <c r="J330">
        <f t="shared" si="95"/>
        <v>1.401028267704775E-2</v>
      </c>
      <c r="K330">
        <f t="shared" si="99"/>
        <v>-2.7514873757100951</v>
      </c>
      <c r="O330">
        <f t="shared" si="100"/>
        <v>-1.2957252637808713E-2</v>
      </c>
      <c r="P330">
        <f t="shared" si="101"/>
        <v>-5.327737053497786E-3</v>
      </c>
      <c r="Q330">
        <f t="shared" si="102"/>
        <v>0.99990185759501859</v>
      </c>
      <c r="R330">
        <f t="shared" si="92"/>
        <v>1</v>
      </c>
      <c r="AG330" s="8">
        <f t="shared" si="96"/>
        <v>-0.6940281566872113</v>
      </c>
      <c r="AH330" s="8">
        <f t="shared" si="97"/>
        <v>-0.49811383386071761</v>
      </c>
      <c r="AI330" s="8">
        <f t="shared" si="98"/>
        <v>0.51981489613316123</v>
      </c>
      <c r="AJ330" s="8"/>
      <c r="AK330" s="8"/>
      <c r="AL330" s="8"/>
      <c r="AN330" s="8">
        <f t="shared" si="103"/>
        <v>1.0000000000000002</v>
      </c>
      <c r="AO330" s="8">
        <f t="shared" si="104"/>
        <v>3.7641086458765041</v>
      </c>
      <c r="AP330" s="8">
        <f t="shared" si="105"/>
        <v>1.0241620688769539</v>
      </c>
      <c r="AQ330" s="8"/>
      <c r="AR330" s="8">
        <f t="shared" si="106"/>
        <v>215.66753903742705</v>
      </c>
      <c r="AS330" s="8">
        <f t="shared" si="107"/>
        <v>31.319835915963814</v>
      </c>
    </row>
    <row r="331" spans="1:45">
      <c r="A331" s="19">
        <v>17.984633330000001</v>
      </c>
      <c r="B331" s="19">
        <v>939.11251990000005</v>
      </c>
      <c r="C331" s="19">
        <v>548.20797289999996</v>
      </c>
      <c r="E331" s="9">
        <f t="shared" si="93"/>
        <v>-20.887480099999948</v>
      </c>
      <c r="F331" s="9">
        <f t="shared" si="94"/>
        <v>-8.2079728999999588</v>
      </c>
      <c r="I331">
        <v>1</v>
      </c>
      <c r="J331">
        <f t="shared" si="95"/>
        <v>1.4160400870495244E-2</v>
      </c>
      <c r="K331">
        <f t="shared" si="99"/>
        <v>-2.7671687446686697</v>
      </c>
      <c r="O331">
        <f t="shared" si="100"/>
        <v>-1.3178906244326051E-2</v>
      </c>
      <c r="P331">
        <f t="shared" si="101"/>
        <v>-5.1788011185259619E-3</v>
      </c>
      <c r="Q331">
        <f t="shared" si="102"/>
        <v>0.99989974319887587</v>
      </c>
      <c r="R331">
        <f t="shared" si="92"/>
        <v>1</v>
      </c>
      <c r="AG331" s="8">
        <f t="shared" si="96"/>
        <v>-0.69412312654633568</v>
      </c>
      <c r="AH331" s="8">
        <f t="shared" si="97"/>
        <v>-0.49788282106945819</v>
      </c>
      <c r="AI331" s="8">
        <f t="shared" si="98"/>
        <v>0.51990939756601573</v>
      </c>
      <c r="AJ331" s="8"/>
      <c r="AK331" s="8"/>
      <c r="AL331" s="8"/>
      <c r="AN331" s="8">
        <f t="shared" si="103"/>
        <v>0.99999999999999978</v>
      </c>
      <c r="AO331" s="8">
        <f t="shared" si="104"/>
        <v>3.7638241140795134</v>
      </c>
      <c r="AP331" s="8">
        <f t="shared" si="105"/>
        <v>1.0240514438673518</v>
      </c>
      <c r="AQ331" s="8"/>
      <c r="AR331" s="8">
        <f t="shared" si="106"/>
        <v>215.65123656632221</v>
      </c>
      <c r="AS331" s="8">
        <f t="shared" si="107"/>
        <v>31.326174262122613</v>
      </c>
    </row>
    <row r="332" spans="1:45">
      <c r="A332" s="19">
        <v>18.018000000000001</v>
      </c>
      <c r="B332" s="19">
        <v>938.59562310000001</v>
      </c>
      <c r="C332" s="19">
        <v>548.44716519999997</v>
      </c>
      <c r="E332" s="9">
        <f t="shared" si="93"/>
        <v>-21.404376899999988</v>
      </c>
      <c r="F332" s="9">
        <f t="shared" si="94"/>
        <v>-8.4471651999999722</v>
      </c>
      <c r="I332">
        <v>1</v>
      </c>
      <c r="J332">
        <f t="shared" si="95"/>
        <v>1.452238368502329E-2</v>
      </c>
      <c r="K332">
        <f t="shared" si="99"/>
        <v>-2.7657097530583807</v>
      </c>
      <c r="O332">
        <f t="shared" si="100"/>
        <v>-1.3508012342986408E-2</v>
      </c>
      <c r="P332">
        <f t="shared" si="101"/>
        <v>-5.3308915423202537E-3</v>
      </c>
      <c r="Q332">
        <f t="shared" si="102"/>
        <v>0.99989455203931665</v>
      </c>
      <c r="R332">
        <f t="shared" si="92"/>
        <v>1</v>
      </c>
      <c r="AG332" s="8">
        <f t="shared" si="96"/>
        <v>-0.69438397586208556</v>
      </c>
      <c r="AH332" s="8">
        <f t="shared" si="97"/>
        <v>-0.4977010024300153</v>
      </c>
      <c r="AI332" s="8">
        <f t="shared" si="98"/>
        <v>0.51973513085620882</v>
      </c>
      <c r="AJ332" s="8"/>
      <c r="AK332" s="8"/>
      <c r="AL332" s="8"/>
      <c r="AN332" s="8">
        <f t="shared" si="103"/>
        <v>1</v>
      </c>
      <c r="AO332" s="8">
        <f t="shared" si="104"/>
        <v>3.7634732203355181</v>
      </c>
      <c r="AP332" s="8">
        <f t="shared" si="105"/>
        <v>1.0242554376928799</v>
      </c>
      <c r="AQ332" s="8"/>
      <c r="AR332" s="8">
        <f t="shared" si="106"/>
        <v>215.63113183573373</v>
      </c>
      <c r="AS332" s="8">
        <f t="shared" si="107"/>
        <v>31.314486276873126</v>
      </c>
    </row>
    <row r="333" spans="1:45">
      <c r="A333" s="19">
        <v>18.05136667</v>
      </c>
      <c r="B333" s="19">
        <v>937.97665199999994</v>
      </c>
      <c r="C333" s="19">
        <v>548.26688190000004</v>
      </c>
      <c r="E333" s="9">
        <f t="shared" si="93"/>
        <v>-22.023348000000055</v>
      </c>
      <c r="F333" s="9">
        <f t="shared" si="94"/>
        <v>-8.266881900000044</v>
      </c>
      <c r="I333">
        <v>1</v>
      </c>
      <c r="J333">
        <f t="shared" si="95"/>
        <v>1.4848971996830381E-2</v>
      </c>
      <c r="K333">
        <f t="shared" si="99"/>
        <v>-2.7824985242957889</v>
      </c>
      <c r="O333">
        <f t="shared" si="100"/>
        <v>-1.3901327684084667E-2</v>
      </c>
      <c r="P333">
        <f t="shared" si="101"/>
        <v>-5.2181273354772739E-3</v>
      </c>
      <c r="Q333">
        <f t="shared" si="102"/>
        <v>0.99988975604099994</v>
      </c>
      <c r="R333">
        <f t="shared" si="92"/>
        <v>1</v>
      </c>
      <c r="AG333" s="8">
        <f t="shared" si="96"/>
        <v>-0.69460100241222122</v>
      </c>
      <c r="AH333" s="8">
        <f t="shared" si="97"/>
        <v>-0.49735640759050642</v>
      </c>
      <c r="AI333" s="8">
        <f t="shared" si="98"/>
        <v>0.51977500062681314</v>
      </c>
      <c r="AJ333" s="8"/>
      <c r="AK333" s="8"/>
      <c r="AL333" s="8"/>
      <c r="AN333" s="8">
        <f t="shared" si="103"/>
        <v>1</v>
      </c>
      <c r="AO333" s="8">
        <f t="shared" si="104"/>
        <v>3.7629973783724422</v>
      </c>
      <c r="AP333" s="8">
        <f t="shared" si="105"/>
        <v>1.0242087690103405</v>
      </c>
      <c r="AQ333" s="8"/>
      <c r="AR333" s="8">
        <f t="shared" si="106"/>
        <v>215.60386809953425</v>
      </c>
      <c r="AS333" s="8">
        <f t="shared" si="107"/>
        <v>31.317160195418069</v>
      </c>
    </row>
    <row r="334" spans="1:45">
      <c r="A334" s="19">
        <v>18.084733329999999</v>
      </c>
      <c r="B334" s="19">
        <v>937.48000060000004</v>
      </c>
      <c r="C334" s="19">
        <v>548.35696340000004</v>
      </c>
      <c r="E334" s="9">
        <f t="shared" si="93"/>
        <v>-22.519999399999961</v>
      </c>
      <c r="F334" s="9">
        <f t="shared" si="94"/>
        <v>-8.3569634000000406</v>
      </c>
      <c r="I334">
        <v>1</v>
      </c>
      <c r="J334">
        <f t="shared" si="95"/>
        <v>1.5165371639282606E-2</v>
      </c>
      <c r="K334">
        <f t="shared" si="99"/>
        <v>-2.7862536706792183</v>
      </c>
      <c r="O334">
        <f t="shared" si="100"/>
        <v>-1.4217424770425818E-2</v>
      </c>
      <c r="P334">
        <f t="shared" si="101"/>
        <v>-5.2759547786090403E-3</v>
      </c>
      <c r="Q334">
        <f t="shared" si="102"/>
        <v>0.99988500795545054</v>
      </c>
      <c r="R334">
        <f t="shared" si="92"/>
        <v>1</v>
      </c>
      <c r="AG334" s="8">
        <f t="shared" si="96"/>
        <v>-0.69482303494363873</v>
      </c>
      <c r="AH334" s="8">
        <f t="shared" si="97"/>
        <v>-0.49714353836247149</v>
      </c>
      <c r="AI334" s="8">
        <f t="shared" si="98"/>
        <v>0.51968187612822625</v>
      </c>
      <c r="AJ334" s="8"/>
      <c r="AK334" s="8"/>
      <c r="AL334" s="8"/>
      <c r="AN334" s="8">
        <f t="shared" si="103"/>
        <v>1.0000000000000004</v>
      </c>
      <c r="AO334" s="8">
        <f t="shared" si="104"/>
        <v>3.7626435014935522</v>
      </c>
      <c r="AP334" s="8">
        <f t="shared" si="105"/>
        <v>1.0243177717759315</v>
      </c>
      <c r="AQ334" s="8"/>
      <c r="AR334" s="8">
        <f t="shared" si="106"/>
        <v>215.5835924479066</v>
      </c>
      <c r="AS334" s="8">
        <f t="shared" si="107"/>
        <v>31.310914796994446</v>
      </c>
    </row>
    <row r="335" spans="1:45">
      <c r="A335" s="19">
        <v>18.118099999999998</v>
      </c>
      <c r="B335" s="19">
        <v>936.78549940000005</v>
      </c>
      <c r="C335" s="19">
        <v>548.36850549999997</v>
      </c>
      <c r="E335" s="9">
        <f t="shared" si="93"/>
        <v>-23.214500599999951</v>
      </c>
      <c r="F335" s="9">
        <f t="shared" si="94"/>
        <v>-8.3685054999999693</v>
      </c>
      <c r="I335">
        <v>1</v>
      </c>
      <c r="J335">
        <f t="shared" si="95"/>
        <v>1.5583381536349881E-2</v>
      </c>
      <c r="K335">
        <f t="shared" si="99"/>
        <v>-2.7956067831027558</v>
      </c>
      <c r="O335">
        <f t="shared" si="100"/>
        <v>-1.4659341591082772E-2</v>
      </c>
      <c r="P335">
        <f t="shared" si="101"/>
        <v>-5.2844893304038916E-3</v>
      </c>
      <c r="Q335">
        <f t="shared" si="102"/>
        <v>0.99987858156709852</v>
      </c>
      <c r="R335">
        <f t="shared" si="92"/>
        <v>1</v>
      </c>
      <c r="AG335" s="8">
        <f t="shared" si="96"/>
        <v>-0.69511010012136987</v>
      </c>
      <c r="AH335" s="8">
        <f t="shared" si="97"/>
        <v>-0.49681461596378418</v>
      </c>
      <c r="AI335" s="8">
        <f t="shared" si="98"/>
        <v>0.51961253456206868</v>
      </c>
      <c r="AJ335" s="8"/>
      <c r="AK335" s="8"/>
      <c r="AL335" s="8"/>
      <c r="AN335" s="8">
        <f t="shared" si="103"/>
        <v>1.0000000000000002</v>
      </c>
      <c r="AO335" s="8">
        <f t="shared" si="104"/>
        <v>3.7621349092072318</v>
      </c>
      <c r="AP335" s="8">
        <f t="shared" si="105"/>
        <v>1.0243989317870723</v>
      </c>
      <c r="AQ335" s="8"/>
      <c r="AR335" s="8">
        <f t="shared" si="106"/>
        <v>215.55445225640753</v>
      </c>
      <c r="AS335" s="8">
        <f t="shared" si="107"/>
        <v>31.306264670890847</v>
      </c>
    </row>
    <row r="336" spans="1:45">
      <c r="A336" s="19">
        <v>18.151466670000001</v>
      </c>
      <c r="B336" s="19">
        <v>936.37894180000001</v>
      </c>
      <c r="C336" s="19">
        <v>548.11825490000001</v>
      </c>
      <c r="E336" s="9">
        <f t="shared" si="93"/>
        <v>-23.621058199999993</v>
      </c>
      <c r="F336" s="9">
        <f t="shared" si="94"/>
        <v>-8.1182549000000108</v>
      </c>
      <c r="I336">
        <v>1</v>
      </c>
      <c r="J336">
        <f t="shared" si="95"/>
        <v>1.5774763208354067E-2</v>
      </c>
      <c r="K336">
        <f t="shared" si="99"/>
        <v>-2.8105527586452936</v>
      </c>
      <c r="O336">
        <f t="shared" si="100"/>
        <v>-1.4917651542495176E-2</v>
      </c>
      <c r="P336">
        <f t="shared" si="101"/>
        <v>-5.1270056026259765E-3</v>
      </c>
      <c r="Q336">
        <f t="shared" si="102"/>
        <v>0.99987558100296026</v>
      </c>
      <c r="R336">
        <f t="shared" si="92"/>
        <v>1</v>
      </c>
      <c r="AG336" s="8">
        <f t="shared" si="96"/>
        <v>-0.69522563338227905</v>
      </c>
      <c r="AH336" s="8">
        <f t="shared" si="97"/>
        <v>-0.49655211810420541</v>
      </c>
      <c r="AI336" s="8">
        <f t="shared" si="98"/>
        <v>0.51970887301876634</v>
      </c>
      <c r="AJ336" s="8"/>
      <c r="AK336" s="8"/>
      <c r="AL336" s="8"/>
      <c r="AN336" s="8">
        <f t="shared" si="103"/>
        <v>1</v>
      </c>
      <c r="AO336" s="8">
        <f t="shared" si="104"/>
        <v>3.7618063077590125</v>
      </c>
      <c r="AP336" s="8">
        <f t="shared" si="105"/>
        <v>1.0242861725029735</v>
      </c>
      <c r="AQ336" s="8"/>
      <c r="AR336" s="8">
        <f t="shared" si="106"/>
        <v>215.53562478028269</v>
      </c>
      <c r="AS336" s="8">
        <f t="shared" si="107"/>
        <v>31.312725301970623</v>
      </c>
    </row>
    <row r="337" spans="1:45">
      <c r="A337" s="19">
        <v>18.18483333</v>
      </c>
      <c r="B337" s="19">
        <v>935.98126539999998</v>
      </c>
      <c r="C337" s="19">
        <v>547.7864472</v>
      </c>
      <c r="E337" s="9">
        <f t="shared" si="93"/>
        <v>-24.018734600000016</v>
      </c>
      <c r="F337" s="9">
        <f t="shared" si="94"/>
        <v>-7.7864471999999978</v>
      </c>
      <c r="I337">
        <v>1</v>
      </c>
      <c r="J337">
        <f t="shared" si="95"/>
        <v>1.5948154600316435E-2</v>
      </c>
      <c r="K337">
        <f t="shared" si="99"/>
        <v>-2.8281005675802469</v>
      </c>
      <c r="O337">
        <f t="shared" si="100"/>
        <v>-1.5170237912010576E-2</v>
      </c>
      <c r="P337">
        <f t="shared" si="101"/>
        <v>-4.9179217173792563E-3</v>
      </c>
      <c r="Q337">
        <f t="shared" si="102"/>
        <v>0.99987283087784451</v>
      </c>
      <c r="R337">
        <f t="shared" si="92"/>
        <v>1</v>
      </c>
      <c r="AG337" s="8">
        <f t="shared" si="96"/>
        <v>-0.69532083651101073</v>
      </c>
      <c r="AH337" s="8">
        <f t="shared" si="97"/>
        <v>-0.49627158521757442</v>
      </c>
      <c r="AI337" s="8">
        <f t="shared" si="98"/>
        <v>0.51984944745499551</v>
      </c>
      <c r="AJ337" s="8"/>
      <c r="AK337" s="8"/>
      <c r="AL337" s="8"/>
      <c r="AN337" s="8">
        <f t="shared" si="103"/>
        <v>1</v>
      </c>
      <c r="AO337" s="8">
        <f t="shared" si="104"/>
        <v>3.7614743029072519</v>
      </c>
      <c r="AP337" s="8">
        <f t="shared" si="105"/>
        <v>1.0241216233664918</v>
      </c>
      <c r="AQ337" s="8"/>
      <c r="AR337" s="8">
        <f t="shared" si="106"/>
        <v>215.51660230349893</v>
      </c>
      <c r="AS337" s="8">
        <f t="shared" si="107"/>
        <v>31.322153273013548</v>
      </c>
    </row>
    <row r="338" spans="1:45">
      <c r="A338" s="19">
        <v>18.2182</v>
      </c>
      <c r="B338" s="19">
        <v>935.64493890000006</v>
      </c>
      <c r="C338" s="19">
        <v>547.48560880000002</v>
      </c>
      <c r="E338" s="9">
        <f t="shared" si="93"/>
        <v>-24.355061099999944</v>
      </c>
      <c r="F338" s="9">
        <f t="shared" si="94"/>
        <v>-7.4856088000000227</v>
      </c>
      <c r="I338">
        <v>1</v>
      </c>
      <c r="J338">
        <f t="shared" si="95"/>
        <v>1.6094809349031482E-2</v>
      </c>
      <c r="K338">
        <f t="shared" si="99"/>
        <v>-2.8434034246377795</v>
      </c>
      <c r="O338">
        <f t="shared" si="100"/>
        <v>-1.5383881888233307E-2</v>
      </c>
      <c r="P338">
        <f t="shared" si="101"/>
        <v>-4.7282871173220135E-3</v>
      </c>
      <c r="Q338">
        <f t="shared" si="102"/>
        <v>0.99987048135195244</v>
      </c>
      <c r="R338">
        <f t="shared" si="92"/>
        <v>1</v>
      </c>
      <c r="AG338" s="8">
        <f t="shared" si="96"/>
        <v>-0.69539719213733264</v>
      </c>
      <c r="AH338" s="8">
        <f t="shared" si="97"/>
        <v>-0.49602873412051207</v>
      </c>
      <c r="AI338" s="8">
        <f t="shared" si="98"/>
        <v>0.5199790765928145</v>
      </c>
      <c r="AJ338" s="8"/>
      <c r="AK338" s="8"/>
      <c r="AL338" s="8"/>
      <c r="AN338" s="8">
        <f t="shared" si="103"/>
        <v>1</v>
      </c>
      <c r="AO338" s="8">
        <f t="shared" si="104"/>
        <v>3.7611909595717554</v>
      </c>
      <c r="AP338" s="8">
        <f t="shared" si="105"/>
        <v>1.0239698716241863</v>
      </c>
      <c r="AQ338" s="8"/>
      <c r="AR338" s="8">
        <f t="shared" si="106"/>
        <v>215.50036792622183</v>
      </c>
      <c r="AS338" s="8">
        <f t="shared" si="107"/>
        <v>31.330848007381412</v>
      </c>
    </row>
    <row r="339" spans="1:45">
      <c r="A339" s="19">
        <v>18.251566669999999</v>
      </c>
      <c r="B339" s="19">
        <v>934.65193380000005</v>
      </c>
      <c r="C339" s="19">
        <v>547.46843309999997</v>
      </c>
      <c r="E339" s="9">
        <f t="shared" si="93"/>
        <v>-25.348066199999948</v>
      </c>
      <c r="F339" s="9">
        <f t="shared" si="94"/>
        <v>-7.4684330999999702</v>
      </c>
      <c r="I339">
        <v>1</v>
      </c>
      <c r="J339">
        <f t="shared" si="95"/>
        <v>1.6697702191169915E-2</v>
      </c>
      <c r="K339">
        <f t="shared" si="99"/>
        <v>-2.8550649123361533</v>
      </c>
      <c r="O339">
        <f t="shared" si="100"/>
        <v>-1.6016209242083256E-2</v>
      </c>
      <c r="P339">
        <f t="shared" si="101"/>
        <v>-4.7189393579893778E-3</v>
      </c>
      <c r="Q339">
        <f t="shared" si="102"/>
        <v>0.99986059660977211</v>
      </c>
      <c r="R339">
        <f t="shared" si="92"/>
        <v>1</v>
      </c>
      <c r="AG339" s="8">
        <f t="shared" si="96"/>
        <v>-0.69580047112045584</v>
      </c>
      <c r="AH339" s="8">
        <f t="shared" si="97"/>
        <v>-0.49554836830786325</v>
      </c>
      <c r="AI339" s="8">
        <f t="shared" si="98"/>
        <v>0.51989760439529453</v>
      </c>
      <c r="AJ339" s="8"/>
      <c r="AK339" s="8"/>
      <c r="AL339" s="8"/>
      <c r="AN339" s="8">
        <f t="shared" si="103"/>
        <v>1.0000000000000002</v>
      </c>
      <c r="AO339" s="8">
        <f t="shared" si="104"/>
        <v>3.760459002175947</v>
      </c>
      <c r="AP339" s="8">
        <f t="shared" si="105"/>
        <v>1.0240652495634264</v>
      </c>
      <c r="AQ339" s="8"/>
      <c r="AR339" s="8">
        <f t="shared" si="106"/>
        <v>215.45842985665863</v>
      </c>
      <c r="AS339" s="8">
        <f t="shared" si="107"/>
        <v>31.325383254004301</v>
      </c>
    </row>
    <row r="340" spans="1:45">
      <c r="A340" s="19">
        <v>18.284933330000001</v>
      </c>
      <c r="B340" s="19">
        <v>934.32844060000002</v>
      </c>
      <c r="C340" s="19">
        <v>547.4959824</v>
      </c>
      <c r="E340" s="9">
        <f t="shared" si="93"/>
        <v>-25.671559399999978</v>
      </c>
      <c r="F340" s="9">
        <f t="shared" si="94"/>
        <v>-7.4959824000000026</v>
      </c>
      <c r="I340">
        <v>1</v>
      </c>
      <c r="J340">
        <f t="shared" si="95"/>
        <v>1.6900529484241981E-2</v>
      </c>
      <c r="K340">
        <f t="shared" si="99"/>
        <v>-2.8574954258704963</v>
      </c>
      <c r="O340">
        <f t="shared" si="100"/>
        <v>-1.6222300875118976E-2</v>
      </c>
      <c r="P340">
        <f t="shared" si="101"/>
        <v>-4.7368404837688435E-3</v>
      </c>
      <c r="Q340">
        <f t="shared" si="102"/>
        <v>0.99985718945084778</v>
      </c>
      <c r="R340">
        <f t="shared" si="92"/>
        <v>1</v>
      </c>
      <c r="AG340" s="8">
        <f t="shared" si="96"/>
        <v>-0.69593858812868248</v>
      </c>
      <c r="AH340" s="8">
        <f t="shared" si="97"/>
        <v>-0.49540081590410406</v>
      </c>
      <c r="AI340" s="8">
        <f t="shared" si="98"/>
        <v>0.51985335735667249</v>
      </c>
      <c r="AJ340" s="8"/>
      <c r="AK340" s="8"/>
      <c r="AL340" s="8"/>
      <c r="AN340" s="8">
        <f t="shared" si="103"/>
        <v>1.0000000000000002</v>
      </c>
      <c r="AO340" s="8">
        <f t="shared" si="104"/>
        <v>3.7602245170749029</v>
      </c>
      <c r="AP340" s="8">
        <f t="shared" si="105"/>
        <v>1.0241170464030915</v>
      </c>
      <c r="AQ340" s="8"/>
      <c r="AR340" s="8">
        <f t="shared" si="106"/>
        <v>215.44499485001009</v>
      </c>
      <c r="AS340" s="8">
        <f t="shared" si="107"/>
        <v>31.322415513699369</v>
      </c>
    </row>
    <row r="341" spans="1:45">
      <c r="A341" s="19">
        <v>18.318300000000001</v>
      </c>
      <c r="B341" s="19">
        <v>933.82217419999995</v>
      </c>
      <c r="C341" s="19">
        <v>547.45948980000003</v>
      </c>
      <c r="E341" s="9">
        <f t="shared" si="93"/>
        <v>-26.177825800000051</v>
      </c>
      <c r="F341" s="9">
        <f t="shared" si="94"/>
        <v>-7.4594898000000285</v>
      </c>
      <c r="I341">
        <v>1</v>
      </c>
      <c r="J341">
        <f t="shared" si="95"/>
        <v>1.720421203215167E-2</v>
      </c>
      <c r="K341">
        <f t="shared" si="99"/>
        <v>-2.8639955598617672</v>
      </c>
      <c r="O341">
        <f t="shared" si="100"/>
        <v>-1.6544762168270177E-2</v>
      </c>
      <c r="P341">
        <f t="shared" si="101"/>
        <v>-4.7145047713487908E-3</v>
      </c>
      <c r="Q341">
        <f t="shared" si="102"/>
        <v>0.9998520111944349</v>
      </c>
      <c r="R341">
        <f t="shared" si="92"/>
        <v>1</v>
      </c>
      <c r="AG341" s="8">
        <f t="shared" si="96"/>
        <v>-0.69613844281655757</v>
      </c>
      <c r="AH341" s="8">
        <f t="shared" si="97"/>
        <v>-0.49514814320767297</v>
      </c>
      <c r="AI341" s="8">
        <f t="shared" si="98"/>
        <v>0.51982649481431054</v>
      </c>
      <c r="AJ341" s="8"/>
      <c r="AK341" s="8"/>
      <c r="AL341" s="8"/>
      <c r="AN341" s="8">
        <f t="shared" si="103"/>
        <v>1.0000000000000002</v>
      </c>
      <c r="AO341" s="8">
        <f t="shared" si="104"/>
        <v>3.7598478858099345</v>
      </c>
      <c r="AP341" s="8">
        <f t="shared" si="105"/>
        <v>1.024148491661381</v>
      </c>
      <c r="AQ341" s="8"/>
      <c r="AR341" s="8">
        <f t="shared" si="106"/>
        <v>215.42341546809473</v>
      </c>
      <c r="AS341" s="8">
        <f t="shared" si="107"/>
        <v>31.320613833113683</v>
      </c>
    </row>
    <row r="342" spans="1:45">
      <c r="A342" s="19">
        <v>18.35166667</v>
      </c>
      <c r="B342" s="19">
        <v>933.62396669999998</v>
      </c>
      <c r="C342" s="19">
        <v>547.44660610000005</v>
      </c>
      <c r="E342" s="9">
        <f t="shared" si="93"/>
        <v>-26.376033300000017</v>
      </c>
      <c r="F342" s="9">
        <f t="shared" si="94"/>
        <v>-7.4466061000000536</v>
      </c>
      <c r="I342">
        <v>1</v>
      </c>
      <c r="J342">
        <f t="shared" si="95"/>
        <v>1.732355653998657E-2</v>
      </c>
      <c r="K342">
        <f t="shared" si="99"/>
        <v>-2.8664295461497287</v>
      </c>
      <c r="O342">
        <f t="shared" si="100"/>
        <v>-1.6671025947624266E-2</v>
      </c>
      <c r="P342">
        <f t="shared" si="101"/>
        <v>-4.7066426593735753E-3</v>
      </c>
      <c r="Q342">
        <f t="shared" si="102"/>
        <v>0.99984995094700613</v>
      </c>
      <c r="R342">
        <f t="shared" si="92"/>
        <v>1</v>
      </c>
      <c r="AG342" s="8">
        <f t="shared" si="96"/>
        <v>-0.69621696319342341</v>
      </c>
      <c r="AH342" s="8">
        <f t="shared" si="97"/>
        <v>-0.49504957363700303</v>
      </c>
      <c r="AI342" s="8">
        <f t="shared" si="98"/>
        <v>0.51981521697960031</v>
      </c>
      <c r="AJ342" s="8"/>
      <c r="AK342" s="8"/>
      <c r="AL342" s="8"/>
      <c r="AN342" s="8">
        <f t="shared" si="103"/>
        <v>1.0000000000000002</v>
      </c>
      <c r="AO342" s="8">
        <f t="shared" si="104"/>
        <v>3.7597005861279387</v>
      </c>
      <c r="AP342" s="8">
        <f t="shared" si="105"/>
        <v>1.0241616933011695</v>
      </c>
      <c r="AQ342" s="8"/>
      <c r="AR342" s="8">
        <f t="shared" si="106"/>
        <v>215.41497581799274</v>
      </c>
      <c r="AS342" s="8">
        <f t="shared" si="107"/>
        <v>31.319857434871153</v>
      </c>
    </row>
    <row r="343" spans="1:45">
      <c r="A343" s="19">
        <v>18.385033329999999</v>
      </c>
      <c r="B343" s="19">
        <v>932.79699389999996</v>
      </c>
      <c r="C343" s="19">
        <v>547.47022040000002</v>
      </c>
      <c r="E343" s="9">
        <f t="shared" si="93"/>
        <v>-27.203006100000039</v>
      </c>
      <c r="F343" s="9">
        <f t="shared" si="94"/>
        <v>-7.4702204000000165</v>
      </c>
      <c r="I343">
        <v>1</v>
      </c>
      <c r="J343">
        <f t="shared" si="95"/>
        <v>1.783564882544748E-2</v>
      </c>
      <c r="K343">
        <f t="shared" si="99"/>
        <v>-2.8735889597643314</v>
      </c>
      <c r="O343">
        <f t="shared" si="100"/>
        <v>-1.7198030235318476E-2</v>
      </c>
      <c r="P343">
        <f t="shared" si="101"/>
        <v>-4.7227529130941578E-3</v>
      </c>
      <c r="Q343">
        <f t="shared" si="102"/>
        <v>0.99984094903186826</v>
      </c>
      <c r="R343">
        <f t="shared" si="92"/>
        <v>1</v>
      </c>
      <c r="AG343" s="8">
        <f t="shared" si="96"/>
        <v>-0.69656031240670691</v>
      </c>
      <c r="AH343" s="8">
        <f t="shared" si="97"/>
        <v>-0.49465922196781137</v>
      </c>
      <c r="AI343" s="8">
        <f t="shared" si="98"/>
        <v>0.51972683719630119</v>
      </c>
      <c r="AJ343" s="8"/>
      <c r="AK343" s="8"/>
      <c r="AL343" s="8"/>
      <c r="AN343" s="8">
        <f t="shared" si="103"/>
        <v>1.0000000000000002</v>
      </c>
      <c r="AO343" s="8">
        <f t="shared" si="104"/>
        <v>3.7590953226087502</v>
      </c>
      <c r="AP343" s="8">
        <f t="shared" si="105"/>
        <v>1.0242651454874809</v>
      </c>
      <c r="AQ343" s="8"/>
      <c r="AR343" s="8">
        <f t="shared" si="106"/>
        <v>215.38029677285002</v>
      </c>
      <c r="AS343" s="8">
        <f t="shared" si="107"/>
        <v>31.313930061214108</v>
      </c>
    </row>
    <row r="344" spans="1:45">
      <c r="A344" s="19">
        <v>18.418399999999998</v>
      </c>
      <c r="B344" s="19">
        <v>932.5</v>
      </c>
      <c r="C344" s="19">
        <v>547.5</v>
      </c>
      <c r="E344" s="9">
        <f t="shared" si="93"/>
        <v>-27.5</v>
      </c>
      <c r="F344" s="9">
        <f t="shared" si="94"/>
        <v>-7.5</v>
      </c>
      <c r="I344">
        <v>1</v>
      </c>
      <c r="J344">
        <f t="shared" si="95"/>
        <v>1.8023374785776352E-2</v>
      </c>
      <c r="K344">
        <f t="shared" si="99"/>
        <v>-2.8753406044388679</v>
      </c>
      <c r="O344">
        <f t="shared" si="100"/>
        <v>-1.7387358536749348E-2</v>
      </c>
      <c r="P344">
        <f t="shared" si="101"/>
        <v>-4.7420068736589143E-3</v>
      </c>
      <c r="Q344">
        <f t="shared" si="102"/>
        <v>0.99983758337738271</v>
      </c>
      <c r="R344">
        <f t="shared" si="92"/>
        <v>1</v>
      </c>
      <c r="AG344" s="8">
        <f t="shared" si="96"/>
        <v>-0.69668794641350196</v>
      </c>
      <c r="AH344" s="8">
        <f t="shared" si="97"/>
        <v>-0.49452477311898591</v>
      </c>
      <c r="AI344" s="8">
        <f t="shared" si="98"/>
        <v>0.51968370581898471</v>
      </c>
      <c r="AJ344" s="8"/>
      <c r="AK344" s="8"/>
      <c r="AL344" s="8"/>
      <c r="AN344" s="8">
        <f t="shared" si="103"/>
        <v>1</v>
      </c>
      <c r="AO344" s="8">
        <f t="shared" si="104"/>
        <v>3.7588805182647835</v>
      </c>
      <c r="AP344" s="8">
        <f t="shared" si="105"/>
        <v>1.0243156301818976</v>
      </c>
      <c r="AQ344" s="8"/>
      <c r="AR344" s="8">
        <f t="shared" si="106"/>
        <v>215.36798939051965</v>
      </c>
      <c r="AS344" s="8">
        <f t="shared" si="107"/>
        <v>31.311037501294017</v>
      </c>
    </row>
    <row r="345" spans="1:45">
      <c r="A345" s="19">
        <v>18.451766670000001</v>
      </c>
      <c r="B345" s="19">
        <v>931.6228552</v>
      </c>
      <c r="C345" s="19">
        <v>547.30277279999996</v>
      </c>
      <c r="E345" s="9">
        <f t="shared" si="93"/>
        <v>-28.377144799999996</v>
      </c>
      <c r="F345" s="9">
        <f t="shared" si="94"/>
        <v>-7.302772799999957</v>
      </c>
      <c r="I345">
        <v>1</v>
      </c>
      <c r="J345">
        <f t="shared" si="95"/>
        <v>1.8532038969512853E-2</v>
      </c>
      <c r="K345">
        <f t="shared" si="99"/>
        <v>-2.8897112189866654</v>
      </c>
      <c r="O345">
        <f t="shared" si="100"/>
        <v>-1.7946237519737274E-2</v>
      </c>
      <c r="P345">
        <f t="shared" si="101"/>
        <v>-4.6184102081149514E-3</v>
      </c>
      <c r="Q345">
        <f t="shared" si="102"/>
        <v>0.99982828668028534</v>
      </c>
      <c r="R345">
        <f t="shared" si="92"/>
        <v>1</v>
      </c>
      <c r="AG345" s="8">
        <f t="shared" si="96"/>
        <v>-0.69700653252251177</v>
      </c>
      <c r="AH345" s="8">
        <f t="shared" si="97"/>
        <v>-0.49404979179632852</v>
      </c>
      <c r="AI345" s="8">
        <f t="shared" si="98"/>
        <v>0.51970828052567108</v>
      </c>
      <c r="AJ345" s="8"/>
      <c r="AK345" s="8"/>
      <c r="AL345" s="8"/>
      <c r="AN345" s="8">
        <f t="shared" si="103"/>
        <v>1.0000000000000004</v>
      </c>
      <c r="AO345" s="8">
        <f t="shared" si="104"/>
        <v>3.7582113145862759</v>
      </c>
      <c r="AP345" s="8">
        <f t="shared" si="105"/>
        <v>1.0242868660097688</v>
      </c>
      <c r="AQ345" s="8"/>
      <c r="AR345" s="8">
        <f t="shared" si="106"/>
        <v>215.32964684410652</v>
      </c>
      <c r="AS345" s="8">
        <f t="shared" si="107"/>
        <v>31.312685566958187</v>
      </c>
    </row>
    <row r="346" spans="1:45">
      <c r="A346" s="19">
        <v>18.48513333</v>
      </c>
      <c r="B346" s="19">
        <v>931.46304929999997</v>
      </c>
      <c r="C346" s="19">
        <v>547.32100479999997</v>
      </c>
      <c r="E346" s="9">
        <f t="shared" si="93"/>
        <v>-28.536950700000034</v>
      </c>
      <c r="F346" s="9">
        <f t="shared" si="94"/>
        <v>-7.3210047999999688</v>
      </c>
      <c r="I346">
        <v>1</v>
      </c>
      <c r="J346">
        <f t="shared" si="95"/>
        <v>1.8633684695643214E-2</v>
      </c>
      <c r="K346">
        <f t="shared" si="99"/>
        <v>-2.8904637771248956</v>
      </c>
      <c r="O346">
        <f t="shared" si="100"/>
        <v>-1.8048148415822935E-2</v>
      </c>
      <c r="P346">
        <f t="shared" si="101"/>
        <v>-4.6301576707476165E-3</v>
      </c>
      <c r="Q346">
        <f t="shared" si="102"/>
        <v>0.9998263979205112</v>
      </c>
      <c r="R346">
        <f t="shared" si="92"/>
        <v>1</v>
      </c>
      <c r="AG346" s="8">
        <f t="shared" si="96"/>
        <v>-0.69707563155875396</v>
      </c>
      <c r="AH346" s="8">
        <f t="shared" si="97"/>
        <v>-0.4939779835553384</v>
      </c>
      <c r="AI346" s="8">
        <f t="shared" si="98"/>
        <v>0.51968386125563515</v>
      </c>
      <c r="AJ346" s="8"/>
      <c r="AK346" s="8"/>
      <c r="AL346" s="8"/>
      <c r="AN346" s="8">
        <f t="shared" si="103"/>
        <v>1.0000000000000002</v>
      </c>
      <c r="AO346" s="8">
        <f t="shared" si="104"/>
        <v>3.7580959736724613</v>
      </c>
      <c r="AP346" s="8">
        <f t="shared" si="105"/>
        <v>1.024315448248182</v>
      </c>
      <c r="AQ346" s="8"/>
      <c r="AR346" s="8">
        <f t="shared" si="106"/>
        <v>215.32303829653978</v>
      </c>
      <c r="AS346" s="8">
        <f t="shared" si="107"/>
        <v>31.311047925328076</v>
      </c>
    </row>
    <row r="347" spans="1:45">
      <c r="A347" s="19">
        <v>18.5185</v>
      </c>
      <c r="B347" s="19">
        <v>930.86051669999995</v>
      </c>
      <c r="C347" s="19">
        <v>547.19912490000002</v>
      </c>
      <c r="E347" s="9">
        <f t="shared" si="93"/>
        <v>-29.139483300000052</v>
      </c>
      <c r="F347" s="9">
        <f t="shared" si="94"/>
        <v>-7.1991249000000153</v>
      </c>
      <c r="I347">
        <v>1</v>
      </c>
      <c r="J347">
        <f t="shared" si="95"/>
        <v>1.8987525313924111E-2</v>
      </c>
      <c r="K347">
        <f t="shared" si="99"/>
        <v>-2.8993854107531241</v>
      </c>
      <c r="O347">
        <f t="shared" si="100"/>
        <v>-1.8432189736696952E-2</v>
      </c>
      <c r="P347">
        <f t="shared" si="101"/>
        <v>-4.5538088211392394E-3</v>
      </c>
      <c r="Q347">
        <f t="shared" si="102"/>
        <v>0.99981974235695648</v>
      </c>
      <c r="R347">
        <f t="shared" ref="R347:R410" si="108">SQRT(O347^2+P347^2+Q347^2)</f>
        <v>1</v>
      </c>
      <c r="AG347" s="8">
        <f t="shared" si="96"/>
        <v>-0.69729715757721444</v>
      </c>
      <c r="AH347" s="8">
        <f t="shared" si="97"/>
        <v>-0.49365518882021064</v>
      </c>
      <c r="AI347" s="8">
        <f t="shared" si="98"/>
        <v>0.51969339863579145</v>
      </c>
      <c r="AJ347" s="8"/>
      <c r="AK347" s="8"/>
      <c r="AL347" s="8"/>
      <c r="AN347" s="8">
        <f t="shared" si="103"/>
        <v>1</v>
      </c>
      <c r="AO347" s="8">
        <f t="shared" si="104"/>
        <v>3.7576377869898101</v>
      </c>
      <c r="AP347" s="8">
        <f t="shared" si="105"/>
        <v>1.0243042850058384</v>
      </c>
      <c r="AQ347" s="8"/>
      <c r="AR347" s="8">
        <f t="shared" si="106"/>
        <v>215.29678613339476</v>
      </c>
      <c r="AS347" s="8">
        <f t="shared" si="107"/>
        <v>31.31168753200005</v>
      </c>
    </row>
    <row r="348" spans="1:45">
      <c r="A348" s="19">
        <v>18.551866669999999</v>
      </c>
      <c r="B348" s="19">
        <v>930.12020410000002</v>
      </c>
      <c r="C348" s="19">
        <v>546.57635849999997</v>
      </c>
      <c r="E348" s="9">
        <f t="shared" si="93"/>
        <v>-29.879795899999976</v>
      </c>
      <c r="F348" s="9">
        <f t="shared" si="94"/>
        <v>-6.5763584999999694</v>
      </c>
      <c r="I348">
        <v>1</v>
      </c>
      <c r="J348">
        <f t="shared" si="95"/>
        <v>1.935724453545647E-2</v>
      </c>
      <c r="K348">
        <f t="shared" si="99"/>
        <v>-2.9249528590916833</v>
      </c>
      <c r="O348">
        <f t="shared" si="100"/>
        <v>-1.8903592901597266E-2</v>
      </c>
      <c r="P348">
        <f t="shared" si="101"/>
        <v>-4.1605640237642504E-3</v>
      </c>
      <c r="Q348">
        <f t="shared" si="102"/>
        <v>0.99981265439201905</v>
      </c>
      <c r="R348">
        <f t="shared" si="108"/>
        <v>1</v>
      </c>
      <c r="AG348" s="8">
        <f t="shared" si="96"/>
        <v>-0.69747251387095566</v>
      </c>
      <c r="AH348" s="8">
        <f t="shared" si="97"/>
        <v>-0.49312932327124648</v>
      </c>
      <c r="AI348" s="8">
        <f t="shared" si="98"/>
        <v>0.51995727028725369</v>
      </c>
      <c r="AJ348" s="8"/>
      <c r="AK348" s="8"/>
      <c r="AL348" s="8"/>
      <c r="AN348" s="8">
        <f t="shared" si="103"/>
        <v>1</v>
      </c>
      <c r="AO348" s="8">
        <f t="shared" si="104"/>
        <v>3.7570167105864494</v>
      </c>
      <c r="AP348" s="8">
        <f t="shared" si="105"/>
        <v>1.0239954003906218</v>
      </c>
      <c r="AQ348" s="8"/>
      <c r="AR348" s="8">
        <f t="shared" si="106"/>
        <v>215.26120107672702</v>
      </c>
      <c r="AS348" s="8">
        <f t="shared" si="107"/>
        <v>31.329385316808484</v>
      </c>
    </row>
    <row r="349" spans="1:45">
      <c r="A349" s="19">
        <v>18.585233330000001</v>
      </c>
      <c r="B349" s="19">
        <v>929.78269699999998</v>
      </c>
      <c r="C349" s="19">
        <v>546.64495739999995</v>
      </c>
      <c r="E349" s="9">
        <f t="shared" si="93"/>
        <v>-30.217303000000015</v>
      </c>
      <c r="F349" s="9">
        <f t="shared" si="94"/>
        <v>-6.6449573999999529</v>
      </c>
      <c r="I349">
        <v>1</v>
      </c>
      <c r="J349">
        <f t="shared" si="95"/>
        <v>1.9577037599590737E-2</v>
      </c>
      <c r="K349">
        <f t="shared" si="99"/>
        <v>-2.9251322896654184</v>
      </c>
      <c r="O349">
        <f t="shared" si="100"/>
        <v>-1.9118962381499224E-2</v>
      </c>
      <c r="P349">
        <f t="shared" si="101"/>
        <v>-4.2043689523603061E-3</v>
      </c>
      <c r="Q349">
        <f t="shared" si="102"/>
        <v>0.99980837591968952</v>
      </c>
      <c r="R349">
        <f t="shared" si="108"/>
        <v>1</v>
      </c>
      <c r="AG349" s="8">
        <f t="shared" si="96"/>
        <v>-0.69762451075578058</v>
      </c>
      <c r="AH349" s="8">
        <f t="shared" si="97"/>
        <v>-0.4929856740933205</v>
      </c>
      <c r="AI349" s="8">
        <f t="shared" si="98"/>
        <v>0.51988957205498187</v>
      </c>
      <c r="AJ349" s="8"/>
      <c r="AK349" s="8"/>
      <c r="AL349" s="8"/>
      <c r="AN349" s="8">
        <f t="shared" si="103"/>
        <v>1</v>
      </c>
      <c r="AO349" s="8">
        <f t="shared" si="104"/>
        <v>3.7567766799378086</v>
      </c>
      <c r="AP349" s="8">
        <f t="shared" si="105"/>
        <v>1.0240746525703495</v>
      </c>
      <c r="AQ349" s="8"/>
      <c r="AR349" s="8">
        <f t="shared" si="106"/>
        <v>215.24744833360612</v>
      </c>
      <c r="AS349" s="8">
        <f t="shared" si="107"/>
        <v>31.324844501392874</v>
      </c>
    </row>
    <row r="350" spans="1:45">
      <c r="A350" s="19">
        <v>18.618600000000001</v>
      </c>
      <c r="B350" s="19">
        <v>929.21182139999996</v>
      </c>
      <c r="C350" s="19">
        <v>546.42634290000001</v>
      </c>
      <c r="E350" s="9">
        <f t="shared" si="93"/>
        <v>-30.788178600000037</v>
      </c>
      <c r="F350" s="9">
        <f t="shared" si="94"/>
        <v>-6.4263429000000087</v>
      </c>
      <c r="I350">
        <v>1</v>
      </c>
      <c r="J350">
        <f t="shared" si="95"/>
        <v>1.9904116457291388E-2</v>
      </c>
      <c r="K350">
        <f t="shared" si="99"/>
        <v>-2.9358194194593792</v>
      </c>
      <c r="O350">
        <f t="shared" si="100"/>
        <v>-1.9482918523755624E-2</v>
      </c>
      <c r="P350">
        <f t="shared" si="101"/>
        <v>-4.0666229968672318E-3</v>
      </c>
      <c r="Q350">
        <f t="shared" si="102"/>
        <v>0.99980191961367926</v>
      </c>
      <c r="R350">
        <f t="shared" si="108"/>
        <v>1</v>
      </c>
      <c r="AG350" s="8">
        <f t="shared" si="96"/>
        <v>-0.69781310718876444</v>
      </c>
      <c r="AH350" s="8">
        <f t="shared" si="97"/>
        <v>-0.4926512647086817</v>
      </c>
      <c r="AI350" s="8">
        <f t="shared" si="98"/>
        <v>0.5199534583176636</v>
      </c>
      <c r="AJ350" s="8"/>
      <c r="AK350" s="8"/>
      <c r="AL350" s="8"/>
      <c r="AN350" s="8">
        <f t="shared" si="103"/>
        <v>1</v>
      </c>
      <c r="AO350" s="8">
        <f t="shared" si="104"/>
        <v>3.7563295430953918</v>
      </c>
      <c r="AP350" s="8">
        <f t="shared" si="105"/>
        <v>1.0239998630444513</v>
      </c>
      <c r="AQ350" s="8"/>
      <c r="AR350" s="8">
        <f t="shared" si="106"/>
        <v>215.22182927967083</v>
      </c>
      <c r="AS350" s="8">
        <f t="shared" si="107"/>
        <v>31.329129625578624</v>
      </c>
    </row>
    <row r="351" spans="1:45">
      <c r="A351" s="19">
        <v>18.65196667</v>
      </c>
      <c r="B351" s="19">
        <v>928.68622640000001</v>
      </c>
      <c r="C351" s="19">
        <v>546.34443420000002</v>
      </c>
      <c r="E351" s="9">
        <f t="shared" si="93"/>
        <v>-31.31377359999999</v>
      </c>
      <c r="F351" s="9">
        <f t="shared" si="94"/>
        <v>-6.3444342000000233</v>
      </c>
      <c r="I351">
        <v>1</v>
      </c>
      <c r="J351">
        <f t="shared" si="95"/>
        <v>2.0222252360867454E-2</v>
      </c>
      <c r="K351">
        <f t="shared" si="99"/>
        <v>-2.9416902601112334</v>
      </c>
      <c r="O351">
        <f t="shared" si="100"/>
        <v>-1.9818194906515634E-2</v>
      </c>
      <c r="P351">
        <f t="shared" si="101"/>
        <v>-4.0153331614802314E-3</v>
      </c>
      <c r="Q351">
        <f t="shared" si="102"/>
        <v>0.99979553722261116</v>
      </c>
      <c r="R351">
        <f t="shared" si="108"/>
        <v>1</v>
      </c>
      <c r="AG351" s="8">
        <f t="shared" si="96"/>
        <v>-0.69801110418747769</v>
      </c>
      <c r="AH351" s="8">
        <f t="shared" si="97"/>
        <v>-0.4923758468313959</v>
      </c>
      <c r="AI351" s="8">
        <f t="shared" si="98"/>
        <v>0.51994857811907125</v>
      </c>
      <c r="AJ351" s="8"/>
      <c r="AK351" s="8"/>
      <c r="AL351" s="8"/>
      <c r="AN351" s="8">
        <f t="shared" si="103"/>
        <v>1</v>
      </c>
      <c r="AO351" s="8">
        <f t="shared" si="104"/>
        <v>3.7559324577648341</v>
      </c>
      <c r="AP351" s="8">
        <f t="shared" si="105"/>
        <v>1.0240055762509637</v>
      </c>
      <c r="AQ351" s="8"/>
      <c r="AR351" s="8">
        <f t="shared" si="106"/>
        <v>215.19907796612333</v>
      </c>
      <c r="AS351" s="8">
        <f t="shared" si="107"/>
        <v>31.32880228295798</v>
      </c>
    </row>
    <row r="352" spans="1:45">
      <c r="A352" s="19">
        <v>18.685333329999999</v>
      </c>
      <c r="B352" s="19">
        <v>928.37830310000004</v>
      </c>
      <c r="C352" s="19">
        <v>546.28843319999999</v>
      </c>
      <c r="E352" s="9">
        <f t="shared" ref="E352:E415" si="109">(B352-($B$15/2))</f>
        <v>-31.621696899999961</v>
      </c>
      <c r="F352" s="9">
        <f t="shared" ref="F352:F415" si="110">(($C$15/2)-C352)</f>
        <v>-6.2884331999999858</v>
      </c>
      <c r="I352">
        <v>1</v>
      </c>
      <c r="J352">
        <f t="shared" ref="J352:J415" si="111">ATAN((SQRT(E352^2+F352^2)^$B$16)/($F$24))</f>
        <v>2.0407973215187385E-2</v>
      </c>
      <c r="K352">
        <f t="shared" si="99"/>
        <v>-2.9452891508851611</v>
      </c>
      <c r="O352">
        <f t="shared" si="100"/>
        <v>-2.0014633639426644E-2</v>
      </c>
      <c r="P352">
        <f t="shared" si="101"/>
        <v>-3.9802002739456844E-3</v>
      </c>
      <c r="Q352">
        <f t="shared" si="102"/>
        <v>0.99979176454202645</v>
      </c>
      <c r="R352">
        <f t="shared" si="108"/>
        <v>1</v>
      </c>
      <c r="AG352" s="8">
        <f t="shared" ref="AG352:AG415" si="112">$O352*$Z$27+$P352*$Z$31+$Q352*$Z$35</f>
        <v>-0.69812543714073672</v>
      </c>
      <c r="AH352" s="8">
        <f t="shared" ref="AH352:AH415" si="113">$O352*$AA$27+$P352*$AA$31+$Q352*$AA$35</f>
        <v>-0.49221225353487519</v>
      </c>
      <c r="AI352" s="8">
        <f t="shared" ref="AI352:AI415" si="114">$AB$27*$O352+$P352*$AB$31+$AB$35*$Q352</f>
        <v>0.51994997017710765</v>
      </c>
      <c r="AJ352" s="8"/>
      <c r="AK352" s="8"/>
      <c r="AL352" s="8"/>
      <c r="AN352" s="8">
        <f t="shared" si="103"/>
        <v>1</v>
      </c>
      <c r="AO352" s="8">
        <f t="shared" si="104"/>
        <v>3.7556988059034042</v>
      </c>
      <c r="AP352" s="8">
        <f t="shared" si="105"/>
        <v>1.0240039465826203</v>
      </c>
      <c r="AQ352" s="8"/>
      <c r="AR352" s="8">
        <f t="shared" si="106"/>
        <v>215.185690700588</v>
      </c>
      <c r="AS352" s="8">
        <f t="shared" si="107"/>
        <v>31.328895656076057</v>
      </c>
    </row>
    <row r="353" spans="1:45">
      <c r="A353" s="19">
        <v>18.718699999999998</v>
      </c>
      <c r="B353" s="19">
        <v>927.58333330000005</v>
      </c>
      <c r="C353" s="19">
        <v>546</v>
      </c>
      <c r="E353" s="9">
        <f t="shared" si="109"/>
        <v>-32.416666699999951</v>
      </c>
      <c r="F353" s="9">
        <f t="shared" si="110"/>
        <v>-6</v>
      </c>
      <c r="I353">
        <v>1</v>
      </c>
      <c r="J353">
        <f t="shared" si="111"/>
        <v>2.0871794541843409E-2</v>
      </c>
      <c r="K353">
        <f t="shared" ref="K353:K416" si="115">ATAN2(E353,F353)</f>
        <v>-2.9585738921126516</v>
      </c>
      <c r="O353">
        <f t="shared" ref="O353:O416" si="116">COS(K353)*SIN(J353)</f>
        <v>-2.0521719697137911E-2</v>
      </c>
      <c r="P353">
        <f t="shared" ref="P353:P416" si="117">SIN(K353)*SIN(J353)</f>
        <v>-3.7983645672868571E-3</v>
      </c>
      <c r="Q353">
        <f t="shared" ref="Q353:Q416" si="118">COS(J353)</f>
        <v>0.9997821920034814</v>
      </c>
      <c r="R353">
        <f t="shared" si="108"/>
        <v>1</v>
      </c>
      <c r="AG353" s="8">
        <f t="shared" si="112"/>
        <v>-0.69839108116291793</v>
      </c>
      <c r="AH353" s="8">
        <f t="shared" si="113"/>
        <v>-0.49175042344491948</v>
      </c>
      <c r="AI353" s="8">
        <f t="shared" si="114"/>
        <v>0.52003020950117218</v>
      </c>
      <c r="AJ353" s="8"/>
      <c r="AK353" s="8"/>
      <c r="AL353" s="8"/>
      <c r="AN353" s="8">
        <f t="shared" ref="AN353:AN416" si="119">AG353^2+AH353^2+AI353^2</f>
        <v>1</v>
      </c>
      <c r="AO353" s="8">
        <f t="shared" ref="AO353:AO416" si="120">IF(ATAN2(AG353,AH353)&gt;=0,ATAN2(AG353,AH353),ATAN2(AG353,AH353)+2*PI())</f>
        <v>3.7550776954241654</v>
      </c>
      <c r="AP353" s="8">
        <f t="shared" ref="AP353:AP416" si="121">ACOS(AI353/AN353)</f>
        <v>1.0239100084804766</v>
      </c>
      <c r="AQ353" s="8"/>
      <c r="AR353" s="8">
        <f t="shared" ref="AR353:AR416" si="122">DEGREES(AO353)</f>
        <v>215.15010369151628</v>
      </c>
      <c r="AS353" s="8">
        <f t="shared" ref="AS353:AS416" si="123">90-DEGREES(AP353)</f>
        <v>31.334277912864358</v>
      </c>
    </row>
    <row r="354" spans="1:45">
      <c r="A354" s="19">
        <v>18.752066670000001</v>
      </c>
      <c r="B354" s="19">
        <v>927.10771320000003</v>
      </c>
      <c r="C354" s="19">
        <v>546.01228219999996</v>
      </c>
      <c r="E354" s="9">
        <f t="shared" si="109"/>
        <v>-32.892286799999965</v>
      </c>
      <c r="F354" s="9">
        <f t="shared" si="110"/>
        <v>-6.0122821999999587</v>
      </c>
      <c r="I354">
        <v>1</v>
      </c>
      <c r="J354">
        <f t="shared" si="111"/>
        <v>2.1171959616232906E-2</v>
      </c>
      <c r="K354">
        <f t="shared" si="115"/>
        <v>-2.9608015046410867</v>
      </c>
      <c r="O354">
        <f t="shared" si="116"/>
        <v>-2.0825337723240713E-2</v>
      </c>
      <c r="P354">
        <f t="shared" si="117"/>
        <v>-3.8066008624985013E-3</v>
      </c>
      <c r="Q354">
        <f t="shared" si="118"/>
        <v>0.99977588243495186</v>
      </c>
      <c r="R354">
        <f t="shared" si="108"/>
        <v>1</v>
      </c>
      <c r="AG354" s="8">
        <f t="shared" si="112"/>
        <v>-0.69858778391783594</v>
      </c>
      <c r="AH354" s="8">
        <f t="shared" si="113"/>
        <v>-0.49152451166269334</v>
      </c>
      <c r="AI354" s="8">
        <f t="shared" si="114"/>
        <v>0.51997957901778991</v>
      </c>
      <c r="AJ354" s="8"/>
      <c r="AK354" s="8"/>
      <c r="AL354" s="8"/>
      <c r="AN354" s="8">
        <f t="shared" si="119"/>
        <v>1.0000000000000002</v>
      </c>
      <c r="AO354" s="8">
        <f t="shared" si="120"/>
        <v>3.7547288670004177</v>
      </c>
      <c r="AP354" s="8">
        <f t="shared" si="121"/>
        <v>1.0239692834277232</v>
      </c>
      <c r="AQ354" s="8"/>
      <c r="AR354" s="8">
        <f t="shared" si="122"/>
        <v>215.13011729506132</v>
      </c>
      <c r="AS354" s="8">
        <f t="shared" si="123"/>
        <v>31.330881708556269</v>
      </c>
    </row>
    <row r="355" spans="1:45">
      <c r="A355" s="19">
        <v>18.78543333</v>
      </c>
      <c r="B355" s="19">
        <v>927.06856140000002</v>
      </c>
      <c r="C355" s="19">
        <v>545.94827650000002</v>
      </c>
      <c r="E355" s="9">
        <f t="shared" si="109"/>
        <v>-32.931438599999979</v>
      </c>
      <c r="F355" s="9">
        <f t="shared" si="110"/>
        <v>-5.94827650000002</v>
      </c>
      <c r="I355">
        <v>1</v>
      </c>
      <c r="J355">
        <f t="shared" si="111"/>
        <v>2.1189254304115137E-2</v>
      </c>
      <c r="K355">
        <f t="shared" si="115"/>
        <v>-2.962893354802314</v>
      </c>
      <c r="O355">
        <f t="shared" si="116"/>
        <v>-2.085027045700559E-2</v>
      </c>
      <c r="P355">
        <f t="shared" si="117"/>
        <v>-3.7661025163368161E-3</v>
      </c>
      <c r="Q355">
        <f t="shared" si="118"/>
        <v>0.99977551615035365</v>
      </c>
      <c r="R355">
        <f t="shared" si="108"/>
        <v>1</v>
      </c>
      <c r="AG355" s="8">
        <f t="shared" si="112"/>
        <v>-0.69859066507577705</v>
      </c>
      <c r="AH355" s="8">
        <f t="shared" si="113"/>
        <v>-0.49148814048796907</v>
      </c>
      <c r="AI355" s="8">
        <f t="shared" si="114"/>
        <v>0.52001008685280525</v>
      </c>
      <c r="AJ355" s="8"/>
      <c r="AK355" s="8"/>
      <c r="AL355" s="8"/>
      <c r="AN355" s="8">
        <f t="shared" si="119"/>
        <v>1</v>
      </c>
      <c r="AO355" s="8">
        <f t="shared" si="120"/>
        <v>3.7546921010731289</v>
      </c>
      <c r="AP355" s="8">
        <f t="shared" si="121"/>
        <v>1.0239335670524776</v>
      </c>
      <c r="AQ355" s="8"/>
      <c r="AR355" s="8">
        <f t="shared" si="122"/>
        <v>215.1280107625978</v>
      </c>
      <c r="AS355" s="8">
        <f t="shared" si="123"/>
        <v>31.33292810611735</v>
      </c>
    </row>
    <row r="356" spans="1:45">
      <c r="A356" s="19">
        <v>18.8188</v>
      </c>
      <c r="B356" s="19">
        <v>926.59856679999996</v>
      </c>
      <c r="C356" s="19">
        <v>545.91605719999995</v>
      </c>
      <c r="E356" s="9">
        <f t="shared" si="109"/>
        <v>-33.401433200000042</v>
      </c>
      <c r="F356" s="9">
        <f t="shared" si="110"/>
        <v>-5.9160571999999547</v>
      </c>
      <c r="I356">
        <v>1</v>
      </c>
      <c r="J356">
        <f t="shared" si="111"/>
        <v>2.1481141364072334E-2</v>
      </c>
      <c r="K356">
        <f t="shared" si="115"/>
        <v>-2.9662908609298344</v>
      </c>
      <c r="O356">
        <f t="shared" si="116"/>
        <v>-2.115029362265396E-2</v>
      </c>
      <c r="P356">
        <f t="shared" si="117"/>
        <v>-3.7461370630172551E-3</v>
      </c>
      <c r="Q356">
        <f t="shared" si="118"/>
        <v>0.99976928915464325</v>
      </c>
      <c r="R356">
        <f t="shared" si="108"/>
        <v>1</v>
      </c>
      <c r="AG356" s="8">
        <f t="shared" si="112"/>
        <v>-0.69877591452482835</v>
      </c>
      <c r="AH356" s="8">
        <f t="shared" si="113"/>
        <v>-0.49125269215679845</v>
      </c>
      <c r="AI356" s="8">
        <f t="shared" si="114"/>
        <v>0.51998366679030184</v>
      </c>
      <c r="AJ356" s="8"/>
      <c r="AK356" s="8"/>
      <c r="AL356" s="8"/>
      <c r="AN356" s="8">
        <f t="shared" si="119"/>
        <v>1</v>
      </c>
      <c r="AO356" s="8">
        <f t="shared" si="120"/>
        <v>3.754341869739179</v>
      </c>
      <c r="AP356" s="8">
        <f t="shared" si="121"/>
        <v>1.0239644978032325</v>
      </c>
      <c r="AQ356" s="8"/>
      <c r="AR356" s="8">
        <f t="shared" si="122"/>
        <v>215.10794398530925</v>
      </c>
      <c r="AS356" s="8">
        <f t="shared" si="123"/>
        <v>31.331155904641925</v>
      </c>
    </row>
    <row r="357" spans="1:45">
      <c r="A357" s="19">
        <v>18.852166669999999</v>
      </c>
      <c r="B357" s="19">
        <v>926.39836079999998</v>
      </c>
      <c r="C357" s="19">
        <v>545.93328819999999</v>
      </c>
      <c r="E357" s="9">
        <f t="shared" si="109"/>
        <v>-33.601639200000022</v>
      </c>
      <c r="F357" s="9">
        <f t="shared" si="110"/>
        <v>-5.9332881999999927</v>
      </c>
      <c r="I357">
        <v>1</v>
      </c>
      <c r="J357">
        <f t="shared" si="111"/>
        <v>2.1608991975681415E-2</v>
      </c>
      <c r="K357">
        <f t="shared" si="115"/>
        <v>-2.9668169249910563</v>
      </c>
      <c r="O357">
        <f t="shared" si="116"/>
        <v>-2.1278135063004761E-2</v>
      </c>
      <c r="P357">
        <f t="shared" si="117"/>
        <v>-3.7572365721768772E-3</v>
      </c>
      <c r="Q357">
        <f t="shared" si="118"/>
        <v>0.99976653481779498</v>
      </c>
      <c r="R357">
        <f t="shared" si="108"/>
        <v>1</v>
      </c>
      <c r="AG357" s="8">
        <f t="shared" si="112"/>
        <v>-0.69886115055811082</v>
      </c>
      <c r="AH357" s="8">
        <f t="shared" si="113"/>
        <v>-0.49116083736545174</v>
      </c>
      <c r="AI357" s="8">
        <f t="shared" si="114"/>
        <v>0.51995588666641901</v>
      </c>
      <c r="AJ357" s="8"/>
      <c r="AK357" s="8"/>
      <c r="AL357" s="8"/>
      <c r="AN357" s="8">
        <f t="shared" si="119"/>
        <v>1</v>
      </c>
      <c r="AO357" s="8">
        <f t="shared" si="120"/>
        <v>3.7541965109422306</v>
      </c>
      <c r="AP357" s="8">
        <f t="shared" si="121"/>
        <v>1.023997020190049</v>
      </c>
      <c r="AQ357" s="8"/>
      <c r="AR357" s="8">
        <f t="shared" si="122"/>
        <v>215.099615539729</v>
      </c>
      <c r="AS357" s="8">
        <f t="shared" si="123"/>
        <v>31.329292509137645</v>
      </c>
    </row>
    <row r="358" spans="1:45">
      <c r="A358" s="19">
        <v>18.885533330000001</v>
      </c>
      <c r="B358" s="19">
        <v>925.60388260000002</v>
      </c>
      <c r="C358" s="19">
        <v>545.67663140000002</v>
      </c>
      <c r="E358" s="9">
        <f t="shared" si="109"/>
        <v>-34.39611739999998</v>
      </c>
      <c r="F358" s="9">
        <f t="shared" si="110"/>
        <v>-5.6766314000000193</v>
      </c>
      <c r="I358">
        <v>1</v>
      </c>
      <c r="J358">
        <f t="shared" si="111"/>
        <v>2.2081702448601078E-2</v>
      </c>
      <c r="K358">
        <f t="shared" si="115"/>
        <v>-2.9780300333654974</v>
      </c>
      <c r="O358">
        <f t="shared" si="116"/>
        <v>-2.1785216926025832E-2</v>
      </c>
      <c r="P358">
        <f t="shared" si="117"/>
        <v>-3.5953664484843929E-3</v>
      </c>
      <c r="Q358">
        <f t="shared" si="118"/>
        <v>0.99975620911479568</v>
      </c>
      <c r="R358">
        <f t="shared" si="108"/>
        <v>1</v>
      </c>
      <c r="AG358" s="8">
        <f t="shared" si="112"/>
        <v>-0.69913276260700719</v>
      </c>
      <c r="AH358" s="8">
        <f t="shared" si="113"/>
        <v>-0.49070730759650932</v>
      </c>
      <c r="AI358" s="8">
        <f t="shared" si="114"/>
        <v>0.52001895977058266</v>
      </c>
      <c r="AJ358" s="8"/>
      <c r="AK358" s="8"/>
      <c r="AL358" s="8"/>
      <c r="AN358" s="8">
        <f t="shared" si="119"/>
        <v>0.99999999999999989</v>
      </c>
      <c r="AO358" s="8">
        <f t="shared" si="120"/>
        <v>3.7535792528643386</v>
      </c>
      <c r="AP358" s="8">
        <f t="shared" si="121"/>
        <v>1.0239231791338277</v>
      </c>
      <c r="AQ358" s="8"/>
      <c r="AR358" s="8">
        <f t="shared" si="122"/>
        <v>215.06424925699542</v>
      </c>
      <c r="AS358" s="8">
        <f t="shared" si="123"/>
        <v>31.333523290013915</v>
      </c>
    </row>
    <row r="359" spans="1:45">
      <c r="A359" s="19">
        <v>18.918900000000001</v>
      </c>
      <c r="B359" s="19">
        <v>925.14515919999997</v>
      </c>
      <c r="C359" s="19">
        <v>545.8859089</v>
      </c>
      <c r="E359" s="9">
        <f t="shared" si="109"/>
        <v>-34.854840800000034</v>
      </c>
      <c r="F359" s="9">
        <f t="shared" si="110"/>
        <v>-5.885908900000004</v>
      </c>
      <c r="I359">
        <v>1</v>
      </c>
      <c r="J359">
        <f t="shared" si="111"/>
        <v>2.2392819142181591E-2</v>
      </c>
      <c r="K359">
        <f t="shared" si="115"/>
        <v>-2.9743017442630801</v>
      </c>
      <c r="O359">
        <f t="shared" si="116"/>
        <v>-2.2078358478509912E-2</v>
      </c>
      <c r="P359">
        <f t="shared" si="117"/>
        <v>-3.7283546182787924E-3</v>
      </c>
      <c r="Q359">
        <f t="shared" si="118"/>
        <v>0.99974929130194179</v>
      </c>
      <c r="R359">
        <f t="shared" si="108"/>
        <v>1</v>
      </c>
      <c r="AG359" s="8">
        <f t="shared" si="112"/>
        <v>-0.69936273137023108</v>
      </c>
      <c r="AH359" s="8">
        <f t="shared" si="113"/>
        <v>-0.49054311966647735</v>
      </c>
      <c r="AI359" s="8">
        <f t="shared" si="114"/>
        <v>0.5198646147972088</v>
      </c>
      <c r="AJ359" s="8"/>
      <c r="AK359" s="8"/>
      <c r="AL359" s="8"/>
      <c r="AN359" s="8">
        <f t="shared" si="119"/>
        <v>1.0000000000000002</v>
      </c>
      <c r="AO359" s="8">
        <f t="shared" si="120"/>
        <v>3.7532672769401021</v>
      </c>
      <c r="AP359" s="8">
        <f t="shared" si="121"/>
        <v>1.0241038682784396</v>
      </c>
      <c r="AQ359" s="8"/>
      <c r="AR359" s="8">
        <f t="shared" si="122"/>
        <v>215.04637435322698</v>
      </c>
      <c r="AS359" s="8">
        <f t="shared" si="123"/>
        <v>31.323170564623823</v>
      </c>
    </row>
    <row r="360" spans="1:45">
      <c r="A360" s="19">
        <v>18.95226667</v>
      </c>
      <c r="B360" s="19">
        <v>924.70774280000001</v>
      </c>
      <c r="C360" s="19">
        <v>545.7016102</v>
      </c>
      <c r="E360" s="9">
        <f t="shared" si="109"/>
        <v>-35.292257199999995</v>
      </c>
      <c r="F360" s="9">
        <f t="shared" si="110"/>
        <v>-5.7016102000000046</v>
      </c>
      <c r="I360">
        <v>1</v>
      </c>
      <c r="J360">
        <f t="shared" si="111"/>
        <v>2.2649398488170089E-2</v>
      </c>
      <c r="K360">
        <f t="shared" si="115"/>
        <v>-2.9814224144373376</v>
      </c>
      <c r="O360">
        <f t="shared" si="116"/>
        <v>-2.235757784449768E-2</v>
      </c>
      <c r="P360">
        <f t="shared" si="117"/>
        <v>-3.6119592227578561E-3</v>
      </c>
      <c r="Q360">
        <f t="shared" si="118"/>
        <v>0.99974351333904654</v>
      </c>
      <c r="R360">
        <f t="shared" si="108"/>
        <v>1</v>
      </c>
      <c r="AG360" s="8">
        <f t="shared" si="112"/>
        <v>-0.69950337212590263</v>
      </c>
      <c r="AH360" s="8">
        <f t="shared" si="113"/>
        <v>-0.4902814917574167</v>
      </c>
      <c r="AI360" s="8">
        <f t="shared" si="114"/>
        <v>0.51992219728014422</v>
      </c>
      <c r="AJ360" s="8"/>
      <c r="AK360" s="8"/>
      <c r="AL360" s="8"/>
      <c r="AN360" s="8">
        <f t="shared" si="119"/>
        <v>1</v>
      </c>
      <c r="AO360" s="8">
        <f t="shared" si="120"/>
        <v>3.7529219851428302</v>
      </c>
      <c r="AP360" s="8">
        <f t="shared" si="121"/>
        <v>1.0240364597281859</v>
      </c>
      <c r="AQ360" s="8"/>
      <c r="AR360" s="8">
        <f t="shared" si="122"/>
        <v>215.02659059054281</v>
      </c>
      <c r="AS360" s="8">
        <f t="shared" si="123"/>
        <v>31.327032790056457</v>
      </c>
    </row>
    <row r="361" spans="1:45">
      <c r="A361" s="19">
        <v>18.985633329999999</v>
      </c>
      <c r="B361" s="19">
        <v>924.39039100000002</v>
      </c>
      <c r="C361" s="19">
        <v>545.85576690000005</v>
      </c>
      <c r="E361" s="9">
        <f t="shared" si="109"/>
        <v>-35.609608999999978</v>
      </c>
      <c r="F361" s="9">
        <f t="shared" si="110"/>
        <v>-5.8557669000000487</v>
      </c>
      <c r="I361">
        <v>1</v>
      </c>
      <c r="J361">
        <f t="shared" si="111"/>
        <v>2.2865412493170985E-2</v>
      </c>
      <c r="K361">
        <f t="shared" si="115"/>
        <v>-2.9786078842252732</v>
      </c>
      <c r="O361">
        <f t="shared" si="116"/>
        <v>-2.2560419391274754E-2</v>
      </c>
      <c r="P361">
        <f t="shared" si="117"/>
        <v>-3.7099131619655321E-3</v>
      </c>
      <c r="Q361">
        <f t="shared" si="118"/>
        <v>0.99973859784506691</v>
      </c>
      <c r="R361">
        <f t="shared" si="108"/>
        <v>1</v>
      </c>
      <c r="AG361" s="8">
        <f t="shared" si="112"/>
        <v>-0.69966433972692255</v>
      </c>
      <c r="AH361" s="8">
        <f t="shared" si="113"/>
        <v>-0.49017039382304517</v>
      </c>
      <c r="AI361" s="8">
        <f t="shared" si="114"/>
        <v>0.51981034688995031</v>
      </c>
      <c r="AJ361" s="8"/>
      <c r="AK361" s="8"/>
      <c r="AL361" s="8"/>
      <c r="AN361" s="8">
        <f t="shared" si="119"/>
        <v>1.0000000000000002</v>
      </c>
      <c r="AO361" s="8">
        <f t="shared" si="120"/>
        <v>3.7527073429146398</v>
      </c>
      <c r="AP361" s="8">
        <f t="shared" si="121"/>
        <v>1.0241673941117597</v>
      </c>
      <c r="AQ361" s="8"/>
      <c r="AR361" s="8">
        <f t="shared" si="122"/>
        <v>215.01429249676221</v>
      </c>
      <c r="AS361" s="8">
        <f t="shared" si="123"/>
        <v>31.319530802484529</v>
      </c>
    </row>
    <row r="362" spans="1:45">
      <c r="A362" s="19">
        <v>19.018999999999998</v>
      </c>
      <c r="B362" s="19">
        <v>923.54798989999995</v>
      </c>
      <c r="C362" s="19">
        <v>545.89035090000004</v>
      </c>
      <c r="E362" s="9">
        <f t="shared" si="109"/>
        <v>-36.452010100000052</v>
      </c>
      <c r="F362" s="9">
        <f t="shared" si="110"/>
        <v>-5.890350900000044</v>
      </c>
      <c r="I362">
        <v>1</v>
      </c>
      <c r="J362">
        <f t="shared" si="111"/>
        <v>2.3400368581814029E-2</v>
      </c>
      <c r="K362">
        <f t="shared" si="115"/>
        <v>-2.9813855779066891</v>
      </c>
      <c r="O362">
        <f t="shared" si="116"/>
        <v>-2.3098601630408812E-2</v>
      </c>
      <c r="P362">
        <f t="shared" si="117"/>
        <v>-3.7325477670275523E-3</v>
      </c>
      <c r="Q362">
        <f t="shared" si="118"/>
        <v>0.99972622386825816</v>
      </c>
      <c r="R362">
        <f t="shared" si="108"/>
        <v>1</v>
      </c>
      <c r="AG362" s="8">
        <f t="shared" si="112"/>
        <v>-0.70001480437183594</v>
      </c>
      <c r="AH362" s="8">
        <f t="shared" si="113"/>
        <v>-0.48977284182749348</v>
      </c>
      <c r="AI362" s="8">
        <f t="shared" si="114"/>
        <v>0.51971322579715185</v>
      </c>
      <c r="AJ362" s="8"/>
      <c r="AK362" s="8"/>
      <c r="AL362" s="8"/>
      <c r="AN362" s="8">
        <f t="shared" si="119"/>
        <v>1</v>
      </c>
      <c r="AO362" s="8">
        <f t="shared" si="120"/>
        <v>3.7520908576020346</v>
      </c>
      <c r="AP362" s="8">
        <f t="shared" si="121"/>
        <v>1.024281077613723</v>
      </c>
      <c r="AQ362" s="8"/>
      <c r="AR362" s="8">
        <f t="shared" si="122"/>
        <v>214.97897049021813</v>
      </c>
      <c r="AS362" s="8">
        <f t="shared" si="123"/>
        <v>31.313017217621763</v>
      </c>
    </row>
    <row r="363" spans="1:45">
      <c r="A363" s="19">
        <v>19.052366670000001</v>
      </c>
      <c r="B363" s="19">
        <v>923</v>
      </c>
      <c r="C363" s="19">
        <v>545.5</v>
      </c>
      <c r="E363" s="9">
        <f t="shared" si="109"/>
        <v>-37</v>
      </c>
      <c r="F363" s="9">
        <f t="shared" si="110"/>
        <v>-5.5</v>
      </c>
      <c r="I363">
        <v>1</v>
      </c>
      <c r="J363">
        <f t="shared" si="111"/>
        <v>2.3708280628837151E-2</v>
      </c>
      <c r="K363">
        <f t="shared" si="115"/>
        <v>-2.9940245822757983</v>
      </c>
      <c r="O363">
        <f t="shared" si="116"/>
        <v>-2.3448412193796859E-2</v>
      </c>
      <c r="P363">
        <f t="shared" si="117"/>
        <v>-3.4855747855644026E-3</v>
      </c>
      <c r="Q363">
        <f t="shared" si="118"/>
        <v>0.99971897187859948</v>
      </c>
      <c r="R363">
        <f t="shared" si="108"/>
        <v>1</v>
      </c>
      <c r="AG363" s="8">
        <f t="shared" si="112"/>
        <v>-0.70015813326015131</v>
      </c>
      <c r="AH363" s="8">
        <f t="shared" si="113"/>
        <v>-0.48940109876261667</v>
      </c>
      <c r="AI363" s="8">
        <f t="shared" si="114"/>
        <v>0.51987032321493765</v>
      </c>
      <c r="AJ363" s="8"/>
      <c r="AK363" s="8"/>
      <c r="AL363" s="8"/>
      <c r="AN363" s="8">
        <f t="shared" si="119"/>
        <v>1</v>
      </c>
      <c r="AO363" s="8">
        <f t="shared" si="120"/>
        <v>3.7516381078260537</v>
      </c>
      <c r="AP363" s="8">
        <f t="shared" si="121"/>
        <v>1.0240971858807169</v>
      </c>
      <c r="AQ363" s="8"/>
      <c r="AR363" s="8">
        <f t="shared" si="122"/>
        <v>214.95302983887893</v>
      </c>
      <c r="AS363" s="8">
        <f t="shared" si="123"/>
        <v>31.323553437810361</v>
      </c>
    </row>
    <row r="364" spans="1:45">
      <c r="A364" s="19">
        <v>19.08573333</v>
      </c>
      <c r="B364" s="19">
        <v>922.28391499999998</v>
      </c>
      <c r="C364" s="19">
        <v>545.10883690000003</v>
      </c>
      <c r="E364" s="9">
        <f t="shared" si="109"/>
        <v>-37.716085000000021</v>
      </c>
      <c r="F364" s="9">
        <f t="shared" si="110"/>
        <v>-5.1088369000000284</v>
      </c>
      <c r="I364">
        <v>1</v>
      </c>
      <c r="J364">
        <f t="shared" si="111"/>
        <v>2.4126369875651837E-2</v>
      </c>
      <c r="K364">
        <f t="shared" si="115"/>
        <v>-3.0069569766427371</v>
      </c>
      <c r="O364">
        <f t="shared" si="116"/>
        <v>-2.3905714123850716E-2</v>
      </c>
      <c r="P364">
        <f t="shared" si="117"/>
        <v>-3.2381514262888262E-3</v>
      </c>
      <c r="Q364">
        <f t="shared" si="118"/>
        <v>0.99970897325550157</v>
      </c>
      <c r="R364">
        <f t="shared" si="108"/>
        <v>1</v>
      </c>
      <c r="AG364" s="8">
        <f t="shared" si="112"/>
        <v>-0.70036965750664559</v>
      </c>
      <c r="AH364" s="8">
        <f t="shared" si="113"/>
        <v>-0.48894765266576434</v>
      </c>
      <c r="AI364" s="8">
        <f t="shared" si="114"/>
        <v>0.52001205351093849</v>
      </c>
      <c r="AJ364" s="8"/>
      <c r="AK364" s="8"/>
      <c r="AL364" s="8"/>
      <c r="AN364" s="8">
        <f t="shared" si="119"/>
        <v>1</v>
      </c>
      <c r="AO364" s="8">
        <f t="shared" si="120"/>
        <v>3.7510611219283962</v>
      </c>
      <c r="AP364" s="8">
        <f t="shared" si="121"/>
        <v>1.0239312646041814</v>
      </c>
      <c r="AQ364" s="8"/>
      <c r="AR364" s="8">
        <f t="shared" si="122"/>
        <v>214.91997098210459</v>
      </c>
      <c r="AS364" s="8">
        <f t="shared" si="123"/>
        <v>31.333060026687271</v>
      </c>
    </row>
    <row r="365" spans="1:45">
      <c r="A365" s="19">
        <v>19.1191</v>
      </c>
      <c r="B365" s="19">
        <v>921.86433550000004</v>
      </c>
      <c r="C365" s="19">
        <v>545.03475700000001</v>
      </c>
      <c r="E365" s="9">
        <f t="shared" si="109"/>
        <v>-38.135664499999962</v>
      </c>
      <c r="F365" s="9">
        <f t="shared" si="110"/>
        <v>-5.0347570000000132</v>
      </c>
      <c r="I365">
        <v>1</v>
      </c>
      <c r="J365">
        <f t="shared" si="111"/>
        <v>2.4385994243063015E-2</v>
      </c>
      <c r="K365">
        <f t="shared" si="115"/>
        <v>-3.0103295044079488</v>
      </c>
      <c r="O365">
        <f t="shared" si="116"/>
        <v>-2.4173814102439621E-2</v>
      </c>
      <c r="P365">
        <f t="shared" si="117"/>
        <v>-3.1914818153740885E-3</v>
      </c>
      <c r="Q365">
        <f t="shared" si="118"/>
        <v>0.99970267637711308</v>
      </c>
      <c r="R365">
        <f t="shared" si="108"/>
        <v>1</v>
      </c>
      <c r="AG365" s="8">
        <f t="shared" si="112"/>
        <v>-0.70052533004506889</v>
      </c>
      <c r="AH365" s="8">
        <f t="shared" si="113"/>
        <v>-0.48872435619529048</v>
      </c>
      <c r="AI365" s="8">
        <f t="shared" si="114"/>
        <v>0.52001227449623355</v>
      </c>
      <c r="AJ365" s="8"/>
      <c r="AK365" s="8"/>
      <c r="AL365" s="8"/>
      <c r="AN365" s="8">
        <f t="shared" si="119"/>
        <v>1</v>
      </c>
      <c r="AO365" s="8">
        <f t="shared" si="120"/>
        <v>3.750742440691726</v>
      </c>
      <c r="AP365" s="8">
        <f t="shared" si="121"/>
        <v>1.0239310058873237</v>
      </c>
      <c r="AQ365" s="8"/>
      <c r="AR365" s="8">
        <f t="shared" si="122"/>
        <v>214.90171189223338</v>
      </c>
      <c r="AS365" s="8">
        <f t="shared" si="123"/>
        <v>31.333074850071306</v>
      </c>
    </row>
    <row r="366" spans="1:45">
      <c r="A366" s="19">
        <v>19.152466669999999</v>
      </c>
      <c r="B366" s="19">
        <v>921.58333330000005</v>
      </c>
      <c r="C366" s="19">
        <v>544.75</v>
      </c>
      <c r="E366" s="9">
        <f t="shared" si="109"/>
        <v>-38.416666699999951</v>
      </c>
      <c r="F366" s="9">
        <f t="shared" si="110"/>
        <v>-4.75</v>
      </c>
      <c r="I366">
        <v>1</v>
      </c>
      <c r="J366">
        <f t="shared" si="111"/>
        <v>2.4541136287218792E-2</v>
      </c>
      <c r="K366">
        <f t="shared" si="115"/>
        <v>-3.0185727718400543</v>
      </c>
      <c r="O366">
        <f t="shared" si="116"/>
        <v>-2.4353224226191319E-2</v>
      </c>
      <c r="P366">
        <f t="shared" si="117"/>
        <v>-3.0111361815367741E-3</v>
      </c>
      <c r="Q366">
        <f t="shared" si="118"/>
        <v>0.99969888142814534</v>
      </c>
      <c r="R366">
        <f t="shared" si="108"/>
        <v>1</v>
      </c>
      <c r="AG366" s="8">
        <f t="shared" si="112"/>
        <v>-0.70058135098950547</v>
      </c>
      <c r="AH366" s="8">
        <f t="shared" si="113"/>
        <v>-0.48851032807304856</v>
      </c>
      <c r="AI366" s="8">
        <f t="shared" si="114"/>
        <v>0.52013789518903719</v>
      </c>
      <c r="AJ366" s="8"/>
      <c r="AK366" s="8"/>
      <c r="AL366" s="8"/>
      <c r="AN366" s="8">
        <f t="shared" si="119"/>
        <v>1</v>
      </c>
      <c r="AO366" s="8">
        <f t="shared" si="120"/>
        <v>3.7504993898348533</v>
      </c>
      <c r="AP366" s="8">
        <f t="shared" si="121"/>
        <v>1.0237839298174234</v>
      </c>
      <c r="AQ366" s="8"/>
      <c r="AR366" s="8">
        <f t="shared" si="122"/>
        <v>214.88778610392754</v>
      </c>
      <c r="AS366" s="8">
        <f t="shared" si="123"/>
        <v>31.341501688143964</v>
      </c>
    </row>
    <row r="367" spans="1:45">
      <c r="A367" s="19">
        <v>19.185833330000001</v>
      </c>
      <c r="B367" s="19">
        <v>920.66666669999995</v>
      </c>
      <c r="C367" s="19">
        <v>544.75</v>
      </c>
      <c r="E367" s="9">
        <f t="shared" si="109"/>
        <v>-39.333333300000049</v>
      </c>
      <c r="F367" s="9">
        <f t="shared" si="110"/>
        <v>-4.75</v>
      </c>
      <c r="I367">
        <v>1</v>
      </c>
      <c r="J367">
        <f t="shared" si="111"/>
        <v>2.512301104173785E-2</v>
      </c>
      <c r="K367">
        <f t="shared" si="115"/>
        <v>-3.0214119107214144</v>
      </c>
      <c r="O367">
        <f t="shared" si="116"/>
        <v>-2.4939174671952495E-2</v>
      </c>
      <c r="P367">
        <f t="shared" si="117"/>
        <v>-3.0117223675974218E-3</v>
      </c>
      <c r="Q367">
        <f t="shared" si="118"/>
        <v>0.99968443375650418</v>
      </c>
      <c r="R367">
        <f t="shared" si="108"/>
        <v>1</v>
      </c>
      <c r="AG367" s="8">
        <f t="shared" si="112"/>
        <v>-0.70095444014680941</v>
      </c>
      <c r="AH367" s="8">
        <f t="shared" si="113"/>
        <v>-0.48806654049845111</v>
      </c>
      <c r="AI367" s="8">
        <f t="shared" si="114"/>
        <v>0.52005184826548478</v>
      </c>
      <c r="AJ367" s="8"/>
      <c r="AK367" s="8"/>
      <c r="AL367" s="8"/>
      <c r="AN367" s="8">
        <f t="shared" si="119"/>
        <v>1</v>
      </c>
      <c r="AO367" s="8">
        <f t="shared" si="120"/>
        <v>3.7498233564563721</v>
      </c>
      <c r="AP367" s="8">
        <f t="shared" si="121"/>
        <v>1.023884674540074</v>
      </c>
      <c r="AQ367" s="8"/>
      <c r="AR367" s="8">
        <f t="shared" si="122"/>
        <v>214.84905224453061</v>
      </c>
      <c r="AS367" s="8">
        <f t="shared" si="123"/>
        <v>31.335729440727867</v>
      </c>
    </row>
    <row r="368" spans="1:45">
      <c r="A368" s="19">
        <v>19.219200000000001</v>
      </c>
      <c r="B368" s="19">
        <v>920.57868680000001</v>
      </c>
      <c r="C368" s="19">
        <v>544.76381739999999</v>
      </c>
      <c r="E368" s="9">
        <f t="shared" si="109"/>
        <v>-39.421313199999986</v>
      </c>
      <c r="F368" s="9">
        <f t="shared" si="110"/>
        <v>-4.7638173999999935</v>
      </c>
      <c r="I368">
        <v>1</v>
      </c>
      <c r="J368">
        <f t="shared" si="111"/>
        <v>2.517993289534725E-2</v>
      </c>
      <c r="K368">
        <f t="shared" si="115"/>
        <v>-3.0213320862289628</v>
      </c>
      <c r="O368">
        <f t="shared" si="116"/>
        <v>-2.4995427040321129E-2</v>
      </c>
      <c r="P368">
        <f t="shared" si="117"/>
        <v>-3.0205399209053295E-3</v>
      </c>
      <c r="Q368">
        <f t="shared" si="118"/>
        <v>0.99968300223903883</v>
      </c>
      <c r="R368">
        <f t="shared" si="108"/>
        <v>1</v>
      </c>
      <c r="AG368" s="8">
        <f t="shared" si="112"/>
        <v>-0.70099307309728531</v>
      </c>
      <c r="AH368" s="8">
        <f t="shared" si="113"/>
        <v>-0.48802772157522939</v>
      </c>
      <c r="AI368" s="8">
        <f t="shared" si="114"/>
        <v>0.52003620493549718</v>
      </c>
      <c r="AJ368" s="8"/>
      <c r="AK368" s="8"/>
      <c r="AL368" s="8"/>
      <c r="AN368" s="8">
        <f t="shared" si="119"/>
        <v>1</v>
      </c>
      <c r="AO368" s="8">
        <f t="shared" si="120"/>
        <v>3.7497602141340294</v>
      </c>
      <c r="AP368" s="8">
        <f t="shared" si="121"/>
        <v>1.0239029892659388</v>
      </c>
      <c r="AQ368" s="8"/>
      <c r="AR368" s="8">
        <f t="shared" si="122"/>
        <v>214.8454344559517</v>
      </c>
      <c r="AS368" s="8">
        <f t="shared" si="123"/>
        <v>31.334680084232872</v>
      </c>
    </row>
    <row r="369" spans="1:45">
      <c r="A369" s="19">
        <v>19.25256667</v>
      </c>
      <c r="B369" s="19">
        <v>919.77364239999997</v>
      </c>
      <c r="C369" s="19">
        <v>544.76347369999996</v>
      </c>
      <c r="E369" s="9">
        <f t="shared" si="109"/>
        <v>-40.226357600000028</v>
      </c>
      <c r="F369" s="9">
        <f t="shared" si="110"/>
        <v>-4.7634736999999632</v>
      </c>
      <c r="I369">
        <v>1</v>
      </c>
      <c r="J369">
        <f t="shared" si="111"/>
        <v>2.569117747574862E-2</v>
      </c>
      <c r="K369">
        <f t="shared" si="115"/>
        <v>-3.0237248139031006</v>
      </c>
      <c r="O369">
        <f t="shared" si="116"/>
        <v>-2.5510115956739039E-2</v>
      </c>
      <c r="P369">
        <f t="shared" si="117"/>
        <v>-3.0208244965205539E-3</v>
      </c>
      <c r="Q369">
        <f t="shared" si="118"/>
        <v>0.99966999985156846</v>
      </c>
      <c r="R369">
        <f t="shared" si="108"/>
        <v>1</v>
      </c>
      <c r="AG369" s="8">
        <f t="shared" si="112"/>
        <v>-0.7013205002156363</v>
      </c>
      <c r="AH369" s="8">
        <f t="shared" si="113"/>
        <v>-0.4876376483865052</v>
      </c>
      <c r="AI369" s="8">
        <f t="shared" si="114"/>
        <v>0.51996065221646226</v>
      </c>
      <c r="AJ369" s="8"/>
      <c r="AK369" s="8"/>
      <c r="AL369" s="8"/>
      <c r="AN369" s="8">
        <f t="shared" si="119"/>
        <v>1</v>
      </c>
      <c r="AO369" s="8">
        <f t="shared" si="120"/>
        <v>3.7491664214114975</v>
      </c>
      <c r="AP369" s="8">
        <f t="shared" si="121"/>
        <v>1.0239914411727784</v>
      </c>
      <c r="AQ369" s="8"/>
      <c r="AR369" s="8">
        <f t="shared" si="122"/>
        <v>214.81141263904505</v>
      </c>
      <c r="AS369" s="8">
        <f t="shared" si="123"/>
        <v>31.329612163281084</v>
      </c>
    </row>
    <row r="370" spans="1:45">
      <c r="A370" s="19">
        <v>19.285933329999999</v>
      </c>
      <c r="B370" s="19">
        <v>919.47032200000001</v>
      </c>
      <c r="C370" s="19">
        <v>544.78418790000001</v>
      </c>
      <c r="E370" s="9">
        <f t="shared" si="109"/>
        <v>-40.52967799999999</v>
      </c>
      <c r="F370" s="9">
        <f t="shared" si="110"/>
        <v>-4.7841879000000063</v>
      </c>
      <c r="I370">
        <v>1</v>
      </c>
      <c r="J370">
        <f t="shared" si="111"/>
        <v>2.5885418855388604E-2</v>
      </c>
      <c r="K370">
        <f t="shared" si="115"/>
        <v>-3.0240947752824434</v>
      </c>
      <c r="O370">
        <f t="shared" si="116"/>
        <v>-2.5704069756529502E-2</v>
      </c>
      <c r="P370">
        <f t="shared" si="117"/>
        <v>-3.0341494326686946E-3</v>
      </c>
      <c r="Q370">
        <f t="shared" si="118"/>
        <v>0.99966499125215524</v>
      </c>
      <c r="R370">
        <f t="shared" si="108"/>
        <v>1</v>
      </c>
      <c r="AG370" s="8">
        <f t="shared" si="112"/>
        <v>-0.70144810622282994</v>
      </c>
      <c r="AH370" s="8">
        <f t="shared" si="113"/>
        <v>-0.48749634438277151</v>
      </c>
      <c r="AI370" s="8">
        <f t="shared" si="114"/>
        <v>0.51992102139636542</v>
      </c>
      <c r="AJ370" s="8"/>
      <c r="AK370" s="8"/>
      <c r="AL370" s="8"/>
      <c r="AN370" s="8">
        <f t="shared" si="119"/>
        <v>1</v>
      </c>
      <c r="AO370" s="8">
        <f t="shared" si="120"/>
        <v>3.748945325898692</v>
      </c>
      <c r="AP370" s="8">
        <f t="shared" si="121"/>
        <v>1.0240378362963631</v>
      </c>
      <c r="AQ370" s="8"/>
      <c r="AR370" s="8">
        <f t="shared" si="122"/>
        <v>214.79874479929202</v>
      </c>
      <c r="AS370" s="8">
        <f t="shared" si="123"/>
        <v>31.326953918509687</v>
      </c>
    </row>
    <row r="371" spans="1:45">
      <c r="A371" s="19">
        <v>19.319299999999998</v>
      </c>
      <c r="B371" s="19">
        <v>919.16890520000004</v>
      </c>
      <c r="C371" s="19">
        <v>544.77653750000002</v>
      </c>
      <c r="E371" s="9">
        <f t="shared" si="109"/>
        <v>-40.83109479999996</v>
      </c>
      <c r="F371" s="9">
        <f t="shared" si="110"/>
        <v>-4.7765375000000176</v>
      </c>
      <c r="I371">
        <v>1</v>
      </c>
      <c r="J371">
        <f t="shared" si="111"/>
        <v>2.6076350817407161E-2</v>
      </c>
      <c r="K371">
        <f t="shared" si="115"/>
        <v>-3.0251391087287116</v>
      </c>
      <c r="O371">
        <f t="shared" si="116"/>
        <v>-2.589679917189933E-2</v>
      </c>
      <c r="P371">
        <f t="shared" si="117"/>
        <v>-3.029481158427006E-3</v>
      </c>
      <c r="Q371">
        <f t="shared" si="118"/>
        <v>0.99966003122889791</v>
      </c>
      <c r="R371">
        <f t="shared" si="108"/>
        <v>1</v>
      </c>
      <c r="AG371" s="8">
        <f t="shared" si="112"/>
        <v>-0.7015691004794139</v>
      </c>
      <c r="AH371" s="8">
        <f t="shared" si="113"/>
        <v>-0.48734815688807065</v>
      </c>
      <c r="AI371" s="8">
        <f t="shared" si="114"/>
        <v>0.51989669284417139</v>
      </c>
      <c r="AJ371" s="8"/>
      <c r="AK371" s="8"/>
      <c r="AL371" s="8"/>
      <c r="AN371" s="8">
        <f t="shared" si="119"/>
        <v>1.0000000000000002</v>
      </c>
      <c r="AO371" s="8">
        <f t="shared" si="120"/>
        <v>3.7487220406277642</v>
      </c>
      <c r="AP371" s="8">
        <f t="shared" si="121"/>
        <v>1.0240663166675243</v>
      </c>
      <c r="AQ371" s="8"/>
      <c r="AR371" s="8">
        <f t="shared" si="122"/>
        <v>214.7859514956404</v>
      </c>
      <c r="AS371" s="8">
        <f t="shared" si="123"/>
        <v>31.325322113443185</v>
      </c>
    </row>
    <row r="372" spans="1:45">
      <c r="A372" s="19">
        <v>19.352666670000001</v>
      </c>
      <c r="B372" s="19">
        <v>918.55253879999998</v>
      </c>
      <c r="C372" s="19">
        <v>544.71227309999995</v>
      </c>
      <c r="E372" s="9">
        <f t="shared" si="109"/>
        <v>-41.447461200000021</v>
      </c>
      <c r="F372" s="9">
        <f t="shared" si="110"/>
        <v>-4.7122730999999476</v>
      </c>
      <c r="I372">
        <v>1</v>
      </c>
      <c r="J372">
        <f t="shared" si="111"/>
        <v>2.6463375305864869E-2</v>
      </c>
      <c r="K372">
        <f t="shared" si="115"/>
        <v>-3.0283860702026426</v>
      </c>
      <c r="O372">
        <f t="shared" si="116"/>
        <v>-2.6290913702771007E-2</v>
      </c>
      <c r="P372">
        <f t="shared" si="117"/>
        <v>-2.9890845380895884E-3</v>
      </c>
      <c r="Q372">
        <f t="shared" si="118"/>
        <v>0.99964986531800104</v>
      </c>
      <c r="R372">
        <f t="shared" si="108"/>
        <v>1</v>
      </c>
      <c r="AG372" s="8">
        <f t="shared" si="112"/>
        <v>-0.70180648536968859</v>
      </c>
      <c r="AH372" s="8">
        <f t="shared" si="113"/>
        <v>-0.48703170599711942</v>
      </c>
      <c r="AI372" s="8">
        <f t="shared" si="114"/>
        <v>0.51987284449813354</v>
      </c>
      <c r="AJ372" s="8"/>
      <c r="AK372" s="8"/>
      <c r="AL372" s="8"/>
      <c r="AN372" s="8">
        <f t="shared" si="119"/>
        <v>1</v>
      </c>
      <c r="AO372" s="8">
        <f t="shared" si="120"/>
        <v>3.7482592585363479</v>
      </c>
      <c r="AP372" s="8">
        <f t="shared" si="121"/>
        <v>1.0240942344032189</v>
      </c>
      <c r="AQ372" s="8"/>
      <c r="AR372" s="8">
        <f t="shared" si="122"/>
        <v>214.75943603496802</v>
      </c>
      <c r="AS372" s="8">
        <f t="shared" si="123"/>
        <v>31.323722545014327</v>
      </c>
    </row>
    <row r="373" spans="1:45">
      <c r="A373" s="19">
        <v>19.38603333</v>
      </c>
      <c r="B373" s="19">
        <v>917.83502290000001</v>
      </c>
      <c r="C373" s="19">
        <v>544.58070069999997</v>
      </c>
      <c r="E373" s="9">
        <f t="shared" si="109"/>
        <v>-42.164977099999987</v>
      </c>
      <c r="F373" s="9">
        <f t="shared" si="110"/>
        <v>-4.5807006999999658</v>
      </c>
      <c r="I373">
        <v>1</v>
      </c>
      <c r="J373">
        <f t="shared" si="111"/>
        <v>2.6910363237226318E-2</v>
      </c>
      <c r="K373">
        <f t="shared" si="115"/>
        <v>-3.0333794659055235</v>
      </c>
      <c r="O373">
        <f t="shared" si="116"/>
        <v>-2.6749726670202967E-2</v>
      </c>
      <c r="P373">
        <f t="shared" si="117"/>
        <v>-2.9060253345425556E-3</v>
      </c>
      <c r="Q373">
        <f t="shared" si="118"/>
        <v>0.99963793802547551</v>
      </c>
      <c r="R373">
        <f t="shared" si="108"/>
        <v>1</v>
      </c>
      <c r="AG373" s="8">
        <f t="shared" si="112"/>
        <v>-0.70207107170001082</v>
      </c>
      <c r="AH373" s="8">
        <f t="shared" si="113"/>
        <v>-0.48664759860745221</v>
      </c>
      <c r="AI373" s="8">
        <f t="shared" si="114"/>
        <v>0.519875297597028</v>
      </c>
      <c r="AJ373" s="8"/>
      <c r="AK373" s="8"/>
      <c r="AL373" s="8"/>
      <c r="AN373" s="8">
        <f t="shared" si="119"/>
        <v>1</v>
      </c>
      <c r="AO373" s="8">
        <f t="shared" si="120"/>
        <v>3.7477132614004898</v>
      </c>
      <c r="AP373" s="8">
        <f t="shared" si="121"/>
        <v>1.0240913627388899</v>
      </c>
      <c r="AQ373" s="8"/>
      <c r="AR373" s="8">
        <f t="shared" si="122"/>
        <v>214.72815270345711</v>
      </c>
      <c r="AS373" s="8">
        <f t="shared" si="123"/>
        <v>31.323887079260551</v>
      </c>
    </row>
    <row r="374" spans="1:45">
      <c r="A374" s="19">
        <v>19.4194</v>
      </c>
      <c r="B374" s="19">
        <v>917.61266520000004</v>
      </c>
      <c r="C374" s="19">
        <v>544.23392839999997</v>
      </c>
      <c r="E374" s="9">
        <f t="shared" si="109"/>
        <v>-42.387334799999962</v>
      </c>
      <c r="F374" s="9">
        <f t="shared" si="110"/>
        <v>-4.233928399999968</v>
      </c>
      <c r="I374">
        <v>1</v>
      </c>
      <c r="J374">
        <f t="shared" si="111"/>
        <v>2.7028872410473841E-2</v>
      </c>
      <c r="K374">
        <f t="shared" si="115"/>
        <v>-3.0420362411899524</v>
      </c>
      <c r="O374">
        <f t="shared" si="116"/>
        <v>-2.6891760335598938E-2</v>
      </c>
      <c r="P374">
        <f t="shared" si="117"/>
        <v>-2.6861275507910763E-3</v>
      </c>
      <c r="Q374">
        <f t="shared" si="118"/>
        <v>0.99963474226581062</v>
      </c>
      <c r="R374">
        <f t="shared" si="108"/>
        <v>1</v>
      </c>
      <c r="AG374" s="8">
        <f t="shared" si="112"/>
        <v>-0.70209023720031927</v>
      </c>
      <c r="AH374" s="8">
        <f t="shared" si="113"/>
        <v>-0.4864445408644803</v>
      </c>
      <c r="AI374" s="8">
        <f t="shared" si="114"/>
        <v>0.520039428785111</v>
      </c>
      <c r="AJ374" s="8"/>
      <c r="AK374" s="8"/>
      <c r="AL374" s="8"/>
      <c r="AN374" s="8">
        <f t="shared" si="119"/>
        <v>1</v>
      </c>
      <c r="AO374" s="8">
        <f t="shared" si="120"/>
        <v>3.7475050944799215</v>
      </c>
      <c r="AP374" s="8">
        <f t="shared" si="121"/>
        <v>1.0238992148994455</v>
      </c>
      <c r="AQ374" s="8"/>
      <c r="AR374" s="8">
        <f t="shared" si="122"/>
        <v>214.71622561747432</v>
      </c>
      <c r="AS374" s="8">
        <f t="shared" si="123"/>
        <v>31.334896339503281</v>
      </c>
    </row>
    <row r="375" spans="1:45">
      <c r="A375" s="19">
        <v>19.452766669999999</v>
      </c>
      <c r="B375" s="19">
        <v>916.85802920000003</v>
      </c>
      <c r="C375" s="19">
        <v>543.92008429999998</v>
      </c>
      <c r="E375" s="9">
        <f t="shared" si="109"/>
        <v>-43.141970799999967</v>
      </c>
      <c r="F375" s="9">
        <f t="shared" si="110"/>
        <v>-3.920084299999985</v>
      </c>
      <c r="I375">
        <v>1</v>
      </c>
      <c r="J375">
        <f t="shared" si="111"/>
        <v>2.7490552894384904E-2</v>
      </c>
      <c r="K375">
        <f t="shared" si="115"/>
        <v>-3.0509767461216302</v>
      </c>
      <c r="O375">
        <f t="shared" si="116"/>
        <v>-2.7374316064980503E-2</v>
      </c>
      <c r="P375">
        <f t="shared" si="117"/>
        <v>-2.4873603277661954E-3</v>
      </c>
      <c r="Q375">
        <f t="shared" si="118"/>
        <v>0.99962215854720549</v>
      </c>
      <c r="R375">
        <f t="shared" si="108"/>
        <v>1</v>
      </c>
      <c r="AG375" s="8">
        <f t="shared" si="112"/>
        <v>-0.70233229689672982</v>
      </c>
      <c r="AH375" s="8">
        <f t="shared" si="113"/>
        <v>-0.48599211313678919</v>
      </c>
      <c r="AI375" s="8">
        <f t="shared" si="114"/>
        <v>0.52013556954375084</v>
      </c>
      <c r="AJ375" s="8"/>
      <c r="AK375" s="8"/>
      <c r="AL375" s="8"/>
      <c r="AN375" s="8">
        <f t="shared" si="119"/>
        <v>1</v>
      </c>
      <c r="AO375" s="8">
        <f t="shared" si="120"/>
        <v>3.7469082632676485</v>
      </c>
      <c r="AP375" s="8">
        <f t="shared" si="121"/>
        <v>1.0237866527908026</v>
      </c>
      <c r="AQ375" s="8"/>
      <c r="AR375" s="8">
        <f t="shared" si="122"/>
        <v>214.68202970792939</v>
      </c>
      <c r="AS375" s="8">
        <f t="shared" si="123"/>
        <v>31.341345673261607</v>
      </c>
    </row>
    <row r="376" spans="1:45">
      <c r="A376" s="19">
        <v>19.486133330000001</v>
      </c>
      <c r="B376" s="19">
        <v>916.47972349999998</v>
      </c>
      <c r="C376" s="19">
        <v>543.74642640000002</v>
      </c>
      <c r="E376" s="9">
        <f t="shared" si="109"/>
        <v>-43.520276500000023</v>
      </c>
      <c r="F376" s="9">
        <f t="shared" si="110"/>
        <v>-3.7464264000000185</v>
      </c>
      <c r="I376">
        <v>1</v>
      </c>
      <c r="J376">
        <f t="shared" si="111"/>
        <v>2.7721934320148762E-2</v>
      </c>
      <c r="K376">
        <f t="shared" si="115"/>
        <v>-3.0557197396840623</v>
      </c>
      <c r="O376">
        <f t="shared" si="116"/>
        <v>-2.7616246639088956E-2</v>
      </c>
      <c r="P376">
        <f t="shared" si="117"/>
        <v>-2.3773340566343808E-3</v>
      </c>
      <c r="Q376">
        <f t="shared" si="118"/>
        <v>0.99961577178651606</v>
      </c>
      <c r="R376">
        <f t="shared" si="108"/>
        <v>1</v>
      </c>
      <c r="AG376" s="8">
        <f t="shared" si="112"/>
        <v>-0.70245023094505066</v>
      </c>
      <c r="AH376" s="8">
        <f t="shared" si="113"/>
        <v>-0.48576073903246636</v>
      </c>
      <c r="AI376" s="8">
        <f t="shared" si="114"/>
        <v>0.52019244271699783</v>
      </c>
      <c r="AJ376" s="8"/>
      <c r="AK376" s="8"/>
      <c r="AL376" s="8"/>
      <c r="AN376" s="8">
        <f t="shared" si="119"/>
        <v>0.99999999999999989</v>
      </c>
      <c r="AO376" s="8">
        <f t="shared" si="120"/>
        <v>3.7466069091884049</v>
      </c>
      <c r="AP376" s="8">
        <f t="shared" si="121"/>
        <v>1.0237200617463409</v>
      </c>
      <c r="AQ376" s="8"/>
      <c r="AR376" s="8">
        <f t="shared" si="122"/>
        <v>214.66476339104969</v>
      </c>
      <c r="AS376" s="8">
        <f t="shared" si="123"/>
        <v>31.345161059062633</v>
      </c>
    </row>
    <row r="377" spans="1:45">
      <c r="A377" s="19">
        <v>19.519500000000001</v>
      </c>
      <c r="B377" s="19">
        <v>916.05929409999999</v>
      </c>
      <c r="C377" s="19">
        <v>543.7985109</v>
      </c>
      <c r="E377" s="9">
        <f t="shared" si="109"/>
        <v>-43.940705900000012</v>
      </c>
      <c r="F377" s="9">
        <f t="shared" si="110"/>
        <v>-3.7985108999999966</v>
      </c>
      <c r="I377">
        <v>1</v>
      </c>
      <c r="J377">
        <f t="shared" si="111"/>
        <v>2.7992898971788374E-2</v>
      </c>
      <c r="K377">
        <f t="shared" si="115"/>
        <v>-3.0553607421514948</v>
      </c>
      <c r="O377">
        <f t="shared" si="116"/>
        <v>-2.788524449692548E-2</v>
      </c>
      <c r="P377">
        <f t="shared" si="117"/>
        <v>-2.4105758658450778E-3</v>
      </c>
      <c r="Q377">
        <f t="shared" si="118"/>
        <v>0.99960822438760566</v>
      </c>
      <c r="R377">
        <f t="shared" si="108"/>
        <v>1</v>
      </c>
      <c r="AG377" s="8">
        <f t="shared" si="112"/>
        <v>-0.70263159417439891</v>
      </c>
      <c r="AH377" s="8">
        <f t="shared" si="113"/>
        <v>-0.48557087421041317</v>
      </c>
      <c r="AI377" s="8">
        <f t="shared" si="114"/>
        <v>0.52012476290451515</v>
      </c>
      <c r="AJ377" s="8"/>
      <c r="AK377" s="8"/>
      <c r="AL377" s="8"/>
      <c r="AN377" s="8">
        <f t="shared" si="119"/>
        <v>1</v>
      </c>
      <c r="AO377" s="8">
        <f t="shared" si="120"/>
        <v>3.7463032910182434</v>
      </c>
      <c r="AP377" s="8">
        <f t="shared" si="121"/>
        <v>1.0237993056460581</v>
      </c>
      <c r="AQ377" s="8"/>
      <c r="AR377" s="8">
        <f t="shared" si="122"/>
        <v>214.64736735131595</v>
      </c>
      <c r="AS377" s="8">
        <f t="shared" si="123"/>
        <v>31.340620718056677</v>
      </c>
    </row>
    <row r="378" spans="1:45">
      <c r="A378" s="19">
        <v>19.55286667</v>
      </c>
      <c r="B378" s="19">
        <v>915.91986329999997</v>
      </c>
      <c r="C378" s="19">
        <v>543.82905770000002</v>
      </c>
      <c r="E378" s="9">
        <f t="shared" si="109"/>
        <v>-44.080136700000025</v>
      </c>
      <c r="F378" s="9">
        <f t="shared" si="110"/>
        <v>-3.8290577000000212</v>
      </c>
      <c r="I378">
        <v>1</v>
      </c>
      <c r="J378">
        <f t="shared" si="111"/>
        <v>2.8083500491667704E-2</v>
      </c>
      <c r="K378">
        <f t="shared" si="115"/>
        <v>-3.0549443258647453</v>
      </c>
      <c r="O378">
        <f t="shared" si="116"/>
        <v>-2.7974464416913997E-2</v>
      </c>
      <c r="P378">
        <f t="shared" si="117"/>
        <v>-2.4300250951572312E-3</v>
      </c>
      <c r="Q378">
        <f t="shared" si="118"/>
        <v>0.99960568441692232</v>
      </c>
      <c r="R378">
        <f t="shared" si="108"/>
        <v>1</v>
      </c>
      <c r="AG378" s="8">
        <f t="shared" si="112"/>
        <v>-0.70269445924073148</v>
      </c>
      <c r="AH378" s="8">
        <f t="shared" si="113"/>
        <v>-0.48551154354303094</v>
      </c>
      <c r="AI378" s="8">
        <f t="shared" si="114"/>
        <v>0.52009522016534582</v>
      </c>
      <c r="AJ378" s="8"/>
      <c r="AK378" s="8"/>
      <c r="AL378" s="8"/>
      <c r="AN378" s="8">
        <f t="shared" si="119"/>
        <v>1</v>
      </c>
      <c r="AO378" s="8">
        <f t="shared" si="120"/>
        <v>3.746204299280635</v>
      </c>
      <c r="AP378" s="8">
        <f t="shared" si="121"/>
        <v>1.0238338949959476</v>
      </c>
      <c r="AQ378" s="8"/>
      <c r="AR378" s="8">
        <f t="shared" si="122"/>
        <v>214.64169554254434</v>
      </c>
      <c r="AS378" s="8">
        <f t="shared" si="123"/>
        <v>31.338638894291911</v>
      </c>
    </row>
    <row r="379" spans="1:45">
      <c r="A379" s="19">
        <v>19.586233329999999</v>
      </c>
      <c r="B379" s="19">
        <v>914.73945219999996</v>
      </c>
      <c r="C379" s="19">
        <v>543.70933820000005</v>
      </c>
      <c r="E379" s="9">
        <f t="shared" si="109"/>
        <v>-45.26054780000004</v>
      </c>
      <c r="F379" s="9">
        <f t="shared" si="110"/>
        <v>-3.7093382000000474</v>
      </c>
      <c r="I379">
        <v>1</v>
      </c>
      <c r="J379">
        <f t="shared" si="111"/>
        <v>2.8830017094532288E-2</v>
      </c>
      <c r="K379">
        <f t="shared" si="115"/>
        <v>-3.0598201850111733</v>
      </c>
      <c r="O379">
        <f t="shared" si="116"/>
        <v>-2.8729701164892731E-2</v>
      </c>
      <c r="P379">
        <f t="shared" si="117"/>
        <v>-2.3545490098005948E-3</v>
      </c>
      <c r="Q379">
        <f t="shared" si="118"/>
        <v>0.9995844438415078</v>
      </c>
      <c r="R379">
        <f t="shared" si="108"/>
        <v>1</v>
      </c>
      <c r="AG379" s="8">
        <f t="shared" si="112"/>
        <v>-0.70314878216840171</v>
      </c>
      <c r="AH379" s="8">
        <f t="shared" si="113"/>
        <v>-0.48490508431844126</v>
      </c>
      <c r="AI379" s="8">
        <f t="shared" si="114"/>
        <v>0.5200469683953739</v>
      </c>
      <c r="AJ379" s="8"/>
      <c r="AK379" s="8"/>
      <c r="AL379" s="8"/>
      <c r="AN379" s="8">
        <f t="shared" si="119"/>
        <v>1</v>
      </c>
      <c r="AO379" s="8">
        <f t="shared" si="120"/>
        <v>3.7453177858487243</v>
      </c>
      <c r="AP379" s="8">
        <f t="shared" si="121"/>
        <v>1.0238903877626595</v>
      </c>
      <c r="AQ379" s="8"/>
      <c r="AR379" s="8">
        <f t="shared" si="122"/>
        <v>214.59090206441419</v>
      </c>
      <c r="AS379" s="8">
        <f t="shared" si="123"/>
        <v>31.335402097186297</v>
      </c>
    </row>
    <row r="380" spans="1:45">
      <c r="A380" s="19">
        <v>19.619599999999998</v>
      </c>
      <c r="B380" s="19">
        <v>913.83333330000005</v>
      </c>
      <c r="C380" s="19">
        <v>543.41666669999995</v>
      </c>
      <c r="E380" s="9">
        <f t="shared" si="109"/>
        <v>-46.166666699999951</v>
      </c>
      <c r="F380" s="9">
        <f t="shared" si="110"/>
        <v>-3.4166666999999507</v>
      </c>
      <c r="I380">
        <v>1</v>
      </c>
      <c r="J380">
        <f t="shared" si="111"/>
        <v>2.9393844128800299E-2</v>
      </c>
      <c r="K380">
        <f t="shared" si="115"/>
        <v>-3.067720104628513</v>
      </c>
      <c r="O380">
        <f t="shared" si="116"/>
        <v>-2.9309456258377459E-2</v>
      </c>
      <c r="P380">
        <f t="shared" si="117"/>
        <v>-2.1691114033386286E-3</v>
      </c>
      <c r="Q380">
        <f t="shared" si="118"/>
        <v>0.99956803206663136</v>
      </c>
      <c r="R380">
        <f t="shared" si="108"/>
        <v>1</v>
      </c>
      <c r="AG380" s="8">
        <f t="shared" si="112"/>
        <v>-0.70345605071414108</v>
      </c>
      <c r="AH380" s="8">
        <f t="shared" si="113"/>
        <v>-0.48438406744556967</v>
      </c>
      <c r="AI380" s="8">
        <f t="shared" si="114"/>
        <v>0.52011696753571657</v>
      </c>
      <c r="AJ380" s="8"/>
      <c r="AK380" s="8"/>
      <c r="AL380" s="8"/>
      <c r="AN380" s="8">
        <f t="shared" si="119"/>
        <v>1</v>
      </c>
      <c r="AO380" s="8">
        <f t="shared" si="120"/>
        <v>3.7446113594104609</v>
      </c>
      <c r="AP380" s="8">
        <f t="shared" si="121"/>
        <v>1.023808432722183</v>
      </c>
      <c r="AQ380" s="8"/>
      <c r="AR380" s="8">
        <f t="shared" si="122"/>
        <v>214.55042681096523</v>
      </c>
      <c r="AS380" s="8">
        <f t="shared" si="123"/>
        <v>31.340097775115424</v>
      </c>
    </row>
    <row r="381" spans="1:45">
      <c r="A381" s="19">
        <v>19.652966670000001</v>
      </c>
      <c r="B381" s="19">
        <v>914.74437150000006</v>
      </c>
      <c r="C381" s="19">
        <v>543.77321240000003</v>
      </c>
      <c r="E381" s="9">
        <f t="shared" si="109"/>
        <v>-45.255628499999943</v>
      </c>
      <c r="F381" s="9">
        <f t="shared" si="110"/>
        <v>-3.773212400000034</v>
      </c>
      <c r="I381">
        <v>1</v>
      </c>
      <c r="J381">
        <f t="shared" si="111"/>
        <v>2.8830247349436792E-2</v>
      </c>
      <c r="K381">
        <f t="shared" si="115"/>
        <v>-3.0584095076709827</v>
      </c>
      <c r="O381">
        <f t="shared" si="116"/>
        <v>-2.8726580434253267E-2</v>
      </c>
      <c r="P381">
        <f t="shared" si="117"/>
        <v>-2.3950941152904989E-3</v>
      </c>
      <c r="Q381">
        <f t="shared" si="118"/>
        <v>0.99958443720414802</v>
      </c>
      <c r="R381">
        <f t="shared" si="108"/>
        <v>1</v>
      </c>
      <c r="AG381" s="8">
        <f t="shared" si="112"/>
        <v>-0.7031599101242989</v>
      </c>
      <c r="AH381" s="8">
        <f t="shared" si="113"/>
        <v>-0.48492502969587231</v>
      </c>
      <c r="AI381" s="8">
        <f t="shared" si="114"/>
        <v>0.52001332326051541</v>
      </c>
      <c r="AJ381" s="8"/>
      <c r="AK381" s="8"/>
      <c r="AL381" s="8"/>
      <c r="AN381" s="8">
        <f t="shared" si="119"/>
        <v>1</v>
      </c>
      <c r="AO381" s="8">
        <f t="shared" si="120"/>
        <v>3.7453296127898823</v>
      </c>
      <c r="AP381" s="8">
        <f t="shared" si="121"/>
        <v>1.0239297780539405</v>
      </c>
      <c r="AQ381" s="8"/>
      <c r="AR381" s="8">
        <f t="shared" si="122"/>
        <v>214.59157969822709</v>
      </c>
      <c r="AS381" s="8">
        <f t="shared" si="123"/>
        <v>31.333145199742106</v>
      </c>
    </row>
    <row r="382" spans="1:45">
      <c r="A382" s="19">
        <v>19.68633333</v>
      </c>
      <c r="B382" s="19">
        <v>913.78072499999996</v>
      </c>
      <c r="C382" s="19">
        <v>543.79623800000002</v>
      </c>
      <c r="E382" s="9">
        <f t="shared" si="109"/>
        <v>-46.219275000000039</v>
      </c>
      <c r="F382" s="9">
        <f t="shared" si="110"/>
        <v>-3.7962380000000167</v>
      </c>
      <c r="I382">
        <v>1</v>
      </c>
      <c r="J382">
        <f t="shared" si="111"/>
        <v>2.944634425209236E-2</v>
      </c>
      <c r="K382">
        <f t="shared" si="115"/>
        <v>-3.059641224569698</v>
      </c>
      <c r="O382">
        <f t="shared" si="116"/>
        <v>-2.9343277257019296E-2</v>
      </c>
      <c r="P382">
        <f t="shared" si="117"/>
        <v>-2.4101214086035064E-3</v>
      </c>
      <c r="Q382">
        <f t="shared" si="118"/>
        <v>0.99956648773086298</v>
      </c>
      <c r="R382">
        <f t="shared" si="108"/>
        <v>1</v>
      </c>
      <c r="AG382" s="8">
        <f t="shared" si="112"/>
        <v>-0.70355538107678417</v>
      </c>
      <c r="AH382" s="8">
        <f t="shared" si="113"/>
        <v>-0.48446283182884914</v>
      </c>
      <c r="AI382" s="8">
        <f t="shared" si="114"/>
        <v>0.51990921355009023</v>
      </c>
      <c r="AJ382" s="8"/>
      <c r="AK382" s="8"/>
      <c r="AL382" s="8"/>
      <c r="AN382" s="8">
        <f t="shared" si="119"/>
        <v>1</v>
      </c>
      <c r="AO382" s="8">
        <f t="shared" si="120"/>
        <v>3.7446213558101364</v>
      </c>
      <c r="AP382" s="8">
        <f t="shared" si="121"/>
        <v>1.0240516592868101</v>
      </c>
      <c r="AQ382" s="8"/>
      <c r="AR382" s="8">
        <f t="shared" si="122"/>
        <v>214.55099956247696</v>
      </c>
      <c r="AS382" s="8">
        <f t="shared" si="123"/>
        <v>31.326161919496826</v>
      </c>
    </row>
    <row r="383" spans="1:45">
      <c r="A383" s="19">
        <v>19.7197</v>
      </c>
      <c r="B383" s="19">
        <v>912.93152239999995</v>
      </c>
      <c r="C383" s="19">
        <v>543.68258200000002</v>
      </c>
      <c r="E383" s="9">
        <f t="shared" si="109"/>
        <v>-47.068477600000051</v>
      </c>
      <c r="F383" s="9">
        <f t="shared" si="110"/>
        <v>-3.6825820000000249</v>
      </c>
      <c r="I383">
        <v>1</v>
      </c>
      <c r="J383">
        <f t="shared" si="111"/>
        <v>2.9982573878205385E-2</v>
      </c>
      <c r="K383">
        <f t="shared" si="115"/>
        <v>-3.0635128943424288</v>
      </c>
      <c r="O383">
        <f t="shared" si="116"/>
        <v>-2.9886748411471164E-2</v>
      </c>
      <c r="P383">
        <f t="shared" si="117"/>
        <v>-2.3383038362518298E-3</v>
      </c>
      <c r="Q383">
        <f t="shared" si="118"/>
        <v>0.99955055630246081</v>
      </c>
      <c r="R383">
        <f t="shared" si="108"/>
        <v>1</v>
      </c>
      <c r="AG383" s="8">
        <f t="shared" si="112"/>
        <v>-0.70387618486807468</v>
      </c>
      <c r="AH383" s="8">
        <f t="shared" si="113"/>
        <v>-0.4840184863380127</v>
      </c>
      <c r="AI383" s="8">
        <f t="shared" si="114"/>
        <v>0.51988885471668189</v>
      </c>
      <c r="AJ383" s="8"/>
      <c r="AK383" s="8"/>
      <c r="AL383" s="8"/>
      <c r="AN383" s="8">
        <f t="shared" si="119"/>
        <v>1.0000000000000002</v>
      </c>
      <c r="AO383" s="8">
        <f t="shared" si="120"/>
        <v>3.7439799470076958</v>
      </c>
      <c r="AP383" s="8">
        <f t="shared" si="121"/>
        <v>1.0240754923151454</v>
      </c>
      <c r="AQ383" s="8"/>
      <c r="AR383" s="8">
        <f t="shared" si="122"/>
        <v>214.51424954515457</v>
      </c>
      <c r="AS383" s="8">
        <f t="shared" si="123"/>
        <v>31.324796387560198</v>
      </c>
    </row>
    <row r="384" spans="1:45">
      <c r="A384" s="19">
        <v>19.753066669999999</v>
      </c>
      <c r="B384" s="19">
        <v>912.63437390000001</v>
      </c>
      <c r="C384" s="19">
        <v>543.47972800000002</v>
      </c>
      <c r="E384" s="9">
        <f t="shared" si="109"/>
        <v>-47.365626099999986</v>
      </c>
      <c r="F384" s="9">
        <f t="shared" si="110"/>
        <v>-3.4797280000000228</v>
      </c>
      <c r="I384">
        <v>1</v>
      </c>
      <c r="J384">
        <f t="shared" si="111"/>
        <v>3.0162498714318409E-2</v>
      </c>
      <c r="K384">
        <f t="shared" si="115"/>
        <v>-3.0682591355424624</v>
      </c>
      <c r="O384">
        <f t="shared" si="116"/>
        <v>-3.0076870016873196E-2</v>
      </c>
      <c r="P384">
        <f t="shared" si="117"/>
        <v>-2.2096050525990023E-3</v>
      </c>
      <c r="Q384">
        <f t="shared" si="118"/>
        <v>0.99954514632181557</v>
      </c>
      <c r="R384">
        <f t="shared" si="108"/>
        <v>1</v>
      </c>
      <c r="AG384" s="8">
        <f t="shared" si="112"/>
        <v>-0.70395487627613884</v>
      </c>
      <c r="AH384" s="8">
        <f t="shared" si="113"/>
        <v>-0.483818105990451</v>
      </c>
      <c r="AI384" s="8">
        <f t="shared" si="114"/>
        <v>0.51996881876018197</v>
      </c>
      <c r="AJ384" s="8"/>
      <c r="AK384" s="8"/>
      <c r="AL384" s="8"/>
      <c r="AN384" s="8">
        <f t="shared" si="119"/>
        <v>1.0000000000000002</v>
      </c>
      <c r="AO384" s="8">
        <f t="shared" si="120"/>
        <v>3.7437344523729617</v>
      </c>
      <c r="AP384" s="8">
        <f t="shared" si="121"/>
        <v>1.0239818805768386</v>
      </c>
      <c r="AQ384" s="8"/>
      <c r="AR384" s="8">
        <f t="shared" si="122"/>
        <v>214.50018373869119</v>
      </c>
      <c r="AS384" s="8">
        <f t="shared" si="123"/>
        <v>31.330159945078059</v>
      </c>
    </row>
    <row r="385" spans="1:45">
      <c r="A385" s="19">
        <v>19.786433330000001</v>
      </c>
      <c r="B385" s="19">
        <v>911.83076370000003</v>
      </c>
      <c r="C385" s="19">
        <v>543.0370418</v>
      </c>
      <c r="E385" s="9">
        <f t="shared" si="109"/>
        <v>-48.169236299999966</v>
      </c>
      <c r="F385" s="9">
        <f t="shared" si="110"/>
        <v>-3.0370417999999972</v>
      </c>
      <c r="I385">
        <v>1</v>
      </c>
      <c r="J385">
        <f t="shared" si="111"/>
        <v>3.0656679194751207E-2</v>
      </c>
      <c r="K385">
        <f t="shared" si="115"/>
        <v>-3.0786265928137828</v>
      </c>
      <c r="O385">
        <f t="shared" si="116"/>
        <v>-3.0591134342864229E-2</v>
      </c>
      <c r="P385">
        <f t="shared" si="117"/>
        <v>-1.9287528897088742E-3</v>
      </c>
      <c r="Q385">
        <f t="shared" si="118"/>
        <v>0.9995301208127283</v>
      </c>
      <c r="R385">
        <f t="shared" si="108"/>
        <v>1</v>
      </c>
      <c r="AG385" s="8">
        <f t="shared" si="112"/>
        <v>-0.70418931462842316</v>
      </c>
      <c r="AH385" s="8">
        <f t="shared" si="113"/>
        <v>-0.48330513214117865</v>
      </c>
      <c r="AI385" s="8">
        <f t="shared" si="114"/>
        <v>0.52012840569339169</v>
      </c>
      <c r="AJ385" s="8"/>
      <c r="AK385" s="8"/>
      <c r="AL385" s="8"/>
      <c r="AN385" s="8">
        <f t="shared" si="119"/>
        <v>1</v>
      </c>
      <c r="AO385" s="8">
        <f t="shared" si="120"/>
        <v>3.7430840015930316</v>
      </c>
      <c r="AP385" s="8">
        <f t="shared" si="121"/>
        <v>1.0237950405307288</v>
      </c>
      <c r="AQ385" s="8"/>
      <c r="AR385" s="8">
        <f t="shared" si="122"/>
        <v>214.46291565422021</v>
      </c>
      <c r="AS385" s="8">
        <f t="shared" si="123"/>
        <v>31.340865091164183</v>
      </c>
    </row>
    <row r="386" spans="1:45">
      <c r="A386" s="19">
        <v>19.819800000000001</v>
      </c>
      <c r="B386" s="19">
        <v>911.30605390000005</v>
      </c>
      <c r="C386" s="19">
        <v>542.92521969999996</v>
      </c>
      <c r="E386" s="9">
        <f t="shared" si="109"/>
        <v>-48.693946099999948</v>
      </c>
      <c r="F386" s="9">
        <f t="shared" si="110"/>
        <v>-2.9252196999999569</v>
      </c>
      <c r="I386">
        <v>1</v>
      </c>
      <c r="J386">
        <f t="shared" si="111"/>
        <v>3.0987728088666178E-2</v>
      </c>
      <c r="K386">
        <f t="shared" si="115"/>
        <v>-3.0815911820446638</v>
      </c>
      <c r="O386">
        <f t="shared" si="116"/>
        <v>-3.0927014064862646E-2</v>
      </c>
      <c r="P386">
        <f t="shared" si="117"/>
        <v>-1.8578964748291779E-3</v>
      </c>
      <c r="Q386">
        <f t="shared" si="118"/>
        <v>0.99951991877186752</v>
      </c>
      <c r="R386">
        <f t="shared" si="108"/>
        <v>1</v>
      </c>
      <c r="AG386" s="8">
        <f t="shared" si="112"/>
        <v>-0.70437873726818934</v>
      </c>
      <c r="AH386" s="8">
        <f t="shared" si="113"/>
        <v>-0.48301882921150102</v>
      </c>
      <c r="AI386" s="8">
        <f t="shared" si="114"/>
        <v>0.52013787125301891</v>
      </c>
      <c r="AJ386" s="8"/>
      <c r="AK386" s="8"/>
      <c r="AL386" s="8"/>
      <c r="AN386" s="8">
        <f t="shared" si="119"/>
        <v>1.0000000000000002</v>
      </c>
      <c r="AO386" s="8">
        <f t="shared" si="120"/>
        <v>3.7426821155464935</v>
      </c>
      <c r="AP386" s="8">
        <f t="shared" si="121"/>
        <v>1.0237839578428471</v>
      </c>
      <c r="AQ386" s="8"/>
      <c r="AR386" s="8">
        <f t="shared" si="122"/>
        <v>214.43988927990839</v>
      </c>
      <c r="AS386" s="8">
        <f t="shared" si="123"/>
        <v>31.34150008240546</v>
      </c>
    </row>
    <row r="387" spans="1:45">
      <c r="A387" s="19">
        <v>19.85316667</v>
      </c>
      <c r="B387" s="19">
        <v>910.79486350000002</v>
      </c>
      <c r="C387" s="19">
        <v>542.75835180000001</v>
      </c>
      <c r="E387" s="9">
        <f t="shared" si="109"/>
        <v>-49.205136499999981</v>
      </c>
      <c r="F387" s="9">
        <f t="shared" si="110"/>
        <v>-2.758351800000014</v>
      </c>
      <c r="I387">
        <v>1</v>
      </c>
      <c r="J387">
        <f t="shared" si="111"/>
        <v>3.1308431186518458E-2</v>
      </c>
      <c r="K387">
        <f t="shared" si="115"/>
        <v>-3.0855930560401146</v>
      </c>
      <c r="O387">
        <f t="shared" si="116"/>
        <v>-3.1254246520487583E-2</v>
      </c>
      <c r="P387">
        <f t="shared" si="117"/>
        <v>-1.7520570672013304E-3</v>
      </c>
      <c r="Q387">
        <f t="shared" si="118"/>
        <v>0.99950993110147224</v>
      </c>
      <c r="R387">
        <f t="shared" si="108"/>
        <v>1</v>
      </c>
      <c r="AG387" s="8">
        <f t="shared" si="112"/>
        <v>-0.70455129329121058</v>
      </c>
      <c r="AH387" s="8">
        <f t="shared" si="113"/>
        <v>-0.48272387474715961</v>
      </c>
      <c r="AI387" s="8">
        <f t="shared" si="114"/>
        <v>0.52017798480017508</v>
      </c>
      <c r="AJ387" s="8"/>
      <c r="AK387" s="8"/>
      <c r="AL387" s="8"/>
      <c r="AN387" s="8">
        <f t="shared" si="119"/>
        <v>1</v>
      </c>
      <c r="AO387" s="8">
        <f t="shared" si="120"/>
        <v>3.7422830297087324</v>
      </c>
      <c r="AP387" s="8">
        <f t="shared" si="121"/>
        <v>1.0237369903312534</v>
      </c>
      <c r="AQ387" s="8"/>
      <c r="AR387" s="8">
        <f t="shared" si="122"/>
        <v>214.41702334574123</v>
      </c>
      <c r="AS387" s="8">
        <f t="shared" si="123"/>
        <v>31.344191122594012</v>
      </c>
    </row>
    <row r="388" spans="1:45">
      <c r="A388" s="19">
        <v>19.886533329999999</v>
      </c>
      <c r="B388" s="19">
        <v>910.48984129999997</v>
      </c>
      <c r="C388" s="19">
        <v>542.75182110000003</v>
      </c>
      <c r="E388" s="9">
        <f t="shared" si="109"/>
        <v>-49.510158700000034</v>
      </c>
      <c r="F388" s="9">
        <f t="shared" si="110"/>
        <v>-2.7518211000000292</v>
      </c>
      <c r="I388">
        <v>1</v>
      </c>
      <c r="J388">
        <f t="shared" si="111"/>
        <v>3.1503291244139676E-2</v>
      </c>
      <c r="K388">
        <f t="shared" si="115"/>
        <v>-3.0860688432512546</v>
      </c>
      <c r="O388">
        <f t="shared" si="116"/>
        <v>-3.1449540415305087E-2</v>
      </c>
      <c r="P388">
        <f t="shared" si="117"/>
        <v>-1.7479949806773775E-3</v>
      </c>
      <c r="Q388">
        <f t="shared" si="118"/>
        <v>0.99950381235951957</v>
      </c>
      <c r="R388">
        <f t="shared" si="108"/>
        <v>1</v>
      </c>
      <c r="AG388" s="8">
        <f t="shared" si="112"/>
        <v>-0.70467336729964392</v>
      </c>
      <c r="AH388" s="8">
        <f t="shared" si="113"/>
        <v>-0.48257345355141062</v>
      </c>
      <c r="AI388" s="8">
        <f t="shared" si="114"/>
        <v>0.52015219632915688</v>
      </c>
      <c r="AJ388" s="8"/>
      <c r="AK388" s="8"/>
      <c r="AL388" s="8"/>
      <c r="AN388" s="8">
        <f t="shared" si="119"/>
        <v>1</v>
      </c>
      <c r="AO388" s="8">
        <f t="shared" si="120"/>
        <v>3.7420569519809037</v>
      </c>
      <c r="AP388" s="8">
        <f t="shared" si="121"/>
        <v>1.0237671852799366</v>
      </c>
      <c r="AQ388" s="8"/>
      <c r="AR388" s="8">
        <f t="shared" si="122"/>
        <v>214.40407004609474</v>
      </c>
      <c r="AS388" s="8">
        <f t="shared" si="123"/>
        <v>31.342461079471853</v>
      </c>
    </row>
    <row r="389" spans="1:45">
      <c r="A389" s="19">
        <v>19.919899999999998</v>
      </c>
      <c r="B389" s="19">
        <v>909.76052349999998</v>
      </c>
      <c r="C389" s="19">
        <v>542.71916080000005</v>
      </c>
      <c r="E389" s="9">
        <f t="shared" si="109"/>
        <v>-50.239476500000023</v>
      </c>
      <c r="F389" s="9">
        <f t="shared" si="110"/>
        <v>-2.7191608000000542</v>
      </c>
      <c r="I389">
        <v>1</v>
      </c>
      <c r="J389">
        <f t="shared" si="111"/>
        <v>3.1968678130832665E-2</v>
      </c>
      <c r="K389">
        <f t="shared" si="115"/>
        <v>-3.0875214237320563</v>
      </c>
      <c r="O389">
        <f t="shared" si="116"/>
        <v>-3.1916519061278993E-2</v>
      </c>
      <c r="P389">
        <f t="shared" si="117"/>
        <v>-1.7274492799280016E-3</v>
      </c>
      <c r="Q389">
        <f t="shared" si="118"/>
        <v>0.99948904532765959</v>
      </c>
      <c r="R389">
        <f t="shared" si="108"/>
        <v>1</v>
      </c>
      <c r="AG389" s="8">
        <f t="shared" si="112"/>
        <v>-0.70496165349004447</v>
      </c>
      <c r="AH389" s="8">
        <f t="shared" si="113"/>
        <v>-0.48220899548454838</v>
      </c>
      <c r="AI389" s="8">
        <f t="shared" si="114"/>
        <v>0.52009955949064746</v>
      </c>
      <c r="AJ389" s="8"/>
      <c r="AK389" s="8"/>
      <c r="AL389" s="8"/>
      <c r="AN389" s="8">
        <f t="shared" si="119"/>
        <v>1.0000000000000002</v>
      </c>
      <c r="AO389" s="8">
        <f t="shared" si="120"/>
        <v>3.7415141693030689</v>
      </c>
      <c r="AP389" s="8">
        <f t="shared" si="121"/>
        <v>1.0238288144551171</v>
      </c>
      <c r="AQ389" s="8"/>
      <c r="AR389" s="8">
        <f t="shared" si="122"/>
        <v>214.37297088946201</v>
      </c>
      <c r="AS389" s="8">
        <f t="shared" si="123"/>
        <v>31.338929987839137</v>
      </c>
    </row>
    <row r="390" spans="1:45">
      <c r="A390" s="19">
        <v>19.953266670000001</v>
      </c>
      <c r="B390" s="19">
        <v>909.42440290000002</v>
      </c>
      <c r="C390" s="19">
        <v>542.66007560000003</v>
      </c>
      <c r="E390" s="9">
        <f t="shared" si="109"/>
        <v>-50.575597099999982</v>
      </c>
      <c r="F390" s="9">
        <f t="shared" si="110"/>
        <v>-2.6600756000000274</v>
      </c>
      <c r="I390">
        <v>1</v>
      </c>
      <c r="J390">
        <f t="shared" si="111"/>
        <v>3.2181705066780475E-2</v>
      </c>
      <c r="K390">
        <f t="shared" si="115"/>
        <v>-3.0890450432313243</v>
      </c>
      <c r="O390">
        <f t="shared" si="116"/>
        <v>-3.2131737460343472E-2</v>
      </c>
      <c r="P390">
        <f t="shared" si="117"/>
        <v>-1.6900018132236091E-3</v>
      </c>
      <c r="Q390">
        <f t="shared" si="118"/>
        <v>0.99948221361945744</v>
      </c>
      <c r="R390">
        <f t="shared" si="108"/>
        <v>1</v>
      </c>
      <c r="AG390" s="8">
        <f t="shared" si="112"/>
        <v>-0.70508541053191987</v>
      </c>
      <c r="AH390" s="8">
        <f t="shared" si="113"/>
        <v>-0.48202885236428206</v>
      </c>
      <c r="AI390" s="8">
        <f t="shared" si="114"/>
        <v>0.52009878806185195</v>
      </c>
      <c r="AJ390" s="8"/>
      <c r="AK390" s="8"/>
      <c r="AL390" s="8"/>
      <c r="AN390" s="8">
        <f t="shared" si="119"/>
        <v>1</v>
      </c>
      <c r="AO390" s="8">
        <f t="shared" si="120"/>
        <v>3.7412582795717344</v>
      </c>
      <c r="AP390" s="8">
        <f t="shared" si="121"/>
        <v>1.0238297176555471</v>
      </c>
      <c r="AQ390" s="8"/>
      <c r="AR390" s="8">
        <f t="shared" si="122"/>
        <v>214.35830948783581</v>
      </c>
      <c r="AS390" s="8">
        <f t="shared" si="123"/>
        <v>31.338878238266446</v>
      </c>
    </row>
    <row r="391" spans="1:45">
      <c r="A391" s="19">
        <v>19.98663333</v>
      </c>
      <c r="B391" s="19">
        <v>908.75715460000004</v>
      </c>
      <c r="C391" s="19">
        <v>542.69470339999998</v>
      </c>
      <c r="E391" s="9">
        <f t="shared" si="109"/>
        <v>-51.242845399999965</v>
      </c>
      <c r="F391" s="9">
        <f t="shared" si="110"/>
        <v>-2.6947033999999803</v>
      </c>
      <c r="I391">
        <v>1</v>
      </c>
      <c r="J391">
        <f t="shared" si="111"/>
        <v>3.2609810264158129E-2</v>
      </c>
      <c r="K391">
        <f t="shared" si="115"/>
        <v>-3.0890541278895038</v>
      </c>
      <c r="O391">
        <f t="shared" si="116"/>
        <v>-3.2559042978015269E-2</v>
      </c>
      <c r="P391">
        <f t="shared" si="117"/>
        <v>-1.7121797809768618E-3</v>
      </c>
      <c r="Q391">
        <f t="shared" si="118"/>
        <v>0.999468347253055</v>
      </c>
      <c r="R391">
        <f t="shared" si="108"/>
        <v>1</v>
      </c>
      <c r="AG391" s="8">
        <f t="shared" si="112"/>
        <v>-0.70536227457942036</v>
      </c>
      <c r="AH391" s="8">
        <f t="shared" si="113"/>
        <v>-0.48171298960144027</v>
      </c>
      <c r="AI391" s="8">
        <f t="shared" si="114"/>
        <v>0.52001601633929428</v>
      </c>
      <c r="AJ391" s="8"/>
      <c r="AK391" s="8"/>
      <c r="AL391" s="8"/>
      <c r="AN391" s="8">
        <f t="shared" si="119"/>
        <v>1</v>
      </c>
      <c r="AO391" s="8">
        <f t="shared" si="120"/>
        <v>3.7407700725442878</v>
      </c>
      <c r="AP391" s="8">
        <f t="shared" si="121"/>
        <v>1.0239266251467578</v>
      </c>
      <c r="AQ391" s="8"/>
      <c r="AR391" s="8">
        <f t="shared" si="122"/>
        <v>214.33033728563447</v>
      </c>
      <c r="AS391" s="8">
        <f t="shared" si="123"/>
        <v>31.333325848016869</v>
      </c>
    </row>
    <row r="392" spans="1:45">
      <c r="A392" s="19">
        <v>20.02</v>
      </c>
      <c r="B392" s="19">
        <v>908.45848939999996</v>
      </c>
      <c r="C392" s="19">
        <v>542.50390400000003</v>
      </c>
      <c r="E392" s="9">
        <f t="shared" si="109"/>
        <v>-51.541510600000038</v>
      </c>
      <c r="F392" s="9">
        <f t="shared" si="110"/>
        <v>-2.5039040000000341</v>
      </c>
      <c r="I392">
        <v>1</v>
      </c>
      <c r="J392">
        <f t="shared" si="111"/>
        <v>3.2794767645259508E-2</v>
      </c>
      <c r="K392">
        <f t="shared" si="115"/>
        <v>-3.0930504790096354</v>
      </c>
      <c r="O392">
        <f t="shared" si="116"/>
        <v>-3.2750266171443589E-2</v>
      </c>
      <c r="P392">
        <f t="shared" si="117"/>
        <v>-1.5910189963998366E-3</v>
      </c>
      <c r="Q392">
        <f t="shared" si="118"/>
        <v>0.99946229980137458</v>
      </c>
      <c r="R392">
        <f t="shared" si="108"/>
        <v>1</v>
      </c>
      <c r="AG392" s="8">
        <f t="shared" si="112"/>
        <v>-0.70544369838003007</v>
      </c>
      <c r="AH392" s="8">
        <f t="shared" si="113"/>
        <v>-0.48151474228558933</v>
      </c>
      <c r="AI392" s="8">
        <f t="shared" si="114"/>
        <v>0.52008916675657435</v>
      </c>
      <c r="AJ392" s="8"/>
      <c r="AK392" s="8"/>
      <c r="AL392" s="8"/>
      <c r="AN392" s="8">
        <f t="shared" si="119"/>
        <v>1.0000000000000002</v>
      </c>
      <c r="AO392" s="8">
        <f t="shared" si="120"/>
        <v>3.7405246332522699</v>
      </c>
      <c r="AP392" s="8">
        <f t="shared" si="121"/>
        <v>1.0238409823826615</v>
      </c>
      <c r="AQ392" s="8"/>
      <c r="AR392" s="8">
        <f t="shared" si="122"/>
        <v>214.31627465007517</v>
      </c>
      <c r="AS392" s="8">
        <f t="shared" si="123"/>
        <v>31.338232816945421</v>
      </c>
    </row>
    <row r="393" spans="1:45">
      <c r="A393" s="19">
        <v>20.053366669999999</v>
      </c>
      <c r="B393" s="19">
        <v>907.88915340000005</v>
      </c>
      <c r="C393" s="19">
        <v>542.60730620000004</v>
      </c>
      <c r="E393" s="9">
        <f t="shared" si="109"/>
        <v>-52.110846599999945</v>
      </c>
      <c r="F393" s="9">
        <f t="shared" si="110"/>
        <v>-2.6073062000000391</v>
      </c>
      <c r="I393">
        <v>1</v>
      </c>
      <c r="J393">
        <f t="shared" si="111"/>
        <v>3.3162426457137267E-2</v>
      </c>
      <c r="K393">
        <f t="shared" si="115"/>
        <v>-3.0916004939114856</v>
      </c>
      <c r="O393">
        <f t="shared" si="116"/>
        <v>-3.3114924603750845E-2</v>
      </c>
      <c r="P393">
        <f t="shared" si="117"/>
        <v>-1.656867118176769E-3</v>
      </c>
      <c r="Q393">
        <f t="shared" si="118"/>
        <v>0.99945017712732465</v>
      </c>
      <c r="R393">
        <f t="shared" si="108"/>
        <v>1</v>
      </c>
      <c r="AG393" s="8">
        <f t="shared" si="112"/>
        <v>-0.70569501627197395</v>
      </c>
      <c r="AH393" s="8">
        <f t="shared" si="113"/>
        <v>-0.48126543603670136</v>
      </c>
      <c r="AI393" s="8">
        <f t="shared" si="114"/>
        <v>0.51997896504118524</v>
      </c>
      <c r="AJ393" s="8"/>
      <c r="AK393" s="8"/>
      <c r="AL393" s="8"/>
      <c r="AN393" s="8">
        <f t="shared" si="119"/>
        <v>1</v>
      </c>
      <c r="AO393" s="8">
        <f t="shared" si="120"/>
        <v>3.7401176990141707</v>
      </c>
      <c r="AP393" s="8">
        <f t="shared" si="121"/>
        <v>1.023970002219325</v>
      </c>
      <c r="AQ393" s="8"/>
      <c r="AR393" s="8">
        <f t="shared" si="122"/>
        <v>214.29295903569272</v>
      </c>
      <c r="AS393" s="8">
        <f t="shared" si="123"/>
        <v>31.330840524831139</v>
      </c>
    </row>
    <row r="394" spans="1:45">
      <c r="A394" s="19">
        <v>20.086733330000001</v>
      </c>
      <c r="B394" s="19">
        <v>907.03782320000005</v>
      </c>
      <c r="C394" s="19">
        <v>542.32690769999999</v>
      </c>
      <c r="E394" s="9">
        <f t="shared" si="109"/>
        <v>-52.962176799999952</v>
      </c>
      <c r="F394" s="9">
        <f t="shared" si="110"/>
        <v>-2.3269076999999925</v>
      </c>
      <c r="I394">
        <v>1</v>
      </c>
      <c r="J394">
        <f t="shared" si="111"/>
        <v>3.3698987800709339E-2</v>
      </c>
      <c r="K394">
        <f t="shared" si="115"/>
        <v>-3.0976856173647844</v>
      </c>
      <c r="O394">
        <f t="shared" si="116"/>
        <v>-3.3660138387023926E-2</v>
      </c>
      <c r="P394">
        <f t="shared" si="117"/>
        <v>-1.4788673715509235E-3</v>
      </c>
      <c r="Q394">
        <f t="shared" si="118"/>
        <v>0.99943224284343746</v>
      </c>
      <c r="R394">
        <f t="shared" si="108"/>
        <v>1</v>
      </c>
      <c r="AG394" s="8">
        <f t="shared" si="112"/>
        <v>-0.70598109523082009</v>
      </c>
      <c r="AH394" s="8">
        <f t="shared" si="113"/>
        <v>-0.48077262776283503</v>
      </c>
      <c r="AI394" s="8">
        <f t="shared" si="114"/>
        <v>0.52004651096869237</v>
      </c>
      <c r="AJ394" s="8"/>
      <c r="AK394" s="8"/>
      <c r="AL394" s="8"/>
      <c r="AN394" s="8">
        <f t="shared" si="119"/>
        <v>1</v>
      </c>
      <c r="AO394" s="8">
        <f t="shared" si="120"/>
        <v>3.7394523192038625</v>
      </c>
      <c r="AP394" s="8">
        <f t="shared" si="121"/>
        <v>1.0238909233046753</v>
      </c>
      <c r="AQ394" s="8"/>
      <c r="AR394" s="8">
        <f t="shared" si="122"/>
        <v>214.25483558078884</v>
      </c>
      <c r="AS394" s="8">
        <f t="shared" si="123"/>
        <v>31.335371412889039</v>
      </c>
    </row>
    <row r="395" spans="1:45">
      <c r="A395" s="19">
        <v>20.120100000000001</v>
      </c>
      <c r="B395" s="19">
        <v>906.54861900000003</v>
      </c>
      <c r="C395" s="19">
        <v>542.40430100000003</v>
      </c>
      <c r="E395" s="9">
        <f t="shared" si="109"/>
        <v>-53.451380999999969</v>
      </c>
      <c r="F395" s="9">
        <f t="shared" si="110"/>
        <v>-2.4043010000000322</v>
      </c>
      <c r="I395">
        <v>1</v>
      </c>
      <c r="J395">
        <f t="shared" si="111"/>
        <v>3.4014425343162819E-2</v>
      </c>
      <c r="K395">
        <f t="shared" si="115"/>
        <v>-3.0966418706215575</v>
      </c>
      <c r="O395">
        <f t="shared" si="116"/>
        <v>-3.3973514812570473E-2</v>
      </c>
      <c r="P395">
        <f t="shared" si="117"/>
        <v>-1.5281654862645971E-3</v>
      </c>
      <c r="Q395">
        <f t="shared" si="118"/>
        <v>0.9994215652073587</v>
      </c>
      <c r="R395">
        <f t="shared" si="108"/>
        <v>1</v>
      </c>
      <c r="AG395" s="8">
        <f t="shared" si="112"/>
        <v>-0.70619452446843345</v>
      </c>
      <c r="AH395" s="8">
        <f t="shared" si="113"/>
        <v>-0.48055508174035677</v>
      </c>
      <c r="AI395" s="8">
        <f t="shared" si="114"/>
        <v>0.51995779350282123</v>
      </c>
      <c r="AJ395" s="8"/>
      <c r="AK395" s="8"/>
      <c r="AL395" s="8"/>
      <c r="AN395" s="8">
        <f t="shared" si="119"/>
        <v>1.0000000000000004</v>
      </c>
      <c r="AO395" s="8">
        <f t="shared" si="120"/>
        <v>3.7391011745943961</v>
      </c>
      <c r="AP395" s="8">
        <f t="shared" si="121"/>
        <v>1.0239947878638147</v>
      </c>
      <c r="AQ395" s="8"/>
      <c r="AR395" s="8">
        <f t="shared" si="122"/>
        <v>214.23471647666764</v>
      </c>
      <c r="AS395" s="8">
        <f t="shared" si="123"/>
        <v>31.32942041200937</v>
      </c>
    </row>
    <row r="396" spans="1:45">
      <c r="A396" s="19">
        <v>20.15346667</v>
      </c>
      <c r="B396" s="19">
        <v>906.33560669999997</v>
      </c>
      <c r="C396" s="19">
        <v>542.43386469999996</v>
      </c>
      <c r="E396" s="9">
        <f t="shared" si="109"/>
        <v>-53.664393300000029</v>
      </c>
      <c r="F396" s="9">
        <f t="shared" si="110"/>
        <v>-2.4338646999999582</v>
      </c>
      <c r="I396">
        <v>1</v>
      </c>
      <c r="J396">
        <f t="shared" si="111"/>
        <v>3.4151672488770476E-2</v>
      </c>
      <c r="K396">
        <f t="shared" si="115"/>
        <v>-3.0962702742547723</v>
      </c>
      <c r="O396">
        <f t="shared" si="116"/>
        <v>-3.4109971187656296E-2</v>
      </c>
      <c r="P396">
        <f t="shared" si="117"/>
        <v>-1.5470044416145924E-3</v>
      </c>
      <c r="Q396">
        <f t="shared" si="118"/>
        <v>0.99941688831179698</v>
      </c>
      <c r="R396">
        <f t="shared" si="108"/>
        <v>1</v>
      </c>
      <c r="AG396" s="8">
        <f t="shared" si="112"/>
        <v>-0.70628658765140173</v>
      </c>
      <c r="AH396" s="8">
        <f t="shared" si="113"/>
        <v>-0.48045919783623947</v>
      </c>
      <c r="AI396" s="8">
        <f t="shared" si="114"/>
        <v>0.51992135493581748</v>
      </c>
      <c r="AJ396" s="8"/>
      <c r="AK396" s="8"/>
      <c r="AL396" s="8"/>
      <c r="AN396" s="8">
        <f t="shared" si="119"/>
        <v>1.0000000000000002</v>
      </c>
      <c r="AO396" s="8">
        <f t="shared" si="120"/>
        <v>3.738947741922471</v>
      </c>
      <c r="AP396" s="8">
        <f t="shared" si="121"/>
        <v>1.0240374458328956</v>
      </c>
      <c r="AQ396" s="8"/>
      <c r="AR396" s="8">
        <f t="shared" si="122"/>
        <v>214.22592543212693</v>
      </c>
      <c r="AS396" s="8">
        <f t="shared" si="123"/>
        <v>31.326976290418436</v>
      </c>
    </row>
    <row r="397" spans="1:45">
      <c r="A397" s="19">
        <v>20.186833329999999</v>
      </c>
      <c r="B397" s="19">
        <v>905.92003820000002</v>
      </c>
      <c r="C397" s="19">
        <v>542.71258130000001</v>
      </c>
      <c r="E397" s="9">
        <f t="shared" si="109"/>
        <v>-54.079961799999978</v>
      </c>
      <c r="F397" s="9">
        <f t="shared" si="110"/>
        <v>-2.7125813000000107</v>
      </c>
      <c r="I397">
        <v>1</v>
      </c>
      <c r="J397">
        <f t="shared" si="111"/>
        <v>3.442626306811445E-2</v>
      </c>
      <c r="K397">
        <f t="shared" si="115"/>
        <v>-3.0914759416014155</v>
      </c>
      <c r="O397">
        <f t="shared" si="116"/>
        <v>-3.4376246947386627E-2</v>
      </c>
      <c r="P397">
        <f t="shared" si="117"/>
        <v>-1.7242683154717741E-3</v>
      </c>
      <c r="Q397">
        <f t="shared" si="118"/>
        <v>0.999407474729196</v>
      </c>
      <c r="R397">
        <f t="shared" si="108"/>
        <v>1</v>
      </c>
      <c r="AG397" s="8">
        <f t="shared" si="112"/>
        <v>-0.70651168218407157</v>
      </c>
      <c r="AH397" s="8">
        <f t="shared" si="113"/>
        <v>-0.48033301691138025</v>
      </c>
      <c r="AI397" s="8">
        <f t="shared" si="114"/>
        <v>0.51973208078994437</v>
      </c>
      <c r="AJ397" s="8"/>
      <c r="AK397" s="8"/>
      <c r="AL397" s="8"/>
      <c r="AN397" s="8">
        <f t="shared" si="119"/>
        <v>1.0000000000000002</v>
      </c>
      <c r="AO397" s="8">
        <f t="shared" si="120"/>
        <v>3.7386774295125784</v>
      </c>
      <c r="AP397" s="8">
        <f t="shared" si="121"/>
        <v>1.0242590078262617</v>
      </c>
      <c r="AQ397" s="8"/>
      <c r="AR397" s="8">
        <f t="shared" si="122"/>
        <v>214.21043767189008</v>
      </c>
      <c r="AS397" s="8">
        <f t="shared" si="123"/>
        <v>31.314281723298052</v>
      </c>
    </row>
    <row r="398" spans="1:45">
      <c r="A398" s="19">
        <v>20.220199999999998</v>
      </c>
      <c r="B398" s="19">
        <v>905.62058809999996</v>
      </c>
      <c r="C398" s="19">
        <v>542.67464419999999</v>
      </c>
      <c r="E398" s="9">
        <f t="shared" si="109"/>
        <v>-54.379411900000036</v>
      </c>
      <c r="F398" s="9">
        <f t="shared" si="110"/>
        <v>-2.6746441999999888</v>
      </c>
      <c r="I398">
        <v>1</v>
      </c>
      <c r="J398">
        <f t="shared" si="111"/>
        <v>3.4616770317936744E-2</v>
      </c>
      <c r="K398">
        <f t="shared" si="115"/>
        <v>-3.0924473899290148</v>
      </c>
      <c r="O398">
        <f t="shared" si="116"/>
        <v>-3.4568069629145957E-2</v>
      </c>
      <c r="P398">
        <f t="shared" si="117"/>
        <v>-1.7002259441277823E-3</v>
      </c>
      <c r="Q398">
        <f t="shared" si="118"/>
        <v>0.99940089943618393</v>
      </c>
      <c r="R398">
        <f t="shared" si="108"/>
        <v>1</v>
      </c>
      <c r="AG398" s="8">
        <f t="shared" si="112"/>
        <v>-0.70662468571153381</v>
      </c>
      <c r="AH398" s="8">
        <f t="shared" si="113"/>
        <v>-0.48017626788671874</v>
      </c>
      <c r="AI398" s="8">
        <f t="shared" si="114"/>
        <v>0.51972329686233842</v>
      </c>
      <c r="AJ398" s="8"/>
      <c r="AK398" s="8"/>
      <c r="AL398" s="8"/>
      <c r="AN398" s="8">
        <f t="shared" si="119"/>
        <v>1</v>
      </c>
      <c r="AO398" s="8">
        <f t="shared" si="120"/>
        <v>3.7384513325703246</v>
      </c>
      <c r="AP398" s="8">
        <f t="shared" si="121"/>
        <v>1.0242692894589609</v>
      </c>
      <c r="AQ398" s="8"/>
      <c r="AR398" s="8">
        <f t="shared" si="122"/>
        <v>214.19748327133811</v>
      </c>
      <c r="AS398" s="8">
        <f t="shared" si="123"/>
        <v>31.313692629137883</v>
      </c>
    </row>
    <row r="399" spans="1:45">
      <c r="A399" s="19">
        <v>20.253566670000001</v>
      </c>
      <c r="B399" s="19">
        <v>905.48966280000002</v>
      </c>
      <c r="C399" s="19">
        <v>542.65110730000004</v>
      </c>
      <c r="E399" s="9">
        <f t="shared" si="109"/>
        <v>-54.510337199999981</v>
      </c>
      <c r="F399" s="9">
        <f t="shared" si="110"/>
        <v>-2.6511073000000351</v>
      </c>
      <c r="I399">
        <v>1</v>
      </c>
      <c r="J399">
        <f t="shared" si="111"/>
        <v>3.469985944023056E-2</v>
      </c>
      <c r="K399">
        <f t="shared" si="115"/>
        <v>-3.0929959997250895</v>
      </c>
      <c r="O399">
        <f t="shared" si="116"/>
        <v>-3.4651938376810097E-2</v>
      </c>
      <c r="P399">
        <f t="shared" si="117"/>
        <v>-1.6852951478332307E-3</v>
      </c>
      <c r="Q399">
        <f t="shared" si="118"/>
        <v>0.99939802028370783</v>
      </c>
      <c r="R399">
        <f t="shared" si="108"/>
        <v>1</v>
      </c>
      <c r="AG399" s="8">
        <f t="shared" si="112"/>
        <v>-0.70667265467656382</v>
      </c>
      <c r="AH399" s="8">
        <f t="shared" si="113"/>
        <v>-0.48010581118881096</v>
      </c>
      <c r="AI399" s="8">
        <f t="shared" si="114"/>
        <v>0.51972316592115853</v>
      </c>
      <c r="AJ399" s="8"/>
      <c r="AK399" s="8"/>
      <c r="AL399" s="8"/>
      <c r="AN399" s="8">
        <f t="shared" si="119"/>
        <v>1.0000000000000002</v>
      </c>
      <c r="AO399" s="8">
        <f t="shared" si="120"/>
        <v>3.7383515638052414</v>
      </c>
      <c r="AP399" s="8">
        <f t="shared" si="121"/>
        <v>1.024269442725803</v>
      </c>
      <c r="AQ399" s="8"/>
      <c r="AR399" s="8">
        <f t="shared" si="122"/>
        <v>214.19176694217163</v>
      </c>
      <c r="AS399" s="8">
        <f t="shared" si="123"/>
        <v>31.313683847594689</v>
      </c>
    </row>
    <row r="400" spans="1:45">
      <c r="A400" s="19">
        <v>20.28693333</v>
      </c>
      <c r="B400" s="19">
        <v>904.68420860000003</v>
      </c>
      <c r="C400" s="19">
        <v>542.7599017</v>
      </c>
      <c r="E400" s="9">
        <f t="shared" si="109"/>
        <v>-55.315791399999966</v>
      </c>
      <c r="F400" s="9">
        <f t="shared" si="110"/>
        <v>-2.7599017000000003</v>
      </c>
      <c r="I400">
        <v>1</v>
      </c>
      <c r="J400">
        <f t="shared" si="111"/>
        <v>3.5219011037041802E-2</v>
      </c>
      <c r="K400">
        <f t="shared" si="115"/>
        <v>-3.0917404340255321</v>
      </c>
      <c r="O400">
        <f t="shared" si="116"/>
        <v>-3.5167984863285033E-2</v>
      </c>
      <c r="P400">
        <f t="shared" si="117"/>
        <v>-1.754655926512779E-3</v>
      </c>
      <c r="Q400">
        <f t="shared" si="118"/>
        <v>0.99937987473394485</v>
      </c>
      <c r="R400">
        <f t="shared" si="108"/>
        <v>1</v>
      </c>
      <c r="AG400" s="8">
        <f t="shared" si="112"/>
        <v>-0.7070198907665971</v>
      </c>
      <c r="AH400" s="8">
        <f t="shared" si="113"/>
        <v>-0.47974214980217478</v>
      </c>
      <c r="AI400" s="8">
        <f t="shared" si="114"/>
        <v>0.51958670476021318</v>
      </c>
      <c r="AJ400" s="8"/>
      <c r="AK400" s="8"/>
      <c r="AL400" s="8"/>
      <c r="AN400" s="8">
        <f t="shared" si="119"/>
        <v>1.0000000000000002</v>
      </c>
      <c r="AO400" s="8">
        <f t="shared" si="120"/>
        <v>3.7377711205244002</v>
      </c>
      <c r="AP400" s="8">
        <f t="shared" si="121"/>
        <v>1.0244291629473152</v>
      </c>
      <c r="AQ400" s="8"/>
      <c r="AR400" s="8">
        <f t="shared" si="122"/>
        <v>214.15850999193268</v>
      </c>
      <c r="AS400" s="8">
        <f t="shared" si="123"/>
        <v>31.304532552999142</v>
      </c>
    </row>
    <row r="401" spans="1:45">
      <c r="A401" s="19">
        <v>20.3203</v>
      </c>
      <c r="B401" s="19">
        <v>903.88943770000003</v>
      </c>
      <c r="C401" s="19">
        <v>542.45023630000003</v>
      </c>
      <c r="E401" s="9">
        <f t="shared" si="109"/>
        <v>-56.11056229999997</v>
      </c>
      <c r="F401" s="9">
        <f t="shared" si="110"/>
        <v>-2.4502363000000287</v>
      </c>
      <c r="I401">
        <v>1</v>
      </c>
      <c r="J401">
        <f t="shared" si="111"/>
        <v>3.5718723619944846E-2</v>
      </c>
      <c r="K401">
        <f t="shared" si="115"/>
        <v>-3.0979523739053625</v>
      </c>
      <c r="O401">
        <f t="shared" si="116"/>
        <v>-3.5677128889182355E-2</v>
      </c>
      <c r="P401">
        <f t="shared" si="117"/>
        <v>-1.5579490331369343E-3</v>
      </c>
      <c r="Q401">
        <f t="shared" si="118"/>
        <v>0.99936215421089203</v>
      </c>
      <c r="R401">
        <f t="shared" si="108"/>
        <v>1</v>
      </c>
      <c r="AG401" s="8">
        <f t="shared" si="112"/>
        <v>-0.70727647584303632</v>
      </c>
      <c r="AH401" s="8">
        <f t="shared" si="113"/>
        <v>-0.47926820327805619</v>
      </c>
      <c r="AI401" s="8">
        <f t="shared" si="114"/>
        <v>0.51967487532656287</v>
      </c>
      <c r="AJ401" s="8"/>
      <c r="AK401" s="8"/>
      <c r="AL401" s="8"/>
      <c r="AN401" s="8">
        <f t="shared" si="119"/>
        <v>1</v>
      </c>
      <c r="AO401" s="8">
        <f t="shared" si="120"/>
        <v>3.7371434568670558</v>
      </c>
      <c r="AP401" s="8">
        <f t="shared" si="121"/>
        <v>1.0243259659627761</v>
      </c>
      <c r="AQ401" s="8"/>
      <c r="AR401" s="8">
        <f t="shared" si="122"/>
        <v>214.12254751341311</v>
      </c>
      <c r="AS401" s="8">
        <f t="shared" si="123"/>
        <v>31.31044530467171</v>
      </c>
    </row>
    <row r="402" spans="1:45">
      <c r="A402" s="19">
        <v>20.353666669999999</v>
      </c>
      <c r="B402" s="19">
        <v>903.55755320000003</v>
      </c>
      <c r="C402" s="19">
        <v>542.46852220000005</v>
      </c>
      <c r="E402" s="9">
        <f t="shared" si="109"/>
        <v>-56.442446799999971</v>
      </c>
      <c r="F402" s="9">
        <f t="shared" si="110"/>
        <v>-2.4685222000000522</v>
      </c>
      <c r="I402">
        <v>1</v>
      </c>
      <c r="J402">
        <f t="shared" si="111"/>
        <v>3.5931824220807713E-2</v>
      </c>
      <c r="K402">
        <f t="shared" si="115"/>
        <v>-3.097885297869472</v>
      </c>
      <c r="O402">
        <f t="shared" si="116"/>
        <v>-3.5889784787392444E-2</v>
      </c>
      <c r="P402">
        <f t="shared" si="117"/>
        <v>-1.5696472340193258E-3</v>
      </c>
      <c r="Q402">
        <f t="shared" si="118"/>
        <v>0.99935452145646264</v>
      </c>
      <c r="R402">
        <f t="shared" si="108"/>
        <v>1</v>
      </c>
      <c r="AG402" s="8">
        <f t="shared" si="112"/>
        <v>-0.70741397612349921</v>
      </c>
      <c r="AH402" s="8">
        <f t="shared" si="113"/>
        <v>-0.47911092606358813</v>
      </c>
      <c r="AI402" s="8">
        <f t="shared" si="114"/>
        <v>0.51963274233984946</v>
      </c>
      <c r="AJ402" s="8"/>
      <c r="AK402" s="8"/>
      <c r="AL402" s="8"/>
      <c r="AN402" s="8">
        <f t="shared" si="119"/>
        <v>1</v>
      </c>
      <c r="AO402" s="8">
        <f t="shared" si="120"/>
        <v>3.7369007887647796</v>
      </c>
      <c r="AP402" s="8">
        <f t="shared" si="121"/>
        <v>1.0243752802476163</v>
      </c>
      <c r="AQ402" s="8"/>
      <c r="AR402" s="8">
        <f t="shared" si="122"/>
        <v>214.10864365533024</v>
      </c>
      <c r="AS402" s="8">
        <f t="shared" si="123"/>
        <v>31.307619804280662</v>
      </c>
    </row>
    <row r="403" spans="1:45">
      <c r="A403" s="19">
        <v>20.387033330000001</v>
      </c>
      <c r="B403" s="19">
        <v>902.96488929999998</v>
      </c>
      <c r="C403" s="19">
        <v>541.91404699999998</v>
      </c>
      <c r="E403" s="9">
        <f t="shared" si="109"/>
        <v>-57.035110700000018</v>
      </c>
      <c r="F403" s="9">
        <f t="shared" si="110"/>
        <v>-1.9140469999999823</v>
      </c>
      <c r="I403">
        <v>1</v>
      </c>
      <c r="J403">
        <f t="shared" si="111"/>
        <v>3.6297828772712613E-2</v>
      </c>
      <c r="K403">
        <f t="shared" si="115"/>
        <v>-3.1080461430282735</v>
      </c>
      <c r="O403">
        <f t="shared" si="116"/>
        <v>-3.6269440889009311E-2</v>
      </c>
      <c r="P403">
        <f t="shared" si="117"/>
        <v>-1.2171698042357756E-3</v>
      </c>
      <c r="Q403">
        <f t="shared" si="118"/>
        <v>0.99934130613883176</v>
      </c>
      <c r="R403">
        <f t="shared" si="108"/>
        <v>1</v>
      </c>
      <c r="AG403" s="8">
        <f t="shared" si="112"/>
        <v>-0.70753845035147833</v>
      </c>
      <c r="AH403" s="8">
        <f t="shared" si="113"/>
        <v>-0.47866806620211561</v>
      </c>
      <c r="AI403" s="8">
        <f t="shared" si="114"/>
        <v>0.5198713530024095</v>
      </c>
      <c r="AJ403" s="8"/>
      <c r="AK403" s="8"/>
      <c r="AL403" s="8"/>
      <c r="AN403" s="8">
        <f t="shared" si="119"/>
        <v>1.0000000000000002</v>
      </c>
      <c r="AO403" s="8">
        <f t="shared" si="120"/>
        <v>3.7363898368472661</v>
      </c>
      <c r="AP403" s="8">
        <f t="shared" si="121"/>
        <v>1.0240959803862526</v>
      </c>
      <c r="AQ403" s="8"/>
      <c r="AR403" s="8">
        <f t="shared" si="122"/>
        <v>214.07936826692259</v>
      </c>
      <c r="AS403" s="8">
        <f t="shared" si="123"/>
        <v>31.323622507555392</v>
      </c>
    </row>
    <row r="404" spans="1:45">
      <c r="A404" s="19">
        <v>20.420400000000001</v>
      </c>
      <c r="B404" s="19">
        <v>902.0173896</v>
      </c>
      <c r="C404" s="19">
        <v>541.76238920000003</v>
      </c>
      <c r="E404" s="9">
        <f t="shared" si="109"/>
        <v>-57.982610399999999</v>
      </c>
      <c r="F404" s="9">
        <f t="shared" si="110"/>
        <v>-1.7623892000000296</v>
      </c>
      <c r="I404">
        <v>1</v>
      </c>
      <c r="J404">
        <f t="shared" si="111"/>
        <v>3.6901993316655807E-2</v>
      </c>
      <c r="K404">
        <f t="shared" si="115"/>
        <v>-3.1112068749498727</v>
      </c>
      <c r="O404">
        <f t="shared" si="116"/>
        <v>-3.6876588081837733E-2</v>
      </c>
      <c r="P404">
        <f t="shared" si="117"/>
        <v>-1.1208688280836864E-3</v>
      </c>
      <c r="Q404">
        <f t="shared" si="118"/>
        <v>0.9993191987070561</v>
      </c>
      <c r="R404">
        <f t="shared" si="108"/>
        <v>1</v>
      </c>
      <c r="AG404" s="8">
        <f t="shared" si="112"/>
        <v>-0.70788867406795863</v>
      </c>
      <c r="AH404" s="8">
        <f t="shared" si="113"/>
        <v>-0.47816249611643008</v>
      </c>
      <c r="AI404" s="8">
        <f t="shared" si="114"/>
        <v>0.51985983922016188</v>
      </c>
      <c r="AJ404" s="8"/>
      <c r="AK404" s="8"/>
      <c r="AL404" s="8"/>
      <c r="AN404" s="8">
        <f t="shared" si="119"/>
        <v>1.0000000000000002</v>
      </c>
      <c r="AO404" s="8">
        <f t="shared" si="120"/>
        <v>3.7356699209856554</v>
      </c>
      <c r="AP404" s="8">
        <f t="shared" si="121"/>
        <v>1.0241094586517314</v>
      </c>
      <c r="AQ404" s="8"/>
      <c r="AR404" s="8">
        <f t="shared" si="122"/>
        <v>214.03812012644778</v>
      </c>
      <c r="AS404" s="8">
        <f t="shared" si="123"/>
        <v>31.3228502598283</v>
      </c>
    </row>
    <row r="405" spans="1:45">
      <c r="A405" s="19">
        <v>20.45376667</v>
      </c>
      <c r="B405" s="19">
        <v>901.64770429999999</v>
      </c>
      <c r="C405" s="19">
        <v>541.71819149999999</v>
      </c>
      <c r="E405" s="9">
        <f t="shared" si="109"/>
        <v>-58.352295700000013</v>
      </c>
      <c r="F405" s="9">
        <f t="shared" si="110"/>
        <v>-1.718191499999989</v>
      </c>
      <c r="I405">
        <v>1</v>
      </c>
      <c r="J405">
        <f t="shared" si="111"/>
        <v>3.7138116470407052E-2</v>
      </c>
      <c r="K405">
        <f t="shared" si="115"/>
        <v>-3.1121560192483151</v>
      </c>
      <c r="O405">
        <f t="shared" si="116"/>
        <v>-3.7113494482761154E-2</v>
      </c>
      <c r="P405">
        <f t="shared" si="117"/>
        <v>-1.0928120306255083E-3</v>
      </c>
      <c r="Q405">
        <f t="shared" si="118"/>
        <v>0.99931045941146024</v>
      </c>
      <c r="R405">
        <f t="shared" si="108"/>
        <v>1</v>
      </c>
      <c r="AG405" s="8">
        <f t="shared" si="112"/>
        <v>-0.7080283450467354</v>
      </c>
      <c r="AH405" s="8">
        <f t="shared" si="113"/>
        <v>-0.47796930511710761</v>
      </c>
      <c r="AI405" s="8">
        <f t="shared" si="114"/>
        <v>0.51984729101559268</v>
      </c>
      <c r="AJ405" s="8"/>
      <c r="AK405" s="8"/>
      <c r="AL405" s="8"/>
      <c r="AN405" s="8">
        <f t="shared" si="119"/>
        <v>1</v>
      </c>
      <c r="AO405" s="8">
        <f t="shared" si="120"/>
        <v>3.7353910001038821</v>
      </c>
      <c r="AP405" s="8">
        <f t="shared" si="121"/>
        <v>1.0241241477069258</v>
      </c>
      <c r="AQ405" s="8"/>
      <c r="AR405" s="8">
        <f t="shared" si="122"/>
        <v>214.02213913710409</v>
      </c>
      <c r="AS405" s="8">
        <f t="shared" si="123"/>
        <v>31.322008638960625</v>
      </c>
    </row>
    <row r="406" spans="1:45">
      <c r="A406" s="19">
        <v>20.487133329999999</v>
      </c>
      <c r="B406" s="19">
        <v>901.12248790000001</v>
      </c>
      <c r="C406" s="19">
        <v>541.75710949999996</v>
      </c>
      <c r="E406" s="9">
        <f t="shared" si="109"/>
        <v>-58.87751209999999</v>
      </c>
      <c r="F406" s="9">
        <f t="shared" si="110"/>
        <v>-1.7571094999999559</v>
      </c>
      <c r="I406">
        <v>1</v>
      </c>
      <c r="J406">
        <f t="shared" si="111"/>
        <v>3.7475542107242521E-2</v>
      </c>
      <c r="K406">
        <f t="shared" si="115"/>
        <v>-3.1117580347447573</v>
      </c>
      <c r="O406">
        <f t="shared" si="116"/>
        <v>-3.7450097412924412E-2</v>
      </c>
      <c r="P406">
        <f t="shared" si="117"/>
        <v>-1.1176410074598493E-3</v>
      </c>
      <c r="Q406">
        <f t="shared" si="118"/>
        <v>0.9992978740507461</v>
      </c>
      <c r="R406">
        <f t="shared" si="108"/>
        <v>1</v>
      </c>
      <c r="AG406" s="8">
        <f t="shared" si="112"/>
        <v>-0.7082476937533505</v>
      </c>
      <c r="AH406" s="8">
        <f t="shared" si="113"/>
        <v>-0.47772284745492632</v>
      </c>
      <c r="AI406" s="8">
        <f t="shared" si="114"/>
        <v>0.51977503336791531</v>
      </c>
      <c r="AJ406" s="8"/>
      <c r="AK406" s="8"/>
      <c r="AL406" s="8"/>
      <c r="AN406" s="8">
        <f t="shared" si="119"/>
        <v>1</v>
      </c>
      <c r="AO406" s="8">
        <f t="shared" si="120"/>
        <v>3.7350082344664801</v>
      </c>
      <c r="AP406" s="8">
        <f t="shared" si="121"/>
        <v>1.0242087306854193</v>
      </c>
      <c r="AQ406" s="8"/>
      <c r="AR406" s="8">
        <f t="shared" si="122"/>
        <v>214.00020828153833</v>
      </c>
      <c r="AS406" s="8">
        <f t="shared" si="123"/>
        <v>31.317162391274302</v>
      </c>
    </row>
    <row r="407" spans="1:45">
      <c r="A407" s="19">
        <v>20.520499999999998</v>
      </c>
      <c r="B407" s="19">
        <v>900.64570809999998</v>
      </c>
      <c r="C407" s="19">
        <v>541.74153569999999</v>
      </c>
      <c r="E407" s="9">
        <f t="shared" si="109"/>
        <v>-59.354291900000021</v>
      </c>
      <c r="F407" s="9">
        <f t="shared" si="110"/>
        <v>-1.7415356999999858</v>
      </c>
      <c r="I407">
        <v>1</v>
      </c>
      <c r="J407">
        <f t="shared" si="111"/>
        <v>3.7780899320323254E-2</v>
      </c>
      <c r="K407">
        <f t="shared" si="115"/>
        <v>-3.112259708480078</v>
      </c>
      <c r="O407">
        <f t="shared" si="116"/>
        <v>-3.7755663188163882E-2</v>
      </c>
      <c r="P407">
        <f t="shared" si="117"/>
        <v>-1.1078025398760321E-3</v>
      </c>
      <c r="Q407">
        <f t="shared" si="118"/>
        <v>0.99928638671341585</v>
      </c>
      <c r="R407">
        <f t="shared" si="108"/>
        <v>1</v>
      </c>
      <c r="AG407" s="8">
        <f t="shared" si="112"/>
        <v>-0.7084362562037031</v>
      </c>
      <c r="AH407" s="8">
        <f t="shared" si="113"/>
        <v>-0.47748501043527375</v>
      </c>
      <c r="AI407" s="8">
        <f t="shared" si="114"/>
        <v>0.51973660223781404</v>
      </c>
      <c r="AJ407" s="8"/>
      <c r="AK407" s="8"/>
      <c r="AL407" s="8"/>
      <c r="AN407" s="8">
        <f t="shared" si="119"/>
        <v>1</v>
      </c>
      <c r="AO407" s="8">
        <f t="shared" si="120"/>
        <v>3.73465401546376</v>
      </c>
      <c r="AP407" s="8">
        <f t="shared" si="121"/>
        <v>1.0242537154230709</v>
      </c>
      <c r="AQ407" s="8"/>
      <c r="AR407" s="8">
        <f t="shared" si="122"/>
        <v>213.97991302765914</v>
      </c>
      <c r="AS407" s="8">
        <f t="shared" si="123"/>
        <v>31.314584955664365</v>
      </c>
    </row>
    <row r="408" spans="1:45">
      <c r="A408" s="19">
        <v>20.553866670000001</v>
      </c>
      <c r="B408" s="19">
        <v>899.80686290000006</v>
      </c>
      <c r="C408" s="19">
        <v>541.73760270000002</v>
      </c>
      <c r="E408" s="9">
        <f t="shared" si="109"/>
        <v>-60.193137099999944</v>
      </c>
      <c r="F408" s="9">
        <f t="shared" si="110"/>
        <v>-1.7376027000000249</v>
      </c>
      <c r="I408">
        <v>1</v>
      </c>
      <c r="J408">
        <f t="shared" si="111"/>
        <v>3.831863446060553E-2</v>
      </c>
      <c r="K408">
        <f t="shared" si="115"/>
        <v>-3.1127335448856348</v>
      </c>
      <c r="O408">
        <f t="shared" si="116"/>
        <v>-3.8293306036999944E-2</v>
      </c>
      <c r="P408">
        <f t="shared" si="117"/>
        <v>-1.1054175802679446E-3</v>
      </c>
      <c r="Q408">
        <f t="shared" si="118"/>
        <v>0.99926593095368255</v>
      </c>
      <c r="R408">
        <f t="shared" si="108"/>
        <v>1</v>
      </c>
      <c r="AG408" s="8">
        <f t="shared" si="112"/>
        <v>-0.70877271370189765</v>
      </c>
      <c r="AH408" s="8">
        <f t="shared" si="113"/>
        <v>-0.47707290048276768</v>
      </c>
      <c r="AI408" s="8">
        <f t="shared" si="114"/>
        <v>0.5196563171333598</v>
      </c>
      <c r="AJ408" s="8"/>
      <c r="AK408" s="8"/>
      <c r="AL408" s="8"/>
      <c r="AN408" s="8">
        <f t="shared" si="119"/>
        <v>1</v>
      </c>
      <c r="AO408" s="8">
        <f t="shared" si="120"/>
        <v>3.7340339340721469</v>
      </c>
      <c r="AP408" s="8">
        <f t="shared" si="121"/>
        <v>1.0243476874635953</v>
      </c>
      <c r="AQ408" s="8"/>
      <c r="AR408" s="8">
        <f t="shared" si="122"/>
        <v>213.94438498096511</v>
      </c>
      <c r="AS408" s="8">
        <f t="shared" si="123"/>
        <v>31.30920075435008</v>
      </c>
    </row>
    <row r="409" spans="1:45">
      <c r="A409" s="19">
        <v>20.58723333</v>
      </c>
      <c r="B409" s="19">
        <v>899.24685520000003</v>
      </c>
      <c r="C409" s="19">
        <v>541.63152019999995</v>
      </c>
      <c r="E409" s="9">
        <f t="shared" si="109"/>
        <v>-60.753144799999973</v>
      </c>
      <c r="F409" s="9">
        <f t="shared" si="110"/>
        <v>-1.6315201999999545</v>
      </c>
      <c r="I409">
        <v>1</v>
      </c>
      <c r="J409">
        <f t="shared" si="111"/>
        <v>3.8675814971696497E-2</v>
      </c>
      <c r="K409">
        <f t="shared" si="115"/>
        <v>-3.1147441971836751</v>
      </c>
      <c r="O409">
        <f t="shared" si="116"/>
        <v>-3.8652238474136069E-2</v>
      </c>
      <c r="P409">
        <f t="shared" si="117"/>
        <v>-1.0380023627314969E-3</v>
      </c>
      <c r="Q409">
        <f t="shared" si="118"/>
        <v>0.99925218389155068</v>
      </c>
      <c r="R409">
        <f t="shared" si="108"/>
        <v>1</v>
      </c>
      <c r="AG409" s="8">
        <f t="shared" si="112"/>
        <v>-0.7089758892567084</v>
      </c>
      <c r="AH409" s="8">
        <f t="shared" si="113"/>
        <v>-0.47676911884830714</v>
      </c>
      <c r="AI409" s="8">
        <f t="shared" si="114"/>
        <v>0.51965796035976242</v>
      </c>
      <c r="AJ409" s="8"/>
      <c r="AK409" s="8"/>
      <c r="AL409" s="8"/>
      <c r="AN409" s="8">
        <f t="shared" si="119"/>
        <v>1</v>
      </c>
      <c r="AO409" s="8">
        <f t="shared" si="120"/>
        <v>3.7336061802099723</v>
      </c>
      <c r="AP409" s="8">
        <f t="shared" si="121"/>
        <v>1.0243457641552025</v>
      </c>
      <c r="AQ409" s="8"/>
      <c r="AR409" s="8">
        <f t="shared" si="122"/>
        <v>213.91987648999208</v>
      </c>
      <c r="AS409" s="8">
        <f t="shared" si="123"/>
        <v>31.309310951803688</v>
      </c>
    </row>
    <row r="410" spans="1:45">
      <c r="A410" s="19">
        <v>20.6206</v>
      </c>
      <c r="B410" s="19">
        <v>898.98025619999999</v>
      </c>
      <c r="C410" s="19">
        <v>541.66785879999998</v>
      </c>
      <c r="E410" s="9">
        <f t="shared" si="109"/>
        <v>-61.019743800000015</v>
      </c>
      <c r="F410" s="9">
        <f t="shared" si="110"/>
        <v>-1.6678587999999763</v>
      </c>
      <c r="I410">
        <v>1</v>
      </c>
      <c r="J410">
        <f t="shared" si="111"/>
        <v>3.8847399431225733E-2</v>
      </c>
      <c r="K410">
        <f t="shared" si="115"/>
        <v>-3.1142663567110578</v>
      </c>
      <c r="O410">
        <f t="shared" si="116"/>
        <v>-3.8823129626500912E-2</v>
      </c>
      <c r="P410">
        <f t="shared" si="117"/>
        <v>-1.0611565103146054E-3</v>
      </c>
      <c r="Q410">
        <f t="shared" si="118"/>
        <v>0.99924553466746324</v>
      </c>
      <c r="R410">
        <f t="shared" si="108"/>
        <v>1</v>
      </c>
      <c r="AG410" s="8">
        <f t="shared" si="112"/>
        <v>-0.70909050031345588</v>
      </c>
      <c r="AH410" s="8">
        <f t="shared" si="113"/>
        <v>-0.47664844748510421</v>
      </c>
      <c r="AI410" s="8">
        <f t="shared" si="114"/>
        <v>0.5196122784107905</v>
      </c>
      <c r="AJ410" s="8"/>
      <c r="AK410" s="8"/>
      <c r="AL410" s="8"/>
      <c r="AN410" s="8">
        <f t="shared" si="119"/>
        <v>1.0000000000000002</v>
      </c>
      <c r="AO410" s="8">
        <f t="shared" si="120"/>
        <v>3.7334141253223811</v>
      </c>
      <c r="AP410" s="8">
        <f t="shared" si="121"/>
        <v>1.0243992315888617</v>
      </c>
      <c r="AQ410" s="8"/>
      <c r="AR410" s="8">
        <f t="shared" si="122"/>
        <v>213.90887255549825</v>
      </c>
      <c r="AS410" s="8">
        <f t="shared" si="123"/>
        <v>31.306247493513624</v>
      </c>
    </row>
    <row r="411" spans="1:45">
      <c r="A411" s="19">
        <v>20.653966669999999</v>
      </c>
      <c r="B411" s="19">
        <v>898.45538450000004</v>
      </c>
      <c r="C411" s="19">
        <v>541.02666810000005</v>
      </c>
      <c r="E411" s="9">
        <f t="shared" si="109"/>
        <v>-61.544615499999964</v>
      </c>
      <c r="F411" s="9">
        <f t="shared" si="110"/>
        <v>-1.0266681000000517</v>
      </c>
      <c r="I411">
        <v>1</v>
      </c>
      <c r="J411">
        <f t="shared" si="111"/>
        <v>3.9174976268010565E-2</v>
      </c>
      <c r="K411">
        <f t="shared" si="115"/>
        <v>-3.1249125122929504</v>
      </c>
      <c r="O411">
        <f t="shared" si="116"/>
        <v>-3.9159508619368157E-2</v>
      </c>
      <c r="P411">
        <f t="shared" si="117"/>
        <v>-6.5324672165972266E-4</v>
      </c>
      <c r="Q411">
        <f t="shared" si="118"/>
        <v>0.99923275874713513</v>
      </c>
      <c r="R411">
        <f t="shared" ref="R411:R474" si="124">SQRT(O411^2+P411^2+Q411^2)</f>
        <v>1</v>
      </c>
      <c r="AG411" s="8">
        <f t="shared" si="112"/>
        <v>-0.70916899642653208</v>
      </c>
      <c r="AH411" s="8">
        <f t="shared" si="113"/>
        <v>-0.47621397304568652</v>
      </c>
      <c r="AI411" s="8">
        <f t="shared" si="114"/>
        <v>0.5199034394802825</v>
      </c>
      <c r="AJ411" s="8"/>
      <c r="AK411" s="8"/>
      <c r="AL411" s="8"/>
      <c r="AN411" s="8">
        <f t="shared" si="119"/>
        <v>1.0000000000000004</v>
      </c>
      <c r="AO411" s="8">
        <f t="shared" si="120"/>
        <v>3.7329407459410704</v>
      </c>
      <c r="AP411" s="8">
        <f t="shared" si="121"/>
        <v>1.0240584187254076</v>
      </c>
      <c r="AQ411" s="8"/>
      <c r="AR411" s="8">
        <f t="shared" si="122"/>
        <v>213.88174991484061</v>
      </c>
      <c r="AS411" s="8">
        <f t="shared" si="123"/>
        <v>31.325774632193315</v>
      </c>
    </row>
    <row r="412" spans="1:45">
      <c r="A412" s="19">
        <v>20.687333330000001</v>
      </c>
      <c r="B412" s="19">
        <v>898.01809349999996</v>
      </c>
      <c r="C412" s="19">
        <v>541.24551389999999</v>
      </c>
      <c r="E412" s="9">
        <f t="shared" si="109"/>
        <v>-61.981906500000036</v>
      </c>
      <c r="F412" s="9">
        <f t="shared" si="110"/>
        <v>-1.2455138999999917</v>
      </c>
      <c r="I412">
        <v>1</v>
      </c>
      <c r="J412">
        <f t="shared" si="111"/>
        <v>3.9458043913379245E-2</v>
      </c>
      <c r="K412">
        <f t="shared" si="115"/>
        <v>-3.121500559551738</v>
      </c>
      <c r="O412">
        <f t="shared" si="116"/>
        <v>-3.9439843642092624E-2</v>
      </c>
      <c r="P412">
        <f t="shared" si="117"/>
        <v>-7.9253569701108137E-4</v>
      </c>
      <c r="Q412">
        <f t="shared" si="118"/>
        <v>0.99922163238225392</v>
      </c>
      <c r="R412">
        <f t="shared" si="124"/>
        <v>1</v>
      </c>
      <c r="AG412" s="8">
        <f t="shared" si="112"/>
        <v>-0.70938976776236418</v>
      </c>
      <c r="AH412" s="8">
        <f t="shared" si="113"/>
        <v>-0.47605994164239307</v>
      </c>
      <c r="AI412" s="8">
        <f t="shared" si="114"/>
        <v>0.51974329178691714</v>
      </c>
      <c r="AJ412" s="8"/>
      <c r="AK412" s="8"/>
      <c r="AL412" s="8"/>
      <c r="AN412" s="8">
        <f t="shared" si="119"/>
        <v>1</v>
      </c>
      <c r="AO412" s="8">
        <f t="shared" si="120"/>
        <v>3.7326470031426702</v>
      </c>
      <c r="AP412" s="8">
        <f t="shared" si="121"/>
        <v>1.0242458852028942</v>
      </c>
      <c r="AQ412" s="8"/>
      <c r="AR412" s="8">
        <f t="shared" si="122"/>
        <v>213.86491969222993</v>
      </c>
      <c r="AS412" s="8">
        <f t="shared" si="123"/>
        <v>31.315033594233149</v>
      </c>
    </row>
    <row r="413" spans="1:45">
      <c r="A413" s="19">
        <v>20.720700000000001</v>
      </c>
      <c r="B413" s="19">
        <v>897.64034660000004</v>
      </c>
      <c r="C413" s="19">
        <v>540.8185082</v>
      </c>
      <c r="E413" s="9">
        <f t="shared" si="109"/>
        <v>-62.359653399999956</v>
      </c>
      <c r="F413" s="9">
        <f t="shared" si="110"/>
        <v>-0.81850819999999658</v>
      </c>
      <c r="I413">
        <v>1</v>
      </c>
      <c r="J413">
        <f t="shared" si="111"/>
        <v>3.9695806020734574E-2</v>
      </c>
      <c r="K413">
        <f t="shared" si="115"/>
        <v>-3.1284678019329504</v>
      </c>
      <c r="O413">
        <f t="shared" si="116"/>
        <v>-3.9681963597403176E-2</v>
      </c>
      <c r="P413">
        <f t="shared" si="117"/>
        <v>-5.2084979350729794E-4</v>
      </c>
      <c r="Q413">
        <f t="shared" si="118"/>
        <v>0.99921222494550521</v>
      </c>
      <c r="R413">
        <f t="shared" si="124"/>
        <v>1</v>
      </c>
      <c r="AG413" s="8">
        <f t="shared" si="112"/>
        <v>-0.7094532442583501</v>
      </c>
      <c r="AH413" s="8">
        <f t="shared" si="113"/>
        <v>-0.47575663500543169</v>
      </c>
      <c r="AI413" s="8">
        <f t="shared" si="114"/>
        <v>0.51993434052734999</v>
      </c>
      <c r="AJ413" s="8"/>
      <c r="AK413" s="8"/>
      <c r="AL413" s="8"/>
      <c r="AN413" s="8">
        <f t="shared" si="119"/>
        <v>1</v>
      </c>
      <c r="AO413" s="8">
        <f t="shared" si="120"/>
        <v>3.732310757398217</v>
      </c>
      <c r="AP413" s="8">
        <f t="shared" si="121"/>
        <v>1.0240222439635862</v>
      </c>
      <c r="AQ413" s="8"/>
      <c r="AR413" s="8">
        <f t="shared" si="122"/>
        <v>213.84565423019353</v>
      </c>
      <c r="AS413" s="8">
        <f t="shared" si="123"/>
        <v>31.327847293370567</v>
      </c>
    </row>
    <row r="414" spans="1:45">
      <c r="A414" s="19">
        <v>20.75406667</v>
      </c>
      <c r="B414" s="19">
        <v>896.65275050000002</v>
      </c>
      <c r="C414" s="19">
        <v>540.80003959999999</v>
      </c>
      <c r="E414" s="9">
        <f t="shared" si="109"/>
        <v>-63.347249499999975</v>
      </c>
      <c r="F414" s="9">
        <f t="shared" si="110"/>
        <v>-0.80003959999999097</v>
      </c>
      <c r="I414">
        <v>1</v>
      </c>
      <c r="J414">
        <f t="shared" si="111"/>
        <v>4.0329233549983905E-2</v>
      </c>
      <c r="K414">
        <f t="shared" si="115"/>
        <v>-3.1289638958412826</v>
      </c>
      <c r="O414">
        <f t="shared" si="116"/>
        <v>-4.0315087161622007E-2</v>
      </c>
      <c r="P414">
        <f t="shared" si="117"/>
        <v>-5.0915653736077131E-4</v>
      </c>
      <c r="Q414">
        <f t="shared" si="118"/>
        <v>0.99918688667674738</v>
      </c>
      <c r="R414">
        <f t="shared" si="124"/>
        <v>1</v>
      </c>
      <c r="AG414" s="8">
        <f t="shared" si="112"/>
        <v>-0.70984571276917785</v>
      </c>
      <c r="AH414" s="8">
        <f t="shared" si="113"/>
        <v>-0.47526684443747408</v>
      </c>
      <c r="AI414" s="8">
        <f t="shared" si="114"/>
        <v>0.51984660299136665</v>
      </c>
      <c r="AJ414" s="8"/>
      <c r="AK414" s="8"/>
      <c r="AL414" s="8"/>
      <c r="AN414" s="8">
        <f t="shared" si="119"/>
        <v>0.99999999999999989</v>
      </c>
      <c r="AO414" s="8">
        <f t="shared" si="120"/>
        <v>3.7315786854757929</v>
      </c>
      <c r="AP414" s="8">
        <f t="shared" si="121"/>
        <v>1.0241249531112471</v>
      </c>
      <c r="AQ414" s="8"/>
      <c r="AR414" s="8">
        <f t="shared" si="122"/>
        <v>213.80370959873861</v>
      </c>
      <c r="AS414" s="8">
        <f t="shared" si="123"/>
        <v>31.321962492692215</v>
      </c>
    </row>
    <row r="415" spans="1:45">
      <c r="A415" s="19">
        <v>20.787433329999999</v>
      </c>
      <c r="B415" s="19">
        <v>896.36786889999996</v>
      </c>
      <c r="C415" s="19">
        <v>540.67190989999995</v>
      </c>
      <c r="E415" s="9">
        <f t="shared" si="109"/>
        <v>-63.632131100000038</v>
      </c>
      <c r="F415" s="9">
        <f t="shared" si="110"/>
        <v>-0.67190989999994599</v>
      </c>
      <c r="I415">
        <v>1</v>
      </c>
      <c r="J415">
        <f t="shared" si="111"/>
        <v>4.0511056232301348E-2</v>
      </c>
      <c r="K415">
        <f t="shared" si="115"/>
        <v>-3.1310337595572735</v>
      </c>
      <c r="O415">
        <f t="shared" si="116"/>
        <v>-4.0497718728922105E-2</v>
      </c>
      <c r="P415">
        <f t="shared" si="117"/>
        <v>-4.2762701281548595E-4</v>
      </c>
      <c r="Q415">
        <f t="shared" si="118"/>
        <v>0.99917953937862991</v>
      </c>
      <c r="R415">
        <f t="shared" si="124"/>
        <v>1</v>
      </c>
      <c r="AG415" s="8">
        <f t="shared" si="112"/>
        <v>-0.70993350930426935</v>
      </c>
      <c r="AH415" s="8">
        <f t="shared" si="113"/>
        <v>-0.47509156931678209</v>
      </c>
      <c r="AI415" s="8">
        <f t="shared" si="114"/>
        <v>0.51988692340839093</v>
      </c>
      <c r="AJ415" s="8"/>
      <c r="AK415" s="8"/>
      <c r="AL415" s="8"/>
      <c r="AN415" s="8">
        <f t="shared" si="119"/>
        <v>1</v>
      </c>
      <c r="AO415" s="8">
        <f t="shared" si="120"/>
        <v>3.7313510079369028</v>
      </c>
      <c r="AP415" s="8">
        <f t="shared" si="121"/>
        <v>1.0240777531794496</v>
      </c>
      <c r="AQ415" s="8"/>
      <c r="AR415" s="8">
        <f t="shared" si="122"/>
        <v>213.79066463667027</v>
      </c>
      <c r="AS415" s="8">
        <f t="shared" si="123"/>
        <v>31.324666849577518</v>
      </c>
    </row>
    <row r="416" spans="1:45">
      <c r="A416" s="19">
        <v>20.820799999999998</v>
      </c>
      <c r="B416" s="19">
        <v>896.10522979999996</v>
      </c>
      <c r="C416" s="19">
        <v>540.84099760000004</v>
      </c>
      <c r="E416" s="9">
        <f t="shared" ref="E416:E479" si="125">(B416-($B$15/2))</f>
        <v>-63.894770200000039</v>
      </c>
      <c r="F416" s="9">
        <f t="shared" ref="F416:F479" si="126">(($C$15/2)-C416)</f>
        <v>-0.84099760000003698</v>
      </c>
      <c r="I416">
        <v>1</v>
      </c>
      <c r="J416">
        <f t="shared" ref="J416:J479" si="127">ATAN((SQRT(E416^2+F416^2)^$B$16)/($F$24))</f>
        <v>4.0680851968103948E-2</v>
      </c>
      <c r="K416">
        <f t="shared" si="115"/>
        <v>-3.1284311845617436</v>
      </c>
      <c r="O416">
        <f t="shared" si="116"/>
        <v>-4.0666109791740776E-2</v>
      </c>
      <c r="P416">
        <f t="shared" si="117"/>
        <v>-5.3525665135254212E-4</v>
      </c>
      <c r="Q416">
        <f t="shared" si="118"/>
        <v>0.99917264825190411</v>
      </c>
      <c r="R416">
        <f t="shared" si="124"/>
        <v>1</v>
      </c>
      <c r="AG416" s="8">
        <f t="shared" ref="AG416:AG479" si="128">$O416*$Z$27+$P416*$Z$31+$Q416*$Z$35</f>
        <v>-0.71007376372669206</v>
      </c>
      <c r="AH416" s="8">
        <f t="shared" ref="AH416:AH479" si="129">$O416*$AA$27+$P416*$AA$31+$Q416*$AA$35</f>
        <v>-0.47500935589118848</v>
      </c>
      <c r="AI416" s="8">
        <f t="shared" ref="AI416:AI479" si="130">$AB$27*$O416+$P416*$AB$31+$AB$35*$Q416</f>
        <v>0.5197704896229185</v>
      </c>
      <c r="AJ416" s="8"/>
      <c r="AK416" s="8"/>
      <c r="AL416" s="8"/>
      <c r="AN416" s="8">
        <f t="shared" si="119"/>
        <v>1.0000000000000004</v>
      </c>
      <c r="AO416" s="8">
        <f t="shared" si="120"/>
        <v>3.7311797233254609</v>
      </c>
      <c r="AP416" s="8">
        <f t="shared" si="121"/>
        <v>1.0242140493331533</v>
      </c>
      <c r="AQ416" s="8"/>
      <c r="AR416" s="8">
        <f t="shared" si="122"/>
        <v>213.7808507513391</v>
      </c>
      <c r="AS416" s="8">
        <f t="shared" si="123"/>
        <v>31.316857655206427</v>
      </c>
    </row>
    <row r="417" spans="1:45">
      <c r="A417" s="19">
        <v>20.854166670000001</v>
      </c>
      <c r="B417" s="19">
        <v>895.58352779999996</v>
      </c>
      <c r="C417" s="19">
        <v>540.84056740000005</v>
      </c>
      <c r="E417" s="9">
        <f t="shared" si="125"/>
        <v>-64.416472200000044</v>
      </c>
      <c r="F417" s="9">
        <f t="shared" si="126"/>
        <v>-0.84056740000005448</v>
      </c>
      <c r="I417">
        <v>1</v>
      </c>
      <c r="J417">
        <f t="shared" si="127"/>
        <v>4.1015578018386296E-2</v>
      </c>
      <c r="K417">
        <f t="shared" ref="K417:K480" si="131">ATAN2(E417,F417)</f>
        <v>-3.1285444429857741</v>
      </c>
      <c r="O417">
        <f t="shared" ref="O417:O480" si="132">COS(K417)*SIN(J417)</f>
        <v>-4.1000588512401744E-2</v>
      </c>
      <c r="P417">
        <f t="shared" ref="P417:P480" si="133">SIN(K417)*SIN(J417)</f>
        <v>-5.3501467726047665E-4</v>
      </c>
      <c r="Q417">
        <f t="shared" ref="Q417:Q480" si="134">COS(J417)</f>
        <v>0.99915897909238238</v>
      </c>
      <c r="R417">
        <f t="shared" si="124"/>
        <v>1</v>
      </c>
      <c r="AG417" s="8">
        <f t="shared" si="128"/>
        <v>-0.7102828392123719</v>
      </c>
      <c r="AH417" s="8">
        <f t="shared" si="129"/>
        <v>-0.47475303670385127</v>
      </c>
      <c r="AI417" s="8">
        <f t="shared" si="130"/>
        <v>0.51971900336709209</v>
      </c>
      <c r="AJ417" s="8"/>
      <c r="AK417" s="8"/>
      <c r="AL417" s="8"/>
      <c r="AN417" s="8">
        <f t="shared" ref="AN417:AN480" si="135">AG417^2+AH417^2+AI417^2</f>
        <v>1</v>
      </c>
      <c r="AO417" s="8">
        <f t="shared" ref="AO417:AO480" si="136">IF(ATAN2(AG417,AH417)&gt;=0,ATAN2(AG417,AH417),ATAN2(AG417,AH417)+2*PI())</f>
        <v>3.7307942846543787</v>
      </c>
      <c r="AP417" s="8">
        <f t="shared" ref="AP417:AP480" si="137">ACOS(AI417/AN417)</f>
        <v>1.0242743149939568</v>
      </c>
      <c r="AQ417" s="8"/>
      <c r="AR417" s="8">
        <f t="shared" ref="AR417:AR480" si="138">DEGREES(AO417)</f>
        <v>213.75876674222496</v>
      </c>
      <c r="AS417" s="8">
        <f t="shared" ref="AS417:AS480" si="139">90-DEGREES(AP417)</f>
        <v>31.313404687192822</v>
      </c>
    </row>
    <row r="418" spans="1:45">
      <c r="A418" s="19">
        <v>20.88753333</v>
      </c>
      <c r="B418" s="19">
        <v>895.47179530000005</v>
      </c>
      <c r="C418" s="19">
        <v>540.80276330000004</v>
      </c>
      <c r="E418" s="9">
        <f t="shared" si="125"/>
        <v>-64.528204699999947</v>
      </c>
      <c r="F418" s="9">
        <f t="shared" si="126"/>
        <v>-0.80276330000003782</v>
      </c>
      <c r="I418">
        <v>1</v>
      </c>
      <c r="J418">
        <f t="shared" si="127"/>
        <v>4.1086959984942051E-2</v>
      </c>
      <c r="K418">
        <f t="shared" si="131"/>
        <v>-3.1291527926939158</v>
      </c>
      <c r="O418">
        <f t="shared" si="132"/>
        <v>-4.1072222711306568E-2</v>
      </c>
      <c r="P418">
        <f t="shared" si="133"/>
        <v>-5.109590944820569E-4</v>
      </c>
      <c r="Q418">
        <f t="shared" si="134"/>
        <v>0.99915604959503523</v>
      </c>
      <c r="R418">
        <f t="shared" si="124"/>
        <v>1</v>
      </c>
      <c r="AG418" s="8">
        <f t="shared" si="128"/>
        <v>-0.71031981717012127</v>
      </c>
      <c r="AH418" s="8">
        <f t="shared" si="129"/>
        <v>-0.47468770755946993</v>
      </c>
      <c r="AI418" s="8">
        <f t="shared" si="130"/>
        <v>0.51972813819086283</v>
      </c>
      <c r="AJ418" s="8"/>
      <c r="AK418" s="8"/>
      <c r="AL418" s="8"/>
      <c r="AN418" s="8">
        <f t="shared" si="135"/>
        <v>1</v>
      </c>
      <c r="AO418" s="8">
        <f t="shared" si="136"/>
        <v>3.7307066580326587</v>
      </c>
      <c r="AP418" s="8">
        <f t="shared" si="137"/>
        <v>1.0242636226668349</v>
      </c>
      <c r="AQ418" s="8"/>
      <c r="AR418" s="8">
        <f t="shared" si="138"/>
        <v>213.75374610662743</v>
      </c>
      <c r="AS418" s="8">
        <f t="shared" si="139"/>
        <v>31.31401731241008</v>
      </c>
    </row>
    <row r="419" spans="1:45">
      <c r="A419" s="19">
        <v>20.9209</v>
      </c>
      <c r="B419" s="19">
        <v>895.27338750000001</v>
      </c>
      <c r="C419" s="19">
        <v>540.71672799999999</v>
      </c>
      <c r="E419" s="9">
        <f t="shared" si="125"/>
        <v>-64.726612499999987</v>
      </c>
      <c r="F419" s="9">
        <f t="shared" si="126"/>
        <v>-0.71672799999998915</v>
      </c>
      <c r="I419">
        <v>1</v>
      </c>
      <c r="J419">
        <f t="shared" si="127"/>
        <v>4.1213618943482473E-2</v>
      </c>
      <c r="K419">
        <f t="shared" si="131"/>
        <v>-3.1305199482426893</v>
      </c>
      <c r="O419">
        <f t="shared" si="132"/>
        <v>-4.1199426864317636E-2</v>
      </c>
      <c r="P419">
        <f t="shared" si="133"/>
        <v>-4.5620775871144353E-4</v>
      </c>
      <c r="Q419">
        <f t="shared" si="134"/>
        <v>0.99915083901307544</v>
      </c>
      <c r="R419">
        <f t="shared" si="124"/>
        <v>1</v>
      </c>
      <c r="AG419" s="8">
        <f t="shared" si="128"/>
        <v>-0.71038156529375529</v>
      </c>
      <c r="AH419" s="8">
        <f t="shared" si="129"/>
        <v>-0.47456646444315737</v>
      </c>
      <c r="AI419" s="8">
        <f t="shared" si="130"/>
        <v>0.5197544636813769</v>
      </c>
      <c r="AJ419" s="8"/>
      <c r="AK419" s="8"/>
      <c r="AL419" s="8"/>
      <c r="AN419" s="8">
        <f t="shared" si="135"/>
        <v>1.0000000000000002</v>
      </c>
      <c r="AO419" s="8">
        <f t="shared" si="136"/>
        <v>3.7305485029840924</v>
      </c>
      <c r="AP419" s="8">
        <f t="shared" si="137"/>
        <v>1.0242328082453303</v>
      </c>
      <c r="AQ419" s="8"/>
      <c r="AR419" s="8">
        <f t="shared" si="138"/>
        <v>213.74468448983589</v>
      </c>
      <c r="AS419" s="8">
        <f t="shared" si="139"/>
        <v>31.315782848710434</v>
      </c>
    </row>
    <row r="420" spans="1:45">
      <c r="A420" s="19">
        <v>20.954266669999999</v>
      </c>
      <c r="B420" s="19">
        <v>893.86320780000005</v>
      </c>
      <c r="C420" s="19">
        <v>540.62915139999996</v>
      </c>
      <c r="E420" s="9">
        <f t="shared" si="125"/>
        <v>-66.136792199999945</v>
      </c>
      <c r="F420" s="9">
        <f t="shared" si="126"/>
        <v>-0.62915139999995517</v>
      </c>
      <c r="I420">
        <v>1</v>
      </c>
      <c r="J420">
        <f t="shared" si="127"/>
        <v>4.2117956006987804E-2</v>
      </c>
      <c r="K420">
        <f t="shared" si="131"/>
        <v>-3.1320800600428029</v>
      </c>
      <c r="O420">
        <f t="shared" si="132"/>
        <v>-4.2103599744432313E-2</v>
      </c>
      <c r="P420">
        <f t="shared" si="133"/>
        <v>-4.0052651244623492E-4</v>
      </c>
      <c r="Q420">
        <f t="shared" si="134"/>
        <v>0.99911316999981215</v>
      </c>
      <c r="R420">
        <f t="shared" si="124"/>
        <v>1</v>
      </c>
      <c r="AG420" s="8">
        <f t="shared" si="128"/>
        <v>-0.71092837760269756</v>
      </c>
      <c r="AH420" s="8">
        <f t="shared" si="129"/>
        <v>-0.47384929451037527</v>
      </c>
      <c r="AI420" s="8">
        <f t="shared" si="130"/>
        <v>0.51966112805482778</v>
      </c>
      <c r="AJ420" s="8"/>
      <c r="AK420" s="8"/>
      <c r="AL420" s="8"/>
      <c r="AN420" s="8">
        <f t="shared" si="135"/>
        <v>1.0000000000000002</v>
      </c>
      <c r="AO420" s="8">
        <f t="shared" si="136"/>
        <v>3.7294949898737988</v>
      </c>
      <c r="AP420" s="8">
        <f t="shared" si="137"/>
        <v>1.0243420565316348</v>
      </c>
      <c r="AQ420" s="8"/>
      <c r="AR420" s="8">
        <f t="shared" si="138"/>
        <v>213.68432263495436</v>
      </c>
      <c r="AS420" s="8">
        <f t="shared" si="139"/>
        <v>31.309523382986143</v>
      </c>
    </row>
    <row r="421" spans="1:45">
      <c r="A421" s="19">
        <v>20.987633330000001</v>
      </c>
      <c r="B421" s="19">
        <v>893.66528289999997</v>
      </c>
      <c r="C421" s="19">
        <v>540.53093899999999</v>
      </c>
      <c r="E421" s="9">
        <f t="shared" si="125"/>
        <v>-66.334717100000034</v>
      </c>
      <c r="F421" s="9">
        <f t="shared" si="126"/>
        <v>-0.53093899999998939</v>
      </c>
      <c r="I421">
        <v>1</v>
      </c>
      <c r="J421">
        <f t="shared" si="127"/>
        <v>4.2244423174146756E-2</v>
      </c>
      <c r="K421">
        <f t="shared" si="131"/>
        <v>-3.1335888859430381</v>
      </c>
      <c r="O421">
        <f t="shared" si="132"/>
        <v>-4.2230506771485321E-2</v>
      </c>
      <c r="P421">
        <f t="shared" si="133"/>
        <v>-3.3801038151627156E-4</v>
      </c>
      <c r="Q421">
        <f t="shared" si="134"/>
        <v>0.99910783704603456</v>
      </c>
      <c r="R421">
        <f t="shared" si="124"/>
        <v>1</v>
      </c>
      <c r="AG421" s="8">
        <f t="shared" si="128"/>
        <v>-0.71098732552705057</v>
      </c>
      <c r="AH421" s="8">
        <f t="shared" si="129"/>
        <v>-0.47372483607511851</v>
      </c>
      <c r="AI421" s="8">
        <f t="shared" si="130"/>
        <v>0.5196939509225541</v>
      </c>
      <c r="AJ421" s="8"/>
      <c r="AK421" s="8"/>
      <c r="AL421" s="8"/>
      <c r="AN421" s="8">
        <f t="shared" si="135"/>
        <v>1</v>
      </c>
      <c r="AO421" s="8">
        <f t="shared" si="136"/>
        <v>3.7293355052269042</v>
      </c>
      <c r="AP421" s="8">
        <f t="shared" si="137"/>
        <v>1.0243036385669824</v>
      </c>
      <c r="AQ421" s="8"/>
      <c r="AR421" s="8">
        <f t="shared" si="138"/>
        <v>213.67518483779017</v>
      </c>
      <c r="AS421" s="8">
        <f t="shared" si="139"/>
        <v>31.31172457021821</v>
      </c>
    </row>
    <row r="422" spans="1:45">
      <c r="A422" s="19">
        <v>21.021000000000001</v>
      </c>
      <c r="B422" s="19">
        <v>892.75482899999997</v>
      </c>
      <c r="C422" s="19">
        <v>540.29395079999995</v>
      </c>
      <c r="E422" s="9">
        <f t="shared" si="125"/>
        <v>-67.245171000000028</v>
      </c>
      <c r="F422" s="9">
        <f t="shared" si="126"/>
        <v>-0.29395079999994778</v>
      </c>
      <c r="I422">
        <v>1</v>
      </c>
      <c r="J422">
        <f t="shared" si="127"/>
        <v>4.2827808042248547E-2</v>
      </c>
      <c r="K422">
        <f t="shared" si="131"/>
        <v>-3.1372213519285976</v>
      </c>
      <c r="O422">
        <f t="shared" si="132"/>
        <v>-4.2814307573998921E-2</v>
      </c>
      <c r="P422">
        <f t="shared" si="133"/>
        <v>-1.8715544589545602E-4</v>
      </c>
      <c r="Q422">
        <f t="shared" si="134"/>
        <v>0.99908302960254414</v>
      </c>
      <c r="R422">
        <f t="shared" si="124"/>
        <v>1</v>
      </c>
      <c r="AG422" s="8">
        <f t="shared" si="128"/>
        <v>-0.71130272942871065</v>
      </c>
      <c r="AH422" s="8">
        <f t="shared" si="129"/>
        <v>-0.47321159082544956</v>
      </c>
      <c r="AI422" s="8">
        <f t="shared" si="130"/>
        <v>0.51972994662200667</v>
      </c>
      <c r="AJ422" s="8"/>
      <c r="AK422" s="8"/>
      <c r="AL422" s="8"/>
      <c r="AN422" s="8">
        <f t="shared" si="135"/>
        <v>1</v>
      </c>
      <c r="AO422" s="8">
        <f t="shared" si="136"/>
        <v>3.7286308526291063</v>
      </c>
      <c r="AP422" s="8">
        <f t="shared" si="137"/>
        <v>1.0242615058867863</v>
      </c>
      <c r="AQ422" s="8"/>
      <c r="AR422" s="8">
        <f t="shared" si="138"/>
        <v>213.63481121791344</v>
      </c>
      <c r="AS422" s="8">
        <f t="shared" si="139"/>
        <v>31.314138594973016</v>
      </c>
    </row>
    <row r="423" spans="1:45">
      <c r="A423" s="19">
        <v>21.05436667</v>
      </c>
      <c r="B423" s="19">
        <v>892.11645109999995</v>
      </c>
      <c r="C423" s="19">
        <v>540.04161810000005</v>
      </c>
      <c r="E423" s="9">
        <f t="shared" si="125"/>
        <v>-67.883548900000051</v>
      </c>
      <c r="F423" s="9">
        <f t="shared" si="126"/>
        <v>-4.1618100000050617E-2</v>
      </c>
      <c r="I423">
        <v>1</v>
      </c>
      <c r="J423">
        <f t="shared" si="127"/>
        <v>4.3237144695311702E-2</v>
      </c>
      <c r="K423">
        <f t="shared" si="131"/>
        <v>-3.1409795728734764</v>
      </c>
      <c r="O423">
        <f t="shared" si="132"/>
        <v>-4.3223666213016189E-2</v>
      </c>
      <c r="P423">
        <f t="shared" si="133"/>
        <v>-2.6499599563832838E-5</v>
      </c>
      <c r="Q423">
        <f t="shared" si="134"/>
        <v>0.99906542026880152</v>
      </c>
      <c r="R423">
        <f t="shared" si="124"/>
        <v>1</v>
      </c>
      <c r="AG423" s="8">
        <f t="shared" si="128"/>
        <v>-0.7115059157373208</v>
      </c>
      <c r="AH423" s="8">
        <f t="shared" si="129"/>
        <v>-0.47282774506068037</v>
      </c>
      <c r="AI423" s="8">
        <f t="shared" si="130"/>
        <v>0.51980116907489637</v>
      </c>
      <c r="AJ423" s="8"/>
      <c r="AK423" s="8"/>
      <c r="AL423" s="8"/>
      <c r="AN423" s="8">
        <f t="shared" si="135"/>
        <v>1.0000000000000002</v>
      </c>
      <c r="AO423" s="8">
        <f t="shared" si="136"/>
        <v>3.7281250174200942</v>
      </c>
      <c r="AP423" s="8">
        <f t="shared" si="137"/>
        <v>1.024178137389042</v>
      </c>
      <c r="AQ423" s="8"/>
      <c r="AR423" s="8">
        <f t="shared" si="138"/>
        <v>213.60582899530792</v>
      </c>
      <c r="AS423" s="8">
        <f t="shared" si="139"/>
        <v>31.318915258038118</v>
      </c>
    </row>
    <row r="424" spans="1:45">
      <c r="A424" s="19">
        <v>21.087733329999999</v>
      </c>
      <c r="B424" s="19">
        <v>891.88033600000006</v>
      </c>
      <c r="C424" s="19">
        <v>539.80642130000001</v>
      </c>
      <c r="E424" s="9">
        <f t="shared" si="125"/>
        <v>-68.119663999999943</v>
      </c>
      <c r="F424" s="9">
        <f t="shared" si="126"/>
        <v>0.19357869999998911</v>
      </c>
      <c r="I424">
        <v>1</v>
      </c>
      <c r="J424">
        <f t="shared" si="127"/>
        <v>4.338886791012863E-2</v>
      </c>
      <c r="K424">
        <f t="shared" si="131"/>
        <v>3.1387509164532146</v>
      </c>
      <c r="O424">
        <f t="shared" si="132"/>
        <v>-4.3375080117836758E-2</v>
      </c>
      <c r="P424">
        <f t="shared" si="133"/>
        <v>1.2326090776969571E-4</v>
      </c>
      <c r="Q424">
        <f t="shared" si="134"/>
        <v>0.99905885073479017</v>
      </c>
      <c r="R424">
        <f t="shared" si="124"/>
        <v>1</v>
      </c>
      <c r="AG424" s="8">
        <f t="shared" si="128"/>
        <v>-0.71155168589511242</v>
      </c>
      <c r="AH424" s="8">
        <f t="shared" si="129"/>
        <v>-0.47264647503662677</v>
      </c>
      <c r="AI424" s="8">
        <f t="shared" si="130"/>
        <v>0.51990336403535065</v>
      </c>
      <c r="AJ424" s="8"/>
      <c r="AK424" s="8"/>
      <c r="AL424" s="8"/>
      <c r="AN424" s="8">
        <f t="shared" si="135"/>
        <v>0.99999999999999967</v>
      </c>
      <c r="AO424" s="8">
        <f t="shared" si="136"/>
        <v>3.7279186243407842</v>
      </c>
      <c r="AP424" s="8">
        <f t="shared" si="137"/>
        <v>1.0240585070451433</v>
      </c>
      <c r="AQ424" s="8"/>
      <c r="AR424" s="8">
        <f t="shared" si="138"/>
        <v>213.59400354294274</v>
      </c>
      <c r="AS424" s="8">
        <f t="shared" si="139"/>
        <v>31.325769571845207</v>
      </c>
    </row>
    <row r="425" spans="1:45">
      <c r="A425" s="19">
        <v>21.121099999999998</v>
      </c>
      <c r="B425" s="19">
        <v>891.45553040000004</v>
      </c>
      <c r="C425" s="19">
        <v>539.72874290000004</v>
      </c>
      <c r="E425" s="9">
        <f t="shared" si="125"/>
        <v>-68.544469599999957</v>
      </c>
      <c r="F425" s="9">
        <f t="shared" si="126"/>
        <v>0.27125709999995706</v>
      </c>
      <c r="I425">
        <v>1</v>
      </c>
      <c r="J425">
        <f t="shared" si="127"/>
        <v>4.3661712108607205E-2</v>
      </c>
      <c r="K425">
        <f t="shared" si="131"/>
        <v>3.1376352856861449</v>
      </c>
      <c r="O425">
        <f t="shared" si="132"/>
        <v>-4.3647499270219575E-2</v>
      </c>
      <c r="P425">
        <f t="shared" si="133"/>
        <v>1.727301143824191E-4</v>
      </c>
      <c r="Q425">
        <f t="shared" si="134"/>
        <v>0.99904697886123639</v>
      </c>
      <c r="R425">
        <f t="shared" si="124"/>
        <v>1</v>
      </c>
      <c r="AG425" s="8">
        <f t="shared" si="128"/>
        <v>-0.71170545779480143</v>
      </c>
      <c r="AH425" s="8">
        <f t="shared" si="129"/>
        <v>-0.47241592424552897</v>
      </c>
      <c r="AI425" s="8">
        <f t="shared" si="130"/>
        <v>0.5199024291771821</v>
      </c>
      <c r="AJ425" s="8"/>
      <c r="AK425" s="8"/>
      <c r="AL425" s="8"/>
      <c r="AN425" s="8">
        <f t="shared" si="135"/>
        <v>1</v>
      </c>
      <c r="AO425" s="8">
        <f t="shared" si="136"/>
        <v>3.7275942057615374</v>
      </c>
      <c r="AP425" s="8">
        <f t="shared" si="137"/>
        <v>1.0240596014380337</v>
      </c>
      <c r="AQ425" s="8"/>
      <c r="AR425" s="8">
        <f t="shared" si="138"/>
        <v>213.57541572755628</v>
      </c>
      <c r="AS425" s="8">
        <f t="shared" si="139"/>
        <v>31.325706867751464</v>
      </c>
    </row>
    <row r="426" spans="1:45">
      <c r="A426" s="19">
        <v>21.154466670000001</v>
      </c>
      <c r="B426" s="19">
        <v>890.77373880000005</v>
      </c>
      <c r="C426" s="19">
        <v>539.78769650000004</v>
      </c>
      <c r="E426" s="9">
        <f t="shared" si="125"/>
        <v>-69.226261199999954</v>
      </c>
      <c r="F426" s="9">
        <f t="shared" si="126"/>
        <v>0.21230349999996179</v>
      </c>
      <c r="I426">
        <v>1</v>
      </c>
      <c r="J426">
        <f t="shared" si="127"/>
        <v>4.4099226320129553E-2</v>
      </c>
      <c r="K426">
        <f t="shared" si="131"/>
        <v>3.1385258573952419</v>
      </c>
      <c r="O426">
        <f t="shared" si="132"/>
        <v>-4.4084726794244251E-2</v>
      </c>
      <c r="P426">
        <f t="shared" si="133"/>
        <v>1.351992962312484E-4</v>
      </c>
      <c r="Q426">
        <f t="shared" si="134"/>
        <v>0.99902778669295633</v>
      </c>
      <c r="R426">
        <f t="shared" si="124"/>
        <v>1</v>
      </c>
      <c r="AG426" s="8">
        <f t="shared" si="128"/>
        <v>-0.71199014860303556</v>
      </c>
      <c r="AH426" s="8">
        <f t="shared" si="129"/>
        <v>-0.47209664690557035</v>
      </c>
      <c r="AI426" s="8">
        <f t="shared" si="130"/>
        <v>0.51980263973237439</v>
      </c>
      <c r="AJ426" s="8"/>
      <c r="AK426" s="8"/>
      <c r="AL426" s="8"/>
      <c r="AN426" s="8">
        <f t="shared" si="135"/>
        <v>1</v>
      </c>
      <c r="AO426" s="8">
        <f t="shared" si="136"/>
        <v>3.7270985260672789</v>
      </c>
      <c r="AP426" s="8">
        <f t="shared" si="137"/>
        <v>1.0241764158858719</v>
      </c>
      <c r="AQ426" s="8"/>
      <c r="AR426" s="8">
        <f t="shared" si="138"/>
        <v>213.54701537308492</v>
      </c>
      <c r="AS426" s="8">
        <f t="shared" si="139"/>
        <v>31.319013892904181</v>
      </c>
    </row>
    <row r="427" spans="1:45">
      <c r="A427" s="19">
        <v>21.18783333</v>
      </c>
      <c r="B427" s="19">
        <v>890.49448759999996</v>
      </c>
      <c r="C427" s="19">
        <v>539.73420569999996</v>
      </c>
      <c r="E427" s="9">
        <f t="shared" si="125"/>
        <v>-69.505512400000043</v>
      </c>
      <c r="F427" s="9">
        <f t="shared" si="126"/>
        <v>0.26579430000003867</v>
      </c>
      <c r="I427">
        <v>1</v>
      </c>
      <c r="J427">
        <f t="shared" si="127"/>
        <v>4.4278604444217849E-2</v>
      </c>
      <c r="K427">
        <f t="shared" si="131"/>
        <v>3.1377685971198113</v>
      </c>
      <c r="O427">
        <f t="shared" si="132"/>
        <v>-4.4263813482957111E-2</v>
      </c>
      <c r="P427">
        <f t="shared" si="133"/>
        <v>1.6926814742876915E-4</v>
      </c>
      <c r="Q427">
        <f t="shared" si="134"/>
        <v>0.99901986274760335</v>
      </c>
      <c r="R427">
        <f t="shared" si="124"/>
        <v>1</v>
      </c>
      <c r="AG427" s="8">
        <f t="shared" si="128"/>
        <v>-0.71209065271912897</v>
      </c>
      <c r="AH427" s="8">
        <f t="shared" si="129"/>
        <v>-0.47194435096936677</v>
      </c>
      <c r="AI427" s="8">
        <f t="shared" si="130"/>
        <v>0.51980326268517019</v>
      </c>
      <c r="AJ427" s="8"/>
      <c r="AK427" s="8"/>
      <c r="AL427" s="8"/>
      <c r="AN427" s="8">
        <f t="shared" si="135"/>
        <v>1</v>
      </c>
      <c r="AO427" s="8">
        <f t="shared" si="136"/>
        <v>3.7268849335504717</v>
      </c>
      <c r="AP427" s="8">
        <f t="shared" si="137"/>
        <v>1.0241756866773184</v>
      </c>
      <c r="AQ427" s="8"/>
      <c r="AR427" s="8">
        <f t="shared" si="138"/>
        <v>213.53477742333629</v>
      </c>
      <c r="AS427" s="8">
        <f t="shared" si="139"/>
        <v>31.319055673476683</v>
      </c>
    </row>
    <row r="428" spans="1:45">
      <c r="A428" s="19">
        <v>21.2212</v>
      </c>
      <c r="B428" s="19">
        <v>889.89224190000004</v>
      </c>
      <c r="C428" s="19">
        <v>539.81410119999998</v>
      </c>
      <c r="E428" s="9">
        <f t="shared" si="125"/>
        <v>-70.107758099999955</v>
      </c>
      <c r="F428" s="9">
        <f t="shared" si="126"/>
        <v>0.18589880000001813</v>
      </c>
      <c r="I428">
        <v>1</v>
      </c>
      <c r="J428">
        <f t="shared" si="127"/>
        <v>4.4665050790523395E-2</v>
      </c>
      <c r="K428">
        <f t="shared" si="131"/>
        <v>3.13894104456176</v>
      </c>
      <c r="O428">
        <f t="shared" si="132"/>
        <v>-4.465004442147405E-2</v>
      </c>
      <c r="P428">
        <f t="shared" si="133"/>
        <v>1.1839473836919699E-4</v>
      </c>
      <c r="Q428">
        <f t="shared" si="134"/>
        <v>0.99900268243676216</v>
      </c>
      <c r="R428">
        <f t="shared" si="124"/>
        <v>1</v>
      </c>
      <c r="AG428" s="8">
        <f t="shared" si="128"/>
        <v>-0.71234773964108433</v>
      </c>
      <c r="AH428" s="8">
        <f t="shared" si="129"/>
        <v>-0.47166990028900352</v>
      </c>
      <c r="AI428" s="8">
        <f t="shared" si="130"/>
        <v>0.51970010870654959</v>
      </c>
      <c r="AJ428" s="8"/>
      <c r="AK428" s="8"/>
      <c r="AL428" s="8"/>
      <c r="AN428" s="8">
        <f t="shared" si="135"/>
        <v>1</v>
      </c>
      <c r="AO428" s="8">
        <f t="shared" si="136"/>
        <v>3.726450925269118</v>
      </c>
      <c r="AP428" s="8">
        <f t="shared" si="137"/>
        <v>1.0242964310063076</v>
      </c>
      <c r="AQ428" s="8"/>
      <c r="AR428" s="8">
        <f t="shared" si="138"/>
        <v>213.509910580541</v>
      </c>
      <c r="AS428" s="8">
        <f t="shared" si="139"/>
        <v>31.312137533025457</v>
      </c>
    </row>
    <row r="429" spans="1:45">
      <c r="A429" s="19">
        <v>21.254566669999999</v>
      </c>
      <c r="B429" s="19">
        <v>889.54032440000003</v>
      </c>
      <c r="C429" s="19">
        <v>539.6555161</v>
      </c>
      <c r="E429" s="9">
        <f t="shared" si="125"/>
        <v>-70.459675599999969</v>
      </c>
      <c r="F429" s="9">
        <f t="shared" si="126"/>
        <v>0.34448390000000018</v>
      </c>
      <c r="I429">
        <v>1</v>
      </c>
      <c r="J429">
        <f t="shared" si="127"/>
        <v>4.4891355896033297E-2</v>
      </c>
      <c r="K429">
        <f t="shared" si="131"/>
        <v>3.1367035996401871</v>
      </c>
      <c r="O429">
        <f t="shared" si="132"/>
        <v>-4.4875743317621598E-2</v>
      </c>
      <c r="P429">
        <f t="shared" si="133"/>
        <v>2.1940167821967571E-4</v>
      </c>
      <c r="Q429">
        <f t="shared" si="134"/>
        <v>0.99899255228684991</v>
      </c>
      <c r="R429">
        <f t="shared" si="124"/>
        <v>1</v>
      </c>
      <c r="AG429" s="8">
        <f t="shared" si="128"/>
        <v>-0.71245543998380645</v>
      </c>
      <c r="AH429" s="8">
        <f t="shared" si="129"/>
        <v>-0.471452652383966</v>
      </c>
      <c r="AI429" s="8">
        <f t="shared" si="130"/>
        <v>0.51974959605333426</v>
      </c>
      <c r="AJ429" s="8"/>
      <c r="AK429" s="8"/>
      <c r="AL429" s="8"/>
      <c r="AN429" s="8">
        <f t="shared" si="135"/>
        <v>1</v>
      </c>
      <c r="AO429" s="8">
        <f t="shared" si="136"/>
        <v>3.7261692990355559</v>
      </c>
      <c r="AP429" s="8">
        <f t="shared" si="137"/>
        <v>1.0242385059278911</v>
      </c>
      <c r="AQ429" s="8"/>
      <c r="AR429" s="8">
        <f t="shared" si="138"/>
        <v>213.49377458595774</v>
      </c>
      <c r="AS429" s="8">
        <f t="shared" si="139"/>
        <v>31.31545639554669</v>
      </c>
    </row>
    <row r="430" spans="1:45">
      <c r="A430" s="19">
        <v>21.287933330000001</v>
      </c>
      <c r="B430" s="19">
        <v>888.67055809999999</v>
      </c>
      <c r="C430" s="19">
        <v>539.47372859999996</v>
      </c>
      <c r="E430" s="9">
        <f t="shared" si="125"/>
        <v>-71.329441900000006</v>
      </c>
      <c r="F430" s="9">
        <f t="shared" si="126"/>
        <v>0.52627140000004147</v>
      </c>
      <c r="I430">
        <v>1</v>
      </c>
      <c r="J430">
        <f t="shared" si="127"/>
        <v>4.5450454837695178E-2</v>
      </c>
      <c r="K430">
        <f t="shared" si="131"/>
        <v>3.134214748519756</v>
      </c>
      <c r="O430">
        <f t="shared" si="132"/>
        <v>-4.5433571705820935E-2</v>
      </c>
      <c r="P430">
        <f t="shared" si="133"/>
        <v>3.3521066128831719E-4</v>
      </c>
      <c r="Q430">
        <f t="shared" si="134"/>
        <v>0.99896730586934857</v>
      </c>
      <c r="R430">
        <f t="shared" si="124"/>
        <v>1</v>
      </c>
      <c r="AG430" s="8">
        <f t="shared" si="128"/>
        <v>-0.71276496160667591</v>
      </c>
      <c r="AH430" s="8">
        <f t="shared" si="129"/>
        <v>-0.47097377632289672</v>
      </c>
      <c r="AI430" s="8">
        <f t="shared" si="130"/>
        <v>0.51975937848391351</v>
      </c>
      <c r="AJ430" s="8"/>
      <c r="AK430" s="8"/>
      <c r="AL430" s="8"/>
      <c r="AN430" s="8">
        <f t="shared" si="135"/>
        <v>1.0000000000000002</v>
      </c>
      <c r="AO430" s="8">
        <f t="shared" si="136"/>
        <v>3.7255019027734599</v>
      </c>
      <c r="AP430" s="8">
        <f t="shared" si="137"/>
        <v>1.0242270553237844</v>
      </c>
      <c r="AQ430" s="8"/>
      <c r="AR430" s="8">
        <f t="shared" si="138"/>
        <v>213.45553559687681</v>
      </c>
      <c r="AS430" s="8">
        <f t="shared" si="139"/>
        <v>31.316112466834873</v>
      </c>
    </row>
    <row r="431" spans="1:45">
      <c r="A431" s="19">
        <v>21.321300000000001</v>
      </c>
      <c r="B431" s="19">
        <v>888.463841</v>
      </c>
      <c r="C431" s="19">
        <v>539.10512310000001</v>
      </c>
      <c r="E431" s="9">
        <f t="shared" si="125"/>
        <v>-71.536158999999998</v>
      </c>
      <c r="F431" s="9">
        <f t="shared" si="126"/>
        <v>0.89487689999998565</v>
      </c>
      <c r="I431">
        <v>1</v>
      </c>
      <c r="J431">
        <f t="shared" si="127"/>
        <v>4.5585519871104048E-2</v>
      </c>
      <c r="K431">
        <f t="shared" si="131"/>
        <v>3.1290838714810509</v>
      </c>
      <c r="O431">
        <f t="shared" si="132"/>
        <v>-4.5566168332182175E-2</v>
      </c>
      <c r="P431">
        <f t="shared" si="133"/>
        <v>5.7000700110248722E-4</v>
      </c>
      <c r="Q431">
        <f t="shared" si="134"/>
        <v>0.99896116010360581</v>
      </c>
      <c r="R431">
        <f t="shared" si="124"/>
        <v>1</v>
      </c>
      <c r="AG431" s="8">
        <f t="shared" si="128"/>
        <v>-0.71277110491001472</v>
      </c>
      <c r="AH431" s="8">
        <f t="shared" si="129"/>
        <v>-0.47076978567604832</v>
      </c>
      <c r="AI431" s="8">
        <f t="shared" si="130"/>
        <v>0.519935727662453</v>
      </c>
      <c r="AJ431" s="8"/>
      <c r="AK431" s="8"/>
      <c r="AL431" s="8"/>
      <c r="AN431" s="8">
        <f t="shared" si="135"/>
        <v>1</v>
      </c>
      <c r="AO431" s="8">
        <f t="shared" si="136"/>
        <v>3.7252986975764939</v>
      </c>
      <c r="AP431" s="8">
        <f t="shared" si="137"/>
        <v>1.0240206200749493</v>
      </c>
      <c r="AQ431" s="8"/>
      <c r="AR431" s="8">
        <f t="shared" si="138"/>
        <v>213.44389279671555</v>
      </c>
      <c r="AS431" s="8">
        <f t="shared" si="139"/>
        <v>31.32794033533586</v>
      </c>
    </row>
    <row r="432" spans="1:45">
      <c r="A432" s="19">
        <v>21.35466667</v>
      </c>
      <c r="B432" s="19">
        <v>887.75930210000001</v>
      </c>
      <c r="C432" s="19">
        <v>538.88338020000003</v>
      </c>
      <c r="E432" s="9">
        <f t="shared" si="125"/>
        <v>-72.240697899999986</v>
      </c>
      <c r="F432" s="9">
        <f t="shared" si="126"/>
        <v>1.1166197999999667</v>
      </c>
      <c r="I432">
        <v>1</v>
      </c>
      <c r="J432">
        <f t="shared" si="127"/>
        <v>4.6039813892388981E-2</v>
      </c>
      <c r="K432">
        <f t="shared" si="131"/>
        <v>3.1261369489970448</v>
      </c>
      <c r="O432">
        <f t="shared" si="132"/>
        <v>-4.6018053873898235E-2</v>
      </c>
      <c r="P432">
        <f t="shared" si="133"/>
        <v>7.1129808552224572E-4</v>
      </c>
      <c r="Q432">
        <f t="shared" si="134"/>
        <v>0.99894035496254352</v>
      </c>
      <c r="R432">
        <f t="shared" si="124"/>
        <v>1</v>
      </c>
      <c r="AG432" s="8">
        <f t="shared" si="128"/>
        <v>-0.7130061775181249</v>
      </c>
      <c r="AH432" s="8">
        <f t="shared" si="129"/>
        <v>-0.47036104370700182</v>
      </c>
      <c r="AI432" s="8">
        <f t="shared" si="130"/>
        <v>0.51998334529468559</v>
      </c>
      <c r="AJ432" s="8"/>
      <c r="AK432" s="8"/>
      <c r="AL432" s="8"/>
      <c r="AN432" s="8">
        <f t="shared" si="135"/>
        <v>1.0000000000000002</v>
      </c>
      <c r="AO432" s="8">
        <f t="shared" si="136"/>
        <v>3.724747736251885</v>
      </c>
      <c r="AP432" s="8">
        <f t="shared" si="137"/>
        <v>1.023964874184099</v>
      </c>
      <c r="AQ432" s="8"/>
      <c r="AR432" s="8">
        <f t="shared" si="138"/>
        <v>213.41232503814052</v>
      </c>
      <c r="AS432" s="8">
        <f t="shared" si="139"/>
        <v>31.331134339606784</v>
      </c>
    </row>
    <row r="433" spans="1:45">
      <c r="A433" s="19">
        <v>21.388033329999999</v>
      </c>
      <c r="B433" s="19">
        <v>887.45856279999998</v>
      </c>
      <c r="C433" s="19">
        <v>538.84145149999995</v>
      </c>
      <c r="E433" s="9">
        <f t="shared" si="125"/>
        <v>-72.541437200000018</v>
      </c>
      <c r="F433" s="9">
        <f t="shared" si="126"/>
        <v>1.1585485000000517</v>
      </c>
      <c r="I433">
        <v>1</v>
      </c>
      <c r="J433">
        <f t="shared" si="127"/>
        <v>4.6233308250111148E-2</v>
      </c>
      <c r="K433">
        <f t="shared" si="131"/>
        <v>3.1256231600579607</v>
      </c>
      <c r="O433">
        <f t="shared" si="132"/>
        <v>-4.6210946156397578E-2</v>
      </c>
      <c r="P433">
        <f t="shared" si="133"/>
        <v>7.3802814528573847E-4</v>
      </c>
      <c r="Q433">
        <f t="shared" si="134"/>
        <v>0.99893143096500236</v>
      </c>
      <c r="R433">
        <f t="shared" si="124"/>
        <v>1</v>
      </c>
      <c r="AG433" s="8">
        <f t="shared" si="128"/>
        <v>-0.71311740039604377</v>
      </c>
      <c r="AH433" s="8">
        <f t="shared" si="129"/>
        <v>-0.47020114198295582</v>
      </c>
      <c r="AI433" s="8">
        <f t="shared" si="130"/>
        <v>0.51997544108381977</v>
      </c>
      <c r="AJ433" s="8"/>
      <c r="AK433" s="8"/>
      <c r="AL433" s="8"/>
      <c r="AN433" s="8">
        <f t="shared" si="135"/>
        <v>1</v>
      </c>
      <c r="AO433" s="8">
        <f t="shared" si="136"/>
        <v>3.7245197744343721</v>
      </c>
      <c r="AP433" s="8">
        <f t="shared" si="137"/>
        <v>1.0239741277628824</v>
      </c>
      <c r="AQ433" s="8"/>
      <c r="AR433" s="8">
        <f t="shared" si="138"/>
        <v>213.39926378810688</v>
      </c>
      <c r="AS433" s="8">
        <f t="shared" si="139"/>
        <v>31.330604148597097</v>
      </c>
    </row>
    <row r="434" spans="1:45">
      <c r="A434" s="19">
        <v>21.421399999999998</v>
      </c>
      <c r="B434" s="19">
        <v>886.90541280000002</v>
      </c>
      <c r="C434" s="19">
        <v>538.86833860000002</v>
      </c>
      <c r="E434" s="9">
        <f t="shared" si="125"/>
        <v>-73.094587199999978</v>
      </c>
      <c r="F434" s="9">
        <f t="shared" si="126"/>
        <v>1.1316613999999845</v>
      </c>
      <c r="I434">
        <v>1</v>
      </c>
      <c r="J434">
        <f t="shared" si="127"/>
        <v>4.6588162793723922E-2</v>
      </c>
      <c r="K434">
        <f t="shared" si="131"/>
        <v>3.1261117399169764</v>
      </c>
      <c r="O434">
        <f t="shared" si="132"/>
        <v>-4.656573119094861E-2</v>
      </c>
      <c r="P434">
        <f t="shared" si="133"/>
        <v>7.2093765859003044E-4</v>
      </c>
      <c r="Q434">
        <f t="shared" si="134"/>
        <v>0.99891496781635258</v>
      </c>
      <c r="R434">
        <f t="shared" si="124"/>
        <v>1</v>
      </c>
      <c r="AG434" s="8">
        <f t="shared" si="128"/>
        <v>-0.71334346090889933</v>
      </c>
      <c r="AH434" s="8">
        <f t="shared" si="129"/>
        <v>-0.46993580853167821</v>
      </c>
      <c r="AI434" s="8">
        <f t="shared" si="130"/>
        <v>0.51990522466906564</v>
      </c>
      <c r="AJ434" s="8"/>
      <c r="AK434" s="8"/>
      <c r="AL434" s="8"/>
      <c r="AN434" s="8">
        <f t="shared" si="135"/>
        <v>1</v>
      </c>
      <c r="AO434" s="8">
        <f t="shared" si="136"/>
        <v>3.7241147817104641</v>
      </c>
      <c r="AP434" s="8">
        <f t="shared" si="137"/>
        <v>1.024056328889777</v>
      </c>
      <c r="AQ434" s="8"/>
      <c r="AR434" s="8">
        <f t="shared" si="138"/>
        <v>213.37605941429345</v>
      </c>
      <c r="AS434" s="8">
        <f t="shared" si="139"/>
        <v>31.325894370954821</v>
      </c>
    </row>
    <row r="435" spans="1:45">
      <c r="A435" s="19">
        <v>21.454766670000001</v>
      </c>
      <c r="B435" s="19">
        <v>886.54998620000003</v>
      </c>
      <c r="C435" s="19">
        <v>538.86457110000003</v>
      </c>
      <c r="E435" s="9">
        <f t="shared" si="125"/>
        <v>-73.450013799999965</v>
      </c>
      <c r="F435" s="9">
        <f t="shared" si="126"/>
        <v>1.1354288999999653</v>
      </c>
      <c r="I435">
        <v>1</v>
      </c>
      <c r="J435">
        <f t="shared" si="127"/>
        <v>4.6816393949314215E-2</v>
      </c>
      <c r="K435">
        <f t="shared" si="131"/>
        <v>3.1261353594211743</v>
      </c>
      <c r="O435">
        <f t="shared" si="132"/>
        <v>-4.6793703273545241E-2</v>
      </c>
      <c r="P435">
        <f t="shared" si="133"/>
        <v>7.2336164809280615E-4</v>
      </c>
      <c r="Q435">
        <f t="shared" si="134"/>
        <v>0.99890431277569003</v>
      </c>
      <c r="R435">
        <f t="shared" si="124"/>
        <v>1</v>
      </c>
      <c r="AG435" s="8">
        <f t="shared" si="128"/>
        <v>-0.71348431211828178</v>
      </c>
      <c r="AH435" s="8">
        <f t="shared" si="129"/>
        <v>-0.46975944946859183</v>
      </c>
      <c r="AI435" s="8">
        <f t="shared" si="130"/>
        <v>0.51987132638381595</v>
      </c>
      <c r="AJ435" s="8"/>
      <c r="AK435" s="8"/>
      <c r="AL435" s="8"/>
      <c r="AN435" s="8">
        <f t="shared" si="135"/>
        <v>1.0000000000000004</v>
      </c>
      <c r="AO435" s="8">
        <f t="shared" si="136"/>
        <v>3.7238516717250447</v>
      </c>
      <c r="AP435" s="8">
        <f t="shared" si="137"/>
        <v>1.0240960115466422</v>
      </c>
      <c r="AQ435" s="8"/>
      <c r="AR435" s="8">
        <f t="shared" si="138"/>
        <v>213.36098432258117</v>
      </c>
      <c r="AS435" s="8">
        <f t="shared" si="139"/>
        <v>31.32362072219658</v>
      </c>
    </row>
    <row r="436" spans="1:45">
      <c r="A436" s="19">
        <v>21.48813333</v>
      </c>
      <c r="B436" s="19">
        <v>885.71274389999996</v>
      </c>
      <c r="C436" s="19">
        <v>538.85936079999999</v>
      </c>
      <c r="E436" s="9">
        <f t="shared" si="125"/>
        <v>-74.287256100000036</v>
      </c>
      <c r="F436" s="9">
        <f t="shared" si="126"/>
        <v>1.1406392000000096</v>
      </c>
      <c r="I436">
        <v>1</v>
      </c>
      <c r="J436">
        <f t="shared" si="127"/>
        <v>4.7353998656230231E-2</v>
      </c>
      <c r="K436">
        <f t="shared" si="131"/>
        <v>3.1262394202901524</v>
      </c>
      <c r="O436">
        <f t="shared" si="132"/>
        <v>-4.733072387423258E-2</v>
      </c>
      <c r="P436">
        <f t="shared" si="133"/>
        <v>7.2673674933763845E-4</v>
      </c>
      <c r="Q436">
        <f t="shared" si="134"/>
        <v>0.99887900890510173</v>
      </c>
      <c r="R436">
        <f t="shared" si="124"/>
        <v>1</v>
      </c>
      <c r="AG436" s="8">
        <f t="shared" si="128"/>
        <v>-0.71381672585240663</v>
      </c>
      <c r="AH436" s="8">
        <f t="shared" si="129"/>
        <v>-0.46934492220375268</v>
      </c>
      <c r="AI436" s="8">
        <f t="shared" si="130"/>
        <v>0.51978940533152818</v>
      </c>
      <c r="AJ436" s="8"/>
      <c r="AK436" s="8"/>
      <c r="AL436" s="8"/>
      <c r="AN436" s="8">
        <f t="shared" si="135"/>
        <v>1</v>
      </c>
      <c r="AO436" s="8">
        <f t="shared" si="136"/>
        <v>3.7232324228296623</v>
      </c>
      <c r="AP436" s="8">
        <f t="shared" si="137"/>
        <v>1.0241919075743882</v>
      </c>
      <c r="AQ436" s="8"/>
      <c r="AR436" s="8">
        <f t="shared" si="138"/>
        <v>213.32550397440761</v>
      </c>
      <c r="AS436" s="8">
        <f t="shared" si="139"/>
        <v>31.318126284534664</v>
      </c>
    </row>
    <row r="437" spans="1:45">
      <c r="A437" s="19">
        <v>21.5215</v>
      </c>
      <c r="B437" s="19">
        <v>885.58179959999995</v>
      </c>
      <c r="C437" s="19">
        <v>538.79727790000004</v>
      </c>
      <c r="E437" s="9">
        <f t="shared" si="125"/>
        <v>-74.418200400000046</v>
      </c>
      <c r="F437" s="9">
        <f t="shared" si="126"/>
        <v>1.2027220999999599</v>
      </c>
      <c r="I437">
        <v>1</v>
      </c>
      <c r="J437">
        <f t="shared" si="127"/>
        <v>4.7438701881301899E-2</v>
      </c>
      <c r="K437">
        <f t="shared" si="131"/>
        <v>3.1254323944977833</v>
      </c>
      <c r="O437">
        <f t="shared" si="132"/>
        <v>-4.7414719021935919E-2</v>
      </c>
      <c r="P437">
        <f t="shared" si="133"/>
        <v>7.6630085283507213E-4</v>
      </c>
      <c r="Q437">
        <f t="shared" si="134"/>
        <v>0.99887499578429417</v>
      </c>
      <c r="R437">
        <f t="shared" si="124"/>
        <v>1</v>
      </c>
      <c r="AG437" s="8">
        <f t="shared" si="128"/>
        <v>-0.71385599969391067</v>
      </c>
      <c r="AH437" s="8">
        <f t="shared" si="129"/>
        <v>-0.46926309134403904</v>
      </c>
      <c r="AI437" s="8">
        <f t="shared" si="130"/>
        <v>0.51980935236223236</v>
      </c>
      <c r="AJ437" s="8"/>
      <c r="AK437" s="8"/>
      <c r="AL437" s="8"/>
      <c r="AN437" s="8">
        <f t="shared" si="135"/>
        <v>1</v>
      </c>
      <c r="AO437" s="8">
        <f t="shared" si="136"/>
        <v>3.7231271278057418</v>
      </c>
      <c r="AP437" s="8">
        <f t="shared" si="137"/>
        <v>1.024168558279714</v>
      </c>
      <c r="AQ437" s="8"/>
      <c r="AR437" s="8">
        <f t="shared" si="138"/>
        <v>213.31947101393325</v>
      </c>
      <c r="AS437" s="8">
        <f t="shared" si="139"/>
        <v>31.319464100574102</v>
      </c>
    </row>
    <row r="438" spans="1:45">
      <c r="A438" s="19">
        <v>21.554866669999999</v>
      </c>
      <c r="B438" s="19">
        <v>884.91225959999997</v>
      </c>
      <c r="C438" s="19">
        <v>538.89670820000003</v>
      </c>
      <c r="E438" s="9">
        <f t="shared" si="125"/>
        <v>-75.08774040000003</v>
      </c>
      <c r="F438" s="9">
        <f t="shared" si="126"/>
        <v>1.1032917999999654</v>
      </c>
      <c r="I438">
        <v>1</v>
      </c>
      <c r="J438">
        <f t="shared" si="127"/>
        <v>4.7867619385719838E-2</v>
      </c>
      <c r="K438">
        <f t="shared" si="131"/>
        <v>3.1269003428878177</v>
      </c>
      <c r="O438">
        <f t="shared" si="132"/>
        <v>-4.7844177180032907E-2</v>
      </c>
      <c r="P438">
        <f t="shared" si="133"/>
        <v>7.0299210069818421E-4</v>
      </c>
      <c r="Q438">
        <f t="shared" si="134"/>
        <v>0.99885456424450103</v>
      </c>
      <c r="R438">
        <f t="shared" si="124"/>
        <v>1</v>
      </c>
      <c r="AG438" s="8">
        <f t="shared" si="128"/>
        <v>-0.71414314146892732</v>
      </c>
      <c r="AH438" s="8">
        <f t="shared" si="129"/>
        <v>-0.46896018263014061</v>
      </c>
      <c r="AI438" s="8">
        <f t="shared" si="130"/>
        <v>0.51968829176766806</v>
      </c>
      <c r="AJ438" s="8"/>
      <c r="AK438" s="8"/>
      <c r="AL438" s="8"/>
      <c r="AN438" s="8">
        <f t="shared" si="135"/>
        <v>1</v>
      </c>
      <c r="AO438" s="8">
        <f t="shared" si="136"/>
        <v>3.7226462442149173</v>
      </c>
      <c r="AP438" s="8">
        <f t="shared" si="137"/>
        <v>1.0243102624645806</v>
      </c>
      <c r="AQ438" s="8"/>
      <c r="AR438" s="8">
        <f t="shared" si="138"/>
        <v>213.29191841374191</v>
      </c>
      <c r="AS438" s="8">
        <f t="shared" si="139"/>
        <v>31.311345048841908</v>
      </c>
    </row>
    <row r="439" spans="1:45">
      <c r="A439" s="19">
        <v>21.588233330000001</v>
      </c>
      <c r="B439" s="19">
        <v>884.47518869999999</v>
      </c>
      <c r="C439" s="19">
        <v>538.61434020000002</v>
      </c>
      <c r="E439" s="9">
        <f t="shared" si="125"/>
        <v>-75.52481130000001</v>
      </c>
      <c r="F439" s="9">
        <f t="shared" si="126"/>
        <v>1.3856597999999849</v>
      </c>
      <c r="I439">
        <v>1</v>
      </c>
      <c r="J439">
        <f t="shared" si="127"/>
        <v>4.8151256445690079E-2</v>
      </c>
      <c r="K439">
        <f t="shared" si="131"/>
        <v>3.1232476312134563</v>
      </c>
      <c r="O439">
        <f t="shared" si="132"/>
        <v>-4.8124552755046714E-2</v>
      </c>
      <c r="P439">
        <f t="shared" si="133"/>
        <v>8.8294504809503533E-4</v>
      </c>
      <c r="Q439">
        <f t="shared" si="134"/>
        <v>0.99884095221920532</v>
      </c>
      <c r="R439">
        <f t="shared" si="124"/>
        <v>1</v>
      </c>
      <c r="AG439" s="8">
        <f t="shared" si="128"/>
        <v>-0.71425853302986853</v>
      </c>
      <c r="AH439" s="8">
        <f t="shared" si="129"/>
        <v>-0.46866610786132584</v>
      </c>
      <c r="AI439" s="8">
        <f t="shared" si="130"/>
        <v>0.5197949858705222</v>
      </c>
      <c r="AJ439" s="8"/>
      <c r="AK439" s="8"/>
      <c r="AL439" s="8"/>
      <c r="AN439" s="8">
        <f t="shared" si="135"/>
        <v>1</v>
      </c>
      <c r="AO439" s="8">
        <f t="shared" si="136"/>
        <v>3.7222843632902851</v>
      </c>
      <c r="AP439" s="8">
        <f t="shared" si="137"/>
        <v>1.0241853752245511</v>
      </c>
      <c r="AQ439" s="8"/>
      <c r="AR439" s="8">
        <f t="shared" si="138"/>
        <v>213.27118416407419</v>
      </c>
      <c r="AS439" s="8">
        <f t="shared" si="139"/>
        <v>31.31850056061063</v>
      </c>
    </row>
    <row r="440" spans="1:45">
      <c r="A440" s="19">
        <v>21.621600000000001</v>
      </c>
      <c r="B440" s="19">
        <v>883.75320859999999</v>
      </c>
      <c r="C440" s="19">
        <v>538.56588350000004</v>
      </c>
      <c r="E440" s="9">
        <f t="shared" si="125"/>
        <v>-76.246791400000006</v>
      </c>
      <c r="F440" s="9">
        <f t="shared" si="126"/>
        <v>1.4341164999999592</v>
      </c>
      <c r="I440">
        <v>1</v>
      </c>
      <c r="J440">
        <f t="shared" si="127"/>
        <v>4.8615413486583915E-2</v>
      </c>
      <c r="K440">
        <f t="shared" si="131"/>
        <v>3.1227859944252074</v>
      </c>
      <c r="O440">
        <f t="shared" si="132"/>
        <v>-4.8587671900960028E-2</v>
      </c>
      <c r="P440">
        <f t="shared" si="133"/>
        <v>9.1387953106379779E-4</v>
      </c>
      <c r="Q440">
        <f t="shared" si="134"/>
        <v>0.99881850351475132</v>
      </c>
      <c r="R440">
        <f t="shared" si="124"/>
        <v>1</v>
      </c>
      <c r="AG440" s="8">
        <f t="shared" si="128"/>
        <v>-0.7145356696420323</v>
      </c>
      <c r="AH440" s="8">
        <f t="shared" si="129"/>
        <v>-0.46829612792747943</v>
      </c>
      <c r="AI440" s="8">
        <f t="shared" si="130"/>
        <v>0.51974754773576604</v>
      </c>
      <c r="AJ440" s="8"/>
      <c r="AK440" s="8"/>
      <c r="AL440" s="8"/>
      <c r="AN440" s="8">
        <f t="shared" si="135"/>
        <v>1</v>
      </c>
      <c r="AO440" s="8">
        <f t="shared" si="136"/>
        <v>3.7217443174533287</v>
      </c>
      <c r="AP440" s="8">
        <f t="shared" si="137"/>
        <v>1.0242409035298536</v>
      </c>
      <c r="AQ440" s="8"/>
      <c r="AR440" s="8">
        <f t="shared" si="138"/>
        <v>213.24024181687298</v>
      </c>
      <c r="AS440" s="8">
        <f t="shared" si="139"/>
        <v>31.315319023073286</v>
      </c>
    </row>
    <row r="441" spans="1:45">
      <c r="A441" s="19">
        <v>21.65496667</v>
      </c>
      <c r="B441" s="19">
        <v>882.93866330000003</v>
      </c>
      <c r="C441" s="19">
        <v>538.64449260000004</v>
      </c>
      <c r="E441" s="9">
        <f t="shared" si="125"/>
        <v>-77.06133669999997</v>
      </c>
      <c r="F441" s="9">
        <f t="shared" si="126"/>
        <v>1.3555073999999649</v>
      </c>
      <c r="I441">
        <v>1</v>
      </c>
      <c r="J441">
        <f t="shared" si="127"/>
        <v>4.9137535389529814E-2</v>
      </c>
      <c r="K441">
        <f t="shared" si="131"/>
        <v>3.1240044870377432</v>
      </c>
      <c r="O441">
        <f t="shared" si="132"/>
        <v>-4.9110167097599036E-2</v>
      </c>
      <c r="P441">
        <f t="shared" si="133"/>
        <v>8.6384687531680681E-4</v>
      </c>
      <c r="Q441">
        <f t="shared" si="134"/>
        <v>0.99879299419660628</v>
      </c>
      <c r="R441">
        <f t="shared" si="124"/>
        <v>1</v>
      </c>
      <c r="AG441" s="8">
        <f t="shared" si="128"/>
        <v>-0.71487580357530711</v>
      </c>
      <c r="AH441" s="8">
        <f t="shared" si="129"/>
        <v>-0.46791553670546793</v>
      </c>
      <c r="AI441" s="8">
        <f t="shared" si="130"/>
        <v>0.51962258993638166</v>
      </c>
      <c r="AJ441" s="8"/>
      <c r="AK441" s="8"/>
      <c r="AL441" s="8"/>
      <c r="AN441" s="8">
        <f t="shared" si="135"/>
        <v>1.0000000000000002</v>
      </c>
      <c r="AO441" s="8">
        <f t="shared" si="136"/>
        <v>3.7211535334665391</v>
      </c>
      <c r="AP441" s="8">
        <f t="shared" si="137"/>
        <v>1.0243871628421866</v>
      </c>
      <c r="AQ441" s="8"/>
      <c r="AR441" s="8">
        <f t="shared" si="138"/>
        <v>213.20639238782601</v>
      </c>
      <c r="AS441" s="8">
        <f t="shared" si="139"/>
        <v>31.306938981762123</v>
      </c>
    </row>
    <row r="442" spans="1:45">
      <c r="A442" s="19">
        <v>21.688333329999999</v>
      </c>
      <c r="B442" s="19">
        <v>882.49309770000002</v>
      </c>
      <c r="C442" s="19">
        <v>537.8207304</v>
      </c>
      <c r="E442" s="9">
        <f t="shared" si="125"/>
        <v>-77.506902299999979</v>
      </c>
      <c r="F442" s="9">
        <f t="shared" si="126"/>
        <v>2.1792695999999978</v>
      </c>
      <c r="I442">
        <v>1</v>
      </c>
      <c r="J442">
        <f t="shared" si="127"/>
        <v>4.9435718669601753E-2</v>
      </c>
      <c r="K442">
        <f t="shared" si="131"/>
        <v>3.1134829560258943</v>
      </c>
      <c r="O442">
        <f t="shared" si="132"/>
        <v>-4.9396063515109515E-2</v>
      </c>
      <c r="P442">
        <f t="shared" si="133"/>
        <v>1.3888742342131743E-3</v>
      </c>
      <c r="Q442">
        <f t="shared" si="134"/>
        <v>0.99877830369785903</v>
      </c>
      <c r="R442">
        <f t="shared" si="124"/>
        <v>1</v>
      </c>
      <c r="AG442" s="8">
        <f t="shared" si="128"/>
        <v>-0.71488196607385612</v>
      </c>
      <c r="AH442" s="8">
        <f t="shared" si="129"/>
        <v>-0.46746681723056516</v>
      </c>
      <c r="AI442" s="8">
        <f t="shared" si="130"/>
        <v>0.52001783562749404</v>
      </c>
      <c r="AJ442" s="8"/>
      <c r="AK442" s="8"/>
      <c r="AL442" s="8"/>
      <c r="AN442" s="8">
        <f t="shared" si="135"/>
        <v>1</v>
      </c>
      <c r="AO442" s="8">
        <f t="shared" si="136"/>
        <v>3.7207100310630241</v>
      </c>
      <c r="AP442" s="8">
        <f t="shared" si="137"/>
        <v>1.0239244952216691</v>
      </c>
      <c r="AQ442" s="8"/>
      <c r="AR442" s="8">
        <f t="shared" si="138"/>
        <v>213.1809815719007</v>
      </c>
      <c r="AS442" s="8">
        <f t="shared" si="139"/>
        <v>31.333447883735133</v>
      </c>
    </row>
    <row r="443" spans="1:45">
      <c r="A443" s="19">
        <v>21.721699999999998</v>
      </c>
      <c r="B443" s="19">
        <v>881.78909009999995</v>
      </c>
      <c r="C443" s="19">
        <v>537.81499340000005</v>
      </c>
      <c r="E443" s="9">
        <f t="shared" si="125"/>
        <v>-78.210909900000047</v>
      </c>
      <c r="F443" s="9">
        <f t="shared" si="126"/>
        <v>2.1850065999999515</v>
      </c>
      <c r="I443">
        <v>1</v>
      </c>
      <c r="J443">
        <f t="shared" si="127"/>
        <v>4.9887810013575645E-2</v>
      </c>
      <c r="K443">
        <f t="shared" si="131"/>
        <v>3.1136625552737018</v>
      </c>
      <c r="O443">
        <f t="shared" si="132"/>
        <v>-4.9847670012343727E-2</v>
      </c>
      <c r="P443">
        <f t="shared" si="133"/>
        <v>1.3926124643077625E-3</v>
      </c>
      <c r="Q443">
        <f t="shared" si="134"/>
        <v>0.9987558612718449</v>
      </c>
      <c r="R443">
        <f t="shared" si="124"/>
        <v>1</v>
      </c>
      <c r="AG443" s="8">
        <f t="shared" si="128"/>
        <v>-0.71516042094983956</v>
      </c>
      <c r="AH443" s="8">
        <f t="shared" si="129"/>
        <v>-0.46711724213063044</v>
      </c>
      <c r="AI443" s="8">
        <f t="shared" si="130"/>
        <v>0.51994908828761521</v>
      </c>
      <c r="AJ443" s="8"/>
      <c r="AK443" s="8"/>
      <c r="AL443" s="8"/>
      <c r="AN443" s="8">
        <f t="shared" si="135"/>
        <v>1</v>
      </c>
      <c r="AO443" s="8">
        <f t="shared" si="136"/>
        <v>3.7201891094510051</v>
      </c>
      <c r="AP443" s="8">
        <f t="shared" si="137"/>
        <v>1.0240049790019676</v>
      </c>
      <c r="AQ443" s="8"/>
      <c r="AR443" s="8">
        <f t="shared" si="138"/>
        <v>213.15113496207488</v>
      </c>
      <c r="AS443" s="8">
        <f t="shared" si="139"/>
        <v>31.328836502804769</v>
      </c>
    </row>
    <row r="444" spans="1:45">
      <c r="A444" s="19">
        <v>21.755066670000001</v>
      </c>
      <c r="B444" s="19">
        <v>881.51684360000002</v>
      </c>
      <c r="C444" s="19">
        <v>537.7617553</v>
      </c>
      <c r="E444" s="9">
        <f t="shared" si="125"/>
        <v>-78.483156399999984</v>
      </c>
      <c r="F444" s="9">
        <f t="shared" si="126"/>
        <v>2.2382446999999956</v>
      </c>
      <c r="I444">
        <v>1</v>
      </c>
      <c r="J444">
        <f t="shared" si="127"/>
        <v>5.006356640786476E-2</v>
      </c>
      <c r="K444">
        <f t="shared" si="131"/>
        <v>3.1130815909049012</v>
      </c>
      <c r="O444">
        <f t="shared" si="132"/>
        <v>-5.0022318159259151E-2</v>
      </c>
      <c r="P444">
        <f t="shared" si="133"/>
        <v>1.4265760149992713E-3</v>
      </c>
      <c r="Q444">
        <f t="shared" si="134"/>
        <v>0.99874708138089063</v>
      </c>
      <c r="R444">
        <f t="shared" si="124"/>
        <v>1</v>
      </c>
      <c r="AG444" s="8">
        <f t="shared" si="128"/>
        <v>-0.71525747435849918</v>
      </c>
      <c r="AH444" s="8">
        <f t="shared" si="129"/>
        <v>-0.46696786755078085</v>
      </c>
      <c r="AI444" s="8">
        <f t="shared" si="130"/>
        <v>0.51994976300540563</v>
      </c>
      <c r="AJ444" s="8"/>
      <c r="AK444" s="8"/>
      <c r="AL444" s="8"/>
      <c r="AN444" s="8">
        <f t="shared" si="135"/>
        <v>1.0000000000000002</v>
      </c>
      <c r="AO444" s="8">
        <f t="shared" si="136"/>
        <v>3.7199805689617498</v>
      </c>
      <c r="AP444" s="8">
        <f t="shared" si="137"/>
        <v>1.024004189116551</v>
      </c>
      <c r="AQ444" s="8"/>
      <c r="AR444" s="8">
        <f t="shared" si="138"/>
        <v>213.13918647218296</v>
      </c>
      <c r="AS444" s="8">
        <f t="shared" si="139"/>
        <v>31.328881759905443</v>
      </c>
    </row>
    <row r="445" spans="1:45">
      <c r="A445" s="19">
        <v>21.78843333</v>
      </c>
      <c r="B445" s="19">
        <v>880.80687829999999</v>
      </c>
      <c r="C445" s="19">
        <v>537.78417530000002</v>
      </c>
      <c r="E445" s="9">
        <f t="shared" si="125"/>
        <v>-79.193121700000006</v>
      </c>
      <c r="F445" s="9">
        <f t="shared" si="126"/>
        <v>2.2158246999999847</v>
      </c>
      <c r="I445">
        <v>1</v>
      </c>
      <c r="J445">
        <f t="shared" si="127"/>
        <v>5.0518992611200859E-2</v>
      </c>
      <c r="K445">
        <f t="shared" si="131"/>
        <v>3.1136199372553461</v>
      </c>
      <c r="O445">
        <f t="shared" si="132"/>
        <v>-5.0477751346015232E-2</v>
      </c>
      <c r="P445">
        <f t="shared" si="133"/>
        <v>1.4123682187535144E-3</v>
      </c>
      <c r="Q445">
        <f t="shared" si="134"/>
        <v>0.99872418706821375</v>
      </c>
      <c r="R445">
        <f t="shared" si="124"/>
        <v>1</v>
      </c>
      <c r="AG445" s="8">
        <f t="shared" si="128"/>
        <v>-0.71554394982171854</v>
      </c>
      <c r="AH445" s="8">
        <f t="shared" si="129"/>
        <v>-0.46662301192614491</v>
      </c>
      <c r="AI445" s="8">
        <f t="shared" si="130"/>
        <v>0.51986519465579417</v>
      </c>
      <c r="AJ445" s="8"/>
      <c r="AK445" s="8"/>
      <c r="AL445" s="8"/>
      <c r="AN445" s="8">
        <f t="shared" si="135"/>
        <v>1</v>
      </c>
      <c r="AO445" s="8">
        <f t="shared" si="136"/>
        <v>3.7194592075909454</v>
      </c>
      <c r="AP445" s="8">
        <f t="shared" si="137"/>
        <v>1.0241031894846309</v>
      </c>
      <c r="AQ445" s="8"/>
      <c r="AR445" s="8">
        <f t="shared" si="138"/>
        <v>213.10931466603469</v>
      </c>
      <c r="AS445" s="8">
        <f t="shared" si="139"/>
        <v>31.323209456644221</v>
      </c>
    </row>
    <row r="446" spans="1:45">
      <c r="A446" s="19">
        <v>21.8218</v>
      </c>
      <c r="B446" s="19">
        <v>880.65703699999995</v>
      </c>
      <c r="C446" s="19">
        <v>537.8156037</v>
      </c>
      <c r="E446" s="9">
        <f t="shared" si="125"/>
        <v>-79.342963000000054</v>
      </c>
      <c r="F446" s="9">
        <f t="shared" si="126"/>
        <v>2.1843963000000031</v>
      </c>
      <c r="I446">
        <v>1</v>
      </c>
      <c r="J446">
        <f t="shared" si="127"/>
        <v>5.0614641405364792E-2</v>
      </c>
      <c r="K446">
        <f t="shared" si="131"/>
        <v>3.1140685408821978</v>
      </c>
      <c r="O446">
        <f t="shared" si="132"/>
        <v>-5.0573870211295856E-2</v>
      </c>
      <c r="P446">
        <f t="shared" si="133"/>
        <v>1.392352526162085E-3</v>
      </c>
      <c r="Q446">
        <f t="shared" si="134"/>
        <v>0.99871935247410415</v>
      </c>
      <c r="R446">
        <f t="shared" si="124"/>
        <v>1</v>
      </c>
      <c r="AG446" s="8">
        <f t="shared" si="128"/>
        <v>-0.71560993643434745</v>
      </c>
      <c r="AH446" s="8">
        <f t="shared" si="129"/>
        <v>-0.4665576253855066</v>
      </c>
      <c r="AI446" s="8">
        <f t="shared" si="130"/>
        <v>0.51983305115302791</v>
      </c>
      <c r="AJ446" s="8"/>
      <c r="AK446" s="8"/>
      <c r="AL446" s="8"/>
      <c r="AN446" s="8">
        <f t="shared" si="135"/>
        <v>1</v>
      </c>
      <c r="AO446" s="8">
        <f t="shared" si="136"/>
        <v>3.7193529012075395</v>
      </c>
      <c r="AP446" s="8">
        <f t="shared" si="137"/>
        <v>1.024140816875035</v>
      </c>
      <c r="AQ446" s="8"/>
      <c r="AR446" s="8">
        <f t="shared" si="138"/>
        <v>213.10322375893023</v>
      </c>
      <c r="AS446" s="8">
        <f t="shared" si="139"/>
        <v>31.321053565979973</v>
      </c>
    </row>
    <row r="447" spans="1:45">
      <c r="A447" s="19">
        <v>21.855166669999999</v>
      </c>
      <c r="B447" s="19">
        <v>879.74328390000005</v>
      </c>
      <c r="C447" s="19">
        <v>537.78633500000001</v>
      </c>
      <c r="E447" s="9">
        <f t="shared" si="125"/>
        <v>-80.256716099999949</v>
      </c>
      <c r="F447" s="9">
        <f t="shared" si="126"/>
        <v>2.2136649999999918</v>
      </c>
      <c r="I447">
        <v>1</v>
      </c>
      <c r="J447">
        <f t="shared" si="127"/>
        <v>5.120187252747975E-2</v>
      </c>
      <c r="K447">
        <f t="shared" si="131"/>
        <v>3.1140173428810827</v>
      </c>
      <c r="O447">
        <f t="shared" si="132"/>
        <v>-5.1160046227176993E-2</v>
      </c>
      <c r="P447">
        <f t="shared" si="133"/>
        <v>1.4111118574845838E-3</v>
      </c>
      <c r="Q447">
        <f t="shared" si="134"/>
        <v>0.99868947047285861</v>
      </c>
      <c r="R447">
        <f t="shared" si="124"/>
        <v>1</v>
      </c>
      <c r="AG447" s="8">
        <f t="shared" si="128"/>
        <v>-0.71596633298245393</v>
      </c>
      <c r="AH447" s="8">
        <f t="shared" si="129"/>
        <v>-0.46609745912828426</v>
      </c>
      <c r="AI447" s="8">
        <f t="shared" si="130"/>
        <v>0.5197551044769213</v>
      </c>
      <c r="AJ447" s="8"/>
      <c r="AK447" s="8"/>
      <c r="AL447" s="8"/>
      <c r="AN447" s="8">
        <f t="shared" si="135"/>
        <v>1</v>
      </c>
      <c r="AO447" s="8">
        <f t="shared" si="136"/>
        <v>3.7186738528007983</v>
      </c>
      <c r="AP447" s="8">
        <f t="shared" si="137"/>
        <v>1.0242320581763584</v>
      </c>
      <c r="AQ447" s="8"/>
      <c r="AR447" s="8">
        <f t="shared" si="138"/>
        <v>213.06431715113888</v>
      </c>
      <c r="AS447" s="8">
        <f t="shared" si="139"/>
        <v>31.315825824496862</v>
      </c>
    </row>
    <row r="448" spans="1:45">
      <c r="A448" s="19">
        <v>21.888533330000001</v>
      </c>
      <c r="B448" s="19">
        <v>879.37505959999999</v>
      </c>
      <c r="C448" s="19">
        <v>537.58241520000001</v>
      </c>
      <c r="E448" s="9">
        <f t="shared" si="125"/>
        <v>-80.624940400000014</v>
      </c>
      <c r="F448" s="9">
        <f t="shared" si="126"/>
        <v>2.417584799999986</v>
      </c>
      <c r="I448">
        <v>1</v>
      </c>
      <c r="J448">
        <f t="shared" si="127"/>
        <v>5.1442074199255214E-2</v>
      </c>
      <c r="K448">
        <f t="shared" si="131"/>
        <v>3.1116160656908392</v>
      </c>
      <c r="O448">
        <f t="shared" si="132"/>
        <v>-5.1396287891692739E-2</v>
      </c>
      <c r="P448">
        <f t="shared" si="133"/>
        <v>1.5411469920712157E-3</v>
      </c>
      <c r="Q448">
        <f t="shared" si="134"/>
        <v>0.99867714826008869</v>
      </c>
      <c r="R448">
        <f t="shared" si="124"/>
        <v>1</v>
      </c>
      <c r="AG448" s="8">
        <f t="shared" si="128"/>
        <v>-0.71606999150707906</v>
      </c>
      <c r="AH448" s="8">
        <f t="shared" si="129"/>
        <v>-0.46585862812220791</v>
      </c>
      <c r="AI448" s="8">
        <f t="shared" si="130"/>
        <v>0.51982641897766824</v>
      </c>
      <c r="AJ448" s="8"/>
      <c r="AK448" s="8"/>
      <c r="AL448" s="8"/>
      <c r="AN448" s="8">
        <f t="shared" si="135"/>
        <v>1</v>
      </c>
      <c r="AO448" s="8">
        <f t="shared" si="136"/>
        <v>3.7183733531289014</v>
      </c>
      <c r="AP448" s="8">
        <f t="shared" si="137"/>
        <v>1.0241485804348072</v>
      </c>
      <c r="AQ448" s="8"/>
      <c r="AR448" s="8">
        <f t="shared" si="138"/>
        <v>213.04709978819412</v>
      </c>
      <c r="AS448" s="8">
        <f t="shared" si="139"/>
        <v>31.320608746771029</v>
      </c>
    </row>
    <row r="449" spans="1:45">
      <c r="A449" s="19">
        <v>21.921900000000001</v>
      </c>
      <c r="B449" s="19">
        <v>878.60933360000001</v>
      </c>
      <c r="C449" s="19">
        <v>537.4806681</v>
      </c>
      <c r="E449" s="9">
        <f t="shared" si="125"/>
        <v>-81.390666399999986</v>
      </c>
      <c r="F449" s="9">
        <f t="shared" si="126"/>
        <v>2.5193318999999974</v>
      </c>
      <c r="I449">
        <v>1</v>
      </c>
      <c r="J449">
        <f t="shared" si="127"/>
        <v>5.1935717021964617E-2</v>
      </c>
      <c r="K449">
        <f t="shared" si="131"/>
        <v>3.1106489611108619</v>
      </c>
      <c r="O449">
        <f t="shared" si="132"/>
        <v>-5.1887520927749203E-2</v>
      </c>
      <c r="P449">
        <f t="shared" si="133"/>
        <v>1.6061041451946769E-3</v>
      </c>
      <c r="Q449">
        <f t="shared" si="134"/>
        <v>0.99865164376846005</v>
      </c>
      <c r="R449">
        <f t="shared" si="124"/>
        <v>1</v>
      </c>
      <c r="AG449" s="8">
        <f t="shared" si="128"/>
        <v>-0.71635235169181344</v>
      </c>
      <c r="AH449" s="8">
        <f t="shared" si="129"/>
        <v>-0.46545136099051465</v>
      </c>
      <c r="AI449" s="8">
        <f t="shared" si="130"/>
        <v>0.51980221120892345</v>
      </c>
      <c r="AJ449" s="8"/>
      <c r="AK449" s="8"/>
      <c r="AL449" s="8"/>
      <c r="AN449" s="8">
        <f t="shared" si="135"/>
        <v>1.0000000000000004</v>
      </c>
      <c r="AO449" s="8">
        <f t="shared" si="136"/>
        <v>3.7177935014743029</v>
      </c>
      <c r="AP449" s="8">
        <f t="shared" si="137"/>
        <v>1.0241769175014857</v>
      </c>
      <c r="AQ449" s="8"/>
      <c r="AR449" s="8">
        <f t="shared" si="138"/>
        <v>213.01387673564196</v>
      </c>
      <c r="AS449" s="8">
        <f t="shared" si="139"/>
        <v>31.318985152446572</v>
      </c>
    </row>
    <row r="450" spans="1:45">
      <c r="A450" s="19">
        <v>21.95526667</v>
      </c>
      <c r="B450" s="19">
        <v>878.49837079999998</v>
      </c>
      <c r="C450" s="19">
        <v>537.10913449999998</v>
      </c>
      <c r="E450" s="9">
        <f t="shared" si="125"/>
        <v>-81.501629200000025</v>
      </c>
      <c r="F450" s="9">
        <f t="shared" si="126"/>
        <v>2.8908655000000181</v>
      </c>
      <c r="I450">
        <v>1</v>
      </c>
      <c r="J450">
        <f t="shared" si="127"/>
        <v>5.2014880824681746E-2</v>
      </c>
      <c r="K450">
        <f t="shared" si="131"/>
        <v>3.1061374843168026</v>
      </c>
      <c r="O450">
        <f t="shared" si="132"/>
        <v>-5.19587542214957E-2</v>
      </c>
      <c r="P450">
        <f t="shared" si="133"/>
        <v>1.842978741361193E-3</v>
      </c>
      <c r="Q450">
        <f t="shared" si="134"/>
        <v>0.99864753105843562</v>
      </c>
      <c r="R450">
        <f t="shared" si="124"/>
        <v>1</v>
      </c>
      <c r="AG450" s="8">
        <f t="shared" si="128"/>
        <v>-0.71631912390800934</v>
      </c>
      <c r="AH450" s="8">
        <f t="shared" si="129"/>
        <v>-0.46529323200788242</v>
      </c>
      <c r="AI450" s="8">
        <f t="shared" si="130"/>
        <v>0.51998953929028324</v>
      </c>
      <c r="AJ450" s="8"/>
      <c r="AK450" s="8"/>
      <c r="AL450" s="8"/>
      <c r="AN450" s="8">
        <f t="shared" si="135"/>
        <v>1.0000000000000002</v>
      </c>
      <c r="AO450" s="8">
        <f t="shared" si="136"/>
        <v>3.7176594613975307</v>
      </c>
      <c r="AP450" s="8">
        <f t="shared" si="137"/>
        <v>1.0239576227436751</v>
      </c>
      <c r="AQ450" s="8"/>
      <c r="AR450" s="8">
        <f t="shared" si="138"/>
        <v>213.00619680495731</v>
      </c>
      <c r="AS450" s="8">
        <f t="shared" si="139"/>
        <v>31.331549816538462</v>
      </c>
    </row>
    <row r="451" spans="1:45">
      <c r="A451" s="19">
        <v>21.988633329999999</v>
      </c>
      <c r="B451" s="19">
        <v>877.67923589999998</v>
      </c>
      <c r="C451" s="19">
        <v>536.82188910000002</v>
      </c>
      <c r="E451" s="9">
        <f t="shared" si="125"/>
        <v>-82.320764100000019</v>
      </c>
      <c r="F451" s="9">
        <f t="shared" si="126"/>
        <v>3.1781108999999788</v>
      </c>
      <c r="I451">
        <v>1</v>
      </c>
      <c r="J451">
        <f t="shared" si="127"/>
        <v>5.2547560584361525E-2</v>
      </c>
      <c r="K451">
        <f t="shared" si="131"/>
        <v>3.1030053858467053</v>
      </c>
      <c r="O451">
        <f t="shared" si="132"/>
        <v>-5.2484282923947891E-2</v>
      </c>
      <c r="P451">
        <f t="shared" si="133"/>
        <v>2.0262308478655499E-3</v>
      </c>
      <c r="Q451">
        <f t="shared" si="134"/>
        <v>0.99861969459575062</v>
      </c>
      <c r="R451">
        <f t="shared" si="124"/>
        <v>1</v>
      </c>
      <c r="AG451" s="8">
        <f t="shared" si="128"/>
        <v>-0.71658386500084004</v>
      </c>
      <c r="AH451" s="8">
        <f t="shared" si="129"/>
        <v>-0.46480780752337603</v>
      </c>
      <c r="AI451" s="8">
        <f t="shared" si="130"/>
        <v>0.52005890674592847</v>
      </c>
      <c r="AJ451" s="8"/>
      <c r="AK451" s="8"/>
      <c r="AL451" s="8"/>
      <c r="AN451" s="8">
        <f t="shared" si="135"/>
        <v>1.0000000000000002</v>
      </c>
      <c r="AO451" s="8">
        <f t="shared" si="136"/>
        <v>3.7170140154344606</v>
      </c>
      <c r="AP451" s="8">
        <f t="shared" si="137"/>
        <v>1.0238764106230911</v>
      </c>
      <c r="AQ451" s="8"/>
      <c r="AR451" s="8">
        <f t="shared" si="138"/>
        <v>212.96921547536962</v>
      </c>
      <c r="AS451" s="8">
        <f t="shared" si="139"/>
        <v>31.336202928293233</v>
      </c>
    </row>
    <row r="452" spans="1:45">
      <c r="A452" s="19">
        <v>22.021999999999998</v>
      </c>
      <c r="B452" s="19">
        <v>877.54679220000003</v>
      </c>
      <c r="C452" s="19">
        <v>536.78432510000005</v>
      </c>
      <c r="E452" s="9">
        <f t="shared" si="125"/>
        <v>-82.453207799999973</v>
      </c>
      <c r="F452" s="9">
        <f t="shared" si="126"/>
        <v>3.2156748999999536</v>
      </c>
      <c r="I452">
        <v>1</v>
      </c>
      <c r="J452">
        <f t="shared" si="127"/>
        <v>5.2633515452844504E-2</v>
      </c>
      <c r="K452">
        <f t="shared" si="131"/>
        <v>3.1026124110373301</v>
      </c>
      <c r="O452">
        <f t="shared" si="132"/>
        <v>-5.2569253440193586E-2</v>
      </c>
      <c r="P452">
        <f t="shared" si="133"/>
        <v>2.0502007539768222E-3</v>
      </c>
      <c r="Q452">
        <f t="shared" si="134"/>
        <v>0.99861517626641805</v>
      </c>
      <c r="R452">
        <f t="shared" si="124"/>
        <v>1</v>
      </c>
      <c r="AG452" s="8">
        <f t="shared" si="128"/>
        <v>-0.71662849630552872</v>
      </c>
      <c r="AH452" s="8">
        <f t="shared" si="129"/>
        <v>-0.46473177221189704</v>
      </c>
      <c r="AI452" s="8">
        <f t="shared" si="130"/>
        <v>0.52006535952672961</v>
      </c>
      <c r="AJ452" s="8"/>
      <c r="AK452" s="8"/>
      <c r="AL452" s="8"/>
      <c r="AN452" s="8">
        <f t="shared" si="135"/>
        <v>1.0000000000000002</v>
      </c>
      <c r="AO452" s="8">
        <f t="shared" si="136"/>
        <v>3.7169108941072535</v>
      </c>
      <c r="AP452" s="8">
        <f t="shared" si="137"/>
        <v>1.0238688558098308</v>
      </c>
      <c r="AQ452" s="8"/>
      <c r="AR452" s="8">
        <f t="shared" si="138"/>
        <v>212.96330705854288</v>
      </c>
      <c r="AS452" s="8">
        <f t="shared" si="139"/>
        <v>31.33663578720806</v>
      </c>
    </row>
    <row r="453" spans="1:45">
      <c r="A453" s="19">
        <v>22.055366670000002</v>
      </c>
      <c r="B453" s="19">
        <v>876.70604179999998</v>
      </c>
      <c r="C453" s="19">
        <v>537.46728429999996</v>
      </c>
      <c r="E453" s="9">
        <f t="shared" si="125"/>
        <v>-83.29395820000002</v>
      </c>
      <c r="F453" s="9">
        <f t="shared" si="126"/>
        <v>2.5327157000000398</v>
      </c>
      <c r="I453">
        <v>1</v>
      </c>
      <c r="J453">
        <f t="shared" si="127"/>
        <v>5.3158095757055712E-2</v>
      </c>
      <c r="K453">
        <f t="shared" si="131"/>
        <v>3.1111950639103045</v>
      </c>
      <c r="O453">
        <f t="shared" si="132"/>
        <v>-5.3108517809395489E-2</v>
      </c>
      <c r="P453">
        <f t="shared" si="133"/>
        <v>1.6148683501943186E-3</v>
      </c>
      <c r="Q453">
        <f t="shared" si="134"/>
        <v>0.99858744110683706</v>
      </c>
      <c r="R453">
        <f t="shared" si="124"/>
        <v>1</v>
      </c>
      <c r="AG453" s="8">
        <f t="shared" si="128"/>
        <v>-0.71710322798687165</v>
      </c>
      <c r="AH453" s="8">
        <f t="shared" si="129"/>
        <v>-0.46450502515899167</v>
      </c>
      <c r="AI453" s="8">
        <f t="shared" si="130"/>
        <v>0.51961335819323717</v>
      </c>
      <c r="AJ453" s="8"/>
      <c r="AK453" s="8"/>
      <c r="AL453" s="8"/>
      <c r="AN453" s="8">
        <f t="shared" si="135"/>
        <v>1</v>
      </c>
      <c r="AO453" s="8">
        <f t="shared" si="136"/>
        <v>3.7163859096424607</v>
      </c>
      <c r="AP453" s="8">
        <f t="shared" si="137"/>
        <v>1.0243979678012793</v>
      </c>
      <c r="AQ453" s="8"/>
      <c r="AR453" s="8">
        <f t="shared" si="138"/>
        <v>212.93322766440031</v>
      </c>
      <c r="AS453" s="8">
        <f t="shared" si="139"/>
        <v>31.306319903208291</v>
      </c>
    </row>
    <row r="454" spans="1:45">
      <c r="A454" s="19">
        <v>22.08873333</v>
      </c>
      <c r="B454" s="19">
        <v>876.54259230000002</v>
      </c>
      <c r="C454" s="19">
        <v>537.45185919999994</v>
      </c>
      <c r="E454" s="9">
        <f t="shared" si="125"/>
        <v>-83.457407699999976</v>
      </c>
      <c r="F454" s="9">
        <f t="shared" si="126"/>
        <v>2.5481408000000556</v>
      </c>
      <c r="I454">
        <v>1</v>
      </c>
      <c r="J454">
        <f t="shared" si="127"/>
        <v>5.3263354567973674E-2</v>
      </c>
      <c r="K454">
        <f t="shared" si="131"/>
        <v>3.111069905448121</v>
      </c>
      <c r="O454">
        <f t="shared" si="132"/>
        <v>-5.3213376152742631E-2</v>
      </c>
      <c r="P454">
        <f t="shared" si="133"/>
        <v>1.6247230607493869E-3</v>
      </c>
      <c r="Q454">
        <f t="shared" si="134"/>
        <v>0.99858184285185292</v>
      </c>
      <c r="R454">
        <f t="shared" si="124"/>
        <v>1</v>
      </c>
      <c r="AG454" s="8">
        <f t="shared" si="128"/>
        <v>-0.71716469805059957</v>
      </c>
      <c r="AH454" s="8">
        <f t="shared" si="129"/>
        <v>-0.46441975560634802</v>
      </c>
      <c r="AI454" s="8">
        <f t="shared" si="130"/>
        <v>0.51960474061783968</v>
      </c>
      <c r="AJ454" s="8"/>
      <c r="AK454" s="8"/>
      <c r="AL454" s="8"/>
      <c r="AN454" s="8">
        <f t="shared" si="135"/>
        <v>1.0000000000000002</v>
      </c>
      <c r="AO454" s="8">
        <f t="shared" si="136"/>
        <v>3.7162630337049598</v>
      </c>
      <c r="AP454" s="8">
        <f t="shared" si="137"/>
        <v>1.0244080538659253</v>
      </c>
      <c r="AQ454" s="8"/>
      <c r="AR454" s="8">
        <f t="shared" si="138"/>
        <v>212.9261873917778</v>
      </c>
      <c r="AS454" s="8">
        <f t="shared" si="139"/>
        <v>31.305742014272184</v>
      </c>
    </row>
    <row r="455" spans="1:45">
      <c r="A455" s="19">
        <v>22.1221</v>
      </c>
      <c r="B455" s="19">
        <v>875.84014320000006</v>
      </c>
      <c r="C455" s="19">
        <v>537.82578639999997</v>
      </c>
      <c r="E455" s="9">
        <f t="shared" si="125"/>
        <v>-84.159856799999943</v>
      </c>
      <c r="F455" s="9">
        <f t="shared" si="126"/>
        <v>2.1742136000000301</v>
      </c>
      <c r="I455">
        <v>1</v>
      </c>
      <c r="J455">
        <f t="shared" si="127"/>
        <v>5.3707694549001463E-2</v>
      </c>
      <c r="K455">
        <f t="shared" si="131"/>
        <v>3.1157640676459932</v>
      </c>
      <c r="O455">
        <f t="shared" si="132"/>
        <v>-5.3663973130727946E-2</v>
      </c>
      <c r="P455">
        <f t="shared" si="133"/>
        <v>1.3863728462387844E-3</v>
      </c>
      <c r="Q455">
        <f t="shared" si="134"/>
        <v>0.99855808842458216</v>
      </c>
      <c r="R455">
        <f t="shared" si="124"/>
        <v>1</v>
      </c>
      <c r="AG455" s="8">
        <f t="shared" si="128"/>
        <v>-0.71752023904198836</v>
      </c>
      <c r="AH455" s="8">
        <f t="shared" si="129"/>
        <v>-0.46417549204833414</v>
      </c>
      <c r="AI455" s="8">
        <f t="shared" si="130"/>
        <v>0.51933208946377929</v>
      </c>
      <c r="AJ455" s="8"/>
      <c r="AK455" s="8"/>
      <c r="AL455" s="8"/>
      <c r="AN455" s="8">
        <f t="shared" si="135"/>
        <v>1</v>
      </c>
      <c r="AO455" s="8">
        <f t="shared" si="136"/>
        <v>3.7157969701663363</v>
      </c>
      <c r="AP455" s="8">
        <f t="shared" si="137"/>
        <v>1.0247271345660676</v>
      </c>
      <c r="AQ455" s="8"/>
      <c r="AR455" s="8">
        <f t="shared" si="138"/>
        <v>212.89948391802974</v>
      </c>
      <c r="AS455" s="8">
        <f t="shared" si="139"/>
        <v>31.287460036829955</v>
      </c>
    </row>
    <row r="456" spans="1:45">
      <c r="A456" s="19">
        <v>22.155466669999999</v>
      </c>
      <c r="B456" s="19">
        <v>875.65468060000001</v>
      </c>
      <c r="C456" s="19">
        <v>537.74113250000005</v>
      </c>
      <c r="E456" s="9">
        <f t="shared" si="125"/>
        <v>-84.345319399999994</v>
      </c>
      <c r="F456" s="9">
        <f t="shared" si="126"/>
        <v>2.2588674999999512</v>
      </c>
      <c r="I456">
        <v>1</v>
      </c>
      <c r="J456">
        <f t="shared" si="127"/>
        <v>5.3828235334771643E-2</v>
      </c>
      <c r="K456">
        <f t="shared" si="131"/>
        <v>3.1148178698261346</v>
      </c>
      <c r="O456">
        <f t="shared" si="132"/>
        <v>-5.3782960769700371E-2</v>
      </c>
      <c r="P456">
        <f t="shared" si="133"/>
        <v>1.440371356711586E-3</v>
      </c>
      <c r="Q456">
        <f t="shared" si="134"/>
        <v>0.99855161031425899</v>
      </c>
      <c r="R456">
        <f t="shared" si="124"/>
        <v>1</v>
      </c>
      <c r="AG456" s="8">
        <f t="shared" si="128"/>
        <v>-0.71757599731844912</v>
      </c>
      <c r="AH456" s="8">
        <f t="shared" si="129"/>
        <v>-0.46406005959074142</v>
      </c>
      <c r="AI456" s="8">
        <f t="shared" si="130"/>
        <v>0.51935820891276074</v>
      </c>
      <c r="AJ456" s="8"/>
      <c r="AK456" s="8"/>
      <c r="AL456" s="8"/>
      <c r="AN456" s="8">
        <f t="shared" si="135"/>
        <v>1.0000000000000002</v>
      </c>
      <c r="AO456" s="8">
        <f t="shared" si="136"/>
        <v>3.71564811403071</v>
      </c>
      <c r="AP456" s="8">
        <f t="shared" si="137"/>
        <v>1.0246965699373773</v>
      </c>
      <c r="AQ456" s="8"/>
      <c r="AR456" s="8">
        <f t="shared" si="138"/>
        <v>212.89095508970374</v>
      </c>
      <c r="AS456" s="8">
        <f t="shared" si="139"/>
        <v>31.289211261056288</v>
      </c>
    </row>
    <row r="457" spans="1:45">
      <c r="A457" s="19">
        <v>22.188833330000001</v>
      </c>
      <c r="B457" s="19">
        <v>874.72075640000003</v>
      </c>
      <c r="C457" s="19">
        <v>537.65088560000004</v>
      </c>
      <c r="E457" s="9">
        <f t="shared" si="125"/>
        <v>-85.279243599999973</v>
      </c>
      <c r="F457" s="9">
        <f t="shared" si="126"/>
        <v>2.3491143999999622</v>
      </c>
      <c r="I457">
        <v>1</v>
      </c>
      <c r="J457">
        <f t="shared" si="127"/>
        <v>5.4429606844191417E-2</v>
      </c>
      <c r="K457">
        <f t="shared" si="131"/>
        <v>3.1140534727805278</v>
      </c>
      <c r="O457">
        <f t="shared" si="132"/>
        <v>-5.4382107071997816E-2</v>
      </c>
      <c r="P457">
        <f t="shared" si="133"/>
        <v>1.4980174006277215E-3</v>
      </c>
      <c r="Q457">
        <f t="shared" si="134"/>
        <v>0.99851907461714384</v>
      </c>
      <c r="R457">
        <f t="shared" si="124"/>
        <v>1</v>
      </c>
      <c r="AG457" s="8">
        <f t="shared" si="128"/>
        <v>-0.71792641958673586</v>
      </c>
      <c r="AH457" s="8">
        <f t="shared" si="129"/>
        <v>-0.46357198257368148</v>
      </c>
      <c r="AI457" s="8">
        <f t="shared" si="130"/>
        <v>0.51930980448290842</v>
      </c>
      <c r="AJ457" s="8"/>
      <c r="AK457" s="8"/>
      <c r="AL457" s="8"/>
      <c r="AN457" s="8">
        <f t="shared" si="135"/>
        <v>1</v>
      </c>
      <c r="AO457" s="8">
        <f t="shared" si="136"/>
        <v>3.7149458617250732</v>
      </c>
      <c r="AP457" s="8">
        <f t="shared" si="137"/>
        <v>1.0247532117028157</v>
      </c>
      <c r="AQ457" s="8"/>
      <c r="AR457" s="8">
        <f t="shared" si="138"/>
        <v>212.85071899643739</v>
      </c>
      <c r="AS457" s="8">
        <f t="shared" si="139"/>
        <v>31.2859659269525</v>
      </c>
    </row>
    <row r="458" spans="1:45">
      <c r="A458" s="19">
        <v>22.222200000000001</v>
      </c>
      <c r="B458" s="19">
        <v>874.33163179999997</v>
      </c>
      <c r="C458" s="19">
        <v>537.46886270000005</v>
      </c>
      <c r="E458" s="9">
        <f t="shared" si="125"/>
        <v>-85.668368200000032</v>
      </c>
      <c r="F458" s="9">
        <f t="shared" si="126"/>
        <v>2.5311372999999548</v>
      </c>
      <c r="I458">
        <v>1</v>
      </c>
      <c r="J458">
        <f t="shared" si="127"/>
        <v>5.4682849032829044E-2</v>
      </c>
      <c r="K458">
        <f t="shared" si="131"/>
        <v>3.1120554834750025</v>
      </c>
      <c r="O458">
        <f t="shared" si="132"/>
        <v>-5.4631760616841309E-2</v>
      </c>
      <c r="P458">
        <f t="shared" si="133"/>
        <v>1.6141370492680498E-3</v>
      </c>
      <c r="Q458">
        <f t="shared" si="134"/>
        <v>0.99850526553117902</v>
      </c>
      <c r="R458">
        <f t="shared" si="124"/>
        <v>1</v>
      </c>
      <c r="AG458" s="8">
        <f t="shared" si="128"/>
        <v>-0.71804234318925009</v>
      </c>
      <c r="AH458" s="8">
        <f t="shared" si="129"/>
        <v>-0.46332845166555336</v>
      </c>
      <c r="AI458" s="8">
        <f t="shared" si="130"/>
        <v>0.5193668638491411</v>
      </c>
      <c r="AJ458" s="8"/>
      <c r="AK458" s="8"/>
      <c r="AL458" s="8"/>
      <c r="AN458" s="8">
        <f t="shared" si="135"/>
        <v>1</v>
      </c>
      <c r="AO458" s="8">
        <f t="shared" si="136"/>
        <v>3.7146328669792759</v>
      </c>
      <c r="AP458" s="8">
        <f t="shared" si="137"/>
        <v>1.0246864419217334</v>
      </c>
      <c r="AQ458" s="8"/>
      <c r="AR458" s="8">
        <f t="shared" si="138"/>
        <v>212.83278571849345</v>
      </c>
      <c r="AS458" s="8">
        <f t="shared" si="139"/>
        <v>31.289791553607529</v>
      </c>
    </row>
    <row r="459" spans="1:45">
      <c r="A459" s="19">
        <v>22.25556667</v>
      </c>
      <c r="B459" s="19">
        <v>873.89958209999998</v>
      </c>
      <c r="C459" s="19">
        <v>536.88502840000001</v>
      </c>
      <c r="E459" s="9">
        <f t="shared" si="125"/>
        <v>-86.100417900000025</v>
      </c>
      <c r="F459" s="9">
        <f t="shared" si="126"/>
        <v>3.1149715999999898</v>
      </c>
      <c r="I459">
        <v>1</v>
      </c>
      <c r="J459">
        <f t="shared" si="127"/>
        <v>5.4972610648295929E-2</v>
      </c>
      <c r="K459">
        <f t="shared" si="131"/>
        <v>3.105430069160271</v>
      </c>
      <c r="O459">
        <f t="shared" si="132"/>
        <v>-5.4909004351964809E-2</v>
      </c>
      <c r="P459">
        <f t="shared" si="133"/>
        <v>1.9865175258417357E-3</v>
      </c>
      <c r="Q459">
        <f t="shared" si="134"/>
        <v>0.99848938651805175</v>
      </c>
      <c r="R459">
        <f t="shared" si="124"/>
        <v>1</v>
      </c>
      <c r="AG459" s="8">
        <f t="shared" si="128"/>
        <v>-0.71809162800825121</v>
      </c>
      <c r="AH459" s="8">
        <f t="shared" si="129"/>
        <v>-0.46295192774893434</v>
      </c>
      <c r="AI459" s="8">
        <f t="shared" si="130"/>
        <v>0.51963441608308114</v>
      </c>
      <c r="AJ459" s="8"/>
      <c r="AK459" s="8"/>
      <c r="AL459" s="8"/>
      <c r="AN459" s="8">
        <f t="shared" si="135"/>
        <v>0.99999999999999978</v>
      </c>
      <c r="AO459" s="8">
        <f t="shared" si="136"/>
        <v>3.7142312952348751</v>
      </c>
      <c r="AP459" s="8">
        <f t="shared" si="137"/>
        <v>1.0243733212537665</v>
      </c>
      <c r="AQ459" s="8"/>
      <c r="AR459" s="8">
        <f t="shared" si="138"/>
        <v>212.80977735236758</v>
      </c>
      <c r="AS459" s="8">
        <f t="shared" si="139"/>
        <v>31.30773204636035</v>
      </c>
    </row>
    <row r="460" spans="1:45">
      <c r="A460" s="19">
        <v>22.288933329999999</v>
      </c>
      <c r="B460" s="19">
        <v>872.91126220000001</v>
      </c>
      <c r="C460" s="19">
        <v>536.53299900000002</v>
      </c>
      <c r="E460" s="9">
        <f t="shared" si="125"/>
        <v>-87.08873779999999</v>
      </c>
      <c r="F460" s="9">
        <f t="shared" si="126"/>
        <v>3.467000999999982</v>
      </c>
      <c r="I460">
        <v>1</v>
      </c>
      <c r="J460">
        <f t="shared" si="127"/>
        <v>5.5615747012059472E-2</v>
      </c>
      <c r="K460">
        <f t="shared" si="131"/>
        <v>3.1018036833263078</v>
      </c>
      <c r="O460">
        <f t="shared" si="132"/>
        <v>-5.5543084620231602E-2</v>
      </c>
      <c r="P460">
        <f t="shared" si="133"/>
        <v>2.2111691452419559E-3</v>
      </c>
      <c r="Q460">
        <f t="shared" si="134"/>
        <v>0.99845384294011352</v>
      </c>
      <c r="R460">
        <f t="shared" si="124"/>
        <v>1</v>
      </c>
      <c r="AG460" s="8">
        <f t="shared" si="128"/>
        <v>-0.71840856217238713</v>
      </c>
      <c r="AH460" s="8">
        <f t="shared" si="129"/>
        <v>-0.46236370415997396</v>
      </c>
      <c r="AI460" s="8">
        <f t="shared" si="130"/>
        <v>0.51972006202654097</v>
      </c>
      <c r="AJ460" s="8"/>
      <c r="AK460" s="8"/>
      <c r="AL460" s="8"/>
      <c r="AN460" s="8">
        <f t="shared" si="135"/>
        <v>1</v>
      </c>
      <c r="AO460" s="8">
        <f t="shared" si="136"/>
        <v>3.7134516048038231</v>
      </c>
      <c r="AP460" s="8">
        <f t="shared" si="137"/>
        <v>1.0242730758347924</v>
      </c>
      <c r="AQ460" s="8"/>
      <c r="AR460" s="8">
        <f t="shared" si="138"/>
        <v>212.76510438134156</v>
      </c>
      <c r="AS460" s="8">
        <f t="shared" si="139"/>
        <v>31.313475685783082</v>
      </c>
    </row>
    <row r="461" spans="1:45">
      <c r="A461" s="19">
        <v>22.322299999999998</v>
      </c>
      <c r="B461" s="19">
        <v>872.69993710000006</v>
      </c>
      <c r="C461" s="19">
        <v>536.60097800000005</v>
      </c>
      <c r="E461" s="9">
        <f t="shared" si="125"/>
        <v>-87.300062899999944</v>
      </c>
      <c r="F461" s="9">
        <f t="shared" si="126"/>
        <v>3.3990219999999454</v>
      </c>
      <c r="I461">
        <v>1</v>
      </c>
      <c r="J461">
        <f t="shared" si="127"/>
        <v>5.5749704731620803E-2</v>
      </c>
      <c r="K461">
        <f t="shared" si="131"/>
        <v>3.1026773780551311</v>
      </c>
      <c r="O461">
        <f t="shared" si="132"/>
        <v>-5.5678644145650484E-2</v>
      </c>
      <c r="P461">
        <f t="shared" si="133"/>
        <v>2.1678442156223892E-3</v>
      </c>
      <c r="Q461">
        <f t="shared" si="134"/>
        <v>0.99844638766313276</v>
      </c>
      <c r="R461">
        <f t="shared" si="124"/>
        <v>1</v>
      </c>
      <c r="AG461" s="8">
        <f t="shared" si="128"/>
        <v>-0.71850609365535978</v>
      </c>
      <c r="AH461" s="8">
        <f t="shared" si="129"/>
        <v>-0.46227772692172403</v>
      </c>
      <c r="AI461" s="8">
        <f t="shared" si="130"/>
        <v>0.51966171359086999</v>
      </c>
      <c r="AJ461" s="8"/>
      <c r="AK461" s="8"/>
      <c r="AL461" s="8"/>
      <c r="AN461" s="8">
        <f t="shared" si="135"/>
        <v>1</v>
      </c>
      <c r="AO461" s="8">
        <f t="shared" si="136"/>
        <v>3.7133052030060245</v>
      </c>
      <c r="AP461" s="8">
        <f t="shared" si="137"/>
        <v>1.0243413711910052</v>
      </c>
      <c r="AQ461" s="8"/>
      <c r="AR461" s="8">
        <f t="shared" si="138"/>
        <v>212.75671617621458</v>
      </c>
      <c r="AS461" s="8">
        <f t="shared" si="139"/>
        <v>31.309562650111751</v>
      </c>
    </row>
    <row r="462" spans="1:45">
      <c r="A462" s="19">
        <v>22.355666670000002</v>
      </c>
      <c r="B462" s="19">
        <v>871.84153579999997</v>
      </c>
      <c r="C462" s="19">
        <v>536.74869190000004</v>
      </c>
      <c r="E462" s="9">
        <f t="shared" si="125"/>
        <v>-88.158464200000026</v>
      </c>
      <c r="F462" s="9">
        <f t="shared" si="126"/>
        <v>3.2513080999999602</v>
      </c>
      <c r="I462">
        <v>1</v>
      </c>
      <c r="J462">
        <f t="shared" si="127"/>
        <v>5.6297265386946085E-2</v>
      </c>
      <c r="K462">
        <f t="shared" si="131"/>
        <v>3.1047290893522033</v>
      </c>
      <c r="O462">
        <f t="shared" si="132"/>
        <v>-5.622930490027158E-2</v>
      </c>
      <c r="P462">
        <f t="shared" si="133"/>
        <v>2.0737520343465949E-3</v>
      </c>
      <c r="Q462">
        <f t="shared" si="134"/>
        <v>0.99841572745171259</v>
      </c>
      <c r="R462">
        <f t="shared" si="124"/>
        <v>1</v>
      </c>
      <c r="AG462" s="8">
        <f t="shared" si="128"/>
        <v>-0.71887541721484771</v>
      </c>
      <c r="AH462" s="8">
        <f t="shared" si="129"/>
        <v>-0.46189268887084728</v>
      </c>
      <c r="AI462" s="8">
        <f t="shared" si="130"/>
        <v>0.51949329013167955</v>
      </c>
      <c r="AJ462" s="8"/>
      <c r="AK462" s="8"/>
      <c r="AL462" s="8"/>
      <c r="AN462" s="8">
        <f t="shared" si="135"/>
        <v>1</v>
      </c>
      <c r="AO462" s="8">
        <f t="shared" si="136"/>
        <v>3.7126923834957868</v>
      </c>
      <c r="AP462" s="8">
        <f t="shared" si="137"/>
        <v>1.0245384906453703</v>
      </c>
      <c r="AQ462" s="8"/>
      <c r="AR462" s="8">
        <f t="shared" si="138"/>
        <v>212.72160420467469</v>
      </c>
      <c r="AS462" s="8">
        <f t="shared" si="139"/>
        <v>31.298268537316709</v>
      </c>
    </row>
    <row r="463" spans="1:45">
      <c r="A463" s="19">
        <v>22.38903333</v>
      </c>
      <c r="B463" s="19">
        <v>871.31147569999996</v>
      </c>
      <c r="C463" s="19">
        <v>536.38176980000003</v>
      </c>
      <c r="E463" s="9">
        <f t="shared" si="125"/>
        <v>-88.68852430000004</v>
      </c>
      <c r="F463" s="9">
        <f t="shared" si="126"/>
        <v>3.6182301999999709</v>
      </c>
      <c r="I463">
        <v>1</v>
      </c>
      <c r="J463">
        <f t="shared" si="127"/>
        <v>5.6646747711650625E-2</v>
      </c>
      <c r="K463">
        <f t="shared" si="131"/>
        <v>3.100818214759931</v>
      </c>
      <c r="O463">
        <f t="shared" si="132"/>
        <v>-5.6569399918111697E-2</v>
      </c>
      <c r="P463">
        <f t="shared" si="133"/>
        <v>2.3078646622558372E-3</v>
      </c>
      <c r="Q463">
        <f t="shared" si="134"/>
        <v>0.99839600197196576</v>
      </c>
      <c r="R463">
        <f t="shared" si="124"/>
        <v>1</v>
      </c>
      <c r="AG463" s="8">
        <f t="shared" si="128"/>
        <v>-0.71900804638958971</v>
      </c>
      <c r="AH463" s="8">
        <f t="shared" si="129"/>
        <v>-0.46152747156080137</v>
      </c>
      <c r="AI463" s="8">
        <f t="shared" si="130"/>
        <v>0.51963431586233733</v>
      </c>
      <c r="AJ463" s="8"/>
      <c r="AK463" s="8"/>
      <c r="AL463" s="8"/>
      <c r="AN463" s="8">
        <f t="shared" si="135"/>
        <v>1</v>
      </c>
      <c r="AO463" s="8">
        <f t="shared" si="136"/>
        <v>3.712248845827848</v>
      </c>
      <c r="AP463" s="8">
        <f t="shared" si="137"/>
        <v>1.0243734385548717</v>
      </c>
      <c r="AQ463" s="8"/>
      <c r="AR463" s="8">
        <f t="shared" si="138"/>
        <v>212.6961913682467</v>
      </c>
      <c r="AS463" s="8">
        <f t="shared" si="139"/>
        <v>31.307725325502084</v>
      </c>
    </row>
    <row r="464" spans="1:45">
      <c r="A464" s="19">
        <v>22.4224</v>
      </c>
      <c r="B464" s="19">
        <v>870.92473789999997</v>
      </c>
      <c r="C464" s="19">
        <v>536.67321100000004</v>
      </c>
      <c r="E464" s="9">
        <f t="shared" si="125"/>
        <v>-89.075262100000032</v>
      </c>
      <c r="F464" s="9">
        <f t="shared" si="126"/>
        <v>3.3267889999999625</v>
      </c>
      <c r="I464">
        <v>1</v>
      </c>
      <c r="J464">
        <f t="shared" si="127"/>
        <v>5.6887747581797758E-2</v>
      </c>
      <c r="K464">
        <f t="shared" si="131"/>
        <v>3.1042619358007593</v>
      </c>
      <c r="O464">
        <f t="shared" si="132"/>
        <v>-5.6817456134208189E-2</v>
      </c>
      <c r="P464">
        <f t="shared" si="133"/>
        <v>2.1220222497135375E-3</v>
      </c>
      <c r="Q464">
        <f t="shared" si="134"/>
        <v>0.99838232841933305</v>
      </c>
      <c r="R464">
        <f t="shared" si="124"/>
        <v>1</v>
      </c>
      <c r="AG464" s="8">
        <f t="shared" si="128"/>
        <v>-0.71922111213648265</v>
      </c>
      <c r="AH464" s="8">
        <f t="shared" si="129"/>
        <v>-0.4614164457713304</v>
      </c>
      <c r="AI464" s="8">
        <f t="shared" si="130"/>
        <v>0.51943801885202245</v>
      </c>
      <c r="AJ464" s="8"/>
      <c r="AK464" s="8"/>
      <c r="AL464" s="8"/>
      <c r="AN464" s="8">
        <f t="shared" si="135"/>
        <v>1</v>
      </c>
      <c r="AO464" s="8">
        <f t="shared" si="136"/>
        <v>3.7120048128348406</v>
      </c>
      <c r="AP464" s="8">
        <f t="shared" si="137"/>
        <v>1.0246031738992643</v>
      </c>
      <c r="AQ464" s="8"/>
      <c r="AR464" s="8">
        <f t="shared" si="138"/>
        <v>212.68220930768544</v>
      </c>
      <c r="AS464" s="8">
        <f t="shared" si="139"/>
        <v>31.294562459863414</v>
      </c>
    </row>
    <row r="465" spans="1:45">
      <c r="A465" s="19">
        <v>22.455766669999999</v>
      </c>
      <c r="B465" s="19">
        <v>870.64651519999995</v>
      </c>
      <c r="C465" s="19">
        <v>536.71789720000004</v>
      </c>
      <c r="E465" s="9">
        <f t="shared" si="125"/>
        <v>-89.353484800000047</v>
      </c>
      <c r="F465" s="9">
        <f t="shared" si="126"/>
        <v>3.2821027999999615</v>
      </c>
      <c r="I465">
        <v>1</v>
      </c>
      <c r="J465">
        <f t="shared" si="127"/>
        <v>5.706533732666616E-2</v>
      </c>
      <c r="K465">
        <f t="shared" si="131"/>
        <v>3.1048774889493096</v>
      </c>
      <c r="O465">
        <f t="shared" si="132"/>
        <v>-5.6995933664719917E-2</v>
      </c>
      <c r="P465">
        <f t="shared" si="133"/>
        <v>2.0935558796425229E-3</v>
      </c>
      <c r="Q465">
        <f t="shared" si="134"/>
        <v>0.99837221544345156</v>
      </c>
      <c r="R465">
        <f t="shared" si="124"/>
        <v>1</v>
      </c>
      <c r="AG465" s="8">
        <f t="shared" si="128"/>
        <v>-0.71934003591528339</v>
      </c>
      <c r="AH465" s="8">
        <f t="shared" si="129"/>
        <v>-0.4612906778713769</v>
      </c>
      <c r="AI465" s="8">
        <f t="shared" si="130"/>
        <v>0.51938504333332935</v>
      </c>
      <c r="AJ465" s="8"/>
      <c r="AK465" s="8"/>
      <c r="AL465" s="8"/>
      <c r="AN465" s="8">
        <f t="shared" si="135"/>
        <v>1</v>
      </c>
      <c r="AO465" s="8">
        <f t="shared" si="136"/>
        <v>3.7118057906538784</v>
      </c>
      <c r="AP465" s="8">
        <f t="shared" si="137"/>
        <v>1.0246651680672341</v>
      </c>
      <c r="AQ465" s="8"/>
      <c r="AR465" s="8">
        <f t="shared" si="138"/>
        <v>212.67080617668682</v>
      </c>
      <c r="AS465" s="8">
        <f t="shared" si="139"/>
        <v>31.291010455684315</v>
      </c>
    </row>
    <row r="466" spans="1:45">
      <c r="A466" s="19">
        <v>22.489133330000001</v>
      </c>
      <c r="B466" s="19">
        <v>869.74331400000005</v>
      </c>
      <c r="C466" s="19">
        <v>536.51852629999996</v>
      </c>
      <c r="E466" s="9">
        <f t="shared" si="125"/>
        <v>-90.256685999999945</v>
      </c>
      <c r="F466" s="9">
        <f t="shared" si="126"/>
        <v>3.4814737000000378</v>
      </c>
      <c r="I466">
        <v>1</v>
      </c>
      <c r="J466">
        <f t="shared" si="127"/>
        <v>5.7650117970481723E-2</v>
      </c>
      <c r="K466">
        <f t="shared" si="131"/>
        <v>3.1030387389264251</v>
      </c>
      <c r="O466">
        <f t="shared" si="132"/>
        <v>-5.7575372909210019E-2</v>
      </c>
      <c r="P466">
        <f t="shared" si="133"/>
        <v>2.2208564864780117E-3</v>
      </c>
      <c r="Q466">
        <f t="shared" si="134"/>
        <v>0.99833869214351889</v>
      </c>
      <c r="R466">
        <f t="shared" si="124"/>
        <v>1</v>
      </c>
      <c r="AG466" s="8">
        <f t="shared" si="128"/>
        <v>-0.71965428146636135</v>
      </c>
      <c r="AH466" s="8">
        <f t="shared" si="129"/>
        <v>-0.46078651535236148</v>
      </c>
      <c r="AI466" s="8">
        <f t="shared" si="130"/>
        <v>0.51939724916152863</v>
      </c>
      <c r="AJ466" s="8"/>
      <c r="AK466" s="8"/>
      <c r="AL466" s="8"/>
      <c r="AN466" s="8">
        <f t="shared" si="135"/>
        <v>1</v>
      </c>
      <c r="AO466" s="8">
        <f t="shared" si="136"/>
        <v>3.711110638583361</v>
      </c>
      <c r="AP466" s="8">
        <f t="shared" si="137"/>
        <v>1.0246508845036106</v>
      </c>
      <c r="AQ466" s="8"/>
      <c r="AR466" s="8">
        <f t="shared" si="138"/>
        <v>212.6309768969264</v>
      </c>
      <c r="AS466" s="8">
        <f t="shared" si="139"/>
        <v>31.291828843596342</v>
      </c>
    </row>
    <row r="467" spans="1:45">
      <c r="A467" s="19">
        <v>22.522500000000001</v>
      </c>
      <c r="B467" s="19">
        <v>869.70427359999996</v>
      </c>
      <c r="C467" s="19">
        <v>536.10744279999994</v>
      </c>
      <c r="E467" s="9">
        <f t="shared" si="125"/>
        <v>-90.295726400000035</v>
      </c>
      <c r="F467" s="9">
        <f t="shared" si="126"/>
        <v>3.8925572000000557</v>
      </c>
      <c r="I467">
        <v>1</v>
      </c>
      <c r="J467">
        <f t="shared" si="127"/>
        <v>5.7685962985137416E-2</v>
      </c>
      <c r="K467">
        <f t="shared" si="131"/>
        <v>3.0985103422706035</v>
      </c>
      <c r="O467">
        <f t="shared" si="132"/>
        <v>-5.760047791713005E-2</v>
      </c>
      <c r="P467">
        <f t="shared" si="133"/>
        <v>2.4830981927818989E-3</v>
      </c>
      <c r="Q467">
        <f t="shared" si="134"/>
        <v>0.99833662617730456</v>
      </c>
      <c r="R467">
        <f t="shared" si="124"/>
        <v>1</v>
      </c>
      <c r="AG467" s="8">
        <f t="shared" si="128"/>
        <v>-0.71958407901582755</v>
      </c>
      <c r="AH467" s="8">
        <f t="shared" si="129"/>
        <v>-0.46065277712665886</v>
      </c>
      <c r="AI467" s="8">
        <f t="shared" si="130"/>
        <v>0.51961309851892679</v>
      </c>
      <c r="AJ467" s="8"/>
      <c r="AK467" s="8"/>
      <c r="AL467" s="8"/>
      <c r="AN467" s="8">
        <f t="shared" si="135"/>
        <v>0.99999999999999989</v>
      </c>
      <c r="AO467" s="8">
        <f t="shared" si="136"/>
        <v>3.7110231222321275</v>
      </c>
      <c r="AP467" s="8">
        <f t="shared" si="137"/>
        <v>1.0243982717266353</v>
      </c>
      <c r="AQ467" s="8"/>
      <c r="AR467" s="8">
        <f t="shared" si="138"/>
        <v>212.62596257936232</v>
      </c>
      <c r="AS467" s="8">
        <f t="shared" si="139"/>
        <v>31.306302489568111</v>
      </c>
    </row>
    <row r="468" spans="1:45">
      <c r="A468" s="19">
        <v>22.55586667</v>
      </c>
      <c r="B468" s="19">
        <v>869.25488380000002</v>
      </c>
      <c r="C468" s="19">
        <v>535.78568900000005</v>
      </c>
      <c r="E468" s="9">
        <f t="shared" si="125"/>
        <v>-90.745116199999984</v>
      </c>
      <c r="F468" s="9">
        <f t="shared" si="126"/>
        <v>4.2143109999999524</v>
      </c>
      <c r="I468">
        <v>1</v>
      </c>
      <c r="J468">
        <f t="shared" si="127"/>
        <v>5.7983692970666724E-2</v>
      </c>
      <c r="K468">
        <f t="shared" si="131"/>
        <v>3.0951848103362938</v>
      </c>
      <c r="O468">
        <f t="shared" si="132"/>
        <v>-5.7888813978093236E-2</v>
      </c>
      <c r="P468">
        <f t="shared" si="133"/>
        <v>2.688425292080133E-3</v>
      </c>
      <c r="Q468">
        <f t="shared" si="134"/>
        <v>0.99831941661256829</v>
      </c>
      <c r="R468">
        <f t="shared" si="124"/>
        <v>1</v>
      </c>
      <c r="AG468" s="8">
        <f t="shared" si="128"/>
        <v>-0.71969396766718752</v>
      </c>
      <c r="AH468" s="8">
        <f t="shared" si="129"/>
        <v>-0.46033992169671539</v>
      </c>
      <c r="AI468" s="8">
        <f t="shared" si="130"/>
        <v>0.51973815464685991</v>
      </c>
      <c r="AJ468" s="8"/>
      <c r="AK468" s="8"/>
      <c r="AL468" s="8"/>
      <c r="AN468" s="8">
        <f t="shared" si="135"/>
        <v>1</v>
      </c>
      <c r="AO468" s="8">
        <f t="shared" si="136"/>
        <v>3.710645355087669</v>
      </c>
      <c r="AP468" s="8">
        <f t="shared" si="137"/>
        <v>1.0242518983077149</v>
      </c>
      <c r="AQ468" s="8"/>
      <c r="AR468" s="8">
        <f t="shared" si="138"/>
        <v>212.60431811634615</v>
      </c>
      <c r="AS468" s="8">
        <f t="shared" si="139"/>
        <v>31.31468906870515</v>
      </c>
    </row>
    <row r="469" spans="1:45">
      <c r="A469" s="19">
        <v>22.589233329999999</v>
      </c>
      <c r="B469" s="19">
        <v>868.18946740000001</v>
      </c>
      <c r="C469" s="19">
        <v>535.66349379999997</v>
      </c>
      <c r="E469" s="9">
        <f t="shared" si="125"/>
        <v>-91.810532599999988</v>
      </c>
      <c r="F469" s="9">
        <f t="shared" si="126"/>
        <v>4.3365062000000307</v>
      </c>
      <c r="I469">
        <v>1</v>
      </c>
      <c r="J469">
        <f t="shared" si="127"/>
        <v>5.8671248698237255E-2</v>
      </c>
      <c r="K469">
        <f t="shared" si="131"/>
        <v>3.0943945216702304</v>
      </c>
      <c r="O469">
        <f t="shared" si="132"/>
        <v>-5.8572293372710166E-2</v>
      </c>
      <c r="P469">
        <f t="shared" si="133"/>
        <v>2.7665574544219517E-3</v>
      </c>
      <c r="Q469">
        <f t="shared" si="134"/>
        <v>0.99827933596209062</v>
      </c>
      <c r="R469">
        <f t="shared" si="124"/>
        <v>1</v>
      </c>
      <c r="AG469" s="8">
        <f t="shared" si="128"/>
        <v>-0.72008766664140844</v>
      </c>
      <c r="AH469" s="8">
        <f t="shared" si="129"/>
        <v>-0.45977626870578292</v>
      </c>
      <c r="AI469" s="8">
        <f t="shared" si="130"/>
        <v>0.51969176930746142</v>
      </c>
      <c r="AJ469" s="8"/>
      <c r="AK469" s="8"/>
      <c r="AL469" s="8"/>
      <c r="AN469" s="8">
        <f t="shared" si="135"/>
        <v>1.0000000000000002</v>
      </c>
      <c r="AO469" s="8">
        <f t="shared" si="136"/>
        <v>3.7098412778105061</v>
      </c>
      <c r="AP469" s="8">
        <f t="shared" si="137"/>
        <v>1.0243061920954073</v>
      </c>
      <c r="AQ469" s="8"/>
      <c r="AR469" s="8">
        <f t="shared" si="138"/>
        <v>212.55824788196233</v>
      </c>
      <c r="AS469" s="8">
        <f t="shared" si="139"/>
        <v>31.3115782638166</v>
      </c>
    </row>
    <row r="470" spans="1:45">
      <c r="A470" s="19">
        <v>22.622599999999998</v>
      </c>
      <c r="B470" s="19">
        <v>868.16178000000002</v>
      </c>
      <c r="C470" s="19">
        <v>536.0172321</v>
      </c>
      <c r="E470" s="9">
        <f t="shared" si="125"/>
        <v>-91.838219999999978</v>
      </c>
      <c r="F470" s="9">
        <f t="shared" si="126"/>
        <v>3.9827678999999989</v>
      </c>
      <c r="I470">
        <v>1</v>
      </c>
      <c r="J470">
        <f t="shared" si="127"/>
        <v>5.8678735742960425E-2</v>
      </c>
      <c r="K470">
        <f t="shared" si="131"/>
        <v>3.0982525943414783</v>
      </c>
      <c r="O470">
        <f t="shared" si="132"/>
        <v>-5.8589998152153343E-2</v>
      </c>
      <c r="P470">
        <f t="shared" si="133"/>
        <v>2.5408850901232185E-3</v>
      </c>
      <c r="Q470">
        <f t="shared" si="134"/>
        <v>0.9982788969118247</v>
      </c>
      <c r="R470">
        <f t="shared" si="124"/>
        <v>1</v>
      </c>
      <c r="AG470" s="8">
        <f t="shared" si="128"/>
        <v>-0.7201722423252791</v>
      </c>
      <c r="AH470" s="8">
        <f t="shared" si="129"/>
        <v>-0.45986093764786412</v>
      </c>
      <c r="AI470" s="8">
        <f t="shared" si="130"/>
        <v>0.51949962407090033</v>
      </c>
      <c r="AJ470" s="8"/>
      <c r="AK470" s="8"/>
      <c r="AL470" s="8"/>
      <c r="AN470" s="8">
        <f t="shared" si="135"/>
        <v>1</v>
      </c>
      <c r="AO470" s="8">
        <f t="shared" si="136"/>
        <v>3.7098715278853511</v>
      </c>
      <c r="AP470" s="8">
        <f t="shared" si="137"/>
        <v>1.0245310779568992</v>
      </c>
      <c r="AQ470" s="8"/>
      <c r="AR470" s="8">
        <f t="shared" si="138"/>
        <v>212.55998108358091</v>
      </c>
      <c r="AS470" s="8">
        <f t="shared" si="139"/>
        <v>31.298693253080941</v>
      </c>
    </row>
    <row r="471" spans="1:45">
      <c r="A471" s="19">
        <v>22.655966670000002</v>
      </c>
      <c r="B471" s="19">
        <v>867.61375699999996</v>
      </c>
      <c r="C471" s="19">
        <v>535.77363519999994</v>
      </c>
      <c r="E471" s="9">
        <f t="shared" si="125"/>
        <v>-92.386243000000036</v>
      </c>
      <c r="F471" s="9">
        <f t="shared" si="126"/>
        <v>4.2263648000000558</v>
      </c>
      <c r="I471">
        <v>1</v>
      </c>
      <c r="J471">
        <f t="shared" si="127"/>
        <v>5.9037518497336752E-2</v>
      </c>
      <c r="K471">
        <f t="shared" si="131"/>
        <v>3.0958778360572636</v>
      </c>
      <c r="O471">
        <f t="shared" si="132"/>
        <v>-5.8941586245831151E-2</v>
      </c>
      <c r="P471">
        <f t="shared" si="133"/>
        <v>2.6963824621112648E-3</v>
      </c>
      <c r="Q471">
        <f t="shared" si="134"/>
        <v>0.99825779182155316</v>
      </c>
      <c r="R471">
        <f t="shared" si="124"/>
        <v>1</v>
      </c>
      <c r="AG471" s="8">
        <f t="shared" si="128"/>
        <v>-0.72033697429038179</v>
      </c>
      <c r="AH471" s="8">
        <f t="shared" si="129"/>
        <v>-0.4595206262158692</v>
      </c>
      <c r="AI471" s="8">
        <f t="shared" si="130"/>
        <v>0.51957236026597231</v>
      </c>
      <c r="AJ471" s="8"/>
      <c r="AK471" s="8"/>
      <c r="AL471" s="8"/>
      <c r="AN471" s="8">
        <f t="shared" si="135"/>
        <v>1</v>
      </c>
      <c r="AO471" s="8">
        <f t="shared" si="136"/>
        <v>3.7094320751947194</v>
      </c>
      <c r="AP471" s="8">
        <f t="shared" si="137"/>
        <v>1.0244459514812192</v>
      </c>
      <c r="AQ471" s="8"/>
      <c r="AR471" s="8">
        <f t="shared" si="138"/>
        <v>212.53480229911204</v>
      </c>
      <c r="AS471" s="8">
        <f t="shared" si="139"/>
        <v>31.303570640862233</v>
      </c>
    </row>
    <row r="472" spans="1:45">
      <c r="A472" s="19">
        <v>22.68933333</v>
      </c>
      <c r="B472" s="19">
        <v>867.53692569999998</v>
      </c>
      <c r="C472" s="19">
        <v>535.77847589999999</v>
      </c>
      <c r="E472" s="9">
        <f t="shared" si="125"/>
        <v>-92.463074300000017</v>
      </c>
      <c r="F472" s="9">
        <f t="shared" si="126"/>
        <v>4.2215241000000105</v>
      </c>
      <c r="I472">
        <v>1</v>
      </c>
      <c r="J472">
        <f t="shared" si="127"/>
        <v>5.9086697707591868E-2</v>
      </c>
      <c r="K472">
        <f t="shared" si="131"/>
        <v>3.0959680132722935</v>
      </c>
      <c r="O472">
        <f t="shared" si="132"/>
        <v>-5.8990871529097891E-2</v>
      </c>
      <c r="P472">
        <f t="shared" si="133"/>
        <v>2.6933063574340992E-3</v>
      </c>
      <c r="Q472">
        <f t="shared" si="134"/>
        <v>0.99825488888214442</v>
      </c>
      <c r="R472">
        <f t="shared" si="124"/>
        <v>1</v>
      </c>
      <c r="AG472" s="8">
        <f t="shared" si="128"/>
        <v>-0.72036818447924611</v>
      </c>
      <c r="AH472" s="8">
        <f t="shared" si="129"/>
        <v>-0.45948376092046683</v>
      </c>
      <c r="AI472" s="8">
        <f t="shared" si="130"/>
        <v>0.51956169242974237</v>
      </c>
      <c r="AJ472" s="8"/>
      <c r="AK472" s="8"/>
      <c r="AL472" s="8"/>
      <c r="AN472" s="8">
        <f t="shared" si="135"/>
        <v>1</v>
      </c>
      <c r="AO472" s="8">
        <f t="shared" si="136"/>
        <v>3.7093760555316657</v>
      </c>
      <c r="AP472" s="8">
        <f t="shared" si="137"/>
        <v>1.0244584368106524</v>
      </c>
      <c r="AQ472" s="8"/>
      <c r="AR472" s="8">
        <f t="shared" si="138"/>
        <v>212.53159260884934</v>
      </c>
      <c r="AS472" s="8">
        <f t="shared" si="139"/>
        <v>31.302855284179877</v>
      </c>
    </row>
    <row r="473" spans="1:45">
      <c r="A473" s="19">
        <v>22.7227</v>
      </c>
      <c r="B473" s="19">
        <v>867.15101830000003</v>
      </c>
      <c r="C473" s="19">
        <v>536.00002059999997</v>
      </c>
      <c r="E473" s="9">
        <f t="shared" si="125"/>
        <v>-92.848981699999968</v>
      </c>
      <c r="F473" s="9">
        <f t="shared" si="126"/>
        <v>3.9999794000000293</v>
      </c>
      <c r="I473">
        <v>1</v>
      </c>
      <c r="J473">
        <f t="shared" si="127"/>
        <v>5.9328133611137923E-2</v>
      </c>
      <c r="K473">
        <f t="shared" si="131"/>
        <v>3.0985387878364272</v>
      </c>
      <c r="O473">
        <f t="shared" si="132"/>
        <v>-5.9238389980346993E-2</v>
      </c>
      <c r="P473">
        <f t="shared" si="133"/>
        <v>2.5520187219302197E-3</v>
      </c>
      <c r="Q473">
        <f t="shared" si="134"/>
        <v>0.99824060243659651</v>
      </c>
      <c r="R473">
        <f t="shared" si="124"/>
        <v>1</v>
      </c>
      <c r="AG473" s="8">
        <f t="shared" si="128"/>
        <v>-0.7205660060661232</v>
      </c>
      <c r="AH473" s="8">
        <f t="shared" si="129"/>
        <v>-0.45935346066214883</v>
      </c>
      <c r="AI473" s="8">
        <f t="shared" si="130"/>
        <v>0.51940256938103746</v>
      </c>
      <c r="AJ473" s="8"/>
      <c r="AK473" s="8"/>
      <c r="AL473" s="8"/>
      <c r="AN473" s="8">
        <f t="shared" si="135"/>
        <v>1</v>
      </c>
      <c r="AO473" s="8">
        <f t="shared" si="136"/>
        <v>3.7091230076254762</v>
      </c>
      <c r="AP473" s="8">
        <f t="shared" si="137"/>
        <v>1.0246446586116631</v>
      </c>
      <c r="AQ473" s="8"/>
      <c r="AR473" s="8">
        <f t="shared" si="138"/>
        <v>212.51709403181005</v>
      </c>
      <c r="AS473" s="8">
        <f t="shared" si="139"/>
        <v>31.292185560928644</v>
      </c>
    </row>
    <row r="474" spans="1:45">
      <c r="A474" s="19">
        <v>22.756066669999999</v>
      </c>
      <c r="B474" s="19">
        <v>866.69324270000004</v>
      </c>
      <c r="C474" s="19">
        <v>535.849017</v>
      </c>
      <c r="E474" s="9">
        <f t="shared" si="125"/>
        <v>-93.306757299999958</v>
      </c>
      <c r="F474" s="9">
        <f t="shared" si="126"/>
        <v>4.1509829999999965</v>
      </c>
      <c r="I474">
        <v>1</v>
      </c>
      <c r="J474">
        <f t="shared" si="127"/>
        <v>5.9626272715170105E-2</v>
      </c>
      <c r="K474">
        <f t="shared" si="131"/>
        <v>3.0971344823541394</v>
      </c>
      <c r="O474">
        <f t="shared" si="132"/>
        <v>-5.9532065604768689E-2</v>
      </c>
      <c r="P474">
        <f t="shared" si="133"/>
        <v>2.6484318974428545E-3</v>
      </c>
      <c r="Q474">
        <f t="shared" si="134"/>
        <v>0.9982228804096378</v>
      </c>
      <c r="R474">
        <f t="shared" si="124"/>
        <v>1</v>
      </c>
      <c r="AG474" s="8">
        <f t="shared" si="128"/>
        <v>-0.72071441326898522</v>
      </c>
      <c r="AH474" s="8">
        <f t="shared" si="129"/>
        <v>-0.45908370512534402</v>
      </c>
      <c r="AI474" s="8">
        <f t="shared" si="130"/>
        <v>0.51943516072242224</v>
      </c>
      <c r="AJ474" s="8"/>
      <c r="AK474" s="8"/>
      <c r="AL474" s="8"/>
      <c r="AN474" s="8">
        <f t="shared" si="135"/>
        <v>1</v>
      </c>
      <c r="AO474" s="8">
        <f t="shared" si="136"/>
        <v>3.7087634532783524</v>
      </c>
      <c r="AP474" s="8">
        <f t="shared" si="137"/>
        <v>1.0246065186616997</v>
      </c>
      <c r="AQ474" s="8"/>
      <c r="AR474" s="8">
        <f t="shared" si="138"/>
        <v>212.49649308521427</v>
      </c>
      <c r="AS474" s="8">
        <f t="shared" si="139"/>
        <v>31.294370819092386</v>
      </c>
    </row>
    <row r="475" spans="1:45">
      <c r="A475" s="19">
        <v>22.789433330000001</v>
      </c>
      <c r="B475" s="19">
        <v>865.85711070000002</v>
      </c>
      <c r="C475" s="19">
        <v>535.84127079999996</v>
      </c>
      <c r="E475" s="9">
        <f t="shared" si="125"/>
        <v>-94.142889299999979</v>
      </c>
      <c r="F475" s="9">
        <f t="shared" si="126"/>
        <v>4.1587292000000389</v>
      </c>
      <c r="I475">
        <v>1</v>
      </c>
      <c r="J475">
        <f t="shared" si="127"/>
        <v>6.0163288262590119E-2</v>
      </c>
      <c r="K475">
        <f t="shared" si="131"/>
        <v>3.0974467039655358</v>
      </c>
      <c r="O475">
        <f t="shared" si="132"/>
        <v>-6.0068419926782399E-2</v>
      </c>
      <c r="P475">
        <f t="shared" si="133"/>
        <v>2.6535014360067641E-3</v>
      </c>
      <c r="Q475">
        <f t="shared" si="134"/>
        <v>0.99819073520927293</v>
      </c>
      <c r="R475">
        <f t="shared" ref="R475:R538" si="140">SQRT(O475^2+P475^2+Q475^2)</f>
        <v>1</v>
      </c>
      <c r="AG475" s="8">
        <f t="shared" si="128"/>
        <v>-0.72104116252125894</v>
      </c>
      <c r="AH475" s="8">
        <f t="shared" si="129"/>
        <v>-0.45866547966531535</v>
      </c>
      <c r="AI475" s="8">
        <f t="shared" si="130"/>
        <v>0.51935115260618958</v>
      </c>
      <c r="AJ475" s="8"/>
      <c r="AK475" s="8"/>
      <c r="AL475" s="8"/>
      <c r="AN475" s="8">
        <f t="shared" si="135"/>
        <v>1</v>
      </c>
      <c r="AO475" s="8">
        <f t="shared" si="136"/>
        <v>3.7081452563511412</v>
      </c>
      <c r="AP475" s="8">
        <f t="shared" si="137"/>
        <v>1.0247048271886068</v>
      </c>
      <c r="AQ475" s="8"/>
      <c r="AR475" s="8">
        <f t="shared" si="138"/>
        <v>212.46107301037711</v>
      </c>
      <c r="AS475" s="8">
        <f t="shared" si="139"/>
        <v>31.288738155410464</v>
      </c>
    </row>
    <row r="476" spans="1:45">
      <c r="A476" s="19">
        <v>22.822800000000001</v>
      </c>
      <c r="B476" s="19">
        <v>865.23719759999994</v>
      </c>
      <c r="C476" s="19">
        <v>535.52437780000002</v>
      </c>
      <c r="E476" s="9">
        <f t="shared" si="125"/>
        <v>-94.762802400000055</v>
      </c>
      <c r="F476" s="9">
        <f t="shared" si="126"/>
        <v>4.4756221999999752</v>
      </c>
      <c r="I476">
        <v>1</v>
      </c>
      <c r="J476">
        <f t="shared" si="127"/>
        <v>6.057054992291145E-2</v>
      </c>
      <c r="K476">
        <f t="shared" si="131"/>
        <v>3.0943979876695829</v>
      </c>
      <c r="O476">
        <f t="shared" si="132"/>
        <v>-6.0466118182678372E-2</v>
      </c>
      <c r="P476">
        <f t="shared" si="133"/>
        <v>2.8557988370151734E-3</v>
      </c>
      <c r="Q476">
        <f t="shared" si="134"/>
        <v>0.99816616500706978</v>
      </c>
      <c r="R476">
        <f t="shared" si="140"/>
        <v>1</v>
      </c>
      <c r="AG476" s="8">
        <f t="shared" si="128"/>
        <v>-0.72121844366433563</v>
      </c>
      <c r="AH476" s="8">
        <f t="shared" si="129"/>
        <v>-0.45826870696923333</v>
      </c>
      <c r="AI476" s="8">
        <f t="shared" si="130"/>
        <v>0.51945524227900564</v>
      </c>
      <c r="AJ476" s="8"/>
      <c r="AK476" s="8"/>
      <c r="AL476" s="8"/>
      <c r="AN476" s="8">
        <f t="shared" si="135"/>
        <v>1</v>
      </c>
      <c r="AO476" s="8">
        <f t="shared" si="136"/>
        <v>3.7076421175105279</v>
      </c>
      <c r="AP476" s="8">
        <f t="shared" si="137"/>
        <v>1.0245830178212927</v>
      </c>
      <c r="AQ476" s="8"/>
      <c r="AR476" s="8">
        <f t="shared" si="138"/>
        <v>212.43224527830085</v>
      </c>
      <c r="AS476" s="8">
        <f t="shared" si="139"/>
        <v>31.295717318062721</v>
      </c>
    </row>
    <row r="477" spans="1:45">
      <c r="A477" s="19">
        <v>22.85616667</v>
      </c>
      <c r="B477" s="19">
        <v>864.57748340000001</v>
      </c>
      <c r="C477" s="19">
        <v>535.36920110000005</v>
      </c>
      <c r="E477" s="9">
        <f t="shared" si="125"/>
        <v>-95.422516599999994</v>
      </c>
      <c r="F477" s="9">
        <f t="shared" si="126"/>
        <v>4.6307988999999452</v>
      </c>
      <c r="I477">
        <v>1</v>
      </c>
      <c r="J477">
        <f t="shared" si="127"/>
        <v>6.0998795645762022E-2</v>
      </c>
      <c r="K477">
        <f t="shared" si="131"/>
        <v>3.0931012822095241</v>
      </c>
      <c r="O477">
        <f t="shared" si="132"/>
        <v>-6.0889316582619667E-2</v>
      </c>
      <c r="P477">
        <f t="shared" si="133"/>
        <v>2.9549229081277913E-3</v>
      </c>
      <c r="Q477">
        <f t="shared" si="134"/>
        <v>0.99814015025782254</v>
      </c>
      <c r="R477">
        <f t="shared" si="140"/>
        <v>1</v>
      </c>
      <c r="AG477" s="8">
        <f t="shared" si="128"/>
        <v>-0.72144491121641008</v>
      </c>
      <c r="AH477" s="8">
        <f t="shared" si="129"/>
        <v>-0.45789704116013819</v>
      </c>
      <c r="AI477" s="8">
        <f t="shared" si="130"/>
        <v>0.51946851663670335</v>
      </c>
      <c r="AJ477" s="8"/>
      <c r="AK477" s="8"/>
      <c r="AL477" s="8"/>
      <c r="AN477" s="8">
        <f t="shared" si="135"/>
        <v>1</v>
      </c>
      <c r="AO477" s="8">
        <f t="shared" si="136"/>
        <v>3.707132865329041</v>
      </c>
      <c r="AP477" s="8">
        <f t="shared" si="137"/>
        <v>1.0245674830562528</v>
      </c>
      <c r="AQ477" s="8"/>
      <c r="AR477" s="8">
        <f t="shared" si="138"/>
        <v>212.40306727759383</v>
      </c>
      <c r="AS477" s="8">
        <f t="shared" si="139"/>
        <v>31.296607394535229</v>
      </c>
    </row>
    <row r="478" spans="1:45">
      <c r="A478" s="19">
        <v>22.889533329999999</v>
      </c>
      <c r="B478" s="19">
        <v>863.98504600000001</v>
      </c>
      <c r="C478" s="19">
        <v>535.0614286</v>
      </c>
      <c r="E478" s="9">
        <f t="shared" si="125"/>
        <v>-96.014953999999989</v>
      </c>
      <c r="F478" s="9">
        <f t="shared" si="126"/>
        <v>4.9385714000000007</v>
      </c>
      <c r="I478">
        <v>1</v>
      </c>
      <c r="J478">
        <f t="shared" si="127"/>
        <v>6.1388925332899497E-2</v>
      </c>
      <c r="K478">
        <f t="shared" si="131"/>
        <v>3.0902025010587773</v>
      </c>
      <c r="O478">
        <f t="shared" si="132"/>
        <v>-6.1269380472403941E-2</v>
      </c>
      <c r="P478">
        <f t="shared" si="133"/>
        <v>3.1514175395713222E-3</v>
      </c>
      <c r="Q478">
        <f t="shared" si="134"/>
        <v>0.99811629161336657</v>
      </c>
      <c r="R478">
        <f t="shared" si="140"/>
        <v>1</v>
      </c>
      <c r="AG478" s="8">
        <f t="shared" si="128"/>
        <v>-0.72161304416276706</v>
      </c>
      <c r="AH478" s="8">
        <f t="shared" si="129"/>
        <v>-0.45751629409938194</v>
      </c>
      <c r="AI478" s="8">
        <f t="shared" si="130"/>
        <v>0.51957045251603018</v>
      </c>
      <c r="AJ478" s="8"/>
      <c r="AK478" s="8"/>
      <c r="AL478" s="8"/>
      <c r="AN478" s="8">
        <f t="shared" si="135"/>
        <v>1</v>
      </c>
      <c r="AO478" s="8">
        <f t="shared" si="136"/>
        <v>3.7066511835563527</v>
      </c>
      <c r="AP478" s="8">
        <f t="shared" si="137"/>
        <v>1.024448184263973</v>
      </c>
      <c r="AQ478" s="8"/>
      <c r="AR478" s="8">
        <f t="shared" si="138"/>
        <v>212.37546894495043</v>
      </c>
      <c r="AS478" s="8">
        <f t="shared" si="139"/>
        <v>31.303442711833874</v>
      </c>
    </row>
    <row r="479" spans="1:45">
      <c r="A479" s="19">
        <v>22.922899999999998</v>
      </c>
      <c r="B479" s="19">
        <v>863.62737440000001</v>
      </c>
      <c r="C479" s="19">
        <v>534.75371729999995</v>
      </c>
      <c r="E479" s="9">
        <f t="shared" si="125"/>
        <v>-96.372625599999992</v>
      </c>
      <c r="F479" s="9">
        <f t="shared" si="126"/>
        <v>5.2462827000000516</v>
      </c>
      <c r="I479">
        <v>1</v>
      </c>
      <c r="J479">
        <f t="shared" si="127"/>
        <v>6.1628917406876788E-2</v>
      </c>
      <c r="K479">
        <f t="shared" si="131"/>
        <v>3.0872088540808522</v>
      </c>
      <c r="O479">
        <f t="shared" si="132"/>
        <v>-6.1498855797661095E-2</v>
      </c>
      <c r="P479">
        <f t="shared" si="133"/>
        <v>3.3478426185066749E-3</v>
      </c>
      <c r="Q479">
        <f t="shared" si="134"/>
        <v>0.998101539266111</v>
      </c>
      <c r="R479">
        <f t="shared" si="140"/>
        <v>1</v>
      </c>
      <c r="AG479" s="8">
        <f t="shared" si="128"/>
        <v>-0.72168905362712843</v>
      </c>
      <c r="AH479" s="8">
        <f t="shared" si="129"/>
        <v>-0.45725242194838367</v>
      </c>
      <c r="AI479" s="8">
        <f t="shared" si="130"/>
        <v>0.51969715459786481</v>
      </c>
      <c r="AJ479" s="8"/>
      <c r="AK479" s="8"/>
      <c r="AL479" s="8"/>
      <c r="AN479" s="8">
        <f t="shared" si="135"/>
        <v>1</v>
      </c>
      <c r="AO479" s="8">
        <f t="shared" si="136"/>
        <v>3.7063426971029694</v>
      </c>
      <c r="AP479" s="8">
        <f t="shared" si="137"/>
        <v>1.0242998887342636</v>
      </c>
      <c r="AQ479" s="8"/>
      <c r="AR479" s="8">
        <f t="shared" si="138"/>
        <v>212.35779397313459</v>
      </c>
      <c r="AS479" s="8">
        <f t="shared" si="139"/>
        <v>31.311939419806876</v>
      </c>
    </row>
    <row r="480" spans="1:45">
      <c r="A480" s="19">
        <v>22.956266670000002</v>
      </c>
      <c r="B480" s="19">
        <v>862.7479889</v>
      </c>
      <c r="C480" s="19">
        <v>534.78148309999995</v>
      </c>
      <c r="E480" s="9">
        <f t="shared" ref="E480:E543" si="141">(B480-($B$15/2))</f>
        <v>-97.252011100000004</v>
      </c>
      <c r="F480" s="9">
        <f t="shared" ref="F480:F543" si="142">(($C$15/2)-C480)</f>
        <v>5.2185169000000542</v>
      </c>
      <c r="I480">
        <v>1</v>
      </c>
      <c r="J480">
        <f t="shared" ref="J480:J543" si="143">ATAN((SQRT(E480^2+F480^2)^$B$16)/($F$24))</f>
        <v>6.2192277310471528E-2</v>
      </c>
      <c r="K480">
        <f t="shared" si="131"/>
        <v>3.0879843343228295</v>
      </c>
      <c r="O480">
        <f t="shared" si="132"/>
        <v>-6.2062906313016933E-2</v>
      </c>
      <c r="P480">
        <f t="shared" si="133"/>
        <v>3.3302789504740574E-3</v>
      </c>
      <c r="Q480">
        <f t="shared" si="134"/>
        <v>0.99806668359488571</v>
      </c>
      <c r="R480">
        <f t="shared" si="140"/>
        <v>1</v>
      </c>
      <c r="AG480" s="8">
        <f t="shared" ref="AG480:AG543" si="144">$O480*$Z$27+$P480*$Z$31+$Q480*$Z$35</f>
        <v>-0.72203939451338606</v>
      </c>
      <c r="AH480" s="8">
        <f t="shared" ref="AH480:AH543" si="145">$O480*$AA$27+$P480*$AA$31+$Q480*$AA$35</f>
        <v>-0.45682202032443092</v>
      </c>
      <c r="AI480" s="8">
        <f t="shared" ref="AI480:AI543" si="146">$AB$27*$O480+$P480*$AB$31+$AB$35*$Q480</f>
        <v>0.51958902463143708</v>
      </c>
      <c r="AJ480" s="8"/>
      <c r="AK480" s="8"/>
      <c r="AL480" s="8"/>
      <c r="AN480" s="8">
        <f t="shared" si="135"/>
        <v>1.0000000000000002</v>
      </c>
      <c r="AO480" s="8">
        <f t="shared" si="136"/>
        <v>3.7056977257862735</v>
      </c>
      <c r="AP480" s="8">
        <f t="shared" si="137"/>
        <v>1.0244264477963307</v>
      </c>
      <c r="AQ480" s="8"/>
      <c r="AR480" s="8">
        <f t="shared" si="138"/>
        <v>212.32083983878093</v>
      </c>
      <c r="AS480" s="8">
        <f t="shared" si="139"/>
        <v>31.304688119691292</v>
      </c>
    </row>
    <row r="481" spans="1:45">
      <c r="A481" s="19">
        <v>22.98963333</v>
      </c>
      <c r="B481" s="19">
        <v>861.90294889999996</v>
      </c>
      <c r="C481" s="19">
        <v>534.68137119999994</v>
      </c>
      <c r="E481" s="9">
        <f t="shared" si="141"/>
        <v>-98.097051100000044</v>
      </c>
      <c r="F481" s="9">
        <f t="shared" si="142"/>
        <v>5.3186288000000559</v>
      </c>
      <c r="I481">
        <v>1</v>
      </c>
      <c r="J481">
        <f t="shared" si="143"/>
        <v>6.2738034211970786E-2</v>
      </c>
      <c r="K481">
        <f t="shared" ref="K481:K544" si="147">ATAN2(E481,F481)</f>
        <v>3.0874276570343402</v>
      </c>
      <c r="O481">
        <f t="shared" ref="O481:O544" si="148">COS(K481)*SIN(J481)</f>
        <v>-6.260493647693384E-2</v>
      </c>
      <c r="P481">
        <f t="shared" ref="P481:P544" si="149">SIN(K481)*SIN(J481)</f>
        <v>3.39431628611307E-3</v>
      </c>
      <c r="Q481">
        <f t="shared" ref="Q481:Q544" si="150">COS(J481)</f>
        <v>0.99803261497090812</v>
      </c>
      <c r="R481">
        <f t="shared" si="140"/>
        <v>1</v>
      </c>
      <c r="AG481" s="8">
        <f t="shared" si="144"/>
        <v>-0.72234938035442853</v>
      </c>
      <c r="AH481" s="8">
        <f t="shared" si="145"/>
        <v>-0.45637296206024719</v>
      </c>
      <c r="AI481" s="8">
        <f t="shared" si="146"/>
        <v>0.51955278095871027</v>
      </c>
      <c r="AJ481" s="8"/>
      <c r="AK481" s="8"/>
      <c r="AL481" s="8"/>
      <c r="AN481" s="8">
        <f t="shared" ref="AN481:AN544" si="151">AG481^2+AH481^2+AI481^2</f>
        <v>1.0000000000000004</v>
      </c>
      <c r="AO481" s="8">
        <f t="shared" ref="AO481:AO544" si="152">IF(ATAN2(AG481,AH481)&gt;=0,ATAN2(AG481,AH481),ATAN2(AG481,AH481)+2*PI())</f>
        <v>3.7050596206556197</v>
      </c>
      <c r="AP481" s="8">
        <f t="shared" ref="AP481:AP544" si="153">ACOS(AI481/AN481)</f>
        <v>1.0244688664679893</v>
      </c>
      <c r="AQ481" s="8"/>
      <c r="AR481" s="8">
        <f t="shared" ref="AR481:AR544" si="154">DEGREES(AO481)</f>
        <v>212.28427910790882</v>
      </c>
      <c r="AS481" s="8">
        <f t="shared" ref="AS481:AS544" si="155">90-DEGREES(AP481)</f>
        <v>31.302257708832713</v>
      </c>
    </row>
    <row r="482" spans="1:45">
      <c r="A482" s="19">
        <v>23.023</v>
      </c>
      <c r="B482" s="19">
        <v>861.68873229999997</v>
      </c>
      <c r="C482" s="19">
        <v>534.68868540000005</v>
      </c>
      <c r="E482" s="9">
        <f t="shared" si="141"/>
        <v>-98.31126770000003</v>
      </c>
      <c r="F482" s="9">
        <f t="shared" si="142"/>
        <v>5.311314599999946</v>
      </c>
      <c r="I482">
        <v>1</v>
      </c>
      <c r="J482">
        <f t="shared" si="143"/>
        <v>6.2875249888228096E-2</v>
      </c>
      <c r="K482">
        <f t="shared" si="147"/>
        <v>3.087619632168372</v>
      </c>
      <c r="O482">
        <f t="shared" si="148"/>
        <v>-6.2742332659022085E-2</v>
      </c>
      <c r="P482">
        <f t="shared" si="149"/>
        <v>3.3896853868960854E-3</v>
      </c>
      <c r="Q482">
        <f t="shared" si="150"/>
        <v>0.99802400257983903</v>
      </c>
      <c r="R482">
        <f t="shared" si="140"/>
        <v>1</v>
      </c>
      <c r="AG482" s="8">
        <f t="shared" si="144"/>
        <v>-0.72243475047947647</v>
      </c>
      <c r="AH482" s="8">
        <f t="shared" si="145"/>
        <v>-0.45626821280705288</v>
      </c>
      <c r="AI482" s="8">
        <f t="shared" si="146"/>
        <v>0.51952608142567247</v>
      </c>
      <c r="AJ482" s="8"/>
      <c r="AK482" s="8"/>
      <c r="AL482" s="8"/>
      <c r="AN482" s="8">
        <f t="shared" si="151"/>
        <v>1</v>
      </c>
      <c r="AO482" s="8">
        <f t="shared" si="152"/>
        <v>3.7049026154409423</v>
      </c>
      <c r="AP482" s="8">
        <f t="shared" si="153"/>
        <v>1.0245001142217181</v>
      </c>
      <c r="AQ482" s="8"/>
      <c r="AR482" s="8">
        <f t="shared" si="154"/>
        <v>212.27528337174627</v>
      </c>
      <c r="AS482" s="8">
        <f t="shared" si="155"/>
        <v>31.300467344424789</v>
      </c>
    </row>
    <row r="483" spans="1:45">
      <c r="A483" s="19">
        <v>23.056366669999999</v>
      </c>
      <c r="B483" s="19">
        <v>861.28239900000005</v>
      </c>
      <c r="C483" s="19">
        <v>534.5981845</v>
      </c>
      <c r="E483" s="9">
        <f t="shared" si="141"/>
        <v>-98.717600999999945</v>
      </c>
      <c r="F483" s="9">
        <f t="shared" si="142"/>
        <v>5.4018154999999979</v>
      </c>
      <c r="I483">
        <v>1</v>
      </c>
      <c r="J483">
        <f t="shared" si="143"/>
        <v>6.3139162198564858E-2</v>
      </c>
      <c r="K483">
        <f t="shared" si="147"/>
        <v>3.0869272887424972</v>
      </c>
      <c r="O483">
        <f t="shared" si="148"/>
        <v>-6.3002965980029732E-2</v>
      </c>
      <c r="P483">
        <f t="shared" si="149"/>
        <v>3.4475148780904615E-3</v>
      </c>
      <c r="Q483">
        <f t="shared" si="150"/>
        <v>0.99800738520257681</v>
      </c>
      <c r="R483">
        <f t="shared" si="140"/>
        <v>1</v>
      </c>
      <c r="AG483" s="8">
        <f t="shared" si="144"/>
        <v>-0.72257486183257658</v>
      </c>
      <c r="AH483" s="8">
        <f t="shared" si="145"/>
        <v>-0.45604041397508083</v>
      </c>
      <c r="AI483" s="8">
        <f t="shared" si="146"/>
        <v>0.51953124051308963</v>
      </c>
      <c r="AJ483" s="8"/>
      <c r="AK483" s="8"/>
      <c r="AL483" s="8"/>
      <c r="AN483" s="8">
        <f t="shared" si="151"/>
        <v>1</v>
      </c>
      <c r="AO483" s="8">
        <f t="shared" si="152"/>
        <v>3.7045896428457881</v>
      </c>
      <c r="AP483" s="8">
        <f t="shared" si="153"/>
        <v>1.0244940763386847</v>
      </c>
      <c r="AQ483" s="8"/>
      <c r="AR483" s="8">
        <f t="shared" si="154"/>
        <v>212.25735136294065</v>
      </c>
      <c r="AS483" s="8">
        <f t="shared" si="155"/>
        <v>31.300813289639791</v>
      </c>
    </row>
    <row r="484" spans="1:45">
      <c r="A484" s="19">
        <v>23.089733330000001</v>
      </c>
      <c r="B484" s="19">
        <v>860.75879520000001</v>
      </c>
      <c r="C484" s="19">
        <v>534.67804620000004</v>
      </c>
      <c r="E484" s="9">
        <f t="shared" si="141"/>
        <v>-99.241204799999991</v>
      </c>
      <c r="F484" s="9">
        <f t="shared" si="142"/>
        <v>5.3219537999999602</v>
      </c>
      <c r="I484">
        <v>1</v>
      </c>
      <c r="J484">
        <f t="shared" si="143"/>
        <v>6.347240100779554E-2</v>
      </c>
      <c r="K484">
        <f t="shared" si="147"/>
        <v>3.0880175183747633</v>
      </c>
      <c r="O484">
        <f t="shared" si="148"/>
        <v>-6.3338781227851318E-2</v>
      </c>
      <c r="P484">
        <f t="shared" si="149"/>
        <v>3.3966341714840743E-3</v>
      </c>
      <c r="Q484">
        <f t="shared" si="150"/>
        <v>0.99798630334733329</v>
      </c>
      <c r="R484">
        <f t="shared" si="140"/>
        <v>1</v>
      </c>
      <c r="AG484" s="8">
        <f t="shared" si="144"/>
        <v>-0.72279634817474869</v>
      </c>
      <c r="AH484" s="8">
        <f t="shared" si="145"/>
        <v>-0.45580157161964874</v>
      </c>
      <c r="AI484" s="8">
        <f t="shared" si="146"/>
        <v>0.51943273517781474</v>
      </c>
      <c r="AJ484" s="8"/>
      <c r="AK484" s="8"/>
      <c r="AL484" s="8"/>
      <c r="AN484" s="8">
        <f t="shared" si="151"/>
        <v>1.0000000000000002</v>
      </c>
      <c r="AO484" s="8">
        <f t="shared" si="152"/>
        <v>3.7042149355450378</v>
      </c>
      <c r="AP484" s="8">
        <f t="shared" si="153"/>
        <v>1.0246093571807233</v>
      </c>
      <c r="AQ484" s="8"/>
      <c r="AR484" s="8">
        <f t="shared" si="154"/>
        <v>212.23588221605493</v>
      </c>
      <c r="AS484" s="8">
        <f t="shared" si="155"/>
        <v>31.294208183932263</v>
      </c>
    </row>
    <row r="485" spans="1:45">
      <c r="A485" s="19">
        <v>23.123100000000001</v>
      </c>
      <c r="B485" s="19">
        <v>860.25677380000002</v>
      </c>
      <c r="C485" s="19">
        <v>534.45143529999996</v>
      </c>
      <c r="E485" s="9">
        <f t="shared" si="141"/>
        <v>-99.743226199999981</v>
      </c>
      <c r="F485" s="9">
        <f t="shared" si="142"/>
        <v>5.5485647000000426</v>
      </c>
      <c r="I485">
        <v>1</v>
      </c>
      <c r="J485">
        <f t="shared" si="143"/>
        <v>6.3802503646922387E-2</v>
      </c>
      <c r="K485">
        <f t="shared" si="147"/>
        <v>3.0860214422176129</v>
      </c>
      <c r="O485">
        <f t="shared" si="148"/>
        <v>-6.3660801019409657E-2</v>
      </c>
      <c r="P485">
        <f t="shared" si="149"/>
        <v>3.5413540023435121E-3</v>
      </c>
      <c r="Q485">
        <f t="shared" si="150"/>
        <v>0.99796531063228711</v>
      </c>
      <c r="R485">
        <f t="shared" si="140"/>
        <v>1</v>
      </c>
      <c r="AG485" s="8">
        <f t="shared" si="144"/>
        <v>-0.72294534223204365</v>
      </c>
      <c r="AH485" s="8">
        <f t="shared" si="145"/>
        <v>-0.45548804016394429</v>
      </c>
      <c r="AI485" s="8">
        <f t="shared" si="146"/>
        <v>0.51950041136904068</v>
      </c>
      <c r="AJ485" s="8"/>
      <c r="AK485" s="8"/>
      <c r="AL485" s="8"/>
      <c r="AN485" s="8">
        <f t="shared" si="151"/>
        <v>1.0000000000000002</v>
      </c>
      <c r="AO485" s="8">
        <f t="shared" si="152"/>
        <v>3.7038115536116818</v>
      </c>
      <c r="AP485" s="8">
        <f t="shared" si="153"/>
        <v>1.024530156569682</v>
      </c>
      <c r="AQ485" s="8"/>
      <c r="AR485" s="8">
        <f t="shared" si="154"/>
        <v>212.2127701337418</v>
      </c>
      <c r="AS485" s="8">
        <f t="shared" si="155"/>
        <v>31.298746044679788</v>
      </c>
    </row>
    <row r="486" spans="1:45">
      <c r="A486" s="19">
        <v>23.15646667</v>
      </c>
      <c r="B486" s="19">
        <v>859.7128285</v>
      </c>
      <c r="C486" s="19">
        <v>534.6749939</v>
      </c>
      <c r="E486" s="9">
        <f t="shared" si="141"/>
        <v>-100.2871715</v>
      </c>
      <c r="F486" s="9">
        <f t="shared" si="142"/>
        <v>5.325006099999996</v>
      </c>
      <c r="I486">
        <v>1</v>
      </c>
      <c r="J486">
        <f t="shared" si="143"/>
        <v>6.4143773189026934E-2</v>
      </c>
      <c r="K486">
        <f t="shared" si="147"/>
        <v>3.0885448897376615</v>
      </c>
      <c r="O486">
        <f t="shared" si="148"/>
        <v>-6.4009627104142888E-2</v>
      </c>
      <c r="P486">
        <f t="shared" si="149"/>
        <v>3.3987562884679307E-3</v>
      </c>
      <c r="Q486">
        <f t="shared" si="150"/>
        <v>0.99794349343721866</v>
      </c>
      <c r="R486">
        <f t="shared" si="140"/>
        <v>1</v>
      </c>
      <c r="AG486" s="8">
        <f t="shared" si="144"/>
        <v>-0.72320461960576043</v>
      </c>
      <c r="AH486" s="8">
        <f t="shared" si="145"/>
        <v>-0.4552789927028027</v>
      </c>
      <c r="AI486" s="8">
        <f t="shared" si="146"/>
        <v>0.51932274837947245</v>
      </c>
      <c r="AJ486" s="8"/>
      <c r="AK486" s="8"/>
      <c r="AL486" s="8"/>
      <c r="AN486" s="8">
        <f t="shared" si="151"/>
        <v>1.0000000000000002</v>
      </c>
      <c r="AO486" s="8">
        <f t="shared" si="152"/>
        <v>3.7034428554995626</v>
      </c>
      <c r="AP486" s="8">
        <f t="shared" si="153"/>
        <v>1.0247380652397491</v>
      </c>
      <c r="AQ486" s="8"/>
      <c r="AR486" s="8">
        <f t="shared" si="154"/>
        <v>212.19164528800295</v>
      </c>
      <c r="AS486" s="8">
        <f t="shared" si="155"/>
        <v>31.286833755360767</v>
      </c>
    </row>
    <row r="487" spans="1:45">
      <c r="A487" s="19">
        <v>23.189833329999999</v>
      </c>
      <c r="B487" s="19">
        <v>859.35388450000005</v>
      </c>
      <c r="C487" s="19">
        <v>533.76104969999994</v>
      </c>
      <c r="E487" s="9">
        <f t="shared" si="141"/>
        <v>-100.64611549999995</v>
      </c>
      <c r="F487" s="9">
        <f t="shared" si="142"/>
        <v>6.2389503000000559</v>
      </c>
      <c r="I487">
        <v>1</v>
      </c>
      <c r="J487">
        <f t="shared" si="143"/>
        <v>6.4407825605383801E-2</v>
      </c>
      <c r="K487">
        <f t="shared" si="147"/>
        <v>3.0796828887748533</v>
      </c>
      <c r="O487">
        <f t="shared" si="148"/>
        <v>-6.4239996560141996E-2</v>
      </c>
      <c r="P487">
        <f t="shared" si="149"/>
        <v>3.9821720274033062E-3</v>
      </c>
      <c r="Q487">
        <f t="shared" si="150"/>
        <v>0.99792653294112643</v>
      </c>
      <c r="R487">
        <f t="shared" si="140"/>
        <v>1</v>
      </c>
      <c r="AG487" s="8">
        <f t="shared" si="144"/>
        <v>-0.72315398839498735</v>
      </c>
      <c r="AH487" s="8">
        <f t="shared" si="145"/>
        <v>-0.45484513466367893</v>
      </c>
      <c r="AI487" s="8">
        <f t="shared" si="146"/>
        <v>0.51977323184365931</v>
      </c>
      <c r="AJ487" s="8"/>
      <c r="AK487" s="8"/>
      <c r="AL487" s="8"/>
      <c r="AN487" s="8">
        <f t="shared" si="151"/>
        <v>1.0000000000000002</v>
      </c>
      <c r="AO487" s="8">
        <f t="shared" si="152"/>
        <v>3.7030446513551132</v>
      </c>
      <c r="AP487" s="8">
        <f t="shared" si="153"/>
        <v>1.0242108394486236</v>
      </c>
      <c r="AQ487" s="8"/>
      <c r="AR487" s="8">
        <f t="shared" si="154"/>
        <v>212.16882987114136</v>
      </c>
      <c r="AS487" s="8">
        <f t="shared" si="155"/>
        <v>31.317041568042704</v>
      </c>
    </row>
    <row r="488" spans="1:45">
      <c r="A488" s="19">
        <v>23.223199999999999</v>
      </c>
      <c r="B488" s="19">
        <v>858.66879759999995</v>
      </c>
      <c r="C488" s="19">
        <v>533.76371589999997</v>
      </c>
      <c r="E488" s="9">
        <f t="shared" si="141"/>
        <v>-101.33120240000005</v>
      </c>
      <c r="F488" s="9">
        <f t="shared" si="142"/>
        <v>6.2362841000000344</v>
      </c>
      <c r="I488">
        <v>1</v>
      </c>
      <c r="J488">
        <f t="shared" si="143"/>
        <v>6.4847178529512689E-2</v>
      </c>
      <c r="K488">
        <f t="shared" si="147"/>
        <v>3.0801266070262496</v>
      </c>
      <c r="O488">
        <f t="shared" si="148"/>
        <v>-6.4679364951915425E-2</v>
      </c>
      <c r="P488">
        <f t="shared" si="149"/>
        <v>3.9805991214383269E-3</v>
      </c>
      <c r="Q488">
        <f t="shared" si="150"/>
        <v>0.99789815842101415</v>
      </c>
      <c r="R488">
        <f t="shared" si="140"/>
        <v>1</v>
      </c>
      <c r="AG488" s="8">
        <f t="shared" si="144"/>
        <v>-0.72342211694742209</v>
      </c>
      <c r="AH488" s="8">
        <f t="shared" si="145"/>
        <v>-0.45450399100064703</v>
      </c>
      <c r="AI488" s="8">
        <f t="shared" si="146"/>
        <v>0.51969853076162742</v>
      </c>
      <c r="AJ488" s="8"/>
      <c r="AK488" s="8"/>
      <c r="AL488" s="8"/>
      <c r="AN488" s="8">
        <f t="shared" si="151"/>
        <v>1.0000000000000002</v>
      </c>
      <c r="AO488" s="8">
        <f t="shared" si="152"/>
        <v>3.7025395558523169</v>
      </c>
      <c r="AP488" s="8">
        <f t="shared" si="153"/>
        <v>1.0242982779616929</v>
      </c>
      <c r="AQ488" s="8"/>
      <c r="AR488" s="8">
        <f t="shared" si="154"/>
        <v>212.13989003058009</v>
      </c>
      <c r="AS488" s="8">
        <f t="shared" si="155"/>
        <v>31.312031710276933</v>
      </c>
    </row>
    <row r="489" spans="1:45">
      <c r="A489" s="19">
        <v>23.256566670000002</v>
      </c>
      <c r="B489" s="19">
        <v>858.31464879999999</v>
      </c>
      <c r="C489" s="19">
        <v>533.67477970000004</v>
      </c>
      <c r="E489" s="9">
        <f t="shared" si="141"/>
        <v>-101.68535120000001</v>
      </c>
      <c r="F489" s="9">
        <f t="shared" si="142"/>
        <v>6.3252202999999554</v>
      </c>
      <c r="I489">
        <v>1</v>
      </c>
      <c r="J489">
        <f t="shared" si="143"/>
        <v>6.5077881205309246E-2</v>
      </c>
      <c r="K489">
        <f t="shared" si="147"/>
        <v>3.0794688470153764</v>
      </c>
      <c r="O489">
        <f t="shared" si="148"/>
        <v>-6.4906504628966383E-2</v>
      </c>
      <c r="P489">
        <f t="shared" si="149"/>
        <v>4.0374344567458203E-3</v>
      </c>
      <c r="Q489">
        <f t="shared" si="150"/>
        <v>0.99788318193055914</v>
      </c>
      <c r="R489">
        <f t="shared" si="140"/>
        <v>1</v>
      </c>
      <c r="AG489" s="8">
        <f t="shared" si="144"/>
        <v>-0.72354179331236268</v>
      </c>
      <c r="AH489" s="8">
        <f t="shared" si="145"/>
        <v>-0.45430241828406992</v>
      </c>
      <c r="AI489" s="8">
        <f t="shared" si="146"/>
        <v>0.51970817395108981</v>
      </c>
      <c r="AJ489" s="8"/>
      <c r="AK489" s="8"/>
      <c r="AL489" s="8"/>
      <c r="AN489" s="8">
        <f t="shared" si="151"/>
        <v>1</v>
      </c>
      <c r="AO489" s="8">
        <f t="shared" si="152"/>
        <v>3.7022652535667802</v>
      </c>
      <c r="AP489" s="8">
        <f t="shared" si="153"/>
        <v>1.0242869907541388</v>
      </c>
      <c r="AQ489" s="8"/>
      <c r="AR489" s="8">
        <f t="shared" si="154"/>
        <v>212.12417366730804</v>
      </c>
      <c r="AS489" s="8">
        <f t="shared" si="155"/>
        <v>31.31267841963227</v>
      </c>
    </row>
    <row r="490" spans="1:45">
      <c r="A490" s="19">
        <v>23.28993333</v>
      </c>
      <c r="B490" s="19">
        <v>857.83105869999997</v>
      </c>
      <c r="C490" s="19">
        <v>533.92963610000004</v>
      </c>
      <c r="E490" s="9">
        <f t="shared" si="141"/>
        <v>-102.16894130000003</v>
      </c>
      <c r="F490" s="9">
        <f t="shared" si="142"/>
        <v>6.0703638999999612</v>
      </c>
      <c r="I490">
        <v>1</v>
      </c>
      <c r="J490">
        <f t="shared" si="143"/>
        <v>6.5378164881370673E-2</v>
      </c>
      <c r="K490">
        <f t="shared" si="147"/>
        <v>3.0822474568929819</v>
      </c>
      <c r="O490">
        <f t="shared" si="148"/>
        <v>-6.5216590104630948E-2</v>
      </c>
      <c r="P490">
        <f t="shared" si="149"/>
        <v>3.8748413090607869E-3</v>
      </c>
      <c r="Q490">
        <f t="shared" si="150"/>
        <v>0.99786360890652492</v>
      </c>
      <c r="R490">
        <f t="shared" si="140"/>
        <v>1</v>
      </c>
      <c r="AG490" s="8">
        <f t="shared" si="144"/>
        <v>-0.72378379323800746</v>
      </c>
      <c r="AH490" s="8">
        <f t="shared" si="145"/>
        <v>-0.45413207152828883</v>
      </c>
      <c r="AI490" s="8">
        <f t="shared" si="146"/>
        <v>0.51952004990705269</v>
      </c>
      <c r="AJ490" s="8"/>
      <c r="AK490" s="8"/>
      <c r="AL490" s="8"/>
      <c r="AN490" s="8">
        <f t="shared" si="151"/>
        <v>1</v>
      </c>
      <c r="AO490" s="8">
        <f t="shared" si="152"/>
        <v>3.7019458100294571</v>
      </c>
      <c r="AP490" s="8">
        <f t="shared" si="153"/>
        <v>1.024507173117216</v>
      </c>
      <c r="AQ490" s="8"/>
      <c r="AR490" s="8">
        <f t="shared" si="154"/>
        <v>212.10587090082672</v>
      </c>
      <c r="AS490" s="8">
        <f t="shared" si="155"/>
        <v>31.300062899504731</v>
      </c>
    </row>
    <row r="491" spans="1:45">
      <c r="A491" s="19">
        <v>23.3233</v>
      </c>
      <c r="B491" s="19">
        <v>857.69673920000002</v>
      </c>
      <c r="C491" s="19">
        <v>533.92254839999998</v>
      </c>
      <c r="E491" s="9">
        <f t="shared" si="141"/>
        <v>-102.30326079999998</v>
      </c>
      <c r="F491" s="9">
        <f t="shared" si="142"/>
        <v>6.0774516000000176</v>
      </c>
      <c r="I491">
        <v>1</v>
      </c>
      <c r="J491">
        <f t="shared" si="143"/>
        <v>6.5464608906895719E-2</v>
      </c>
      <c r="K491">
        <f t="shared" si="147"/>
        <v>3.0822561540516871</v>
      </c>
      <c r="O491">
        <f t="shared" si="148"/>
        <v>-6.5302731098501127E-2</v>
      </c>
      <c r="P491">
        <f t="shared" si="149"/>
        <v>3.8793894201948672E-3</v>
      </c>
      <c r="Q491">
        <f t="shared" si="150"/>
        <v>0.99785795765169072</v>
      </c>
      <c r="R491">
        <f t="shared" si="140"/>
        <v>1</v>
      </c>
      <c r="AG491" s="8">
        <f t="shared" si="144"/>
        <v>-0.7238347235697451</v>
      </c>
      <c r="AH491" s="8">
        <f t="shared" si="145"/>
        <v>-0.45406303266863568</v>
      </c>
      <c r="AI491" s="8">
        <f t="shared" si="146"/>
        <v>0.51950943717941467</v>
      </c>
      <c r="AJ491" s="8"/>
      <c r="AK491" s="8"/>
      <c r="AL491" s="8"/>
      <c r="AN491" s="8">
        <f t="shared" si="151"/>
        <v>1</v>
      </c>
      <c r="AO491" s="8">
        <f t="shared" si="152"/>
        <v>3.7018456896880716</v>
      </c>
      <c r="AP491" s="8">
        <f t="shared" si="153"/>
        <v>1.0245195934870168</v>
      </c>
      <c r="AQ491" s="8"/>
      <c r="AR491" s="8">
        <f t="shared" si="154"/>
        <v>212.10013442782193</v>
      </c>
      <c r="AS491" s="8">
        <f t="shared" si="155"/>
        <v>31.299351264735151</v>
      </c>
    </row>
    <row r="492" spans="1:45">
      <c r="A492" s="19">
        <v>23.356666669999999</v>
      </c>
      <c r="B492" s="19">
        <v>856.87410809999994</v>
      </c>
      <c r="C492" s="19">
        <v>534.00510280000003</v>
      </c>
      <c r="E492" s="9">
        <f t="shared" si="141"/>
        <v>-103.12589190000006</v>
      </c>
      <c r="F492" s="9">
        <f t="shared" si="142"/>
        <v>5.9948971999999685</v>
      </c>
      <c r="I492">
        <v>1</v>
      </c>
      <c r="J492">
        <f t="shared" si="143"/>
        <v>6.5989283341555433E-2</v>
      </c>
      <c r="K492">
        <f t="shared" si="147"/>
        <v>3.0835261692516869</v>
      </c>
      <c r="O492">
        <f t="shared" si="148"/>
        <v>-6.5830264478755479E-2</v>
      </c>
      <c r="P492">
        <f t="shared" si="149"/>
        <v>3.8268339883220717E-3</v>
      </c>
      <c r="Q492">
        <f t="shared" si="150"/>
        <v>0.99782349722798314</v>
      </c>
      <c r="R492">
        <f t="shared" si="140"/>
        <v>1</v>
      </c>
      <c r="AG492" s="8">
        <f t="shared" si="144"/>
        <v>-0.72417284662660775</v>
      </c>
      <c r="AH492" s="8">
        <f t="shared" si="145"/>
        <v>-0.45367525790633811</v>
      </c>
      <c r="AI492" s="8">
        <f t="shared" si="146"/>
        <v>0.51937698117295628</v>
      </c>
      <c r="AJ492" s="8"/>
      <c r="AK492" s="8"/>
      <c r="AL492" s="8"/>
      <c r="AN492" s="8">
        <f t="shared" si="151"/>
        <v>1</v>
      </c>
      <c r="AO492" s="8">
        <f t="shared" si="152"/>
        <v>3.7012510215370664</v>
      </c>
      <c r="AP492" s="8">
        <f t="shared" si="153"/>
        <v>1.0246746025397437</v>
      </c>
      <c r="AQ492" s="8"/>
      <c r="AR492" s="8">
        <f t="shared" si="154"/>
        <v>212.06606245255847</v>
      </c>
      <c r="AS492" s="8">
        <f t="shared" si="155"/>
        <v>31.290469900227578</v>
      </c>
    </row>
    <row r="493" spans="1:45">
      <c r="A493" s="19">
        <v>23.390033330000001</v>
      </c>
      <c r="B493" s="19">
        <v>856.64703919999999</v>
      </c>
      <c r="C493" s="19">
        <v>533.80307330000005</v>
      </c>
      <c r="E493" s="9">
        <f t="shared" si="141"/>
        <v>-103.35296080000001</v>
      </c>
      <c r="F493" s="9">
        <f t="shared" si="142"/>
        <v>6.1969266999999491</v>
      </c>
      <c r="I493">
        <v>1</v>
      </c>
      <c r="J493">
        <f t="shared" si="143"/>
        <v>6.6142618313288756E-2</v>
      </c>
      <c r="K493">
        <f t="shared" si="147"/>
        <v>3.0817054814250699</v>
      </c>
      <c r="O493">
        <f t="shared" si="148"/>
        <v>-6.5975914079965559E-2</v>
      </c>
      <c r="P493">
        <f t="shared" si="149"/>
        <v>3.9558412294565058E-3</v>
      </c>
      <c r="Q493">
        <f t="shared" si="150"/>
        <v>0.99781337437492801</v>
      </c>
      <c r="R493">
        <f t="shared" si="140"/>
        <v>1</v>
      </c>
      <c r="AG493" s="8">
        <f t="shared" si="144"/>
        <v>-0.72421916280196674</v>
      </c>
      <c r="AH493" s="8">
        <f t="shared" si="145"/>
        <v>-0.45350550837688341</v>
      </c>
      <c r="AI493" s="8">
        <f t="shared" si="146"/>
        <v>0.51946064153335325</v>
      </c>
      <c r="AJ493" s="8"/>
      <c r="AK493" s="8"/>
      <c r="AL493" s="8"/>
      <c r="AN493" s="8">
        <f t="shared" si="151"/>
        <v>1</v>
      </c>
      <c r="AO493" s="8">
        <f t="shared" si="152"/>
        <v>3.7010538978772498</v>
      </c>
      <c r="AP493" s="8">
        <f t="shared" si="153"/>
        <v>1.0245766991793945</v>
      </c>
      <c r="AQ493" s="8"/>
      <c r="AR493" s="8">
        <f t="shared" si="154"/>
        <v>212.05476809880881</v>
      </c>
      <c r="AS493" s="8">
        <f t="shared" si="155"/>
        <v>31.296079349575734</v>
      </c>
    </row>
    <row r="494" spans="1:45">
      <c r="A494" s="19">
        <v>23.423400000000001</v>
      </c>
      <c r="B494" s="19">
        <v>856.21039759999996</v>
      </c>
      <c r="C494" s="19">
        <v>533.70660640000006</v>
      </c>
      <c r="E494" s="9">
        <f t="shared" si="141"/>
        <v>-103.78960240000004</v>
      </c>
      <c r="F494" s="9">
        <f t="shared" si="142"/>
        <v>6.2933935999999449</v>
      </c>
      <c r="I494">
        <v>1</v>
      </c>
      <c r="J494">
        <f t="shared" si="143"/>
        <v>6.6426467359491967E-2</v>
      </c>
      <c r="K494">
        <f t="shared" si="147"/>
        <v>3.0810307342573133</v>
      </c>
      <c r="O494">
        <f t="shared" si="148"/>
        <v>-6.6255936335545482E-2</v>
      </c>
      <c r="P494">
        <f t="shared" si="149"/>
        <v>4.0174995958566755E-3</v>
      </c>
      <c r="Q494">
        <f t="shared" si="150"/>
        <v>0.9977945733452841</v>
      </c>
      <c r="R494">
        <f t="shared" si="140"/>
        <v>1</v>
      </c>
      <c r="AG494" s="8">
        <f t="shared" si="144"/>
        <v>-0.72436920300327978</v>
      </c>
      <c r="AH494" s="8">
        <f t="shared" si="145"/>
        <v>-0.45326048992921364</v>
      </c>
      <c r="AI494" s="8">
        <f t="shared" si="146"/>
        <v>0.51946528855114349</v>
      </c>
      <c r="AJ494" s="8"/>
      <c r="AK494" s="8"/>
      <c r="AL494" s="8"/>
      <c r="AN494" s="8">
        <f t="shared" si="151"/>
        <v>1.0000000000000004</v>
      </c>
      <c r="AO494" s="8">
        <f t="shared" si="152"/>
        <v>3.7007176815503677</v>
      </c>
      <c r="AP494" s="8">
        <f t="shared" si="153"/>
        <v>1.024571260845812</v>
      </c>
      <c r="AQ494" s="8"/>
      <c r="AR494" s="8">
        <f t="shared" si="154"/>
        <v>212.03550432227507</v>
      </c>
      <c r="AS494" s="8">
        <f t="shared" si="155"/>
        <v>31.296390943137602</v>
      </c>
    </row>
    <row r="495" spans="1:45">
      <c r="A495" s="19">
        <v>23.45676667</v>
      </c>
      <c r="B495" s="19">
        <v>855.64827290000005</v>
      </c>
      <c r="C495" s="19">
        <v>533.74513750000006</v>
      </c>
      <c r="E495" s="9">
        <f t="shared" si="141"/>
        <v>-104.35172709999995</v>
      </c>
      <c r="F495" s="9">
        <f t="shared" si="142"/>
        <v>6.2548624999999447</v>
      </c>
      <c r="I495">
        <v>1</v>
      </c>
      <c r="J495">
        <f t="shared" si="143"/>
        <v>6.6785595783691365E-2</v>
      </c>
      <c r="K495">
        <f t="shared" si="147"/>
        <v>3.0817240926980514</v>
      </c>
      <c r="O495">
        <f t="shared" si="148"/>
        <v>-6.6616396097905817E-2</v>
      </c>
      <c r="P495">
        <f t="shared" si="149"/>
        <v>3.9929995354905405E-3</v>
      </c>
      <c r="Q495">
        <f t="shared" si="150"/>
        <v>0.99777067090871963</v>
      </c>
      <c r="R495">
        <f t="shared" si="140"/>
        <v>1</v>
      </c>
      <c r="AG495" s="8">
        <f t="shared" si="144"/>
        <v>-0.72459628988753311</v>
      </c>
      <c r="AH495" s="8">
        <f t="shared" si="145"/>
        <v>-0.45299038673848097</v>
      </c>
      <c r="AI495" s="8">
        <f t="shared" si="146"/>
        <v>0.51938417977807494</v>
      </c>
      <c r="AJ495" s="8"/>
      <c r="AK495" s="8"/>
      <c r="AL495" s="8"/>
      <c r="AN495" s="8">
        <f t="shared" si="151"/>
        <v>1</v>
      </c>
      <c r="AO495" s="8">
        <f t="shared" si="152"/>
        <v>3.700308773312913</v>
      </c>
      <c r="AP495" s="8">
        <f t="shared" si="153"/>
        <v>1.024666178616366</v>
      </c>
      <c r="AQ495" s="8"/>
      <c r="AR495" s="8">
        <f t="shared" si="154"/>
        <v>212.01207560606079</v>
      </c>
      <c r="AS495" s="8">
        <f t="shared" si="155"/>
        <v>31.290952555484068</v>
      </c>
    </row>
    <row r="496" spans="1:45">
      <c r="A496" s="19">
        <v>23.490133329999999</v>
      </c>
      <c r="B496" s="19">
        <v>854.74137069999995</v>
      </c>
      <c r="C496" s="19">
        <v>533.79707489999998</v>
      </c>
      <c r="E496" s="9">
        <f t="shared" si="141"/>
        <v>-105.25862930000005</v>
      </c>
      <c r="F496" s="9">
        <f t="shared" si="142"/>
        <v>6.2029251000000158</v>
      </c>
      <c r="I496">
        <v>1</v>
      </c>
      <c r="J496">
        <f t="shared" si="143"/>
        <v>6.7365448005516956E-2</v>
      </c>
      <c r="K496">
        <f t="shared" si="147"/>
        <v>3.0827304054790048</v>
      </c>
      <c r="O496">
        <f t="shared" si="148"/>
        <v>-6.7197926884982773E-2</v>
      </c>
      <c r="P496">
        <f t="shared" si="149"/>
        <v>3.9599955853009215E-3</v>
      </c>
      <c r="Q496">
        <f t="shared" si="150"/>
        <v>0.99773180617705326</v>
      </c>
      <c r="R496">
        <f t="shared" si="140"/>
        <v>1</v>
      </c>
      <c r="AG496" s="8">
        <f t="shared" si="144"/>
        <v>-0.72496032398834231</v>
      </c>
      <c r="AH496" s="8">
        <f t="shared" si="145"/>
        <v>-0.45255164059552172</v>
      </c>
      <c r="AI496" s="8">
        <f t="shared" si="146"/>
        <v>0.51925864579900805</v>
      </c>
      <c r="AJ496" s="8"/>
      <c r="AK496" s="8"/>
      <c r="AL496" s="8"/>
      <c r="AN496" s="8">
        <f t="shared" si="151"/>
        <v>1.0000000000000002</v>
      </c>
      <c r="AO496" s="8">
        <f t="shared" si="152"/>
        <v>3.6996476555106859</v>
      </c>
      <c r="AP496" s="8">
        <f t="shared" si="153"/>
        <v>1.024813074314773</v>
      </c>
      <c r="AQ496" s="8"/>
      <c r="AR496" s="8">
        <f t="shared" si="154"/>
        <v>211.97419634623219</v>
      </c>
      <c r="AS496" s="8">
        <f t="shared" si="155"/>
        <v>31.282536051936717</v>
      </c>
    </row>
    <row r="497" spans="1:45">
      <c r="A497" s="19">
        <v>23.523499999999999</v>
      </c>
      <c r="B497" s="19">
        <v>854.16299140000001</v>
      </c>
      <c r="C497" s="19">
        <v>533.79983419999996</v>
      </c>
      <c r="E497" s="9">
        <f t="shared" si="141"/>
        <v>-105.83700859999999</v>
      </c>
      <c r="F497" s="9">
        <f t="shared" si="142"/>
        <v>6.2001658000000361</v>
      </c>
      <c r="I497">
        <v>1</v>
      </c>
      <c r="J497">
        <f t="shared" si="143"/>
        <v>6.7736423792133502E-2</v>
      </c>
      <c r="K497">
        <f t="shared" si="147"/>
        <v>3.0830773221460039</v>
      </c>
      <c r="O497">
        <f t="shared" si="148"/>
        <v>-6.7568792841471187E-2</v>
      </c>
      <c r="P497">
        <f t="shared" si="149"/>
        <v>3.9583291710965571E-3</v>
      </c>
      <c r="Q497">
        <f t="shared" si="150"/>
        <v>0.99770676546975445</v>
      </c>
      <c r="R497">
        <f t="shared" si="140"/>
        <v>1</v>
      </c>
      <c r="AG497" s="8">
        <f t="shared" si="144"/>
        <v>-0.72518601283459971</v>
      </c>
      <c r="AH497" s="8">
        <f t="shared" si="145"/>
        <v>-0.45226328122136461</v>
      </c>
      <c r="AI497" s="8">
        <f t="shared" si="146"/>
        <v>0.51919473345551259</v>
      </c>
      <c r="AJ497" s="8"/>
      <c r="AK497" s="8"/>
      <c r="AL497" s="8"/>
      <c r="AN497" s="8">
        <f t="shared" si="151"/>
        <v>1.0000000000000002</v>
      </c>
      <c r="AO497" s="8">
        <f t="shared" si="152"/>
        <v>3.6992216103021951</v>
      </c>
      <c r="AP497" s="8">
        <f t="shared" si="153"/>
        <v>1.024887857382492</v>
      </c>
      <c r="AQ497" s="8"/>
      <c r="AR497" s="8">
        <f t="shared" si="154"/>
        <v>211.94978575390391</v>
      </c>
      <c r="AS497" s="8">
        <f t="shared" si="155"/>
        <v>31.278251297777381</v>
      </c>
    </row>
    <row r="498" spans="1:45">
      <c r="A498" s="19">
        <v>23.556866670000002</v>
      </c>
      <c r="B498" s="19">
        <v>853.86727759999997</v>
      </c>
      <c r="C498" s="19">
        <v>532.96271690000003</v>
      </c>
      <c r="E498" s="9">
        <f t="shared" si="141"/>
        <v>-106.13272240000003</v>
      </c>
      <c r="F498" s="9">
        <f t="shared" si="142"/>
        <v>7.0372830999999678</v>
      </c>
      <c r="I498">
        <v>1</v>
      </c>
      <c r="J498">
        <f t="shared" si="143"/>
        <v>6.7959638467970443E-2</v>
      </c>
      <c r="K498">
        <f t="shared" si="147"/>
        <v>3.0753831300833698</v>
      </c>
      <c r="O498">
        <f t="shared" si="148"/>
        <v>-6.775855010566291E-2</v>
      </c>
      <c r="P498">
        <f t="shared" si="149"/>
        <v>4.492828307389991E-3</v>
      </c>
      <c r="Q498">
        <f t="shared" si="150"/>
        <v>0.99769163241022463</v>
      </c>
      <c r="R498">
        <f t="shared" si="140"/>
        <v>1</v>
      </c>
      <c r="AG498" s="8">
        <f t="shared" si="144"/>
        <v>-0.72512599163068903</v>
      </c>
      <c r="AH498" s="8">
        <f t="shared" si="145"/>
        <v>-0.4518818786288395</v>
      </c>
      <c r="AI498" s="8">
        <f t="shared" si="146"/>
        <v>0.51961049260814662</v>
      </c>
      <c r="AJ498" s="8"/>
      <c r="AK498" s="8"/>
      <c r="AL498" s="8"/>
      <c r="AN498" s="8">
        <f t="shared" si="151"/>
        <v>1.0000000000000002</v>
      </c>
      <c r="AO498" s="8">
        <f t="shared" si="152"/>
        <v>3.698880011670167</v>
      </c>
      <c r="AP498" s="8">
        <f t="shared" si="153"/>
        <v>1.0244013217070247</v>
      </c>
      <c r="AQ498" s="8"/>
      <c r="AR498" s="8">
        <f t="shared" si="154"/>
        <v>211.93021359400126</v>
      </c>
      <c r="AS498" s="8">
        <f t="shared" si="155"/>
        <v>31.3061277385642</v>
      </c>
    </row>
    <row r="499" spans="1:45">
      <c r="A499" s="19">
        <v>23.59023333</v>
      </c>
      <c r="B499" s="19">
        <v>853.48785840000005</v>
      </c>
      <c r="C499" s="19">
        <v>532.69952769999998</v>
      </c>
      <c r="E499" s="9">
        <f t="shared" si="141"/>
        <v>-106.51214159999995</v>
      </c>
      <c r="F499" s="9">
        <f t="shared" si="142"/>
        <v>7.300472300000024</v>
      </c>
      <c r="I499">
        <v>1</v>
      </c>
      <c r="J499">
        <f t="shared" si="143"/>
        <v>6.8214314285279118E-2</v>
      </c>
      <c r="K499">
        <f t="shared" si="147"/>
        <v>3.0731584637083156</v>
      </c>
      <c r="O499">
        <f t="shared" si="148"/>
        <v>-6.8001878383706568E-2</v>
      </c>
      <c r="P499">
        <f t="shared" si="149"/>
        <v>4.6609318151971191E-3</v>
      </c>
      <c r="Q499">
        <f t="shared" si="150"/>
        <v>0.99767430569845872</v>
      </c>
      <c r="R499">
        <f t="shared" si="140"/>
        <v>1</v>
      </c>
      <c r="AG499" s="8">
        <f t="shared" si="144"/>
        <v>-0.72521849041682773</v>
      </c>
      <c r="AH499" s="8">
        <f t="shared" si="145"/>
        <v>-0.45161868960922591</v>
      </c>
      <c r="AI499" s="8">
        <f t="shared" si="146"/>
        <v>0.5197102080517404</v>
      </c>
      <c r="AJ499" s="8"/>
      <c r="AK499" s="8"/>
      <c r="AL499" s="8"/>
      <c r="AN499" s="8">
        <f t="shared" si="151"/>
        <v>1</v>
      </c>
      <c r="AO499" s="8">
        <f t="shared" si="152"/>
        <v>3.6985613011626923</v>
      </c>
      <c r="AP499" s="8">
        <f t="shared" si="153"/>
        <v>1.0242846098601652</v>
      </c>
      <c r="AQ499" s="8"/>
      <c r="AR499" s="8">
        <f t="shared" si="154"/>
        <v>211.91195282703649</v>
      </c>
      <c r="AS499" s="8">
        <f t="shared" si="155"/>
        <v>31.312814834808428</v>
      </c>
    </row>
    <row r="500" spans="1:45">
      <c r="A500" s="19">
        <v>23.6236</v>
      </c>
      <c r="B500" s="19">
        <v>852.72314370000004</v>
      </c>
      <c r="C500" s="19">
        <v>532.78444530000002</v>
      </c>
      <c r="E500" s="9">
        <f t="shared" si="141"/>
        <v>-107.27685629999996</v>
      </c>
      <c r="F500" s="9">
        <f t="shared" si="142"/>
        <v>7.2155546999999842</v>
      </c>
      <c r="I500">
        <v>1</v>
      </c>
      <c r="J500">
        <f t="shared" si="143"/>
        <v>6.8700962058609191E-2</v>
      </c>
      <c r="K500">
        <f t="shared" si="147"/>
        <v>3.0744327533701998</v>
      </c>
      <c r="O500">
        <f t="shared" si="148"/>
        <v>-6.8492175918568252E-2</v>
      </c>
      <c r="P500">
        <f t="shared" si="149"/>
        <v>4.606856118904116E-3</v>
      </c>
      <c r="Q500">
        <f t="shared" si="150"/>
        <v>0.99764101695682084</v>
      </c>
      <c r="R500">
        <f t="shared" si="140"/>
        <v>1</v>
      </c>
      <c r="AG500" s="8">
        <f t="shared" si="144"/>
        <v>-0.72553358386355371</v>
      </c>
      <c r="AH500" s="8">
        <f t="shared" si="145"/>
        <v>-0.45125992170178225</v>
      </c>
      <c r="AI500" s="8">
        <f t="shared" si="146"/>
        <v>0.51958204525542373</v>
      </c>
      <c r="AJ500" s="8"/>
      <c r="AK500" s="8"/>
      <c r="AL500" s="8"/>
      <c r="AN500" s="8">
        <f t="shared" si="151"/>
        <v>1.0000000000000002</v>
      </c>
      <c r="AO500" s="8">
        <f t="shared" si="152"/>
        <v>3.6980099245440625</v>
      </c>
      <c r="AP500" s="8">
        <f t="shared" si="153"/>
        <v>1.0244346163653604</v>
      </c>
      <c r="AQ500" s="8"/>
      <c r="AR500" s="8">
        <f t="shared" si="154"/>
        <v>211.88036127386681</v>
      </c>
      <c r="AS500" s="8">
        <f t="shared" si="155"/>
        <v>31.304220095161234</v>
      </c>
    </row>
    <row r="501" spans="1:45">
      <c r="A501" s="19">
        <v>23.656966669999999</v>
      </c>
      <c r="B501" s="19">
        <v>852.40967409999996</v>
      </c>
      <c r="C501" s="19">
        <v>532.6046321</v>
      </c>
      <c r="E501" s="9">
        <f t="shared" si="141"/>
        <v>-107.59032590000004</v>
      </c>
      <c r="F501" s="9">
        <f t="shared" si="142"/>
        <v>7.3953678999999966</v>
      </c>
      <c r="I501">
        <v>1</v>
      </c>
      <c r="J501">
        <f t="shared" si="143"/>
        <v>6.8909801117031447E-2</v>
      </c>
      <c r="K501">
        <f t="shared" si="147"/>
        <v>3.0729642354757929</v>
      </c>
      <c r="O501">
        <f t="shared" si="148"/>
        <v>-6.869319128415656E-2</v>
      </c>
      <c r="P501">
        <f t="shared" si="149"/>
        <v>4.721720261760173E-3</v>
      </c>
      <c r="Q501">
        <f t="shared" si="150"/>
        <v>0.9976266590408297</v>
      </c>
      <c r="R501">
        <f t="shared" si="140"/>
        <v>1</v>
      </c>
      <c r="AG501" s="8">
        <f t="shared" si="144"/>
        <v>-0.72561776647228893</v>
      </c>
      <c r="AH501" s="8">
        <f t="shared" si="145"/>
        <v>-0.45105291158983019</v>
      </c>
      <c r="AI501" s="8">
        <f t="shared" si="146"/>
        <v>0.51964423207238974</v>
      </c>
      <c r="AJ501" s="8"/>
      <c r="AK501" s="8"/>
      <c r="AL501" s="8"/>
      <c r="AN501" s="8">
        <f t="shared" si="151"/>
        <v>1</v>
      </c>
      <c r="AO501" s="8">
        <f t="shared" si="152"/>
        <v>3.6977521430854026</v>
      </c>
      <c r="AP501" s="8">
        <f t="shared" si="153"/>
        <v>1.0243618323103276</v>
      </c>
      <c r="AQ501" s="8"/>
      <c r="AR501" s="8">
        <f t="shared" si="154"/>
        <v>211.86559148424885</v>
      </c>
      <c r="AS501" s="8">
        <f t="shared" si="155"/>
        <v>31.30839031433046</v>
      </c>
    </row>
    <row r="502" spans="1:45">
      <c r="A502" s="19">
        <v>23.690333330000001</v>
      </c>
      <c r="B502" s="19">
        <v>851.68796239999995</v>
      </c>
      <c r="C502" s="19">
        <v>532.72731550000003</v>
      </c>
      <c r="E502" s="9">
        <f t="shared" si="141"/>
        <v>-108.31203760000005</v>
      </c>
      <c r="F502" s="9">
        <f t="shared" si="142"/>
        <v>7.2726844999999685</v>
      </c>
      <c r="I502">
        <v>1</v>
      </c>
      <c r="J502">
        <f t="shared" si="143"/>
        <v>6.936722378931999E-2</v>
      </c>
      <c r="K502">
        <f t="shared" si="147"/>
        <v>3.0745476196329617</v>
      </c>
      <c r="O502">
        <f t="shared" si="148"/>
        <v>-6.9155886074976095E-2</v>
      </c>
      <c r="P502">
        <f t="shared" si="149"/>
        <v>4.6435184111174171E-3</v>
      </c>
      <c r="Q502">
        <f t="shared" si="150"/>
        <v>0.99759505870766552</v>
      </c>
      <c r="R502">
        <f t="shared" si="140"/>
        <v>1</v>
      </c>
      <c r="AG502" s="8">
        <f t="shared" si="144"/>
        <v>-0.72592382020741153</v>
      </c>
      <c r="AH502" s="8">
        <f t="shared" si="145"/>
        <v>-0.45072605721693521</v>
      </c>
      <c r="AI502" s="8">
        <f t="shared" si="146"/>
        <v>0.51950036438981817</v>
      </c>
      <c r="AJ502" s="8"/>
      <c r="AK502" s="8"/>
      <c r="AL502" s="8"/>
      <c r="AN502" s="8">
        <f t="shared" si="151"/>
        <v>1.0000000000000002</v>
      </c>
      <c r="AO502" s="8">
        <f t="shared" si="152"/>
        <v>3.6972381775336181</v>
      </c>
      <c r="AP502" s="8">
        <f t="shared" si="153"/>
        <v>1.0245302115502088</v>
      </c>
      <c r="AQ502" s="8"/>
      <c r="AR502" s="8">
        <f t="shared" si="154"/>
        <v>211.8361434273165</v>
      </c>
      <c r="AS502" s="8">
        <f t="shared" si="155"/>
        <v>31.298742894527649</v>
      </c>
    </row>
    <row r="503" spans="1:45">
      <c r="A503" s="19">
        <v>23.723700000000001</v>
      </c>
      <c r="B503" s="19">
        <v>850.99485449999997</v>
      </c>
      <c r="C503" s="19">
        <v>532.7043731</v>
      </c>
      <c r="E503" s="9">
        <f t="shared" si="141"/>
        <v>-109.00514550000003</v>
      </c>
      <c r="F503" s="9">
        <f t="shared" si="142"/>
        <v>7.295626900000002</v>
      </c>
      <c r="I503">
        <v>1</v>
      </c>
      <c r="J503">
        <f t="shared" si="143"/>
        <v>6.9812661173356161E-2</v>
      </c>
      <c r="K503">
        <f t="shared" si="147"/>
        <v>3.0747631252883458</v>
      </c>
      <c r="O503">
        <f t="shared" si="148"/>
        <v>-6.9600252489703807E-2</v>
      </c>
      <c r="P503">
        <f t="shared" si="149"/>
        <v>4.6582890374718749E-3</v>
      </c>
      <c r="Q503">
        <f t="shared" si="150"/>
        <v>0.99756408575921218</v>
      </c>
      <c r="R503">
        <f t="shared" si="140"/>
        <v>1</v>
      </c>
      <c r="AG503" s="8">
        <f t="shared" si="144"/>
        <v>-0.7261881274895019</v>
      </c>
      <c r="AH503" s="8">
        <f t="shared" si="145"/>
        <v>-0.45037277113053525</v>
      </c>
      <c r="AI503" s="8">
        <f t="shared" si="146"/>
        <v>0.51943735957042358</v>
      </c>
      <c r="AJ503" s="8"/>
      <c r="AK503" s="8"/>
      <c r="AL503" s="8"/>
      <c r="AN503" s="8">
        <f t="shared" si="151"/>
        <v>1.0000000000000002</v>
      </c>
      <c r="AO503" s="8">
        <f t="shared" si="152"/>
        <v>3.6967237792577925</v>
      </c>
      <c r="AP503" s="8">
        <f t="shared" si="153"/>
        <v>1.0246039454325255</v>
      </c>
      <c r="AQ503" s="8"/>
      <c r="AR503" s="8">
        <f t="shared" si="154"/>
        <v>211.80667057712287</v>
      </c>
      <c r="AS503" s="8">
        <f t="shared" si="155"/>
        <v>31.294518254263785</v>
      </c>
    </row>
    <row r="504" spans="1:45">
      <c r="A504" s="19">
        <v>23.75706667</v>
      </c>
      <c r="B504" s="19">
        <v>850.3670138</v>
      </c>
      <c r="C504" s="19">
        <v>532.49494119999997</v>
      </c>
      <c r="E504" s="9">
        <f t="shared" si="141"/>
        <v>-109.6329862</v>
      </c>
      <c r="F504" s="9">
        <f t="shared" si="142"/>
        <v>7.5050588000000289</v>
      </c>
      <c r="I504">
        <v>1</v>
      </c>
      <c r="J504">
        <f t="shared" si="143"/>
        <v>7.0224331028321069E-2</v>
      </c>
      <c r="K504">
        <f t="shared" si="147"/>
        <v>3.0732430776160391</v>
      </c>
      <c r="O504">
        <f t="shared" si="148"/>
        <v>-7.0002793541677266E-2</v>
      </c>
      <c r="P504">
        <f t="shared" si="149"/>
        <v>4.7921259823765485E-3</v>
      </c>
      <c r="Q504">
        <f t="shared" si="150"/>
        <v>0.99753528480196141</v>
      </c>
      <c r="R504">
        <f t="shared" si="140"/>
        <v>1</v>
      </c>
      <c r="AG504" s="8">
        <f t="shared" si="144"/>
        <v>-0.72638791834083216</v>
      </c>
      <c r="AH504" s="8">
        <f t="shared" si="145"/>
        <v>-0.45000000611454744</v>
      </c>
      <c r="AI504" s="8">
        <f t="shared" si="146"/>
        <v>0.51948107432839175</v>
      </c>
      <c r="AJ504" s="8"/>
      <c r="AK504" s="8"/>
      <c r="AL504" s="8"/>
      <c r="AN504" s="8">
        <f t="shared" si="151"/>
        <v>1.0000000000000002</v>
      </c>
      <c r="AO504" s="8">
        <f t="shared" si="152"/>
        <v>3.6962298096412356</v>
      </c>
      <c r="AP504" s="8">
        <f t="shared" si="153"/>
        <v>1.0245527868587501</v>
      </c>
      <c r="AQ504" s="8"/>
      <c r="AR504" s="8">
        <f t="shared" si="154"/>
        <v>211.77836820288647</v>
      </c>
      <c r="AS504" s="8">
        <f t="shared" si="155"/>
        <v>31.297449424627025</v>
      </c>
    </row>
    <row r="505" spans="1:45">
      <c r="A505" s="19">
        <v>23.790433329999999</v>
      </c>
      <c r="B505" s="19">
        <v>849.79912400000001</v>
      </c>
      <c r="C505" s="19">
        <v>532.6133317</v>
      </c>
      <c r="E505" s="9">
        <f t="shared" si="141"/>
        <v>-110.20087599999999</v>
      </c>
      <c r="F505" s="9">
        <f t="shared" si="142"/>
        <v>7.3866682999999966</v>
      </c>
      <c r="I505">
        <v>1</v>
      </c>
      <c r="J505">
        <f t="shared" si="143"/>
        <v>7.0583323511698992E-2</v>
      </c>
      <c r="K505">
        <f t="shared" si="147"/>
        <v>3.0746636439074595</v>
      </c>
      <c r="O505">
        <f t="shared" si="148"/>
        <v>-7.0366831818209394E-2</v>
      </c>
      <c r="P505">
        <f t="shared" si="149"/>
        <v>4.7166271705771047E-3</v>
      </c>
      <c r="Q505">
        <f t="shared" si="150"/>
        <v>0.9975100312317674</v>
      </c>
      <c r="R505">
        <f t="shared" si="140"/>
        <v>1</v>
      </c>
      <c r="AG505" s="8">
        <f t="shared" si="144"/>
        <v>-0.72663298593183423</v>
      </c>
      <c r="AH505" s="8">
        <f t="shared" si="145"/>
        <v>-0.44974871897532392</v>
      </c>
      <c r="AI505" s="8">
        <f t="shared" si="146"/>
        <v>0.51935594108072158</v>
      </c>
      <c r="AJ505" s="8"/>
      <c r="AK505" s="8"/>
      <c r="AL505" s="8"/>
      <c r="AN505" s="8">
        <f t="shared" si="151"/>
        <v>1</v>
      </c>
      <c r="AO505" s="8">
        <f t="shared" si="152"/>
        <v>3.6958288090933924</v>
      </c>
      <c r="AP505" s="8">
        <f t="shared" si="153"/>
        <v>1.024699223746504</v>
      </c>
      <c r="AQ505" s="8"/>
      <c r="AR505" s="8">
        <f t="shared" si="154"/>
        <v>211.75539256391264</v>
      </c>
      <c r="AS505" s="8">
        <f t="shared" si="155"/>
        <v>31.289059208993699</v>
      </c>
    </row>
    <row r="506" spans="1:45">
      <c r="A506" s="19">
        <v>23.823799999999999</v>
      </c>
      <c r="B506" s="19">
        <v>849.13203559999999</v>
      </c>
      <c r="C506" s="19">
        <v>532.69065939999996</v>
      </c>
      <c r="E506" s="9">
        <f t="shared" si="141"/>
        <v>-110.86796440000001</v>
      </c>
      <c r="F506" s="9">
        <f t="shared" si="142"/>
        <v>7.3093406000000414</v>
      </c>
      <c r="I506">
        <v>1</v>
      </c>
      <c r="J506">
        <f t="shared" si="143"/>
        <v>7.1007802522931554E-2</v>
      </c>
      <c r="K506">
        <f t="shared" si="147"/>
        <v>3.0757595877024704</v>
      </c>
      <c r="O506">
        <f t="shared" si="148"/>
        <v>-7.0794457213367135E-2</v>
      </c>
      <c r="P506">
        <f t="shared" si="149"/>
        <v>4.6673608843190075E-3</v>
      </c>
      <c r="Q506">
        <f t="shared" si="150"/>
        <v>0.99748000509796697</v>
      </c>
      <c r="R506">
        <f t="shared" si="140"/>
        <v>1</v>
      </c>
      <c r="AG506" s="8">
        <f t="shared" si="144"/>
        <v>-0.72690780696722712</v>
      </c>
      <c r="AH506" s="8">
        <f t="shared" si="145"/>
        <v>-0.44943622271872607</v>
      </c>
      <c r="AI506" s="8">
        <f t="shared" si="146"/>
        <v>0.5192418722314488</v>
      </c>
      <c r="AJ506" s="8"/>
      <c r="AK506" s="8"/>
      <c r="AL506" s="8"/>
      <c r="AN506" s="8">
        <f t="shared" si="151"/>
        <v>1</v>
      </c>
      <c r="AO506" s="8">
        <f t="shared" si="152"/>
        <v>3.6953486546930847</v>
      </c>
      <c r="AP506" s="8">
        <f t="shared" si="153"/>
        <v>1.024832701194144</v>
      </c>
      <c r="AQ506" s="8"/>
      <c r="AR506" s="8">
        <f t="shared" si="154"/>
        <v>211.72788174326035</v>
      </c>
      <c r="AS506" s="8">
        <f t="shared" si="155"/>
        <v>31.281411514583745</v>
      </c>
    </row>
    <row r="507" spans="1:45">
      <c r="A507" s="19">
        <v>23.857166670000002</v>
      </c>
      <c r="B507" s="19">
        <v>848.91021579999995</v>
      </c>
      <c r="C507" s="19">
        <v>532.13118050000003</v>
      </c>
      <c r="E507" s="9">
        <f t="shared" si="141"/>
        <v>-111.08978420000005</v>
      </c>
      <c r="F507" s="9">
        <f t="shared" si="142"/>
        <v>7.8688194999999723</v>
      </c>
      <c r="I507">
        <v>1</v>
      </c>
      <c r="J507">
        <f t="shared" si="143"/>
        <v>7.1174557338620936E-2</v>
      </c>
      <c r="K507">
        <f t="shared" si="147"/>
        <v>3.0708777905596367</v>
      </c>
      <c r="O507">
        <f t="shared" si="148"/>
        <v>-7.0936746509003598E-2</v>
      </c>
      <c r="P507">
        <f t="shared" si="149"/>
        <v>5.0246605321662132E-3</v>
      </c>
      <c r="Q507">
        <f t="shared" si="150"/>
        <v>0.99746816028445429</v>
      </c>
      <c r="R507">
        <f t="shared" si="140"/>
        <v>1</v>
      </c>
      <c r="AG507" s="8">
        <f t="shared" si="144"/>
        <v>-0.72687658912571451</v>
      </c>
      <c r="AH507" s="8">
        <f t="shared" si="145"/>
        <v>-0.44916888138484162</v>
      </c>
      <c r="AI507" s="8">
        <f t="shared" si="146"/>
        <v>0.51951683339085097</v>
      </c>
      <c r="AJ507" s="8"/>
      <c r="AK507" s="8"/>
      <c r="AL507" s="8"/>
      <c r="AN507" s="8">
        <f t="shared" si="151"/>
        <v>1</v>
      </c>
      <c r="AO507" s="8">
        <f t="shared" si="152"/>
        <v>3.6951017484325765</v>
      </c>
      <c r="AP507" s="8">
        <f t="shared" si="153"/>
        <v>1.0245109375053341</v>
      </c>
      <c r="AQ507" s="8"/>
      <c r="AR507" s="8">
        <f t="shared" si="154"/>
        <v>211.7137350565979</v>
      </c>
      <c r="AS507" s="8">
        <f t="shared" si="155"/>
        <v>31.299847215953115</v>
      </c>
    </row>
    <row r="508" spans="1:45">
      <c r="A508" s="19">
        <v>23.89053333</v>
      </c>
      <c r="B508" s="19">
        <v>848.68262379999999</v>
      </c>
      <c r="C508" s="19">
        <v>531.88342709999995</v>
      </c>
      <c r="E508" s="9">
        <f t="shared" si="141"/>
        <v>-111.31737620000001</v>
      </c>
      <c r="F508" s="9">
        <f t="shared" si="142"/>
        <v>8.116572900000051</v>
      </c>
      <c r="I508">
        <v>1</v>
      </c>
      <c r="J508">
        <f t="shared" si="143"/>
        <v>7.1331861673205238E-2</v>
      </c>
      <c r="K508">
        <f t="shared" si="147"/>
        <v>3.0688076565347648</v>
      </c>
      <c r="O508">
        <f t="shared" si="148"/>
        <v>-7.1082682550985751E-2</v>
      </c>
      <c r="P508">
        <f t="shared" si="149"/>
        <v>5.1829084959391734E-3</v>
      </c>
      <c r="Q508">
        <f t="shared" si="150"/>
        <v>0.99745696132759454</v>
      </c>
      <c r="R508">
        <f t="shared" si="140"/>
        <v>1</v>
      </c>
      <c r="AG508" s="8">
        <f t="shared" si="144"/>
        <v>-0.72691285757238588</v>
      </c>
      <c r="AH508" s="8">
        <f t="shared" si="145"/>
        <v>-0.44898566507180243</v>
      </c>
      <c r="AI508" s="8">
        <f t="shared" si="146"/>
        <v>0.51962445097972387</v>
      </c>
      <c r="AJ508" s="8"/>
      <c r="AK508" s="8"/>
      <c r="AL508" s="8"/>
      <c r="AN508" s="8">
        <f t="shared" si="151"/>
        <v>1</v>
      </c>
      <c r="AO508" s="8">
        <f t="shared" si="152"/>
        <v>3.6948970130635894</v>
      </c>
      <c r="AP508" s="8">
        <f t="shared" si="153"/>
        <v>1.0243849846428739</v>
      </c>
      <c r="AQ508" s="8"/>
      <c r="AR508" s="8">
        <f t="shared" si="154"/>
        <v>211.70200458403787</v>
      </c>
      <c r="AS508" s="8">
        <f t="shared" si="155"/>
        <v>31.30706378338968</v>
      </c>
    </row>
    <row r="509" spans="1:45">
      <c r="A509" s="19">
        <v>23.9239</v>
      </c>
      <c r="B509" s="19">
        <v>847.87893240000005</v>
      </c>
      <c r="C509" s="19">
        <v>531.98666179999998</v>
      </c>
      <c r="E509" s="9">
        <f t="shared" si="141"/>
        <v>-112.12106759999995</v>
      </c>
      <c r="F509" s="9">
        <f t="shared" si="142"/>
        <v>8.0133382000000211</v>
      </c>
      <c r="I509">
        <v>1</v>
      </c>
      <c r="J509">
        <f t="shared" si="143"/>
        <v>7.1842247716592381E-2</v>
      </c>
      <c r="K509">
        <f t="shared" si="147"/>
        <v>3.0702435669149537</v>
      </c>
      <c r="O509">
        <f t="shared" si="148"/>
        <v>-7.1597835034858351E-2</v>
      </c>
      <c r="P509">
        <f t="shared" si="149"/>
        <v>5.1171263242781578E-3</v>
      </c>
      <c r="Q509">
        <f t="shared" si="150"/>
        <v>0.99742045549332037</v>
      </c>
      <c r="R509">
        <f t="shared" si="140"/>
        <v>1</v>
      </c>
      <c r="AG509" s="8">
        <f t="shared" si="144"/>
        <v>-0.72724579052720495</v>
      </c>
      <c r="AH509" s="8">
        <f t="shared" si="145"/>
        <v>-0.44861183338627514</v>
      </c>
      <c r="AI509" s="8">
        <f t="shared" si="146"/>
        <v>0.51948145597919659</v>
      </c>
      <c r="AJ509" s="8"/>
      <c r="AK509" s="8"/>
      <c r="AL509" s="8"/>
      <c r="AN509" s="8">
        <f t="shared" si="151"/>
        <v>1.0000000000000004</v>
      </c>
      <c r="AO509" s="8">
        <f t="shared" si="152"/>
        <v>3.6943200433854759</v>
      </c>
      <c r="AP509" s="8">
        <f t="shared" si="153"/>
        <v>1.0245523402128569</v>
      </c>
      <c r="AQ509" s="8"/>
      <c r="AR509" s="8">
        <f t="shared" si="154"/>
        <v>211.66894665657495</v>
      </c>
      <c r="AS509" s="8">
        <f t="shared" si="155"/>
        <v>31.29747501555164</v>
      </c>
    </row>
    <row r="510" spans="1:45">
      <c r="A510" s="19">
        <v>23.957266669999999</v>
      </c>
      <c r="B510" s="19">
        <v>847.01128340000002</v>
      </c>
      <c r="C510" s="19">
        <v>532.72907720000001</v>
      </c>
      <c r="E510" s="9">
        <f t="shared" si="141"/>
        <v>-112.98871659999998</v>
      </c>
      <c r="F510" s="9">
        <f t="shared" si="142"/>
        <v>7.2709227999999939</v>
      </c>
      <c r="I510">
        <v>1</v>
      </c>
      <c r="J510">
        <f t="shared" si="143"/>
        <v>7.2366244535233007E-2</v>
      </c>
      <c r="K510">
        <f t="shared" si="147"/>
        <v>3.0773303847605753</v>
      </c>
      <c r="O510">
        <f t="shared" si="148"/>
        <v>-7.2153857443325656E-2</v>
      </c>
      <c r="P510">
        <f t="shared" si="149"/>
        <v>4.6431638749371128E-3</v>
      </c>
      <c r="Q510">
        <f t="shared" si="150"/>
        <v>0.99738270582824862</v>
      </c>
      <c r="R510">
        <f t="shared" si="140"/>
        <v>1</v>
      </c>
      <c r="AG510" s="8">
        <f t="shared" si="144"/>
        <v>-0.72773716972850022</v>
      </c>
      <c r="AH510" s="8">
        <f t="shared" si="145"/>
        <v>-0.44838432364025993</v>
      </c>
      <c r="AI510" s="8">
        <f t="shared" si="146"/>
        <v>0.51898950866970217</v>
      </c>
      <c r="AJ510" s="8"/>
      <c r="AK510" s="8"/>
      <c r="AL510" s="8"/>
      <c r="AN510" s="8">
        <f t="shared" si="151"/>
        <v>1.0000000000000002</v>
      </c>
      <c r="AO510" s="8">
        <f t="shared" si="152"/>
        <v>3.6937917068554897</v>
      </c>
      <c r="AP510" s="8">
        <f t="shared" si="153"/>
        <v>1.0251279654826702</v>
      </c>
      <c r="AQ510" s="8"/>
      <c r="AR510" s="8">
        <f t="shared" si="154"/>
        <v>211.63867520324416</v>
      </c>
      <c r="AS510" s="8">
        <f t="shared" si="155"/>
        <v>31.264494117010265</v>
      </c>
    </row>
    <row r="511" spans="1:45">
      <c r="A511" s="19">
        <v>23.990633330000001</v>
      </c>
      <c r="B511" s="19">
        <v>846.53306729999997</v>
      </c>
      <c r="C511" s="19">
        <v>532.6544136</v>
      </c>
      <c r="E511" s="9">
        <f t="shared" si="141"/>
        <v>-113.46693270000003</v>
      </c>
      <c r="F511" s="9">
        <f t="shared" si="142"/>
        <v>7.345586400000002</v>
      </c>
      <c r="I511">
        <v>1</v>
      </c>
      <c r="J511">
        <f t="shared" si="143"/>
        <v>7.26760236017511E-2</v>
      </c>
      <c r="K511">
        <f t="shared" si="147"/>
        <v>3.0769451809979982</v>
      </c>
      <c r="O511">
        <f t="shared" si="148"/>
        <v>-7.2460382932600736E-2</v>
      </c>
      <c r="P511">
        <f t="shared" si="149"/>
        <v>4.6909173513642157E-3</v>
      </c>
      <c r="Q511">
        <f t="shared" si="150"/>
        <v>0.9973602599861614</v>
      </c>
      <c r="R511">
        <f t="shared" si="140"/>
        <v>1</v>
      </c>
      <c r="AG511" s="8">
        <f t="shared" si="144"/>
        <v>-0.72790654784200903</v>
      </c>
      <c r="AH511" s="8">
        <f t="shared" si="145"/>
        <v>-0.44812375217650063</v>
      </c>
      <c r="AI511" s="8">
        <f t="shared" si="146"/>
        <v>0.51897703257849792</v>
      </c>
      <c r="AJ511" s="8"/>
      <c r="AK511" s="8"/>
      <c r="AL511" s="8"/>
      <c r="AN511" s="8">
        <f t="shared" si="151"/>
        <v>1</v>
      </c>
      <c r="AO511" s="8">
        <f t="shared" si="152"/>
        <v>3.6934282336154345</v>
      </c>
      <c r="AP511" s="8">
        <f t="shared" si="153"/>
        <v>1.0251425610827454</v>
      </c>
      <c r="AQ511" s="8"/>
      <c r="AR511" s="8">
        <f t="shared" si="154"/>
        <v>211.61784972062304</v>
      </c>
      <c r="AS511" s="8">
        <f t="shared" si="155"/>
        <v>31.263657850726496</v>
      </c>
    </row>
    <row r="512" spans="1:45">
      <c r="A512" s="19">
        <v>24.024000000000001</v>
      </c>
      <c r="B512" s="19">
        <v>845.90490880000004</v>
      </c>
      <c r="C512" s="19">
        <v>532.87191240000004</v>
      </c>
      <c r="E512" s="9">
        <f t="shared" si="141"/>
        <v>-114.09509119999996</v>
      </c>
      <c r="F512" s="9">
        <f t="shared" si="142"/>
        <v>7.128087599999958</v>
      </c>
      <c r="I512">
        <v>1</v>
      </c>
      <c r="J512">
        <f t="shared" si="143"/>
        <v>7.3070021344901315E-2</v>
      </c>
      <c r="K512">
        <f t="shared" si="147"/>
        <v>3.0791987744924199</v>
      </c>
      <c r="O512">
        <f t="shared" si="148"/>
        <v>-7.2862957756020474E-2</v>
      </c>
      <c r="P512">
        <f t="shared" si="149"/>
        <v>4.5521112277265982E-3</v>
      </c>
      <c r="Q512">
        <f t="shared" si="150"/>
        <v>0.99733157358544244</v>
      </c>
      <c r="R512">
        <f t="shared" si="140"/>
        <v>1</v>
      </c>
      <c r="AG512" s="8">
        <f t="shared" si="144"/>
        <v>-0.72819500769997803</v>
      </c>
      <c r="AH512" s="8">
        <f t="shared" si="145"/>
        <v>-0.44786952260470447</v>
      </c>
      <c r="AI512" s="8">
        <f t="shared" si="146"/>
        <v>0.51879179010722909</v>
      </c>
      <c r="AJ512" s="8"/>
      <c r="AK512" s="8"/>
      <c r="AL512" s="8"/>
      <c r="AN512" s="8">
        <f t="shared" si="151"/>
        <v>1.0000000000000002</v>
      </c>
      <c r="AO512" s="8">
        <f t="shared" si="152"/>
        <v>3.6929981039640989</v>
      </c>
      <c r="AP512" s="8">
        <f t="shared" si="153"/>
        <v>1.0253592583782605</v>
      </c>
      <c r="AQ512" s="8"/>
      <c r="AR512" s="8">
        <f t="shared" si="154"/>
        <v>211.59320510695807</v>
      </c>
      <c r="AS512" s="8">
        <f t="shared" si="155"/>
        <v>31.251242010261578</v>
      </c>
    </row>
    <row r="513" spans="1:45">
      <c r="A513" s="19">
        <v>24.05736667</v>
      </c>
      <c r="B513" s="19">
        <v>845.440246</v>
      </c>
      <c r="C513" s="19">
        <v>532.31357490000005</v>
      </c>
      <c r="E513" s="9">
        <f t="shared" si="141"/>
        <v>-114.559754</v>
      </c>
      <c r="F513" s="9">
        <f t="shared" si="142"/>
        <v>7.6864250999999513</v>
      </c>
      <c r="I513">
        <v>1</v>
      </c>
      <c r="J513">
        <f t="shared" si="143"/>
        <v>7.3391206057248054E-2</v>
      </c>
      <c r="K513">
        <f t="shared" si="147"/>
        <v>3.0745977301689642</v>
      </c>
      <c r="O513">
        <f t="shared" si="148"/>
        <v>-7.3160847419903641E-2</v>
      </c>
      <c r="P513">
        <f t="shared" si="149"/>
        <v>4.9087515843095854E-3</v>
      </c>
      <c r="Q513">
        <f t="shared" si="150"/>
        <v>0.99730807404867883</v>
      </c>
      <c r="R513">
        <f t="shared" si="140"/>
        <v>1</v>
      </c>
      <c r="AG513" s="8">
        <f t="shared" si="144"/>
        <v>-0.72825768126176316</v>
      </c>
      <c r="AH513" s="8">
        <f t="shared" si="145"/>
        <v>-0.44748059935051043</v>
      </c>
      <c r="AI513" s="8">
        <f t="shared" si="146"/>
        <v>0.51903936545135787</v>
      </c>
      <c r="AJ513" s="8"/>
      <c r="AK513" s="8"/>
      <c r="AL513" s="8"/>
      <c r="AN513" s="8">
        <f t="shared" si="151"/>
        <v>1</v>
      </c>
      <c r="AO513" s="8">
        <f t="shared" si="152"/>
        <v>3.6925721148716319</v>
      </c>
      <c r="AP513" s="8">
        <f t="shared" si="153"/>
        <v>1.0250696374579247</v>
      </c>
      <c r="AQ513" s="8"/>
      <c r="AR513" s="8">
        <f t="shared" si="154"/>
        <v>211.56879772984112</v>
      </c>
      <c r="AS513" s="8">
        <f t="shared" si="155"/>
        <v>31.267836066655512</v>
      </c>
    </row>
    <row r="514" spans="1:45">
      <c r="A514" s="19">
        <v>24.090733329999999</v>
      </c>
      <c r="B514" s="19">
        <v>845.33095809999998</v>
      </c>
      <c r="C514" s="19">
        <v>531.76541250000002</v>
      </c>
      <c r="E514" s="9">
        <f t="shared" si="141"/>
        <v>-114.66904190000002</v>
      </c>
      <c r="F514" s="9">
        <f t="shared" si="142"/>
        <v>8.2345874999999751</v>
      </c>
      <c r="I514">
        <v>1</v>
      </c>
      <c r="J514">
        <f t="shared" si="143"/>
        <v>7.3485677615825973E-2</v>
      </c>
      <c r="K514">
        <f t="shared" si="147"/>
        <v>3.0699039402778729</v>
      </c>
      <c r="O514">
        <f t="shared" si="148"/>
        <v>-7.3230975851118305E-2</v>
      </c>
      <c r="P514">
        <f t="shared" si="149"/>
        <v>5.258846401475158E-3</v>
      </c>
      <c r="Q514">
        <f t="shared" si="150"/>
        <v>0.99730114243914236</v>
      </c>
      <c r="R514">
        <f t="shared" si="140"/>
        <v>1</v>
      </c>
      <c r="AG514" s="8">
        <f t="shared" si="144"/>
        <v>-0.72818502407105934</v>
      </c>
      <c r="AH514" s="8">
        <f t="shared" si="145"/>
        <v>-0.44727265840612807</v>
      </c>
      <c r="AI514" s="8">
        <f t="shared" si="146"/>
        <v>0.51932045960172402</v>
      </c>
      <c r="AJ514" s="8"/>
      <c r="AK514" s="8"/>
      <c r="AL514" s="8"/>
      <c r="AN514" s="8">
        <f t="shared" si="151"/>
        <v>1</v>
      </c>
      <c r="AO514" s="8">
        <f t="shared" si="152"/>
        <v>3.6924093089962211</v>
      </c>
      <c r="AP514" s="8">
        <f t="shared" si="153"/>
        <v>1.0247407434919116</v>
      </c>
      <c r="AQ514" s="8"/>
      <c r="AR514" s="8">
        <f t="shared" si="154"/>
        <v>211.55946964030014</v>
      </c>
      <c r="AS514" s="8">
        <f t="shared" si="155"/>
        <v>31.286680302815384</v>
      </c>
    </row>
    <row r="515" spans="1:45">
      <c r="A515" s="19">
        <v>24.124099999999999</v>
      </c>
      <c r="B515" s="19">
        <v>843.88384829999995</v>
      </c>
      <c r="C515" s="19">
        <v>532.72484459999998</v>
      </c>
      <c r="E515" s="9">
        <f t="shared" si="141"/>
        <v>-116.11615170000005</v>
      </c>
      <c r="F515" s="9">
        <f t="shared" si="142"/>
        <v>7.2751554000000169</v>
      </c>
      <c r="I515">
        <v>1</v>
      </c>
      <c r="J515">
        <f t="shared" si="143"/>
        <v>7.4372189500939073E-2</v>
      </c>
      <c r="K515">
        <f t="shared" si="147"/>
        <v>3.0790203239208096</v>
      </c>
      <c r="O515">
        <f t="shared" si="148"/>
        <v>-7.4158233989369673E-2</v>
      </c>
      <c r="P515">
        <f t="shared" si="149"/>
        <v>4.6463189535950579E-3</v>
      </c>
      <c r="Q515">
        <f t="shared" si="150"/>
        <v>0.99723566324703783</v>
      </c>
      <c r="R515">
        <f t="shared" si="140"/>
        <v>1</v>
      </c>
      <c r="AG515" s="8">
        <f t="shared" si="144"/>
        <v>-0.72894496654935015</v>
      </c>
      <c r="AH515" s="8">
        <f t="shared" si="145"/>
        <v>-0.44681465662663289</v>
      </c>
      <c r="AI515" s="8">
        <f t="shared" si="146"/>
        <v>0.51864814505210666</v>
      </c>
      <c r="AJ515" s="8"/>
      <c r="AK515" s="8"/>
      <c r="AL515" s="8"/>
      <c r="AN515" s="8">
        <f t="shared" si="151"/>
        <v>1.0000000000000002</v>
      </c>
      <c r="AO515" s="8">
        <f t="shared" si="152"/>
        <v>3.6914876544059023</v>
      </c>
      <c r="AP515" s="8">
        <f t="shared" si="153"/>
        <v>1.0255272752552491</v>
      </c>
      <c r="AQ515" s="8"/>
      <c r="AR515" s="8">
        <f t="shared" si="154"/>
        <v>211.50666272210603</v>
      </c>
      <c r="AS515" s="8">
        <f t="shared" si="155"/>
        <v>31.241615352323159</v>
      </c>
    </row>
    <row r="516" spans="1:45">
      <c r="A516" s="19">
        <v>24.157466670000002</v>
      </c>
      <c r="B516" s="19">
        <v>843.7910637</v>
      </c>
      <c r="C516" s="19">
        <v>531.80659270000001</v>
      </c>
      <c r="E516" s="9">
        <f t="shared" si="141"/>
        <v>-116.2089363</v>
      </c>
      <c r="F516" s="9">
        <f t="shared" si="142"/>
        <v>8.1934072999999898</v>
      </c>
      <c r="I516">
        <v>1</v>
      </c>
      <c r="J516">
        <f t="shared" si="143"/>
        <v>7.4470884564838608E-2</v>
      </c>
      <c r="K516">
        <f t="shared" si="147"/>
        <v>3.0712033079891068</v>
      </c>
      <c r="O516">
        <f t="shared" si="148"/>
        <v>-7.4217826427361494E-2</v>
      </c>
      <c r="P516">
        <f t="shared" si="149"/>
        <v>5.2327893206959662E-3</v>
      </c>
      <c r="Q516">
        <f t="shared" si="150"/>
        <v>0.99722832498697267</v>
      </c>
      <c r="R516">
        <f t="shared" si="140"/>
        <v>1</v>
      </c>
      <c r="AG516" s="8">
        <f t="shared" si="144"/>
        <v>-0.72878836145025494</v>
      </c>
      <c r="AH516" s="8">
        <f t="shared" si="145"/>
        <v>-0.44651162389229032</v>
      </c>
      <c r="AI516" s="8">
        <f t="shared" si="146"/>
        <v>0.51912897621277354</v>
      </c>
      <c r="AJ516" s="8"/>
      <c r="AK516" s="8"/>
      <c r="AL516" s="8"/>
      <c r="AN516" s="8">
        <f t="shared" si="151"/>
        <v>0.99999999999999989</v>
      </c>
      <c r="AO516" s="8">
        <f t="shared" si="152"/>
        <v>3.6912811271505204</v>
      </c>
      <c r="AP516" s="8">
        <f t="shared" si="153"/>
        <v>1.0249647955989811</v>
      </c>
      <c r="AQ516" s="8"/>
      <c r="AR516" s="8">
        <f t="shared" si="154"/>
        <v>211.49482958201821</v>
      </c>
      <c r="AS516" s="8">
        <f t="shared" si="155"/>
        <v>31.273843062689288</v>
      </c>
    </row>
    <row r="517" spans="1:45">
      <c r="A517" s="19">
        <v>24.19083333</v>
      </c>
      <c r="B517" s="19">
        <v>843.49976519999996</v>
      </c>
      <c r="C517" s="19">
        <v>531.50326210000003</v>
      </c>
      <c r="E517" s="9">
        <f t="shared" si="141"/>
        <v>-116.50023480000004</v>
      </c>
      <c r="F517" s="9">
        <f t="shared" si="142"/>
        <v>8.496737899999971</v>
      </c>
      <c r="I517">
        <v>1</v>
      </c>
      <c r="J517">
        <f t="shared" si="143"/>
        <v>7.4671543077284547E-2</v>
      </c>
      <c r="K517">
        <f t="shared" si="147"/>
        <v>3.0687883337087016</v>
      </c>
      <c r="O517">
        <f t="shared" si="148"/>
        <v>-7.4404543738283771E-2</v>
      </c>
      <c r="P517">
        <f t="shared" si="149"/>
        <v>5.4265633695811319E-3</v>
      </c>
      <c r="Q517">
        <f t="shared" si="150"/>
        <v>0.99721337550250189</v>
      </c>
      <c r="R517">
        <f t="shared" si="140"/>
        <v>1</v>
      </c>
      <c r="AG517" s="8">
        <f t="shared" si="144"/>
        <v>-0.72883716507386431</v>
      </c>
      <c r="AH517" s="8">
        <f t="shared" si="145"/>
        <v>-0.44628067408742811</v>
      </c>
      <c r="AI517" s="8">
        <f t="shared" si="146"/>
        <v>0.51925903626529568</v>
      </c>
      <c r="AJ517" s="8"/>
      <c r="AK517" s="8"/>
      <c r="AL517" s="8"/>
      <c r="AN517" s="8">
        <f t="shared" si="151"/>
        <v>1.0000000000000002</v>
      </c>
      <c r="AO517" s="8">
        <f t="shared" si="152"/>
        <v>3.6910208654617112</v>
      </c>
      <c r="AP517" s="8">
        <f t="shared" si="153"/>
        <v>1.024812617424403</v>
      </c>
      <c r="AQ517" s="8"/>
      <c r="AR517" s="8">
        <f t="shared" si="154"/>
        <v>211.4799176856805</v>
      </c>
      <c r="AS517" s="8">
        <f t="shared" si="155"/>
        <v>31.282562229826617</v>
      </c>
    </row>
    <row r="518" spans="1:45">
      <c r="A518" s="19">
        <v>24.2242</v>
      </c>
      <c r="B518" s="19">
        <v>843.41813839999998</v>
      </c>
      <c r="C518" s="19">
        <v>530.94846680000001</v>
      </c>
      <c r="E518" s="9">
        <f t="shared" si="141"/>
        <v>-116.58186160000002</v>
      </c>
      <c r="F518" s="9">
        <f t="shared" si="142"/>
        <v>9.0515331999999944</v>
      </c>
      <c r="I518">
        <v>1</v>
      </c>
      <c r="J518">
        <f t="shared" si="143"/>
        <v>7.4750615421239397E-2</v>
      </c>
      <c r="K518">
        <f t="shared" si="147"/>
        <v>3.0641070940880737</v>
      </c>
      <c r="O518">
        <f t="shared" si="148"/>
        <v>-7.4456940709014791E-2</v>
      </c>
      <c r="P518">
        <f t="shared" si="149"/>
        <v>5.7809118978597576E-3</v>
      </c>
      <c r="Q518">
        <f t="shared" si="150"/>
        <v>0.99720747341658222</v>
      </c>
      <c r="R518">
        <f t="shared" si="140"/>
        <v>1</v>
      </c>
      <c r="AG518" s="8">
        <f t="shared" si="144"/>
        <v>-0.72875224684904616</v>
      </c>
      <c r="AH518" s="8">
        <f t="shared" si="145"/>
        <v>-0.44608462089108392</v>
      </c>
      <c r="AI518" s="8">
        <f t="shared" si="146"/>
        <v>0.51954660398940633</v>
      </c>
      <c r="AJ518" s="8"/>
      <c r="AK518" s="8"/>
      <c r="AL518" s="8"/>
      <c r="AN518" s="8">
        <f t="shared" si="151"/>
        <v>1.0000000000000002</v>
      </c>
      <c r="AO518" s="8">
        <f t="shared" si="152"/>
        <v>3.6908770822229697</v>
      </c>
      <c r="AP518" s="8">
        <f t="shared" si="153"/>
        <v>1.0244760957264474</v>
      </c>
      <c r="AQ518" s="8"/>
      <c r="AR518" s="8">
        <f t="shared" si="154"/>
        <v>211.47167951293588</v>
      </c>
      <c r="AS518" s="8">
        <f t="shared" si="155"/>
        <v>31.301843502834053</v>
      </c>
    </row>
    <row r="519" spans="1:45">
      <c r="A519" s="19">
        <v>24.257566669999999</v>
      </c>
      <c r="B519" s="19">
        <v>842.87040300000001</v>
      </c>
      <c r="C519" s="19">
        <v>530.99520429999995</v>
      </c>
      <c r="E519" s="9">
        <f t="shared" si="141"/>
        <v>-117.12959699999999</v>
      </c>
      <c r="F519" s="9">
        <f t="shared" si="142"/>
        <v>9.0047957000000451</v>
      </c>
      <c r="I519">
        <v>1</v>
      </c>
      <c r="J519">
        <f t="shared" si="143"/>
        <v>7.5099237230192212E-2</v>
      </c>
      <c r="K519">
        <f t="shared" si="147"/>
        <v>3.0648646699771915</v>
      </c>
      <c r="O519">
        <f t="shared" si="148"/>
        <v>-7.4807919730577543E-2</v>
      </c>
      <c r="P519">
        <f t="shared" si="149"/>
        <v>5.7511512988118055E-3</v>
      </c>
      <c r="Q519">
        <f t="shared" si="150"/>
        <v>0.99718137738543922</v>
      </c>
      <c r="R519">
        <f t="shared" si="140"/>
        <v>1</v>
      </c>
      <c r="AG519" s="8">
        <f t="shared" si="144"/>
        <v>-0.72897334901629784</v>
      </c>
      <c r="AH519" s="8">
        <f t="shared" si="145"/>
        <v>-0.44582276177181646</v>
      </c>
      <c r="AI519" s="8">
        <f t="shared" si="146"/>
        <v>0.51946118383389639</v>
      </c>
      <c r="AJ519" s="8"/>
      <c r="AK519" s="8"/>
      <c r="AL519" s="8"/>
      <c r="AN519" s="8">
        <f t="shared" si="151"/>
        <v>1</v>
      </c>
      <c r="AO519" s="8">
        <f t="shared" si="152"/>
        <v>3.6904806235450476</v>
      </c>
      <c r="AP519" s="8">
        <f t="shared" si="153"/>
        <v>1.0245760645343207</v>
      </c>
      <c r="AQ519" s="8"/>
      <c r="AR519" s="8">
        <f t="shared" si="154"/>
        <v>211.4489641039396</v>
      </c>
      <c r="AS519" s="8">
        <f t="shared" si="155"/>
        <v>31.296115712059958</v>
      </c>
    </row>
    <row r="520" spans="1:45">
      <c r="A520" s="19">
        <v>24.290933330000001</v>
      </c>
      <c r="B520" s="19">
        <v>842.48395749999997</v>
      </c>
      <c r="C520" s="19">
        <v>530.83675970000002</v>
      </c>
      <c r="E520" s="9">
        <f t="shared" si="141"/>
        <v>-117.51604250000003</v>
      </c>
      <c r="F520" s="9">
        <f t="shared" si="142"/>
        <v>9.163240299999984</v>
      </c>
      <c r="I520">
        <v>1</v>
      </c>
      <c r="J520">
        <f t="shared" si="143"/>
        <v>7.5354688130572542E-2</v>
      </c>
      <c r="K520">
        <f t="shared" si="147"/>
        <v>3.0637757299218276</v>
      </c>
      <c r="O520">
        <f t="shared" si="148"/>
        <v>-7.5055570287938717E-2</v>
      </c>
      <c r="P520">
        <f t="shared" si="149"/>
        <v>5.8524113965284594E-3</v>
      </c>
      <c r="Q520">
        <f t="shared" si="150"/>
        <v>0.99716217870996193</v>
      </c>
      <c r="R520">
        <f t="shared" si="140"/>
        <v>1</v>
      </c>
      <c r="AG520" s="8">
        <f t="shared" si="144"/>
        <v>-0.72908910535375726</v>
      </c>
      <c r="AH520" s="8">
        <f t="shared" si="145"/>
        <v>-0.44558445794259682</v>
      </c>
      <c r="AI520" s="8">
        <f t="shared" si="146"/>
        <v>0.51950319276637758</v>
      </c>
      <c r="AJ520" s="8"/>
      <c r="AK520" s="8"/>
      <c r="AL520" s="8"/>
      <c r="AN520" s="8">
        <f t="shared" si="151"/>
        <v>1</v>
      </c>
      <c r="AO520" s="8">
        <f t="shared" si="152"/>
        <v>3.6901720190410678</v>
      </c>
      <c r="AP520" s="8">
        <f t="shared" si="153"/>
        <v>1.024526901453132</v>
      </c>
      <c r="AQ520" s="8"/>
      <c r="AR520" s="8">
        <f t="shared" si="154"/>
        <v>211.43128236832285</v>
      </c>
      <c r="AS520" s="8">
        <f t="shared" si="155"/>
        <v>31.298932549119932</v>
      </c>
    </row>
    <row r="521" spans="1:45">
      <c r="A521" s="19">
        <v>24.324300000000001</v>
      </c>
      <c r="B521" s="19">
        <v>841.87451320000002</v>
      </c>
      <c r="C521" s="19">
        <v>530.98883090000004</v>
      </c>
      <c r="E521" s="9">
        <f t="shared" si="141"/>
        <v>-118.12548679999998</v>
      </c>
      <c r="F521" s="9">
        <f t="shared" si="142"/>
        <v>9.011169099999961</v>
      </c>
      <c r="I521">
        <v>1</v>
      </c>
      <c r="J521">
        <f t="shared" si="143"/>
        <v>7.5737641988146809E-2</v>
      </c>
      <c r="K521">
        <f t="shared" si="147"/>
        <v>3.0654554000241947</v>
      </c>
      <c r="O521">
        <f t="shared" si="148"/>
        <v>-7.5446049831743564E-2</v>
      </c>
      <c r="P521">
        <f t="shared" si="149"/>
        <v>5.7553804126279978E-3</v>
      </c>
      <c r="Q521">
        <f t="shared" si="150"/>
        <v>0.99713327552594089</v>
      </c>
      <c r="R521">
        <f t="shared" si="140"/>
        <v>1</v>
      </c>
      <c r="AG521" s="8">
        <f t="shared" si="144"/>
        <v>-0.72935594482950239</v>
      </c>
      <c r="AH521" s="8">
        <f t="shared" si="145"/>
        <v>-0.44532097670025217</v>
      </c>
      <c r="AI521" s="8">
        <f t="shared" si="146"/>
        <v>0.51935453541159859</v>
      </c>
      <c r="AJ521" s="8"/>
      <c r="AK521" s="8"/>
      <c r="AL521" s="8"/>
      <c r="AN521" s="8">
        <f t="shared" si="151"/>
        <v>1</v>
      </c>
      <c r="AO521" s="8">
        <f t="shared" si="152"/>
        <v>3.6897461034805628</v>
      </c>
      <c r="AP521" s="8">
        <f t="shared" si="153"/>
        <v>1.0247008686534504</v>
      </c>
      <c r="AQ521" s="8"/>
      <c r="AR521" s="8">
        <f t="shared" si="154"/>
        <v>211.40687920427695</v>
      </c>
      <c r="AS521" s="8">
        <f t="shared" si="155"/>
        <v>31.28896496276797</v>
      </c>
    </row>
    <row r="522" spans="1:45">
      <c r="A522" s="19">
        <v>24.35766667</v>
      </c>
      <c r="B522" s="19">
        <v>841.2718797</v>
      </c>
      <c r="C522" s="19">
        <v>530.63787879999995</v>
      </c>
      <c r="E522" s="9">
        <f t="shared" si="141"/>
        <v>-118.7281203</v>
      </c>
      <c r="F522" s="9">
        <f t="shared" si="142"/>
        <v>9.3621212000000469</v>
      </c>
      <c r="I522">
        <v>1</v>
      </c>
      <c r="J522">
        <f t="shared" si="143"/>
        <v>7.6141169920741283E-2</v>
      </c>
      <c r="K522">
        <f t="shared" si="147"/>
        <v>3.0629020358107644</v>
      </c>
      <c r="O522">
        <f t="shared" si="148"/>
        <v>-7.5832228159519829E-2</v>
      </c>
      <c r="P522">
        <f t="shared" si="149"/>
        <v>5.9796323659600647E-3</v>
      </c>
      <c r="Q522">
        <f t="shared" si="150"/>
        <v>0.99710266129879044</v>
      </c>
      <c r="R522">
        <f t="shared" si="140"/>
        <v>1</v>
      </c>
      <c r="AG522" s="8">
        <f t="shared" si="144"/>
        <v>-0.72951443494912316</v>
      </c>
      <c r="AH522" s="8">
        <f t="shared" si="145"/>
        <v>-0.44492019269377842</v>
      </c>
      <c r="AI522" s="8">
        <f t="shared" si="146"/>
        <v>0.51947541937438457</v>
      </c>
      <c r="AJ522" s="8"/>
      <c r="AK522" s="8"/>
      <c r="AL522" s="8"/>
      <c r="AN522" s="8">
        <f t="shared" si="151"/>
        <v>1</v>
      </c>
      <c r="AO522" s="8">
        <f t="shared" si="152"/>
        <v>3.6892491311791193</v>
      </c>
      <c r="AP522" s="8">
        <f t="shared" si="153"/>
        <v>1.0245594048365672</v>
      </c>
      <c r="AQ522" s="8"/>
      <c r="AR522" s="8">
        <f t="shared" si="154"/>
        <v>211.37840478886935</v>
      </c>
      <c r="AS522" s="8">
        <f t="shared" si="155"/>
        <v>31.2970702424292</v>
      </c>
    </row>
    <row r="523" spans="1:45">
      <c r="A523" s="19">
        <v>24.391033329999999</v>
      </c>
      <c r="B523" s="19">
        <v>840.65052739999999</v>
      </c>
      <c r="C523" s="19">
        <v>530.56932210000002</v>
      </c>
      <c r="E523" s="9">
        <f t="shared" si="141"/>
        <v>-119.34947260000001</v>
      </c>
      <c r="F523" s="9">
        <f t="shared" si="142"/>
        <v>9.4306778999999779</v>
      </c>
      <c r="I523">
        <v>1</v>
      </c>
      <c r="J523">
        <f t="shared" si="143"/>
        <v>7.6542667854274382E-2</v>
      </c>
      <c r="K523">
        <f t="shared" si="147"/>
        <v>3.0627391544406271</v>
      </c>
      <c r="O523">
        <f t="shared" si="148"/>
        <v>-7.6230337747647314E-2</v>
      </c>
      <c r="P523">
        <f t="shared" si="149"/>
        <v>6.0235185447000683E-3</v>
      </c>
      <c r="Q523">
        <f t="shared" si="150"/>
        <v>0.99707203994055582</v>
      </c>
      <c r="R523">
        <f t="shared" si="140"/>
        <v>1</v>
      </c>
      <c r="AG523" s="8">
        <f t="shared" si="144"/>
        <v>-0.72973930658963448</v>
      </c>
      <c r="AH523" s="8">
        <f t="shared" si="145"/>
        <v>-0.44458890702453369</v>
      </c>
      <c r="AI523" s="8">
        <f t="shared" si="146"/>
        <v>0.51944320976292502</v>
      </c>
      <c r="AJ523" s="8"/>
      <c r="AK523" s="8"/>
      <c r="AL523" s="8"/>
      <c r="AN523" s="8">
        <f t="shared" si="151"/>
        <v>1.0000000000000002</v>
      </c>
      <c r="AO523" s="8">
        <f t="shared" si="152"/>
        <v>3.6887811150203467</v>
      </c>
      <c r="AP523" s="8">
        <f t="shared" si="153"/>
        <v>1.0245970991525142</v>
      </c>
      <c r="AQ523" s="8"/>
      <c r="AR523" s="8">
        <f t="shared" si="154"/>
        <v>211.35158943822773</v>
      </c>
      <c r="AS523" s="8">
        <f t="shared" si="155"/>
        <v>31.2949105172138</v>
      </c>
    </row>
    <row r="524" spans="1:45">
      <c r="A524" s="19">
        <v>24.424399999999999</v>
      </c>
      <c r="B524" s="19">
        <v>840.40194789999998</v>
      </c>
      <c r="C524" s="19">
        <v>529.7514741</v>
      </c>
      <c r="E524" s="9">
        <f t="shared" si="141"/>
        <v>-119.59805210000002</v>
      </c>
      <c r="F524" s="9">
        <f t="shared" si="142"/>
        <v>10.248525900000004</v>
      </c>
      <c r="I524">
        <v>1</v>
      </c>
      <c r="J524">
        <f t="shared" si="143"/>
        <v>7.6744993928978322E-2</v>
      </c>
      <c r="K524">
        <f t="shared" si="147"/>
        <v>3.056110067316228</v>
      </c>
      <c r="O524">
        <f t="shared" si="148"/>
        <v>-7.6389728152179204E-2</v>
      </c>
      <c r="P524">
        <f t="shared" si="149"/>
        <v>6.5459436313141158E-3</v>
      </c>
      <c r="Q524">
        <f t="shared" si="150"/>
        <v>0.99705654807278199</v>
      </c>
      <c r="R524">
        <f t="shared" si="140"/>
        <v>1</v>
      </c>
      <c r="AG524" s="8">
        <f t="shared" si="144"/>
        <v>-0.72966312474093187</v>
      </c>
      <c r="AH524" s="8">
        <f t="shared" si="145"/>
        <v>-0.44423520494826474</v>
      </c>
      <c r="AI524" s="8">
        <f t="shared" si="146"/>
        <v>0.51985267824439707</v>
      </c>
      <c r="AJ524" s="8"/>
      <c r="AK524" s="8"/>
      <c r="AL524" s="8"/>
      <c r="AN524" s="8">
        <f t="shared" si="151"/>
        <v>1</v>
      </c>
      <c r="AO524" s="8">
        <f t="shared" si="152"/>
        <v>3.6884739216379629</v>
      </c>
      <c r="AP524" s="8">
        <f t="shared" si="153"/>
        <v>1.0241178413784806</v>
      </c>
      <c r="AQ524" s="8"/>
      <c r="AR524" s="8">
        <f t="shared" si="154"/>
        <v>211.33398855392281</v>
      </c>
      <c r="AS524" s="8">
        <f t="shared" si="155"/>
        <v>31.322369964964757</v>
      </c>
    </row>
    <row r="525" spans="1:45">
      <c r="A525" s="19">
        <v>24.457766670000002</v>
      </c>
      <c r="B525" s="19">
        <v>840.19764329999998</v>
      </c>
      <c r="C525" s="19">
        <v>529.67404529999999</v>
      </c>
      <c r="E525" s="9">
        <f t="shared" si="141"/>
        <v>-119.80235670000002</v>
      </c>
      <c r="F525" s="9">
        <f t="shared" si="142"/>
        <v>10.325954700000011</v>
      </c>
      <c r="I525">
        <v>1</v>
      </c>
      <c r="J525">
        <f t="shared" si="143"/>
        <v>7.6880052061521972E-2</v>
      </c>
      <c r="K525">
        <f t="shared" si="147"/>
        <v>3.055613563591205</v>
      </c>
      <c r="O525">
        <f t="shared" si="148"/>
        <v>-7.6520631123405042E-2</v>
      </c>
      <c r="P525">
        <f t="shared" si="149"/>
        <v>6.5954342832697617E-3</v>
      </c>
      <c r="Q525">
        <f t="shared" si="150"/>
        <v>0.99704618411540535</v>
      </c>
      <c r="R525">
        <f t="shared" si="140"/>
        <v>1</v>
      </c>
      <c r="AG525" s="8">
        <f t="shared" si="144"/>
        <v>-0.72972547371307184</v>
      </c>
      <c r="AH525" s="8">
        <f t="shared" si="145"/>
        <v>-0.44411088637841889</v>
      </c>
      <c r="AI525" s="8">
        <f t="shared" si="146"/>
        <v>0.51987138179977554</v>
      </c>
      <c r="AJ525" s="8"/>
      <c r="AK525" s="8"/>
      <c r="AL525" s="8"/>
      <c r="AN525" s="8">
        <f t="shared" si="151"/>
        <v>1</v>
      </c>
      <c r="AO525" s="8">
        <f t="shared" si="152"/>
        <v>3.6883116614876386</v>
      </c>
      <c r="AP525" s="8">
        <f t="shared" si="153"/>
        <v>1.0240959466753368</v>
      </c>
      <c r="AQ525" s="8"/>
      <c r="AR525" s="8">
        <f t="shared" si="154"/>
        <v>211.32469173212607</v>
      </c>
      <c r="AS525" s="8">
        <f t="shared" si="155"/>
        <v>31.323624439048594</v>
      </c>
    </row>
    <row r="526" spans="1:45">
      <c r="A526" s="19">
        <v>24.49113333</v>
      </c>
      <c r="B526" s="19">
        <v>839.24576330000002</v>
      </c>
      <c r="C526" s="19">
        <v>530.43002030000002</v>
      </c>
      <c r="E526" s="9">
        <f t="shared" si="141"/>
        <v>-120.75423669999998</v>
      </c>
      <c r="F526" s="9">
        <f t="shared" si="142"/>
        <v>9.5699796999999762</v>
      </c>
      <c r="I526">
        <v>1</v>
      </c>
      <c r="J526">
        <f t="shared" si="143"/>
        <v>7.7449569529167692E-2</v>
      </c>
      <c r="K526">
        <f t="shared" si="147"/>
        <v>3.0625062437661352</v>
      </c>
      <c r="O526">
        <f t="shared" si="148"/>
        <v>-7.713032116661693E-2</v>
      </c>
      <c r="P526">
        <f t="shared" si="149"/>
        <v>6.11270981450379E-3</v>
      </c>
      <c r="Q526">
        <f t="shared" si="150"/>
        <v>0.99700228100815202</v>
      </c>
      <c r="R526">
        <f t="shared" si="140"/>
        <v>1</v>
      </c>
      <c r="AG526" s="8">
        <f t="shared" si="144"/>
        <v>-0.73025054999020511</v>
      </c>
      <c r="AH526" s="8">
        <f t="shared" si="145"/>
        <v>-0.44384407314767782</v>
      </c>
      <c r="AI526" s="8">
        <f t="shared" si="146"/>
        <v>0.51936169763535889</v>
      </c>
      <c r="AJ526" s="8"/>
      <c r="AK526" s="8"/>
      <c r="AL526" s="8"/>
      <c r="AN526" s="8">
        <f t="shared" si="151"/>
        <v>1.0000000000000002</v>
      </c>
      <c r="AO526" s="8">
        <f t="shared" si="152"/>
        <v>3.6877255061682956</v>
      </c>
      <c r="AP526" s="8">
        <f t="shared" si="153"/>
        <v>1.0246924874380283</v>
      </c>
      <c r="AQ526" s="8"/>
      <c r="AR526" s="8">
        <f t="shared" si="154"/>
        <v>211.29110750618858</v>
      </c>
      <c r="AS526" s="8">
        <f t="shared" si="155"/>
        <v>31.289445171038849</v>
      </c>
    </row>
    <row r="527" spans="1:45">
      <c r="A527" s="19">
        <v>24.5245</v>
      </c>
      <c r="B527" s="19">
        <v>839.65278290000003</v>
      </c>
      <c r="C527" s="19">
        <v>529.81070260000001</v>
      </c>
      <c r="E527" s="9">
        <f t="shared" si="141"/>
        <v>-120.34721709999997</v>
      </c>
      <c r="F527" s="9">
        <f t="shared" si="142"/>
        <v>10.189297399999987</v>
      </c>
      <c r="I527">
        <v>1</v>
      </c>
      <c r="J527">
        <f t="shared" si="143"/>
        <v>7.7221415207238964E-2</v>
      </c>
      <c r="K527">
        <f t="shared" si="147"/>
        <v>3.0571282582490413</v>
      </c>
      <c r="O527">
        <f t="shared" si="148"/>
        <v>-7.6869670400422238E-2</v>
      </c>
      <c r="P527">
        <f t="shared" si="149"/>
        <v>6.5082346864660289E-3</v>
      </c>
      <c r="Q527">
        <f t="shared" si="150"/>
        <v>0.99701990785229377</v>
      </c>
      <c r="R527">
        <f t="shared" si="140"/>
        <v>1</v>
      </c>
      <c r="AG527" s="8">
        <f t="shared" si="144"/>
        <v>-0.72996384462069541</v>
      </c>
      <c r="AH527" s="8">
        <f t="shared" si="145"/>
        <v>-0.44387534746488</v>
      </c>
      <c r="AI527" s="8">
        <f t="shared" si="146"/>
        <v>0.51973787764555468</v>
      </c>
      <c r="AJ527" s="8"/>
      <c r="AK527" s="8"/>
      <c r="AL527" s="8"/>
      <c r="AN527" s="8">
        <f t="shared" si="151"/>
        <v>1.0000000000000002</v>
      </c>
      <c r="AO527" s="8">
        <f t="shared" si="152"/>
        <v>3.6879310905471598</v>
      </c>
      <c r="AP527" s="8">
        <f t="shared" si="153"/>
        <v>1.02425222254156</v>
      </c>
      <c r="AQ527" s="8"/>
      <c r="AR527" s="8">
        <f t="shared" si="154"/>
        <v>211.30288662343131</v>
      </c>
      <c r="AS527" s="8">
        <f t="shared" si="155"/>
        <v>31.314670491474253</v>
      </c>
    </row>
    <row r="528" spans="1:45">
      <c r="A528" s="19">
        <v>24.557866669999999</v>
      </c>
      <c r="B528" s="19">
        <v>837.94769329999997</v>
      </c>
      <c r="C528" s="19">
        <v>530.85484629999996</v>
      </c>
      <c r="E528" s="9">
        <f t="shared" si="141"/>
        <v>-122.05230670000003</v>
      </c>
      <c r="F528" s="9">
        <f t="shared" si="142"/>
        <v>9.1451537000000371</v>
      </c>
      <c r="I528">
        <v>1</v>
      </c>
      <c r="J528">
        <f t="shared" si="143"/>
        <v>7.8260190432093799E-2</v>
      </c>
      <c r="K528">
        <f t="shared" si="147"/>
        <v>3.0668042530973243</v>
      </c>
      <c r="O528">
        <f t="shared" si="148"/>
        <v>-7.7961787436389693E-2</v>
      </c>
      <c r="P528">
        <f t="shared" si="149"/>
        <v>5.841532602779702E-3</v>
      </c>
      <c r="Q528">
        <f t="shared" si="150"/>
        <v>0.99693923395389239</v>
      </c>
      <c r="R528">
        <f t="shared" si="140"/>
        <v>1</v>
      </c>
      <c r="AG528" s="8">
        <f t="shared" si="144"/>
        <v>-0.73083869031607751</v>
      </c>
      <c r="AH528" s="8">
        <f t="shared" si="145"/>
        <v>-0.44331033355630234</v>
      </c>
      <c r="AI528" s="8">
        <f t="shared" si="146"/>
        <v>0.51899013179373699</v>
      </c>
      <c r="AJ528" s="8"/>
      <c r="AK528" s="8"/>
      <c r="AL528" s="8"/>
      <c r="AN528" s="8">
        <f t="shared" si="151"/>
        <v>1</v>
      </c>
      <c r="AO528" s="8">
        <f t="shared" si="152"/>
        <v>3.6868345475914071</v>
      </c>
      <c r="AP528" s="8">
        <f t="shared" si="153"/>
        <v>1.0251272364954118</v>
      </c>
      <c r="AQ528" s="8"/>
      <c r="AR528" s="8">
        <f t="shared" si="154"/>
        <v>211.24005934001187</v>
      </c>
      <c r="AS528" s="8">
        <f t="shared" si="155"/>
        <v>31.264535884903488</v>
      </c>
    </row>
    <row r="529" spans="1:45">
      <c r="A529" s="19">
        <v>24.591233330000001</v>
      </c>
      <c r="B529" s="19">
        <v>837.62791279999999</v>
      </c>
      <c r="C529" s="19">
        <v>530.74645390000001</v>
      </c>
      <c r="E529" s="9">
        <f t="shared" si="141"/>
        <v>-122.37208720000001</v>
      </c>
      <c r="F529" s="9">
        <f t="shared" si="142"/>
        <v>9.2535460999999941</v>
      </c>
      <c r="I529">
        <v>1</v>
      </c>
      <c r="J529">
        <f t="shared" si="143"/>
        <v>7.8470307152058966E-2</v>
      </c>
      <c r="K529">
        <f t="shared" si="147"/>
        <v>3.0661181804985627</v>
      </c>
      <c r="O529">
        <f t="shared" si="148"/>
        <v>-7.8166636913401283E-2</v>
      </c>
      <c r="P529">
        <f t="shared" si="149"/>
        <v>5.9108134437386725E-3</v>
      </c>
      <c r="Q529">
        <f t="shared" si="150"/>
        <v>0.99692278495281761</v>
      </c>
      <c r="R529">
        <f t="shared" si="140"/>
        <v>1</v>
      </c>
      <c r="AG529" s="8">
        <f t="shared" si="144"/>
        <v>-0.73093875533214125</v>
      </c>
      <c r="AH529" s="8">
        <f t="shared" si="145"/>
        <v>-0.44311922114327335</v>
      </c>
      <c r="AI529" s="8">
        <f t="shared" si="146"/>
        <v>0.51901241970388245</v>
      </c>
      <c r="AJ529" s="8"/>
      <c r="AK529" s="8"/>
      <c r="AL529" s="8"/>
      <c r="AN529" s="8">
        <f t="shared" si="151"/>
        <v>1</v>
      </c>
      <c r="AO529" s="8">
        <f t="shared" si="152"/>
        <v>3.6865826687061638</v>
      </c>
      <c r="AP529" s="8">
        <f t="shared" si="153"/>
        <v>1.025101161855674</v>
      </c>
      <c r="AQ529" s="8"/>
      <c r="AR529" s="8">
        <f t="shared" si="154"/>
        <v>211.22562774293897</v>
      </c>
      <c r="AS529" s="8">
        <f t="shared" si="155"/>
        <v>31.266029851712787</v>
      </c>
    </row>
    <row r="530" spans="1:45">
      <c r="A530" s="19">
        <v>24.624600000000001</v>
      </c>
      <c r="B530" s="19">
        <v>837.29472810000004</v>
      </c>
      <c r="C530" s="19">
        <v>530.66209240000001</v>
      </c>
      <c r="E530" s="9">
        <f t="shared" si="141"/>
        <v>-122.70527189999996</v>
      </c>
      <c r="F530" s="9">
        <f t="shared" si="142"/>
        <v>9.3379075999999941</v>
      </c>
      <c r="I530">
        <v>1</v>
      </c>
      <c r="J530">
        <f t="shared" si="143"/>
        <v>7.8687873284370186E-2</v>
      </c>
      <c r="K530">
        <f t="shared" si="147"/>
        <v>3.0656387539295649</v>
      </c>
      <c r="O530">
        <f t="shared" si="148"/>
        <v>-7.8380063575023751E-2</v>
      </c>
      <c r="P530">
        <f t="shared" si="149"/>
        <v>5.9647460945457574E-3</v>
      </c>
      <c r="Q530">
        <f t="shared" si="150"/>
        <v>0.99690570639253684</v>
      </c>
      <c r="R530">
        <f t="shared" si="140"/>
        <v>1</v>
      </c>
      <c r="AG530" s="8">
        <f t="shared" si="144"/>
        <v>-0.73104897883399333</v>
      </c>
      <c r="AH530" s="8">
        <f t="shared" si="145"/>
        <v>-0.44292806846875049</v>
      </c>
      <c r="AI530" s="8">
        <f t="shared" si="146"/>
        <v>0.51902034325093438</v>
      </c>
      <c r="AJ530" s="8"/>
      <c r="AK530" s="8"/>
      <c r="AL530" s="8"/>
      <c r="AN530" s="8">
        <f t="shared" si="151"/>
        <v>1.0000000000000002</v>
      </c>
      <c r="AO530" s="8">
        <f t="shared" si="152"/>
        <v>3.6863245830565643</v>
      </c>
      <c r="AP530" s="8">
        <f t="shared" si="153"/>
        <v>1.0250918919936534</v>
      </c>
      <c r="AQ530" s="8"/>
      <c r="AR530" s="8">
        <f t="shared" si="154"/>
        <v>211.21084052446403</v>
      </c>
      <c r="AS530" s="8">
        <f t="shared" si="155"/>
        <v>31.266560975683241</v>
      </c>
    </row>
    <row r="531" spans="1:45">
      <c r="A531" s="19">
        <v>24.65796667</v>
      </c>
      <c r="B531" s="19">
        <v>836.66584599999999</v>
      </c>
      <c r="C531" s="19">
        <v>530.79906019999999</v>
      </c>
      <c r="E531" s="9">
        <f t="shared" si="141"/>
        <v>-123.33415400000001</v>
      </c>
      <c r="F531" s="9">
        <f t="shared" si="142"/>
        <v>9.2009398000000147</v>
      </c>
      <c r="I531">
        <v>1</v>
      </c>
      <c r="J531">
        <f t="shared" si="143"/>
        <v>7.908418541376791E-2</v>
      </c>
      <c r="K531">
        <f t="shared" si="147"/>
        <v>3.0671288716285634</v>
      </c>
      <c r="O531">
        <f t="shared" si="148"/>
        <v>-7.8782849542197025E-2</v>
      </c>
      <c r="P531">
        <f t="shared" si="149"/>
        <v>5.877335939809639E-3</v>
      </c>
      <c r="Q531">
        <f t="shared" si="150"/>
        <v>0.99687447531786177</v>
      </c>
      <c r="R531">
        <f t="shared" si="140"/>
        <v>1</v>
      </c>
      <c r="AG531" s="8">
        <f t="shared" si="144"/>
        <v>-0.73131914024703504</v>
      </c>
      <c r="AH531" s="8">
        <f t="shared" si="145"/>
        <v>-0.44265005621831077</v>
      </c>
      <c r="AI531" s="8">
        <f t="shared" si="146"/>
        <v>0.51887690528512054</v>
      </c>
      <c r="AJ531" s="8"/>
      <c r="AK531" s="8"/>
      <c r="AL531" s="8"/>
      <c r="AN531" s="8">
        <f t="shared" si="151"/>
        <v>1.0000000000000002</v>
      </c>
      <c r="AO531" s="8">
        <f t="shared" si="152"/>
        <v>3.6858826697534028</v>
      </c>
      <c r="AP531" s="8">
        <f t="shared" si="153"/>
        <v>1.0252596938827345</v>
      </c>
      <c r="AQ531" s="8"/>
      <c r="AR531" s="8">
        <f t="shared" si="154"/>
        <v>211.18552075728221</v>
      </c>
      <c r="AS531" s="8">
        <f t="shared" si="155"/>
        <v>31.256946635644567</v>
      </c>
    </row>
    <row r="532" spans="1:45">
      <c r="A532" s="19">
        <v>24.691333329999999</v>
      </c>
      <c r="B532" s="19">
        <v>835.91797770000005</v>
      </c>
      <c r="C532" s="19">
        <v>530.77660679999997</v>
      </c>
      <c r="E532" s="9">
        <f t="shared" si="141"/>
        <v>-124.08202229999995</v>
      </c>
      <c r="F532" s="9">
        <f t="shared" si="142"/>
        <v>9.2233932000000323</v>
      </c>
      <c r="I532">
        <v>1</v>
      </c>
      <c r="J532">
        <f t="shared" si="143"/>
        <v>7.9564437623862158E-2</v>
      </c>
      <c r="K532">
        <f t="shared" si="147"/>
        <v>3.0673960739349688</v>
      </c>
      <c r="O532">
        <f t="shared" si="148"/>
        <v>-7.9261842043710229E-2</v>
      </c>
      <c r="P532">
        <f t="shared" si="149"/>
        <v>5.8917732107710563E-3</v>
      </c>
      <c r="Q532">
        <f t="shared" si="150"/>
        <v>0.99683641958160352</v>
      </c>
      <c r="R532">
        <f t="shared" si="140"/>
        <v>1</v>
      </c>
      <c r="AG532" s="8">
        <f t="shared" si="144"/>
        <v>-0.73160133182783782</v>
      </c>
      <c r="AH532" s="8">
        <f t="shared" si="145"/>
        <v>-0.44226752603286434</v>
      </c>
      <c r="AI532" s="8">
        <f t="shared" si="146"/>
        <v>0.51880528783398472</v>
      </c>
      <c r="AJ532" s="8"/>
      <c r="AK532" s="8"/>
      <c r="AL532" s="8"/>
      <c r="AN532" s="8">
        <f t="shared" si="151"/>
        <v>1.0000000000000002</v>
      </c>
      <c r="AO532" s="8">
        <f t="shared" si="152"/>
        <v>3.685328945589903</v>
      </c>
      <c r="AP532" s="8">
        <f t="shared" si="153"/>
        <v>1.0253434696526171</v>
      </c>
      <c r="AQ532" s="8"/>
      <c r="AR532" s="8">
        <f t="shared" si="154"/>
        <v>211.15379469969923</v>
      </c>
      <c r="AS532" s="8">
        <f t="shared" si="155"/>
        <v>31.252146637604831</v>
      </c>
    </row>
    <row r="533" spans="1:45">
      <c r="A533" s="19">
        <v>24.724699999999999</v>
      </c>
      <c r="B533" s="19">
        <v>835.47782410000002</v>
      </c>
      <c r="C533" s="19">
        <v>530.71722729999999</v>
      </c>
      <c r="E533" s="9">
        <f t="shared" si="141"/>
        <v>-124.52217589999998</v>
      </c>
      <c r="F533" s="9">
        <f t="shared" si="142"/>
        <v>9.2827727000000095</v>
      </c>
      <c r="I533">
        <v>1</v>
      </c>
      <c r="J533">
        <f t="shared" si="143"/>
        <v>7.9849284434416731E-2</v>
      </c>
      <c r="K533">
        <f t="shared" si="147"/>
        <v>3.0671831430176555</v>
      </c>
      <c r="O533">
        <f t="shared" si="148"/>
        <v>-7.9543742452549332E-2</v>
      </c>
      <c r="P533">
        <f t="shared" si="149"/>
        <v>5.9297589008349399E-3</v>
      </c>
      <c r="Q533">
        <f t="shared" si="150"/>
        <v>0.99681373936960782</v>
      </c>
      <c r="R533">
        <f t="shared" si="140"/>
        <v>1</v>
      </c>
      <c r="AG533" s="8">
        <f t="shared" si="144"/>
        <v>-0.73175763609556399</v>
      </c>
      <c r="AH533" s="8">
        <f t="shared" si="145"/>
        <v>-0.44202943594270011</v>
      </c>
      <c r="AI533" s="8">
        <f t="shared" si="146"/>
        <v>0.51878775985561809</v>
      </c>
      <c r="AJ533" s="8"/>
      <c r="AK533" s="8"/>
      <c r="AL533" s="8"/>
      <c r="AN533" s="8">
        <f t="shared" si="151"/>
        <v>1</v>
      </c>
      <c r="AO533" s="8">
        <f t="shared" si="152"/>
        <v>3.6849960246377962</v>
      </c>
      <c r="AP533" s="8">
        <f t="shared" si="153"/>
        <v>1.0253639726640247</v>
      </c>
      <c r="AQ533" s="8"/>
      <c r="AR533" s="8">
        <f t="shared" si="154"/>
        <v>211.13471973423205</v>
      </c>
      <c r="AS533" s="8">
        <f t="shared" si="155"/>
        <v>31.250971901583874</v>
      </c>
    </row>
    <row r="534" spans="1:45">
      <c r="A534" s="19">
        <v>24.758066670000002</v>
      </c>
      <c r="B534" s="19">
        <v>834.66399490000003</v>
      </c>
      <c r="C534" s="19">
        <v>530.82003959999997</v>
      </c>
      <c r="E534" s="9">
        <f t="shared" si="141"/>
        <v>-125.33600509999997</v>
      </c>
      <c r="F534" s="9">
        <f t="shared" si="142"/>
        <v>9.1799604000000272</v>
      </c>
      <c r="I534">
        <v>1</v>
      </c>
      <c r="J534">
        <f t="shared" si="143"/>
        <v>8.0365863297958057E-2</v>
      </c>
      <c r="K534">
        <f t="shared" si="147"/>
        <v>3.0684804006289901</v>
      </c>
      <c r="O534">
        <f t="shared" si="148"/>
        <v>-8.0064914566972067E-2</v>
      </c>
      <c r="P534">
        <f t="shared" si="149"/>
        <v>5.8641788093355416E-3</v>
      </c>
      <c r="Q534">
        <f t="shared" si="150"/>
        <v>0.99677240173586046</v>
      </c>
      <c r="R534">
        <f t="shared" si="140"/>
        <v>1</v>
      </c>
      <c r="AG534" s="8">
        <f t="shared" si="144"/>
        <v>-0.73209113133566484</v>
      </c>
      <c r="AH534" s="8">
        <f t="shared" si="145"/>
        <v>-0.44164858718309385</v>
      </c>
      <c r="AI534" s="8">
        <f t="shared" si="146"/>
        <v>0.518641591909908</v>
      </c>
      <c r="AJ534" s="8"/>
      <c r="AK534" s="8"/>
      <c r="AL534" s="8"/>
      <c r="AN534" s="8">
        <f t="shared" si="151"/>
        <v>1</v>
      </c>
      <c r="AO534" s="8">
        <f t="shared" si="152"/>
        <v>3.6844130676294631</v>
      </c>
      <c r="AP534" s="8">
        <f t="shared" si="153"/>
        <v>1.0255349398407883</v>
      </c>
      <c r="AQ534" s="8"/>
      <c r="AR534" s="8">
        <f t="shared" si="154"/>
        <v>211.10131875801699</v>
      </c>
      <c r="AS534" s="8">
        <f t="shared" si="155"/>
        <v>31.241176203920055</v>
      </c>
    </row>
    <row r="535" spans="1:45">
      <c r="A535" s="19">
        <v>24.79143333</v>
      </c>
      <c r="B535" s="19">
        <v>833.88521040000001</v>
      </c>
      <c r="C535" s="19">
        <v>529.78475209999999</v>
      </c>
      <c r="E535" s="9">
        <f t="shared" si="141"/>
        <v>-126.11478959999999</v>
      </c>
      <c r="F535" s="9">
        <f t="shared" si="142"/>
        <v>10.215247900000008</v>
      </c>
      <c r="I535">
        <v>1</v>
      </c>
      <c r="J535">
        <f t="shared" si="143"/>
        <v>8.0915868927424445E-2</v>
      </c>
      <c r="K535">
        <f t="shared" si="147"/>
        <v>3.0607695008181603</v>
      </c>
      <c r="O535">
        <f t="shared" si="148"/>
        <v>-8.056374533377493E-2</v>
      </c>
      <c r="P535">
        <f t="shared" si="149"/>
        <v>6.525631394598796E-3</v>
      </c>
      <c r="Q535">
        <f t="shared" si="150"/>
        <v>0.99672809686127362</v>
      </c>
      <c r="R535">
        <f t="shared" si="140"/>
        <v>1</v>
      </c>
      <c r="AG535" s="8">
        <f t="shared" si="144"/>
        <v>-0.73217182461765029</v>
      </c>
      <c r="AH535" s="8">
        <f t="shared" si="145"/>
        <v>-0.44096689014288026</v>
      </c>
      <c r="AI535" s="8">
        <f t="shared" si="146"/>
        <v>0.51910752357654943</v>
      </c>
      <c r="AJ535" s="8"/>
      <c r="AK535" s="8"/>
      <c r="AL535" s="8"/>
      <c r="AN535" s="8">
        <f t="shared" si="151"/>
        <v>1.0000000000000002</v>
      </c>
      <c r="AO535" s="8">
        <f t="shared" si="152"/>
        <v>3.683681369368303</v>
      </c>
      <c r="AP535" s="8">
        <f t="shared" si="153"/>
        <v>1.024989895137125</v>
      </c>
      <c r="AQ535" s="8"/>
      <c r="AR535" s="8">
        <f t="shared" si="154"/>
        <v>211.05939553577545</v>
      </c>
      <c r="AS535" s="8">
        <f t="shared" si="155"/>
        <v>31.272404965085911</v>
      </c>
    </row>
    <row r="536" spans="1:45">
      <c r="A536" s="19">
        <v>24.8248</v>
      </c>
      <c r="B536" s="19">
        <v>834.42933619999997</v>
      </c>
      <c r="C536" s="19">
        <v>528.70170340000004</v>
      </c>
      <c r="E536" s="9">
        <f t="shared" si="141"/>
        <v>-125.57066380000003</v>
      </c>
      <c r="F536" s="9">
        <f t="shared" si="142"/>
        <v>11.298296599999958</v>
      </c>
      <c r="I536">
        <v>1</v>
      </c>
      <c r="J536">
        <f t="shared" si="143"/>
        <v>8.0626824544282327E-2</v>
      </c>
      <c r="K536">
        <f t="shared" si="147"/>
        <v>3.051858677221472</v>
      </c>
      <c r="O536">
        <f t="shared" si="148"/>
        <v>-8.0215455998869617E-2</v>
      </c>
      <c r="P536">
        <f t="shared" si="149"/>
        <v>7.2174342824448496E-3</v>
      </c>
      <c r="Q536">
        <f t="shared" si="150"/>
        <v>0.99675141798809197</v>
      </c>
      <c r="R536">
        <f t="shared" si="140"/>
        <v>1</v>
      </c>
      <c r="AG536" s="8">
        <f t="shared" si="144"/>
        <v>-0.73173551611562704</v>
      </c>
      <c r="AH536" s="8">
        <f t="shared" si="145"/>
        <v>-0.44093758898253094</v>
      </c>
      <c r="AI536" s="8">
        <f t="shared" si="146"/>
        <v>0.51974722421314545</v>
      </c>
      <c r="AJ536" s="8"/>
      <c r="AK536" s="8"/>
      <c r="AL536" s="8"/>
      <c r="AN536" s="8">
        <f t="shared" si="151"/>
        <v>1</v>
      </c>
      <c r="AO536" s="8">
        <f t="shared" si="152"/>
        <v>3.683915476853115</v>
      </c>
      <c r="AP536" s="8">
        <f t="shared" si="153"/>
        <v>1.0242412822200659</v>
      </c>
      <c r="AQ536" s="8"/>
      <c r="AR536" s="8">
        <f t="shared" si="154"/>
        <v>211.07280890660761</v>
      </c>
      <c r="AS536" s="8">
        <f t="shared" si="155"/>
        <v>31.315297325722376</v>
      </c>
    </row>
    <row r="537" spans="1:45">
      <c r="A537" s="19">
        <v>24.858166669999999</v>
      </c>
      <c r="B537" s="19">
        <v>833.29430879999995</v>
      </c>
      <c r="C537" s="19">
        <v>529.60546680000004</v>
      </c>
      <c r="E537" s="9">
        <f t="shared" si="141"/>
        <v>-126.70569120000005</v>
      </c>
      <c r="F537" s="9">
        <f t="shared" si="142"/>
        <v>10.394533199999955</v>
      </c>
      <c r="I537">
        <v>1</v>
      </c>
      <c r="J537">
        <f t="shared" si="143"/>
        <v>8.1303595021096298E-2</v>
      </c>
      <c r="K537">
        <f t="shared" si="147"/>
        <v>3.0597391214709719</v>
      </c>
      <c r="O537">
        <f t="shared" si="148"/>
        <v>-8.09421362092409E-2</v>
      </c>
      <c r="P537">
        <f t="shared" si="149"/>
        <v>6.6402362367277354E-3</v>
      </c>
      <c r="Q537">
        <f t="shared" si="150"/>
        <v>0.99669668297261083</v>
      </c>
      <c r="R537">
        <f t="shared" si="140"/>
        <v>1</v>
      </c>
      <c r="AG537" s="8">
        <f t="shared" si="144"/>
        <v>-0.7323602996623072</v>
      </c>
      <c r="AH537" s="8">
        <f t="shared" si="145"/>
        <v>-0.44061916376379084</v>
      </c>
      <c r="AI537" s="8">
        <f t="shared" si="146"/>
        <v>0.51913692221092622</v>
      </c>
      <c r="AJ537" s="8"/>
      <c r="AK537" s="8"/>
      <c r="AL537" s="8"/>
      <c r="AN537" s="8">
        <f t="shared" si="151"/>
        <v>1</v>
      </c>
      <c r="AO537" s="8">
        <f t="shared" si="152"/>
        <v>3.6832190817268278</v>
      </c>
      <c r="AP537" s="8">
        <f t="shared" si="153"/>
        <v>1.0249554987011562</v>
      </c>
      <c r="AQ537" s="8"/>
      <c r="AR537" s="8">
        <f t="shared" si="154"/>
        <v>211.03290840499787</v>
      </c>
      <c r="AS537" s="8">
        <f t="shared" si="155"/>
        <v>31.27437573569722</v>
      </c>
    </row>
    <row r="538" spans="1:45">
      <c r="A538" s="19">
        <v>24.891533330000001</v>
      </c>
      <c r="B538" s="19">
        <v>833.21886219999999</v>
      </c>
      <c r="C538" s="19">
        <v>529.71132369999998</v>
      </c>
      <c r="E538" s="9">
        <f t="shared" si="141"/>
        <v>-126.78113780000001</v>
      </c>
      <c r="F538" s="9">
        <f t="shared" si="142"/>
        <v>10.28867630000002</v>
      </c>
      <c r="I538">
        <v>1</v>
      </c>
      <c r="J538">
        <f t="shared" si="143"/>
        <v>8.134637373429654E-2</v>
      </c>
      <c r="K538">
        <f t="shared" si="147"/>
        <v>3.0606170537402657</v>
      </c>
      <c r="O538">
        <f t="shared" si="148"/>
        <v>-8.0990432308570642E-2</v>
      </c>
      <c r="P538">
        <f t="shared" si="149"/>
        <v>6.5726207847611419E-3</v>
      </c>
      <c r="Q538">
        <f t="shared" si="150"/>
        <v>0.99669320782801096</v>
      </c>
      <c r="R538">
        <f t="shared" si="140"/>
        <v>1</v>
      </c>
      <c r="AG538" s="8">
        <f t="shared" si="144"/>
        <v>-0.7324114380482436</v>
      </c>
      <c r="AH538" s="8">
        <f t="shared" si="145"/>
        <v>-0.44061079815301329</v>
      </c>
      <c r="AI538" s="8">
        <f t="shared" si="146"/>
        <v>0.51907187360429063</v>
      </c>
      <c r="AJ538" s="8"/>
      <c r="AK538" s="8"/>
      <c r="AL538" s="8"/>
      <c r="AN538" s="8">
        <f t="shared" si="151"/>
        <v>1.0000000000000004</v>
      </c>
      <c r="AO538" s="8">
        <f t="shared" si="152"/>
        <v>3.6831798510728366</v>
      </c>
      <c r="AP538" s="8">
        <f t="shared" si="153"/>
        <v>1.0250316046816161</v>
      </c>
      <c r="AQ538" s="8"/>
      <c r="AR538" s="8">
        <f t="shared" si="154"/>
        <v>211.03066065409664</v>
      </c>
      <c r="AS538" s="8">
        <f t="shared" si="155"/>
        <v>31.270015184221158</v>
      </c>
    </row>
    <row r="539" spans="1:45">
      <c r="A539" s="19">
        <v>24.924900000000001</v>
      </c>
      <c r="B539" s="19">
        <v>832.41542709999999</v>
      </c>
      <c r="C539" s="19">
        <v>529.66395390000002</v>
      </c>
      <c r="E539" s="9">
        <f t="shared" si="141"/>
        <v>-127.58457290000001</v>
      </c>
      <c r="F539" s="9">
        <f t="shared" si="142"/>
        <v>10.336046099999976</v>
      </c>
      <c r="I539">
        <v>1</v>
      </c>
      <c r="J539">
        <f t="shared" si="143"/>
        <v>8.186329549329148E-2</v>
      </c>
      <c r="K539">
        <f t="shared" si="147"/>
        <v>3.0607559023773696</v>
      </c>
      <c r="O539">
        <f t="shared" si="148"/>
        <v>-8.150486325786134E-2</v>
      </c>
      <c r="P539">
        <f t="shared" si="149"/>
        <v>6.6029771849277254E-3</v>
      </c>
      <c r="Q539">
        <f t="shared" si="150"/>
        <v>0.99665107131714492</v>
      </c>
      <c r="R539">
        <f t="shared" ref="R539:R602" si="156">SQRT(O539^2+P539^2+Q539^2)</f>
        <v>1</v>
      </c>
      <c r="AG539" s="8">
        <f t="shared" si="144"/>
        <v>-0.73270881804044041</v>
      </c>
      <c r="AH539" s="8">
        <f t="shared" si="145"/>
        <v>-0.44019287186137379</v>
      </c>
      <c r="AI539" s="8">
        <f t="shared" si="146"/>
        <v>0.51900676636072585</v>
      </c>
      <c r="AJ539" s="8"/>
      <c r="AK539" s="8"/>
      <c r="AL539" s="8"/>
      <c r="AN539" s="8">
        <f t="shared" si="151"/>
        <v>1.0000000000000002</v>
      </c>
      <c r="AO539" s="8">
        <f t="shared" si="152"/>
        <v>3.6825815429076347</v>
      </c>
      <c r="AP539" s="8">
        <f t="shared" si="153"/>
        <v>1.0251077757443732</v>
      </c>
      <c r="AQ539" s="8"/>
      <c r="AR539" s="8">
        <f t="shared" si="154"/>
        <v>210.99638012138234</v>
      </c>
      <c r="AS539" s="8">
        <f t="shared" si="155"/>
        <v>31.265650903804158</v>
      </c>
    </row>
    <row r="540" spans="1:45">
      <c r="A540" s="19">
        <v>24.95826667</v>
      </c>
      <c r="B540" s="19">
        <v>832.62846100000002</v>
      </c>
      <c r="C540" s="19">
        <v>528.82130099999995</v>
      </c>
      <c r="E540" s="9">
        <f t="shared" si="141"/>
        <v>-127.37153899999998</v>
      </c>
      <c r="F540" s="9">
        <f t="shared" si="142"/>
        <v>11.178699000000051</v>
      </c>
      <c r="I540">
        <v>1</v>
      </c>
      <c r="J540">
        <f t="shared" si="143"/>
        <v>8.1772442631665374E-2</v>
      </c>
      <c r="K540">
        <f t="shared" si="147"/>
        <v>3.0540524597522132</v>
      </c>
      <c r="O540">
        <f t="shared" si="148"/>
        <v>-8.1368567450855703E-2</v>
      </c>
      <c r="P540">
        <f t="shared" si="149"/>
        <v>7.1412713604278527E-3</v>
      </c>
      <c r="Q540">
        <f t="shared" si="150"/>
        <v>0.99665849641406878</v>
      </c>
      <c r="R540">
        <f t="shared" si="156"/>
        <v>1</v>
      </c>
      <c r="AG540" s="8">
        <f t="shared" si="144"/>
        <v>-0.73244999326672011</v>
      </c>
      <c r="AH540" s="8">
        <f t="shared" si="145"/>
        <v>-0.44006424715922277</v>
      </c>
      <c r="AI540" s="8">
        <f t="shared" si="146"/>
        <v>0.51948095801075167</v>
      </c>
      <c r="AJ540" s="8"/>
      <c r="AK540" s="8"/>
      <c r="AL540" s="8"/>
      <c r="AN540" s="8">
        <f t="shared" si="151"/>
        <v>1.0000000000000002</v>
      </c>
      <c r="AO540" s="8">
        <f t="shared" si="152"/>
        <v>3.6826084990304029</v>
      </c>
      <c r="AP540" s="8">
        <f t="shared" si="153"/>
        <v>1.0245529229852468</v>
      </c>
      <c r="AQ540" s="8"/>
      <c r="AR540" s="8">
        <f t="shared" si="154"/>
        <v>210.997924593449</v>
      </c>
      <c r="AS540" s="8">
        <f t="shared" si="155"/>
        <v>31.297441625153283</v>
      </c>
    </row>
    <row r="541" spans="1:45">
      <c r="A541" s="19">
        <v>24.991633329999999</v>
      </c>
      <c r="B541" s="19">
        <v>831.74995639999997</v>
      </c>
      <c r="C541" s="19">
        <v>528.86668350000002</v>
      </c>
      <c r="E541" s="9">
        <f t="shared" si="141"/>
        <v>-128.25004360000003</v>
      </c>
      <c r="F541" s="9">
        <f t="shared" si="142"/>
        <v>11.133316499999978</v>
      </c>
      <c r="I541">
        <v>1</v>
      </c>
      <c r="J541">
        <f t="shared" si="143"/>
        <v>8.2332133629718043E-2</v>
      </c>
      <c r="K541">
        <f t="shared" si="147"/>
        <v>3.0550002789524107</v>
      </c>
      <c r="O541">
        <f t="shared" si="148"/>
        <v>-8.1931017518322935E-2</v>
      </c>
      <c r="P541">
        <f t="shared" si="149"/>
        <v>7.1123870495006462E-3</v>
      </c>
      <c r="Q541">
        <f t="shared" si="150"/>
        <v>0.99661262400135708</v>
      </c>
      <c r="R541">
        <f t="shared" si="156"/>
        <v>1</v>
      </c>
      <c r="AG541" s="8">
        <f t="shared" si="144"/>
        <v>-0.73279543182163542</v>
      </c>
      <c r="AH541" s="8">
        <f t="shared" si="145"/>
        <v>-0.43963438985899217</v>
      </c>
      <c r="AI541" s="8">
        <f t="shared" si="146"/>
        <v>0.51935773639626726</v>
      </c>
      <c r="AJ541" s="8"/>
      <c r="AK541" s="8"/>
      <c r="AL541" s="8"/>
      <c r="AN541" s="8">
        <f t="shared" si="151"/>
        <v>1</v>
      </c>
      <c r="AO541" s="8">
        <f t="shared" si="152"/>
        <v>3.6819691373406789</v>
      </c>
      <c r="AP541" s="8">
        <f t="shared" si="153"/>
        <v>1.0246971228748798</v>
      </c>
      <c r="AQ541" s="8"/>
      <c r="AR541" s="8">
        <f t="shared" si="154"/>
        <v>210.96129186704547</v>
      </c>
      <c r="AS541" s="8">
        <f t="shared" si="155"/>
        <v>31.289179580071064</v>
      </c>
    </row>
    <row r="542" spans="1:45">
      <c r="A542" s="19">
        <v>25.024999999999999</v>
      </c>
      <c r="B542" s="19">
        <v>831.15766610000003</v>
      </c>
      <c r="C542" s="19">
        <v>528.8955072</v>
      </c>
      <c r="E542" s="9">
        <f t="shared" si="141"/>
        <v>-128.84233389999997</v>
      </c>
      <c r="F542" s="9">
        <f t="shared" si="142"/>
        <v>11.104492800000003</v>
      </c>
      <c r="I542">
        <v>1</v>
      </c>
      <c r="J542">
        <f t="shared" si="143"/>
        <v>8.2709608256542777E-2</v>
      </c>
      <c r="K542">
        <f t="shared" si="147"/>
        <v>3.0556184314068835</v>
      </c>
      <c r="O542">
        <f t="shared" si="148"/>
        <v>-8.2310199053509267E-2</v>
      </c>
      <c r="P542">
        <f t="shared" si="149"/>
        <v>7.0940426573277279E-3</v>
      </c>
      <c r="Q542">
        <f t="shared" si="150"/>
        <v>0.99658150980767635</v>
      </c>
      <c r="R542">
        <f t="shared" si="156"/>
        <v>1</v>
      </c>
      <c r="AG542" s="8">
        <f t="shared" si="144"/>
        <v>-0.73302781713819642</v>
      </c>
      <c r="AH542" s="8">
        <f t="shared" si="145"/>
        <v>-0.43934401126109723</v>
      </c>
      <c r="AI542" s="8">
        <f t="shared" si="146"/>
        <v>0.51927551364436575</v>
      </c>
      <c r="AJ542" s="8"/>
      <c r="AK542" s="8"/>
      <c r="AL542" s="8"/>
      <c r="AN542" s="8">
        <f t="shared" si="151"/>
        <v>1.0000000000000002</v>
      </c>
      <c r="AO542" s="8">
        <f t="shared" si="152"/>
        <v>3.6815378785695567</v>
      </c>
      <c r="AP542" s="8">
        <f t="shared" si="153"/>
        <v>1.0247933368841973</v>
      </c>
      <c r="AQ542" s="8"/>
      <c r="AR542" s="8">
        <f t="shared" si="154"/>
        <v>210.93658255958218</v>
      </c>
      <c r="AS542" s="8">
        <f t="shared" si="155"/>
        <v>31.283666923407139</v>
      </c>
    </row>
    <row r="543" spans="1:45">
      <c r="A543" s="19">
        <v>25.058366670000002</v>
      </c>
      <c r="B543" s="19">
        <v>830.75702200000001</v>
      </c>
      <c r="C543" s="19">
        <v>528.87761190000003</v>
      </c>
      <c r="E543" s="9">
        <f t="shared" si="141"/>
        <v>-129.24297799999999</v>
      </c>
      <c r="F543" s="9">
        <f t="shared" si="142"/>
        <v>11.122388099999966</v>
      </c>
      <c r="I543">
        <v>1</v>
      </c>
      <c r="J543">
        <f t="shared" si="143"/>
        <v>8.2967013482932797E-2</v>
      </c>
      <c r="K543">
        <f t="shared" si="147"/>
        <v>3.0557461939437216</v>
      </c>
      <c r="O543">
        <f t="shared" si="148"/>
        <v>-8.2566682628174723E-2</v>
      </c>
      <c r="P543">
        <f t="shared" si="149"/>
        <v>7.1055209538740697E-3</v>
      </c>
      <c r="Q543">
        <f t="shared" si="150"/>
        <v>0.99656021117228655</v>
      </c>
      <c r="R543">
        <f t="shared" si="156"/>
        <v>1</v>
      </c>
      <c r="AG543" s="8">
        <f t="shared" si="144"/>
        <v>-0.73317707337499749</v>
      </c>
      <c r="AH543" s="8">
        <f t="shared" si="145"/>
        <v>-0.43913708532093432</v>
      </c>
      <c r="AI543" s="8">
        <f t="shared" si="146"/>
        <v>0.51923982837712679</v>
      </c>
      <c r="AJ543" s="8"/>
      <c r="AK543" s="8"/>
      <c r="AL543" s="8"/>
      <c r="AN543" s="8">
        <f t="shared" si="151"/>
        <v>1</v>
      </c>
      <c r="AO543" s="8">
        <f t="shared" si="152"/>
        <v>3.6812404171872668</v>
      </c>
      <c r="AP543" s="8">
        <f t="shared" si="153"/>
        <v>1.0248350927076828</v>
      </c>
      <c r="AQ543" s="8"/>
      <c r="AR543" s="8">
        <f t="shared" si="154"/>
        <v>210.91953927780884</v>
      </c>
      <c r="AS543" s="8">
        <f t="shared" si="155"/>
        <v>31.281274490951326</v>
      </c>
    </row>
    <row r="544" spans="1:45">
      <c r="A544" s="19">
        <v>25.09173333</v>
      </c>
      <c r="B544" s="19">
        <v>829.67744589999995</v>
      </c>
      <c r="C544" s="19">
        <v>528.82805800000006</v>
      </c>
      <c r="E544" s="9">
        <f t="shared" ref="E544:E607" si="157">(B544-($B$15/2))</f>
        <v>-130.32255410000005</v>
      </c>
      <c r="F544" s="9">
        <f t="shared" ref="F544:F607" si="158">(($C$15/2)-C544)</f>
        <v>11.171941999999945</v>
      </c>
      <c r="I544">
        <v>1</v>
      </c>
      <c r="J544">
        <f t="shared" ref="J544:J607" si="159">ATAN((SQRT(E544^2+F544^2)^$B$16)/($F$24))</f>
        <v>8.3660678378502287E-2</v>
      </c>
      <c r="K544">
        <f t="shared" si="147"/>
        <v>3.0560764110905629</v>
      </c>
      <c r="O544">
        <f t="shared" si="148"/>
        <v>-8.3257757275372629E-2</v>
      </c>
      <c r="P544">
        <f t="shared" si="149"/>
        <v>7.1372974674576029E-3</v>
      </c>
      <c r="Q544">
        <f t="shared" si="150"/>
        <v>0.99650248611748893</v>
      </c>
      <c r="R544">
        <f t="shared" si="156"/>
        <v>1</v>
      </c>
      <c r="AG544" s="8">
        <f t="shared" ref="AG544:AG607" si="160">$O544*$Z$27+$P544*$Z$31+$Q544*$Z$35</f>
        <v>-0.73357872575159289</v>
      </c>
      <c r="AH544" s="8">
        <f t="shared" ref="AH544:AH607" si="161">$O544*$AA$27+$P544*$AA$31+$Q544*$AA$35</f>
        <v>-0.43857900006501604</v>
      </c>
      <c r="AI544" s="8">
        <f t="shared" ref="AI544:AI607" si="162">$AB$27*$O544+$P544*$AB$31+$AB$35*$Q544</f>
        <v>0.51914421293763846</v>
      </c>
      <c r="AJ544" s="8"/>
      <c r="AK544" s="8"/>
      <c r="AL544" s="8"/>
      <c r="AN544" s="8">
        <f t="shared" si="151"/>
        <v>1.0000000000000002</v>
      </c>
      <c r="AO544" s="8">
        <f t="shared" si="152"/>
        <v>3.6804387687034277</v>
      </c>
      <c r="AP544" s="8">
        <f t="shared" si="153"/>
        <v>1.024946968431329</v>
      </c>
      <c r="AQ544" s="8"/>
      <c r="AR544" s="8">
        <f t="shared" si="154"/>
        <v>210.87360820303178</v>
      </c>
      <c r="AS544" s="8">
        <f t="shared" si="155"/>
        <v>31.274864484156424</v>
      </c>
    </row>
    <row r="545" spans="1:45">
      <c r="A545" s="19">
        <v>25.1251</v>
      </c>
      <c r="B545" s="19">
        <v>829.43517989999998</v>
      </c>
      <c r="C545" s="19">
        <v>528.68216470000004</v>
      </c>
      <c r="E545" s="9">
        <f t="shared" si="157"/>
        <v>-130.56482010000002</v>
      </c>
      <c r="F545" s="9">
        <f t="shared" si="158"/>
        <v>11.317835299999956</v>
      </c>
      <c r="I545">
        <v>1</v>
      </c>
      <c r="J545">
        <f t="shared" si="159"/>
        <v>8.3823772006266187E-2</v>
      </c>
      <c r="K545">
        <f t="shared" ref="K545:K608" si="163">ATAN2(E545,F545)</f>
        <v>3.0551251442019094</v>
      </c>
      <c r="O545">
        <f t="shared" ref="O545:O608" si="164">COS(K545)*SIN(J545)</f>
        <v>-8.3412845044408546E-2</v>
      </c>
      <c r="P545">
        <f t="shared" ref="P545:P608" si="165">SIN(K545)*SIN(J545)</f>
        <v>7.2305299497520343E-3</v>
      </c>
      <c r="Q545">
        <f t="shared" ref="Q545:Q608" si="166">COS(J545)</f>
        <v>0.99648884425177753</v>
      </c>
      <c r="R545">
        <f t="shared" si="156"/>
        <v>1</v>
      </c>
      <c r="AG545" s="8">
        <f t="shared" si="160"/>
        <v>-0.73364042237167837</v>
      </c>
      <c r="AH545" s="8">
        <f t="shared" si="161"/>
        <v>-0.43841598619246069</v>
      </c>
      <c r="AI545" s="8">
        <f t="shared" si="162"/>
        <v>0.51919471656903227</v>
      </c>
      <c r="AJ545" s="8"/>
      <c r="AK545" s="8"/>
      <c r="AL545" s="8"/>
      <c r="AN545" s="8">
        <f t="shared" ref="AN545:AN608" si="167">AG545^2+AH545^2+AI545^2</f>
        <v>1.0000000000000002</v>
      </c>
      <c r="AO545" s="8">
        <f t="shared" ref="AO545:AO608" si="168">IF(ATAN2(AG545,AH545)&gt;=0,ATAN2(AG545,AH545),ATAN2(AG545,AH545)+2*PI())</f>
        <v>3.6802380161141288</v>
      </c>
      <c r="AP545" s="8">
        <f t="shared" ref="AP545:AP608" si="169">ACOS(AI545/AN545)</f>
        <v>1.0248878771407113</v>
      </c>
      <c r="AQ545" s="8"/>
      <c r="AR545" s="8">
        <f t="shared" ref="AR545:AR608" si="170">DEGREES(AO545)</f>
        <v>210.86210592693863</v>
      </c>
      <c r="AS545" s="8">
        <f t="shared" ref="AS545:AS608" si="171">90-DEGREES(AP545)</f>
        <v>31.278250165714802</v>
      </c>
    </row>
    <row r="546" spans="1:45">
      <c r="A546" s="19">
        <v>25.158466669999999</v>
      </c>
      <c r="B546" s="19">
        <v>828.87928939999995</v>
      </c>
      <c r="C546" s="19">
        <v>528.77266640000005</v>
      </c>
      <c r="E546" s="9">
        <f t="shared" si="157"/>
        <v>-131.12071060000005</v>
      </c>
      <c r="F546" s="9">
        <f t="shared" si="158"/>
        <v>11.227333599999952</v>
      </c>
      <c r="I546">
        <v>1</v>
      </c>
      <c r="J546">
        <f t="shared" si="159"/>
        <v>8.4174535524611863E-2</v>
      </c>
      <c r="K546">
        <f t="shared" si="163"/>
        <v>3.0561750657231497</v>
      </c>
      <c r="O546">
        <f t="shared" si="164"/>
        <v>-8.376864300550356E-2</v>
      </c>
      <c r="P546">
        <f t="shared" si="165"/>
        <v>7.1727684813362351E-3</v>
      </c>
      <c r="Q546">
        <f t="shared" si="166"/>
        <v>0.99645941504976998</v>
      </c>
      <c r="R546">
        <f t="shared" si="156"/>
        <v>1</v>
      </c>
      <c r="AG546" s="8">
        <f t="shared" si="160"/>
        <v>-0.73387148914967582</v>
      </c>
      <c r="AH546" s="8">
        <f t="shared" si="161"/>
        <v>-0.43816102074701524</v>
      </c>
      <c r="AI546" s="8">
        <f t="shared" si="162"/>
        <v>0.51908338184839942</v>
      </c>
      <c r="AJ546" s="8"/>
      <c r="AK546" s="8"/>
      <c r="AL546" s="8"/>
      <c r="AN546" s="8">
        <f t="shared" si="167"/>
        <v>1.0000000000000002</v>
      </c>
      <c r="AO546" s="8">
        <f t="shared" si="168"/>
        <v>3.6798432749110197</v>
      </c>
      <c r="AP546" s="8">
        <f t="shared" si="169"/>
        <v>1.0250181404494634</v>
      </c>
      <c r="AQ546" s="8"/>
      <c r="AR546" s="8">
        <f t="shared" si="170"/>
        <v>210.83948892200056</v>
      </c>
      <c r="AS546" s="8">
        <f t="shared" si="171"/>
        <v>31.270786627897898</v>
      </c>
    </row>
    <row r="547" spans="1:45">
      <c r="A547" s="19">
        <v>25.191833330000001</v>
      </c>
      <c r="B547" s="19">
        <v>828.60700039999995</v>
      </c>
      <c r="C547" s="19">
        <v>528.76780870000005</v>
      </c>
      <c r="E547" s="9">
        <f t="shared" si="157"/>
        <v>-131.39299960000005</v>
      </c>
      <c r="F547" s="9">
        <f t="shared" si="158"/>
        <v>11.232191299999954</v>
      </c>
      <c r="I547">
        <v>1</v>
      </c>
      <c r="J547">
        <f t="shared" si="159"/>
        <v>8.4349064440212798E-2</v>
      </c>
      <c r="K547">
        <f t="shared" si="163"/>
        <v>3.0563145189586494</v>
      </c>
      <c r="O547">
        <f t="shared" si="164"/>
        <v>-8.3942920172673338E-2</v>
      </c>
      <c r="P547">
        <f t="shared" si="165"/>
        <v>7.1758993289631158E-3</v>
      </c>
      <c r="Q547">
        <f t="shared" si="166"/>
        <v>0.99644472632540171</v>
      </c>
      <c r="R547">
        <f t="shared" si="156"/>
        <v>1</v>
      </c>
      <c r="AG547" s="8">
        <f t="shared" si="160"/>
        <v>-0.73397427521962699</v>
      </c>
      <c r="AH547" s="8">
        <f t="shared" si="161"/>
        <v>-0.43802233698286852</v>
      </c>
      <c r="AI547" s="8">
        <f t="shared" si="162"/>
        <v>0.51905509882852474</v>
      </c>
      <c r="AJ547" s="8"/>
      <c r="AK547" s="8"/>
      <c r="AL547" s="8"/>
      <c r="AN547" s="8">
        <f t="shared" si="167"/>
        <v>1</v>
      </c>
      <c r="AO547" s="8">
        <f t="shared" si="168"/>
        <v>3.679642317454638</v>
      </c>
      <c r="AP547" s="8">
        <f t="shared" si="169"/>
        <v>1.0250512303694062</v>
      </c>
      <c r="AQ547" s="8"/>
      <c r="AR547" s="8">
        <f t="shared" si="170"/>
        <v>210.8279749078882</v>
      </c>
      <c r="AS547" s="8">
        <f t="shared" si="171"/>
        <v>31.268890715140749</v>
      </c>
    </row>
    <row r="548" spans="1:45">
      <c r="A548" s="19">
        <v>25.225200000000001</v>
      </c>
      <c r="B548" s="19">
        <v>828.59141769999997</v>
      </c>
      <c r="C548" s="19">
        <v>528.76838620000001</v>
      </c>
      <c r="E548" s="9">
        <f t="shared" si="157"/>
        <v>-131.40858230000003</v>
      </c>
      <c r="F548" s="9">
        <f t="shared" si="158"/>
        <v>11.231613799999991</v>
      </c>
      <c r="I548">
        <v>1</v>
      </c>
      <c r="J548">
        <f t="shared" si="159"/>
        <v>8.4359005667713066E-2</v>
      </c>
      <c r="K548">
        <f t="shared" si="163"/>
        <v>3.0563289452844669</v>
      </c>
      <c r="O548">
        <f t="shared" si="164"/>
        <v>-8.3952893579784846E-2</v>
      </c>
      <c r="P548">
        <f t="shared" si="165"/>
        <v>7.1755319293224078E-3</v>
      </c>
      <c r="Q548">
        <f t="shared" si="166"/>
        <v>0.99644388873689849</v>
      </c>
      <c r="R548">
        <f t="shared" si="156"/>
        <v>1</v>
      </c>
      <c r="AG548" s="8">
        <f t="shared" si="160"/>
        <v>-0.7339803369968575</v>
      </c>
      <c r="AH548" s="8">
        <f t="shared" si="161"/>
        <v>-0.43801463957252046</v>
      </c>
      <c r="AI548" s="8">
        <f t="shared" si="162"/>
        <v>0.51905302274636123</v>
      </c>
      <c r="AJ548" s="8"/>
      <c r="AK548" s="8"/>
      <c r="AL548" s="8"/>
      <c r="AN548" s="8">
        <f t="shared" si="167"/>
        <v>1</v>
      </c>
      <c r="AO548" s="8">
        <f t="shared" si="168"/>
        <v>3.6796309499627147</v>
      </c>
      <c r="AP548" s="8">
        <f t="shared" si="169"/>
        <v>1.0250536592702799</v>
      </c>
      <c r="AQ548" s="8"/>
      <c r="AR548" s="8">
        <f t="shared" si="170"/>
        <v>210.82732359857735</v>
      </c>
      <c r="AS548" s="8">
        <f t="shared" si="171"/>
        <v>31.268751549371828</v>
      </c>
    </row>
    <row r="549" spans="1:45">
      <c r="A549" s="19">
        <v>25.25856667</v>
      </c>
      <c r="B549" s="19">
        <v>827.74713259999999</v>
      </c>
      <c r="C549" s="19">
        <v>528.76054190000002</v>
      </c>
      <c r="E549" s="9">
        <f t="shared" si="157"/>
        <v>-132.25286740000001</v>
      </c>
      <c r="F549" s="9">
        <f t="shared" si="158"/>
        <v>11.239458099999979</v>
      </c>
      <c r="I549">
        <v>1</v>
      </c>
      <c r="J549">
        <f t="shared" si="159"/>
        <v>8.489977218559229E-2</v>
      </c>
      <c r="K549">
        <f t="shared" si="163"/>
        <v>3.0568117606233844</v>
      </c>
      <c r="O549">
        <f t="shared" si="164"/>
        <v>-8.4493244051677061E-2</v>
      </c>
      <c r="P549">
        <f t="shared" si="165"/>
        <v>7.1806252289385057E-3</v>
      </c>
      <c r="Q549">
        <f t="shared" si="166"/>
        <v>0.99639817860679836</v>
      </c>
      <c r="R549">
        <f t="shared" si="156"/>
        <v>1</v>
      </c>
      <c r="AG549" s="8">
        <f t="shared" si="160"/>
        <v>-0.73430041200917162</v>
      </c>
      <c r="AH549" s="8">
        <f t="shared" si="161"/>
        <v>-0.43758656810267516</v>
      </c>
      <c r="AI549" s="8">
        <f t="shared" si="162"/>
        <v>0.51896136690440042</v>
      </c>
      <c r="AJ549" s="8"/>
      <c r="AK549" s="8"/>
      <c r="AL549" s="8"/>
      <c r="AN549" s="8">
        <f t="shared" si="167"/>
        <v>1.0000000000000002</v>
      </c>
      <c r="AO549" s="8">
        <f t="shared" si="168"/>
        <v>3.6790090309862062</v>
      </c>
      <c r="AP549" s="8">
        <f t="shared" si="169"/>
        <v>1.0251608879469143</v>
      </c>
      <c r="AQ549" s="8"/>
      <c r="AR549" s="8">
        <f t="shared" si="170"/>
        <v>210.79169026602432</v>
      </c>
      <c r="AS549" s="8">
        <f t="shared" si="171"/>
        <v>31.262607798757905</v>
      </c>
    </row>
    <row r="550" spans="1:45">
      <c r="A550" s="19">
        <v>25.291933329999999</v>
      </c>
      <c r="B550" s="19">
        <v>826.72673870000006</v>
      </c>
      <c r="C550" s="19">
        <v>528.76002619999997</v>
      </c>
      <c r="E550" s="9">
        <f t="shared" si="157"/>
        <v>-133.27326129999994</v>
      </c>
      <c r="F550" s="9">
        <f t="shared" si="158"/>
        <v>11.23997380000003</v>
      </c>
      <c r="I550">
        <v>1</v>
      </c>
      <c r="J550">
        <f t="shared" si="159"/>
        <v>8.5552853584868568E-2</v>
      </c>
      <c r="K550">
        <f t="shared" si="163"/>
        <v>3.0574539645722378</v>
      </c>
      <c r="O550">
        <f t="shared" si="164"/>
        <v>-8.514624710348706E-2</v>
      </c>
      <c r="P550">
        <f t="shared" si="165"/>
        <v>7.181047250409898E-3</v>
      </c>
      <c r="Q550">
        <f t="shared" si="166"/>
        <v>0.99634258624460059</v>
      </c>
      <c r="R550">
        <f t="shared" si="156"/>
        <v>1</v>
      </c>
      <c r="AG550" s="8">
        <f t="shared" si="160"/>
        <v>-0.73468883775006533</v>
      </c>
      <c r="AH550" s="8">
        <f t="shared" si="161"/>
        <v>-0.43707156569678973</v>
      </c>
      <c r="AI550" s="8">
        <f t="shared" si="162"/>
        <v>0.51884560145077374</v>
      </c>
      <c r="AJ550" s="8"/>
      <c r="AK550" s="8"/>
      <c r="AL550" s="8"/>
      <c r="AN550" s="8">
        <f t="shared" si="167"/>
        <v>1</v>
      </c>
      <c r="AO550" s="8">
        <f t="shared" si="168"/>
        <v>3.6782589187150458</v>
      </c>
      <c r="AP550" s="8">
        <f t="shared" si="169"/>
        <v>1.0252963126161672</v>
      </c>
      <c r="AQ550" s="8"/>
      <c r="AR550" s="8">
        <f t="shared" si="170"/>
        <v>210.74871199872587</v>
      </c>
      <c r="AS550" s="8">
        <f t="shared" si="171"/>
        <v>31.25484853676776</v>
      </c>
    </row>
    <row r="551" spans="1:45">
      <c r="A551" s="19">
        <v>25.325299999999999</v>
      </c>
      <c r="B551" s="19">
        <v>826.07537660000003</v>
      </c>
      <c r="C551" s="19">
        <v>528.77439419999996</v>
      </c>
      <c r="E551" s="9">
        <f t="shared" si="157"/>
        <v>-133.92462339999997</v>
      </c>
      <c r="F551" s="9">
        <f t="shared" si="158"/>
        <v>11.225605800000039</v>
      </c>
      <c r="I551">
        <v>1</v>
      </c>
      <c r="J551">
        <f t="shared" si="159"/>
        <v>8.5968958537786438E-2</v>
      </c>
      <c r="K551">
        <f t="shared" si="163"/>
        <v>3.0579678055973138</v>
      </c>
      <c r="O551">
        <f t="shared" si="164"/>
        <v>-8.556305271170192E-2</v>
      </c>
      <c r="P551">
        <f t="shared" si="165"/>
        <v>7.1719231042182714E-3</v>
      </c>
      <c r="Q551">
        <f t="shared" si="166"/>
        <v>0.99630694443511825</v>
      </c>
      <c r="R551">
        <f t="shared" si="156"/>
        <v>1</v>
      </c>
      <c r="AG551" s="8">
        <f t="shared" si="160"/>
        <v>-0.73493970981495549</v>
      </c>
      <c r="AH551" s="8">
        <f t="shared" si="161"/>
        <v>-0.43674684768341737</v>
      </c>
      <c r="AI551" s="8">
        <f t="shared" si="162"/>
        <v>0.51876373618026439</v>
      </c>
      <c r="AJ551" s="8"/>
      <c r="AK551" s="8"/>
      <c r="AL551" s="8"/>
      <c r="AN551" s="8">
        <f t="shared" si="167"/>
        <v>1</v>
      </c>
      <c r="AO551" s="8">
        <f t="shared" si="168"/>
        <v>3.6777824601972116</v>
      </c>
      <c r="AP551" s="8">
        <f t="shared" si="169"/>
        <v>1.0253920734760928</v>
      </c>
      <c r="AQ551" s="8"/>
      <c r="AR551" s="8">
        <f t="shared" si="170"/>
        <v>210.7214129365409</v>
      </c>
      <c r="AS551" s="8">
        <f t="shared" si="171"/>
        <v>31.249361843651478</v>
      </c>
    </row>
    <row r="552" spans="1:45">
      <c r="A552" s="19">
        <v>25.358666670000002</v>
      </c>
      <c r="B552" s="19">
        <v>825.53317760000004</v>
      </c>
      <c r="C552" s="19">
        <v>528.80419859999995</v>
      </c>
      <c r="E552" s="9">
        <f t="shared" si="157"/>
        <v>-134.46682239999996</v>
      </c>
      <c r="F552" s="9">
        <f t="shared" si="158"/>
        <v>11.19580140000005</v>
      </c>
      <c r="I552">
        <v>1</v>
      </c>
      <c r="J552">
        <f t="shared" si="159"/>
        <v>8.631438419530274E-2</v>
      </c>
      <c r="K552">
        <f t="shared" si="163"/>
        <v>3.0585235572059415</v>
      </c>
      <c r="O552">
        <f t="shared" si="164"/>
        <v>-8.590998345898361E-2</v>
      </c>
      <c r="P552">
        <f t="shared" si="165"/>
        <v>7.1529251299097618E-3</v>
      </c>
      <c r="Q552">
        <f t="shared" si="166"/>
        <v>0.99627722567775434</v>
      </c>
      <c r="R552">
        <f t="shared" si="156"/>
        <v>1</v>
      </c>
      <c r="AG552" s="8">
        <f t="shared" si="160"/>
        <v>-0.73515219355509021</v>
      </c>
      <c r="AH552" s="8">
        <f t="shared" si="161"/>
        <v>-0.43648149673148329</v>
      </c>
      <c r="AI552" s="8">
        <f t="shared" si="162"/>
        <v>0.51868598913232988</v>
      </c>
      <c r="AJ552" s="8"/>
      <c r="AK552" s="8"/>
      <c r="AL552" s="8"/>
      <c r="AN552" s="8">
        <f t="shared" si="167"/>
        <v>1.0000000000000002</v>
      </c>
      <c r="AO552" s="8">
        <f t="shared" si="168"/>
        <v>3.6773886868907582</v>
      </c>
      <c r="AP552" s="8">
        <f t="shared" si="169"/>
        <v>1.0254830119461598</v>
      </c>
      <c r="AQ552" s="8"/>
      <c r="AR552" s="8">
        <f t="shared" si="170"/>
        <v>210.6988513879962</v>
      </c>
      <c r="AS552" s="8">
        <f t="shared" si="171"/>
        <v>31.244151453121262</v>
      </c>
    </row>
    <row r="553" spans="1:45">
      <c r="A553" s="19">
        <v>25.39203333</v>
      </c>
      <c r="B553" s="19">
        <v>825.9210574</v>
      </c>
      <c r="C553" s="19">
        <v>527.82111710000004</v>
      </c>
      <c r="E553" s="9">
        <f t="shared" si="157"/>
        <v>-134.0789426</v>
      </c>
      <c r="F553" s="9">
        <f t="shared" si="158"/>
        <v>12.178882899999962</v>
      </c>
      <c r="I553">
        <v>1</v>
      </c>
      <c r="J553">
        <f t="shared" si="159"/>
        <v>8.6120958463923578E-2</v>
      </c>
      <c r="K553">
        <f t="shared" si="163"/>
        <v>3.0510075660967781</v>
      </c>
      <c r="O553">
        <f t="shared" si="164"/>
        <v>-8.5661878964113536E-2</v>
      </c>
      <c r="P553">
        <f t="shared" si="165"/>
        <v>7.7809831481913047E-3</v>
      </c>
      <c r="Q553">
        <f t="shared" si="166"/>
        <v>0.99629388174051592</v>
      </c>
      <c r="R553">
        <f t="shared" si="156"/>
        <v>1</v>
      </c>
      <c r="AG553" s="8">
        <f t="shared" si="160"/>
        <v>-0.73479748145949464</v>
      </c>
      <c r="AH553" s="8">
        <f t="shared" si="161"/>
        <v>-0.43640185976764501</v>
      </c>
      <c r="AI553" s="8">
        <f t="shared" si="162"/>
        <v>0.5192553110292899</v>
      </c>
      <c r="AJ553" s="8"/>
      <c r="AK553" s="8"/>
      <c r="AL553" s="8"/>
      <c r="AN553" s="8">
        <f t="shared" si="167"/>
        <v>1.0000000000000002</v>
      </c>
      <c r="AO553" s="8">
        <f t="shared" si="168"/>
        <v>3.677520456454515</v>
      </c>
      <c r="AP553" s="8">
        <f t="shared" si="169"/>
        <v>1.0248169763729023</v>
      </c>
      <c r="AQ553" s="8"/>
      <c r="AR553" s="8">
        <f t="shared" si="170"/>
        <v>210.70640122786776</v>
      </c>
      <c r="AS553" s="8">
        <f t="shared" si="171"/>
        <v>31.282312480474495</v>
      </c>
    </row>
    <row r="554" spans="1:45">
      <c r="A554" s="19">
        <v>25.4254</v>
      </c>
      <c r="B554" s="19">
        <v>824.71836610000003</v>
      </c>
      <c r="C554" s="19">
        <v>527.85937460000002</v>
      </c>
      <c r="E554" s="9">
        <f t="shared" si="157"/>
        <v>-135.28163389999997</v>
      </c>
      <c r="F554" s="9">
        <f t="shared" si="158"/>
        <v>12.140625399999976</v>
      </c>
      <c r="I554">
        <v>1</v>
      </c>
      <c r="J554">
        <f t="shared" si="159"/>
        <v>8.6888030576607919E-2</v>
      </c>
      <c r="K554">
        <f t="shared" si="163"/>
        <v>3.0520890849431779</v>
      </c>
      <c r="O554">
        <f t="shared" si="164"/>
        <v>-8.643138908285071E-2</v>
      </c>
      <c r="P554">
        <f t="shared" si="165"/>
        <v>7.7566413666485022E-3</v>
      </c>
      <c r="Q554">
        <f t="shared" si="166"/>
        <v>0.99622760928209475</v>
      </c>
      <c r="R554">
        <f t="shared" si="156"/>
        <v>1</v>
      </c>
      <c r="AG554" s="8">
        <f t="shared" si="160"/>
        <v>-0.73526275735522917</v>
      </c>
      <c r="AH554" s="8">
        <f t="shared" si="161"/>
        <v>-0.43580538325158402</v>
      </c>
      <c r="AI554" s="8">
        <f t="shared" si="162"/>
        <v>0.51909762624705336</v>
      </c>
      <c r="AJ554" s="8"/>
      <c r="AK554" s="8"/>
      <c r="AL554" s="8"/>
      <c r="AN554" s="8">
        <f t="shared" si="167"/>
        <v>1.0000000000000002</v>
      </c>
      <c r="AO554" s="8">
        <f t="shared" si="168"/>
        <v>3.6766424610922428</v>
      </c>
      <c r="AP554" s="8">
        <f t="shared" si="169"/>
        <v>1.0250014748623193</v>
      </c>
      <c r="AQ554" s="8"/>
      <c r="AR554" s="8">
        <f t="shared" si="170"/>
        <v>210.65609579917751</v>
      </c>
      <c r="AS554" s="8">
        <f t="shared" si="171"/>
        <v>31.271741495704362</v>
      </c>
    </row>
    <row r="555" spans="1:45">
      <c r="A555" s="19">
        <v>25.458766669999999</v>
      </c>
      <c r="B555" s="19">
        <v>824.12817429999996</v>
      </c>
      <c r="C555" s="19">
        <v>527.77172159999998</v>
      </c>
      <c r="E555" s="9">
        <f t="shared" si="157"/>
        <v>-135.87182570000004</v>
      </c>
      <c r="F555" s="9">
        <f t="shared" si="158"/>
        <v>12.228278400000022</v>
      </c>
      <c r="I555">
        <v>1</v>
      </c>
      <c r="J555">
        <f t="shared" si="159"/>
        <v>8.7270574347389163E-2</v>
      </c>
      <c r="K555">
        <f t="shared" si="163"/>
        <v>3.0518358367027711</v>
      </c>
      <c r="O555">
        <f t="shared" si="164"/>
        <v>-8.6808982190721723E-2</v>
      </c>
      <c r="P555">
        <f t="shared" si="165"/>
        <v>7.8126896167024281E-3</v>
      </c>
      <c r="Q555">
        <f t="shared" si="166"/>
        <v>0.9961943397209021</v>
      </c>
      <c r="R555">
        <f t="shared" si="156"/>
        <v>1</v>
      </c>
      <c r="AG555" s="8">
        <f t="shared" si="160"/>
        <v>-0.73546846436971625</v>
      </c>
      <c r="AH555" s="8">
        <f t="shared" si="161"/>
        <v>-0.43548276471552649</v>
      </c>
      <c r="AI555" s="8">
        <f t="shared" si="162"/>
        <v>0.51907696881423371</v>
      </c>
      <c r="AJ555" s="8"/>
      <c r="AK555" s="8"/>
      <c r="AL555" s="8"/>
      <c r="AN555" s="8">
        <f t="shared" si="167"/>
        <v>1.0000000000000002</v>
      </c>
      <c r="AO555" s="8">
        <f t="shared" si="168"/>
        <v>3.6761950470130147</v>
      </c>
      <c r="AP555" s="8">
        <f t="shared" si="169"/>
        <v>1.0250256434826188</v>
      </c>
      <c r="AQ555" s="8"/>
      <c r="AR555" s="8">
        <f t="shared" si="170"/>
        <v>210.630460860743</v>
      </c>
      <c r="AS555" s="8">
        <f t="shared" si="171"/>
        <v>31.270356735764544</v>
      </c>
    </row>
    <row r="556" spans="1:45">
      <c r="A556" s="19">
        <v>25.492133330000001</v>
      </c>
      <c r="B556" s="19">
        <v>823.35135990000003</v>
      </c>
      <c r="C556" s="19">
        <v>527.5689936</v>
      </c>
      <c r="E556" s="9">
        <f t="shared" si="157"/>
        <v>-136.64864009999997</v>
      </c>
      <c r="F556" s="9">
        <f t="shared" si="158"/>
        <v>12.431006400000001</v>
      </c>
      <c r="I556">
        <v>1</v>
      </c>
      <c r="J556">
        <f t="shared" si="159"/>
        <v>8.7779138066636828E-2</v>
      </c>
      <c r="K556">
        <f t="shared" si="163"/>
        <v>3.0508717790767248</v>
      </c>
      <c r="O556">
        <f t="shared" si="164"/>
        <v>-8.7305943604044589E-2</v>
      </c>
      <c r="P556">
        <f t="shared" si="165"/>
        <v>7.9422725532115879E-3</v>
      </c>
      <c r="Q556">
        <f t="shared" si="166"/>
        <v>0.99614988456461606</v>
      </c>
      <c r="R556">
        <f t="shared" si="156"/>
        <v>1</v>
      </c>
      <c r="AG556" s="8">
        <f t="shared" si="160"/>
        <v>-0.73572061252417598</v>
      </c>
      <c r="AH556" s="8">
        <f t="shared" si="161"/>
        <v>-0.43503355904819374</v>
      </c>
      <c r="AI556" s="8">
        <f t="shared" si="162"/>
        <v>0.51909631361522224</v>
      </c>
      <c r="AJ556" s="8"/>
      <c r="AK556" s="8"/>
      <c r="AL556" s="8"/>
      <c r="AN556" s="8">
        <f t="shared" si="167"/>
        <v>1.0000000000000002</v>
      </c>
      <c r="AO556" s="8">
        <f t="shared" si="168"/>
        <v>3.6755925100593028</v>
      </c>
      <c r="AP556" s="8">
        <f t="shared" si="169"/>
        <v>1.0250030106155095</v>
      </c>
      <c r="AQ556" s="8"/>
      <c r="AR556" s="8">
        <f t="shared" si="170"/>
        <v>210.59593803629463</v>
      </c>
      <c r="AS556" s="8">
        <f t="shared" si="171"/>
        <v>31.271653503528192</v>
      </c>
    </row>
    <row r="557" spans="1:45">
      <c r="A557" s="19">
        <v>25.525500000000001</v>
      </c>
      <c r="B557" s="19">
        <v>822.75327770000001</v>
      </c>
      <c r="C557" s="19">
        <v>527.76007790000006</v>
      </c>
      <c r="E557" s="9">
        <f t="shared" si="157"/>
        <v>-137.24672229999999</v>
      </c>
      <c r="F557" s="9">
        <f t="shared" si="158"/>
        <v>12.239922099999944</v>
      </c>
      <c r="I557">
        <v>1</v>
      </c>
      <c r="J557">
        <f t="shared" si="159"/>
        <v>8.8150649993970792E-2</v>
      </c>
      <c r="K557">
        <f t="shared" si="163"/>
        <v>3.0526460749882123</v>
      </c>
      <c r="O557">
        <f t="shared" si="164"/>
        <v>-8.7688510658313235E-2</v>
      </c>
      <c r="P557">
        <f t="shared" si="165"/>
        <v>7.8202271175314714E-3</v>
      </c>
      <c r="Q557">
        <f t="shared" si="166"/>
        <v>0.9961172466865319</v>
      </c>
      <c r="R557">
        <f t="shared" si="156"/>
        <v>1</v>
      </c>
      <c r="AG557" s="8">
        <f t="shared" si="160"/>
        <v>-0.73598785489956542</v>
      </c>
      <c r="AH557" s="8">
        <f t="shared" si="161"/>
        <v>-0.43478495986700927</v>
      </c>
      <c r="AI557" s="8">
        <f t="shared" si="162"/>
        <v>0.51892573275352172</v>
      </c>
      <c r="AJ557" s="8"/>
      <c r="AK557" s="8"/>
      <c r="AL557" s="8"/>
      <c r="AN557" s="8">
        <f t="shared" si="167"/>
        <v>1</v>
      </c>
      <c r="AO557" s="8">
        <f t="shared" si="168"/>
        <v>3.675183055264061</v>
      </c>
      <c r="AP557" s="8">
        <f t="shared" si="169"/>
        <v>1.0252025746526341</v>
      </c>
      <c r="AQ557" s="8"/>
      <c r="AR557" s="8">
        <f t="shared" si="170"/>
        <v>210.57247800462588</v>
      </c>
      <c r="AS557" s="8">
        <f t="shared" si="171"/>
        <v>31.260219326458355</v>
      </c>
    </row>
    <row r="558" spans="1:45">
      <c r="A558" s="19">
        <v>25.55886667</v>
      </c>
      <c r="B558" s="19">
        <v>822.40564970000003</v>
      </c>
      <c r="C558" s="19">
        <v>527.68551390000005</v>
      </c>
      <c r="E558" s="9">
        <f t="shared" si="157"/>
        <v>-137.59435029999997</v>
      </c>
      <c r="F558" s="9">
        <f t="shared" si="158"/>
        <v>12.314486099999954</v>
      </c>
      <c r="I558">
        <v>1</v>
      </c>
      <c r="J558">
        <f t="shared" si="159"/>
        <v>8.8377255615213965E-2</v>
      </c>
      <c r="K558">
        <f t="shared" si="163"/>
        <v>3.0523319855346744</v>
      </c>
      <c r="O558">
        <f t="shared" si="164"/>
        <v>-8.7910874962013261E-2</v>
      </c>
      <c r="P558">
        <f t="shared" si="165"/>
        <v>7.8678902542014175E-3</v>
      </c>
      <c r="Q558">
        <f t="shared" si="166"/>
        <v>0.99609727153845828</v>
      </c>
      <c r="R558">
        <f t="shared" si="156"/>
        <v>1</v>
      </c>
      <c r="AG558" s="8">
        <f t="shared" si="160"/>
        <v>-0.73610397271506667</v>
      </c>
      <c r="AH558" s="8">
        <f t="shared" si="161"/>
        <v>-0.4345884062749848</v>
      </c>
      <c r="AI558" s="8">
        <f t="shared" si="162"/>
        <v>0.51892567722600247</v>
      </c>
      <c r="AJ558" s="8"/>
      <c r="AK558" s="8"/>
      <c r="AL558" s="8"/>
      <c r="AN558" s="8">
        <f t="shared" si="167"/>
        <v>1</v>
      </c>
      <c r="AO558" s="8">
        <f t="shared" si="168"/>
        <v>3.6749159921252481</v>
      </c>
      <c r="AP558" s="8">
        <f t="shared" si="169"/>
        <v>1.0252026396108262</v>
      </c>
      <c r="AQ558" s="8"/>
      <c r="AR558" s="8">
        <f t="shared" si="170"/>
        <v>210.55717641390839</v>
      </c>
      <c r="AS558" s="8">
        <f t="shared" si="171"/>
        <v>31.260215604628101</v>
      </c>
    </row>
    <row r="559" spans="1:45">
      <c r="A559" s="19">
        <v>25.592233329999999</v>
      </c>
      <c r="B559" s="19">
        <v>821.61976440000001</v>
      </c>
      <c r="C559" s="19">
        <v>527.80505800000003</v>
      </c>
      <c r="E559" s="9">
        <f t="shared" si="157"/>
        <v>-138.38023559999999</v>
      </c>
      <c r="F559" s="9">
        <f t="shared" si="158"/>
        <v>12.194941999999969</v>
      </c>
      <c r="I559">
        <v>1</v>
      </c>
      <c r="J559">
        <f t="shared" si="159"/>
        <v>8.8873131256221122E-2</v>
      </c>
      <c r="K559">
        <f t="shared" si="163"/>
        <v>3.0536934056362504</v>
      </c>
      <c r="O559">
        <f t="shared" si="164"/>
        <v>-8.8413527604051786E-2</v>
      </c>
      <c r="P559">
        <f t="shared" si="165"/>
        <v>7.7915595133356587E-3</v>
      </c>
      <c r="Q559">
        <f t="shared" si="166"/>
        <v>0.99605338197154758</v>
      </c>
      <c r="R559">
        <f t="shared" si="156"/>
        <v>1</v>
      </c>
      <c r="AG559" s="8">
        <f t="shared" si="160"/>
        <v>-0.7364271169778146</v>
      </c>
      <c r="AH559" s="8">
        <f t="shared" si="161"/>
        <v>-0.43422474372021591</v>
      </c>
      <c r="AI559" s="8">
        <f t="shared" si="162"/>
        <v>0.51877160034147707</v>
      </c>
      <c r="AJ559" s="8"/>
      <c r="AK559" s="8"/>
      <c r="AL559" s="8"/>
      <c r="AN559" s="8">
        <f t="shared" si="167"/>
        <v>1.0000000000000002</v>
      </c>
      <c r="AO559" s="8">
        <f t="shared" si="168"/>
        <v>3.6743575213917889</v>
      </c>
      <c r="AP559" s="8">
        <f t="shared" si="169"/>
        <v>1.0253828747150506</v>
      </c>
      <c r="AQ559" s="8"/>
      <c r="AR559" s="8">
        <f t="shared" si="170"/>
        <v>210.52517839789959</v>
      </c>
      <c r="AS559" s="8">
        <f t="shared" si="171"/>
        <v>31.249888893835944</v>
      </c>
    </row>
    <row r="560" spans="1:45">
      <c r="A560" s="19">
        <v>25.625599999999999</v>
      </c>
      <c r="B560" s="19">
        <v>820.99915910000004</v>
      </c>
      <c r="C560" s="19">
        <v>527.76845109999999</v>
      </c>
      <c r="E560" s="9">
        <f t="shared" si="157"/>
        <v>-139.00084089999996</v>
      </c>
      <c r="F560" s="9">
        <f t="shared" si="158"/>
        <v>12.231548900000007</v>
      </c>
      <c r="I560">
        <v>1</v>
      </c>
      <c r="J560">
        <f t="shared" si="159"/>
        <v>8.9272155964822686E-2</v>
      </c>
      <c r="K560">
        <f t="shared" si="163"/>
        <v>3.0538225099035756</v>
      </c>
      <c r="O560">
        <f t="shared" si="164"/>
        <v>-8.8810445737410829E-2</v>
      </c>
      <c r="P560">
        <f t="shared" si="165"/>
        <v>7.8149837284037637E-3</v>
      </c>
      <c r="Q560">
        <f t="shared" si="166"/>
        <v>0.99601788676571823</v>
      </c>
      <c r="R560">
        <f t="shared" si="156"/>
        <v>1</v>
      </c>
      <c r="AG560" s="8">
        <f t="shared" si="160"/>
        <v>-0.73665452416718624</v>
      </c>
      <c r="AH560" s="8">
        <f t="shared" si="161"/>
        <v>-0.43390077601897298</v>
      </c>
      <c r="AI560" s="8">
        <f t="shared" si="162"/>
        <v>0.51871979776575849</v>
      </c>
      <c r="AJ560" s="8"/>
      <c r="AK560" s="8"/>
      <c r="AL560" s="8"/>
      <c r="AN560" s="8">
        <f t="shared" si="167"/>
        <v>1</v>
      </c>
      <c r="AO560" s="8">
        <f t="shared" si="168"/>
        <v>3.6738960039434523</v>
      </c>
      <c r="AP560" s="8">
        <f t="shared" si="169"/>
        <v>1.0254434675834361</v>
      </c>
      <c r="AQ560" s="8"/>
      <c r="AR560" s="8">
        <f t="shared" si="170"/>
        <v>210.49873539593827</v>
      </c>
      <c r="AS560" s="8">
        <f t="shared" si="171"/>
        <v>31.246417178208866</v>
      </c>
    </row>
    <row r="561" spans="1:45">
      <c r="A561" s="19">
        <v>25.658966670000002</v>
      </c>
      <c r="B561" s="19">
        <v>821.69975890000001</v>
      </c>
      <c r="C561" s="19">
        <v>526.91667480000001</v>
      </c>
      <c r="E561" s="9">
        <f t="shared" si="157"/>
        <v>-138.30024109999999</v>
      </c>
      <c r="F561" s="9">
        <f t="shared" si="158"/>
        <v>13.08332519999999</v>
      </c>
      <c r="I561">
        <v>1</v>
      </c>
      <c r="J561">
        <f t="shared" si="159"/>
        <v>8.8873879779621745E-2</v>
      </c>
      <c r="K561">
        <f t="shared" si="163"/>
        <v>3.0472724676761369</v>
      </c>
      <c r="O561">
        <f t="shared" si="164"/>
        <v>-8.8362418513032004E-2</v>
      </c>
      <c r="P561">
        <f t="shared" si="165"/>
        <v>8.3591629896623536E-3</v>
      </c>
      <c r="Q561">
        <f t="shared" si="166"/>
        <v>0.99605331553518761</v>
      </c>
      <c r="R561">
        <f t="shared" si="156"/>
        <v>1</v>
      </c>
      <c r="AG561" s="8">
        <f t="shared" si="160"/>
        <v>-0.7362092968574675</v>
      </c>
      <c r="AH561" s="8">
        <f t="shared" si="161"/>
        <v>-0.43401609885439024</v>
      </c>
      <c r="AI561" s="8">
        <f t="shared" si="162"/>
        <v>0.51925513686033919</v>
      </c>
      <c r="AJ561" s="8"/>
      <c r="AK561" s="8"/>
      <c r="AL561" s="8"/>
      <c r="AN561" s="8">
        <f t="shared" si="167"/>
        <v>1</v>
      </c>
      <c r="AO561" s="8">
        <f t="shared" si="168"/>
        <v>3.6742766743780808</v>
      </c>
      <c r="AP561" s="8">
        <f t="shared" si="169"/>
        <v>1.0248171801700396</v>
      </c>
      <c r="AQ561" s="8"/>
      <c r="AR561" s="8">
        <f t="shared" si="170"/>
        <v>210.5205462052279</v>
      </c>
      <c r="AS561" s="8">
        <f t="shared" si="171"/>
        <v>31.282300803758645</v>
      </c>
    </row>
    <row r="562" spans="1:45">
      <c r="A562" s="19">
        <v>25.69233333</v>
      </c>
      <c r="B562" s="19">
        <v>820.87813240000003</v>
      </c>
      <c r="C562" s="19">
        <v>526.85079619999999</v>
      </c>
      <c r="E562" s="9">
        <f t="shared" si="157"/>
        <v>-139.12186759999997</v>
      </c>
      <c r="F562" s="9">
        <f t="shared" si="158"/>
        <v>13.149203800000009</v>
      </c>
      <c r="I562">
        <v>1</v>
      </c>
      <c r="J562">
        <f t="shared" si="159"/>
        <v>8.9403093685569576E-2</v>
      </c>
      <c r="K562">
        <f t="shared" si="163"/>
        <v>3.0473568756622873</v>
      </c>
      <c r="O562">
        <f t="shared" si="164"/>
        <v>-8.8887897840444957E-2</v>
      </c>
      <c r="P562">
        <f t="shared" si="165"/>
        <v>8.4013038656016118E-3</v>
      </c>
      <c r="Q562">
        <f t="shared" si="166"/>
        <v>0.99600620465480261</v>
      </c>
      <c r="R562">
        <f t="shared" si="156"/>
        <v>1</v>
      </c>
      <c r="AG562" s="8">
        <f t="shared" si="160"/>
        <v>-0.73650666416146082</v>
      </c>
      <c r="AH562" s="8">
        <f t="shared" si="161"/>
        <v>-0.43358230101457734</v>
      </c>
      <c r="AI562" s="8">
        <f t="shared" si="162"/>
        <v>0.51919584155948517</v>
      </c>
      <c r="AJ562" s="8"/>
      <c r="AK562" s="8"/>
      <c r="AL562" s="8"/>
      <c r="AN562" s="8">
        <f t="shared" si="167"/>
        <v>1.0000000000000004</v>
      </c>
      <c r="AO562" s="8">
        <f t="shared" si="168"/>
        <v>3.6736627296547506</v>
      </c>
      <c r="AP562" s="8">
        <f t="shared" si="169"/>
        <v>1.0248865608322466</v>
      </c>
      <c r="AQ562" s="8"/>
      <c r="AR562" s="8">
        <f t="shared" si="170"/>
        <v>210.48536976372674</v>
      </c>
      <c r="AS562" s="8">
        <f t="shared" si="171"/>
        <v>31.278325584634366</v>
      </c>
    </row>
    <row r="563" spans="1:45">
      <c r="A563" s="19">
        <v>25.7257</v>
      </c>
      <c r="B563" s="19">
        <v>820.51614510000002</v>
      </c>
      <c r="C563" s="19">
        <v>526.70029139999997</v>
      </c>
      <c r="E563" s="9">
        <f t="shared" si="157"/>
        <v>-139.48385489999998</v>
      </c>
      <c r="F563" s="9">
        <f t="shared" si="158"/>
        <v>13.299708600000031</v>
      </c>
      <c r="I563">
        <v>1</v>
      </c>
      <c r="J563">
        <f t="shared" si="159"/>
        <v>8.9643615032127935E-2</v>
      </c>
      <c r="K563">
        <f t="shared" si="163"/>
        <v>3.0465305963532443</v>
      </c>
      <c r="O563">
        <f t="shared" si="164"/>
        <v>-8.9119402238673429E-2</v>
      </c>
      <c r="P563">
        <f t="shared" si="165"/>
        <v>8.4974858289534536E-3</v>
      </c>
      <c r="Q563">
        <f t="shared" si="166"/>
        <v>0.9959847011270847</v>
      </c>
      <c r="R563">
        <f t="shared" si="156"/>
        <v>1</v>
      </c>
      <c r="AG563" s="8">
        <f t="shared" si="160"/>
        <v>-0.73661194617007275</v>
      </c>
      <c r="AH563" s="8">
        <f t="shared" si="161"/>
        <v>-0.43335707381332733</v>
      </c>
      <c r="AI563" s="8">
        <f t="shared" si="162"/>
        <v>0.5192345205545259</v>
      </c>
      <c r="AJ563" s="8"/>
      <c r="AK563" s="8"/>
      <c r="AL563" s="8"/>
      <c r="AN563" s="8">
        <f t="shared" si="167"/>
        <v>1</v>
      </c>
      <c r="AO563" s="8">
        <f t="shared" si="168"/>
        <v>3.6733731277423689</v>
      </c>
      <c r="AP563" s="8">
        <f t="shared" si="169"/>
        <v>1.0248413033736306</v>
      </c>
      <c r="AQ563" s="8"/>
      <c r="AR563" s="8">
        <f t="shared" si="170"/>
        <v>210.46877679640835</v>
      </c>
      <c r="AS563" s="8">
        <f t="shared" si="171"/>
        <v>31.280918646004551</v>
      </c>
    </row>
    <row r="564" spans="1:45">
      <c r="A564" s="19">
        <v>25.759066669999999</v>
      </c>
      <c r="B564" s="19">
        <v>819.739642</v>
      </c>
      <c r="C564" s="19">
        <v>526.76377019999995</v>
      </c>
      <c r="E564" s="9">
        <f t="shared" si="157"/>
        <v>-140.260358</v>
      </c>
      <c r="F564" s="9">
        <f t="shared" si="158"/>
        <v>13.236229800000046</v>
      </c>
      <c r="I564">
        <v>1</v>
      </c>
      <c r="J564">
        <f t="shared" si="159"/>
        <v>9.0136108711201923E-2</v>
      </c>
      <c r="K564">
        <f t="shared" si="163"/>
        <v>3.047502300297976</v>
      </c>
      <c r="O564">
        <f t="shared" si="164"/>
        <v>-8.9615952878174976E-2</v>
      </c>
      <c r="P564">
        <f t="shared" si="165"/>
        <v>8.4569679056537041E-3</v>
      </c>
      <c r="Q564">
        <f t="shared" si="166"/>
        <v>0.9959404905332343</v>
      </c>
      <c r="R564">
        <f t="shared" si="156"/>
        <v>1</v>
      </c>
      <c r="AG564" s="8">
        <f t="shared" si="160"/>
        <v>-0.73691925081325449</v>
      </c>
      <c r="AH564" s="8">
        <f t="shared" si="161"/>
        <v>-0.43298223128315227</v>
      </c>
      <c r="AI564" s="8">
        <f t="shared" si="162"/>
        <v>0.51911116841568206</v>
      </c>
      <c r="AJ564" s="8"/>
      <c r="AK564" s="8"/>
      <c r="AL564" s="8"/>
      <c r="AN564" s="8">
        <f t="shared" si="167"/>
        <v>1</v>
      </c>
      <c r="AO564" s="8">
        <f t="shared" si="168"/>
        <v>3.6728128145155949</v>
      </c>
      <c r="AP564" s="8">
        <f t="shared" si="169"/>
        <v>1.0249856307101779</v>
      </c>
      <c r="AQ564" s="8"/>
      <c r="AR564" s="8">
        <f t="shared" si="170"/>
        <v>210.43667321330884</v>
      </c>
      <c r="AS564" s="8">
        <f t="shared" si="171"/>
        <v>31.272649298752029</v>
      </c>
    </row>
    <row r="565" spans="1:45">
      <c r="A565" s="19">
        <v>25.792433330000001</v>
      </c>
      <c r="B565" s="19">
        <v>818.93488219999995</v>
      </c>
      <c r="C565" s="19">
        <v>526.78892050000002</v>
      </c>
      <c r="E565" s="9">
        <f t="shared" si="157"/>
        <v>-141.06511780000005</v>
      </c>
      <c r="F565" s="9">
        <f t="shared" si="158"/>
        <v>13.211079499999983</v>
      </c>
      <c r="I565">
        <v>1</v>
      </c>
      <c r="J565">
        <f t="shared" si="159"/>
        <v>9.0649021551596529E-2</v>
      </c>
      <c r="K565">
        <f t="shared" si="163"/>
        <v>3.0482126745376674</v>
      </c>
      <c r="O565">
        <f t="shared" si="164"/>
        <v>-9.0130531175067558E-2</v>
      </c>
      <c r="P565">
        <f t="shared" si="165"/>
        <v>8.4409358692007202E-3</v>
      </c>
      <c r="Q565">
        <f t="shared" si="166"/>
        <v>0.99589419013856695</v>
      </c>
      <c r="R565">
        <f t="shared" si="156"/>
        <v>1</v>
      </c>
      <c r="AG565" s="8">
        <f t="shared" si="160"/>
        <v>-0.73722894875026579</v>
      </c>
      <c r="AH565" s="8">
        <f t="shared" si="161"/>
        <v>-0.43258225276093631</v>
      </c>
      <c r="AI565" s="8">
        <f t="shared" si="162"/>
        <v>0.51900488602791717</v>
      </c>
      <c r="AJ565" s="8"/>
      <c r="AK565" s="8"/>
      <c r="AL565" s="8"/>
      <c r="AN565" s="8">
        <f t="shared" si="167"/>
        <v>1</v>
      </c>
      <c r="AO565" s="8">
        <f t="shared" si="168"/>
        <v>3.6722258201692739</v>
      </c>
      <c r="AP565" s="8">
        <f t="shared" si="169"/>
        <v>1.0251099755539888</v>
      </c>
      <c r="AQ565" s="8"/>
      <c r="AR565" s="8">
        <f t="shared" si="170"/>
        <v>210.4030409146666</v>
      </c>
      <c r="AS565" s="8">
        <f t="shared" si="171"/>
        <v>31.265524863997449</v>
      </c>
    </row>
    <row r="566" spans="1:45">
      <c r="A566" s="19">
        <v>25.825800000000001</v>
      </c>
      <c r="B566" s="19">
        <v>818.8156424</v>
      </c>
      <c r="C566" s="19">
        <v>526.78493860000003</v>
      </c>
      <c r="E566" s="9">
        <f t="shared" si="157"/>
        <v>-141.1843576</v>
      </c>
      <c r="F566" s="9">
        <f t="shared" si="158"/>
        <v>13.215061399999968</v>
      </c>
      <c r="I566">
        <v>1</v>
      </c>
      <c r="J566">
        <f t="shared" si="159"/>
        <v>9.0725482035669089E-2</v>
      </c>
      <c r="K566">
        <f t="shared" si="163"/>
        <v>3.0482631245263594</v>
      </c>
      <c r="O566">
        <f t="shared" si="164"/>
        <v>-9.0206771800964758E-2</v>
      </c>
      <c r="P566">
        <f t="shared" si="165"/>
        <v>8.4434851587661761E-3</v>
      </c>
      <c r="Q566">
        <f t="shared" si="166"/>
        <v>0.99588726564788566</v>
      </c>
      <c r="R566">
        <f t="shared" si="156"/>
        <v>1</v>
      </c>
      <c r="AG566" s="8">
        <f t="shared" si="160"/>
        <v>-0.73727319009689318</v>
      </c>
      <c r="AH566" s="8">
        <f t="shared" si="161"/>
        <v>-0.43252081830266437</v>
      </c>
      <c r="AI566" s="8">
        <f t="shared" si="162"/>
        <v>0.51899324167000882</v>
      </c>
      <c r="AJ566" s="8"/>
      <c r="AK566" s="8"/>
      <c r="AL566" s="8"/>
      <c r="AN566" s="8">
        <f t="shared" si="167"/>
        <v>1.0000000000000002</v>
      </c>
      <c r="AO566" s="8">
        <f t="shared" si="168"/>
        <v>3.6721376381849034</v>
      </c>
      <c r="AP566" s="8">
        <f t="shared" si="169"/>
        <v>1.0251235982740372</v>
      </c>
      <c r="AQ566" s="8"/>
      <c r="AR566" s="8">
        <f t="shared" si="170"/>
        <v>210.3979884591331</v>
      </c>
      <c r="AS566" s="8">
        <f t="shared" si="171"/>
        <v>31.264744339633182</v>
      </c>
    </row>
    <row r="567" spans="1:45">
      <c r="A567" s="19">
        <v>25.85916667</v>
      </c>
      <c r="B567" s="19">
        <v>818.51239290000001</v>
      </c>
      <c r="C567" s="19">
        <v>526.6771281</v>
      </c>
      <c r="E567" s="9">
        <f t="shared" si="157"/>
        <v>-141.48760709999999</v>
      </c>
      <c r="F567" s="9">
        <f t="shared" si="158"/>
        <v>13.322871899999996</v>
      </c>
      <c r="I567">
        <v>1</v>
      </c>
      <c r="J567">
        <f t="shared" si="159"/>
        <v>9.0925792461343677E-2</v>
      </c>
      <c r="K567">
        <f t="shared" si="163"/>
        <v>3.0477066661005492</v>
      </c>
      <c r="O567">
        <f t="shared" si="164"/>
        <v>-9.0400665628247515E-2</v>
      </c>
      <c r="P567">
        <f t="shared" si="165"/>
        <v>8.5123814906887217E-3</v>
      </c>
      <c r="Q567">
        <f t="shared" si="166"/>
        <v>0.99586909732922568</v>
      </c>
      <c r="R567">
        <f t="shared" si="156"/>
        <v>1</v>
      </c>
      <c r="AG567" s="8">
        <f t="shared" si="160"/>
        <v>-0.73736504726405983</v>
      </c>
      <c r="AH567" s="8">
        <f t="shared" si="161"/>
        <v>-0.43233716969852554</v>
      </c>
      <c r="AI567" s="8">
        <f t="shared" si="162"/>
        <v>0.51901575965507951</v>
      </c>
      <c r="AJ567" s="8"/>
      <c r="AK567" s="8"/>
      <c r="AL567" s="8"/>
      <c r="AN567" s="8">
        <f t="shared" si="167"/>
        <v>1</v>
      </c>
      <c r="AO567" s="8">
        <f t="shared" si="168"/>
        <v>3.6718979432728407</v>
      </c>
      <c r="AP567" s="8">
        <f t="shared" si="169"/>
        <v>1.0250972544091548</v>
      </c>
      <c r="AQ567" s="8"/>
      <c r="AR567" s="8">
        <f t="shared" si="170"/>
        <v>210.38425495230115</v>
      </c>
      <c r="AS567" s="8">
        <f t="shared" si="171"/>
        <v>31.266253731907014</v>
      </c>
    </row>
    <row r="568" spans="1:45">
      <c r="A568" s="19">
        <v>25.892533329999999</v>
      </c>
      <c r="B568" s="19">
        <v>817.81795209999996</v>
      </c>
      <c r="C568" s="19">
        <v>526.77708150000001</v>
      </c>
      <c r="E568" s="9">
        <f t="shared" si="157"/>
        <v>-142.18204790000004</v>
      </c>
      <c r="F568" s="9">
        <f t="shared" si="158"/>
        <v>13.222918499999992</v>
      </c>
      <c r="I568">
        <v>1</v>
      </c>
      <c r="J568">
        <f t="shared" si="159"/>
        <v>9.1363708730848509E-2</v>
      </c>
      <c r="K568">
        <f t="shared" si="163"/>
        <v>3.0488594731106256</v>
      </c>
      <c r="O568">
        <f t="shared" si="164"/>
        <v>-9.0844643490208085E-2</v>
      </c>
      <c r="P568">
        <f t="shared" si="165"/>
        <v>8.4485442063503766E-3</v>
      </c>
      <c r="Q568">
        <f t="shared" si="166"/>
        <v>0.99582923880047347</v>
      </c>
      <c r="R568">
        <f t="shared" si="156"/>
        <v>1</v>
      </c>
      <c r="AG568" s="8">
        <f t="shared" si="160"/>
        <v>-0.73764855979389732</v>
      </c>
      <c r="AH568" s="8">
        <f t="shared" si="161"/>
        <v>-0.43201384797715309</v>
      </c>
      <c r="AI568" s="8">
        <f t="shared" si="162"/>
        <v>0.51888210355528974</v>
      </c>
      <c r="AJ568" s="8"/>
      <c r="AK568" s="8"/>
      <c r="AL568" s="8"/>
      <c r="AN568" s="8">
        <f t="shared" si="167"/>
        <v>1</v>
      </c>
      <c r="AO568" s="8">
        <f t="shared" si="168"/>
        <v>3.6714039195850949</v>
      </c>
      <c r="AP568" s="8">
        <f t="shared" si="169"/>
        <v>1.0252536129491887</v>
      </c>
      <c r="AQ568" s="8"/>
      <c r="AR568" s="8">
        <f t="shared" si="170"/>
        <v>210.35594948001383</v>
      </c>
      <c r="AS568" s="8">
        <f t="shared" si="171"/>
        <v>31.25729504747224</v>
      </c>
    </row>
    <row r="569" spans="1:45">
      <c r="A569" s="19">
        <v>25.925899999999999</v>
      </c>
      <c r="B569" s="19">
        <v>817.43402490000005</v>
      </c>
      <c r="C569" s="19">
        <v>526.49641120000001</v>
      </c>
      <c r="E569" s="9">
        <f t="shared" si="157"/>
        <v>-142.56597509999995</v>
      </c>
      <c r="F569" s="9">
        <f t="shared" si="158"/>
        <v>13.503588799999989</v>
      </c>
      <c r="I569">
        <v>1</v>
      </c>
      <c r="J569">
        <f t="shared" si="159"/>
        <v>9.1625944385371222E-2</v>
      </c>
      <c r="K569">
        <f t="shared" si="163"/>
        <v>3.0471562205255549</v>
      </c>
      <c r="O569">
        <f t="shared" si="164"/>
        <v>-9.1090096927257766E-2</v>
      </c>
      <c r="P569">
        <f t="shared" si="165"/>
        <v>8.6278876274303619E-3</v>
      </c>
      <c r="Q569">
        <f t="shared" si="166"/>
        <v>0.99580527905653882</v>
      </c>
      <c r="R569">
        <f t="shared" si="156"/>
        <v>1</v>
      </c>
      <c r="AG569" s="8">
        <f t="shared" si="160"/>
        <v>-0.73773425922936609</v>
      </c>
      <c r="AH569" s="8">
        <f t="shared" si="161"/>
        <v>-0.43174083657097173</v>
      </c>
      <c r="AI569" s="8">
        <f t="shared" si="162"/>
        <v>0.51898748809224282</v>
      </c>
      <c r="AJ569" s="8"/>
      <c r="AK569" s="8"/>
      <c r="AL569" s="8"/>
      <c r="AN569" s="8">
        <f t="shared" si="167"/>
        <v>1</v>
      </c>
      <c r="AO569" s="8">
        <f t="shared" si="168"/>
        <v>3.6710776466406312</v>
      </c>
      <c r="AP569" s="8">
        <f t="shared" si="169"/>
        <v>1.0251303293360232</v>
      </c>
      <c r="AQ569" s="8"/>
      <c r="AR569" s="8">
        <f t="shared" si="170"/>
        <v>210.33725541732673</v>
      </c>
      <c r="AS569" s="8">
        <f t="shared" si="171"/>
        <v>31.264358678189744</v>
      </c>
    </row>
    <row r="570" spans="1:45">
      <c r="A570" s="19">
        <v>25.959266670000002</v>
      </c>
      <c r="B570" s="19">
        <v>816.50830729999996</v>
      </c>
      <c r="C570" s="19">
        <v>526.68731790000004</v>
      </c>
      <c r="E570" s="9">
        <f t="shared" si="157"/>
        <v>-143.49169270000004</v>
      </c>
      <c r="F570" s="9">
        <f t="shared" si="158"/>
        <v>13.312682099999961</v>
      </c>
      <c r="I570">
        <v>1</v>
      </c>
      <c r="J570">
        <f t="shared" si="159"/>
        <v>9.2206187684282334E-2</v>
      </c>
      <c r="K570">
        <f t="shared" si="163"/>
        <v>3.0490808045999027</v>
      </c>
      <c r="O570">
        <f t="shared" si="164"/>
        <v>-9.1681856472190765E-2</v>
      </c>
      <c r="P570">
        <f t="shared" si="165"/>
        <v>8.5059377765086472E-3</v>
      </c>
      <c r="Q570">
        <f t="shared" si="166"/>
        <v>0.99575202044301914</v>
      </c>
      <c r="R570">
        <f t="shared" si="156"/>
        <v>1</v>
      </c>
      <c r="AG570" s="8">
        <f t="shared" si="160"/>
        <v>-0.73812402565680835</v>
      </c>
      <c r="AH570" s="8">
        <f t="shared" si="161"/>
        <v>-0.43132585003575946</v>
      </c>
      <c r="AI570" s="8">
        <f t="shared" si="162"/>
        <v>0.51877830895201948</v>
      </c>
      <c r="AJ570" s="8"/>
      <c r="AK570" s="8"/>
      <c r="AL570" s="8"/>
      <c r="AN570" s="8">
        <f t="shared" si="167"/>
        <v>1</v>
      </c>
      <c r="AO570" s="8">
        <f t="shared" si="168"/>
        <v>3.6704284217730656</v>
      </c>
      <c r="AP570" s="8">
        <f t="shared" si="169"/>
        <v>1.025375027568636</v>
      </c>
      <c r="AQ570" s="8"/>
      <c r="AR570" s="8">
        <f t="shared" si="170"/>
        <v>210.3000575724603</v>
      </c>
      <c r="AS570" s="8">
        <f t="shared" si="171"/>
        <v>31.250338502206723</v>
      </c>
    </row>
    <row r="571" spans="1:45">
      <c r="A571" s="19">
        <v>25.99263333</v>
      </c>
      <c r="B571" s="19">
        <v>815.72399170000006</v>
      </c>
      <c r="C571" s="19">
        <v>526.7560105</v>
      </c>
      <c r="E571" s="9">
        <f t="shared" si="157"/>
        <v>-144.27600829999994</v>
      </c>
      <c r="F571" s="9">
        <f t="shared" si="158"/>
        <v>13.243989499999998</v>
      </c>
      <c r="I571">
        <v>1</v>
      </c>
      <c r="J571">
        <f t="shared" si="159"/>
        <v>9.2703482903225859E-2</v>
      </c>
      <c r="K571">
        <f t="shared" si="163"/>
        <v>3.0500529979949631</v>
      </c>
      <c r="O571">
        <f t="shared" si="164"/>
        <v>-9.2183180675930801E-2</v>
      </c>
      <c r="P571">
        <f t="shared" si="165"/>
        <v>8.4620658093756823E-3</v>
      </c>
      <c r="Q571">
        <f t="shared" si="166"/>
        <v>0.995706108569545</v>
      </c>
      <c r="R571">
        <f t="shared" si="156"/>
        <v>1</v>
      </c>
      <c r="AG571" s="8">
        <f t="shared" si="160"/>
        <v>-0.73843437475289431</v>
      </c>
      <c r="AH571" s="8">
        <f t="shared" si="161"/>
        <v>-0.4309480473320968</v>
      </c>
      <c r="AI571" s="8">
        <f t="shared" si="162"/>
        <v>0.51865060945105912</v>
      </c>
      <c r="AJ571" s="8"/>
      <c r="AK571" s="8"/>
      <c r="AL571" s="8"/>
      <c r="AN571" s="8">
        <f t="shared" si="167"/>
        <v>1.0000000000000002</v>
      </c>
      <c r="AO571" s="8">
        <f t="shared" si="168"/>
        <v>3.6698637659675586</v>
      </c>
      <c r="AP571" s="8">
        <f t="shared" si="169"/>
        <v>1.0255243928735722</v>
      </c>
      <c r="AQ571" s="8"/>
      <c r="AR571" s="8">
        <f t="shared" si="170"/>
        <v>210.26770517792718</v>
      </c>
      <c r="AS571" s="8">
        <f t="shared" si="171"/>
        <v>31.241780500628195</v>
      </c>
    </row>
    <row r="572" spans="1:45">
      <c r="A572" s="19">
        <v>26.026</v>
      </c>
      <c r="B572" s="19">
        <v>814.83072259999994</v>
      </c>
      <c r="C572" s="19">
        <v>526.76674619999994</v>
      </c>
      <c r="E572" s="9">
        <f t="shared" si="157"/>
        <v>-145.16927740000006</v>
      </c>
      <c r="F572" s="9">
        <f t="shared" si="158"/>
        <v>13.233253800000057</v>
      </c>
      <c r="I572">
        <v>1</v>
      </c>
      <c r="J572">
        <f t="shared" si="159"/>
        <v>9.3273862350021802E-2</v>
      </c>
      <c r="K572">
        <f t="shared" si="163"/>
        <v>3.0506864987360065</v>
      </c>
      <c r="O572">
        <f t="shared" si="164"/>
        <v>-9.2754093123429276E-2</v>
      </c>
      <c r="P572">
        <f t="shared" si="165"/>
        <v>8.4552219124787182E-3</v>
      </c>
      <c r="Q572">
        <f t="shared" si="166"/>
        <v>0.99565314614641831</v>
      </c>
      <c r="R572">
        <f t="shared" si="156"/>
        <v>1</v>
      </c>
      <c r="AG572" s="8">
        <f t="shared" si="160"/>
        <v>-0.7387733327365783</v>
      </c>
      <c r="AH572" s="8">
        <f t="shared" si="161"/>
        <v>-0.43049871880962826</v>
      </c>
      <c r="AI572" s="8">
        <f t="shared" si="162"/>
        <v>0.51854104556973868</v>
      </c>
      <c r="AJ572" s="8"/>
      <c r="AK572" s="8"/>
      <c r="AL572" s="8"/>
      <c r="AN572" s="8">
        <f t="shared" si="167"/>
        <v>1.0000000000000002</v>
      </c>
      <c r="AO572" s="8">
        <f t="shared" si="168"/>
        <v>3.669210093201742</v>
      </c>
      <c r="AP572" s="8">
        <f t="shared" si="169"/>
        <v>1.0256525348396988</v>
      </c>
      <c r="AQ572" s="8"/>
      <c r="AR572" s="8">
        <f t="shared" si="170"/>
        <v>210.23025248726324</v>
      </c>
      <c r="AS572" s="8">
        <f t="shared" si="171"/>
        <v>31.234438506790632</v>
      </c>
    </row>
    <row r="573" spans="1:45">
      <c r="A573" s="19">
        <v>26.059366669999999</v>
      </c>
      <c r="B573" s="19">
        <v>814.69362330000001</v>
      </c>
      <c r="C573" s="19">
        <v>525.88470089999998</v>
      </c>
      <c r="E573" s="9">
        <f t="shared" si="157"/>
        <v>-145.30637669999999</v>
      </c>
      <c r="F573" s="9">
        <f t="shared" si="158"/>
        <v>14.115299100000016</v>
      </c>
      <c r="I573">
        <v>1</v>
      </c>
      <c r="J573">
        <f t="shared" si="159"/>
        <v>9.3414546354063696E-2</v>
      </c>
      <c r="K573">
        <f t="shared" si="163"/>
        <v>3.0447548584228827</v>
      </c>
      <c r="O573">
        <f t="shared" si="164"/>
        <v>-9.2841723638182966E-2</v>
      </c>
      <c r="P573">
        <f t="shared" si="165"/>
        <v>9.0187968888532366E-3</v>
      </c>
      <c r="Q573">
        <f t="shared" si="166"/>
        <v>0.99564003317191341</v>
      </c>
      <c r="R573">
        <f t="shared" si="156"/>
        <v>1</v>
      </c>
      <c r="AG573" s="8">
        <f t="shared" si="160"/>
        <v>-0.73863853214572783</v>
      </c>
      <c r="AH573" s="8">
        <f t="shared" si="161"/>
        <v>-0.43018182005294209</v>
      </c>
      <c r="AI573" s="8">
        <f t="shared" si="162"/>
        <v>0.51899587717586237</v>
      </c>
      <c r="AJ573" s="8"/>
      <c r="AK573" s="8"/>
      <c r="AL573" s="8"/>
      <c r="AN573" s="8">
        <f t="shared" si="167"/>
        <v>1</v>
      </c>
      <c r="AO573" s="8">
        <f t="shared" si="168"/>
        <v>3.6689691712105468</v>
      </c>
      <c r="AP573" s="8">
        <f t="shared" si="169"/>
        <v>1.0251205150088338</v>
      </c>
      <c r="AQ573" s="8"/>
      <c r="AR573" s="8">
        <f t="shared" si="170"/>
        <v>210.21644867397586</v>
      </c>
      <c r="AS573" s="8">
        <f t="shared" si="171"/>
        <v>31.264920997716459</v>
      </c>
    </row>
    <row r="574" spans="1:45">
      <c r="A574" s="19">
        <v>26.092733330000002</v>
      </c>
      <c r="B574" s="19">
        <v>814.59386640000002</v>
      </c>
      <c r="C574" s="19">
        <v>525.76725350000004</v>
      </c>
      <c r="E574" s="9">
        <f t="shared" si="157"/>
        <v>-145.40613359999998</v>
      </c>
      <c r="F574" s="9">
        <f t="shared" si="158"/>
        <v>14.232746499999962</v>
      </c>
      <c r="I574">
        <v>1</v>
      </c>
      <c r="J574">
        <f t="shared" si="159"/>
        <v>9.3485591977981938E-2</v>
      </c>
      <c r="K574">
        <f t="shared" si="163"/>
        <v>3.0440207636784118</v>
      </c>
      <c r="O574">
        <f t="shared" si="164"/>
        <v>-9.2905477159049565E-2</v>
      </c>
      <c r="P574">
        <f t="shared" si="165"/>
        <v>9.0938399373428382E-3</v>
      </c>
      <c r="Q574">
        <f t="shared" si="166"/>
        <v>0.99563340361251607</v>
      </c>
      <c r="R574">
        <f t="shared" si="156"/>
        <v>1</v>
      </c>
      <c r="AG574" s="8">
        <f t="shared" si="160"/>
        <v>-0.73865126810722581</v>
      </c>
      <c r="AH574" s="8">
        <f t="shared" si="161"/>
        <v>-0.43009833297903854</v>
      </c>
      <c r="AI574" s="8">
        <f t="shared" si="162"/>
        <v>0.51904694208928681</v>
      </c>
      <c r="AJ574" s="8"/>
      <c r="AK574" s="8"/>
      <c r="AL574" s="8"/>
      <c r="AN574" s="8">
        <f t="shared" si="167"/>
        <v>1.0000000000000002</v>
      </c>
      <c r="AO574" s="8">
        <f t="shared" si="168"/>
        <v>3.6688772686547999</v>
      </c>
      <c r="AP574" s="8">
        <f t="shared" si="169"/>
        <v>1.0250607732808661</v>
      </c>
      <c r="AQ574" s="8"/>
      <c r="AR574" s="8">
        <f t="shared" si="170"/>
        <v>210.21118304540511</v>
      </c>
      <c r="AS574" s="8">
        <f t="shared" si="171"/>
        <v>31.26834394658983</v>
      </c>
    </row>
    <row r="575" spans="1:45">
      <c r="A575" s="19">
        <v>26.126100000000001</v>
      </c>
      <c r="B575" s="19">
        <v>813.67474030000005</v>
      </c>
      <c r="C575" s="19">
        <v>525.75342760000001</v>
      </c>
      <c r="E575" s="9">
        <f t="shared" si="157"/>
        <v>-146.32525969999995</v>
      </c>
      <c r="F575" s="9">
        <f t="shared" si="158"/>
        <v>14.246572399999991</v>
      </c>
      <c r="I575">
        <v>1</v>
      </c>
      <c r="J575">
        <f t="shared" si="159"/>
        <v>9.4073609410537898E-2</v>
      </c>
      <c r="K575">
        <f t="shared" si="163"/>
        <v>3.0445362035291197</v>
      </c>
      <c r="O575">
        <f t="shared" si="164"/>
        <v>-9.3492830555208753E-2</v>
      </c>
      <c r="P575">
        <f t="shared" si="165"/>
        <v>9.1026824904771667E-3</v>
      </c>
      <c r="Q575">
        <f t="shared" si="166"/>
        <v>0.99557834036616755</v>
      </c>
      <c r="R575">
        <f t="shared" si="156"/>
        <v>1</v>
      </c>
      <c r="AG575" s="8">
        <f t="shared" si="160"/>
        <v>-0.73899443382223828</v>
      </c>
      <c r="AH575" s="8">
        <f t="shared" si="161"/>
        <v>-0.42962887017168067</v>
      </c>
      <c r="AI575" s="8">
        <f t="shared" si="162"/>
        <v>0.51894726195901142</v>
      </c>
      <c r="AJ575" s="8"/>
      <c r="AK575" s="8"/>
      <c r="AL575" s="8"/>
      <c r="AN575" s="8">
        <f t="shared" si="167"/>
        <v>1.0000000000000002</v>
      </c>
      <c r="AO575" s="8">
        <f t="shared" si="168"/>
        <v>3.6682006522884905</v>
      </c>
      <c r="AP575" s="8">
        <f t="shared" si="169"/>
        <v>1.0251773887807591</v>
      </c>
      <c r="AQ575" s="8"/>
      <c r="AR575" s="8">
        <f t="shared" si="170"/>
        <v>210.1724157832661</v>
      </c>
      <c r="AS575" s="8">
        <f t="shared" si="171"/>
        <v>31.261662370620151</v>
      </c>
    </row>
    <row r="576" spans="1:45">
      <c r="A576" s="19">
        <v>26.15946667</v>
      </c>
      <c r="B576" s="19">
        <v>813.56449850000001</v>
      </c>
      <c r="C576" s="19">
        <v>525.7960405</v>
      </c>
      <c r="E576" s="9">
        <f t="shared" si="157"/>
        <v>-146.43550149999999</v>
      </c>
      <c r="F576" s="9">
        <f t="shared" si="158"/>
        <v>14.203959499999996</v>
      </c>
      <c r="I576">
        <v>1</v>
      </c>
      <c r="J576">
        <f t="shared" si="159"/>
        <v>9.4141389362101438E-2</v>
      </c>
      <c r="K576">
        <f t="shared" si="163"/>
        <v>3.0448970942410662</v>
      </c>
      <c r="O576">
        <f t="shared" si="164"/>
        <v>-9.3563274351720224E-2</v>
      </c>
      <c r="P576">
        <f t="shared" si="165"/>
        <v>9.0754560606276617E-3</v>
      </c>
      <c r="Q576">
        <f t="shared" si="166"/>
        <v>0.99557197117530205</v>
      </c>
      <c r="R576">
        <f t="shared" si="156"/>
        <v>1</v>
      </c>
      <c r="AG576" s="8">
        <f t="shared" si="160"/>
        <v>-0.73904494078369753</v>
      </c>
      <c r="AH576" s="8">
        <f t="shared" si="161"/>
        <v>-0.42958497893674241</v>
      </c>
      <c r="AI576" s="8">
        <f t="shared" si="162"/>
        <v>0.51891167010767814</v>
      </c>
      <c r="AJ576" s="8"/>
      <c r="AK576" s="8"/>
      <c r="AL576" s="8"/>
      <c r="AN576" s="8">
        <f t="shared" si="167"/>
        <v>1</v>
      </c>
      <c r="AO576" s="8">
        <f t="shared" si="168"/>
        <v>3.6681265675441779</v>
      </c>
      <c r="AP576" s="8">
        <f t="shared" si="169"/>
        <v>1.0252190255857854</v>
      </c>
      <c r="AQ576" s="8"/>
      <c r="AR576" s="8">
        <f t="shared" si="170"/>
        <v>210.1681710400907</v>
      </c>
      <c r="AS576" s="8">
        <f t="shared" si="171"/>
        <v>31.259276757419734</v>
      </c>
    </row>
    <row r="577" spans="1:45">
      <c r="A577" s="19">
        <v>26.192833329999999</v>
      </c>
      <c r="B577" s="19">
        <v>812.68638580000004</v>
      </c>
      <c r="C577" s="19">
        <v>525.75221420000003</v>
      </c>
      <c r="E577" s="9">
        <f t="shared" si="157"/>
        <v>-147.31361419999996</v>
      </c>
      <c r="F577" s="9">
        <f t="shared" si="158"/>
        <v>14.247785799999974</v>
      </c>
      <c r="I577">
        <v>1</v>
      </c>
      <c r="J577">
        <f t="shared" si="159"/>
        <v>9.4705063790344532E-2</v>
      </c>
      <c r="K577">
        <f t="shared" si="163"/>
        <v>3.0451751718766964</v>
      </c>
      <c r="O577">
        <f t="shared" si="164"/>
        <v>-9.4124351553153823E-2</v>
      </c>
      <c r="P577">
        <f t="shared" si="165"/>
        <v>9.1034600350823145E-3</v>
      </c>
      <c r="Q577">
        <f t="shared" si="166"/>
        <v>0.99551882627104948</v>
      </c>
      <c r="R577">
        <f t="shared" si="156"/>
        <v>1</v>
      </c>
      <c r="AG577" s="8">
        <f t="shared" si="160"/>
        <v>-0.73936602857556843</v>
      </c>
      <c r="AH577" s="8">
        <f t="shared" si="161"/>
        <v>-0.42912774246099095</v>
      </c>
      <c r="AI577" s="8">
        <f t="shared" si="162"/>
        <v>0.51883258999288517</v>
      </c>
      <c r="AJ577" s="8"/>
      <c r="AK577" s="8"/>
      <c r="AL577" s="8"/>
      <c r="AN577" s="8">
        <f t="shared" si="167"/>
        <v>1.0000000000000002</v>
      </c>
      <c r="AO577" s="8">
        <f t="shared" si="168"/>
        <v>3.6674754027226504</v>
      </c>
      <c r="AP577" s="8">
        <f t="shared" si="169"/>
        <v>1.0253115329756683</v>
      </c>
      <c r="AQ577" s="8"/>
      <c r="AR577" s="8">
        <f t="shared" si="170"/>
        <v>210.13086204404976</v>
      </c>
      <c r="AS577" s="8">
        <f t="shared" si="171"/>
        <v>31.253976474405668</v>
      </c>
    </row>
    <row r="578" spans="1:45">
      <c r="A578" s="19">
        <v>26.226199999999999</v>
      </c>
      <c r="B578" s="19">
        <v>811.96065090000002</v>
      </c>
      <c r="C578" s="19">
        <v>525.77962739999998</v>
      </c>
      <c r="E578" s="9">
        <f t="shared" si="157"/>
        <v>-148.03934909999998</v>
      </c>
      <c r="F578" s="9">
        <f t="shared" si="158"/>
        <v>14.220372600000019</v>
      </c>
      <c r="I578">
        <v>1</v>
      </c>
      <c r="J578">
        <f t="shared" si="159"/>
        <v>9.516699359914034E-2</v>
      </c>
      <c r="K578">
        <f t="shared" si="163"/>
        <v>3.0458284165389329</v>
      </c>
      <c r="O578">
        <f t="shared" si="164"/>
        <v>-9.4588020990985983E-2</v>
      </c>
      <c r="P578">
        <f t="shared" si="165"/>
        <v>9.0859417456628372E-3</v>
      </c>
      <c r="Q578">
        <f t="shared" si="166"/>
        <v>0.99547503833476569</v>
      </c>
      <c r="R578">
        <f t="shared" si="156"/>
        <v>1</v>
      </c>
      <c r="AG578" s="8">
        <f t="shared" si="160"/>
        <v>-0.73964467074264384</v>
      </c>
      <c r="AH578" s="8">
        <f t="shared" si="161"/>
        <v>-0.42876762498028159</v>
      </c>
      <c r="AI578" s="8">
        <f t="shared" si="162"/>
        <v>0.51873315376094342</v>
      </c>
      <c r="AJ578" s="8"/>
      <c r="AK578" s="8"/>
      <c r="AL578" s="8"/>
      <c r="AN578" s="8">
        <f t="shared" si="167"/>
        <v>1</v>
      </c>
      <c r="AO578" s="8">
        <f t="shared" si="168"/>
        <v>3.666947491154088</v>
      </c>
      <c r="AP578" s="8">
        <f t="shared" si="169"/>
        <v>1.0254278454448442</v>
      </c>
      <c r="AQ578" s="8"/>
      <c r="AR578" s="8">
        <f t="shared" si="170"/>
        <v>210.10061493921501</v>
      </c>
      <c r="AS578" s="8">
        <f t="shared" si="171"/>
        <v>31.247312260817147</v>
      </c>
    </row>
    <row r="579" spans="1:45">
      <c r="A579" s="19">
        <v>26.259566670000002</v>
      </c>
      <c r="B579" s="19">
        <v>812.77823920000003</v>
      </c>
      <c r="C579" s="19">
        <v>524.90710309999997</v>
      </c>
      <c r="E579" s="9">
        <f t="shared" si="157"/>
        <v>-147.22176079999997</v>
      </c>
      <c r="F579" s="9">
        <f t="shared" si="158"/>
        <v>15.092896900000028</v>
      </c>
      <c r="I579">
        <v>1</v>
      </c>
      <c r="J579">
        <f t="shared" si="159"/>
        <v>9.470016793516145E-2</v>
      </c>
      <c r="K579">
        <f t="shared" si="163"/>
        <v>3.0394314479226963</v>
      </c>
      <c r="O579">
        <f t="shared" si="164"/>
        <v>-9.406566298017234E-2</v>
      </c>
      <c r="P579">
        <f t="shared" si="165"/>
        <v>9.6434341328017342E-3</v>
      </c>
      <c r="Q579">
        <f t="shared" si="166"/>
        <v>0.995519289228605</v>
      </c>
      <c r="R579">
        <f t="shared" si="156"/>
        <v>1</v>
      </c>
      <c r="AG579" s="8">
        <f t="shared" si="160"/>
        <v>-0.73915259457005411</v>
      </c>
      <c r="AH579" s="8">
        <f t="shared" si="161"/>
        <v>-0.42893702353108792</v>
      </c>
      <c r="AI579" s="8">
        <f t="shared" si="162"/>
        <v>0.51929420542178995</v>
      </c>
      <c r="AJ579" s="8"/>
      <c r="AK579" s="8"/>
      <c r="AL579" s="8"/>
      <c r="AN579" s="8">
        <f t="shared" si="167"/>
        <v>1</v>
      </c>
      <c r="AO579" s="8">
        <f t="shared" si="168"/>
        <v>3.6674077563158858</v>
      </c>
      <c r="AP579" s="8">
        <f t="shared" si="169"/>
        <v>1.0247714649547841</v>
      </c>
      <c r="AQ579" s="8"/>
      <c r="AR579" s="8">
        <f t="shared" si="170"/>
        <v>210.12698619044295</v>
      </c>
      <c r="AS579" s="8">
        <f t="shared" si="171"/>
        <v>31.284920092652321</v>
      </c>
    </row>
    <row r="580" spans="1:45">
      <c r="A580" s="19">
        <v>26.29293333</v>
      </c>
      <c r="B580" s="19">
        <v>810.75184100000001</v>
      </c>
      <c r="C580" s="19">
        <v>525.76289020000002</v>
      </c>
      <c r="E580" s="9">
        <f t="shared" si="157"/>
        <v>-149.24815899999999</v>
      </c>
      <c r="F580" s="9">
        <f t="shared" si="158"/>
        <v>14.237109799999985</v>
      </c>
      <c r="I580">
        <v>1</v>
      </c>
      <c r="J580">
        <f t="shared" si="159"/>
        <v>9.5940237862328442E-2</v>
      </c>
      <c r="K580">
        <f t="shared" si="163"/>
        <v>3.0464882327936724</v>
      </c>
      <c r="O580">
        <f t="shared" si="164"/>
        <v>-9.5360233966850158E-2</v>
      </c>
      <c r="P580">
        <f t="shared" si="165"/>
        <v>9.0966222339783475E-3</v>
      </c>
      <c r="Q580">
        <f t="shared" si="166"/>
        <v>0.99540126443646826</v>
      </c>
      <c r="R580">
        <f t="shared" si="156"/>
        <v>1</v>
      </c>
      <c r="AG580" s="8">
        <f t="shared" si="160"/>
        <v>-0.74009520503012272</v>
      </c>
      <c r="AH580" s="8">
        <f t="shared" si="161"/>
        <v>-0.42815011964322836</v>
      </c>
      <c r="AI580" s="8">
        <f t="shared" si="162"/>
        <v>0.5186005809299773</v>
      </c>
      <c r="AJ580" s="8"/>
      <c r="AK580" s="8"/>
      <c r="AL580" s="8"/>
      <c r="AN580" s="8">
        <f t="shared" si="167"/>
        <v>1</v>
      </c>
      <c r="AO580" s="8">
        <f t="shared" si="168"/>
        <v>3.6660584039301432</v>
      </c>
      <c r="AP580" s="8">
        <f t="shared" si="169"/>
        <v>1.0255829056640111</v>
      </c>
      <c r="AQ580" s="8"/>
      <c r="AR580" s="8">
        <f t="shared" si="170"/>
        <v>210.04967399366399</v>
      </c>
      <c r="AS580" s="8">
        <f t="shared" si="171"/>
        <v>31.238427964688512</v>
      </c>
    </row>
    <row r="581" spans="1:45">
      <c r="A581" s="19">
        <v>26.3263</v>
      </c>
      <c r="B581" s="19">
        <v>810.53133479999997</v>
      </c>
      <c r="C581" s="19">
        <v>524.76332909999996</v>
      </c>
      <c r="E581" s="9">
        <f t="shared" si="157"/>
        <v>-149.46866520000003</v>
      </c>
      <c r="F581" s="9">
        <f t="shared" si="158"/>
        <v>15.236670900000036</v>
      </c>
      <c r="I581">
        <v>1</v>
      </c>
      <c r="J581">
        <f t="shared" si="159"/>
        <v>9.6144038728964959E-2</v>
      </c>
      <c r="K581">
        <f t="shared" si="163"/>
        <v>3.0400046716880458</v>
      </c>
      <c r="O581">
        <f t="shared" si="164"/>
        <v>-9.5501067344059984E-2</v>
      </c>
      <c r="P581">
        <f t="shared" si="165"/>
        <v>9.7352734887485096E-3</v>
      </c>
      <c r="Q581">
        <f t="shared" si="166"/>
        <v>0.99538172104285927</v>
      </c>
      <c r="R581">
        <f t="shared" si="156"/>
        <v>1</v>
      </c>
      <c r="AG581" s="8">
        <f t="shared" si="160"/>
        <v>-0.7399663734477484</v>
      </c>
      <c r="AH581" s="8">
        <f t="shared" si="161"/>
        <v>-0.42775768398388569</v>
      </c>
      <c r="AI581" s="8">
        <f t="shared" si="162"/>
        <v>0.51910801376912818</v>
      </c>
      <c r="AJ581" s="8"/>
      <c r="AK581" s="8"/>
      <c r="AL581" s="8"/>
      <c r="AN581" s="8">
        <f t="shared" si="167"/>
        <v>0.99999999999999978</v>
      </c>
      <c r="AO581" s="8">
        <f t="shared" si="168"/>
        <v>3.6657364503426715</v>
      </c>
      <c r="AP581" s="8">
        <f t="shared" si="169"/>
        <v>1.0249893216171357</v>
      </c>
      <c r="AQ581" s="8"/>
      <c r="AR581" s="8">
        <f t="shared" si="170"/>
        <v>210.03122741190276</v>
      </c>
      <c r="AS581" s="8">
        <f t="shared" si="171"/>
        <v>31.272437825360768</v>
      </c>
    </row>
    <row r="582" spans="1:45">
      <c r="A582" s="19">
        <v>26.359666669999999</v>
      </c>
      <c r="B582" s="19">
        <v>810.66854439999997</v>
      </c>
      <c r="C582" s="19">
        <v>524.86122369999998</v>
      </c>
      <c r="E582" s="9">
        <f t="shared" si="157"/>
        <v>-149.33145560000003</v>
      </c>
      <c r="F582" s="9">
        <f t="shared" si="158"/>
        <v>15.138776300000018</v>
      </c>
      <c r="I582">
        <v>1</v>
      </c>
      <c r="J582">
        <f t="shared" si="159"/>
        <v>9.6050087559663655E-2</v>
      </c>
      <c r="K582">
        <f t="shared" si="163"/>
        <v>3.0405608126709645</v>
      </c>
      <c r="O582">
        <f t="shared" si="164"/>
        <v>-9.5413425941298438E-2</v>
      </c>
      <c r="P582">
        <f t="shared" si="165"/>
        <v>9.6727277286510118E-3</v>
      </c>
      <c r="Q582">
        <f t="shared" si="166"/>
        <v>0.99539073558499214</v>
      </c>
      <c r="R582">
        <f t="shared" si="156"/>
        <v>1</v>
      </c>
      <c r="AG582" s="8">
        <f t="shared" si="160"/>
        <v>-0.73993560374984058</v>
      </c>
      <c r="AH582" s="8">
        <f t="shared" si="161"/>
        <v>-0.42785474967270487</v>
      </c>
      <c r="AI582" s="8">
        <f t="shared" si="162"/>
        <v>0.51907187892031503</v>
      </c>
      <c r="AJ582" s="8"/>
      <c r="AK582" s="8"/>
      <c r="AL582" s="8"/>
      <c r="AN582" s="8">
        <f t="shared" si="167"/>
        <v>1.0000000000000002</v>
      </c>
      <c r="AO582" s="8">
        <f t="shared" si="168"/>
        <v>3.6658527843778117</v>
      </c>
      <c r="AP582" s="8">
        <f t="shared" si="169"/>
        <v>1.0250315984620841</v>
      </c>
      <c r="AQ582" s="8"/>
      <c r="AR582" s="8">
        <f t="shared" si="170"/>
        <v>210.03789286113002</v>
      </c>
      <c r="AS582" s="8">
        <f t="shared" si="171"/>
        <v>31.270015540574093</v>
      </c>
    </row>
    <row r="583" spans="1:45">
      <c r="A583" s="19">
        <v>26.393033330000002</v>
      </c>
      <c r="B583" s="19">
        <v>810.07289390000005</v>
      </c>
      <c r="C583" s="19">
        <v>524.79822139999999</v>
      </c>
      <c r="E583" s="9">
        <f t="shared" si="157"/>
        <v>-149.92710609999995</v>
      </c>
      <c r="F583" s="9">
        <f t="shared" si="158"/>
        <v>15.201778600000011</v>
      </c>
      <c r="I583">
        <v>1</v>
      </c>
      <c r="J583">
        <f t="shared" si="159"/>
        <v>9.6434447297284384E-2</v>
      </c>
      <c r="K583">
        <f t="shared" si="163"/>
        <v>3.0405435348946339</v>
      </c>
      <c r="O583">
        <f t="shared" si="164"/>
        <v>-9.5793888240918765E-2</v>
      </c>
      <c r="P583">
        <f t="shared" si="165"/>
        <v>9.7129699768919425E-3</v>
      </c>
      <c r="Q583">
        <f t="shared" si="166"/>
        <v>0.9953538010124412</v>
      </c>
      <c r="R583">
        <f t="shared" si="156"/>
        <v>1</v>
      </c>
      <c r="AG583" s="8">
        <f t="shared" si="160"/>
        <v>-0.74014581320703698</v>
      </c>
      <c r="AH583" s="8">
        <f t="shared" si="161"/>
        <v>-0.42753500988301513</v>
      </c>
      <c r="AI583" s="8">
        <f t="shared" si="162"/>
        <v>0.51903563511229578</v>
      </c>
      <c r="AJ583" s="8"/>
      <c r="AK583" s="8"/>
      <c r="AL583" s="8"/>
      <c r="AN583" s="8">
        <f t="shared" si="167"/>
        <v>1.0000000000000002</v>
      </c>
      <c r="AO583" s="8">
        <f t="shared" si="168"/>
        <v>3.6654058455742162</v>
      </c>
      <c r="AP583" s="8">
        <f t="shared" si="169"/>
        <v>1.0250740016961841</v>
      </c>
      <c r="AQ583" s="8"/>
      <c r="AR583" s="8">
        <f t="shared" si="170"/>
        <v>210.01228515398336</v>
      </c>
      <c r="AS583" s="8">
        <f t="shared" si="171"/>
        <v>31.267586014222459</v>
      </c>
    </row>
    <row r="584" spans="1:45">
      <c r="A584" s="19">
        <v>26.426400000000001</v>
      </c>
      <c r="B584" s="19">
        <v>809.55345639999996</v>
      </c>
      <c r="C584" s="19">
        <v>524.71963800000003</v>
      </c>
      <c r="E584" s="9">
        <f t="shared" si="157"/>
        <v>-150.44654360000004</v>
      </c>
      <c r="F584" s="9">
        <f t="shared" si="158"/>
        <v>15.280361999999968</v>
      </c>
      <c r="I584">
        <v>1</v>
      </c>
      <c r="J584">
        <f t="shared" si="159"/>
        <v>9.6771148195791079E-2</v>
      </c>
      <c r="K584">
        <f t="shared" si="163"/>
        <v>3.0403730348033982</v>
      </c>
      <c r="O584">
        <f t="shared" si="164"/>
        <v>-9.61256465288058E-2</v>
      </c>
      <c r="P584">
        <f t="shared" si="165"/>
        <v>9.7631666457520128E-3</v>
      </c>
      <c r="Q584">
        <f t="shared" si="166"/>
        <v>0.99532132532989881</v>
      </c>
      <c r="R584">
        <f t="shared" si="156"/>
        <v>1</v>
      </c>
      <c r="AG584" s="8">
        <f t="shared" si="160"/>
        <v>-0.74032402187949897</v>
      </c>
      <c r="AH584" s="8">
        <f t="shared" si="161"/>
        <v>-0.42724949905915444</v>
      </c>
      <c r="AI584" s="8">
        <f t="shared" si="162"/>
        <v>0.51901657794512179</v>
      </c>
      <c r="AJ584" s="8"/>
      <c r="AK584" s="8"/>
      <c r="AL584" s="8"/>
      <c r="AN584" s="8">
        <f t="shared" si="167"/>
        <v>1</v>
      </c>
      <c r="AO584" s="8">
        <f t="shared" si="168"/>
        <v>3.6650123259851721</v>
      </c>
      <c r="AP584" s="8">
        <f t="shared" si="169"/>
        <v>1.0250962970810051</v>
      </c>
      <c r="AQ584" s="8"/>
      <c r="AR584" s="8">
        <f t="shared" si="170"/>
        <v>209.98973814237542</v>
      </c>
      <c r="AS584" s="8">
        <f t="shared" si="171"/>
        <v>31.266308582769597</v>
      </c>
    </row>
    <row r="585" spans="1:45">
      <c r="A585" s="19">
        <v>26.45976667</v>
      </c>
      <c r="B585" s="19">
        <v>809.25005290000001</v>
      </c>
      <c r="C585" s="19">
        <v>525.04755499999999</v>
      </c>
      <c r="E585" s="9">
        <f t="shared" si="157"/>
        <v>-150.74994709999999</v>
      </c>
      <c r="F585" s="9">
        <f t="shared" si="158"/>
        <v>14.952445000000012</v>
      </c>
      <c r="I585">
        <v>1</v>
      </c>
      <c r="J585">
        <f t="shared" si="159"/>
        <v>9.6943843100710303E-2</v>
      </c>
      <c r="K585">
        <f t="shared" si="163"/>
        <v>3.0427289505505226</v>
      </c>
      <c r="O585">
        <f t="shared" si="164"/>
        <v>-9.6319427097634802E-2</v>
      </c>
      <c r="P585">
        <f t="shared" si="165"/>
        <v>9.5536414029620455E-3</v>
      </c>
      <c r="Q585">
        <f t="shared" si="166"/>
        <v>0.99530462467504244</v>
      </c>
      <c r="R585">
        <f t="shared" si="156"/>
        <v>1</v>
      </c>
      <c r="AG585" s="8">
        <f t="shared" si="160"/>
        <v>-0.74050725455262645</v>
      </c>
      <c r="AH585" s="8">
        <f t="shared" si="161"/>
        <v>-0.42718769108502558</v>
      </c>
      <c r="AI585" s="8">
        <f t="shared" si="162"/>
        <v>0.51880601629161605</v>
      </c>
      <c r="AJ585" s="8"/>
      <c r="AK585" s="8"/>
      <c r="AL585" s="8"/>
      <c r="AN585" s="8">
        <f t="shared" si="167"/>
        <v>1</v>
      </c>
      <c r="AO585" s="8">
        <f t="shared" si="168"/>
        <v>3.6648425726990741</v>
      </c>
      <c r="AP585" s="8">
        <f t="shared" si="169"/>
        <v>1.0253426175479652</v>
      </c>
      <c r="AQ585" s="8"/>
      <c r="AR585" s="8">
        <f t="shared" si="170"/>
        <v>209.98001199552351</v>
      </c>
      <c r="AS585" s="8">
        <f t="shared" si="171"/>
        <v>31.25219545960509</v>
      </c>
    </row>
    <row r="586" spans="1:45">
      <c r="A586" s="19">
        <v>26.493133329999999</v>
      </c>
      <c r="B586" s="19">
        <v>808.76817940000001</v>
      </c>
      <c r="C586" s="19">
        <v>524.76420770000004</v>
      </c>
      <c r="E586" s="9">
        <f t="shared" si="157"/>
        <v>-151.23182059999999</v>
      </c>
      <c r="F586" s="9">
        <f t="shared" si="158"/>
        <v>15.235792299999957</v>
      </c>
      <c r="I586">
        <v>1</v>
      </c>
      <c r="J586">
        <f t="shared" si="159"/>
        <v>9.7269587381691086E-2</v>
      </c>
      <c r="K586">
        <f t="shared" si="163"/>
        <v>3.041186808045385</v>
      </c>
      <c r="O586">
        <f t="shared" si="164"/>
        <v>-9.6627156281358081E-2</v>
      </c>
      <c r="P586">
        <f t="shared" si="165"/>
        <v>9.7346661423608673E-3</v>
      </c>
      <c r="Q586">
        <f t="shared" si="166"/>
        <v>0.99527304240799908</v>
      </c>
      <c r="R586">
        <f t="shared" si="156"/>
        <v>1</v>
      </c>
      <c r="AG586" s="8">
        <f t="shared" si="160"/>
        <v>-0.7406278771793835</v>
      </c>
      <c r="AH586" s="8">
        <f t="shared" si="161"/>
        <v>-0.42686367836210493</v>
      </c>
      <c r="AI586" s="8">
        <f t="shared" si="162"/>
        <v>0.51890051805710646</v>
      </c>
      <c r="AJ586" s="8"/>
      <c r="AK586" s="8"/>
      <c r="AL586" s="8"/>
      <c r="AN586" s="8">
        <f t="shared" si="167"/>
        <v>1</v>
      </c>
      <c r="AO586" s="8">
        <f t="shared" si="168"/>
        <v>3.6644437416132245</v>
      </c>
      <c r="AP586" s="8">
        <f t="shared" si="169"/>
        <v>1.0252320714946421</v>
      </c>
      <c r="AQ586" s="8"/>
      <c r="AR586" s="8">
        <f t="shared" si="170"/>
        <v>209.95716065756571</v>
      </c>
      <c r="AS586" s="8">
        <f t="shared" si="171"/>
        <v>31.258529281902334</v>
      </c>
    </row>
    <row r="587" spans="1:45">
      <c r="A587" s="19">
        <v>26.526499999999999</v>
      </c>
      <c r="B587" s="19">
        <v>808.42536500000006</v>
      </c>
      <c r="C587" s="19">
        <v>524.55457200000001</v>
      </c>
      <c r="E587" s="9">
        <f t="shared" si="157"/>
        <v>-151.57463499999994</v>
      </c>
      <c r="F587" s="9">
        <f t="shared" si="158"/>
        <v>15.445427999999993</v>
      </c>
      <c r="I587">
        <v>1</v>
      </c>
      <c r="J587">
        <f t="shared" si="159"/>
        <v>9.7501986010296027E-2</v>
      </c>
      <c r="K587">
        <f t="shared" si="163"/>
        <v>3.0400433473187403</v>
      </c>
      <c r="O587">
        <f t="shared" si="164"/>
        <v>-9.6846067795256008E-2</v>
      </c>
      <c r="P587">
        <f t="shared" si="165"/>
        <v>9.8685968613069549E-3</v>
      </c>
      <c r="Q587">
        <f t="shared" si="166"/>
        <v>0.99525044584194267</v>
      </c>
      <c r="R587">
        <f t="shared" si="156"/>
        <v>1</v>
      </c>
      <c r="AG587" s="8">
        <f t="shared" si="160"/>
        <v>-0.74071192244661666</v>
      </c>
      <c r="AH587" s="8">
        <f t="shared" si="161"/>
        <v>-0.42663087747314477</v>
      </c>
      <c r="AI587" s="8">
        <f t="shared" si="162"/>
        <v>0.51897200534511678</v>
      </c>
      <c r="AJ587" s="8"/>
      <c r="AK587" s="8"/>
      <c r="AL587" s="8"/>
      <c r="AN587" s="8">
        <f t="shared" si="167"/>
        <v>1</v>
      </c>
      <c r="AO587" s="8">
        <f t="shared" si="168"/>
        <v>3.664158681761414</v>
      </c>
      <c r="AP587" s="8">
        <f t="shared" si="169"/>
        <v>1.0251484423343808</v>
      </c>
      <c r="AQ587" s="8"/>
      <c r="AR587" s="8">
        <f t="shared" si="170"/>
        <v>209.94082793114836</v>
      </c>
      <c r="AS587" s="8">
        <f t="shared" si="171"/>
        <v>31.263320879829529</v>
      </c>
    </row>
    <row r="588" spans="1:45">
      <c r="A588" s="19">
        <v>26.559866670000002</v>
      </c>
      <c r="B588" s="19">
        <v>807.95495359999995</v>
      </c>
      <c r="C588" s="19">
        <v>524.77327219999995</v>
      </c>
      <c r="E588" s="9">
        <f t="shared" si="157"/>
        <v>-152.04504640000005</v>
      </c>
      <c r="F588" s="9">
        <f t="shared" si="158"/>
        <v>15.226727800000049</v>
      </c>
      <c r="I588">
        <v>1</v>
      </c>
      <c r="J588">
        <f t="shared" si="159"/>
        <v>9.7788175500607394E-2</v>
      </c>
      <c r="K588">
        <f t="shared" si="163"/>
        <v>3.0417792886553938</v>
      </c>
      <c r="O588">
        <f t="shared" si="164"/>
        <v>-9.7146461754123559E-2</v>
      </c>
      <c r="P588">
        <f t="shared" si="165"/>
        <v>9.7288452658406098E-3</v>
      </c>
      <c r="Q588">
        <f t="shared" si="166"/>
        <v>0.99522254523219478</v>
      </c>
      <c r="R588">
        <f t="shared" si="156"/>
        <v>1</v>
      </c>
      <c r="AG588" s="8">
        <f t="shared" si="160"/>
        <v>-0.7409344759106038</v>
      </c>
      <c r="AH588" s="8">
        <f t="shared" si="161"/>
        <v>-0.42645361671627396</v>
      </c>
      <c r="AI588" s="8">
        <f t="shared" si="162"/>
        <v>0.518799976095497</v>
      </c>
      <c r="AJ588" s="8"/>
      <c r="AK588" s="8"/>
      <c r="AL588" s="8"/>
      <c r="AN588" s="8">
        <f t="shared" si="167"/>
        <v>1</v>
      </c>
      <c r="AO588" s="8">
        <f t="shared" si="168"/>
        <v>3.6638490750912522</v>
      </c>
      <c r="AP588" s="8">
        <f t="shared" si="169"/>
        <v>1.0253496829822284</v>
      </c>
      <c r="AQ588" s="8"/>
      <c r="AR588" s="8">
        <f t="shared" si="170"/>
        <v>209.92308877563897</v>
      </c>
      <c r="AS588" s="8">
        <f t="shared" si="171"/>
        <v>31.251790640041385</v>
      </c>
    </row>
    <row r="589" spans="1:45">
      <c r="A589" s="19">
        <v>26.59323333</v>
      </c>
      <c r="B589" s="19">
        <v>806.88255800000002</v>
      </c>
      <c r="C589" s="19">
        <v>524.77509959999998</v>
      </c>
      <c r="E589" s="9">
        <f t="shared" si="157"/>
        <v>-153.11744199999998</v>
      </c>
      <c r="F589" s="9">
        <f t="shared" si="158"/>
        <v>15.224900400000024</v>
      </c>
      <c r="I589">
        <v>1</v>
      </c>
      <c r="J589">
        <f t="shared" si="159"/>
        <v>9.8472685845881994E-2</v>
      </c>
      <c r="K589">
        <f t="shared" si="163"/>
        <v>3.0424855881979318</v>
      </c>
      <c r="O589">
        <f t="shared" si="164"/>
        <v>-9.7831183411268008E-2</v>
      </c>
      <c r="P589">
        <f t="shared" si="165"/>
        <v>9.7276313135553107E-3</v>
      </c>
      <c r="Q589">
        <f t="shared" si="166"/>
        <v>0.99515548169187029</v>
      </c>
      <c r="R589">
        <f t="shared" si="156"/>
        <v>1</v>
      </c>
      <c r="AG589" s="8">
        <f t="shared" si="160"/>
        <v>-0.74133630853893162</v>
      </c>
      <c r="AH589" s="8">
        <f t="shared" si="161"/>
        <v>-0.42590988512673372</v>
      </c>
      <c r="AI589" s="8">
        <f t="shared" si="162"/>
        <v>0.51867258207196809</v>
      </c>
      <c r="AJ589" s="8"/>
      <c r="AK589" s="8"/>
      <c r="AL589" s="8"/>
      <c r="AN589" s="8">
        <f t="shared" si="167"/>
        <v>1</v>
      </c>
      <c r="AO589" s="8">
        <f t="shared" si="168"/>
        <v>3.6630634374302806</v>
      </c>
      <c r="AP589" s="8">
        <f t="shared" si="169"/>
        <v>1.0254986932891386</v>
      </c>
      <c r="AQ589" s="8"/>
      <c r="AR589" s="8">
        <f t="shared" si="170"/>
        <v>209.87807505343878</v>
      </c>
      <c r="AS589" s="8">
        <f t="shared" si="171"/>
        <v>31.243252978351485</v>
      </c>
    </row>
    <row r="590" spans="1:45">
      <c r="A590" s="19">
        <v>26.6266</v>
      </c>
      <c r="B590" s="19">
        <v>806.69498290000001</v>
      </c>
      <c r="C590" s="19">
        <v>523.77653580000003</v>
      </c>
      <c r="E590" s="9">
        <f t="shared" si="157"/>
        <v>-153.30501709999999</v>
      </c>
      <c r="F590" s="9">
        <f t="shared" si="158"/>
        <v>16.223464199999967</v>
      </c>
      <c r="I590">
        <v>1</v>
      </c>
      <c r="J590">
        <f t="shared" si="159"/>
        <v>9.865779953653088E-2</v>
      </c>
      <c r="K590">
        <f t="shared" si="163"/>
        <v>3.0361603155778973</v>
      </c>
      <c r="O590">
        <f t="shared" si="164"/>
        <v>-9.7950889140977493E-2</v>
      </c>
      <c r="P590">
        <f t="shared" si="165"/>
        <v>1.0365627775249202E-2</v>
      </c>
      <c r="Q590">
        <f t="shared" si="166"/>
        <v>0.99513726544498216</v>
      </c>
      <c r="R590">
        <f t="shared" si="156"/>
        <v>1</v>
      </c>
      <c r="AG590" s="8">
        <f t="shared" si="160"/>
        <v>-0.74119479540159505</v>
      </c>
      <c r="AH590" s="8">
        <f t="shared" si="161"/>
        <v>-0.42553415247074422</v>
      </c>
      <c r="AI590" s="8">
        <f t="shared" si="162"/>
        <v>0.51918297386431411</v>
      </c>
      <c r="AJ590" s="8"/>
      <c r="AK590" s="8"/>
      <c r="AL590" s="8"/>
      <c r="AN590" s="8">
        <f t="shared" si="167"/>
        <v>1</v>
      </c>
      <c r="AO590" s="8">
        <f t="shared" si="168"/>
        <v>3.6627647262180503</v>
      </c>
      <c r="AP590" s="8">
        <f t="shared" si="169"/>
        <v>1.024901616769252</v>
      </c>
      <c r="AQ590" s="8"/>
      <c r="AR590" s="8">
        <f t="shared" si="170"/>
        <v>209.86096016168474</v>
      </c>
      <c r="AS590" s="8">
        <f t="shared" si="171"/>
        <v>31.277462942987341</v>
      </c>
    </row>
    <row r="591" spans="1:45">
      <c r="A591" s="19">
        <v>26.659966669999999</v>
      </c>
      <c r="B591" s="19">
        <v>805.51976079999997</v>
      </c>
      <c r="C591" s="19">
        <v>523.64956170000005</v>
      </c>
      <c r="E591" s="9">
        <f t="shared" si="157"/>
        <v>-154.48023920000003</v>
      </c>
      <c r="F591" s="9">
        <f t="shared" si="158"/>
        <v>16.350438299999951</v>
      </c>
      <c r="I591">
        <v>1</v>
      </c>
      <c r="J591">
        <f t="shared" si="159"/>
        <v>9.9416110745218972E-2</v>
      </c>
      <c r="K591">
        <f t="shared" si="163"/>
        <v>3.036143629620808</v>
      </c>
      <c r="O591">
        <f t="shared" si="164"/>
        <v>-9.8701120043122523E-2</v>
      </c>
      <c r="P591">
        <f t="shared" si="165"/>
        <v>1.0446686137743645E-2</v>
      </c>
      <c r="Q591">
        <f t="shared" si="166"/>
        <v>0.99506228732224222</v>
      </c>
      <c r="R591">
        <f t="shared" si="156"/>
        <v>1</v>
      </c>
      <c r="AG591" s="8">
        <f t="shared" si="160"/>
        <v>-0.74160728367258222</v>
      </c>
      <c r="AH591" s="8">
        <f t="shared" si="161"/>
        <v>-0.42490183343160404</v>
      </c>
      <c r="AI591" s="8">
        <f t="shared" si="162"/>
        <v>0.51911180756195063</v>
      </c>
      <c r="AJ591" s="8"/>
      <c r="AK591" s="8"/>
      <c r="AL591" s="8"/>
      <c r="AN591" s="8">
        <f t="shared" si="167"/>
        <v>1</v>
      </c>
      <c r="AO591" s="8">
        <f t="shared" si="168"/>
        <v>3.6618828482288781</v>
      </c>
      <c r="AP591" s="8">
        <f t="shared" si="169"/>
        <v>1.0249848829140145</v>
      </c>
      <c r="AQ591" s="8"/>
      <c r="AR591" s="8">
        <f t="shared" si="170"/>
        <v>209.81043227485969</v>
      </c>
      <c r="AS591" s="8">
        <f t="shared" si="171"/>
        <v>31.272692144316125</v>
      </c>
    </row>
    <row r="592" spans="1:45">
      <c r="A592" s="19">
        <v>26.693333330000002</v>
      </c>
      <c r="B592" s="19">
        <v>805.62374380000006</v>
      </c>
      <c r="C592" s="19">
        <v>523.68932810000001</v>
      </c>
      <c r="E592" s="9">
        <f t="shared" si="157"/>
        <v>-154.37625619999994</v>
      </c>
      <c r="F592" s="9">
        <f t="shared" si="158"/>
        <v>16.310671899999988</v>
      </c>
      <c r="I592">
        <v>1</v>
      </c>
      <c r="J592">
        <f t="shared" si="159"/>
        <v>9.9347093529815286E-2</v>
      </c>
      <c r="K592">
        <f t="shared" si="163"/>
        <v>3.0363278717158706</v>
      </c>
      <c r="O592">
        <f t="shared" si="164"/>
        <v>-9.8634746563345602E-2</v>
      </c>
      <c r="P592">
        <f t="shared" si="165"/>
        <v>1.042128516868634E-2</v>
      </c>
      <c r="Q592">
        <f t="shared" si="166"/>
        <v>0.99506913507847161</v>
      </c>
      <c r="R592">
        <f t="shared" si="156"/>
        <v>1</v>
      </c>
      <c r="AG592" s="8">
        <f t="shared" si="160"/>
        <v>-0.74157685909444948</v>
      </c>
      <c r="AH592" s="8">
        <f t="shared" si="161"/>
        <v>-0.42496580695724823</v>
      </c>
      <c r="AI592" s="8">
        <f t="shared" si="162"/>
        <v>0.5191029040303915</v>
      </c>
      <c r="AJ592" s="8"/>
      <c r="AK592" s="8"/>
      <c r="AL592" s="8"/>
      <c r="AN592" s="8">
        <f t="shared" si="167"/>
        <v>1</v>
      </c>
      <c r="AO592" s="8">
        <f t="shared" si="168"/>
        <v>3.6619654880847201</v>
      </c>
      <c r="AP592" s="8">
        <f t="shared" si="169"/>
        <v>1.0249952999461049</v>
      </c>
      <c r="AQ592" s="8"/>
      <c r="AR592" s="8">
        <f t="shared" si="170"/>
        <v>209.81516718981902</v>
      </c>
      <c r="AS592" s="8">
        <f t="shared" si="171"/>
        <v>31.272095292342293</v>
      </c>
    </row>
    <row r="593" spans="1:45">
      <c r="A593" s="19">
        <v>26.726700000000001</v>
      </c>
      <c r="B593" s="19">
        <v>804.62347339999997</v>
      </c>
      <c r="C593" s="19">
        <v>523.68516250000005</v>
      </c>
      <c r="E593" s="9">
        <f t="shared" si="157"/>
        <v>-155.37652660000003</v>
      </c>
      <c r="F593" s="9">
        <f t="shared" si="158"/>
        <v>16.314837499999953</v>
      </c>
      <c r="I593">
        <v>1</v>
      </c>
      <c r="J593">
        <f t="shared" si="159"/>
        <v>9.9985490418989978E-2</v>
      </c>
      <c r="K593">
        <f t="shared" si="163"/>
        <v>3.0369740721696408</v>
      </c>
      <c r="O593">
        <f t="shared" si="164"/>
        <v>-9.9273215859274053E-2</v>
      </c>
      <c r="P593">
        <f t="shared" si="165"/>
        <v>1.0423880751408661E-2</v>
      </c>
      <c r="Q593">
        <f t="shared" si="166"/>
        <v>0.99500561371433394</v>
      </c>
      <c r="R593">
        <f t="shared" si="156"/>
        <v>1</v>
      </c>
      <c r="AG593" s="8">
        <f t="shared" si="160"/>
        <v>-0.74194966174627053</v>
      </c>
      <c r="AH593" s="8">
        <f t="shared" si="161"/>
        <v>-0.42445668442695617</v>
      </c>
      <c r="AI593" s="8">
        <f t="shared" si="162"/>
        <v>0.51898672668948886</v>
      </c>
      <c r="AJ593" s="8"/>
      <c r="AK593" s="8"/>
      <c r="AL593" s="8"/>
      <c r="AN593" s="8">
        <f t="shared" si="167"/>
        <v>1</v>
      </c>
      <c r="AO593" s="8">
        <f t="shared" si="168"/>
        <v>3.6612318617006752</v>
      </c>
      <c r="AP593" s="8">
        <f t="shared" si="169"/>
        <v>1.025131220092607</v>
      </c>
      <c r="AQ593" s="8"/>
      <c r="AR593" s="8">
        <f t="shared" si="170"/>
        <v>209.77313349427379</v>
      </c>
      <c r="AS593" s="8">
        <f t="shared" si="171"/>
        <v>31.264307641596922</v>
      </c>
    </row>
    <row r="594" spans="1:45">
      <c r="A594" s="19">
        <v>26.76006667</v>
      </c>
      <c r="B594" s="19">
        <v>803.89822400000003</v>
      </c>
      <c r="C594" s="19">
        <v>523.78714639999998</v>
      </c>
      <c r="E594" s="9">
        <f t="shared" si="157"/>
        <v>-156.10177599999997</v>
      </c>
      <c r="F594" s="9">
        <f t="shared" si="158"/>
        <v>16.212853600000017</v>
      </c>
      <c r="I594">
        <v>1</v>
      </c>
      <c r="J594">
        <f t="shared" si="159"/>
        <v>0.10044137984835548</v>
      </c>
      <c r="K594">
        <f t="shared" si="163"/>
        <v>3.0381029170945539</v>
      </c>
      <c r="O594">
        <f t="shared" si="164"/>
        <v>-9.9736094802170994E-2</v>
      </c>
      <c r="P594">
        <f t="shared" si="165"/>
        <v>1.0358669485370394E-2</v>
      </c>
      <c r="Q594">
        <f t="shared" si="166"/>
        <v>0.99496000389970718</v>
      </c>
      <c r="R594">
        <f t="shared" si="156"/>
        <v>1</v>
      </c>
      <c r="AG594" s="8">
        <f t="shared" si="160"/>
        <v>-0.742242034680616</v>
      </c>
      <c r="AH594" s="8">
        <f t="shared" si="161"/>
        <v>-0.42411696464514914</v>
      </c>
      <c r="AI594" s="8">
        <f t="shared" si="162"/>
        <v>0.51884637635177222</v>
      </c>
      <c r="AJ594" s="8"/>
      <c r="AK594" s="8"/>
      <c r="AL594" s="8"/>
      <c r="AN594" s="8">
        <f t="shared" si="167"/>
        <v>1.0000000000000002</v>
      </c>
      <c r="AO594" s="8">
        <f t="shared" si="168"/>
        <v>3.6607170930404829</v>
      </c>
      <c r="AP594" s="8">
        <f t="shared" si="169"/>
        <v>1.0252954061589818</v>
      </c>
      <c r="AQ594" s="8"/>
      <c r="AR594" s="8">
        <f t="shared" si="170"/>
        <v>209.74363942261917</v>
      </c>
      <c r="AS594" s="8">
        <f t="shared" si="171"/>
        <v>31.254900472938786</v>
      </c>
    </row>
    <row r="595" spans="1:45">
      <c r="A595" s="19">
        <v>26.793433329999999</v>
      </c>
      <c r="B595" s="19">
        <v>803.68406979999997</v>
      </c>
      <c r="C595" s="19">
        <v>523.75295219999998</v>
      </c>
      <c r="E595" s="9">
        <f t="shared" si="157"/>
        <v>-156.31593020000003</v>
      </c>
      <c r="F595" s="9">
        <f t="shared" si="158"/>
        <v>16.247047800000018</v>
      </c>
      <c r="I595">
        <v>1</v>
      </c>
      <c r="J595">
        <f t="shared" si="159"/>
        <v>0.10058027230370031</v>
      </c>
      <c r="K595">
        <f t="shared" si="163"/>
        <v>3.0380272732872418</v>
      </c>
      <c r="O595">
        <f t="shared" si="164"/>
        <v>-9.9872761973880148E-2</v>
      </c>
      <c r="P595">
        <f t="shared" si="165"/>
        <v>1.0380500155240476E-2</v>
      </c>
      <c r="Q595">
        <f t="shared" si="166"/>
        <v>0.99494606719773293</v>
      </c>
      <c r="R595">
        <f t="shared" si="156"/>
        <v>1</v>
      </c>
      <c r="AG595" s="8">
        <f t="shared" si="160"/>
        <v>-0.74231469118475624</v>
      </c>
      <c r="AH595" s="8">
        <f t="shared" si="161"/>
        <v>-0.42399856592707202</v>
      </c>
      <c r="AI595" s="8">
        <f t="shared" si="162"/>
        <v>0.51883919989055016</v>
      </c>
      <c r="AJ595" s="8"/>
      <c r="AK595" s="8"/>
      <c r="AL595" s="8"/>
      <c r="AN595" s="8">
        <f t="shared" si="167"/>
        <v>0.99999999999999989</v>
      </c>
      <c r="AO595" s="8">
        <f t="shared" si="168"/>
        <v>3.660554675127357</v>
      </c>
      <c r="AP595" s="8">
        <f t="shared" si="169"/>
        <v>1.0253038009604727</v>
      </c>
      <c r="AQ595" s="8"/>
      <c r="AR595" s="8">
        <f t="shared" si="170"/>
        <v>209.73433356167973</v>
      </c>
      <c r="AS595" s="8">
        <f t="shared" si="171"/>
        <v>31.254419486243513</v>
      </c>
    </row>
    <row r="596" spans="1:45">
      <c r="A596" s="19">
        <v>26.826799999999999</v>
      </c>
      <c r="B596" s="19">
        <v>803.41730840000002</v>
      </c>
      <c r="C596" s="19">
        <v>523.63115760000005</v>
      </c>
      <c r="E596" s="9">
        <f t="shared" si="157"/>
        <v>-156.58269159999998</v>
      </c>
      <c r="F596" s="9">
        <f t="shared" si="158"/>
        <v>16.368842399999949</v>
      </c>
      <c r="I596">
        <v>1</v>
      </c>
      <c r="J596">
        <f t="shared" si="159"/>
        <v>0.10075855059328755</v>
      </c>
      <c r="K596">
        <f t="shared" si="163"/>
        <v>3.037432973620144</v>
      </c>
      <c r="O596">
        <f t="shared" si="164"/>
        <v>-0.10004298956979704</v>
      </c>
      <c r="P596">
        <f t="shared" si="165"/>
        <v>1.0458294673310184E-2</v>
      </c>
      <c r="Q596">
        <f t="shared" si="166"/>
        <v>0.99492815032567239</v>
      </c>
      <c r="R596">
        <f t="shared" si="156"/>
        <v>1</v>
      </c>
      <c r="AG596" s="8">
        <f t="shared" si="160"/>
        <v>-0.74238836946096176</v>
      </c>
      <c r="AH596" s="8">
        <f t="shared" si="161"/>
        <v>-0.42382881654473675</v>
      </c>
      <c r="AI596" s="8">
        <f t="shared" si="162"/>
        <v>0.5188724729212203</v>
      </c>
      <c r="AJ596" s="8"/>
      <c r="AK596" s="8"/>
      <c r="AL596" s="8"/>
      <c r="AN596" s="8">
        <f t="shared" si="167"/>
        <v>1</v>
      </c>
      <c r="AO596" s="8">
        <f t="shared" si="168"/>
        <v>3.6603395008066704</v>
      </c>
      <c r="AP596" s="8">
        <f t="shared" si="169"/>
        <v>1.0252648788418259</v>
      </c>
      <c r="AQ596" s="8"/>
      <c r="AR596" s="8">
        <f t="shared" si="170"/>
        <v>209.72200498124479</v>
      </c>
      <c r="AS596" s="8">
        <f t="shared" si="171"/>
        <v>31.256649559371681</v>
      </c>
    </row>
    <row r="597" spans="1:45">
      <c r="A597" s="19">
        <v>26.860166670000002</v>
      </c>
      <c r="B597" s="19">
        <v>802.65688599999999</v>
      </c>
      <c r="C597" s="19">
        <v>523.85524299999997</v>
      </c>
      <c r="E597" s="9">
        <f t="shared" si="157"/>
        <v>-157.34311400000001</v>
      </c>
      <c r="F597" s="9">
        <f t="shared" si="158"/>
        <v>16.144757000000027</v>
      </c>
      <c r="I597">
        <v>1</v>
      </c>
      <c r="J597">
        <f t="shared" si="159"/>
        <v>0.10122886734840587</v>
      </c>
      <c r="K597">
        <f t="shared" si="163"/>
        <v>3.0393418992399335</v>
      </c>
      <c r="O597">
        <f t="shared" si="164"/>
        <v>-0.10052824764995186</v>
      </c>
      <c r="P597">
        <f t="shared" si="165"/>
        <v>1.0315062977235195E-2</v>
      </c>
      <c r="Q597">
        <f t="shared" si="166"/>
        <v>0.99488073199766291</v>
      </c>
      <c r="R597">
        <f t="shared" si="156"/>
        <v>1</v>
      </c>
      <c r="AG597" s="8">
        <f t="shared" si="160"/>
        <v>-0.74271947008521821</v>
      </c>
      <c r="AH597" s="8">
        <f t="shared" si="161"/>
        <v>-0.42350541334964104</v>
      </c>
      <c r="AI597" s="8">
        <f t="shared" si="162"/>
        <v>0.51866265878688667</v>
      </c>
      <c r="AJ597" s="8"/>
      <c r="AK597" s="8"/>
      <c r="AL597" s="8"/>
      <c r="AN597" s="8">
        <f t="shared" si="167"/>
        <v>1</v>
      </c>
      <c r="AO597" s="8">
        <f t="shared" si="168"/>
        <v>3.6598190040453988</v>
      </c>
      <c r="AP597" s="8">
        <f t="shared" si="169"/>
        <v>1.0255102997968017</v>
      </c>
      <c r="AQ597" s="8"/>
      <c r="AR597" s="8">
        <f t="shared" si="170"/>
        <v>209.69218271357371</v>
      </c>
      <c r="AS597" s="8">
        <f t="shared" si="171"/>
        <v>31.242587974447495</v>
      </c>
    </row>
    <row r="598" spans="1:45">
      <c r="A598" s="19">
        <v>26.89353333</v>
      </c>
      <c r="B598" s="19">
        <v>801.68251789999999</v>
      </c>
      <c r="C598" s="19">
        <v>523.75270399999999</v>
      </c>
      <c r="E598" s="9">
        <f t="shared" si="157"/>
        <v>-158.31748210000001</v>
      </c>
      <c r="F598" s="9">
        <f t="shared" si="158"/>
        <v>16.247296000000006</v>
      </c>
      <c r="I598">
        <v>1</v>
      </c>
      <c r="J598">
        <f t="shared" si="159"/>
        <v>0.10185721512352217</v>
      </c>
      <c r="K598">
        <f t="shared" si="163"/>
        <v>3.039325894879024</v>
      </c>
      <c r="O598">
        <f t="shared" si="164"/>
        <v>-0.1011499276437396</v>
      </c>
      <c r="P598">
        <f t="shared" si="165"/>
        <v>1.038048857907161E-2</v>
      </c>
      <c r="Q598">
        <f t="shared" si="166"/>
        <v>0.99481703724580728</v>
      </c>
      <c r="R598">
        <f t="shared" si="156"/>
        <v>1</v>
      </c>
      <c r="AG598" s="8">
        <f t="shared" si="160"/>
        <v>-0.74306077588771435</v>
      </c>
      <c r="AH598" s="8">
        <f t="shared" si="161"/>
        <v>-0.42298140840218801</v>
      </c>
      <c r="AI598" s="8">
        <f t="shared" si="162"/>
        <v>0.51860139942276406</v>
      </c>
      <c r="AJ598" s="8"/>
      <c r="AK598" s="8"/>
      <c r="AL598" s="8"/>
      <c r="AN598" s="8">
        <f t="shared" si="167"/>
        <v>1</v>
      </c>
      <c r="AO598" s="8">
        <f t="shared" si="168"/>
        <v>3.659088883141802</v>
      </c>
      <c r="AP598" s="8">
        <f t="shared" si="169"/>
        <v>1.0255819483808475</v>
      </c>
      <c r="AQ598" s="8"/>
      <c r="AR598" s="8">
        <f t="shared" si="170"/>
        <v>209.65034986726334</v>
      </c>
      <c r="AS598" s="8">
        <f t="shared" si="171"/>
        <v>31.238482812973587</v>
      </c>
    </row>
    <row r="599" spans="1:45">
      <c r="A599" s="19">
        <v>26.9269</v>
      </c>
      <c r="B599" s="19">
        <v>801.2573433</v>
      </c>
      <c r="C599" s="19">
        <v>523.71856830000002</v>
      </c>
      <c r="E599" s="9">
        <f t="shared" si="157"/>
        <v>-158.7426567</v>
      </c>
      <c r="F599" s="9">
        <f t="shared" si="158"/>
        <v>16.281431699999985</v>
      </c>
      <c r="I599">
        <v>1</v>
      </c>
      <c r="J599">
        <f t="shared" si="159"/>
        <v>0.10213069187257023</v>
      </c>
      <c r="K599">
        <f t="shared" si="163"/>
        <v>3.039385102773843</v>
      </c>
      <c r="O599">
        <f t="shared" si="164"/>
        <v>-0.10142117783526471</v>
      </c>
      <c r="P599">
        <f t="shared" si="165"/>
        <v>1.0402257428380397E-2</v>
      </c>
      <c r="Q599">
        <f t="shared" si="166"/>
        <v>0.99478919260660514</v>
      </c>
      <c r="R599">
        <f t="shared" si="156"/>
        <v>1</v>
      </c>
      <c r="AG599" s="8">
        <f t="shared" si="160"/>
        <v>-0.74321185888535723</v>
      </c>
      <c r="AH599" s="8">
        <f t="shared" si="161"/>
        <v>-0.42275569437453969</v>
      </c>
      <c r="AI599" s="8">
        <f t="shared" si="162"/>
        <v>0.51856894978977752</v>
      </c>
      <c r="AJ599" s="8"/>
      <c r="AK599" s="8"/>
      <c r="AL599" s="8"/>
      <c r="AN599" s="8">
        <f t="shared" si="167"/>
        <v>1</v>
      </c>
      <c r="AO599" s="8">
        <f t="shared" si="168"/>
        <v>3.6587720533875032</v>
      </c>
      <c r="AP599" s="8">
        <f t="shared" si="169"/>
        <v>1.0256199000150283</v>
      </c>
      <c r="AQ599" s="8"/>
      <c r="AR599" s="8">
        <f t="shared" si="170"/>
        <v>209.63219685951785</v>
      </c>
      <c r="AS599" s="8">
        <f t="shared" si="171"/>
        <v>31.236308344509396</v>
      </c>
    </row>
    <row r="600" spans="1:45">
      <c r="A600" s="19">
        <v>26.960266669999999</v>
      </c>
      <c r="B600" s="19">
        <v>800.78607169999998</v>
      </c>
      <c r="C600" s="19">
        <v>522.77121990000001</v>
      </c>
      <c r="E600" s="9">
        <f t="shared" si="157"/>
        <v>-159.21392830000002</v>
      </c>
      <c r="F600" s="9">
        <f t="shared" si="158"/>
        <v>17.228780099999994</v>
      </c>
      <c r="I600">
        <v>1</v>
      </c>
      <c r="J600">
        <f t="shared" si="159"/>
        <v>0.10249491799593086</v>
      </c>
      <c r="K600">
        <f t="shared" si="163"/>
        <v>3.0338005733902462</v>
      </c>
      <c r="O600">
        <f t="shared" si="164"/>
        <v>-0.1017217234670159</v>
      </c>
      <c r="P600">
        <f t="shared" si="165"/>
        <v>1.1007461619212044E-2</v>
      </c>
      <c r="Q600">
        <f t="shared" si="166"/>
        <v>0.99475199259091784</v>
      </c>
      <c r="R600">
        <f t="shared" si="156"/>
        <v>1</v>
      </c>
      <c r="AG600" s="8">
        <f t="shared" si="160"/>
        <v>-0.74318615131668564</v>
      </c>
      <c r="AH600" s="8">
        <f t="shared" si="161"/>
        <v>-0.42224982901458719</v>
      </c>
      <c r="AI600" s="8">
        <f t="shared" si="162"/>
        <v>0.51901775151553753</v>
      </c>
      <c r="AJ600" s="8"/>
      <c r="AK600" s="8"/>
      <c r="AL600" s="8"/>
      <c r="AN600" s="8">
        <f t="shared" si="167"/>
        <v>1</v>
      </c>
      <c r="AO600" s="8">
        <f t="shared" si="168"/>
        <v>3.6582725043087052</v>
      </c>
      <c r="AP600" s="8">
        <f t="shared" si="169"/>
        <v>1.02509492410476</v>
      </c>
      <c r="AQ600" s="8"/>
      <c r="AR600" s="8">
        <f t="shared" si="170"/>
        <v>209.60357480564306</v>
      </c>
      <c r="AS600" s="8">
        <f t="shared" si="171"/>
        <v>31.266387248513816</v>
      </c>
    </row>
    <row r="601" spans="1:45">
      <c r="A601" s="19">
        <v>26.993633330000002</v>
      </c>
      <c r="B601" s="19">
        <v>800.85501680000004</v>
      </c>
      <c r="C601" s="19">
        <v>522.77321489999997</v>
      </c>
      <c r="E601" s="9">
        <f t="shared" si="157"/>
        <v>-159.14498319999996</v>
      </c>
      <c r="F601" s="9">
        <f t="shared" si="158"/>
        <v>17.226785100000029</v>
      </c>
      <c r="I601">
        <v>1</v>
      </c>
      <c r="J601">
        <f t="shared" si="159"/>
        <v>0.10245082471954256</v>
      </c>
      <c r="K601">
        <f t="shared" si="163"/>
        <v>3.0337666271541215</v>
      </c>
      <c r="O601">
        <f t="shared" si="164"/>
        <v>-0.10167774250514117</v>
      </c>
      <c r="P601">
        <f t="shared" si="165"/>
        <v>1.100619437929733E-2</v>
      </c>
      <c r="Q601">
        <f t="shared" si="166"/>
        <v>0.9947565030520501</v>
      </c>
      <c r="R601">
        <f t="shared" si="156"/>
        <v>1</v>
      </c>
      <c r="AG601" s="8">
        <f t="shared" si="160"/>
        <v>-0.74316091657012207</v>
      </c>
      <c r="AH601" s="8">
        <f t="shared" si="161"/>
        <v>-0.42228544114689825</v>
      </c>
      <c r="AI601" s="8">
        <f t="shared" si="162"/>
        <v>0.51902491103802118</v>
      </c>
      <c r="AJ601" s="8"/>
      <c r="AK601" s="8"/>
      <c r="AL601" s="8"/>
      <c r="AN601" s="8">
        <f t="shared" si="167"/>
        <v>1</v>
      </c>
      <c r="AO601" s="8">
        <f t="shared" si="168"/>
        <v>3.6583233131705608</v>
      </c>
      <c r="AP601" s="8">
        <f t="shared" si="169"/>
        <v>1.0250865480556888</v>
      </c>
      <c r="AQ601" s="8"/>
      <c r="AR601" s="8">
        <f t="shared" si="170"/>
        <v>209.60648593898927</v>
      </c>
      <c r="AS601" s="8">
        <f t="shared" si="171"/>
        <v>31.266867160774588</v>
      </c>
    </row>
    <row r="602" spans="1:45">
      <c r="A602" s="19">
        <v>27.027000000000001</v>
      </c>
      <c r="B602" s="19">
        <v>800.41498060000004</v>
      </c>
      <c r="C602" s="19">
        <v>522.43901459999995</v>
      </c>
      <c r="E602" s="9">
        <f t="shared" si="157"/>
        <v>-159.58501939999996</v>
      </c>
      <c r="F602" s="9">
        <f t="shared" si="158"/>
        <v>17.56098540000005</v>
      </c>
      <c r="I602">
        <v>1</v>
      </c>
      <c r="J602">
        <f t="shared" si="159"/>
        <v>0.10275458829410621</v>
      </c>
      <c r="K602">
        <f t="shared" si="163"/>
        <v>3.0319920582151725</v>
      </c>
      <c r="O602">
        <f t="shared" si="164"/>
        <v>-0.10195840419912836</v>
      </c>
      <c r="P602">
        <f t="shared" si="165"/>
        <v>1.1219662436236155E-2</v>
      </c>
      <c r="Q602">
        <f t="shared" si="166"/>
        <v>0.99472539074258282</v>
      </c>
      <c r="R602">
        <f t="shared" si="156"/>
        <v>1</v>
      </c>
      <c r="AG602" s="8">
        <f t="shared" si="160"/>
        <v>-0.74325363915176179</v>
      </c>
      <c r="AH602" s="8">
        <f t="shared" si="161"/>
        <v>-0.42196773948400024</v>
      </c>
      <c r="AI602" s="8">
        <f t="shared" si="162"/>
        <v>0.51915051258996725</v>
      </c>
      <c r="AJ602" s="8"/>
      <c r="AK602" s="8"/>
      <c r="AL602" s="8"/>
      <c r="AN602" s="8">
        <f t="shared" si="167"/>
        <v>1.0000000000000002</v>
      </c>
      <c r="AO602" s="8">
        <f t="shared" si="168"/>
        <v>3.6579465290520843</v>
      </c>
      <c r="AP602" s="8">
        <f t="shared" si="169"/>
        <v>1.0249395976991904</v>
      </c>
      <c r="AQ602" s="8"/>
      <c r="AR602" s="8">
        <f t="shared" si="170"/>
        <v>209.584897799213</v>
      </c>
      <c r="AS602" s="8">
        <f t="shared" si="171"/>
        <v>31.275286795999889</v>
      </c>
    </row>
    <row r="603" spans="1:45">
      <c r="A603" s="19">
        <v>27.060366670000001</v>
      </c>
      <c r="B603" s="19">
        <v>799.8410652</v>
      </c>
      <c r="C603" s="19">
        <v>522.77559150000002</v>
      </c>
      <c r="E603" s="9">
        <f t="shared" si="157"/>
        <v>-160.1589348</v>
      </c>
      <c r="F603" s="9">
        <f t="shared" si="158"/>
        <v>17.224408499999981</v>
      </c>
      <c r="I603">
        <v>1</v>
      </c>
      <c r="J603">
        <f t="shared" si="159"/>
        <v>0.10309710118935327</v>
      </c>
      <c r="K603">
        <f t="shared" si="163"/>
        <v>3.0344587039659805</v>
      </c>
      <c r="O603">
        <f t="shared" si="164"/>
        <v>-0.10232451582384285</v>
      </c>
      <c r="P603">
        <f t="shared" si="165"/>
        <v>1.1004564074526936E-2</v>
      </c>
      <c r="Q603">
        <f t="shared" si="166"/>
        <v>0.99469019952493032</v>
      </c>
      <c r="R603">
        <f t="shared" ref="R603:R666" si="172">SQRT(O603^2+P603^2+Q603^2)</f>
        <v>1</v>
      </c>
      <c r="AG603" s="8">
        <f t="shared" si="160"/>
        <v>-0.74353861399509324</v>
      </c>
      <c r="AH603" s="8">
        <f t="shared" si="161"/>
        <v>-0.42177055956019716</v>
      </c>
      <c r="AI603" s="8">
        <f t="shared" si="162"/>
        <v>0.51890261570600504</v>
      </c>
      <c r="AJ603" s="8"/>
      <c r="AK603" s="8"/>
      <c r="AL603" s="8"/>
      <c r="AN603" s="8">
        <f t="shared" si="167"/>
        <v>1</v>
      </c>
      <c r="AO603" s="8">
        <f t="shared" si="168"/>
        <v>3.6575813487487467</v>
      </c>
      <c r="AP603" s="8">
        <f t="shared" si="169"/>
        <v>1.0252296176276878</v>
      </c>
      <c r="AQ603" s="8"/>
      <c r="AR603" s="8">
        <f t="shared" si="170"/>
        <v>209.56397450907045</v>
      </c>
      <c r="AS603" s="8">
        <f t="shared" si="171"/>
        <v>31.258669878122298</v>
      </c>
    </row>
    <row r="604" spans="1:45">
      <c r="A604" s="19">
        <v>27.093733329999999</v>
      </c>
      <c r="B604" s="19">
        <v>799.67868290000001</v>
      </c>
      <c r="C604" s="19">
        <v>522.7706786</v>
      </c>
      <c r="E604" s="9">
        <f t="shared" si="157"/>
        <v>-160.32131709999999</v>
      </c>
      <c r="F604" s="9">
        <f t="shared" si="158"/>
        <v>17.229321400000003</v>
      </c>
      <c r="I604">
        <v>1</v>
      </c>
      <c r="J604">
        <f t="shared" si="159"/>
        <v>0.1032009636242394</v>
      </c>
      <c r="K604">
        <f t="shared" si="163"/>
        <v>3.0345360936955901</v>
      </c>
      <c r="O604">
        <f t="shared" si="164"/>
        <v>-0.10242808608796523</v>
      </c>
      <c r="P604">
        <f t="shared" si="165"/>
        <v>1.1007684115367228E-2</v>
      </c>
      <c r="Q604">
        <f t="shared" si="166"/>
        <v>0.99467950520294357</v>
      </c>
      <c r="R604">
        <f t="shared" si="172"/>
        <v>1</v>
      </c>
      <c r="AG604" s="8">
        <f t="shared" si="160"/>
        <v>-0.74359794517410815</v>
      </c>
      <c r="AH604" s="8">
        <f t="shared" si="161"/>
        <v>-0.42168660117398576</v>
      </c>
      <c r="AI604" s="8">
        <f t="shared" si="162"/>
        <v>0.51888583168475122</v>
      </c>
      <c r="AJ604" s="8"/>
      <c r="AK604" s="8"/>
      <c r="AL604" s="8"/>
      <c r="AN604" s="8">
        <f t="shared" si="167"/>
        <v>1</v>
      </c>
      <c r="AO604" s="8">
        <f t="shared" si="168"/>
        <v>3.6574616763678218</v>
      </c>
      <c r="AP604" s="8">
        <f t="shared" si="169"/>
        <v>1.0252492517716023</v>
      </c>
      <c r="AQ604" s="8"/>
      <c r="AR604" s="8">
        <f t="shared" si="170"/>
        <v>209.55711778671918</v>
      </c>
      <c r="AS604" s="8">
        <f t="shared" si="171"/>
        <v>31.257544924541648</v>
      </c>
    </row>
    <row r="605" spans="1:45">
      <c r="A605" s="19">
        <v>27.127099999999999</v>
      </c>
      <c r="B605" s="19">
        <v>798.94640709999999</v>
      </c>
      <c r="C605" s="19">
        <v>522.83456190000004</v>
      </c>
      <c r="E605" s="9">
        <f t="shared" si="157"/>
        <v>-161.05359290000001</v>
      </c>
      <c r="F605" s="9">
        <f t="shared" si="158"/>
        <v>17.16543809999996</v>
      </c>
      <c r="I605">
        <v>1</v>
      </c>
      <c r="J605">
        <f t="shared" si="159"/>
        <v>0.10366346991891334</v>
      </c>
      <c r="K605">
        <f t="shared" si="163"/>
        <v>3.0354113579086346</v>
      </c>
      <c r="O605">
        <f t="shared" si="164"/>
        <v>-0.10289512509543561</v>
      </c>
      <c r="P605">
        <f t="shared" si="165"/>
        <v>1.0966783595533543E-2</v>
      </c>
      <c r="Q605">
        <f t="shared" si="166"/>
        <v>0.99463175240345281</v>
      </c>
      <c r="R605">
        <f t="shared" si="172"/>
        <v>1</v>
      </c>
      <c r="AG605" s="8">
        <f t="shared" si="160"/>
        <v>-0.74388367274507006</v>
      </c>
      <c r="AH605" s="8">
        <f t="shared" si="161"/>
        <v>-0.42133213086875498</v>
      </c>
      <c r="AI605" s="8">
        <f t="shared" si="162"/>
        <v>0.51876422093365293</v>
      </c>
      <c r="AJ605" s="8"/>
      <c r="AK605" s="8"/>
      <c r="AL605" s="8"/>
      <c r="AN605" s="8">
        <f t="shared" si="167"/>
        <v>1</v>
      </c>
      <c r="AO605" s="8">
        <f t="shared" si="168"/>
        <v>3.6569361425992422</v>
      </c>
      <c r="AP605" s="8">
        <f t="shared" si="169"/>
        <v>1.0253915064583539</v>
      </c>
      <c r="AQ605" s="8"/>
      <c r="AR605" s="8">
        <f t="shared" si="170"/>
        <v>209.52700691978796</v>
      </c>
      <c r="AS605" s="8">
        <f t="shared" si="171"/>
        <v>31.24939433137483</v>
      </c>
    </row>
    <row r="606" spans="1:45">
      <c r="A606" s="19">
        <v>27.160466670000002</v>
      </c>
      <c r="B606" s="19">
        <v>798.45766630000003</v>
      </c>
      <c r="C606" s="19">
        <v>522.60905079999998</v>
      </c>
      <c r="E606" s="9">
        <f t="shared" si="157"/>
        <v>-161.54233369999997</v>
      </c>
      <c r="F606" s="9">
        <f t="shared" si="158"/>
        <v>17.390949200000023</v>
      </c>
      <c r="I606">
        <v>1</v>
      </c>
      <c r="J606">
        <f t="shared" si="159"/>
        <v>0.10399045070751722</v>
      </c>
      <c r="K606">
        <f t="shared" si="163"/>
        <v>3.0343500094196658</v>
      </c>
      <c r="O606">
        <f t="shared" si="164"/>
        <v>-0.10320677911895848</v>
      </c>
      <c r="P606">
        <f t="shared" si="165"/>
        <v>1.1110795614025667E-2</v>
      </c>
      <c r="Q606">
        <f t="shared" si="166"/>
        <v>0.99459786394538063</v>
      </c>
      <c r="R606">
        <f t="shared" si="172"/>
        <v>1</v>
      </c>
      <c r="AG606" s="8">
        <f t="shared" si="160"/>
        <v>-0.74401730576871861</v>
      </c>
      <c r="AH606" s="8">
        <f t="shared" si="161"/>
        <v>-0.42102011433036191</v>
      </c>
      <c r="AI606" s="8">
        <f t="shared" si="162"/>
        <v>0.51882589762453679</v>
      </c>
      <c r="AJ606" s="8"/>
      <c r="AK606" s="8"/>
      <c r="AL606" s="8"/>
      <c r="AN606" s="8">
        <f t="shared" si="167"/>
        <v>1.0000000000000004</v>
      </c>
      <c r="AO606" s="8">
        <f t="shared" si="168"/>
        <v>3.6565415236791212</v>
      </c>
      <c r="AP606" s="8">
        <f t="shared" si="169"/>
        <v>1.0253193614250713</v>
      </c>
      <c r="AQ606" s="8"/>
      <c r="AR606" s="8">
        <f t="shared" si="170"/>
        <v>209.50439692114901</v>
      </c>
      <c r="AS606" s="8">
        <f t="shared" si="171"/>
        <v>31.253527937294749</v>
      </c>
    </row>
    <row r="607" spans="1:45">
      <c r="A607" s="19">
        <v>27.19383333</v>
      </c>
      <c r="B607" s="19">
        <v>797.70873419999998</v>
      </c>
      <c r="C607" s="19">
        <v>522.80724750000002</v>
      </c>
      <c r="E607" s="9">
        <f t="shared" si="157"/>
        <v>-162.29126580000002</v>
      </c>
      <c r="F607" s="9">
        <f t="shared" si="158"/>
        <v>17.192752499999983</v>
      </c>
      <c r="I607">
        <v>1</v>
      </c>
      <c r="J607">
        <f t="shared" si="159"/>
        <v>0.10445440700854196</v>
      </c>
      <c r="K607">
        <f t="shared" si="163"/>
        <v>3.0360486785378313</v>
      </c>
      <c r="O607">
        <f t="shared" si="164"/>
        <v>-0.10368437481157153</v>
      </c>
      <c r="P607">
        <f t="shared" si="165"/>
        <v>1.0984077211212322E-2</v>
      </c>
      <c r="Q607">
        <f t="shared" si="166"/>
        <v>0.99454959678627974</v>
      </c>
      <c r="R607">
        <f t="shared" si="172"/>
        <v>1</v>
      </c>
      <c r="AG607" s="8">
        <f t="shared" si="160"/>
        <v>-0.74433745595278111</v>
      </c>
      <c r="AH607" s="8">
        <f t="shared" si="161"/>
        <v>-0.42069481581187534</v>
      </c>
      <c r="AI607" s="8">
        <f t="shared" si="162"/>
        <v>0.51863052707563795</v>
      </c>
      <c r="AJ607" s="8"/>
      <c r="AK607" s="8"/>
      <c r="AL607" s="8"/>
      <c r="AN607" s="8">
        <f t="shared" si="167"/>
        <v>1.0000000000000002</v>
      </c>
      <c r="AO607" s="8">
        <f t="shared" si="168"/>
        <v>3.6560259858875943</v>
      </c>
      <c r="AP607" s="8">
        <f t="shared" si="169"/>
        <v>1.0255478812414389</v>
      </c>
      <c r="AQ607" s="8"/>
      <c r="AR607" s="8">
        <f t="shared" si="170"/>
        <v>209.47485878151502</v>
      </c>
      <c r="AS607" s="8">
        <f t="shared" si="171"/>
        <v>31.240434716281783</v>
      </c>
    </row>
    <row r="608" spans="1:45">
      <c r="A608" s="19">
        <v>27.2272</v>
      </c>
      <c r="B608" s="19">
        <v>797.6035018</v>
      </c>
      <c r="C608" s="19">
        <v>522.67018499999995</v>
      </c>
      <c r="E608" s="9">
        <f t="shared" ref="E608:E671" si="173">(B608-($B$15/2))</f>
        <v>-162.3964982</v>
      </c>
      <c r="F608" s="9">
        <f t="shared" ref="F608:F671" si="174">(($C$15/2)-C608)</f>
        <v>17.329815000000053</v>
      </c>
      <c r="I608">
        <v>1</v>
      </c>
      <c r="J608">
        <f t="shared" ref="J608:J671" si="175">ATAN((SQRT(E608^2+F608^2)^$B$16)/($F$24))</f>
        <v>0.10453078527939957</v>
      </c>
      <c r="K608">
        <f t="shared" si="163"/>
        <v>3.0352819941257834</v>
      </c>
      <c r="O608">
        <f t="shared" si="164"/>
        <v>-0.10375145583918616</v>
      </c>
      <c r="P608">
        <f t="shared" si="165"/>
        <v>1.107162750184087E-2</v>
      </c>
      <c r="Q608">
        <f t="shared" si="166"/>
        <v>0.99454163033817233</v>
      </c>
      <c r="R608">
        <f t="shared" si="172"/>
        <v>1</v>
      </c>
      <c r="AG608" s="8">
        <f t="shared" ref="AG608:AG671" si="176">$O608*$Z$27+$P608*$Z$31+$Q608*$Z$35</f>
        <v>-0.74434738835113468</v>
      </c>
      <c r="AH608" s="8">
        <f t="shared" ref="AH608:AH671" si="177">$O608*$AA$27+$P608*$AA$31+$Q608*$AA$35</f>
        <v>-0.42060273657235364</v>
      </c>
      <c r="AI608" s="8">
        <f t="shared" ref="AI608:AI671" si="178">$AB$27*$O608+$P608*$AB$31+$AB$35*$Q608</f>
        <v>0.51869095176481772</v>
      </c>
      <c r="AJ608" s="8"/>
      <c r="AK608" s="8"/>
      <c r="AL608" s="8"/>
      <c r="AN608" s="8">
        <f t="shared" si="167"/>
        <v>1</v>
      </c>
      <c r="AO608" s="8">
        <f t="shared" si="168"/>
        <v>3.6559265092429483</v>
      </c>
      <c r="AP608" s="8">
        <f t="shared" si="169"/>
        <v>1.0254772074485881</v>
      </c>
      <c r="AQ608" s="8"/>
      <c r="AR608" s="8">
        <f t="shared" si="170"/>
        <v>209.46915918961668</v>
      </c>
      <c r="AS608" s="8">
        <f t="shared" si="171"/>
        <v>31.24448402633432</v>
      </c>
    </row>
    <row r="609" spans="1:45">
      <c r="A609" s="19">
        <v>27.260566669999999</v>
      </c>
      <c r="B609" s="19">
        <v>795.92619730000001</v>
      </c>
      <c r="C609" s="19">
        <v>522.78055270000004</v>
      </c>
      <c r="E609" s="9">
        <f t="shared" si="173"/>
        <v>-164.07380269999999</v>
      </c>
      <c r="F609" s="9">
        <f t="shared" si="174"/>
        <v>17.219447299999956</v>
      </c>
      <c r="I609">
        <v>1</v>
      </c>
      <c r="J609">
        <f t="shared" si="175"/>
        <v>0.10559263114082874</v>
      </c>
      <c r="K609">
        <f t="shared" ref="K609:K672" si="179">ATAN2(E609,F609)</f>
        <v>3.0370260435288436</v>
      </c>
      <c r="O609">
        <f t="shared" ref="O609:O672" si="180">COS(K609)*SIN(J609)</f>
        <v>-0.10482083046025038</v>
      </c>
      <c r="P609">
        <f t="shared" ref="P609:P672" si="181">SIN(K609)*SIN(J609)</f>
        <v>1.1000883360720144E-2</v>
      </c>
      <c r="Q609">
        <f t="shared" ref="Q609:Q672" si="182">COS(J609)</f>
        <v>0.99443027612141177</v>
      </c>
      <c r="R609">
        <f t="shared" si="172"/>
        <v>1</v>
      </c>
      <c r="AG609" s="8">
        <f t="shared" si="176"/>
        <v>-0.74499279697798759</v>
      </c>
      <c r="AH609" s="8">
        <f t="shared" si="177"/>
        <v>-0.41978013506922512</v>
      </c>
      <c r="AI609" s="8">
        <f t="shared" si="178"/>
        <v>0.51843068066249542</v>
      </c>
      <c r="AJ609" s="8"/>
      <c r="AK609" s="8"/>
      <c r="AL609" s="8"/>
      <c r="AN609" s="8">
        <f t="shared" ref="AN609:AN672" si="183">AG609^2+AH609^2+AI609^2</f>
        <v>1.0000000000000002</v>
      </c>
      <c r="AO609" s="8">
        <f t="shared" ref="AO609:AO672" si="184">IF(ATAN2(AG609,AH609)&gt;=0,ATAN2(AG609,AH609),ATAN2(AG609,AH609)+2*PI())</f>
        <v>3.6547176888394564</v>
      </c>
      <c r="AP609" s="8">
        <f t="shared" ref="AP609:AP672" si="185">ACOS(AI609/AN609)</f>
        <v>1.0257816035901715</v>
      </c>
      <c r="AQ609" s="8"/>
      <c r="AR609" s="8">
        <f t="shared" ref="AR609:AR672" si="186">DEGREES(AO609)</f>
        <v>209.3998988823073</v>
      </c>
      <c r="AS609" s="8">
        <f t="shared" ref="AS609:AS672" si="187">90-DEGREES(AP609)</f>
        <v>31.227043412121525</v>
      </c>
    </row>
    <row r="610" spans="1:45">
      <c r="A610" s="19">
        <v>27.293933330000002</v>
      </c>
      <c r="B610" s="19">
        <v>794.91406670000003</v>
      </c>
      <c r="C610" s="19">
        <v>522.7759853</v>
      </c>
      <c r="E610" s="9">
        <f t="shared" si="173"/>
        <v>-165.08593329999997</v>
      </c>
      <c r="F610" s="9">
        <f t="shared" si="174"/>
        <v>17.224014699999998</v>
      </c>
      <c r="I610">
        <v>1</v>
      </c>
      <c r="J610">
        <f t="shared" si="175"/>
        <v>0.10623818545532945</v>
      </c>
      <c r="K610">
        <f t="shared" si="179"/>
        <v>3.0376351447628531</v>
      </c>
      <c r="O610">
        <f t="shared" si="180"/>
        <v>-0.10546598278119727</v>
      </c>
      <c r="P610">
        <f t="shared" si="181"/>
        <v>1.1003648835859298E-2</v>
      </c>
      <c r="Q610">
        <f t="shared" si="182"/>
        <v>0.99436202973981935</v>
      </c>
      <c r="R610">
        <f t="shared" si="172"/>
        <v>1</v>
      </c>
      <c r="AG610" s="8">
        <f t="shared" si="176"/>
        <v>-0.74536667877034612</v>
      </c>
      <c r="AH610" s="8">
        <f t="shared" si="177"/>
        <v>-0.41926356897197414</v>
      </c>
      <c r="AI610" s="8">
        <f t="shared" si="178"/>
        <v>0.51831127125670984</v>
      </c>
      <c r="AJ610" s="8"/>
      <c r="AK610" s="8"/>
      <c r="AL610" s="8"/>
      <c r="AN610" s="8">
        <f t="shared" si="183"/>
        <v>1.0000000000000004</v>
      </c>
      <c r="AO610" s="8">
        <f t="shared" si="184"/>
        <v>3.6539768266772694</v>
      </c>
      <c r="AP610" s="8">
        <f t="shared" si="185"/>
        <v>1.0259212382610965</v>
      </c>
      <c r="AQ610" s="8"/>
      <c r="AR610" s="8">
        <f t="shared" si="186"/>
        <v>209.35745060721305</v>
      </c>
      <c r="AS610" s="8">
        <f t="shared" si="187"/>
        <v>31.219042934803817</v>
      </c>
    </row>
    <row r="611" spans="1:45">
      <c r="A611" s="19">
        <v>27.327300000000001</v>
      </c>
      <c r="B611" s="19">
        <v>795.69394569999997</v>
      </c>
      <c r="C611" s="19">
        <v>521.75328039999999</v>
      </c>
      <c r="E611" s="9">
        <f t="shared" si="173"/>
        <v>-164.30605430000003</v>
      </c>
      <c r="F611" s="9">
        <f t="shared" si="174"/>
        <v>18.246719600000006</v>
      </c>
      <c r="I611">
        <v>1</v>
      </c>
      <c r="J611">
        <f t="shared" si="175"/>
        <v>0.10581135469361164</v>
      </c>
      <c r="K611">
        <f t="shared" si="179"/>
        <v>3.0309925986355588</v>
      </c>
      <c r="O611">
        <f t="shared" si="180"/>
        <v>-0.10496872364535907</v>
      </c>
      <c r="P611">
        <f t="shared" si="181"/>
        <v>1.1657116807330919E-2</v>
      </c>
      <c r="Q611">
        <f t="shared" si="182"/>
        <v>0.99440719963403545</v>
      </c>
      <c r="R611">
        <f t="shared" si="172"/>
        <v>1</v>
      </c>
      <c r="AG611" s="8">
        <f t="shared" si="176"/>
        <v>-0.74486044941365548</v>
      </c>
      <c r="AH611" s="8">
        <f t="shared" si="177"/>
        <v>-0.41937300937766286</v>
      </c>
      <c r="AI611" s="8">
        <f t="shared" si="178"/>
        <v>0.5189500842131255</v>
      </c>
      <c r="AJ611" s="8"/>
      <c r="AK611" s="8"/>
      <c r="AL611" s="8"/>
      <c r="AN611" s="8">
        <f t="shared" si="183"/>
        <v>1.0000000000000002</v>
      </c>
      <c r="AO611" s="8">
        <f t="shared" si="184"/>
        <v>3.6543787526783169</v>
      </c>
      <c r="AP611" s="8">
        <f t="shared" si="185"/>
        <v>1.0251740871473012</v>
      </c>
      <c r="AQ611" s="8"/>
      <c r="AR611" s="8">
        <f t="shared" si="186"/>
        <v>209.38047927074965</v>
      </c>
      <c r="AS611" s="8">
        <f t="shared" si="187"/>
        <v>31.261851540282791</v>
      </c>
    </row>
    <row r="612" spans="1:45">
      <c r="A612" s="19">
        <v>27.360666670000001</v>
      </c>
      <c r="B612" s="19">
        <v>794.67941900000005</v>
      </c>
      <c r="C612" s="19">
        <v>521.76175249999994</v>
      </c>
      <c r="E612" s="9">
        <f t="shared" si="173"/>
        <v>-165.32058099999995</v>
      </c>
      <c r="F612" s="9">
        <f t="shared" si="174"/>
        <v>18.238247500000057</v>
      </c>
      <c r="I612">
        <v>1</v>
      </c>
      <c r="J612">
        <f t="shared" si="175"/>
        <v>0.10645710032887135</v>
      </c>
      <c r="K612">
        <f t="shared" si="179"/>
        <v>3.0317164794410245</v>
      </c>
      <c r="O612">
        <f t="shared" si="180"/>
        <v>-0.10561537441138176</v>
      </c>
      <c r="P612">
        <f t="shared" si="181"/>
        <v>1.1651539854677578E-2</v>
      </c>
      <c r="Q612">
        <f t="shared" si="182"/>
        <v>0.9943387925184044</v>
      </c>
      <c r="R612">
        <f t="shared" si="172"/>
        <v>1</v>
      </c>
      <c r="AG612" s="8">
        <f t="shared" si="176"/>
        <v>-0.74523791021102048</v>
      </c>
      <c r="AH612" s="8">
        <f t="shared" si="177"/>
        <v>-0.41885887114754644</v>
      </c>
      <c r="AI612" s="8">
        <f t="shared" si="178"/>
        <v>0.5188233834796907</v>
      </c>
      <c r="AJ612" s="8"/>
      <c r="AK612" s="8"/>
      <c r="AL612" s="8"/>
      <c r="AN612" s="8">
        <f t="shared" si="183"/>
        <v>1</v>
      </c>
      <c r="AO612" s="8">
        <f t="shared" si="184"/>
        <v>3.6536380707743339</v>
      </c>
      <c r="AP612" s="8">
        <f t="shared" si="185"/>
        <v>1.0253223023557512</v>
      </c>
      <c r="AQ612" s="8"/>
      <c r="AR612" s="8">
        <f t="shared" si="186"/>
        <v>209.33804132368971</v>
      </c>
      <c r="AS612" s="8">
        <f t="shared" si="187"/>
        <v>31.25335943437895</v>
      </c>
    </row>
    <row r="613" spans="1:45">
      <c r="A613" s="19">
        <v>27.394033329999999</v>
      </c>
      <c r="B613" s="19">
        <v>794.66341050000005</v>
      </c>
      <c r="C613" s="19">
        <v>521.79269720000002</v>
      </c>
      <c r="E613" s="9">
        <f t="shared" si="173"/>
        <v>-165.33658949999995</v>
      </c>
      <c r="F613" s="9">
        <f t="shared" si="174"/>
        <v>18.207302799999979</v>
      </c>
      <c r="I613">
        <v>1</v>
      </c>
      <c r="J613">
        <f t="shared" si="175"/>
        <v>0.10646512626217623</v>
      </c>
      <c r="K613">
        <f t="shared" si="179"/>
        <v>3.0319119482065537</v>
      </c>
      <c r="O613">
        <f t="shared" si="180"/>
        <v>-0.10562558244521433</v>
      </c>
      <c r="P613">
        <f t="shared" si="181"/>
        <v>1.1631768677594407E-2</v>
      </c>
      <c r="Q613">
        <f t="shared" si="182"/>
        <v>0.99433793968174633</v>
      </c>
      <c r="R613">
        <f t="shared" si="172"/>
        <v>1</v>
      </c>
      <c r="AG613" s="8">
        <f t="shared" si="176"/>
        <v>-0.74525041818550719</v>
      </c>
      <c r="AH613" s="8">
        <f t="shared" si="177"/>
        <v>-0.41885942488760719</v>
      </c>
      <c r="AI613" s="8">
        <f t="shared" si="178"/>
        <v>0.5188049694992809</v>
      </c>
      <c r="AJ613" s="8"/>
      <c r="AK613" s="8"/>
      <c r="AL613" s="8"/>
      <c r="AN613" s="8">
        <f t="shared" si="183"/>
        <v>1.0000000000000002</v>
      </c>
      <c r="AO613" s="8">
        <f t="shared" si="184"/>
        <v>3.6536314667819281</v>
      </c>
      <c r="AP613" s="8">
        <f t="shared" si="185"/>
        <v>1.025343842020713</v>
      </c>
      <c r="AQ613" s="8"/>
      <c r="AR613" s="8">
        <f t="shared" si="186"/>
        <v>209.33766294279692</v>
      </c>
      <c r="AS613" s="8">
        <f t="shared" si="187"/>
        <v>31.252125302484515</v>
      </c>
    </row>
    <row r="614" spans="1:45">
      <c r="A614" s="19">
        <v>27.427399999999999</v>
      </c>
      <c r="B614" s="19">
        <v>794.66463329999999</v>
      </c>
      <c r="C614" s="19">
        <v>521.73793899999998</v>
      </c>
      <c r="E614" s="9">
        <f t="shared" si="173"/>
        <v>-165.33536670000001</v>
      </c>
      <c r="F614" s="9">
        <f t="shared" si="174"/>
        <v>18.262061000000017</v>
      </c>
      <c r="I614">
        <v>1</v>
      </c>
      <c r="J614">
        <f t="shared" si="175"/>
        <v>0.10646819474106325</v>
      </c>
      <c r="K614">
        <f t="shared" si="179"/>
        <v>3.03158392892967</v>
      </c>
      <c r="O614">
        <f t="shared" si="180"/>
        <v>-0.10562479397942835</v>
      </c>
      <c r="P614">
        <f t="shared" si="181"/>
        <v>1.1666750249901351E-2</v>
      </c>
      <c r="Q614">
        <f t="shared" si="182"/>
        <v>0.99433761360787798</v>
      </c>
      <c r="R614">
        <f t="shared" si="172"/>
        <v>1</v>
      </c>
      <c r="AG614" s="8">
        <f t="shared" si="176"/>
        <v>-0.74523831628059223</v>
      </c>
      <c r="AH614" s="8">
        <f t="shared" si="177"/>
        <v>-0.41884464320480819</v>
      </c>
      <c r="AI614" s="8">
        <f t="shared" si="178"/>
        <v>0.51883428645946761</v>
      </c>
      <c r="AJ614" s="8"/>
      <c r="AK614" s="8"/>
      <c r="AL614" s="8"/>
      <c r="AN614" s="8">
        <f t="shared" si="183"/>
        <v>1</v>
      </c>
      <c r="AO614" s="8">
        <f t="shared" si="184"/>
        <v>3.6536233293363773</v>
      </c>
      <c r="AP614" s="8">
        <f t="shared" si="185"/>
        <v>1.0253095485149126</v>
      </c>
      <c r="AQ614" s="8"/>
      <c r="AR614" s="8">
        <f t="shared" si="186"/>
        <v>209.33719670151083</v>
      </c>
      <c r="AS614" s="8">
        <f t="shared" si="187"/>
        <v>31.254090175631582</v>
      </c>
    </row>
    <row r="615" spans="1:45">
      <c r="A615" s="19">
        <v>27.460766670000002</v>
      </c>
      <c r="B615" s="19">
        <v>793.66834689999996</v>
      </c>
      <c r="C615" s="19">
        <v>521.81002100000001</v>
      </c>
      <c r="E615" s="9">
        <f t="shared" si="173"/>
        <v>-166.33165310000004</v>
      </c>
      <c r="F615" s="9">
        <f t="shared" si="174"/>
        <v>18.189978999999994</v>
      </c>
      <c r="I615">
        <v>1</v>
      </c>
      <c r="J615">
        <f t="shared" si="175"/>
        <v>0.10709787063153914</v>
      </c>
      <c r="K615">
        <f t="shared" si="179"/>
        <v>3.0326658198172272</v>
      </c>
      <c r="O615">
        <f t="shared" si="180"/>
        <v>-0.10625973300432905</v>
      </c>
      <c r="P615">
        <f t="shared" si="181"/>
        <v>1.1620532086771818E-2</v>
      </c>
      <c r="Q615">
        <f t="shared" si="182"/>
        <v>0.99427050261780825</v>
      </c>
      <c r="R615">
        <f t="shared" si="172"/>
        <v>1</v>
      </c>
      <c r="AG615" s="8">
        <f t="shared" si="176"/>
        <v>-0.74562221502774606</v>
      </c>
      <c r="AH615" s="8">
        <f t="shared" si="177"/>
        <v>-0.41835755399900032</v>
      </c>
      <c r="AI615" s="8">
        <f t="shared" si="178"/>
        <v>0.51867568814153142</v>
      </c>
      <c r="AJ615" s="8"/>
      <c r="AK615" s="8"/>
      <c r="AL615" s="8"/>
      <c r="AN615" s="8">
        <f t="shared" si="183"/>
        <v>1</v>
      </c>
      <c r="AO615" s="8">
        <f t="shared" si="184"/>
        <v>3.6529066836201549</v>
      </c>
      <c r="AP615" s="8">
        <f t="shared" si="185"/>
        <v>1.0254950603403179</v>
      </c>
      <c r="AQ615" s="8"/>
      <c r="AR615" s="8">
        <f t="shared" si="186"/>
        <v>209.29613592656517</v>
      </c>
      <c r="AS615" s="8">
        <f t="shared" si="187"/>
        <v>31.243461130986091</v>
      </c>
    </row>
    <row r="616" spans="1:45">
      <c r="A616" s="19">
        <v>27.49413333</v>
      </c>
      <c r="B616" s="19">
        <v>792.12726369999996</v>
      </c>
      <c r="C616" s="19">
        <v>521.81117300000005</v>
      </c>
      <c r="E616" s="9">
        <f t="shared" si="173"/>
        <v>-167.87273630000004</v>
      </c>
      <c r="F616" s="9">
        <f t="shared" si="174"/>
        <v>18.188826999999947</v>
      </c>
      <c r="I616">
        <v>1</v>
      </c>
      <c r="J616">
        <f t="shared" si="175"/>
        <v>0.1080796056635354</v>
      </c>
      <c r="K616">
        <f t="shared" si="179"/>
        <v>3.0336647746901013</v>
      </c>
      <c r="O616">
        <f t="shared" si="180"/>
        <v>-0.10724166762841927</v>
      </c>
      <c r="P616">
        <f t="shared" si="181"/>
        <v>1.161951715732421E-2</v>
      </c>
      <c r="Q616">
        <f t="shared" si="182"/>
        <v>0.99416508264236791</v>
      </c>
      <c r="R616">
        <f t="shared" si="172"/>
        <v>1</v>
      </c>
      <c r="AG616" s="8">
        <f t="shared" si="176"/>
        <v>-0.74619190914297029</v>
      </c>
      <c r="AH616" s="8">
        <f t="shared" si="177"/>
        <v>-0.41757281841884475</v>
      </c>
      <c r="AI616" s="8">
        <f t="shared" si="178"/>
        <v>0.51848874244993171</v>
      </c>
      <c r="AJ616" s="8"/>
      <c r="AK616" s="8"/>
      <c r="AL616" s="8"/>
      <c r="AN616" s="8">
        <f t="shared" si="183"/>
        <v>0.99999999999999978</v>
      </c>
      <c r="AO616" s="8">
        <f t="shared" si="184"/>
        <v>3.6517803215629696</v>
      </c>
      <c r="AP616" s="8">
        <f t="shared" si="185"/>
        <v>1.0257137031717356</v>
      </c>
      <c r="AQ616" s="8"/>
      <c r="AR616" s="8">
        <f t="shared" si="186"/>
        <v>209.23160013448478</v>
      </c>
      <c r="AS616" s="8">
        <f t="shared" si="187"/>
        <v>31.23093381952507</v>
      </c>
    </row>
    <row r="617" spans="1:45">
      <c r="A617" s="19">
        <v>27.5275</v>
      </c>
      <c r="B617" s="19">
        <v>791.57830569999999</v>
      </c>
      <c r="C617" s="19">
        <v>521.757698</v>
      </c>
      <c r="E617" s="9">
        <f t="shared" si="173"/>
        <v>-168.42169430000001</v>
      </c>
      <c r="F617" s="9">
        <f t="shared" si="174"/>
        <v>18.242301999999995</v>
      </c>
      <c r="I617">
        <v>1</v>
      </c>
      <c r="J617">
        <f t="shared" si="175"/>
        <v>0.10843302258704024</v>
      </c>
      <c r="K617">
        <f t="shared" si="179"/>
        <v>3.0337000097847002</v>
      </c>
      <c r="O617">
        <f t="shared" si="180"/>
        <v>-0.10759138199067661</v>
      </c>
      <c r="P617">
        <f t="shared" si="181"/>
        <v>1.1653572843028251E-2</v>
      </c>
      <c r="Q617">
        <f t="shared" si="182"/>
        <v>0.99412689771544183</v>
      </c>
      <c r="R617">
        <f t="shared" si="172"/>
        <v>1</v>
      </c>
      <c r="AG617" s="8">
        <f t="shared" si="176"/>
        <v>-0.74638318672214443</v>
      </c>
      <c r="AH617" s="8">
        <f t="shared" si="177"/>
        <v>-0.41727805353907743</v>
      </c>
      <c r="AI617" s="8">
        <f t="shared" si="178"/>
        <v>0.51845073499141192</v>
      </c>
      <c r="AJ617" s="8"/>
      <c r="AK617" s="8"/>
      <c r="AL617" s="8"/>
      <c r="AN617" s="8">
        <f t="shared" si="183"/>
        <v>1</v>
      </c>
      <c r="AO617" s="8">
        <f t="shared" si="184"/>
        <v>3.651370272394344</v>
      </c>
      <c r="AP617" s="8">
        <f t="shared" si="185"/>
        <v>1.0257581513501215</v>
      </c>
      <c r="AQ617" s="8"/>
      <c r="AR617" s="8">
        <f t="shared" si="186"/>
        <v>209.20810604772967</v>
      </c>
      <c r="AS617" s="8">
        <f t="shared" si="187"/>
        <v>31.228387126496514</v>
      </c>
    </row>
    <row r="618" spans="1:45">
      <c r="A618" s="19">
        <v>27.560866669999999</v>
      </c>
      <c r="B618" s="19">
        <v>790.7109299</v>
      </c>
      <c r="C618" s="19">
        <v>521.75809489999995</v>
      </c>
      <c r="E618" s="9">
        <f t="shared" si="173"/>
        <v>-169.2890701</v>
      </c>
      <c r="F618" s="9">
        <f t="shared" si="174"/>
        <v>18.241905100000054</v>
      </c>
      <c r="I618">
        <v>1</v>
      </c>
      <c r="J618">
        <f t="shared" si="175"/>
        <v>0.10898556078087218</v>
      </c>
      <c r="K618">
        <f t="shared" si="179"/>
        <v>3.0342508826222132</v>
      </c>
      <c r="O618">
        <f t="shared" si="180"/>
        <v>-0.10814390041990381</v>
      </c>
      <c r="P618">
        <f t="shared" si="181"/>
        <v>1.1653149062951472E-2</v>
      </c>
      <c r="Q618">
        <f t="shared" si="182"/>
        <v>0.99406694991780431</v>
      </c>
      <c r="R618">
        <f t="shared" si="172"/>
        <v>1</v>
      </c>
      <c r="AG618" s="8">
        <f t="shared" si="176"/>
        <v>-0.74670326569731482</v>
      </c>
      <c r="AH618" s="8">
        <f t="shared" si="177"/>
        <v>-0.41683611341256965</v>
      </c>
      <c r="AI618" s="8">
        <f t="shared" si="178"/>
        <v>0.51834533619206846</v>
      </c>
      <c r="AJ618" s="8"/>
      <c r="AK618" s="8"/>
      <c r="AL618" s="8"/>
      <c r="AN618" s="8">
        <f t="shared" si="183"/>
        <v>0.99999999999999978</v>
      </c>
      <c r="AO618" s="8">
        <f t="shared" si="184"/>
        <v>3.65073654917345</v>
      </c>
      <c r="AP618" s="8">
        <f t="shared" si="185"/>
        <v>1.0258814046974507</v>
      </c>
      <c r="AQ618" s="8"/>
      <c r="AR618" s="8">
        <f t="shared" si="186"/>
        <v>209.171796381793</v>
      </c>
      <c r="AS618" s="8">
        <f t="shared" si="187"/>
        <v>31.221325229883689</v>
      </c>
    </row>
    <row r="619" spans="1:45">
      <c r="A619" s="19">
        <v>27.594233330000002</v>
      </c>
      <c r="B619" s="19">
        <v>791.71953069999995</v>
      </c>
      <c r="C619" s="19">
        <v>520.76092410000001</v>
      </c>
      <c r="E619" s="9">
        <f t="shared" si="173"/>
        <v>-168.28046930000005</v>
      </c>
      <c r="F619" s="9">
        <f t="shared" si="174"/>
        <v>19.239075899999989</v>
      </c>
      <c r="I619">
        <v>1</v>
      </c>
      <c r="J619">
        <f t="shared" si="175"/>
        <v>0.10841374831521788</v>
      </c>
      <c r="K619">
        <f t="shared" si="179"/>
        <v>3.0277594551168661</v>
      </c>
      <c r="O619">
        <f t="shared" si="180"/>
        <v>-0.10750121817528525</v>
      </c>
      <c r="P619">
        <f t="shared" si="181"/>
        <v>1.2290339481581E-2</v>
      </c>
      <c r="Q619">
        <f t="shared" si="182"/>
        <v>0.99412898340520039</v>
      </c>
      <c r="R619">
        <f t="shared" si="172"/>
        <v>1</v>
      </c>
      <c r="AG619" s="8">
        <f t="shared" si="176"/>
        <v>-0.74611885767133312</v>
      </c>
      <c r="AH619" s="8">
        <f t="shared" si="177"/>
        <v>-0.41706954471609092</v>
      </c>
      <c r="AI619" s="8">
        <f t="shared" si="178"/>
        <v>0.51899869469733517</v>
      </c>
      <c r="AJ619" s="8"/>
      <c r="AK619" s="8"/>
      <c r="AL619" s="8"/>
      <c r="AN619" s="8">
        <f t="shared" si="183"/>
        <v>1.0000000000000002</v>
      </c>
      <c r="AO619" s="8">
        <f t="shared" si="184"/>
        <v>3.65130825673404</v>
      </c>
      <c r="AP619" s="8">
        <f t="shared" si="185"/>
        <v>1.0251172187980782</v>
      </c>
      <c r="AQ619" s="8"/>
      <c r="AR619" s="8">
        <f t="shared" si="186"/>
        <v>209.20455281213054</v>
      </c>
      <c r="AS619" s="8">
        <f t="shared" si="187"/>
        <v>31.265109856681143</v>
      </c>
    </row>
    <row r="620" spans="1:45">
      <c r="A620" s="19">
        <v>27.627600000000001</v>
      </c>
      <c r="B620" s="19">
        <v>790.90053720000003</v>
      </c>
      <c r="C620" s="19">
        <v>520.78645710000001</v>
      </c>
      <c r="E620" s="9">
        <f t="shared" si="173"/>
        <v>-169.09946279999997</v>
      </c>
      <c r="F620" s="9">
        <f t="shared" si="174"/>
        <v>19.213542899999993</v>
      </c>
      <c r="I620">
        <v>1</v>
      </c>
      <c r="J620">
        <f t="shared" si="175"/>
        <v>0.10893330175541152</v>
      </c>
      <c r="K620">
        <f t="shared" si="179"/>
        <v>3.0284551301234517</v>
      </c>
      <c r="O620">
        <f t="shared" si="180"/>
        <v>-0.10802292872199451</v>
      </c>
      <c r="P620">
        <f t="shared" si="181"/>
        <v>1.2273860252521647E-2</v>
      </c>
      <c r="Q620">
        <f t="shared" si="182"/>
        <v>0.99407263277128022</v>
      </c>
      <c r="R620">
        <f t="shared" si="172"/>
        <v>1</v>
      </c>
      <c r="AG620" s="8">
        <f t="shared" si="176"/>
        <v>-0.74642648675230694</v>
      </c>
      <c r="AH620" s="8">
        <f t="shared" si="177"/>
        <v>-0.41665936408015325</v>
      </c>
      <c r="AI620" s="8">
        <f t="shared" si="178"/>
        <v>0.51888580072972745</v>
      </c>
      <c r="AJ620" s="8"/>
      <c r="AK620" s="8"/>
      <c r="AL620" s="8"/>
      <c r="AN620" s="8">
        <f t="shared" si="183"/>
        <v>1</v>
      </c>
      <c r="AO620" s="8">
        <f t="shared" si="184"/>
        <v>3.650713830998273</v>
      </c>
      <c r="AP620" s="8">
        <f t="shared" si="185"/>
        <v>1.025249287982934</v>
      </c>
      <c r="AQ620" s="8"/>
      <c r="AR620" s="8">
        <f t="shared" si="186"/>
        <v>209.17049472623714</v>
      </c>
      <c r="AS620" s="8">
        <f t="shared" si="187"/>
        <v>31.257542849785168</v>
      </c>
    </row>
    <row r="621" spans="1:45">
      <c r="A621" s="19">
        <v>27.660966670000001</v>
      </c>
      <c r="B621" s="19">
        <v>790.57199600000001</v>
      </c>
      <c r="C621" s="19">
        <v>520.60885329999996</v>
      </c>
      <c r="E621" s="9">
        <f t="shared" si="173"/>
        <v>-169.42800399999999</v>
      </c>
      <c r="F621" s="9">
        <f t="shared" si="174"/>
        <v>19.391146700000036</v>
      </c>
      <c r="I621">
        <v>1</v>
      </c>
      <c r="J621">
        <f t="shared" si="175"/>
        <v>0.10915534649641717</v>
      </c>
      <c r="K621">
        <f t="shared" si="179"/>
        <v>3.0276378314299945</v>
      </c>
      <c r="O621">
        <f t="shared" si="180"/>
        <v>-0.10823215556284928</v>
      </c>
      <c r="P621">
        <f t="shared" si="181"/>
        <v>1.2387241522224611E-2</v>
      </c>
      <c r="Q621">
        <f t="shared" si="182"/>
        <v>0.9940484680083207</v>
      </c>
      <c r="R621">
        <f t="shared" si="172"/>
        <v>1</v>
      </c>
      <c r="AG621" s="8">
        <f t="shared" si="176"/>
        <v>-0.74650980842132131</v>
      </c>
      <c r="AH621" s="8">
        <f t="shared" si="177"/>
        <v>-0.41644192064088403</v>
      </c>
      <c r="AI621" s="8">
        <f t="shared" si="178"/>
        <v>0.51894049048392243</v>
      </c>
      <c r="AJ621" s="8"/>
      <c r="AK621" s="8"/>
      <c r="AL621" s="8"/>
      <c r="AN621" s="8">
        <f t="shared" si="183"/>
        <v>1.0000000000000002</v>
      </c>
      <c r="AO621" s="8">
        <f t="shared" si="184"/>
        <v>3.6504442067475811</v>
      </c>
      <c r="AP621" s="8">
        <f t="shared" si="185"/>
        <v>1.0251853104106494</v>
      </c>
      <c r="AQ621" s="8"/>
      <c r="AR621" s="8">
        <f t="shared" si="186"/>
        <v>209.1550463946181</v>
      </c>
      <c r="AS621" s="8">
        <f t="shared" si="187"/>
        <v>31.261208494660572</v>
      </c>
    </row>
    <row r="622" spans="1:45">
      <c r="A622" s="19">
        <v>27.694333329999999</v>
      </c>
      <c r="B622" s="19">
        <v>789.71692740000003</v>
      </c>
      <c r="C622" s="19">
        <v>520.79280919999997</v>
      </c>
      <c r="E622" s="9">
        <f t="shared" si="173"/>
        <v>-170.28307259999997</v>
      </c>
      <c r="F622" s="9">
        <f t="shared" si="174"/>
        <v>19.207190800000035</v>
      </c>
      <c r="I622">
        <v>1</v>
      </c>
      <c r="J622">
        <f t="shared" si="175"/>
        <v>0.10968637968580031</v>
      </c>
      <c r="K622">
        <f t="shared" si="179"/>
        <v>3.0292717403528355</v>
      </c>
      <c r="O622">
        <f t="shared" si="180"/>
        <v>-0.10877678182862778</v>
      </c>
      <c r="P622">
        <f t="shared" si="181"/>
        <v>1.2269548413072477E-2</v>
      </c>
      <c r="Q622">
        <f t="shared" si="182"/>
        <v>0.99399047777971516</v>
      </c>
      <c r="R622">
        <f t="shared" si="172"/>
        <v>1</v>
      </c>
      <c r="AG622" s="8">
        <f t="shared" si="176"/>
        <v>-0.74686416567922842</v>
      </c>
      <c r="AH622" s="8">
        <f t="shared" si="177"/>
        <v>-0.41605782293569482</v>
      </c>
      <c r="AI622" s="8">
        <f t="shared" si="178"/>
        <v>0.51873866830831139</v>
      </c>
      <c r="AJ622" s="8"/>
      <c r="AK622" s="8"/>
      <c r="AL622" s="8"/>
      <c r="AN622" s="8">
        <f t="shared" si="183"/>
        <v>1.0000000000000002</v>
      </c>
      <c r="AO622" s="8">
        <f t="shared" si="184"/>
        <v>3.6498499282933254</v>
      </c>
      <c r="AP622" s="8">
        <f t="shared" si="185"/>
        <v>1.0254213951879425</v>
      </c>
      <c r="AQ622" s="8"/>
      <c r="AR622" s="8">
        <f t="shared" si="186"/>
        <v>209.12099674733369</v>
      </c>
      <c r="AS622" s="8">
        <f t="shared" si="187"/>
        <v>31.247681833314388</v>
      </c>
    </row>
    <row r="623" spans="1:45">
      <c r="A623" s="19">
        <v>27.727699999999999</v>
      </c>
      <c r="B623" s="19">
        <v>789.65464940000004</v>
      </c>
      <c r="C623" s="19">
        <v>520.66852280000001</v>
      </c>
      <c r="E623" s="9">
        <f t="shared" si="173"/>
        <v>-170.34535059999996</v>
      </c>
      <c r="F623" s="9">
        <f t="shared" si="174"/>
        <v>19.331477199999995</v>
      </c>
      <c r="I623">
        <v>1</v>
      </c>
      <c r="J623">
        <f t="shared" si="175"/>
        <v>0.10973497846871735</v>
      </c>
      <c r="K623">
        <f t="shared" si="179"/>
        <v>3.0285920642974213</v>
      </c>
      <c r="O623">
        <f t="shared" si="180"/>
        <v>-0.10881641589528063</v>
      </c>
      <c r="P623">
        <f t="shared" si="181"/>
        <v>1.2348925611741005E-2</v>
      </c>
      <c r="Q623">
        <f t="shared" si="182"/>
        <v>0.99398515666379095</v>
      </c>
      <c r="R623">
        <f t="shared" si="172"/>
        <v>1</v>
      </c>
      <c r="AG623" s="8">
        <f t="shared" si="176"/>
        <v>-0.74686063219190602</v>
      </c>
      <c r="AH623" s="8">
        <f t="shared" si="177"/>
        <v>-0.41599109094298997</v>
      </c>
      <c r="AI623" s="8">
        <f t="shared" si="178"/>
        <v>0.51879727094306072</v>
      </c>
      <c r="AJ623" s="8"/>
      <c r="AK623" s="8"/>
      <c r="AL623" s="8"/>
      <c r="AN623" s="8">
        <f t="shared" si="183"/>
        <v>1</v>
      </c>
      <c r="AO623" s="8">
        <f t="shared" si="184"/>
        <v>3.6497837483283511</v>
      </c>
      <c r="AP623" s="8">
        <f t="shared" si="185"/>
        <v>1.0253528472863351</v>
      </c>
      <c r="AQ623" s="8"/>
      <c r="AR623" s="8">
        <f t="shared" si="186"/>
        <v>209.11720491465235</v>
      </c>
      <c r="AS623" s="8">
        <f t="shared" si="187"/>
        <v>31.251609338770969</v>
      </c>
    </row>
    <row r="624" spans="1:45">
      <c r="A624" s="19">
        <v>27.761066670000002</v>
      </c>
      <c r="B624" s="19">
        <v>789.72849759999997</v>
      </c>
      <c r="C624" s="19">
        <v>519.87257590000002</v>
      </c>
      <c r="E624" s="9">
        <f t="shared" si="173"/>
        <v>-170.27150240000003</v>
      </c>
      <c r="F624" s="9">
        <f t="shared" si="174"/>
        <v>20.127424099999985</v>
      </c>
      <c r="I624">
        <v>1</v>
      </c>
      <c r="J624">
        <f t="shared" si="175"/>
        <v>0.10974666211676111</v>
      </c>
      <c r="K624">
        <f t="shared" si="179"/>
        <v>3.023930833581991</v>
      </c>
      <c r="O624">
        <f t="shared" si="180"/>
        <v>-0.10876920585193559</v>
      </c>
      <c r="P624">
        <f t="shared" si="181"/>
        <v>1.2857371341325015E-2</v>
      </c>
      <c r="Q624">
        <f t="shared" si="182"/>
        <v>0.99398387706266667</v>
      </c>
      <c r="R624">
        <f t="shared" si="172"/>
        <v>1</v>
      </c>
      <c r="AG624" s="8">
        <f t="shared" si="176"/>
        <v>-0.74666374699232352</v>
      </c>
      <c r="AH624" s="8">
        <f t="shared" si="177"/>
        <v>-0.41580463922194227</v>
      </c>
      <c r="AI624" s="8">
        <f t="shared" si="178"/>
        <v>0.51922995958331786</v>
      </c>
      <c r="AJ624" s="8"/>
      <c r="AK624" s="8"/>
      <c r="AL624" s="8"/>
      <c r="AN624" s="8">
        <f t="shared" si="183"/>
        <v>1</v>
      </c>
      <c r="AO624" s="8">
        <f t="shared" si="184"/>
        <v>3.6497052525498619</v>
      </c>
      <c r="AP624" s="8">
        <f t="shared" si="185"/>
        <v>1.0248466401324743</v>
      </c>
      <c r="AQ624" s="8"/>
      <c r="AR624" s="8">
        <f t="shared" si="186"/>
        <v>209.11270743783533</v>
      </c>
      <c r="AS624" s="8">
        <f t="shared" si="187"/>
        <v>31.280612872246529</v>
      </c>
    </row>
    <row r="625" spans="1:45">
      <c r="A625" s="19">
        <v>27.79443333</v>
      </c>
      <c r="B625" s="19">
        <v>788.71314940000002</v>
      </c>
      <c r="C625" s="19">
        <v>520.78833650000001</v>
      </c>
      <c r="E625" s="9">
        <f t="shared" si="173"/>
        <v>-171.28685059999998</v>
      </c>
      <c r="F625" s="9">
        <f t="shared" si="174"/>
        <v>19.211663499999986</v>
      </c>
      <c r="I625">
        <v>1</v>
      </c>
      <c r="J625">
        <f t="shared" si="175"/>
        <v>0.11032573778230803</v>
      </c>
      <c r="K625">
        <f t="shared" si="179"/>
        <v>3.0298987030163782</v>
      </c>
      <c r="O625">
        <f t="shared" si="180"/>
        <v>-0.1094159864984397</v>
      </c>
      <c r="P625">
        <f t="shared" si="181"/>
        <v>1.2272180303188832E-2</v>
      </c>
      <c r="Q625">
        <f t="shared" si="182"/>
        <v>0.99392028628516249</v>
      </c>
      <c r="R625">
        <f t="shared" si="172"/>
        <v>1</v>
      </c>
      <c r="AG625" s="8">
        <f t="shared" si="176"/>
        <v>-0.74723287522615234</v>
      </c>
      <c r="AH625" s="8">
        <f t="shared" si="177"/>
        <v>-0.4155447647251696</v>
      </c>
      <c r="AI625" s="8">
        <f t="shared" si="178"/>
        <v>0.51861891470593424</v>
      </c>
      <c r="AJ625" s="8"/>
      <c r="AK625" s="8"/>
      <c r="AL625" s="8"/>
      <c r="AN625" s="8">
        <f t="shared" si="183"/>
        <v>1</v>
      </c>
      <c r="AO625" s="8">
        <f t="shared" si="184"/>
        <v>3.6491158521481051</v>
      </c>
      <c r="AP625" s="8">
        <f t="shared" si="185"/>
        <v>1.0255614629288168</v>
      </c>
      <c r="AQ625" s="8"/>
      <c r="AR625" s="8">
        <f t="shared" si="186"/>
        <v>209.07893728237133</v>
      </c>
      <c r="AS625" s="8">
        <f t="shared" si="187"/>
        <v>31.239656542916364</v>
      </c>
    </row>
    <row r="626" spans="1:45">
      <c r="A626" s="19">
        <v>27.8278</v>
      </c>
      <c r="B626" s="19">
        <v>788.66354509999996</v>
      </c>
      <c r="C626" s="19">
        <v>520.68211010000005</v>
      </c>
      <c r="E626" s="9">
        <f t="shared" si="173"/>
        <v>-171.33645490000004</v>
      </c>
      <c r="F626" s="9">
        <f t="shared" si="174"/>
        <v>19.317889899999955</v>
      </c>
      <c r="I626">
        <v>1</v>
      </c>
      <c r="J626">
        <f t="shared" si="175"/>
        <v>0.11036492072883704</v>
      </c>
      <c r="K626">
        <f t="shared" si="179"/>
        <v>3.0293185249361887</v>
      </c>
      <c r="O626">
        <f t="shared" si="180"/>
        <v>-0.10944754747445067</v>
      </c>
      <c r="P626">
        <f t="shared" si="181"/>
        <v>1.2340022286386509E-2</v>
      </c>
      <c r="Q626">
        <f t="shared" si="182"/>
        <v>0.9939159713988901</v>
      </c>
      <c r="R626">
        <f t="shared" si="172"/>
        <v>1</v>
      </c>
      <c r="AG626" s="8">
        <f t="shared" si="176"/>
        <v>-0.74722850328722534</v>
      </c>
      <c r="AH626" s="8">
        <f t="shared" si="177"/>
        <v>-0.41548957238999529</v>
      </c>
      <c r="AI626" s="8">
        <f t="shared" si="178"/>
        <v>0.51866943144001842</v>
      </c>
      <c r="AJ626" s="8"/>
      <c r="AK626" s="8"/>
      <c r="AL626" s="8"/>
      <c r="AN626" s="8">
        <f t="shared" si="183"/>
        <v>1</v>
      </c>
      <c r="AO626" s="8">
        <f t="shared" si="184"/>
        <v>3.6490619200719991</v>
      </c>
      <c r="AP626" s="8">
        <f t="shared" si="185"/>
        <v>1.0255023783512356</v>
      </c>
      <c r="AQ626" s="8"/>
      <c r="AR626" s="8">
        <f t="shared" si="186"/>
        <v>209.0758472020301</v>
      </c>
      <c r="AS626" s="8">
        <f t="shared" si="187"/>
        <v>31.243041839846079</v>
      </c>
    </row>
    <row r="627" spans="1:45">
      <c r="A627" s="19">
        <v>27.861166669999999</v>
      </c>
      <c r="B627" s="19">
        <v>787.70198210000001</v>
      </c>
      <c r="C627" s="19">
        <v>519.81887159999997</v>
      </c>
      <c r="E627" s="9">
        <f t="shared" si="173"/>
        <v>-172.29801789999999</v>
      </c>
      <c r="F627" s="9">
        <f t="shared" si="174"/>
        <v>20.181128400000034</v>
      </c>
      <c r="I627">
        <v>1</v>
      </c>
      <c r="J627">
        <f t="shared" si="175"/>
        <v>0.1110399983964442</v>
      </c>
      <c r="K627">
        <f t="shared" si="179"/>
        <v>3.0249947321785804</v>
      </c>
      <c r="O627">
        <f t="shared" si="180"/>
        <v>-0.11005955858837732</v>
      </c>
      <c r="P627">
        <f t="shared" si="181"/>
        <v>1.2891187667686887E-2</v>
      </c>
      <c r="Q627">
        <f t="shared" si="182"/>
        <v>0.99384139119069093</v>
      </c>
      <c r="R627">
        <f t="shared" si="172"/>
        <v>1</v>
      </c>
      <c r="AG627" s="8">
        <f t="shared" si="176"/>
        <v>-0.74739825475174204</v>
      </c>
      <c r="AH627" s="8">
        <f t="shared" si="177"/>
        <v>-0.41475614755833307</v>
      </c>
      <c r="AI627" s="8">
        <f t="shared" si="178"/>
        <v>0.51901174057685873</v>
      </c>
      <c r="AJ627" s="8"/>
      <c r="AK627" s="8"/>
      <c r="AL627" s="8"/>
      <c r="AN627" s="8">
        <f t="shared" si="183"/>
        <v>1</v>
      </c>
      <c r="AO627" s="8">
        <f t="shared" si="184"/>
        <v>3.6482155020970062</v>
      </c>
      <c r="AP627" s="8">
        <f t="shared" si="185"/>
        <v>1.0251019563728931</v>
      </c>
      <c r="AQ627" s="8"/>
      <c r="AR627" s="8">
        <f t="shared" si="186"/>
        <v>209.02735102435898</v>
      </c>
      <c r="AS627" s="8">
        <f t="shared" si="187"/>
        <v>31.265984329229383</v>
      </c>
    </row>
    <row r="628" spans="1:45">
      <c r="A628" s="19">
        <v>27.894533330000002</v>
      </c>
      <c r="B628" s="19">
        <v>786.60976319999997</v>
      </c>
      <c r="C628" s="19">
        <v>520.76107219999994</v>
      </c>
      <c r="E628" s="9">
        <f t="shared" si="173"/>
        <v>-173.39023680000003</v>
      </c>
      <c r="F628" s="9">
        <f t="shared" si="174"/>
        <v>19.238927800000056</v>
      </c>
      <c r="I628">
        <v>1</v>
      </c>
      <c r="J628">
        <f t="shared" si="175"/>
        <v>0.11166670814928055</v>
      </c>
      <c r="K628">
        <f t="shared" si="179"/>
        <v>3.0310872833020159</v>
      </c>
      <c r="O628">
        <f t="shared" si="180"/>
        <v>-0.11075508501287133</v>
      </c>
      <c r="P628">
        <f t="shared" si="181"/>
        <v>1.2289094953502604E-2</v>
      </c>
      <c r="Q628">
        <f t="shared" si="182"/>
        <v>0.99377174908980759</v>
      </c>
      <c r="R628">
        <f t="shared" si="172"/>
        <v>1</v>
      </c>
      <c r="AG628" s="8">
        <f t="shared" si="176"/>
        <v>-0.74800057881799586</v>
      </c>
      <c r="AH628" s="8">
        <f t="shared" si="177"/>
        <v>-0.41446422756512336</v>
      </c>
      <c r="AI628" s="8">
        <f t="shared" si="178"/>
        <v>0.51837683026615777</v>
      </c>
      <c r="AJ628" s="8"/>
      <c r="AK628" s="8"/>
      <c r="AL628" s="8"/>
      <c r="AN628" s="8">
        <f t="shared" si="183"/>
        <v>1</v>
      </c>
      <c r="AO628" s="8">
        <f t="shared" si="184"/>
        <v>3.6475752472879686</v>
      </c>
      <c r="AP628" s="8">
        <f t="shared" si="185"/>
        <v>1.0258445764945292</v>
      </c>
      <c r="AQ628" s="8"/>
      <c r="AR628" s="8">
        <f t="shared" si="186"/>
        <v>208.99066712598818</v>
      </c>
      <c r="AS628" s="8">
        <f t="shared" si="187"/>
        <v>31.223435330478139</v>
      </c>
    </row>
    <row r="629" spans="1:45">
      <c r="A629" s="19">
        <v>27.927900000000001</v>
      </c>
      <c r="B629" s="19">
        <v>786.75587480000002</v>
      </c>
      <c r="C629" s="19">
        <v>519.8510225</v>
      </c>
      <c r="E629" s="9">
        <f t="shared" si="173"/>
        <v>-173.24412519999998</v>
      </c>
      <c r="F629" s="9">
        <f t="shared" si="174"/>
        <v>20.148977500000001</v>
      </c>
      <c r="I629">
        <v>1</v>
      </c>
      <c r="J629">
        <f t="shared" si="175"/>
        <v>0.11163953190441221</v>
      </c>
      <c r="K629">
        <f t="shared" si="179"/>
        <v>3.0258088795046558</v>
      </c>
      <c r="O629">
        <f t="shared" si="180"/>
        <v>-0.11066184940703126</v>
      </c>
      <c r="P629">
        <f t="shared" si="181"/>
        <v>1.2870411110544626E-2</v>
      </c>
      <c r="Q629">
        <f t="shared" si="182"/>
        <v>0.99377477710176421</v>
      </c>
      <c r="R629">
        <f t="shared" si="172"/>
        <v>1</v>
      </c>
      <c r="AG629" s="8">
        <f t="shared" si="176"/>
        <v>-0.74775290072605771</v>
      </c>
      <c r="AH629" s="8">
        <f t="shared" si="177"/>
        <v>-0.4142825858802438</v>
      </c>
      <c r="AI629" s="8">
        <f t="shared" si="178"/>
        <v>0.51887911741767456</v>
      </c>
      <c r="AJ629" s="8"/>
      <c r="AK629" s="8"/>
      <c r="AL629" s="8"/>
      <c r="AN629" s="8">
        <f t="shared" si="183"/>
        <v>1</v>
      </c>
      <c r="AO629" s="8">
        <f t="shared" si="184"/>
        <v>3.6475298119331869</v>
      </c>
      <c r="AP629" s="8">
        <f t="shared" si="185"/>
        <v>1.0252571061340494</v>
      </c>
      <c r="AQ629" s="8"/>
      <c r="AR629" s="8">
        <f t="shared" si="186"/>
        <v>208.98806387191851</v>
      </c>
      <c r="AS629" s="8">
        <f t="shared" si="187"/>
        <v>31.257094902722663</v>
      </c>
    </row>
    <row r="630" spans="1:45">
      <c r="A630" s="19">
        <v>27.961266670000001</v>
      </c>
      <c r="B630" s="19">
        <v>785.80289219999997</v>
      </c>
      <c r="C630" s="19">
        <v>519.79258770000001</v>
      </c>
      <c r="E630" s="9">
        <f t="shared" si="173"/>
        <v>-174.19710780000003</v>
      </c>
      <c r="F630" s="9">
        <f t="shared" si="174"/>
        <v>20.207412299999987</v>
      </c>
      <c r="I630">
        <v>1</v>
      </c>
      <c r="J630">
        <f t="shared" si="175"/>
        <v>0.11225013150621517</v>
      </c>
      <c r="K630">
        <f t="shared" si="179"/>
        <v>3.026105688597978</v>
      </c>
      <c r="O630">
        <f t="shared" si="180"/>
        <v>-0.11126840039071294</v>
      </c>
      <c r="P630">
        <f t="shared" si="181"/>
        <v>1.2907484349499728E-2</v>
      </c>
      <c r="Q630">
        <f t="shared" si="182"/>
        <v>0.99370656630730758</v>
      </c>
      <c r="R630">
        <f t="shared" si="172"/>
        <v>1</v>
      </c>
      <c r="AG630" s="8">
        <f t="shared" si="176"/>
        <v>-0.74809044510760192</v>
      </c>
      <c r="AH630" s="8">
        <f t="shared" si="177"/>
        <v>-0.41377989766506162</v>
      </c>
      <c r="AI630" s="8">
        <f t="shared" si="178"/>
        <v>0.51879367982561375</v>
      </c>
      <c r="AJ630" s="8"/>
      <c r="AK630" s="8"/>
      <c r="AL630" s="8"/>
      <c r="AN630" s="8">
        <f t="shared" si="183"/>
        <v>1.0000000000000004</v>
      </c>
      <c r="AO630" s="8">
        <f t="shared" si="184"/>
        <v>3.6468241206752774</v>
      </c>
      <c r="AP630" s="8">
        <f t="shared" si="185"/>
        <v>1.0253570479229199</v>
      </c>
      <c r="AQ630" s="8"/>
      <c r="AR630" s="8">
        <f t="shared" si="186"/>
        <v>208.94763074120101</v>
      </c>
      <c r="AS630" s="8">
        <f t="shared" si="187"/>
        <v>31.251368660023395</v>
      </c>
    </row>
    <row r="631" spans="1:45">
      <c r="A631" s="19">
        <v>27.994633329999999</v>
      </c>
      <c r="B631" s="19">
        <v>784.73237510000001</v>
      </c>
      <c r="C631" s="19">
        <v>519.82791269999996</v>
      </c>
      <c r="E631" s="9">
        <f t="shared" si="173"/>
        <v>-175.26762489999999</v>
      </c>
      <c r="F631" s="9">
        <f t="shared" si="174"/>
        <v>20.172087300000044</v>
      </c>
      <c r="I631">
        <v>1</v>
      </c>
      <c r="J631">
        <f t="shared" si="175"/>
        <v>0.1129285743822486</v>
      </c>
      <c r="K631">
        <f t="shared" si="179"/>
        <v>3.0270037822709726</v>
      </c>
      <c r="O631">
        <f t="shared" si="180"/>
        <v>-0.1119496738143078</v>
      </c>
      <c r="P631">
        <f t="shared" si="181"/>
        <v>1.2884630545300126E-2</v>
      </c>
      <c r="Q631">
        <f t="shared" si="182"/>
        <v>0.9936303421436874</v>
      </c>
      <c r="R631">
        <f t="shared" si="172"/>
        <v>1</v>
      </c>
      <c r="AG631" s="8">
        <f t="shared" si="176"/>
        <v>-0.74849078992865103</v>
      </c>
      <c r="AH631" s="8">
        <f t="shared" si="177"/>
        <v>-0.41324351111030877</v>
      </c>
      <c r="AI631" s="8">
        <f t="shared" si="178"/>
        <v>0.51864374855695328</v>
      </c>
      <c r="AJ631" s="8"/>
      <c r="AK631" s="8"/>
      <c r="AL631" s="8"/>
      <c r="AN631" s="8">
        <f t="shared" si="183"/>
        <v>1</v>
      </c>
      <c r="AO631" s="8">
        <f t="shared" si="184"/>
        <v>3.6460485065051262</v>
      </c>
      <c r="AP631" s="8">
        <f t="shared" si="185"/>
        <v>1.0255324174203255</v>
      </c>
      <c r="AQ631" s="8"/>
      <c r="AR631" s="8">
        <f t="shared" si="186"/>
        <v>208.9031913227208</v>
      </c>
      <c r="AS631" s="8">
        <f t="shared" si="187"/>
        <v>31.241320727966723</v>
      </c>
    </row>
    <row r="632" spans="1:45">
      <c r="A632" s="19">
        <v>28.027999999999999</v>
      </c>
      <c r="B632" s="19">
        <v>784.68323880000003</v>
      </c>
      <c r="C632" s="19">
        <v>519.75828709999996</v>
      </c>
      <c r="E632" s="9">
        <f t="shared" si="173"/>
        <v>-175.31676119999997</v>
      </c>
      <c r="F632" s="9">
        <f t="shared" si="174"/>
        <v>20.241712900000039</v>
      </c>
      <c r="I632">
        <v>1</v>
      </c>
      <c r="J632">
        <f t="shared" si="175"/>
        <v>0.11296493908928289</v>
      </c>
      <c r="K632">
        <f t="shared" si="179"/>
        <v>3.0266436830231362</v>
      </c>
      <c r="O632">
        <f t="shared" si="180"/>
        <v>-0.11198092135733448</v>
      </c>
      <c r="P632">
        <f t="shared" si="181"/>
        <v>1.2929087013002888E-2</v>
      </c>
      <c r="Q632">
        <f t="shared" si="182"/>
        <v>0.99362624359513207</v>
      </c>
      <c r="R632">
        <f t="shared" si="172"/>
        <v>1</v>
      </c>
      <c r="AG632" s="8">
        <f t="shared" si="176"/>
        <v>-0.7484939580165717</v>
      </c>
      <c r="AH632" s="8">
        <f t="shared" si="177"/>
        <v>-0.41319882612957004</v>
      </c>
      <c r="AI632" s="8">
        <f t="shared" si="178"/>
        <v>0.51867477758016345</v>
      </c>
      <c r="AJ632" s="8"/>
      <c r="AK632" s="8"/>
      <c r="AL632" s="8"/>
      <c r="AN632" s="8">
        <f t="shared" si="183"/>
        <v>1.0000000000000002</v>
      </c>
      <c r="AO632" s="8">
        <f t="shared" si="184"/>
        <v>3.6460009608941011</v>
      </c>
      <c r="AP632" s="8">
        <f t="shared" si="185"/>
        <v>1.0254961253600663</v>
      </c>
      <c r="AQ632" s="8"/>
      <c r="AR632" s="8">
        <f t="shared" si="186"/>
        <v>208.90046715987469</v>
      </c>
      <c r="AS632" s="8">
        <f t="shared" si="187"/>
        <v>31.243400109849411</v>
      </c>
    </row>
    <row r="633" spans="1:45">
      <c r="A633" s="19">
        <v>28.061366670000002</v>
      </c>
      <c r="B633" s="19">
        <v>784.0908402</v>
      </c>
      <c r="C633" s="19">
        <v>520.0968795</v>
      </c>
      <c r="E633" s="9">
        <f t="shared" si="173"/>
        <v>-175.9091598</v>
      </c>
      <c r="F633" s="9">
        <f t="shared" si="174"/>
        <v>19.9031205</v>
      </c>
      <c r="I633">
        <v>1</v>
      </c>
      <c r="J633">
        <f t="shared" si="175"/>
        <v>0.11331721059174574</v>
      </c>
      <c r="K633">
        <f t="shared" si="179"/>
        <v>3.0289274794676415</v>
      </c>
      <c r="O633">
        <f t="shared" si="180"/>
        <v>-0.11235795678669189</v>
      </c>
      <c r="P633">
        <f t="shared" si="181"/>
        <v>1.2712663488370121E-2</v>
      </c>
      <c r="Q633">
        <f t="shared" si="182"/>
        <v>0.99358647219743856</v>
      </c>
      <c r="R633">
        <f t="shared" si="172"/>
        <v>1</v>
      </c>
      <c r="AG633" s="8">
        <f t="shared" si="176"/>
        <v>-0.74878336706883986</v>
      </c>
      <c r="AH633" s="8">
        <f t="shared" si="177"/>
        <v>-0.41299176480093763</v>
      </c>
      <c r="AI633" s="8">
        <f t="shared" si="178"/>
        <v>0.51842190483008943</v>
      </c>
      <c r="AJ633" s="8"/>
      <c r="AK633" s="8"/>
      <c r="AL633" s="8"/>
      <c r="AN633" s="8">
        <f t="shared" si="183"/>
        <v>1.0000000000000002</v>
      </c>
      <c r="AO633" s="8">
        <f t="shared" si="184"/>
        <v>3.6456254106409438</v>
      </c>
      <c r="AP633" s="8">
        <f t="shared" si="185"/>
        <v>1.0257918662534418</v>
      </c>
      <c r="AQ633" s="8"/>
      <c r="AR633" s="8">
        <f t="shared" si="186"/>
        <v>208.87894971537372</v>
      </c>
      <c r="AS633" s="8">
        <f t="shared" si="187"/>
        <v>31.226455404829572</v>
      </c>
    </row>
    <row r="634" spans="1:45">
      <c r="A634" s="19">
        <v>28.09473333</v>
      </c>
      <c r="B634" s="19">
        <v>783.15715409999996</v>
      </c>
      <c r="C634" s="19">
        <v>519.83929439999997</v>
      </c>
      <c r="E634" s="9">
        <f t="shared" si="173"/>
        <v>-176.84284590000004</v>
      </c>
      <c r="F634" s="9">
        <f t="shared" si="174"/>
        <v>20.160705600000028</v>
      </c>
      <c r="I634">
        <v>1</v>
      </c>
      <c r="J634">
        <f t="shared" si="175"/>
        <v>0.11392985585803582</v>
      </c>
      <c r="K634">
        <f t="shared" si="179"/>
        <v>3.0280792186754439</v>
      </c>
      <c r="O634">
        <f t="shared" si="180"/>
        <v>-0.11295191010259206</v>
      </c>
      <c r="P634">
        <f t="shared" si="181"/>
        <v>1.28769144996893E-2</v>
      </c>
      <c r="Q634">
        <f t="shared" si="182"/>
        <v>0.99351701096515888</v>
      </c>
      <c r="R634">
        <f t="shared" si="172"/>
        <v>1</v>
      </c>
      <c r="AG634" s="8">
        <f t="shared" si="176"/>
        <v>-0.74907051275887082</v>
      </c>
      <c r="AH634" s="8">
        <f t="shared" si="177"/>
        <v>-0.41244255710072264</v>
      </c>
      <c r="AI634" s="8">
        <f t="shared" si="178"/>
        <v>0.51844431138491587</v>
      </c>
      <c r="AJ634" s="8"/>
      <c r="AK634" s="8"/>
      <c r="AL634" s="8"/>
      <c r="AN634" s="8">
        <f t="shared" si="183"/>
        <v>1</v>
      </c>
      <c r="AO634" s="8">
        <f t="shared" si="184"/>
        <v>3.6449008389808011</v>
      </c>
      <c r="AP634" s="8">
        <f t="shared" si="185"/>
        <v>1.0257656633785774</v>
      </c>
      <c r="AQ634" s="8"/>
      <c r="AR634" s="8">
        <f t="shared" si="186"/>
        <v>208.83743481729275</v>
      </c>
      <c r="AS634" s="8">
        <f t="shared" si="187"/>
        <v>31.227956718970404</v>
      </c>
    </row>
    <row r="635" spans="1:45">
      <c r="A635" s="19">
        <v>28.1281</v>
      </c>
      <c r="B635" s="19">
        <v>782.64447740000003</v>
      </c>
      <c r="C635" s="19">
        <v>519.7753573</v>
      </c>
      <c r="E635" s="9">
        <f t="shared" si="173"/>
        <v>-177.35552259999997</v>
      </c>
      <c r="F635" s="9">
        <f t="shared" si="174"/>
        <v>20.224642700000004</v>
      </c>
      <c r="I635">
        <v>1</v>
      </c>
      <c r="J635">
        <f t="shared" si="175"/>
        <v>0.11426063075699476</v>
      </c>
      <c r="K635">
        <f t="shared" si="179"/>
        <v>3.0280486602949339</v>
      </c>
      <c r="O635">
        <f t="shared" si="180"/>
        <v>-0.11327802473965151</v>
      </c>
      <c r="P635">
        <f t="shared" si="181"/>
        <v>1.2917599308639827E-2</v>
      </c>
      <c r="Q635">
        <f t="shared" si="182"/>
        <v>0.99347935295062084</v>
      </c>
      <c r="R635">
        <f t="shared" si="172"/>
        <v>1</v>
      </c>
      <c r="AG635" s="8">
        <f t="shared" si="176"/>
        <v>-0.74924458039338071</v>
      </c>
      <c r="AH635" s="8">
        <f t="shared" si="177"/>
        <v>-0.41216276735660995</v>
      </c>
      <c r="AI635" s="8">
        <f t="shared" si="178"/>
        <v>0.51841528908403922</v>
      </c>
      <c r="AJ635" s="8"/>
      <c r="AK635" s="8"/>
      <c r="AL635" s="8"/>
      <c r="AN635" s="8">
        <f t="shared" si="183"/>
        <v>1</v>
      </c>
      <c r="AO635" s="8">
        <f t="shared" si="184"/>
        <v>3.6445160422057654</v>
      </c>
      <c r="AP635" s="8">
        <f t="shared" si="185"/>
        <v>1.0257996028190934</v>
      </c>
      <c r="AQ635" s="8"/>
      <c r="AR635" s="8">
        <f t="shared" si="186"/>
        <v>208.81538758611296</v>
      </c>
      <c r="AS635" s="8">
        <f t="shared" si="187"/>
        <v>31.226012132269801</v>
      </c>
    </row>
    <row r="636" spans="1:45">
      <c r="A636" s="19">
        <v>28.161466669999999</v>
      </c>
      <c r="B636" s="19">
        <v>781.97534059999998</v>
      </c>
      <c r="C636" s="19">
        <v>519.7968932</v>
      </c>
      <c r="E636" s="9">
        <f t="shared" si="173"/>
        <v>-178.02465940000002</v>
      </c>
      <c r="F636" s="9">
        <f t="shared" si="174"/>
        <v>20.2031068</v>
      </c>
      <c r="I636">
        <v>1</v>
      </c>
      <c r="J636">
        <f t="shared" si="175"/>
        <v>0.1146847293567799</v>
      </c>
      <c r="K636">
        <f t="shared" si="179"/>
        <v>3.0285912286861736</v>
      </c>
      <c r="O636">
        <f t="shared" si="180"/>
        <v>-0.11370365254085731</v>
      </c>
      <c r="P636">
        <f t="shared" si="181"/>
        <v>1.2903645166771963E-2</v>
      </c>
      <c r="Q636">
        <f t="shared" si="182"/>
        <v>0.99343091120634963</v>
      </c>
      <c r="R636">
        <f t="shared" si="172"/>
        <v>1</v>
      </c>
      <c r="AG636" s="8">
        <f t="shared" si="176"/>
        <v>-0.74949403082351207</v>
      </c>
      <c r="AH636" s="8">
        <f t="shared" si="177"/>
        <v>-0.41182710260144012</v>
      </c>
      <c r="AI636" s="8">
        <f t="shared" si="178"/>
        <v>0.51832145944657504</v>
      </c>
      <c r="AJ636" s="8"/>
      <c r="AK636" s="8"/>
      <c r="AL636" s="8"/>
      <c r="AN636" s="8">
        <f t="shared" si="183"/>
        <v>1.0000000000000004</v>
      </c>
      <c r="AO636" s="8">
        <f t="shared" si="184"/>
        <v>3.6440315461163464</v>
      </c>
      <c r="AP636" s="8">
        <f t="shared" si="185"/>
        <v>1.0259093248823876</v>
      </c>
      <c r="AQ636" s="8"/>
      <c r="AR636" s="8">
        <f t="shared" si="186"/>
        <v>208.78762800499865</v>
      </c>
      <c r="AS636" s="8">
        <f t="shared" si="187"/>
        <v>31.219725521123578</v>
      </c>
    </row>
    <row r="637" spans="1:45">
      <c r="A637" s="19">
        <v>28.194833330000002</v>
      </c>
      <c r="B637" s="19">
        <v>781.46148909999999</v>
      </c>
      <c r="C637" s="19">
        <v>519.6029777</v>
      </c>
      <c r="E637" s="9">
        <f t="shared" si="173"/>
        <v>-178.53851090000001</v>
      </c>
      <c r="F637" s="9">
        <f t="shared" si="174"/>
        <v>20.397022300000003</v>
      </c>
      <c r="I637">
        <v>1</v>
      </c>
      <c r="J637">
        <f t="shared" si="175"/>
        <v>0.11502562698040002</v>
      </c>
      <c r="K637">
        <f t="shared" si="179"/>
        <v>3.0278414434940375</v>
      </c>
      <c r="O637">
        <f t="shared" si="180"/>
        <v>-0.11403040859778135</v>
      </c>
      <c r="P637">
        <f t="shared" si="181"/>
        <v>1.302733385263751E-2</v>
      </c>
      <c r="Q637">
        <f t="shared" si="182"/>
        <v>0.99339184337687958</v>
      </c>
      <c r="R637">
        <f t="shared" si="172"/>
        <v>1</v>
      </c>
      <c r="AG637" s="8">
        <f t="shared" si="176"/>
        <v>-0.74964058933976729</v>
      </c>
      <c r="AH637" s="8">
        <f t="shared" si="177"/>
        <v>-0.41151004495785387</v>
      </c>
      <c r="AI637" s="8">
        <f t="shared" si="178"/>
        <v>0.51836133122862427</v>
      </c>
      <c r="AJ637" s="8"/>
      <c r="AK637" s="8"/>
      <c r="AL637" s="8"/>
      <c r="AN637" s="8">
        <f t="shared" si="183"/>
        <v>1</v>
      </c>
      <c r="AO637" s="8">
        <f t="shared" si="184"/>
        <v>3.6436240792162624</v>
      </c>
      <c r="AP637" s="8">
        <f t="shared" si="185"/>
        <v>1.0258627006957206</v>
      </c>
      <c r="AQ637" s="8"/>
      <c r="AR637" s="8">
        <f t="shared" si="186"/>
        <v>208.76428187133257</v>
      </c>
      <c r="AS637" s="8">
        <f t="shared" si="187"/>
        <v>31.222396890242827</v>
      </c>
    </row>
    <row r="638" spans="1:45">
      <c r="A638" s="19">
        <v>28.228200000000001</v>
      </c>
      <c r="B638" s="19">
        <v>781.62880910000001</v>
      </c>
      <c r="C638" s="19">
        <v>518.71431199999995</v>
      </c>
      <c r="E638" s="9">
        <f t="shared" si="173"/>
        <v>-178.37119089999999</v>
      </c>
      <c r="F638" s="9">
        <f t="shared" si="174"/>
        <v>21.28568800000005</v>
      </c>
      <c r="I638">
        <v>1</v>
      </c>
      <c r="J638">
        <f t="shared" si="175"/>
        <v>0.11498522808729865</v>
      </c>
      <c r="K638">
        <f t="shared" si="179"/>
        <v>3.0228206549163419</v>
      </c>
      <c r="O638">
        <f t="shared" si="180"/>
        <v>-0.11392371483903121</v>
      </c>
      <c r="P638">
        <f t="shared" si="181"/>
        <v>1.3594934460151073E-2</v>
      </c>
      <c r="Q638">
        <f t="shared" si="182"/>
        <v>0.99339647923389551</v>
      </c>
      <c r="R638">
        <f t="shared" si="172"/>
        <v>1</v>
      </c>
      <c r="AG638" s="8">
        <f t="shared" si="176"/>
        <v>-0.74938967466690276</v>
      </c>
      <c r="AH638" s="8">
        <f t="shared" si="177"/>
        <v>-0.41134520848342238</v>
      </c>
      <c r="AI638" s="8">
        <f t="shared" si="178"/>
        <v>0.5188547339673828</v>
      </c>
      <c r="AJ638" s="8"/>
      <c r="AK638" s="8"/>
      <c r="AL638" s="8"/>
      <c r="AN638" s="8">
        <f t="shared" si="183"/>
        <v>1</v>
      </c>
      <c r="AO638" s="8">
        <f t="shared" si="184"/>
        <v>3.6435962913416771</v>
      </c>
      <c r="AP638" s="8">
        <f t="shared" si="185"/>
        <v>1.0252856296258535</v>
      </c>
      <c r="AQ638" s="8"/>
      <c r="AR638" s="8">
        <f t="shared" si="186"/>
        <v>208.7626897433972</v>
      </c>
      <c r="AS638" s="8">
        <f t="shared" si="187"/>
        <v>31.255460627025315</v>
      </c>
    </row>
    <row r="639" spans="1:45">
      <c r="A639" s="19">
        <v>28.261566670000001</v>
      </c>
      <c r="B639" s="19">
        <v>780.644181</v>
      </c>
      <c r="C639" s="19">
        <v>518.72295929999996</v>
      </c>
      <c r="E639" s="9">
        <f t="shared" si="173"/>
        <v>-179.355819</v>
      </c>
      <c r="F639" s="9">
        <f t="shared" si="174"/>
        <v>21.277040700000043</v>
      </c>
      <c r="I639">
        <v>1</v>
      </c>
      <c r="J639">
        <f t="shared" si="175"/>
        <v>0.11561046997648312</v>
      </c>
      <c r="K639">
        <f t="shared" si="179"/>
        <v>3.0235141684204172</v>
      </c>
      <c r="O639">
        <f t="shared" si="180"/>
        <v>-0.11454988157887809</v>
      </c>
      <c r="P639">
        <f t="shared" si="181"/>
        <v>1.358909070317911E-2</v>
      </c>
      <c r="Q639">
        <f t="shared" si="182"/>
        <v>0.99332454980440599</v>
      </c>
      <c r="R639">
        <f t="shared" si="172"/>
        <v>1</v>
      </c>
      <c r="AG639" s="8">
        <f t="shared" si="176"/>
        <v>-0.74975143177777615</v>
      </c>
      <c r="AH639" s="8">
        <f t="shared" si="177"/>
        <v>-0.41084467346666931</v>
      </c>
      <c r="AI639" s="8">
        <f t="shared" si="178"/>
        <v>0.51872868132699268</v>
      </c>
      <c r="AJ639" s="8"/>
      <c r="AK639" s="8"/>
      <c r="AL639" s="8"/>
      <c r="AN639" s="8">
        <f t="shared" si="183"/>
        <v>1.0000000000000002</v>
      </c>
      <c r="AO639" s="8">
        <f t="shared" si="184"/>
        <v>3.642879455909541</v>
      </c>
      <c r="AP639" s="8">
        <f t="shared" si="185"/>
        <v>1.0254330767437705</v>
      </c>
      <c r="AQ639" s="8"/>
      <c r="AR639" s="8">
        <f t="shared" si="186"/>
        <v>208.72161809853037</v>
      </c>
      <c r="AS639" s="8">
        <f t="shared" si="187"/>
        <v>31.247012529467298</v>
      </c>
    </row>
    <row r="640" spans="1:45">
      <c r="A640" s="19">
        <v>28.294933329999999</v>
      </c>
      <c r="B640" s="19">
        <v>780.67584299999999</v>
      </c>
      <c r="C640" s="19">
        <v>518.69414219999999</v>
      </c>
      <c r="E640" s="9">
        <f t="shared" si="173"/>
        <v>-179.32415700000001</v>
      </c>
      <c r="F640" s="9">
        <f t="shared" si="174"/>
        <v>21.305857800000013</v>
      </c>
      <c r="I640">
        <v>1</v>
      </c>
      <c r="J640">
        <f t="shared" si="175"/>
        <v>0.11559251851311016</v>
      </c>
      <c r="K640">
        <f t="shared" si="179"/>
        <v>3.0233350489663757</v>
      </c>
      <c r="O640">
        <f t="shared" si="180"/>
        <v>-0.1145297385642442</v>
      </c>
      <c r="P640">
        <f t="shared" si="181"/>
        <v>1.3607504780970274E-2</v>
      </c>
      <c r="Q640">
        <f t="shared" si="182"/>
        <v>0.99332662040138731</v>
      </c>
      <c r="R640">
        <f t="shared" si="172"/>
        <v>1</v>
      </c>
      <c r="AG640" s="8">
        <f t="shared" si="176"/>
        <v>-0.74973370733469535</v>
      </c>
      <c r="AH640" s="8">
        <f t="shared" si="177"/>
        <v>-0.41085273021811464</v>
      </c>
      <c r="AI640" s="8">
        <f t="shared" si="178"/>
        <v>0.51874791773894824</v>
      </c>
      <c r="AJ640" s="8"/>
      <c r="AK640" s="8"/>
      <c r="AL640" s="8"/>
      <c r="AN640" s="8">
        <f t="shared" si="183"/>
        <v>1</v>
      </c>
      <c r="AO640" s="8">
        <f t="shared" si="184"/>
        <v>3.6428976832473192</v>
      </c>
      <c r="AP640" s="8">
        <f t="shared" si="185"/>
        <v>1.0254105762553269</v>
      </c>
      <c r="AQ640" s="8"/>
      <c r="AR640" s="8">
        <f t="shared" si="186"/>
        <v>208.72266244805681</v>
      </c>
      <c r="AS640" s="8">
        <f t="shared" si="187"/>
        <v>31.248301712492101</v>
      </c>
    </row>
    <row r="641" spans="1:45">
      <c r="A641" s="19">
        <v>28.328299999999999</v>
      </c>
      <c r="B641" s="19">
        <v>778.82090689999995</v>
      </c>
      <c r="C641" s="19">
        <v>519.77166020000004</v>
      </c>
      <c r="E641" s="9">
        <f t="shared" si="173"/>
        <v>-181.17909310000005</v>
      </c>
      <c r="F641" s="9">
        <f t="shared" si="174"/>
        <v>20.228339799999958</v>
      </c>
      <c r="I641">
        <v>1</v>
      </c>
      <c r="J641">
        <f t="shared" si="175"/>
        <v>0.11669305567254921</v>
      </c>
      <c r="K641">
        <f t="shared" si="179"/>
        <v>3.0304048147161216</v>
      </c>
      <c r="O641">
        <f t="shared" si="180"/>
        <v>-0.11570945021187301</v>
      </c>
      <c r="P641">
        <f t="shared" si="181"/>
        <v>1.2918764725602591E-2</v>
      </c>
      <c r="Q641">
        <f t="shared" si="182"/>
        <v>0.99319908812364033</v>
      </c>
      <c r="R641">
        <f t="shared" si="172"/>
        <v>1</v>
      </c>
      <c r="AG641" s="8">
        <f t="shared" si="176"/>
        <v>-0.75064088793853023</v>
      </c>
      <c r="AH641" s="8">
        <f t="shared" si="177"/>
        <v>-0.41020831905109256</v>
      </c>
      <c r="AI641" s="8">
        <f t="shared" si="178"/>
        <v>0.51794535651565798</v>
      </c>
      <c r="AJ641" s="8"/>
      <c r="AK641" s="8"/>
      <c r="AL641" s="8"/>
      <c r="AN641" s="8">
        <f t="shared" si="183"/>
        <v>1.0000000000000002</v>
      </c>
      <c r="AO641" s="8">
        <f t="shared" si="184"/>
        <v>3.6417273902007841</v>
      </c>
      <c r="AP641" s="8">
        <f t="shared" si="185"/>
        <v>1.0263490571624638</v>
      </c>
      <c r="AQ641" s="8"/>
      <c r="AR641" s="8">
        <f t="shared" si="186"/>
        <v>208.65560959569683</v>
      </c>
      <c r="AS641" s="8">
        <f t="shared" si="187"/>
        <v>31.194530717359548</v>
      </c>
    </row>
    <row r="642" spans="1:45">
      <c r="A642" s="19">
        <v>28.361666670000002</v>
      </c>
      <c r="B642" s="19">
        <v>778.53610130000004</v>
      </c>
      <c r="C642" s="19">
        <v>519.81758279999997</v>
      </c>
      <c r="E642" s="9">
        <f t="shared" si="173"/>
        <v>-181.46389869999996</v>
      </c>
      <c r="F642" s="9">
        <f t="shared" si="174"/>
        <v>20.182417200000032</v>
      </c>
      <c r="I642">
        <v>1</v>
      </c>
      <c r="J642">
        <f t="shared" si="175"/>
        <v>0.11687095591656076</v>
      </c>
      <c r="K642">
        <f t="shared" si="179"/>
        <v>3.0308278597350209</v>
      </c>
      <c r="O642">
        <f t="shared" si="180"/>
        <v>-0.11589051081967013</v>
      </c>
      <c r="P642">
        <f t="shared" si="181"/>
        <v>1.2889344137538361E-2</v>
      </c>
      <c r="Q642">
        <f t="shared" si="182"/>
        <v>0.99317835976709645</v>
      </c>
      <c r="R642">
        <f t="shared" si="172"/>
        <v>1</v>
      </c>
      <c r="AG642" s="8">
        <f t="shared" si="176"/>
        <v>-0.7507545492650094</v>
      </c>
      <c r="AH642" s="8">
        <f t="shared" si="177"/>
        <v>-0.41007567446301346</v>
      </c>
      <c r="AI642" s="8">
        <f t="shared" si="178"/>
        <v>0.51788565144402032</v>
      </c>
      <c r="AJ642" s="8"/>
      <c r="AK642" s="8"/>
      <c r="AL642" s="8"/>
      <c r="AN642" s="8">
        <f t="shared" si="183"/>
        <v>1.0000000000000002</v>
      </c>
      <c r="AO642" s="8">
        <f t="shared" si="184"/>
        <v>3.6415276080741923</v>
      </c>
      <c r="AP642" s="8">
        <f t="shared" si="185"/>
        <v>1.0264188524086055</v>
      </c>
      <c r="AQ642" s="8"/>
      <c r="AR642" s="8">
        <f t="shared" si="186"/>
        <v>208.64416292302099</v>
      </c>
      <c r="AS642" s="8">
        <f t="shared" si="187"/>
        <v>31.190531744325554</v>
      </c>
    </row>
    <row r="643" spans="1:45">
      <c r="A643" s="19">
        <v>28.39503333</v>
      </c>
      <c r="B643" s="19">
        <v>778.27900869999996</v>
      </c>
      <c r="C643" s="19">
        <v>519.7176872</v>
      </c>
      <c r="E643" s="9">
        <f t="shared" si="173"/>
        <v>-181.72099130000004</v>
      </c>
      <c r="F643" s="9">
        <f t="shared" si="174"/>
        <v>20.2823128</v>
      </c>
      <c r="I643">
        <v>1</v>
      </c>
      <c r="J643">
        <f t="shared" si="175"/>
        <v>0.11704155888385202</v>
      </c>
      <c r="K643">
        <f t="shared" si="179"/>
        <v>3.0304403013157049</v>
      </c>
      <c r="O643">
        <f t="shared" si="180"/>
        <v>-0.1160538986102492</v>
      </c>
      <c r="P643">
        <f t="shared" si="181"/>
        <v>1.2953052129165666E-2</v>
      </c>
      <c r="Q643">
        <f t="shared" si="182"/>
        <v>0.99315845214039289</v>
      </c>
      <c r="R643">
        <f t="shared" si="172"/>
        <v>1</v>
      </c>
      <c r="AG643" s="8">
        <f t="shared" si="176"/>
        <v>-0.75082697390903474</v>
      </c>
      <c r="AH643" s="8">
        <f t="shared" si="177"/>
        <v>-0.40991613942761562</v>
      </c>
      <c r="AI643" s="8">
        <f t="shared" si="178"/>
        <v>0.51790695485517591</v>
      </c>
      <c r="AJ643" s="8"/>
      <c r="AK643" s="8"/>
      <c r="AL643" s="8"/>
      <c r="AN643" s="8">
        <f t="shared" si="183"/>
        <v>1</v>
      </c>
      <c r="AO643" s="8">
        <f t="shared" si="184"/>
        <v>3.6413233519575607</v>
      </c>
      <c r="AP643" s="8">
        <f t="shared" si="185"/>
        <v>1.0263939490531855</v>
      </c>
      <c r="AQ643" s="8"/>
      <c r="AR643" s="8">
        <f t="shared" si="186"/>
        <v>208.63245990959825</v>
      </c>
      <c r="AS643" s="8">
        <f t="shared" si="187"/>
        <v>31.191958601486832</v>
      </c>
    </row>
    <row r="644" spans="1:45">
      <c r="A644" s="19">
        <v>28.4284</v>
      </c>
      <c r="B644" s="19">
        <v>777.61718889999997</v>
      </c>
      <c r="C644" s="19">
        <v>519.75692160000006</v>
      </c>
      <c r="E644" s="9">
        <f t="shared" si="173"/>
        <v>-182.38281110000003</v>
      </c>
      <c r="F644" s="9">
        <f t="shared" si="174"/>
        <v>20.243078399999945</v>
      </c>
      <c r="I644">
        <v>1</v>
      </c>
      <c r="J644">
        <f t="shared" si="175"/>
        <v>0.11745971753360204</v>
      </c>
      <c r="K644">
        <f t="shared" si="179"/>
        <v>3.0310528464278459</v>
      </c>
      <c r="O644">
        <f t="shared" si="180"/>
        <v>-0.11647456411483374</v>
      </c>
      <c r="P644">
        <f t="shared" si="181"/>
        <v>1.2927773833300663E-2</v>
      </c>
      <c r="Q644">
        <f t="shared" si="182"/>
        <v>0.99310953503527222</v>
      </c>
      <c r="R644">
        <f t="shared" si="172"/>
        <v>1</v>
      </c>
      <c r="AG644" s="8">
        <f t="shared" si="176"/>
        <v>-0.75107653622933168</v>
      </c>
      <c r="AH644" s="8">
        <f t="shared" si="177"/>
        <v>-0.40958885500657721</v>
      </c>
      <c r="AI644" s="8">
        <f t="shared" si="178"/>
        <v>0.517804023333298</v>
      </c>
      <c r="AJ644" s="8"/>
      <c r="AK644" s="8"/>
      <c r="AL644" s="8"/>
      <c r="AN644" s="8">
        <f t="shared" si="183"/>
        <v>1.0000000000000002</v>
      </c>
      <c r="AO644" s="8">
        <f t="shared" si="184"/>
        <v>3.6408477829617634</v>
      </c>
      <c r="AP644" s="8">
        <f t="shared" si="185"/>
        <v>1.0265142709219264</v>
      </c>
      <c r="AQ644" s="8"/>
      <c r="AR644" s="8">
        <f t="shared" si="186"/>
        <v>208.60521181327181</v>
      </c>
      <c r="AS644" s="8">
        <f t="shared" si="187"/>
        <v>31.185064666224854</v>
      </c>
    </row>
    <row r="645" spans="1:45">
      <c r="A645" s="19">
        <v>28.461766669999999</v>
      </c>
      <c r="B645" s="19">
        <v>776.83911130000001</v>
      </c>
      <c r="C645" s="19">
        <v>519.77340919999995</v>
      </c>
      <c r="E645" s="9">
        <f t="shared" si="173"/>
        <v>-183.16088869999999</v>
      </c>
      <c r="F645" s="9">
        <f t="shared" si="174"/>
        <v>20.226590800000054</v>
      </c>
      <c r="I645">
        <v>1</v>
      </c>
      <c r="J645">
        <f t="shared" si="175"/>
        <v>0.11795343199943167</v>
      </c>
      <c r="K645">
        <f t="shared" si="179"/>
        <v>3.0316075654599497</v>
      </c>
      <c r="O645">
        <f t="shared" si="180"/>
        <v>-0.11696905320523789</v>
      </c>
      <c r="P645">
        <f t="shared" si="181"/>
        <v>1.291697803083322E-2</v>
      </c>
      <c r="Q645">
        <f t="shared" si="182"/>
        <v>0.99305155569628967</v>
      </c>
      <c r="R645">
        <f t="shared" si="172"/>
        <v>1</v>
      </c>
      <c r="AG645" s="8">
        <f t="shared" si="176"/>
        <v>-0.75136342240862997</v>
      </c>
      <c r="AH645" s="8">
        <f t="shared" si="177"/>
        <v>-0.40919567033366477</v>
      </c>
      <c r="AI645" s="8">
        <f t="shared" si="178"/>
        <v>0.51769866799768127</v>
      </c>
      <c r="AJ645" s="8"/>
      <c r="AK645" s="8"/>
      <c r="AL645" s="8"/>
      <c r="AN645" s="8">
        <f t="shared" si="183"/>
        <v>1</v>
      </c>
      <c r="AO645" s="8">
        <f t="shared" si="184"/>
        <v>3.6402837738493612</v>
      </c>
      <c r="AP645" s="8">
        <f t="shared" si="185"/>
        <v>1.0266374170354073</v>
      </c>
      <c r="AQ645" s="8"/>
      <c r="AR645" s="8">
        <f t="shared" si="186"/>
        <v>208.57289647152425</v>
      </c>
      <c r="AS645" s="8">
        <f t="shared" si="187"/>
        <v>31.178008913658957</v>
      </c>
    </row>
    <row r="646" spans="1:45">
      <c r="A646" s="19">
        <v>28.495133330000002</v>
      </c>
      <c r="B646" s="19">
        <v>777.52514580000002</v>
      </c>
      <c r="C646" s="19">
        <v>518.56600309999999</v>
      </c>
      <c r="E646" s="9">
        <f t="shared" si="173"/>
        <v>-182.47485419999998</v>
      </c>
      <c r="F646" s="9">
        <f t="shared" si="174"/>
        <v>21.433996900000011</v>
      </c>
      <c r="I646">
        <v>1</v>
      </c>
      <c r="J646">
        <f t="shared" si="175"/>
        <v>0.11760472817962841</v>
      </c>
      <c r="K646">
        <f t="shared" si="179"/>
        <v>3.0246657124913687</v>
      </c>
      <c r="O646">
        <f t="shared" si="180"/>
        <v>-0.11653264433982122</v>
      </c>
      <c r="P646">
        <f t="shared" si="181"/>
        <v>1.3688244051374251E-2</v>
      </c>
      <c r="Q646">
        <f t="shared" si="182"/>
        <v>0.99309253082376914</v>
      </c>
      <c r="R646">
        <f t="shared" si="172"/>
        <v>1</v>
      </c>
      <c r="AG646" s="8">
        <f t="shared" si="176"/>
        <v>-0.75085580854324141</v>
      </c>
      <c r="AH646" s="8">
        <f t="shared" si="177"/>
        <v>-0.40920643519860606</v>
      </c>
      <c r="AI646" s="8">
        <f t="shared" si="178"/>
        <v>0.51842612604779525</v>
      </c>
      <c r="AJ646" s="8"/>
      <c r="AK646" s="8"/>
      <c r="AL646" s="8"/>
      <c r="AN646" s="8">
        <f t="shared" si="183"/>
        <v>1.0000000000000002</v>
      </c>
      <c r="AO646" s="8">
        <f t="shared" si="184"/>
        <v>3.64057874165111</v>
      </c>
      <c r="AP646" s="8">
        <f t="shared" si="185"/>
        <v>1.0257869298708906</v>
      </c>
      <c r="AQ646" s="8"/>
      <c r="AR646" s="8">
        <f t="shared" si="186"/>
        <v>208.5897968816567</v>
      </c>
      <c r="AS646" s="8">
        <f t="shared" si="187"/>
        <v>31.226738238715811</v>
      </c>
    </row>
    <row r="647" spans="1:45">
      <c r="A647" s="19">
        <v>28.528500000000001</v>
      </c>
      <c r="B647" s="19">
        <v>777.73452029999999</v>
      </c>
      <c r="C647" s="19">
        <v>517.9700934</v>
      </c>
      <c r="E647" s="9">
        <f t="shared" si="173"/>
        <v>-182.26547970000001</v>
      </c>
      <c r="F647" s="9">
        <f t="shared" si="174"/>
        <v>22.029906600000004</v>
      </c>
      <c r="I647">
        <v>1</v>
      </c>
      <c r="J647">
        <f t="shared" si="175"/>
        <v>0.11751680816697184</v>
      </c>
      <c r="K647">
        <f t="shared" si="179"/>
        <v>3.02130898854324</v>
      </c>
      <c r="O647">
        <f t="shared" si="180"/>
        <v>-0.11639935795671238</v>
      </c>
      <c r="P647">
        <f t="shared" si="181"/>
        <v>1.4068857077637534E-2</v>
      </c>
      <c r="Q647">
        <f t="shared" si="182"/>
        <v>0.99310284297639295</v>
      </c>
      <c r="R647">
        <f t="shared" si="172"/>
        <v>1</v>
      </c>
      <c r="AG647" s="8">
        <f t="shared" si="176"/>
        <v>-0.75065214718101314</v>
      </c>
      <c r="AH647" s="8">
        <f t="shared" si="177"/>
        <v>-0.4091455620251353</v>
      </c>
      <c r="AI647" s="8">
        <f t="shared" si="178"/>
        <v>0.51876898809361283</v>
      </c>
      <c r="AJ647" s="8"/>
      <c r="AK647" s="8"/>
      <c r="AL647" s="8"/>
      <c r="AN647" s="8">
        <f t="shared" si="183"/>
        <v>1.0000000000000004</v>
      </c>
      <c r="AO647" s="8">
        <f t="shared" si="184"/>
        <v>3.6406302186066988</v>
      </c>
      <c r="AP647" s="8">
        <f t="shared" si="185"/>
        <v>1.0253859302842367</v>
      </c>
      <c r="AQ647" s="8"/>
      <c r="AR647" s="8">
        <f t="shared" si="186"/>
        <v>208.59274629395412</v>
      </c>
      <c r="AS647" s="8">
        <f t="shared" si="187"/>
        <v>31.249713822617572</v>
      </c>
    </row>
    <row r="648" spans="1:45">
      <c r="A648" s="19">
        <v>28.561866670000001</v>
      </c>
      <c r="B648" s="19">
        <v>775.47489599999994</v>
      </c>
      <c r="C648" s="19">
        <v>518.75970930000005</v>
      </c>
      <c r="E648" s="9">
        <f t="shared" si="173"/>
        <v>-184.52510400000006</v>
      </c>
      <c r="F648" s="9">
        <f t="shared" si="174"/>
        <v>21.240290699999946</v>
      </c>
      <c r="I648">
        <v>1</v>
      </c>
      <c r="J648">
        <f t="shared" si="175"/>
        <v>0.11889349119119477</v>
      </c>
      <c r="K648">
        <f t="shared" si="179"/>
        <v>3.02698917134399</v>
      </c>
      <c r="O648">
        <f t="shared" si="180"/>
        <v>-0.11783550197739696</v>
      </c>
      <c r="P648">
        <f t="shared" si="181"/>
        <v>1.356379301528712E-2</v>
      </c>
      <c r="Q648">
        <f t="shared" si="182"/>
        <v>0.99294049066032819</v>
      </c>
      <c r="R648">
        <f t="shared" si="172"/>
        <v>1</v>
      </c>
      <c r="AG648" s="8">
        <f t="shared" si="176"/>
        <v>-0.75164336454839187</v>
      </c>
      <c r="AH648" s="8">
        <f t="shared" si="177"/>
        <v>-0.40821258322144166</v>
      </c>
      <c r="AI648" s="8">
        <f t="shared" si="178"/>
        <v>0.51806827680340639</v>
      </c>
      <c r="AJ648" s="8"/>
      <c r="AK648" s="8"/>
      <c r="AL648" s="8"/>
      <c r="AN648" s="8">
        <f t="shared" si="183"/>
        <v>1</v>
      </c>
      <c r="AO648" s="8">
        <f t="shared" si="184"/>
        <v>3.6391178666233568</v>
      </c>
      <c r="AP648" s="8">
        <f t="shared" si="185"/>
        <v>1.026205354021736</v>
      </c>
      <c r="AQ648" s="8"/>
      <c r="AR648" s="8">
        <f t="shared" si="186"/>
        <v>208.50609490817038</v>
      </c>
      <c r="AS648" s="8">
        <f t="shared" si="187"/>
        <v>31.202764300826026</v>
      </c>
    </row>
    <row r="649" spans="1:45">
      <c r="A649" s="19">
        <v>28.595233329999999</v>
      </c>
      <c r="B649" s="19">
        <v>774.89259570000002</v>
      </c>
      <c r="C649" s="19">
        <v>518.77731310000001</v>
      </c>
      <c r="E649" s="9">
        <f t="shared" si="173"/>
        <v>-185.10740429999998</v>
      </c>
      <c r="F649" s="9">
        <f t="shared" si="174"/>
        <v>21.222686899999985</v>
      </c>
      <c r="I649">
        <v>1</v>
      </c>
      <c r="J649">
        <f t="shared" si="175"/>
        <v>0.11926230833300339</v>
      </c>
      <c r="K649">
        <f t="shared" si="179"/>
        <v>3.0274404163554443</v>
      </c>
      <c r="O649">
        <f t="shared" si="180"/>
        <v>-0.11820543259969479</v>
      </c>
      <c r="P649">
        <f t="shared" si="181"/>
        <v>1.3552331390681063E-2</v>
      </c>
      <c r="Q649">
        <f t="shared" si="182"/>
        <v>0.99289667640585655</v>
      </c>
      <c r="R649">
        <f t="shared" si="172"/>
        <v>1</v>
      </c>
      <c r="AG649" s="8">
        <f t="shared" si="176"/>
        <v>-0.75185878513776017</v>
      </c>
      <c r="AH649" s="8">
        <f t="shared" si="177"/>
        <v>-0.40791968829952402</v>
      </c>
      <c r="AI649" s="8">
        <f t="shared" si="178"/>
        <v>0.51798638506122019</v>
      </c>
      <c r="AJ649" s="8"/>
      <c r="AK649" s="8"/>
      <c r="AL649" s="8"/>
      <c r="AN649" s="8">
        <f t="shared" si="183"/>
        <v>1</v>
      </c>
      <c r="AO649" s="8">
        <f t="shared" si="184"/>
        <v>3.6386967760674387</v>
      </c>
      <c r="AP649" s="8">
        <f t="shared" si="185"/>
        <v>1.0263010930708296</v>
      </c>
      <c r="AQ649" s="8"/>
      <c r="AR649" s="8">
        <f t="shared" si="186"/>
        <v>208.48196819652344</v>
      </c>
      <c r="AS649" s="8">
        <f t="shared" si="187"/>
        <v>31.197278857378365</v>
      </c>
    </row>
    <row r="650" spans="1:45">
      <c r="A650" s="19">
        <v>28.628599999999999</v>
      </c>
      <c r="B650" s="19">
        <v>774.55943909999996</v>
      </c>
      <c r="C650" s="19">
        <v>518.75846609999996</v>
      </c>
      <c r="E650" s="9">
        <f t="shared" si="173"/>
        <v>-185.44056090000004</v>
      </c>
      <c r="F650" s="9">
        <f t="shared" si="174"/>
        <v>21.241533900000036</v>
      </c>
      <c r="I650">
        <v>1</v>
      </c>
      <c r="J650">
        <f t="shared" si="175"/>
        <v>0.119475427699619</v>
      </c>
      <c r="K650">
        <f t="shared" si="179"/>
        <v>3.0275434078714061</v>
      </c>
      <c r="O650">
        <f t="shared" si="180"/>
        <v>-0.11841705586290477</v>
      </c>
      <c r="P650">
        <f t="shared" si="181"/>
        <v>1.3564238019138208E-2</v>
      </c>
      <c r="Q650">
        <f t="shared" si="182"/>
        <v>0.99287129696034715</v>
      </c>
      <c r="R650">
        <f t="shared" si="172"/>
        <v>1</v>
      </c>
      <c r="AG650" s="8">
        <f t="shared" si="176"/>
        <v>-0.75197580580126555</v>
      </c>
      <c r="AH650" s="8">
        <f t="shared" si="177"/>
        <v>-0.407743950011064</v>
      </c>
      <c r="AI650" s="8">
        <f t="shared" si="178"/>
        <v>0.51795488096832576</v>
      </c>
      <c r="AJ650" s="8"/>
      <c r="AK650" s="8"/>
      <c r="AL650" s="8"/>
      <c r="AN650" s="8">
        <f t="shared" si="183"/>
        <v>1.0000000000000002</v>
      </c>
      <c r="AO650" s="8">
        <f t="shared" si="184"/>
        <v>3.6384509597060859</v>
      </c>
      <c r="AP650" s="8">
        <f t="shared" si="185"/>
        <v>1.0263379228017304</v>
      </c>
      <c r="AQ650" s="8"/>
      <c r="AR650" s="8">
        <f t="shared" si="186"/>
        <v>208.46788395648267</v>
      </c>
      <c r="AS650" s="8">
        <f t="shared" si="187"/>
        <v>31.195168669237148</v>
      </c>
    </row>
    <row r="651" spans="1:45">
      <c r="A651" s="19">
        <v>28.661966670000002</v>
      </c>
      <c r="B651" s="19">
        <v>773.87310070000001</v>
      </c>
      <c r="C651" s="19">
        <v>518.77664200000004</v>
      </c>
      <c r="E651" s="9">
        <f t="shared" si="173"/>
        <v>-186.12689929999999</v>
      </c>
      <c r="F651" s="9">
        <f t="shared" si="174"/>
        <v>21.223357999999962</v>
      </c>
      <c r="I651">
        <v>1</v>
      </c>
      <c r="J651">
        <f t="shared" si="175"/>
        <v>0.11991032035748041</v>
      </c>
      <c r="K651">
        <f t="shared" si="179"/>
        <v>3.0280567430356267</v>
      </c>
      <c r="O651">
        <f t="shared" si="180"/>
        <v>-0.11885300448454079</v>
      </c>
      <c r="P651">
        <f t="shared" si="181"/>
        <v>1.3552366009629281E-2</v>
      </c>
      <c r="Q651">
        <f t="shared" si="182"/>
        <v>0.99281936760950562</v>
      </c>
      <c r="R651">
        <f t="shared" si="172"/>
        <v>1</v>
      </c>
      <c r="AG651" s="8">
        <f t="shared" si="176"/>
        <v>-0.75222893687827064</v>
      </c>
      <c r="AH651" s="8">
        <f t="shared" si="177"/>
        <v>-0.40739792462720276</v>
      </c>
      <c r="AI651" s="8">
        <f t="shared" si="178"/>
        <v>0.51785959248857683</v>
      </c>
      <c r="AJ651" s="8"/>
      <c r="AK651" s="8"/>
      <c r="AL651" s="8"/>
      <c r="AN651" s="8">
        <f t="shared" si="183"/>
        <v>1</v>
      </c>
      <c r="AO651" s="8">
        <f t="shared" si="184"/>
        <v>3.637954335959614</v>
      </c>
      <c r="AP651" s="8">
        <f t="shared" si="185"/>
        <v>1.0264493144106224</v>
      </c>
      <c r="AQ651" s="8"/>
      <c r="AR651" s="8">
        <f t="shared" si="186"/>
        <v>208.43942951180387</v>
      </c>
      <c r="AS651" s="8">
        <f t="shared" si="187"/>
        <v>31.188786400174465</v>
      </c>
    </row>
    <row r="652" spans="1:45">
      <c r="A652" s="19">
        <v>28.69533333</v>
      </c>
      <c r="B652" s="19">
        <v>772.92688729999998</v>
      </c>
      <c r="C652" s="19">
        <v>518.77752769999995</v>
      </c>
      <c r="E652" s="9">
        <f t="shared" si="173"/>
        <v>-187.07311270000002</v>
      </c>
      <c r="F652" s="9">
        <f t="shared" si="174"/>
        <v>21.222472300000049</v>
      </c>
      <c r="I652">
        <v>1</v>
      </c>
      <c r="J652">
        <f t="shared" si="175"/>
        <v>0.12051162232010929</v>
      </c>
      <c r="K652">
        <f t="shared" si="179"/>
        <v>3.0286307951849984</v>
      </c>
      <c r="O652">
        <f t="shared" si="180"/>
        <v>-0.11945392255165674</v>
      </c>
      <c r="P652">
        <f t="shared" si="181"/>
        <v>1.3551426636837501E-2</v>
      </c>
      <c r="Q652">
        <f t="shared" si="182"/>
        <v>0.99274725848179968</v>
      </c>
      <c r="R652">
        <f t="shared" si="172"/>
        <v>1</v>
      </c>
      <c r="AG652" s="8">
        <f t="shared" si="176"/>
        <v>-0.75257248388237297</v>
      </c>
      <c r="AH652" s="8">
        <f t="shared" si="177"/>
        <v>-0.40691398624360242</v>
      </c>
      <c r="AI652" s="8">
        <f t="shared" si="178"/>
        <v>0.51774092392088999</v>
      </c>
      <c r="AJ652" s="8"/>
      <c r="AK652" s="8"/>
      <c r="AL652" s="8"/>
      <c r="AN652" s="8">
        <f t="shared" si="183"/>
        <v>1</v>
      </c>
      <c r="AO652" s="8">
        <f t="shared" si="184"/>
        <v>3.6372657109877498</v>
      </c>
      <c r="AP652" s="8">
        <f t="shared" si="185"/>
        <v>1.0265880266884113</v>
      </c>
      <c r="AQ652" s="8"/>
      <c r="AR652" s="8">
        <f t="shared" si="186"/>
        <v>208.39997420724873</v>
      </c>
      <c r="AS652" s="8">
        <f t="shared" si="187"/>
        <v>31.180838772090517</v>
      </c>
    </row>
    <row r="653" spans="1:45">
      <c r="A653" s="19">
        <v>28.7287</v>
      </c>
      <c r="B653" s="19">
        <v>772.27223400000003</v>
      </c>
      <c r="C653" s="19">
        <v>518.76976409999997</v>
      </c>
      <c r="E653" s="9">
        <f t="shared" si="173"/>
        <v>-187.72776599999997</v>
      </c>
      <c r="F653" s="9">
        <f t="shared" si="174"/>
        <v>21.230235900000025</v>
      </c>
      <c r="I653">
        <v>1</v>
      </c>
      <c r="J653">
        <f t="shared" si="175"/>
        <v>0.12092823250378834</v>
      </c>
      <c r="K653">
        <f t="shared" si="179"/>
        <v>3.0289805623648745</v>
      </c>
      <c r="O653">
        <f t="shared" si="180"/>
        <v>-0.11986961363965394</v>
      </c>
      <c r="P653">
        <f t="shared" si="181"/>
        <v>1.3556120274779796E-2</v>
      </c>
      <c r="Q653">
        <f t="shared" si="182"/>
        <v>0.99269708739825357</v>
      </c>
      <c r="R653">
        <f t="shared" si="172"/>
        <v>1</v>
      </c>
      <c r="AG653" s="8">
        <f t="shared" si="176"/>
        <v>-0.75280820256900416</v>
      </c>
      <c r="AH653" s="8">
        <f t="shared" si="177"/>
        <v>-0.40657674849309777</v>
      </c>
      <c r="AI653" s="8">
        <f t="shared" si="178"/>
        <v>0.51766317014986252</v>
      </c>
      <c r="AJ653" s="8"/>
      <c r="AK653" s="8"/>
      <c r="AL653" s="8"/>
      <c r="AN653" s="8">
        <f t="shared" si="183"/>
        <v>1</v>
      </c>
      <c r="AO653" s="8">
        <f t="shared" si="184"/>
        <v>3.6367879507984489</v>
      </c>
      <c r="AP653" s="8">
        <f t="shared" si="185"/>
        <v>1.0266789071433426</v>
      </c>
      <c r="AQ653" s="8"/>
      <c r="AR653" s="8">
        <f t="shared" si="186"/>
        <v>208.3726005647824</v>
      </c>
      <c r="AS653" s="8">
        <f t="shared" si="187"/>
        <v>31.175631705582717</v>
      </c>
    </row>
    <row r="654" spans="1:45">
      <c r="A654" s="19">
        <v>28.762066669999999</v>
      </c>
      <c r="B654" s="19">
        <v>770.41666669999995</v>
      </c>
      <c r="C654" s="19">
        <v>515.33333330000005</v>
      </c>
      <c r="E654" s="9">
        <f t="shared" si="173"/>
        <v>-189.58333330000005</v>
      </c>
      <c r="F654" s="9">
        <f t="shared" si="174"/>
        <v>24.666666699999951</v>
      </c>
      <c r="I654">
        <v>1</v>
      </c>
      <c r="J654">
        <f t="shared" si="175"/>
        <v>0.12237148084279879</v>
      </c>
      <c r="K654">
        <f t="shared" si="179"/>
        <v>3.0122095870336256</v>
      </c>
      <c r="O654">
        <f t="shared" si="180"/>
        <v>-0.12104602604025622</v>
      </c>
      <c r="P654">
        <f t="shared" si="181"/>
        <v>1.5749285170388566E-2</v>
      </c>
      <c r="Q654">
        <f t="shared" si="182"/>
        <v>0.99252194917617986</v>
      </c>
      <c r="R654">
        <f t="shared" si="172"/>
        <v>1</v>
      </c>
      <c r="AG654" s="8">
        <f t="shared" si="176"/>
        <v>-0.75274447809222578</v>
      </c>
      <c r="AH654" s="8">
        <f t="shared" si="177"/>
        <v>-0.40465812831482095</v>
      </c>
      <c r="AI654" s="8">
        <f t="shared" si="178"/>
        <v>0.51925672830538139</v>
      </c>
      <c r="AJ654" s="8"/>
      <c r="AK654" s="8"/>
      <c r="AL654" s="8"/>
      <c r="AN654" s="8">
        <f t="shared" si="183"/>
        <v>1</v>
      </c>
      <c r="AO654" s="8">
        <f t="shared" si="184"/>
        <v>3.6348480594710146</v>
      </c>
      <c r="AP654" s="8">
        <f t="shared" si="185"/>
        <v>1.024815318000543</v>
      </c>
      <c r="AQ654" s="8"/>
      <c r="AR654" s="8">
        <f t="shared" si="186"/>
        <v>208.26145297900641</v>
      </c>
      <c r="AS654" s="8">
        <f t="shared" si="187"/>
        <v>31.282407498211541</v>
      </c>
    </row>
    <row r="655" spans="1:45">
      <c r="A655" s="19">
        <v>28.795433330000002</v>
      </c>
      <c r="B655" s="19">
        <v>770.08822269999996</v>
      </c>
      <c r="C655" s="19">
        <v>515.26287209999998</v>
      </c>
      <c r="E655" s="9">
        <f t="shared" si="173"/>
        <v>-189.91177730000004</v>
      </c>
      <c r="F655" s="9">
        <f t="shared" si="174"/>
        <v>24.737127900000019</v>
      </c>
      <c r="I655">
        <v>1</v>
      </c>
      <c r="J655">
        <f t="shared" si="175"/>
        <v>0.12258554722413308</v>
      </c>
      <c r="K655">
        <f t="shared" si="179"/>
        <v>3.0120660187597932</v>
      </c>
      <c r="O655">
        <f t="shared" si="180"/>
        <v>-0.12125444670918495</v>
      </c>
      <c r="P655">
        <f t="shared" si="181"/>
        <v>1.5794106080902034E-2</v>
      </c>
      <c r="Q655">
        <f t="shared" si="182"/>
        <v>0.99249579614543182</v>
      </c>
      <c r="R655">
        <f t="shared" si="172"/>
        <v>1</v>
      </c>
      <c r="AG655" s="8">
        <f t="shared" si="176"/>
        <v>-0.75284818530098518</v>
      </c>
      <c r="AH655" s="8">
        <f t="shared" si="177"/>
        <v>-0.40447008003369594</v>
      </c>
      <c r="AI655" s="8">
        <f t="shared" si="178"/>
        <v>0.51925289045565182</v>
      </c>
      <c r="AJ655" s="8"/>
      <c r="AK655" s="8"/>
      <c r="AL655" s="8"/>
      <c r="AN655" s="8">
        <f t="shared" si="183"/>
        <v>1.0000000000000002</v>
      </c>
      <c r="AO655" s="8">
        <f t="shared" si="184"/>
        <v>3.6345967934609171</v>
      </c>
      <c r="AP655" s="8">
        <f t="shared" si="185"/>
        <v>1.0248198087123193</v>
      </c>
      <c r="AQ655" s="8"/>
      <c r="AR655" s="8">
        <f t="shared" si="186"/>
        <v>208.24705649709273</v>
      </c>
      <c r="AS655" s="8">
        <f t="shared" si="187"/>
        <v>31.28215019937975</v>
      </c>
    </row>
    <row r="656" spans="1:45">
      <c r="A656" s="19">
        <v>28.828800000000001</v>
      </c>
      <c r="B656" s="19">
        <v>769.48148000000003</v>
      </c>
      <c r="C656" s="19">
        <v>515.21073809999996</v>
      </c>
      <c r="E656" s="9">
        <f t="shared" si="173"/>
        <v>-190.51851999999997</v>
      </c>
      <c r="F656" s="9">
        <f t="shared" si="174"/>
        <v>24.789261900000042</v>
      </c>
      <c r="I656">
        <v>1</v>
      </c>
      <c r="J656">
        <f t="shared" si="175"/>
        <v>0.12297453612949921</v>
      </c>
      <c r="K656">
        <f t="shared" si="179"/>
        <v>3.0122048479874377</v>
      </c>
      <c r="O656">
        <f t="shared" si="180"/>
        <v>-0.12163947176288875</v>
      </c>
      <c r="P656">
        <f t="shared" si="181"/>
        <v>1.5827084542268711E-2</v>
      </c>
      <c r="Q656">
        <f t="shared" si="182"/>
        <v>0.9924481559780024</v>
      </c>
      <c r="R656">
        <f t="shared" si="172"/>
        <v>1</v>
      </c>
      <c r="AG656" s="8">
        <f t="shared" si="176"/>
        <v>-0.75305641353211383</v>
      </c>
      <c r="AH656" s="8">
        <f t="shared" si="177"/>
        <v>-0.40414468481426408</v>
      </c>
      <c r="AI656" s="8">
        <f t="shared" si="178"/>
        <v>0.51920430639058557</v>
      </c>
      <c r="AJ656" s="8"/>
      <c r="AK656" s="8"/>
      <c r="AL656" s="8"/>
      <c r="AN656" s="8">
        <f t="shared" si="183"/>
        <v>0.99999999999999989</v>
      </c>
      <c r="AO656" s="8">
        <f t="shared" si="184"/>
        <v>3.634146088981125</v>
      </c>
      <c r="AP656" s="8">
        <f t="shared" si="185"/>
        <v>1.0248766564221432</v>
      </c>
      <c r="AQ656" s="8"/>
      <c r="AR656" s="8">
        <f t="shared" si="186"/>
        <v>208.22123303259298</v>
      </c>
      <c r="AS656" s="8">
        <f t="shared" si="187"/>
        <v>31.278893065531854</v>
      </c>
    </row>
    <row r="657" spans="1:45">
      <c r="A657" s="19">
        <v>28.862166670000001</v>
      </c>
      <c r="B657" s="19">
        <v>769.00977339999997</v>
      </c>
      <c r="C657" s="19">
        <v>515.06129950000002</v>
      </c>
      <c r="E657" s="9">
        <f t="shared" si="173"/>
        <v>-190.99022660000003</v>
      </c>
      <c r="F657" s="9">
        <f t="shared" si="174"/>
        <v>24.938700499999982</v>
      </c>
      <c r="I657">
        <v>1</v>
      </c>
      <c r="J657">
        <f t="shared" si="175"/>
        <v>0.12328593104689067</v>
      </c>
      <c r="K657">
        <f t="shared" si="179"/>
        <v>3.011751466397969</v>
      </c>
      <c r="O657">
        <f t="shared" si="180"/>
        <v>-0.1219387195803175</v>
      </c>
      <c r="P657">
        <f t="shared" si="181"/>
        <v>1.5922245138417043E-2</v>
      </c>
      <c r="Q657">
        <f t="shared" si="182"/>
        <v>0.99240991066034046</v>
      </c>
      <c r="R657">
        <f t="shared" si="172"/>
        <v>1</v>
      </c>
      <c r="AG657" s="8">
        <f t="shared" si="176"/>
        <v>-0.75319483186302572</v>
      </c>
      <c r="AH657" s="8">
        <f t="shared" si="177"/>
        <v>-0.40386094582594756</v>
      </c>
      <c r="AI657" s="8">
        <f t="shared" si="178"/>
        <v>0.51922430768541594</v>
      </c>
      <c r="AJ657" s="8"/>
      <c r="AK657" s="8"/>
      <c r="AL657" s="8"/>
      <c r="AN657" s="8">
        <f t="shared" si="183"/>
        <v>1</v>
      </c>
      <c r="AO657" s="8">
        <f t="shared" si="184"/>
        <v>3.6337769673873717</v>
      </c>
      <c r="AP657" s="8">
        <f t="shared" si="185"/>
        <v>1.0248532533526071</v>
      </c>
      <c r="AQ657" s="8"/>
      <c r="AR657" s="8">
        <f t="shared" si="186"/>
        <v>208.20008392314378</v>
      </c>
      <c r="AS657" s="8">
        <f t="shared" si="187"/>
        <v>31.280233962643926</v>
      </c>
    </row>
    <row r="658" spans="1:45">
      <c r="A658" s="19">
        <v>28.895533329999999</v>
      </c>
      <c r="B658" s="19">
        <v>768.39537719999998</v>
      </c>
      <c r="C658" s="19">
        <v>514.89098539999998</v>
      </c>
      <c r="E658" s="9">
        <f t="shared" si="173"/>
        <v>-191.60462280000002</v>
      </c>
      <c r="F658" s="9">
        <f t="shared" si="174"/>
        <v>25.109014600000023</v>
      </c>
      <c r="I658">
        <v>1</v>
      </c>
      <c r="J658">
        <f t="shared" si="175"/>
        <v>0.12368951233621181</v>
      </c>
      <c r="K658">
        <f t="shared" si="179"/>
        <v>3.0112891956752921</v>
      </c>
      <c r="O658">
        <f t="shared" si="180"/>
        <v>-0.12232845890643144</v>
      </c>
      <c r="P658">
        <f t="shared" si="181"/>
        <v>1.6030652161682039E-2</v>
      </c>
      <c r="Q658">
        <f t="shared" si="182"/>
        <v>0.99236019989359137</v>
      </c>
      <c r="R658">
        <f t="shared" si="172"/>
        <v>1</v>
      </c>
      <c r="AG658" s="8">
        <f t="shared" si="176"/>
        <v>-0.75338022056250586</v>
      </c>
      <c r="AH658" s="8">
        <f t="shared" si="177"/>
        <v>-0.40349820553673788</v>
      </c>
      <c r="AI658" s="8">
        <f t="shared" si="178"/>
        <v>0.51923736517494823</v>
      </c>
      <c r="AJ658" s="8"/>
      <c r="AK658" s="8"/>
      <c r="AL658" s="8"/>
      <c r="AN658" s="8">
        <f t="shared" si="183"/>
        <v>1</v>
      </c>
      <c r="AO658" s="8">
        <f t="shared" si="184"/>
        <v>3.6333003988015009</v>
      </c>
      <c r="AP658" s="8">
        <f t="shared" si="185"/>
        <v>1.0248379748954481</v>
      </c>
      <c r="AQ658" s="8"/>
      <c r="AR658" s="8">
        <f t="shared" si="186"/>
        <v>208.17277855452488</v>
      </c>
      <c r="AS658" s="8">
        <f t="shared" si="187"/>
        <v>31.281109353756605</v>
      </c>
    </row>
    <row r="659" spans="1:45">
      <c r="A659" s="19">
        <v>28.928899999999999</v>
      </c>
      <c r="B659" s="19">
        <v>767.9314961</v>
      </c>
      <c r="C659" s="19">
        <v>514.74604179999994</v>
      </c>
      <c r="E659" s="9">
        <f t="shared" si="173"/>
        <v>-192.0685039</v>
      </c>
      <c r="F659" s="9">
        <f t="shared" si="174"/>
        <v>25.253958200000056</v>
      </c>
      <c r="I659">
        <v>1</v>
      </c>
      <c r="J659">
        <f t="shared" si="175"/>
        <v>0.12399558480095389</v>
      </c>
      <c r="K659">
        <f t="shared" si="179"/>
        <v>3.0108584722957952</v>
      </c>
      <c r="O659">
        <f t="shared" si="180"/>
        <v>-0.1226226792507089</v>
      </c>
      <c r="P659">
        <f t="shared" si="181"/>
        <v>1.6122935063740133E-2</v>
      </c>
      <c r="Q659">
        <f t="shared" si="182"/>
        <v>0.99232239191620997</v>
      </c>
      <c r="R659">
        <f t="shared" si="172"/>
        <v>1</v>
      </c>
      <c r="AG659" s="8">
        <f t="shared" si="176"/>
        <v>-0.75351658855459658</v>
      </c>
      <c r="AH659" s="8">
        <f t="shared" si="177"/>
        <v>-0.40321968563325417</v>
      </c>
      <c r="AI659" s="8">
        <f t="shared" si="178"/>
        <v>0.51925584820092552</v>
      </c>
      <c r="AJ659" s="8"/>
      <c r="AK659" s="8"/>
      <c r="AL659" s="8"/>
      <c r="AN659" s="8">
        <f t="shared" si="183"/>
        <v>1.0000000000000002</v>
      </c>
      <c r="AO659" s="8">
        <f t="shared" si="184"/>
        <v>3.6329377731020265</v>
      </c>
      <c r="AP659" s="8">
        <f t="shared" si="185"/>
        <v>1.0248163478218957</v>
      </c>
      <c r="AQ659" s="8"/>
      <c r="AR659" s="8">
        <f t="shared" si="186"/>
        <v>208.152001632402</v>
      </c>
      <c r="AS659" s="8">
        <f t="shared" si="187"/>
        <v>31.28234849379438</v>
      </c>
    </row>
    <row r="660" spans="1:45">
      <c r="A660" s="19">
        <v>28.962266670000002</v>
      </c>
      <c r="B660" s="19">
        <v>767.33333330000005</v>
      </c>
      <c r="C660" s="19">
        <v>514.58333330000005</v>
      </c>
      <c r="E660" s="9">
        <f t="shared" si="173"/>
        <v>-192.66666669999995</v>
      </c>
      <c r="F660" s="9">
        <f t="shared" si="174"/>
        <v>25.416666699999951</v>
      </c>
      <c r="I660">
        <v>1</v>
      </c>
      <c r="J660">
        <f t="shared" si="175"/>
        <v>0.12438824331029913</v>
      </c>
      <c r="K660">
        <f t="shared" si="179"/>
        <v>3.0104296155776549</v>
      </c>
      <c r="O660">
        <f t="shared" si="180"/>
        <v>-0.12300204105068833</v>
      </c>
      <c r="P660">
        <f t="shared" si="181"/>
        <v>1.6226480347391915E-2</v>
      </c>
      <c r="Q660">
        <f t="shared" si="182"/>
        <v>0.99227375216363578</v>
      </c>
      <c r="R660">
        <f t="shared" si="172"/>
        <v>1</v>
      </c>
      <c r="AG660" s="8">
        <f t="shared" si="176"/>
        <v>-0.75369750981630079</v>
      </c>
      <c r="AH660" s="8">
        <f t="shared" si="177"/>
        <v>-0.40286733477765901</v>
      </c>
      <c r="AI660" s="8">
        <f t="shared" si="178"/>
        <v>0.51926676599398591</v>
      </c>
      <c r="AJ660" s="8"/>
      <c r="AK660" s="8"/>
      <c r="AL660" s="8"/>
      <c r="AN660" s="8">
        <f t="shared" si="183"/>
        <v>1</v>
      </c>
      <c r="AO660" s="8">
        <f t="shared" si="184"/>
        <v>3.6324743719365205</v>
      </c>
      <c r="AP660" s="8">
        <f t="shared" si="185"/>
        <v>1.0248035727285982</v>
      </c>
      <c r="AQ660" s="8"/>
      <c r="AR660" s="8">
        <f t="shared" si="186"/>
        <v>208.12545070139706</v>
      </c>
      <c r="AS660" s="8">
        <f t="shared" si="187"/>
        <v>31.283080452723212</v>
      </c>
    </row>
    <row r="661" spans="1:45">
      <c r="A661" s="19">
        <v>28.99563333</v>
      </c>
      <c r="B661" s="19">
        <v>766.93652970000005</v>
      </c>
      <c r="C661" s="19">
        <v>514.44527979999998</v>
      </c>
      <c r="E661" s="9">
        <f t="shared" si="173"/>
        <v>-193.06347029999995</v>
      </c>
      <c r="F661" s="9">
        <f t="shared" si="174"/>
        <v>25.55472020000002</v>
      </c>
      <c r="I661">
        <v>1</v>
      </c>
      <c r="J661">
        <f t="shared" si="175"/>
        <v>0.12465124334586233</v>
      </c>
      <c r="K661">
        <f t="shared" si="179"/>
        <v>3.0099933025614076</v>
      </c>
      <c r="O661">
        <f t="shared" si="180"/>
        <v>-0.123253656780291</v>
      </c>
      <c r="P661">
        <f t="shared" si="181"/>
        <v>1.6314389810526367E-2</v>
      </c>
      <c r="Q661">
        <f t="shared" si="182"/>
        <v>0.99224108803022082</v>
      </c>
      <c r="R661">
        <f t="shared" si="172"/>
        <v>1</v>
      </c>
      <c r="AG661" s="8">
        <f t="shared" si="176"/>
        <v>-0.75381098440293737</v>
      </c>
      <c r="AH661" s="8">
        <f t="shared" si="177"/>
        <v>-0.40262507141381881</v>
      </c>
      <c r="AI661" s="8">
        <f t="shared" si="178"/>
        <v>0.51928994951037888</v>
      </c>
      <c r="AJ661" s="8"/>
      <c r="AK661" s="8"/>
      <c r="AL661" s="8"/>
      <c r="AN661" s="8">
        <f t="shared" si="183"/>
        <v>1</v>
      </c>
      <c r="AO661" s="8">
        <f t="shared" si="184"/>
        <v>3.6321617704356903</v>
      </c>
      <c r="AP661" s="8">
        <f t="shared" si="185"/>
        <v>1.0247764449772603</v>
      </c>
      <c r="AQ661" s="8"/>
      <c r="AR661" s="8">
        <f t="shared" si="186"/>
        <v>208.10753995473004</v>
      </c>
      <c r="AS661" s="8">
        <f t="shared" si="187"/>
        <v>31.284634758382559</v>
      </c>
    </row>
    <row r="662" spans="1:45">
      <c r="A662" s="19">
        <v>29.029</v>
      </c>
      <c r="B662" s="19">
        <v>766.39629500000001</v>
      </c>
      <c r="C662" s="19">
        <v>514.6074668</v>
      </c>
      <c r="E662" s="9">
        <f t="shared" si="173"/>
        <v>-193.60370499999999</v>
      </c>
      <c r="F662" s="9">
        <f t="shared" si="174"/>
        <v>25.392533200000003</v>
      </c>
      <c r="I662">
        <v>1</v>
      </c>
      <c r="J662">
        <f t="shared" si="175"/>
        <v>0.12498002843027066</v>
      </c>
      <c r="K662">
        <f t="shared" si="179"/>
        <v>3.0111797822674986</v>
      </c>
      <c r="O662">
        <f t="shared" si="180"/>
        <v>-0.12359638382907713</v>
      </c>
      <c r="P662">
        <f t="shared" si="181"/>
        <v>1.6210564151031021E-2</v>
      </c>
      <c r="Q662">
        <f t="shared" si="182"/>
        <v>0.99220015698158437</v>
      </c>
      <c r="R662">
        <f t="shared" si="172"/>
        <v>1</v>
      </c>
      <c r="AG662" s="8">
        <f t="shared" si="176"/>
        <v>-0.75404061036624148</v>
      </c>
      <c r="AH662" s="8">
        <f t="shared" si="177"/>
        <v>-0.40239405567435155</v>
      </c>
      <c r="AI662" s="8">
        <f t="shared" si="178"/>
        <v>0.51913561029508726</v>
      </c>
      <c r="AJ662" s="8"/>
      <c r="AK662" s="8"/>
      <c r="AL662" s="8"/>
      <c r="AN662" s="8">
        <f t="shared" si="183"/>
        <v>0.99999999999999978</v>
      </c>
      <c r="AO662" s="8">
        <f t="shared" si="184"/>
        <v>3.6317967803218112</v>
      </c>
      <c r="AP662" s="8">
        <f t="shared" si="185"/>
        <v>1.024957033659512</v>
      </c>
      <c r="AQ662" s="8"/>
      <c r="AR662" s="8">
        <f t="shared" si="186"/>
        <v>208.08662756164077</v>
      </c>
      <c r="AS662" s="8">
        <f t="shared" si="187"/>
        <v>31.274287789061702</v>
      </c>
    </row>
    <row r="663" spans="1:45">
      <c r="A663" s="19">
        <v>29.062366669999999</v>
      </c>
      <c r="B663" s="19">
        <v>766.10731650000002</v>
      </c>
      <c r="C663" s="19">
        <v>514.56920639999998</v>
      </c>
      <c r="E663" s="9">
        <f t="shared" si="173"/>
        <v>-193.89268349999998</v>
      </c>
      <c r="F663" s="9">
        <f t="shared" si="174"/>
        <v>25.430793600000015</v>
      </c>
      <c r="I663">
        <v>1</v>
      </c>
      <c r="J663">
        <f t="shared" si="175"/>
        <v>0.12516632892332608</v>
      </c>
      <c r="K663">
        <f t="shared" si="179"/>
        <v>3.0111779632106122</v>
      </c>
      <c r="O663">
        <f t="shared" si="180"/>
        <v>-0.12377962985882938</v>
      </c>
      <c r="P663">
        <f t="shared" si="181"/>
        <v>1.6234827235367504E-2</v>
      </c>
      <c r="Q663">
        <f t="shared" si="182"/>
        <v>0.99217691649052642</v>
      </c>
      <c r="R663">
        <f t="shared" si="172"/>
        <v>1</v>
      </c>
      <c r="AG663" s="8">
        <f t="shared" si="176"/>
        <v>-0.75413654205891378</v>
      </c>
      <c r="AH663" s="8">
        <f t="shared" si="177"/>
        <v>-0.40223517898861577</v>
      </c>
      <c r="AI663" s="8">
        <f t="shared" si="178"/>
        <v>0.51911938580197581</v>
      </c>
      <c r="AJ663" s="8"/>
      <c r="AK663" s="8"/>
      <c r="AL663" s="8"/>
      <c r="AN663" s="8">
        <f t="shared" si="183"/>
        <v>1.0000000000000002</v>
      </c>
      <c r="AO663" s="8">
        <f t="shared" si="184"/>
        <v>3.6315799420230293</v>
      </c>
      <c r="AP663" s="8">
        <f t="shared" si="185"/>
        <v>1.0249760164062365</v>
      </c>
      <c r="AQ663" s="8"/>
      <c r="AR663" s="8">
        <f t="shared" si="186"/>
        <v>208.07420364228378</v>
      </c>
      <c r="AS663" s="8">
        <f t="shared" si="187"/>
        <v>31.273200157790825</v>
      </c>
    </row>
    <row r="664" spans="1:45">
      <c r="A664" s="19">
        <v>29.095733330000002</v>
      </c>
      <c r="B664" s="19">
        <v>765.45870549999995</v>
      </c>
      <c r="C664" s="19">
        <v>514.56584450000003</v>
      </c>
      <c r="E664" s="9">
        <f t="shared" si="173"/>
        <v>-194.54129450000005</v>
      </c>
      <c r="F664" s="9">
        <f t="shared" si="174"/>
        <v>25.434155499999974</v>
      </c>
      <c r="I664">
        <v>1</v>
      </c>
      <c r="J664">
        <f t="shared" si="175"/>
        <v>0.12557761021621666</v>
      </c>
      <c r="K664">
        <f t="shared" si="179"/>
        <v>3.011590892725899</v>
      </c>
      <c r="O664">
        <f t="shared" si="180"/>
        <v>-0.12419093309040569</v>
      </c>
      <c r="P664">
        <f t="shared" si="181"/>
        <v>1.6236611933881609E-2</v>
      </c>
      <c r="Q664">
        <f t="shared" si="182"/>
        <v>0.99212548831840974</v>
      </c>
      <c r="R664">
        <f t="shared" si="172"/>
        <v>1</v>
      </c>
      <c r="AG664" s="8">
        <f t="shared" si="176"/>
        <v>-0.75436947957450384</v>
      </c>
      <c r="AH664" s="8">
        <f t="shared" si="177"/>
        <v>-0.40190184062125356</v>
      </c>
      <c r="AI664" s="8">
        <f t="shared" si="178"/>
        <v>0.51903911104245415</v>
      </c>
      <c r="AJ664" s="8"/>
      <c r="AK664" s="8"/>
      <c r="AL664" s="8"/>
      <c r="AN664" s="8">
        <f t="shared" si="183"/>
        <v>1.0000000000000002</v>
      </c>
      <c r="AO664" s="8">
        <f t="shared" si="184"/>
        <v>3.6311075922312384</v>
      </c>
      <c r="AP664" s="8">
        <f t="shared" si="185"/>
        <v>1.025069935099084</v>
      </c>
      <c r="AQ664" s="8"/>
      <c r="AR664" s="8">
        <f t="shared" si="186"/>
        <v>208.04713999276026</v>
      </c>
      <c r="AS664" s="8">
        <f t="shared" si="187"/>
        <v>31.267819013073279</v>
      </c>
    </row>
    <row r="665" spans="1:45">
      <c r="A665" s="19">
        <v>29.129100000000001</v>
      </c>
      <c r="B665" s="19">
        <v>765.21406590000004</v>
      </c>
      <c r="C665" s="19">
        <v>514.48410669999998</v>
      </c>
      <c r="E665" s="9">
        <f t="shared" si="173"/>
        <v>-194.78593409999996</v>
      </c>
      <c r="F665" s="9">
        <f t="shared" si="174"/>
        <v>25.515893300000016</v>
      </c>
      <c r="I665">
        <v>1</v>
      </c>
      <c r="J665">
        <f t="shared" si="175"/>
        <v>0.1257394013731449</v>
      </c>
      <c r="K665">
        <f t="shared" si="179"/>
        <v>3.0113397652843359</v>
      </c>
      <c r="O665">
        <f t="shared" si="180"/>
        <v>-0.12434600749215734</v>
      </c>
      <c r="P665">
        <f t="shared" si="181"/>
        <v>1.6288647710167942E-2</v>
      </c>
      <c r="Q665">
        <f t="shared" si="182"/>
        <v>0.99210521134430818</v>
      </c>
      <c r="R665">
        <f t="shared" si="172"/>
        <v>1</v>
      </c>
      <c r="AG665" s="8">
        <f t="shared" si="176"/>
        <v>-0.75444001253654058</v>
      </c>
      <c r="AH665" s="8">
        <f t="shared" si="177"/>
        <v>-0.40175338853442144</v>
      </c>
      <c r="AI665" s="8">
        <f t="shared" si="178"/>
        <v>0.51905152180200265</v>
      </c>
      <c r="AJ665" s="8"/>
      <c r="AK665" s="8"/>
      <c r="AL665" s="8"/>
      <c r="AN665" s="8">
        <f t="shared" si="183"/>
        <v>1.0000000000000002</v>
      </c>
      <c r="AO665" s="8">
        <f t="shared" si="184"/>
        <v>3.6309155081960895</v>
      </c>
      <c r="AP665" s="8">
        <f t="shared" si="185"/>
        <v>1.025055415289621</v>
      </c>
      <c r="AQ665" s="8"/>
      <c r="AR665" s="8">
        <f t="shared" si="186"/>
        <v>208.03613438823439</v>
      </c>
      <c r="AS665" s="8">
        <f t="shared" si="187"/>
        <v>31.268650936874842</v>
      </c>
    </row>
    <row r="666" spans="1:45">
      <c r="A666" s="19">
        <v>29.162466670000001</v>
      </c>
      <c r="B666" s="19">
        <v>764.48936500000002</v>
      </c>
      <c r="C666" s="19">
        <v>514.29820670000004</v>
      </c>
      <c r="E666" s="9">
        <f t="shared" si="173"/>
        <v>-195.51063499999998</v>
      </c>
      <c r="F666" s="9">
        <f t="shared" si="174"/>
        <v>25.701793299999963</v>
      </c>
      <c r="I666">
        <v>1</v>
      </c>
      <c r="J666">
        <f t="shared" si="175"/>
        <v>0.12621400863849</v>
      </c>
      <c r="K666">
        <f t="shared" si="179"/>
        <v>3.0108823572474552</v>
      </c>
      <c r="O666">
        <f t="shared" si="180"/>
        <v>-0.1248053736025192</v>
      </c>
      <c r="P666">
        <f t="shared" si="181"/>
        <v>1.6406892213619084E-2</v>
      </c>
      <c r="Q666">
        <f t="shared" si="182"/>
        <v>0.99204557990438436</v>
      </c>
      <c r="R666">
        <f t="shared" si="172"/>
        <v>1</v>
      </c>
      <c r="AG666" s="8">
        <f t="shared" si="176"/>
        <v>-0.75466090533596164</v>
      </c>
      <c r="AH666" s="8">
        <f t="shared" si="177"/>
        <v>-0.40132946106713119</v>
      </c>
      <c r="AI666" s="8">
        <f t="shared" si="178"/>
        <v>0.51905836053094534</v>
      </c>
      <c r="AJ666" s="8"/>
      <c r="AK666" s="8"/>
      <c r="AL666" s="8"/>
      <c r="AN666" s="8">
        <f t="shared" si="183"/>
        <v>1</v>
      </c>
      <c r="AO666" s="8">
        <f t="shared" si="184"/>
        <v>3.6303562659569115</v>
      </c>
      <c r="AP666" s="8">
        <f t="shared" si="185"/>
        <v>1.0250474143514172</v>
      </c>
      <c r="AQ666" s="8"/>
      <c r="AR666" s="8">
        <f t="shared" si="186"/>
        <v>208.00409216820404</v>
      </c>
      <c r="AS666" s="8">
        <f t="shared" si="187"/>
        <v>31.269109356866061</v>
      </c>
    </row>
    <row r="667" spans="1:45">
      <c r="A667" s="19">
        <v>29.195833329999999</v>
      </c>
      <c r="B667" s="19">
        <v>764.15589799999998</v>
      </c>
      <c r="C667" s="19">
        <v>514.2097996</v>
      </c>
      <c r="E667" s="9">
        <f t="shared" si="173"/>
        <v>-195.84410200000002</v>
      </c>
      <c r="F667" s="9">
        <f t="shared" si="174"/>
        <v>25.790200400000003</v>
      </c>
      <c r="I667">
        <v>1</v>
      </c>
      <c r="J667">
        <f t="shared" si="175"/>
        <v>0.12643263059639473</v>
      </c>
      <c r="K667">
        <f t="shared" si="179"/>
        <v>3.0106586530603634</v>
      </c>
      <c r="O667">
        <f t="shared" si="180"/>
        <v>-0.12501672371703762</v>
      </c>
      <c r="P667">
        <f t="shared" si="181"/>
        <v>1.6463127176604146E-2</v>
      </c>
      <c r="Q667">
        <f t="shared" si="182"/>
        <v>0.99201803624461626</v>
      </c>
      <c r="R667">
        <f t="shared" ref="R667:R730" si="188">SQRT(O667^2+P667^2+Q667^2)</f>
        <v>1</v>
      </c>
      <c r="AG667" s="8">
        <f t="shared" si="176"/>
        <v>-0.75476186731478201</v>
      </c>
      <c r="AH667" s="8">
        <f t="shared" si="177"/>
        <v>-0.40113356529826671</v>
      </c>
      <c r="AI667" s="8">
        <f t="shared" si="178"/>
        <v>0.51906298889306746</v>
      </c>
      <c r="AJ667" s="8"/>
      <c r="AK667" s="8"/>
      <c r="AL667" s="8"/>
      <c r="AN667" s="8">
        <f t="shared" si="183"/>
        <v>1</v>
      </c>
      <c r="AO667" s="8">
        <f t="shared" si="184"/>
        <v>3.6300984503527811</v>
      </c>
      <c r="AP667" s="8">
        <f t="shared" si="185"/>
        <v>1.025041999399241</v>
      </c>
      <c r="AQ667" s="8"/>
      <c r="AR667" s="8">
        <f t="shared" si="186"/>
        <v>207.98932042219477</v>
      </c>
      <c r="AS667" s="8">
        <f t="shared" si="187"/>
        <v>31.269419610772026</v>
      </c>
    </row>
    <row r="668" spans="1:45">
      <c r="A668" s="19">
        <v>29.229199999999999</v>
      </c>
      <c r="B668" s="19">
        <v>763.16666669999995</v>
      </c>
      <c r="C668" s="19">
        <v>514.08333330000005</v>
      </c>
      <c r="E668" s="9">
        <f t="shared" si="173"/>
        <v>-196.83333330000005</v>
      </c>
      <c r="F668" s="9">
        <f t="shared" si="174"/>
        <v>25.916666699999951</v>
      </c>
      <c r="I668">
        <v>1</v>
      </c>
      <c r="J668">
        <f t="shared" si="175"/>
        <v>0.12706980461065781</v>
      </c>
      <c r="K668">
        <f t="shared" si="179"/>
        <v>3.0106776446631702</v>
      </c>
      <c r="O668">
        <f t="shared" si="180"/>
        <v>-0.12564369018468988</v>
      </c>
      <c r="P668">
        <f t="shared" si="181"/>
        <v>1.6543263210970889E-2</v>
      </c>
      <c r="Q668">
        <f t="shared" si="182"/>
        <v>0.99193748974373697</v>
      </c>
      <c r="R668">
        <f t="shared" si="188"/>
        <v>1</v>
      </c>
      <c r="AG668" s="8">
        <f t="shared" si="176"/>
        <v>-0.75509032294966194</v>
      </c>
      <c r="AH668" s="8">
        <f t="shared" si="177"/>
        <v>-0.40059070761563775</v>
      </c>
      <c r="AI668" s="8">
        <f t="shared" si="178"/>
        <v>0.51900451747530862</v>
      </c>
      <c r="AJ668" s="8"/>
      <c r="AK668" s="8"/>
      <c r="AL668" s="8"/>
      <c r="AN668" s="8">
        <f t="shared" si="183"/>
        <v>1.0000000000000002</v>
      </c>
      <c r="AO668" s="8">
        <f t="shared" si="184"/>
        <v>3.6293573061267121</v>
      </c>
      <c r="AP668" s="8">
        <f t="shared" si="185"/>
        <v>1.0251104067249608</v>
      </c>
      <c r="AQ668" s="8"/>
      <c r="AR668" s="8">
        <f t="shared" si="186"/>
        <v>207.94685598603053</v>
      </c>
      <c r="AS668" s="8">
        <f t="shared" si="187"/>
        <v>31.265500159720503</v>
      </c>
    </row>
    <row r="669" spans="1:45">
      <c r="A669" s="19">
        <v>29.262566669999998</v>
      </c>
      <c r="B669" s="19">
        <v>763.08914860000004</v>
      </c>
      <c r="C669" s="19">
        <v>513.71009749999996</v>
      </c>
      <c r="E669" s="9">
        <f t="shared" si="173"/>
        <v>-196.91085139999996</v>
      </c>
      <c r="F669" s="9">
        <f t="shared" si="174"/>
        <v>26.289902500000039</v>
      </c>
      <c r="I669">
        <v>1</v>
      </c>
      <c r="J669">
        <f t="shared" si="175"/>
        <v>0.12715024093020877</v>
      </c>
      <c r="K669">
        <f t="shared" si="179"/>
        <v>3.0088658743922823</v>
      </c>
      <c r="O669">
        <f t="shared" si="180"/>
        <v>-0.12569259703398333</v>
      </c>
      <c r="P669">
        <f t="shared" si="181"/>
        <v>1.6781432295382488E-2</v>
      </c>
      <c r="Q669">
        <f t="shared" si="182"/>
        <v>0.99192729299125959</v>
      </c>
      <c r="R669">
        <f t="shared" si="188"/>
        <v>1</v>
      </c>
      <c r="AG669" s="8">
        <f t="shared" si="176"/>
        <v>-0.75503792874136377</v>
      </c>
      <c r="AH669" s="8">
        <f t="shared" si="177"/>
        <v>-0.40044558152091253</v>
      </c>
      <c r="AI669" s="8">
        <f t="shared" si="178"/>
        <v>0.51919270257037464</v>
      </c>
      <c r="AJ669" s="8"/>
      <c r="AK669" s="8"/>
      <c r="AL669" s="8"/>
      <c r="AN669" s="8">
        <f t="shared" si="183"/>
        <v>1</v>
      </c>
      <c r="AO669" s="8">
        <f t="shared" si="184"/>
        <v>3.6292360327027255</v>
      </c>
      <c r="AP669" s="8">
        <f t="shared" si="185"/>
        <v>1.0248902336411749</v>
      </c>
      <c r="AQ669" s="8"/>
      <c r="AR669" s="8">
        <f t="shared" si="186"/>
        <v>207.93990753066899</v>
      </c>
      <c r="AS669" s="8">
        <f t="shared" si="187"/>
        <v>31.278115148183815</v>
      </c>
    </row>
    <row r="670" spans="1:45">
      <c r="A670" s="19">
        <v>29.29593333</v>
      </c>
      <c r="B670" s="19">
        <v>762.34907650000002</v>
      </c>
      <c r="C670" s="19">
        <v>513.58737429999996</v>
      </c>
      <c r="E670" s="9">
        <f t="shared" si="173"/>
        <v>-197.65092349999998</v>
      </c>
      <c r="F670" s="9">
        <f t="shared" si="174"/>
        <v>26.412625700000035</v>
      </c>
      <c r="I670">
        <v>1</v>
      </c>
      <c r="J670">
        <f t="shared" si="175"/>
        <v>0.12762924617382915</v>
      </c>
      <c r="K670">
        <f t="shared" si="179"/>
        <v>3.0087469995807692</v>
      </c>
      <c r="O670">
        <f t="shared" si="180"/>
        <v>-0.12616153874224534</v>
      </c>
      <c r="P670">
        <f t="shared" si="181"/>
        <v>1.6859306506275856E-2</v>
      </c>
      <c r="Q670">
        <f t="shared" si="182"/>
        <v>0.99186643754404569</v>
      </c>
      <c r="R670">
        <f t="shared" si="188"/>
        <v>1</v>
      </c>
      <c r="AG670" s="8">
        <f t="shared" si="176"/>
        <v>-0.75527735418528885</v>
      </c>
      <c r="AH670" s="8">
        <f t="shared" si="177"/>
        <v>-0.40003144483633113</v>
      </c>
      <c r="AI670" s="8">
        <f t="shared" si="178"/>
        <v>0.51916371348258472</v>
      </c>
      <c r="AJ670" s="8"/>
      <c r="AK670" s="8"/>
      <c r="AL670" s="8"/>
      <c r="AN670" s="8">
        <f t="shared" si="183"/>
        <v>1.0000000000000002</v>
      </c>
      <c r="AO670" s="8">
        <f t="shared" si="184"/>
        <v>3.6286767013913606</v>
      </c>
      <c r="AP670" s="8">
        <f t="shared" si="185"/>
        <v>1.024924152256705</v>
      </c>
      <c r="AQ670" s="8"/>
      <c r="AR670" s="8">
        <f t="shared" si="186"/>
        <v>207.90786020717826</v>
      </c>
      <c r="AS670" s="8">
        <f t="shared" si="187"/>
        <v>31.276171754667018</v>
      </c>
    </row>
    <row r="671" spans="1:45">
      <c r="A671" s="19">
        <v>29.3293</v>
      </c>
      <c r="B671" s="19">
        <v>761.92389519999995</v>
      </c>
      <c r="C671" s="19">
        <v>513.43735770000001</v>
      </c>
      <c r="E671" s="9">
        <f t="shared" si="173"/>
        <v>-198.07610480000005</v>
      </c>
      <c r="F671" s="9">
        <f t="shared" si="174"/>
        <v>26.562642299999993</v>
      </c>
      <c r="I671">
        <v>1</v>
      </c>
      <c r="J671">
        <f t="shared" si="175"/>
        <v>0.12791116329254698</v>
      </c>
      <c r="K671">
        <f t="shared" si="179"/>
        <v>3.0082847646049471</v>
      </c>
      <c r="O671">
        <f t="shared" si="180"/>
        <v>-0.1264308704929086</v>
      </c>
      <c r="P671">
        <f t="shared" si="181"/>
        <v>1.6954786100886386E-2</v>
      </c>
      <c r="Q671">
        <f t="shared" si="182"/>
        <v>0.99183051486364271</v>
      </c>
      <c r="R671">
        <f t="shared" si="188"/>
        <v>1</v>
      </c>
      <c r="AG671" s="8">
        <f t="shared" si="176"/>
        <v>-0.75539771429391389</v>
      </c>
      <c r="AH671" s="8">
        <f t="shared" si="177"/>
        <v>-0.39977103928504742</v>
      </c>
      <c r="AI671" s="8">
        <f t="shared" si="178"/>
        <v>0.51918918458350372</v>
      </c>
      <c r="AJ671" s="8"/>
      <c r="AK671" s="8"/>
      <c r="AL671" s="8"/>
      <c r="AN671" s="8">
        <f t="shared" si="183"/>
        <v>0.99999999999999989</v>
      </c>
      <c r="AO671" s="8">
        <f t="shared" si="184"/>
        <v>3.6283415322494759</v>
      </c>
      <c r="AP671" s="8">
        <f t="shared" si="185"/>
        <v>1.0248943498908862</v>
      </c>
      <c r="AQ671" s="8"/>
      <c r="AR671" s="8">
        <f t="shared" si="186"/>
        <v>207.88865642992525</v>
      </c>
      <c r="AS671" s="8">
        <f t="shared" si="187"/>
        <v>31.277879304447936</v>
      </c>
    </row>
    <row r="672" spans="1:45">
      <c r="A672" s="19">
        <v>29.362666669999999</v>
      </c>
      <c r="B672" s="19">
        <v>761.37226169999997</v>
      </c>
      <c r="C672" s="19">
        <v>513.58262569999999</v>
      </c>
      <c r="E672" s="9">
        <f t="shared" ref="E672:E735" si="189">(B672-($B$15/2))</f>
        <v>-198.62773830000003</v>
      </c>
      <c r="F672" s="9">
        <f t="shared" ref="F672:F735" si="190">(($C$15/2)-C672)</f>
        <v>26.417374300000006</v>
      </c>
      <c r="I672">
        <v>1</v>
      </c>
      <c r="J672">
        <f t="shared" ref="J672:J735" si="191">ATAN((SQRT(E672^2+F672^2)^$B$16)/($F$24))</f>
        <v>0.12824813913983671</v>
      </c>
      <c r="K672">
        <f t="shared" si="179"/>
        <v>3.0093692148850884</v>
      </c>
      <c r="O672">
        <f t="shared" si="180"/>
        <v>-0.1267804811490148</v>
      </c>
      <c r="P672">
        <f t="shared" si="181"/>
        <v>1.6861730658127422E-2</v>
      </c>
      <c r="Q672">
        <f t="shared" si="182"/>
        <v>0.99178747301971759</v>
      </c>
      <c r="R672">
        <f t="shared" si="188"/>
        <v>1</v>
      </c>
      <c r="AG672" s="8">
        <f t="shared" ref="AG672:AG735" si="192">$O672*$Z$27+$P672*$Z$31+$Q672*$Z$35</f>
        <v>-0.75562689476261491</v>
      </c>
      <c r="AH672" s="8">
        <f t="shared" ref="AH672:AH735" si="193">$O672*$AA$27+$P672*$AA$31+$Q672*$AA$35</f>
        <v>-0.39952914460931555</v>
      </c>
      <c r="AI672" s="8">
        <f t="shared" ref="AI672:AI735" si="194">$AB$27*$O672+$P672*$AB$31+$AB$35*$Q672</f>
        <v>0.5190418658635898</v>
      </c>
      <c r="AJ672" s="8"/>
      <c r="AK672" s="8"/>
      <c r="AL672" s="8"/>
      <c r="AN672" s="8">
        <f t="shared" si="183"/>
        <v>1</v>
      </c>
      <c r="AO672" s="8">
        <f t="shared" si="184"/>
        <v>3.627965982287801</v>
      </c>
      <c r="AP672" s="8">
        <f t="shared" si="185"/>
        <v>1.0250667121423711</v>
      </c>
      <c r="AQ672" s="8"/>
      <c r="AR672" s="8">
        <f t="shared" si="186"/>
        <v>207.86713900212499</v>
      </c>
      <c r="AS672" s="8">
        <f t="shared" si="187"/>
        <v>31.26800367489048</v>
      </c>
    </row>
    <row r="673" spans="1:45">
      <c r="A673" s="19">
        <v>29.396033330000002</v>
      </c>
      <c r="B673" s="19">
        <v>760.72942149999994</v>
      </c>
      <c r="C673" s="19">
        <v>513.43299430000002</v>
      </c>
      <c r="E673" s="9">
        <f t="shared" si="189"/>
        <v>-199.27057850000006</v>
      </c>
      <c r="F673" s="9">
        <f t="shared" si="190"/>
        <v>26.567005699999982</v>
      </c>
      <c r="I673">
        <v>1</v>
      </c>
      <c r="J673">
        <f t="shared" si="191"/>
        <v>0.12866775142276954</v>
      </c>
      <c r="K673">
        <f t="shared" ref="K673:K736" si="195">ATAN2(E673,F673)</f>
        <v>3.0090529783658582</v>
      </c>
      <c r="O673">
        <f t="shared" ref="O673:O736" si="196">COS(K673)*SIN(J673)</f>
        <v>-0.1271876475482622</v>
      </c>
      <c r="P673">
        <f t="shared" ref="P673:P736" si="197">SIN(K673)*SIN(J673)</f>
        <v>1.6956818125482952E-2</v>
      </c>
      <c r="Q673">
        <f t="shared" ref="Q673:Q736" si="198">COS(J673)</f>
        <v>0.99173371861109894</v>
      </c>
      <c r="R673">
        <f t="shared" si="188"/>
        <v>1</v>
      </c>
      <c r="AG673" s="8">
        <f t="shared" si="192"/>
        <v>-0.75582522935195628</v>
      </c>
      <c r="AH673" s="8">
        <f t="shared" si="193"/>
        <v>-0.39915716021044345</v>
      </c>
      <c r="AI673" s="8">
        <f t="shared" si="194"/>
        <v>0.51903928958008283</v>
      </c>
      <c r="AJ673" s="8"/>
      <c r="AK673" s="8"/>
      <c r="AL673" s="8"/>
      <c r="AN673" s="8">
        <f t="shared" ref="AN673:AN736" si="199">AG673^2+AH673^2+AI673^2</f>
        <v>1</v>
      </c>
      <c r="AO673" s="8">
        <f t="shared" ref="AO673:AO736" si="200">IF(ATAN2(AG673,AH673)&gt;=0,ATAN2(AG673,AH673),ATAN2(AG673,AH673)+2*PI())</f>
        <v>3.6274727939233689</v>
      </c>
      <c r="AP673" s="8">
        <f t="shared" ref="AP673:AP736" si="201">ACOS(AI673/AN673)</f>
        <v>1.0250697262221753</v>
      </c>
      <c r="AQ673" s="8"/>
      <c r="AR673" s="8">
        <f t="shared" ref="AR673:AR736" si="202">DEGREES(AO673)</f>
        <v>207.83888139033806</v>
      </c>
      <c r="AS673" s="8">
        <f t="shared" ref="AS673:AS736" si="203">90-DEGREES(AP673)</f>
        <v>31.267830980838582</v>
      </c>
    </row>
    <row r="674" spans="1:45">
      <c r="A674" s="19">
        <v>29.429400000000001</v>
      </c>
      <c r="B674" s="19">
        <v>760.3874945</v>
      </c>
      <c r="C674" s="19">
        <v>513.47874049999996</v>
      </c>
      <c r="E674" s="9">
        <f t="shared" si="189"/>
        <v>-199.6125055</v>
      </c>
      <c r="F674" s="9">
        <f t="shared" si="190"/>
        <v>26.521259500000042</v>
      </c>
      <c r="I674">
        <v>1</v>
      </c>
      <c r="J674">
        <f t="shared" si="191"/>
        <v>0.12888036794627244</v>
      </c>
      <c r="K674">
        <f t="shared" si="195"/>
        <v>3.0095025627837062</v>
      </c>
      <c r="O674">
        <f t="shared" si="196"/>
        <v>-0.12740427747545341</v>
      </c>
      <c r="P674">
        <f t="shared" si="197"/>
        <v>1.6927405905120096E-2</v>
      </c>
      <c r="Q674">
        <f t="shared" si="198"/>
        <v>0.99170641472679855</v>
      </c>
      <c r="R674">
        <f t="shared" si="188"/>
        <v>1</v>
      </c>
      <c r="AG674" s="8">
        <f t="shared" si="192"/>
        <v>-0.75595762706151726</v>
      </c>
      <c r="AH674" s="8">
        <f t="shared" si="193"/>
        <v>-0.39899467637838254</v>
      </c>
      <c r="AI674" s="8">
        <f t="shared" si="194"/>
        <v>0.51897140028062227</v>
      </c>
      <c r="AJ674" s="8"/>
      <c r="AK674" s="8"/>
      <c r="AL674" s="8"/>
      <c r="AN674" s="8">
        <f t="shared" si="199"/>
        <v>1</v>
      </c>
      <c r="AO674" s="8">
        <f t="shared" si="200"/>
        <v>3.627232376686643</v>
      </c>
      <c r="AP674" s="8">
        <f t="shared" si="201"/>
        <v>1.0251491501848347</v>
      </c>
      <c r="AQ674" s="8"/>
      <c r="AR674" s="8">
        <f t="shared" si="202"/>
        <v>207.82510649735147</v>
      </c>
      <c r="AS674" s="8">
        <f t="shared" si="203"/>
        <v>31.263280322985999</v>
      </c>
    </row>
    <row r="675" spans="1:45">
      <c r="A675" s="19">
        <v>29.462766670000001</v>
      </c>
      <c r="B675" s="19">
        <v>759.49980570000002</v>
      </c>
      <c r="C675" s="19">
        <v>513.28186219999998</v>
      </c>
      <c r="E675" s="9">
        <f t="shared" si="189"/>
        <v>-200.50019429999998</v>
      </c>
      <c r="F675" s="9">
        <f t="shared" si="190"/>
        <v>26.718137800000022</v>
      </c>
      <c r="I675">
        <v>1</v>
      </c>
      <c r="J675">
        <f t="shared" si="191"/>
        <v>0.12945890016958933</v>
      </c>
      <c r="K675">
        <f t="shared" si="195"/>
        <v>3.0091157133007993</v>
      </c>
      <c r="O675">
        <f t="shared" si="196"/>
        <v>-0.12796640515133467</v>
      </c>
      <c r="P675">
        <f t="shared" si="197"/>
        <v>1.7052472485329616E-2</v>
      </c>
      <c r="Q675">
        <f t="shared" si="198"/>
        <v>0.9916318935647348</v>
      </c>
      <c r="R675">
        <f t="shared" si="188"/>
        <v>1</v>
      </c>
      <c r="AG675" s="8">
        <f t="shared" si="192"/>
        <v>-0.75623325089984905</v>
      </c>
      <c r="AH675" s="8">
        <f t="shared" si="193"/>
        <v>-0.39848366342358549</v>
      </c>
      <c r="AI675" s="8">
        <f t="shared" si="194"/>
        <v>0.51896246513400623</v>
      </c>
      <c r="AJ675" s="8"/>
      <c r="AK675" s="8"/>
      <c r="AL675" s="8"/>
      <c r="AN675" s="8">
        <f t="shared" si="199"/>
        <v>1</v>
      </c>
      <c r="AO675" s="8">
        <f t="shared" si="200"/>
        <v>3.6265531721671844</v>
      </c>
      <c r="AP675" s="8">
        <f t="shared" si="201"/>
        <v>1.0251596031633445</v>
      </c>
      <c r="AQ675" s="8"/>
      <c r="AR675" s="8">
        <f t="shared" si="202"/>
        <v>207.78619094496028</v>
      </c>
      <c r="AS675" s="8">
        <f t="shared" si="203"/>
        <v>31.262681411434038</v>
      </c>
    </row>
    <row r="676" spans="1:45">
      <c r="A676" s="19">
        <v>29.496133329999999</v>
      </c>
      <c r="B676" s="19">
        <v>759.62190069999997</v>
      </c>
      <c r="C676" s="19">
        <v>513.53260550000005</v>
      </c>
      <c r="E676" s="9">
        <f t="shared" si="189"/>
        <v>-200.37809930000003</v>
      </c>
      <c r="F676" s="9">
        <f t="shared" si="190"/>
        <v>26.467394499999955</v>
      </c>
      <c r="I676">
        <v>1</v>
      </c>
      <c r="J676">
        <f t="shared" si="191"/>
        <v>0.1293605484543264</v>
      </c>
      <c r="K676">
        <f t="shared" si="195"/>
        <v>3.0102656264719712</v>
      </c>
      <c r="O676">
        <f t="shared" si="196"/>
        <v>-0.12788923990856305</v>
      </c>
      <c r="P676">
        <f t="shared" si="197"/>
        <v>1.6892539537952795E-2</v>
      </c>
      <c r="Q676">
        <f t="shared" si="198"/>
        <v>0.99164458573803982</v>
      </c>
      <c r="R676">
        <f t="shared" si="188"/>
        <v>1</v>
      </c>
      <c r="AG676" s="8">
        <f t="shared" si="192"/>
        <v>-0.75624347642340828</v>
      </c>
      <c r="AH676" s="8">
        <f t="shared" si="193"/>
        <v>-0.39861710852310084</v>
      </c>
      <c r="AI676" s="8">
        <f t="shared" si="194"/>
        <v>0.51884506855102741</v>
      </c>
      <c r="AJ676" s="8"/>
      <c r="AK676" s="8"/>
      <c r="AL676" s="8"/>
      <c r="AN676" s="8">
        <f t="shared" si="199"/>
        <v>0.99999999999999989</v>
      </c>
      <c r="AO676" s="8">
        <f t="shared" si="200"/>
        <v>3.6266856968226553</v>
      </c>
      <c r="AP676" s="8">
        <f t="shared" si="201"/>
        <v>1.0252969359868698</v>
      </c>
      <c r="AQ676" s="8"/>
      <c r="AR676" s="8">
        <f t="shared" si="202"/>
        <v>207.79378404840017</v>
      </c>
      <c r="AS676" s="8">
        <f t="shared" si="203"/>
        <v>31.254812820257428</v>
      </c>
    </row>
    <row r="677" spans="1:45">
      <c r="A677" s="19">
        <v>29.529499999999999</v>
      </c>
      <c r="B677" s="19">
        <v>758.33111299999996</v>
      </c>
      <c r="C677" s="19">
        <v>513.42068630000006</v>
      </c>
      <c r="E677" s="9">
        <f t="shared" si="189"/>
        <v>-201.66888700000004</v>
      </c>
      <c r="F677" s="9">
        <f t="shared" si="190"/>
        <v>26.579313699999943</v>
      </c>
      <c r="I677">
        <v>1</v>
      </c>
      <c r="J677">
        <f t="shared" si="191"/>
        <v>0.13018705055250682</v>
      </c>
      <c r="K677">
        <f t="shared" si="195"/>
        <v>3.0105511197173227</v>
      </c>
      <c r="O677">
        <f t="shared" si="196"/>
        <v>-0.12870658301593907</v>
      </c>
      <c r="P677">
        <f t="shared" si="197"/>
        <v>1.6963115610568805E-2</v>
      </c>
      <c r="Q677">
        <f t="shared" si="198"/>
        <v>0.99153762823059</v>
      </c>
      <c r="R677">
        <f t="shared" si="188"/>
        <v>1</v>
      </c>
      <c r="AG677" s="8">
        <f t="shared" si="192"/>
        <v>-0.756681341074259</v>
      </c>
      <c r="AH677" s="8">
        <f t="shared" si="193"/>
        <v>-0.39792315761983466</v>
      </c>
      <c r="AI677" s="8">
        <f t="shared" si="194"/>
        <v>0.51873934562545121</v>
      </c>
      <c r="AJ677" s="8"/>
      <c r="AK677" s="8"/>
      <c r="AL677" s="8"/>
      <c r="AN677" s="8">
        <f t="shared" si="199"/>
        <v>1.0000000000000002</v>
      </c>
      <c r="AO677" s="8">
        <f t="shared" si="200"/>
        <v>3.6257288221555517</v>
      </c>
      <c r="AP677" s="8">
        <f t="shared" si="201"/>
        <v>1.0254206029417499</v>
      </c>
      <c r="AQ677" s="8"/>
      <c r="AR677" s="8">
        <f t="shared" si="202"/>
        <v>207.73895916845217</v>
      </c>
      <c r="AS677" s="8">
        <f t="shared" si="203"/>
        <v>31.247727225677565</v>
      </c>
    </row>
    <row r="678" spans="1:45">
      <c r="A678" s="19">
        <v>29.562866669999998</v>
      </c>
      <c r="B678" s="19">
        <v>757.58333330000005</v>
      </c>
      <c r="C678" s="19">
        <v>512.66666669999995</v>
      </c>
      <c r="E678" s="9">
        <f t="shared" si="189"/>
        <v>-202.41666669999995</v>
      </c>
      <c r="F678" s="9">
        <f t="shared" si="190"/>
        <v>27.333333300000049</v>
      </c>
      <c r="I678">
        <v>1</v>
      </c>
      <c r="J678">
        <f t="shared" si="191"/>
        <v>0.13072395663545927</v>
      </c>
      <c r="K678">
        <f t="shared" si="195"/>
        <v>3.0073695585030591</v>
      </c>
      <c r="O678">
        <f t="shared" si="196"/>
        <v>-0.12917951824292351</v>
      </c>
      <c r="P678">
        <f t="shared" si="197"/>
        <v>1.7443755424055029E-2</v>
      </c>
      <c r="Q678">
        <f t="shared" si="198"/>
        <v>0.99146778437992222</v>
      </c>
      <c r="R678">
        <f t="shared" si="188"/>
        <v>1</v>
      </c>
      <c r="AG678" s="8">
        <f t="shared" si="192"/>
        <v>-0.75678638902169215</v>
      </c>
      <c r="AH678" s="8">
        <f t="shared" si="193"/>
        <v>-0.39732644097205239</v>
      </c>
      <c r="AI678" s="8">
        <f t="shared" si="194"/>
        <v>0.51904340925975578</v>
      </c>
      <c r="AJ678" s="8"/>
      <c r="AK678" s="8"/>
      <c r="AL678" s="8"/>
      <c r="AN678" s="8">
        <f t="shared" si="199"/>
        <v>1.0000000000000002</v>
      </c>
      <c r="AO678" s="8">
        <f t="shared" si="200"/>
        <v>3.6250537290933393</v>
      </c>
      <c r="AP678" s="8">
        <f t="shared" si="201"/>
        <v>1.0250649064691957</v>
      </c>
      <c r="AQ678" s="8"/>
      <c r="AR678" s="8">
        <f t="shared" si="202"/>
        <v>207.70027918520884</v>
      </c>
      <c r="AS678" s="8">
        <f t="shared" si="203"/>
        <v>31.268107132342614</v>
      </c>
    </row>
    <row r="679" spans="1:45">
      <c r="A679" s="19">
        <v>29.59623333</v>
      </c>
      <c r="B679" s="19">
        <v>757.25565129999995</v>
      </c>
      <c r="C679" s="19">
        <v>513.20110109999996</v>
      </c>
      <c r="E679" s="9">
        <f t="shared" si="189"/>
        <v>-202.74434870000005</v>
      </c>
      <c r="F679" s="9">
        <f t="shared" si="190"/>
        <v>26.79889890000004</v>
      </c>
      <c r="I679">
        <v>1</v>
      </c>
      <c r="J679">
        <f t="shared" si="191"/>
        <v>0.13088612985457757</v>
      </c>
      <c r="K679">
        <f t="shared" si="195"/>
        <v>3.0101737483695916</v>
      </c>
      <c r="O679">
        <f t="shared" si="196"/>
        <v>-0.12938732720824681</v>
      </c>
      <c r="P679">
        <f t="shared" si="197"/>
        <v>1.7102513204576588E-2</v>
      </c>
      <c r="Q679">
        <f t="shared" si="198"/>
        <v>0.99144663174575032</v>
      </c>
      <c r="R679">
        <f t="shared" si="188"/>
        <v>1</v>
      </c>
      <c r="AG679" s="8">
        <f t="shared" si="192"/>
        <v>-0.75701852971324879</v>
      </c>
      <c r="AH679" s="8">
        <f t="shared" si="193"/>
        <v>-0.39730917642266855</v>
      </c>
      <c r="AI679" s="8">
        <f t="shared" si="194"/>
        <v>0.51871800045991479</v>
      </c>
      <c r="AJ679" s="8"/>
      <c r="AK679" s="8"/>
      <c r="AL679" s="8"/>
      <c r="AN679" s="8">
        <f t="shared" si="199"/>
        <v>1.0000000000000002</v>
      </c>
      <c r="AO679" s="8">
        <f t="shared" si="200"/>
        <v>3.6249096314248179</v>
      </c>
      <c r="AP679" s="8">
        <f t="shared" si="201"/>
        <v>1.0254455698311249</v>
      </c>
      <c r="AQ679" s="8"/>
      <c r="AR679" s="8">
        <f t="shared" si="202"/>
        <v>207.69202299696488</v>
      </c>
      <c r="AS679" s="8">
        <f t="shared" si="203"/>
        <v>31.246296728288804</v>
      </c>
    </row>
    <row r="680" spans="1:45">
      <c r="A680" s="19">
        <v>29.6296</v>
      </c>
      <c r="B680" s="19">
        <v>757.08333330000005</v>
      </c>
      <c r="C680" s="19">
        <v>512.58333330000005</v>
      </c>
      <c r="E680" s="9">
        <f t="shared" si="189"/>
        <v>-202.91666669999995</v>
      </c>
      <c r="F680" s="9">
        <f t="shared" si="190"/>
        <v>27.416666699999951</v>
      </c>
      <c r="I680">
        <v>1</v>
      </c>
      <c r="J680">
        <f t="shared" si="191"/>
        <v>0.13104741318661003</v>
      </c>
      <c r="K680">
        <f t="shared" si="195"/>
        <v>3.007293012238518</v>
      </c>
      <c r="O680">
        <f t="shared" si="196"/>
        <v>-0.1294959848350494</v>
      </c>
      <c r="P680">
        <f t="shared" si="197"/>
        <v>1.7496582774345355E-2</v>
      </c>
      <c r="Q680">
        <f t="shared" si="198"/>
        <v>0.99142556932067327</v>
      </c>
      <c r="R680">
        <f t="shared" si="188"/>
        <v>1</v>
      </c>
      <c r="AG680" s="8">
        <f t="shared" si="192"/>
        <v>-0.75694709285957995</v>
      </c>
      <c r="AH680" s="8">
        <f t="shared" si="193"/>
        <v>-0.39704626111636077</v>
      </c>
      <c r="AI680" s="8">
        <f t="shared" si="194"/>
        <v>0.5190234726338967</v>
      </c>
      <c r="AJ680" s="8"/>
      <c r="AK680" s="8"/>
      <c r="AL680" s="8"/>
      <c r="AN680" s="8">
        <f t="shared" si="199"/>
        <v>1.0000000000000002</v>
      </c>
      <c r="AO680" s="8">
        <f t="shared" si="200"/>
        <v>3.6246761126507763</v>
      </c>
      <c r="AP680" s="8">
        <f t="shared" si="201"/>
        <v>1.0250882308729496</v>
      </c>
      <c r="AQ680" s="8"/>
      <c r="AR680" s="8">
        <f t="shared" si="202"/>
        <v>207.67864335677521</v>
      </c>
      <c r="AS680" s="8">
        <f t="shared" si="203"/>
        <v>31.266770742447846</v>
      </c>
    </row>
    <row r="681" spans="1:45">
      <c r="A681" s="19">
        <v>29.662966669999999</v>
      </c>
      <c r="B681" s="19">
        <v>756.5</v>
      </c>
      <c r="C681" s="19">
        <v>512.5</v>
      </c>
      <c r="E681" s="9">
        <f t="shared" si="189"/>
        <v>-203.5</v>
      </c>
      <c r="F681" s="9">
        <f t="shared" si="190"/>
        <v>27.5</v>
      </c>
      <c r="I681">
        <v>1</v>
      </c>
      <c r="J681">
        <f t="shared" si="191"/>
        <v>0.13142356673358707</v>
      </c>
      <c r="K681">
        <f t="shared" si="195"/>
        <v>3.0072712116368248</v>
      </c>
      <c r="O681">
        <f t="shared" si="196"/>
        <v>-0.12986516326561653</v>
      </c>
      <c r="P681">
        <f t="shared" si="197"/>
        <v>1.7549346387245472E-2</v>
      </c>
      <c r="Q681">
        <f t="shared" si="198"/>
        <v>0.99137634620328485</v>
      </c>
      <c r="R681">
        <f t="shared" si="188"/>
        <v>1</v>
      </c>
      <c r="AG681" s="8">
        <f t="shared" si="192"/>
        <v>-0.75713745926260523</v>
      </c>
      <c r="AH681" s="8">
        <f t="shared" si="193"/>
        <v>-0.39672327750984759</v>
      </c>
      <c r="AI681" s="8">
        <f t="shared" si="194"/>
        <v>0.51899278305503571</v>
      </c>
      <c r="AJ681" s="8"/>
      <c r="AK681" s="8"/>
      <c r="AL681" s="8"/>
      <c r="AN681" s="8">
        <f t="shared" si="199"/>
        <v>1</v>
      </c>
      <c r="AO681" s="8">
        <f t="shared" si="200"/>
        <v>3.6242380447720448</v>
      </c>
      <c r="AP681" s="8">
        <f t="shared" si="201"/>
        <v>1.0251241348048259</v>
      </c>
      <c r="AQ681" s="8"/>
      <c r="AR681" s="8">
        <f t="shared" si="202"/>
        <v>207.65354391618365</v>
      </c>
      <c r="AS681" s="8">
        <f t="shared" si="203"/>
        <v>31.264713598683414</v>
      </c>
    </row>
    <row r="682" spans="1:45">
      <c r="A682" s="19">
        <v>29.696333330000002</v>
      </c>
      <c r="B682" s="19">
        <v>756.00320950000003</v>
      </c>
      <c r="C682" s="19">
        <v>512.48327170000005</v>
      </c>
      <c r="E682" s="9">
        <f t="shared" si="189"/>
        <v>-203.99679049999997</v>
      </c>
      <c r="F682" s="9">
        <f t="shared" si="190"/>
        <v>27.516728299999954</v>
      </c>
      <c r="I682">
        <v>1</v>
      </c>
      <c r="J682">
        <f t="shared" si="191"/>
        <v>0.13173925991108174</v>
      </c>
      <c r="K682">
        <f t="shared" si="195"/>
        <v>3.0075138782015784</v>
      </c>
      <c r="O682">
        <f t="shared" si="196"/>
        <v>-0.13017957340942926</v>
      </c>
      <c r="P682">
        <f t="shared" si="197"/>
        <v>1.7559668183687281E-2</v>
      </c>
      <c r="Q682">
        <f t="shared" si="198"/>
        <v>0.99133492661169653</v>
      </c>
      <c r="R682">
        <f t="shared" si="188"/>
        <v>1</v>
      </c>
      <c r="AG682" s="8">
        <f t="shared" si="192"/>
        <v>-0.75731117172711482</v>
      </c>
      <c r="AH682" s="8">
        <f t="shared" si="193"/>
        <v>-0.39646350733311314</v>
      </c>
      <c r="AI682" s="8">
        <f t="shared" si="194"/>
        <v>0.51893783493828127</v>
      </c>
      <c r="AJ682" s="8"/>
      <c r="AK682" s="8"/>
      <c r="AL682" s="8"/>
      <c r="AN682" s="8">
        <f t="shared" si="199"/>
        <v>0.99999999999999989</v>
      </c>
      <c r="AO682" s="8">
        <f t="shared" si="200"/>
        <v>3.6238745486714996</v>
      </c>
      <c r="AP682" s="8">
        <f t="shared" si="201"/>
        <v>1.0251884169980663</v>
      </c>
      <c r="AQ682" s="8"/>
      <c r="AR682" s="8">
        <f t="shared" si="202"/>
        <v>207.63271712375297</v>
      </c>
      <c r="AS682" s="8">
        <f t="shared" si="203"/>
        <v>31.261030500312899</v>
      </c>
    </row>
    <row r="683" spans="1:45">
      <c r="A683" s="19">
        <v>29.729700000000001</v>
      </c>
      <c r="B683" s="19">
        <v>755.52514910000002</v>
      </c>
      <c r="C683" s="19">
        <v>512.50182940000002</v>
      </c>
      <c r="E683" s="9">
        <f t="shared" si="189"/>
        <v>-204.47485089999998</v>
      </c>
      <c r="F683" s="9">
        <f t="shared" si="190"/>
        <v>27.49817059999998</v>
      </c>
      <c r="I683">
        <v>1</v>
      </c>
      <c r="J683">
        <f t="shared" si="191"/>
        <v>0.13204008958326471</v>
      </c>
      <c r="K683">
        <f t="shared" si="195"/>
        <v>3.0079127672531927</v>
      </c>
      <c r="O683">
        <f t="shared" si="196"/>
        <v>-0.13048212377489032</v>
      </c>
      <c r="P683">
        <f t="shared" si="197"/>
        <v>1.7547486568737027E-2</v>
      </c>
      <c r="Q683">
        <f t="shared" si="198"/>
        <v>0.99129536521175876</v>
      </c>
      <c r="R683">
        <f t="shared" si="188"/>
        <v>1</v>
      </c>
      <c r="AG683" s="8">
        <f t="shared" si="192"/>
        <v>-0.75748571773403761</v>
      </c>
      <c r="AH683" s="8">
        <f t="shared" si="193"/>
        <v>-0.39622329716019478</v>
      </c>
      <c r="AI683" s="8">
        <f t="shared" si="194"/>
        <v>0.51886653988906828</v>
      </c>
      <c r="AJ683" s="8"/>
      <c r="AK683" s="8"/>
      <c r="AL683" s="8"/>
      <c r="AN683" s="8">
        <f t="shared" si="199"/>
        <v>1</v>
      </c>
      <c r="AO683" s="8">
        <f t="shared" si="200"/>
        <v>3.6235309041513553</v>
      </c>
      <c r="AP683" s="8">
        <f t="shared" si="201"/>
        <v>1.0252718192502592</v>
      </c>
      <c r="AQ683" s="8"/>
      <c r="AR683" s="8">
        <f t="shared" si="202"/>
        <v>207.6130277430959</v>
      </c>
      <c r="AS683" s="8">
        <f t="shared" si="203"/>
        <v>31.256251903260356</v>
      </c>
    </row>
    <row r="684" spans="1:45">
      <c r="A684" s="19">
        <v>29.763066670000001</v>
      </c>
      <c r="B684" s="19">
        <v>754.8264365</v>
      </c>
      <c r="C684" s="19">
        <v>512.43104989999995</v>
      </c>
      <c r="E684" s="9">
        <f t="shared" si="189"/>
        <v>-205.1735635</v>
      </c>
      <c r="F684" s="9">
        <f t="shared" si="190"/>
        <v>27.568950100000052</v>
      </c>
      <c r="I684">
        <v>1</v>
      </c>
      <c r="J684">
        <f t="shared" si="191"/>
        <v>0.13248808116110794</v>
      </c>
      <c r="K684">
        <f t="shared" si="195"/>
        <v>3.0080237620407586</v>
      </c>
      <c r="O684">
        <f t="shared" si="196"/>
        <v>-0.13092419395845759</v>
      </c>
      <c r="P684">
        <f t="shared" si="197"/>
        <v>1.7592142518514327E-2</v>
      </c>
      <c r="Q684">
        <f t="shared" si="198"/>
        <v>0.9912362846253846</v>
      </c>
      <c r="R684">
        <f t="shared" si="188"/>
        <v>1</v>
      </c>
      <c r="AG684" s="8">
        <f t="shared" si="192"/>
        <v>-0.7577195938568948</v>
      </c>
      <c r="AH684" s="8">
        <f t="shared" si="193"/>
        <v>-0.39584452452770152</v>
      </c>
      <c r="AI684" s="8">
        <f t="shared" si="194"/>
        <v>0.51881415698377042</v>
      </c>
      <c r="AJ684" s="8"/>
      <c r="AK684" s="8"/>
      <c r="AL684" s="8"/>
      <c r="AN684" s="8">
        <f t="shared" si="199"/>
        <v>1</v>
      </c>
      <c r="AO684" s="8">
        <f t="shared" si="200"/>
        <v>3.6230115012940454</v>
      </c>
      <c r="AP684" s="8">
        <f t="shared" si="201"/>
        <v>1.0253330950401445</v>
      </c>
      <c r="AQ684" s="8"/>
      <c r="AR684" s="8">
        <f t="shared" si="202"/>
        <v>207.583268151505</v>
      </c>
      <c r="AS684" s="8">
        <f t="shared" si="203"/>
        <v>31.252741059113603</v>
      </c>
    </row>
    <row r="685" spans="1:45">
      <c r="A685" s="19">
        <v>29.796433329999999</v>
      </c>
      <c r="B685" s="19">
        <v>754.49931059999994</v>
      </c>
      <c r="C685" s="19">
        <v>512.40264930000001</v>
      </c>
      <c r="E685" s="9">
        <f t="shared" si="189"/>
        <v>-205.50068940000006</v>
      </c>
      <c r="F685" s="9">
        <f t="shared" si="190"/>
        <v>27.597350699999993</v>
      </c>
      <c r="I685">
        <v>1</v>
      </c>
      <c r="J685">
        <f t="shared" si="191"/>
        <v>0.13269740801091184</v>
      </c>
      <c r="K685">
        <f t="shared" si="195"/>
        <v>3.0080981133357296</v>
      </c>
      <c r="O685">
        <f t="shared" si="196"/>
        <v>-0.13113114499890832</v>
      </c>
      <c r="P685">
        <f t="shared" si="197"/>
        <v>1.761002460280519E-2</v>
      </c>
      <c r="Q685">
        <f t="shared" si="198"/>
        <v>0.99120861065911037</v>
      </c>
      <c r="R685">
        <f t="shared" si="188"/>
        <v>1</v>
      </c>
      <c r="AG685" s="8">
        <f t="shared" si="192"/>
        <v>-0.75783005197146858</v>
      </c>
      <c r="AH685" s="8">
        <f t="shared" si="193"/>
        <v>-0.39566851159740041</v>
      </c>
      <c r="AI685" s="8">
        <f t="shared" si="194"/>
        <v>0.5187870866349884</v>
      </c>
      <c r="AJ685" s="8"/>
      <c r="AK685" s="8"/>
      <c r="AL685" s="8"/>
      <c r="AN685" s="8">
        <f t="shared" si="199"/>
        <v>0.99999999999999989</v>
      </c>
      <c r="AO685" s="8">
        <f t="shared" si="200"/>
        <v>3.6227691893591678</v>
      </c>
      <c r="AP685" s="8">
        <f t="shared" si="201"/>
        <v>1.0253647601456608</v>
      </c>
      <c r="AQ685" s="8"/>
      <c r="AR685" s="8">
        <f t="shared" si="202"/>
        <v>207.56938470031085</v>
      </c>
      <c r="AS685" s="8">
        <f t="shared" si="203"/>
        <v>31.250926782209675</v>
      </c>
    </row>
    <row r="686" spans="1:45">
      <c r="A686" s="19">
        <v>29.829799999999999</v>
      </c>
      <c r="B686" s="19">
        <v>753.72157830000003</v>
      </c>
      <c r="C686" s="19">
        <v>512.29830689999994</v>
      </c>
      <c r="E686" s="9">
        <f t="shared" si="189"/>
        <v>-206.27842169999997</v>
      </c>
      <c r="F686" s="9">
        <f t="shared" si="190"/>
        <v>27.701693100000057</v>
      </c>
      <c r="I686">
        <v>1</v>
      </c>
      <c r="J686">
        <f t="shared" si="191"/>
        <v>0.13319816964251308</v>
      </c>
      <c r="K686">
        <f t="shared" si="195"/>
        <v>3.0080985980066197</v>
      </c>
      <c r="O686">
        <f t="shared" si="196"/>
        <v>-0.13162308015190163</v>
      </c>
      <c r="P686">
        <f t="shared" si="197"/>
        <v>1.7676023217530257E-2</v>
      </c>
      <c r="Q686">
        <f t="shared" si="198"/>
        <v>0.99114223145547553</v>
      </c>
      <c r="R686">
        <f t="shared" si="188"/>
        <v>1</v>
      </c>
      <c r="AG686" s="8">
        <f t="shared" si="192"/>
        <v>-0.75808457828410092</v>
      </c>
      <c r="AH686" s="8">
        <f t="shared" si="193"/>
        <v>-0.39523960608571235</v>
      </c>
      <c r="AI686" s="8">
        <f t="shared" si="194"/>
        <v>0.51874215748194963</v>
      </c>
      <c r="AJ686" s="8"/>
      <c r="AK686" s="8"/>
      <c r="AL686" s="8"/>
      <c r="AN686" s="8">
        <f t="shared" si="199"/>
        <v>1</v>
      </c>
      <c r="AO686" s="8">
        <f t="shared" si="200"/>
        <v>3.6221866810745165</v>
      </c>
      <c r="AP686" s="8">
        <f t="shared" si="201"/>
        <v>1.0254173139575624</v>
      </c>
      <c r="AQ686" s="8"/>
      <c r="AR686" s="8">
        <f t="shared" si="202"/>
        <v>207.53600943406894</v>
      </c>
      <c r="AS686" s="8">
        <f t="shared" si="203"/>
        <v>31.247915670590395</v>
      </c>
    </row>
    <row r="687" spans="1:45">
      <c r="A687" s="19">
        <v>29.863166669999998</v>
      </c>
      <c r="B687" s="19">
        <v>753.45535410000002</v>
      </c>
      <c r="C687" s="19">
        <v>512.20590890000005</v>
      </c>
      <c r="E687" s="9">
        <f t="shared" si="189"/>
        <v>-206.54464589999998</v>
      </c>
      <c r="F687" s="9">
        <f t="shared" si="190"/>
        <v>27.794091099999946</v>
      </c>
      <c r="I687">
        <v>1</v>
      </c>
      <c r="J687">
        <f t="shared" si="191"/>
        <v>0.13337439169792706</v>
      </c>
      <c r="K687">
        <f t="shared" si="195"/>
        <v>3.0078292106184561</v>
      </c>
      <c r="O687">
        <f t="shared" si="196"/>
        <v>-0.13179141250758816</v>
      </c>
      <c r="P687">
        <f t="shared" si="197"/>
        <v>1.7734773561775406E-2</v>
      </c>
      <c r="Q687">
        <f t="shared" si="198"/>
        <v>0.99111881295633131</v>
      </c>
      <c r="R687">
        <f t="shared" si="188"/>
        <v>1</v>
      </c>
      <c r="AG687" s="8">
        <f t="shared" si="192"/>
        <v>-0.75815944244240485</v>
      </c>
      <c r="AH687" s="8">
        <f t="shared" si="193"/>
        <v>-0.39507676565885685</v>
      </c>
      <c r="AI687" s="8">
        <f t="shared" si="194"/>
        <v>0.51875679183212497</v>
      </c>
      <c r="AJ687" s="8"/>
      <c r="AK687" s="8"/>
      <c r="AL687" s="8"/>
      <c r="AN687" s="8">
        <f t="shared" si="199"/>
        <v>1</v>
      </c>
      <c r="AO687" s="8">
        <f t="shared" si="200"/>
        <v>3.6219773004329352</v>
      </c>
      <c r="AP687" s="8">
        <f t="shared" si="201"/>
        <v>1.025400196283051</v>
      </c>
      <c r="AQ687" s="8"/>
      <c r="AR687" s="8">
        <f t="shared" si="202"/>
        <v>207.52401280699459</v>
      </c>
      <c r="AS687" s="8">
        <f t="shared" si="203"/>
        <v>31.248896441094971</v>
      </c>
    </row>
    <row r="688" spans="1:45">
      <c r="A688" s="19">
        <v>29.89653333</v>
      </c>
      <c r="B688" s="19">
        <v>753.16666669999995</v>
      </c>
      <c r="C688" s="19">
        <v>511.75</v>
      </c>
      <c r="E688" s="9">
        <f t="shared" si="189"/>
        <v>-206.83333330000005</v>
      </c>
      <c r="F688" s="9">
        <f t="shared" si="190"/>
        <v>28.25</v>
      </c>
      <c r="I688">
        <v>1</v>
      </c>
      <c r="J688">
        <f t="shared" si="191"/>
        <v>0.13359601233213564</v>
      </c>
      <c r="K688">
        <f t="shared" si="195"/>
        <v>3.0058491937346439</v>
      </c>
      <c r="O688">
        <f t="shared" si="196"/>
        <v>-0.13197366759670845</v>
      </c>
      <c r="P688">
        <f t="shared" si="197"/>
        <v>1.8025412297540053E-2</v>
      </c>
      <c r="Q688">
        <f t="shared" si="198"/>
        <v>0.99108931765637409</v>
      </c>
      <c r="R688">
        <f t="shared" si="188"/>
        <v>1</v>
      </c>
      <c r="AG688" s="8">
        <f t="shared" si="192"/>
        <v>-0.7581639165085704</v>
      </c>
      <c r="AH688" s="8">
        <f t="shared" si="193"/>
        <v>-0.39479968712108171</v>
      </c>
      <c r="AI688" s="8">
        <f t="shared" si="194"/>
        <v>0.5189611572685201</v>
      </c>
      <c r="AJ688" s="8"/>
      <c r="AK688" s="8"/>
      <c r="AL688" s="8"/>
      <c r="AN688" s="8">
        <f t="shared" si="199"/>
        <v>1</v>
      </c>
      <c r="AO688" s="8">
        <f t="shared" si="200"/>
        <v>3.6216874241877228</v>
      </c>
      <c r="AP688" s="8">
        <f t="shared" si="201"/>
        <v>1.0251611331930888</v>
      </c>
      <c r="AQ688" s="8"/>
      <c r="AR688" s="8">
        <f t="shared" si="202"/>
        <v>207.50740412156281</v>
      </c>
      <c r="AS688" s="8">
        <f t="shared" si="203"/>
        <v>31.262593747187168</v>
      </c>
    </row>
    <row r="689" spans="1:45">
      <c r="A689" s="19">
        <v>29.9299</v>
      </c>
      <c r="B689" s="19">
        <v>752.38498179999999</v>
      </c>
      <c r="C689" s="19">
        <v>511.5321151</v>
      </c>
      <c r="E689" s="9">
        <f t="shared" si="189"/>
        <v>-207.61501820000001</v>
      </c>
      <c r="F689" s="9">
        <f t="shared" si="190"/>
        <v>28.467884900000001</v>
      </c>
      <c r="I689">
        <v>1</v>
      </c>
      <c r="J689">
        <f t="shared" si="191"/>
        <v>0.13410900251675023</v>
      </c>
      <c r="K689">
        <f t="shared" si="195"/>
        <v>3.0053238131391855</v>
      </c>
      <c r="O689">
        <f t="shared" si="196"/>
        <v>-0.13246786772044247</v>
      </c>
      <c r="P689">
        <f t="shared" si="197"/>
        <v>1.8163811288358832E-2</v>
      </c>
      <c r="Q689">
        <f t="shared" si="198"/>
        <v>0.99102085749043656</v>
      </c>
      <c r="R689">
        <f t="shared" si="188"/>
        <v>1</v>
      </c>
      <c r="AG689" s="8">
        <f t="shared" si="192"/>
        <v>-0.75839497987689342</v>
      </c>
      <c r="AH689" s="8">
        <f t="shared" si="193"/>
        <v>-0.39433657307463366</v>
      </c>
      <c r="AI689" s="8">
        <f t="shared" si="194"/>
        <v>0.51897564647416783</v>
      </c>
      <c r="AJ689" s="8"/>
      <c r="AK689" s="8"/>
      <c r="AL689" s="8"/>
      <c r="AN689" s="8">
        <f t="shared" si="199"/>
        <v>0.99999999999999978</v>
      </c>
      <c r="AO689" s="8">
        <f t="shared" si="200"/>
        <v>3.6210820359229303</v>
      </c>
      <c r="AP689" s="8">
        <f t="shared" si="201"/>
        <v>1.0251441826583281</v>
      </c>
      <c r="AQ689" s="8"/>
      <c r="AR689" s="8">
        <f t="shared" si="202"/>
        <v>207.47271792902345</v>
      </c>
      <c r="AS689" s="8">
        <f t="shared" si="203"/>
        <v>31.263564941289445</v>
      </c>
    </row>
    <row r="690" spans="1:45">
      <c r="A690" s="19">
        <v>29.963266669999999</v>
      </c>
      <c r="B690" s="19">
        <v>751.90316250000001</v>
      </c>
      <c r="C690" s="19">
        <v>511.73791660000001</v>
      </c>
      <c r="E690" s="9">
        <f t="shared" si="189"/>
        <v>-208.09683749999999</v>
      </c>
      <c r="F690" s="9">
        <f t="shared" si="190"/>
        <v>28.262083399999995</v>
      </c>
      <c r="I690">
        <v>1</v>
      </c>
      <c r="J690">
        <f t="shared" si="191"/>
        <v>0.13439582179428208</v>
      </c>
      <c r="K690">
        <f t="shared" si="195"/>
        <v>3.0066063769983424</v>
      </c>
      <c r="O690">
        <f t="shared" si="196"/>
        <v>-0.13277270772593391</v>
      </c>
      <c r="P690">
        <f t="shared" si="197"/>
        <v>1.8032149762939931E-2</v>
      </c>
      <c r="Q690">
        <f t="shared" si="198"/>
        <v>0.99098246687721503</v>
      </c>
      <c r="R690">
        <f t="shared" si="188"/>
        <v>1</v>
      </c>
      <c r="AG690" s="8">
        <f t="shared" si="192"/>
        <v>-0.75861063558865149</v>
      </c>
      <c r="AH690" s="8">
        <f t="shared" si="193"/>
        <v>-0.39414717939508193</v>
      </c>
      <c r="AI690" s="8">
        <f t="shared" si="194"/>
        <v>0.51880430274495926</v>
      </c>
      <c r="AJ690" s="8"/>
      <c r="AK690" s="8"/>
      <c r="AL690" s="8"/>
      <c r="AN690" s="8">
        <f t="shared" si="199"/>
        <v>1</v>
      </c>
      <c r="AO690" s="8">
        <f t="shared" si="200"/>
        <v>3.6207691037870844</v>
      </c>
      <c r="AP690" s="8">
        <f t="shared" si="201"/>
        <v>1.0253446219480897</v>
      </c>
      <c r="AQ690" s="8"/>
      <c r="AR690" s="8">
        <f t="shared" si="202"/>
        <v>207.45478823836547</v>
      </c>
      <c r="AS690" s="8">
        <f t="shared" si="203"/>
        <v>31.252080615937501</v>
      </c>
    </row>
    <row r="691" spans="1:45">
      <c r="A691" s="19">
        <v>29.996633330000002</v>
      </c>
      <c r="B691" s="19">
        <v>751.58333330000005</v>
      </c>
      <c r="C691" s="19">
        <v>511.41666670000001</v>
      </c>
      <c r="E691" s="9">
        <f t="shared" si="189"/>
        <v>-208.41666669999995</v>
      </c>
      <c r="F691" s="9">
        <f t="shared" si="190"/>
        <v>28.583333299999993</v>
      </c>
      <c r="I691">
        <v>1</v>
      </c>
      <c r="J691">
        <f t="shared" si="191"/>
        <v>0.13462569794893844</v>
      </c>
      <c r="K691">
        <f t="shared" si="195"/>
        <v>3.0052977814526352</v>
      </c>
      <c r="O691">
        <f t="shared" si="196"/>
        <v>-0.13297468439338125</v>
      </c>
      <c r="P691">
        <f t="shared" si="197"/>
        <v>1.8236831941801333E-2</v>
      </c>
      <c r="Q691">
        <f t="shared" si="198"/>
        <v>0.99095163921919371</v>
      </c>
      <c r="R691">
        <f t="shared" si="188"/>
        <v>1</v>
      </c>
      <c r="AG691" s="8">
        <f t="shared" si="192"/>
        <v>-0.75865500496892602</v>
      </c>
      <c r="AH691" s="8">
        <f t="shared" si="193"/>
        <v>-0.39389208834927192</v>
      </c>
      <c r="AI691" s="8">
        <f t="shared" si="194"/>
        <v>0.51893314229431142</v>
      </c>
      <c r="AJ691" s="8"/>
      <c r="AK691" s="8"/>
      <c r="AL691" s="8"/>
      <c r="AN691" s="8">
        <f t="shared" si="199"/>
        <v>0.99999999999999978</v>
      </c>
      <c r="AO691" s="8">
        <f t="shared" si="200"/>
        <v>3.6204803654207485</v>
      </c>
      <c r="AP691" s="8">
        <f t="shared" si="201"/>
        <v>1.0251939066686053</v>
      </c>
      <c r="AQ691" s="8"/>
      <c r="AR691" s="8">
        <f t="shared" si="202"/>
        <v>207.43824474859093</v>
      </c>
      <c r="AS691" s="8">
        <f t="shared" si="203"/>
        <v>31.260715965360092</v>
      </c>
    </row>
    <row r="692" spans="1:45">
      <c r="A692" s="19">
        <v>30.03</v>
      </c>
      <c r="B692" s="19">
        <v>750.66083579999997</v>
      </c>
      <c r="C692" s="19">
        <v>511.41178239999999</v>
      </c>
      <c r="E692" s="9">
        <f t="shared" si="189"/>
        <v>-209.33916420000003</v>
      </c>
      <c r="F692" s="9">
        <f t="shared" si="190"/>
        <v>28.588217600000007</v>
      </c>
      <c r="I692">
        <v>1</v>
      </c>
      <c r="J692">
        <f t="shared" si="191"/>
        <v>0.13520914933871964</v>
      </c>
      <c r="K692">
        <f t="shared" si="195"/>
        <v>3.0058681265460674</v>
      </c>
      <c r="O692">
        <f t="shared" si="196"/>
        <v>-0.13355789636907808</v>
      </c>
      <c r="P692">
        <f t="shared" si="197"/>
        <v>1.8239215859052631E-2</v>
      </c>
      <c r="Q692">
        <f t="shared" si="198"/>
        <v>0.9908731600574886</v>
      </c>
      <c r="R692">
        <f t="shared" si="188"/>
        <v>1</v>
      </c>
      <c r="AG692" s="8">
        <f t="shared" si="192"/>
        <v>-0.75898154920264282</v>
      </c>
      <c r="AH692" s="8">
        <f t="shared" si="193"/>
        <v>-0.39341668268995039</v>
      </c>
      <c r="AI692" s="8">
        <f t="shared" si="194"/>
        <v>0.51881626974410822</v>
      </c>
      <c r="AJ692" s="8"/>
      <c r="AK692" s="8"/>
      <c r="AL692" s="8"/>
      <c r="AN692" s="8">
        <f t="shared" si="199"/>
        <v>1</v>
      </c>
      <c r="AO692" s="8">
        <f t="shared" si="200"/>
        <v>3.6198108076164277</v>
      </c>
      <c r="AP692" s="8">
        <f t="shared" si="201"/>
        <v>1.0253306236470885</v>
      </c>
      <c r="AQ692" s="8"/>
      <c r="AR692" s="8">
        <f t="shared" si="202"/>
        <v>207.39988191226328</v>
      </c>
      <c r="AS692" s="8">
        <f t="shared" si="203"/>
        <v>31.252882659505225</v>
      </c>
    </row>
    <row r="693" spans="1:45">
      <c r="A693" s="19">
        <v>30.063366670000001</v>
      </c>
      <c r="B693" s="19">
        <v>750.41271519999998</v>
      </c>
      <c r="C693" s="19">
        <v>511.38643139999999</v>
      </c>
      <c r="E693" s="9">
        <f t="shared" si="189"/>
        <v>-209.58728480000002</v>
      </c>
      <c r="F693" s="9">
        <f t="shared" si="190"/>
        <v>28.613568600000008</v>
      </c>
      <c r="I693">
        <v>1</v>
      </c>
      <c r="J693">
        <f t="shared" si="191"/>
        <v>0.1353681466346999</v>
      </c>
      <c r="K693">
        <f t="shared" si="195"/>
        <v>3.0059080964525022</v>
      </c>
      <c r="O693">
        <f t="shared" si="196"/>
        <v>-0.13371472173408275</v>
      </c>
      <c r="P693">
        <f t="shared" si="197"/>
        <v>1.8255188366122155E-2</v>
      </c>
      <c r="Q693">
        <f t="shared" si="198"/>
        <v>0.99085171508621517</v>
      </c>
      <c r="R693">
        <f t="shared" si="188"/>
        <v>1</v>
      </c>
      <c r="AG693" s="8">
        <f t="shared" si="192"/>
        <v>-0.75906414242911113</v>
      </c>
      <c r="AH693" s="8">
        <f t="shared" si="193"/>
        <v>-0.39328200977919248</v>
      </c>
      <c r="AI693" s="8">
        <f t="shared" si="194"/>
        <v>0.51879754091783947</v>
      </c>
      <c r="AJ693" s="8"/>
      <c r="AK693" s="8"/>
      <c r="AL693" s="8"/>
      <c r="AN693" s="8">
        <f t="shared" si="199"/>
        <v>1</v>
      </c>
      <c r="AO693" s="8">
        <f t="shared" si="200"/>
        <v>3.6196264883127225</v>
      </c>
      <c r="AP693" s="8">
        <f t="shared" si="201"/>
        <v>1.0253525314883967</v>
      </c>
      <c r="AQ693" s="8"/>
      <c r="AR693" s="8">
        <f t="shared" si="202"/>
        <v>207.38932119407821</v>
      </c>
      <c r="AS693" s="8">
        <f t="shared" si="203"/>
        <v>31.251627432660023</v>
      </c>
    </row>
    <row r="694" spans="1:45">
      <c r="A694" s="19">
        <v>30.096733329999999</v>
      </c>
      <c r="B694" s="19">
        <v>749.82953729999997</v>
      </c>
      <c r="C694" s="19">
        <v>511.30677079999998</v>
      </c>
      <c r="E694" s="9">
        <f t="shared" si="189"/>
        <v>-210.17046270000003</v>
      </c>
      <c r="F694" s="9">
        <f t="shared" si="190"/>
        <v>28.693229200000019</v>
      </c>
      <c r="I694">
        <v>1</v>
      </c>
      <c r="J694">
        <f t="shared" si="191"/>
        <v>0.13574356262778825</v>
      </c>
      <c r="K694">
        <f t="shared" si="195"/>
        <v>3.0059078948033533</v>
      </c>
      <c r="O694">
        <f t="shared" si="196"/>
        <v>-0.13408327129607267</v>
      </c>
      <c r="P694">
        <f t="shared" si="197"/>
        <v>1.8305531546912286E-2</v>
      </c>
      <c r="Q694">
        <f t="shared" si="198"/>
        <v>0.99080098096102465</v>
      </c>
      <c r="R694">
        <f t="shared" si="188"/>
        <v>1</v>
      </c>
      <c r="AG694" s="8">
        <f t="shared" si="192"/>
        <v>-0.75925385091929998</v>
      </c>
      <c r="AH694" s="8">
        <f t="shared" si="193"/>
        <v>-0.39295978310460711</v>
      </c>
      <c r="AI694" s="8">
        <f t="shared" si="194"/>
        <v>0.51876410701454045</v>
      </c>
      <c r="AJ694" s="8"/>
      <c r="AK694" s="8"/>
      <c r="AL694" s="8"/>
      <c r="AN694" s="8">
        <f t="shared" si="199"/>
        <v>1</v>
      </c>
      <c r="AO694" s="8">
        <f t="shared" si="200"/>
        <v>3.6191897468832241</v>
      </c>
      <c r="AP694" s="8">
        <f t="shared" si="201"/>
        <v>1.0253916397099569</v>
      </c>
      <c r="AQ694" s="8"/>
      <c r="AR694" s="8">
        <f t="shared" si="202"/>
        <v>207.36429775342944</v>
      </c>
      <c r="AS694" s="8">
        <f t="shared" si="203"/>
        <v>31.249386696620356</v>
      </c>
    </row>
    <row r="695" spans="1:45">
      <c r="A695" s="19">
        <v>30.130099999999999</v>
      </c>
      <c r="B695" s="19">
        <v>749.41465289999996</v>
      </c>
      <c r="C695" s="19">
        <v>511.32069580000001</v>
      </c>
      <c r="E695" s="9">
        <f t="shared" si="189"/>
        <v>-210.58534710000004</v>
      </c>
      <c r="F695" s="9">
        <f t="shared" si="190"/>
        <v>28.67930419999999</v>
      </c>
      <c r="I695">
        <v>1</v>
      </c>
      <c r="J695">
        <f t="shared" si="191"/>
        <v>0.13600454033352094</v>
      </c>
      <c r="K695">
        <f t="shared" si="195"/>
        <v>3.0062368750592956</v>
      </c>
      <c r="O695">
        <f t="shared" si="196"/>
        <v>-0.13434549349202379</v>
      </c>
      <c r="P695">
        <f t="shared" si="197"/>
        <v>1.8296312297204825E-2</v>
      </c>
      <c r="Q695">
        <f t="shared" si="198"/>
        <v>0.99076562987151895</v>
      </c>
      <c r="R695">
        <f t="shared" si="188"/>
        <v>1</v>
      </c>
      <c r="AG695" s="8">
        <f t="shared" si="192"/>
        <v>-0.75940396914414754</v>
      </c>
      <c r="AH695" s="8">
        <f t="shared" si="193"/>
        <v>-0.3927504723492905</v>
      </c>
      <c r="AI695" s="8">
        <f t="shared" si="194"/>
        <v>0.51870288038290657</v>
      </c>
      <c r="AJ695" s="8"/>
      <c r="AK695" s="8"/>
      <c r="AL695" s="8"/>
      <c r="AN695" s="8">
        <f t="shared" si="199"/>
        <v>1</v>
      </c>
      <c r="AO695" s="8">
        <f t="shared" si="200"/>
        <v>3.6188916133682492</v>
      </c>
      <c r="AP695" s="8">
        <f t="shared" si="201"/>
        <v>1.0254632551662339</v>
      </c>
      <c r="AQ695" s="8"/>
      <c r="AR695" s="8">
        <f t="shared" si="202"/>
        <v>207.34721596128998</v>
      </c>
      <c r="AS695" s="8">
        <f t="shared" si="203"/>
        <v>31.245283433227783</v>
      </c>
    </row>
    <row r="696" spans="1:45">
      <c r="A696" s="19">
        <v>30.163466669999998</v>
      </c>
      <c r="B696" s="19">
        <v>748.62156589999995</v>
      </c>
      <c r="C696" s="19">
        <v>511.19838879999998</v>
      </c>
      <c r="E696" s="9">
        <f t="shared" si="189"/>
        <v>-211.37843410000005</v>
      </c>
      <c r="F696" s="9">
        <f t="shared" si="190"/>
        <v>28.801611200000025</v>
      </c>
      <c r="I696">
        <v>1</v>
      </c>
      <c r="J696">
        <f t="shared" si="191"/>
        <v>0.13651621187107291</v>
      </c>
      <c r="K696">
        <f t="shared" si="195"/>
        <v>3.0061704672272818</v>
      </c>
      <c r="O696">
        <f t="shared" si="196"/>
        <v>-0.13484656575289403</v>
      </c>
      <c r="P696">
        <f t="shared" si="197"/>
        <v>1.8373673620047392E-2</v>
      </c>
      <c r="Q696">
        <f t="shared" si="198"/>
        <v>0.99069612486491254</v>
      </c>
      <c r="R696">
        <f t="shared" si="188"/>
        <v>1</v>
      </c>
      <c r="AG696" s="8">
        <f t="shared" si="192"/>
        <v>-0.75965863545402645</v>
      </c>
      <c r="AH696" s="8">
        <f t="shared" si="193"/>
        <v>-0.39230823763672007</v>
      </c>
      <c r="AI696" s="8">
        <f t="shared" si="194"/>
        <v>0.51866463563896237</v>
      </c>
      <c r="AJ696" s="8"/>
      <c r="AK696" s="8"/>
      <c r="AL696" s="8"/>
      <c r="AN696" s="8">
        <f t="shared" si="199"/>
        <v>1.0000000000000002</v>
      </c>
      <c r="AO696" s="8">
        <f t="shared" si="200"/>
        <v>3.6182953415245005</v>
      </c>
      <c r="AP696" s="8">
        <f t="shared" si="201"/>
        <v>1.0255079876306299</v>
      </c>
      <c r="AQ696" s="8"/>
      <c r="AR696" s="8">
        <f t="shared" si="202"/>
        <v>207.31305210120067</v>
      </c>
      <c r="AS696" s="8">
        <f t="shared" si="203"/>
        <v>31.242720451810676</v>
      </c>
    </row>
    <row r="697" spans="1:45">
      <c r="A697" s="19">
        <v>30.19683333</v>
      </c>
      <c r="B697" s="19">
        <v>748.25</v>
      </c>
      <c r="C697" s="19">
        <v>511.33333329999999</v>
      </c>
      <c r="E697" s="9">
        <f t="shared" si="189"/>
        <v>-211.75</v>
      </c>
      <c r="F697" s="9">
        <f t="shared" si="190"/>
        <v>28.666666700000007</v>
      </c>
      <c r="I697">
        <v>1</v>
      </c>
      <c r="J697">
        <f t="shared" si="191"/>
        <v>0.13673941438996881</v>
      </c>
      <c r="K697">
        <f t="shared" si="195"/>
        <v>3.0070309699919324</v>
      </c>
      <c r="O697">
        <f t="shared" si="196"/>
        <v>-0.13508145000544713</v>
      </c>
      <c r="P697">
        <f t="shared" si="197"/>
        <v>1.8287295889770357E-2</v>
      </c>
      <c r="Q697">
        <f t="shared" si="198"/>
        <v>0.99066572398234609</v>
      </c>
      <c r="R697">
        <f t="shared" si="188"/>
        <v>1</v>
      </c>
      <c r="AG697" s="8">
        <f t="shared" si="192"/>
        <v>-0.75981934534402751</v>
      </c>
      <c r="AH697" s="8">
        <f t="shared" si="193"/>
        <v>-0.39215534209223568</v>
      </c>
      <c r="AI697" s="8">
        <f t="shared" si="194"/>
        <v>0.51854483905395798</v>
      </c>
      <c r="AJ697" s="8"/>
      <c r="AK697" s="8"/>
      <c r="AL697" s="8"/>
      <c r="AN697" s="8">
        <f t="shared" si="199"/>
        <v>1</v>
      </c>
      <c r="AO697" s="8">
        <f t="shared" si="200"/>
        <v>3.6180502195056694</v>
      </c>
      <c r="AP697" s="8">
        <f t="shared" si="201"/>
        <v>1.0256480982837346</v>
      </c>
      <c r="AQ697" s="8"/>
      <c r="AR697" s="8">
        <f t="shared" si="202"/>
        <v>207.29900764405593</v>
      </c>
      <c r="AS697" s="8">
        <f t="shared" si="203"/>
        <v>31.234692702722953</v>
      </c>
    </row>
    <row r="698" spans="1:45">
      <c r="A698" s="19">
        <v>30.2302</v>
      </c>
      <c r="B698" s="19">
        <v>747.61052610000002</v>
      </c>
      <c r="C698" s="19">
        <v>510.91141770000002</v>
      </c>
      <c r="E698" s="9">
        <f t="shared" si="189"/>
        <v>-212.38947389999998</v>
      </c>
      <c r="F698" s="9">
        <f t="shared" si="190"/>
        <v>29.088582299999985</v>
      </c>
      <c r="I698">
        <v>1</v>
      </c>
      <c r="J698">
        <f t="shared" si="191"/>
        <v>0.13717973371954695</v>
      </c>
      <c r="K698">
        <f t="shared" si="195"/>
        <v>3.0054808040056806</v>
      </c>
      <c r="O698">
        <f t="shared" si="196"/>
        <v>-0.13548510106578035</v>
      </c>
      <c r="P698">
        <f t="shared" si="197"/>
        <v>1.855586079859755E-2</v>
      </c>
      <c r="Q698">
        <f t="shared" si="198"/>
        <v>0.99060560639399697</v>
      </c>
      <c r="R698">
        <f t="shared" si="188"/>
        <v>1</v>
      </c>
      <c r="AG698" s="8">
        <f t="shared" si="192"/>
        <v>-0.75995467725064425</v>
      </c>
      <c r="AH698" s="8">
        <f t="shared" si="193"/>
        <v>-0.39170736028384034</v>
      </c>
      <c r="AI698" s="8">
        <f t="shared" si="194"/>
        <v>0.51868509948169417</v>
      </c>
      <c r="AJ698" s="8"/>
      <c r="AK698" s="8"/>
      <c r="AL698" s="8"/>
      <c r="AN698" s="8">
        <f t="shared" si="199"/>
        <v>1.0000000000000002</v>
      </c>
      <c r="AO698" s="8">
        <f t="shared" si="200"/>
        <v>3.6175120038155799</v>
      </c>
      <c r="AP698" s="8">
        <f t="shared" si="201"/>
        <v>1.0254840525157052</v>
      </c>
      <c r="AQ698" s="8"/>
      <c r="AR698" s="8">
        <f t="shared" si="202"/>
        <v>207.26817015654609</v>
      </c>
      <c r="AS698" s="8">
        <f t="shared" si="203"/>
        <v>31.24409183287802</v>
      </c>
    </row>
    <row r="699" spans="1:45">
      <c r="A699" s="19">
        <v>30.263566669999999</v>
      </c>
      <c r="B699" s="19">
        <v>746.86832140000001</v>
      </c>
      <c r="C699" s="19">
        <v>510.656452</v>
      </c>
      <c r="E699" s="9">
        <f t="shared" si="189"/>
        <v>-213.13167859999999</v>
      </c>
      <c r="F699" s="9">
        <f t="shared" si="190"/>
        <v>29.343547999999998</v>
      </c>
      <c r="I699">
        <v>1</v>
      </c>
      <c r="J699">
        <f t="shared" si="191"/>
        <v>0.13767065676576132</v>
      </c>
      <c r="K699">
        <f t="shared" si="195"/>
        <v>3.004774776275235</v>
      </c>
      <c r="O699">
        <f t="shared" si="196"/>
        <v>-0.13595371655930191</v>
      </c>
      <c r="P699">
        <f t="shared" si="197"/>
        <v>1.8717838820776159E-2</v>
      </c>
      <c r="Q699">
        <f t="shared" si="198"/>
        <v>0.99053835335316143</v>
      </c>
      <c r="R699">
        <f t="shared" si="188"/>
        <v>1</v>
      </c>
      <c r="AG699" s="8">
        <f t="shared" si="192"/>
        <v>-0.76016219299898746</v>
      </c>
      <c r="AH699" s="8">
        <f t="shared" si="193"/>
        <v>-0.39125367749810591</v>
      </c>
      <c r="AI699" s="8">
        <f t="shared" si="194"/>
        <v>0.51872343322735892</v>
      </c>
      <c r="AJ699" s="8"/>
      <c r="AK699" s="8"/>
      <c r="AL699" s="8"/>
      <c r="AN699" s="8">
        <f t="shared" si="199"/>
        <v>1</v>
      </c>
      <c r="AO699" s="8">
        <f t="shared" si="200"/>
        <v>3.6169291100134604</v>
      </c>
      <c r="AP699" s="8">
        <f t="shared" si="201"/>
        <v>1.0254392152991034</v>
      </c>
      <c r="AQ699" s="8"/>
      <c r="AR699" s="8">
        <f t="shared" si="202"/>
        <v>207.23477280178031</v>
      </c>
      <c r="AS699" s="8">
        <f t="shared" si="203"/>
        <v>31.246660816154417</v>
      </c>
    </row>
    <row r="700" spans="1:45">
      <c r="A700" s="19">
        <v>30.296933330000002</v>
      </c>
      <c r="B700" s="19">
        <v>746.42981959999997</v>
      </c>
      <c r="C700" s="19">
        <v>510.59290220000003</v>
      </c>
      <c r="E700" s="9">
        <f t="shared" si="189"/>
        <v>-213.57018040000003</v>
      </c>
      <c r="F700" s="9">
        <f t="shared" si="190"/>
        <v>29.407097799999974</v>
      </c>
      <c r="I700">
        <v>1</v>
      </c>
      <c r="J700">
        <f t="shared" si="191"/>
        <v>0.13795312300625082</v>
      </c>
      <c r="K700">
        <f t="shared" si="195"/>
        <v>3.0047601739611731</v>
      </c>
      <c r="O700">
        <f t="shared" si="196"/>
        <v>-0.13623061621663307</v>
      </c>
      <c r="P700">
        <f t="shared" si="197"/>
        <v>1.8757988811610303E-2</v>
      </c>
      <c r="Q700">
        <f t="shared" si="198"/>
        <v>0.99049954924824668</v>
      </c>
      <c r="R700">
        <f t="shared" si="188"/>
        <v>1</v>
      </c>
      <c r="AG700" s="8">
        <f t="shared" si="192"/>
        <v>-0.7603035002544567</v>
      </c>
      <c r="AH700" s="8">
        <f t="shared" si="193"/>
        <v>-0.39101022330816487</v>
      </c>
      <c r="AI700" s="8">
        <f t="shared" si="194"/>
        <v>0.51869990627464002</v>
      </c>
      <c r="AJ700" s="8"/>
      <c r="AK700" s="8"/>
      <c r="AL700" s="8"/>
      <c r="AN700" s="8">
        <f t="shared" si="199"/>
        <v>1</v>
      </c>
      <c r="AO700" s="8">
        <f t="shared" si="200"/>
        <v>3.6166002837768709</v>
      </c>
      <c r="AP700" s="8">
        <f t="shared" si="201"/>
        <v>1.025466733836589</v>
      </c>
      <c r="AQ700" s="8"/>
      <c r="AR700" s="8">
        <f t="shared" si="202"/>
        <v>207.21593244623057</v>
      </c>
      <c r="AS700" s="8">
        <f t="shared" si="203"/>
        <v>31.24508412009812</v>
      </c>
    </row>
    <row r="701" spans="1:45">
      <c r="A701" s="19">
        <v>30.330300000000001</v>
      </c>
      <c r="B701" s="19">
        <v>745.78680039999995</v>
      </c>
      <c r="C701" s="19">
        <v>510.49748110000002</v>
      </c>
      <c r="E701" s="9">
        <f t="shared" si="189"/>
        <v>-214.21319960000005</v>
      </c>
      <c r="F701" s="9">
        <f t="shared" si="190"/>
        <v>29.502518899999984</v>
      </c>
      <c r="I701">
        <v>1</v>
      </c>
      <c r="J701">
        <f t="shared" si="191"/>
        <v>0.13836749511040639</v>
      </c>
      <c r="K701">
        <f t="shared" si="195"/>
        <v>3.0047286453604913</v>
      </c>
      <c r="O701">
        <f t="shared" si="196"/>
        <v>-0.13663661031982507</v>
      </c>
      <c r="P701">
        <f t="shared" si="197"/>
        <v>1.8818280973907694E-2</v>
      </c>
      <c r="Q701">
        <f t="shared" si="198"/>
        <v>0.99044248143014102</v>
      </c>
      <c r="R701">
        <f t="shared" si="188"/>
        <v>1</v>
      </c>
      <c r="AG701" s="8">
        <f t="shared" si="192"/>
        <v>-0.76051010630423055</v>
      </c>
      <c r="AH701" s="8">
        <f t="shared" si="193"/>
        <v>-0.39065256130990467</v>
      </c>
      <c r="AI701" s="8">
        <f t="shared" si="194"/>
        <v>0.51866651574122191</v>
      </c>
      <c r="AJ701" s="8"/>
      <c r="AK701" s="8"/>
      <c r="AL701" s="8"/>
      <c r="AN701" s="8">
        <f t="shared" si="199"/>
        <v>1</v>
      </c>
      <c r="AO701" s="8">
        <f t="shared" si="200"/>
        <v>3.6161177498045478</v>
      </c>
      <c r="AP701" s="8">
        <f t="shared" si="201"/>
        <v>1.0255057886219905</v>
      </c>
      <c r="AQ701" s="8"/>
      <c r="AR701" s="8">
        <f t="shared" si="202"/>
        <v>207.18828528614475</v>
      </c>
      <c r="AS701" s="8">
        <f t="shared" si="203"/>
        <v>31.24284644572483</v>
      </c>
    </row>
    <row r="702" spans="1:45">
      <c r="A702" s="19">
        <v>30.363666670000001</v>
      </c>
      <c r="B702" s="19">
        <v>745.20835999999997</v>
      </c>
      <c r="C702" s="19">
        <v>510.515807</v>
      </c>
      <c r="E702" s="9">
        <f t="shared" si="189"/>
        <v>-214.79164000000003</v>
      </c>
      <c r="F702" s="9">
        <f t="shared" si="190"/>
        <v>29.484193000000005</v>
      </c>
      <c r="I702">
        <v>1</v>
      </c>
      <c r="J702">
        <f t="shared" si="191"/>
        <v>0.13873117571518964</v>
      </c>
      <c r="K702">
        <f t="shared" si="195"/>
        <v>3.0051763975236225</v>
      </c>
      <c r="O702">
        <f t="shared" si="196"/>
        <v>-0.1370018718235943</v>
      </c>
      <c r="P702">
        <f t="shared" si="197"/>
        <v>1.8806084027330458E-2</v>
      </c>
      <c r="Q702">
        <f t="shared" si="198"/>
        <v>0.99039225477605008</v>
      </c>
      <c r="R702">
        <f t="shared" si="188"/>
        <v>1</v>
      </c>
      <c r="AG702" s="8">
        <f t="shared" si="192"/>
        <v>-0.76071833016338908</v>
      </c>
      <c r="AH702" s="8">
        <f t="shared" si="193"/>
        <v>-0.39036022462218722</v>
      </c>
      <c r="AI702" s="8">
        <f t="shared" si="194"/>
        <v>0.51858125417945899</v>
      </c>
      <c r="AJ702" s="8"/>
      <c r="AK702" s="8"/>
      <c r="AL702" s="8"/>
      <c r="AN702" s="8">
        <f t="shared" si="199"/>
        <v>1</v>
      </c>
      <c r="AO702" s="8">
        <f t="shared" si="200"/>
        <v>3.6157023516617546</v>
      </c>
      <c r="AP702" s="8">
        <f t="shared" si="201"/>
        <v>1.0256055094559828</v>
      </c>
      <c r="AQ702" s="8"/>
      <c r="AR702" s="8">
        <f t="shared" si="202"/>
        <v>207.16448472574513</v>
      </c>
      <c r="AS702" s="8">
        <f t="shared" si="203"/>
        <v>31.237132862807542</v>
      </c>
    </row>
    <row r="703" spans="1:45">
      <c r="A703" s="19">
        <v>30.397033329999999</v>
      </c>
      <c r="B703" s="19">
        <v>744.85297679999996</v>
      </c>
      <c r="C703" s="19">
        <v>510.47775000000001</v>
      </c>
      <c r="E703" s="9">
        <f t="shared" si="189"/>
        <v>-215.14702320000004</v>
      </c>
      <c r="F703" s="9">
        <f t="shared" si="190"/>
        <v>29.522249999999985</v>
      </c>
      <c r="I703">
        <v>1</v>
      </c>
      <c r="J703">
        <f t="shared" si="191"/>
        <v>0.13895888362323541</v>
      </c>
      <c r="K703">
        <f t="shared" si="195"/>
        <v>3.0052253302487717</v>
      </c>
      <c r="O703">
        <f t="shared" si="196"/>
        <v>-0.13722621484305736</v>
      </c>
      <c r="P703">
        <f t="shared" si="197"/>
        <v>1.8830037993992774E-2</v>
      </c>
      <c r="Q703">
        <f t="shared" si="198"/>
        <v>0.9903607401492609</v>
      </c>
      <c r="R703">
        <f t="shared" si="188"/>
        <v>1</v>
      </c>
      <c r="AG703" s="8">
        <f t="shared" si="192"/>
        <v>-0.76083555071689446</v>
      </c>
      <c r="AH703" s="8">
        <f t="shared" si="193"/>
        <v>-0.39016666797321981</v>
      </c>
      <c r="AI703" s="8">
        <f t="shared" si="194"/>
        <v>0.51855494980570316</v>
      </c>
      <c r="AJ703" s="8"/>
      <c r="AK703" s="8"/>
      <c r="AL703" s="8"/>
      <c r="AN703" s="8">
        <f t="shared" si="199"/>
        <v>1.0000000000000002</v>
      </c>
      <c r="AO703" s="8">
        <f t="shared" si="200"/>
        <v>3.6154383607795695</v>
      </c>
      <c r="AP703" s="8">
        <f t="shared" si="201"/>
        <v>1.025636273498248</v>
      </c>
      <c r="AQ703" s="8"/>
      <c r="AR703" s="8">
        <f t="shared" si="202"/>
        <v>207.14935916236598</v>
      </c>
      <c r="AS703" s="8">
        <f t="shared" si="203"/>
        <v>31.235370213024979</v>
      </c>
    </row>
    <row r="704" spans="1:45">
      <c r="A704" s="19">
        <v>30.430399999999999</v>
      </c>
      <c r="B704" s="19">
        <v>744.19364059999998</v>
      </c>
      <c r="C704" s="19">
        <v>510.28086430000002</v>
      </c>
      <c r="E704" s="9">
        <f t="shared" si="189"/>
        <v>-215.80635940000002</v>
      </c>
      <c r="F704" s="9">
        <f t="shared" si="190"/>
        <v>29.719135699999981</v>
      </c>
      <c r="I704">
        <v>1</v>
      </c>
      <c r="J704">
        <f t="shared" si="191"/>
        <v>0.13939227377171223</v>
      </c>
      <c r="K704">
        <f t="shared" si="195"/>
        <v>3.0047413838109298</v>
      </c>
      <c r="O704">
        <f t="shared" si="196"/>
        <v>-0.13764227279668326</v>
      </c>
      <c r="P704">
        <f t="shared" si="197"/>
        <v>1.8954999262644757E-2</v>
      </c>
      <c r="Q704">
        <f t="shared" si="198"/>
        <v>0.99030061735935349</v>
      </c>
      <c r="R704">
        <f t="shared" si="188"/>
        <v>1</v>
      </c>
      <c r="AG704" s="8">
        <f t="shared" si="192"/>
        <v>-0.76102563393055889</v>
      </c>
      <c r="AH704" s="8">
        <f t="shared" si="193"/>
        <v>-0.38977185251817087</v>
      </c>
      <c r="AI704" s="8">
        <f t="shared" si="194"/>
        <v>0.51857293362182366</v>
      </c>
      <c r="AJ704" s="8"/>
      <c r="AK704" s="8"/>
      <c r="AL704" s="8"/>
      <c r="AN704" s="8">
        <f t="shared" si="199"/>
        <v>1</v>
      </c>
      <c r="AO704" s="8">
        <f t="shared" si="200"/>
        <v>3.6149260393857001</v>
      </c>
      <c r="AP704" s="8">
        <f t="shared" si="201"/>
        <v>1.0256152407509289</v>
      </c>
      <c r="AQ704" s="8"/>
      <c r="AR704" s="8">
        <f t="shared" si="202"/>
        <v>207.12000530874303</v>
      </c>
      <c r="AS704" s="8">
        <f t="shared" si="203"/>
        <v>31.236575300677934</v>
      </c>
    </row>
    <row r="705" spans="1:45">
      <c r="A705" s="19">
        <v>30.463766669999998</v>
      </c>
      <c r="B705" s="19">
        <v>743.82270270000004</v>
      </c>
      <c r="C705" s="19">
        <v>509.93602779999998</v>
      </c>
      <c r="E705" s="9">
        <f t="shared" si="189"/>
        <v>-216.17729729999996</v>
      </c>
      <c r="F705" s="9">
        <f t="shared" si="190"/>
        <v>30.063972200000023</v>
      </c>
      <c r="I705">
        <v>1</v>
      </c>
      <c r="J705">
        <f t="shared" si="191"/>
        <v>0.13965656076197139</v>
      </c>
      <c r="K705">
        <f t="shared" si="195"/>
        <v>3.0034080637155838</v>
      </c>
      <c r="O705">
        <f t="shared" si="196"/>
        <v>-0.13787610130740677</v>
      </c>
      <c r="P705">
        <f t="shared" si="197"/>
        <v>1.9174554074463689E-2</v>
      </c>
      <c r="Q705">
        <f t="shared" si="198"/>
        <v>0.99026386239442021</v>
      </c>
      <c r="R705">
        <f t="shared" si="188"/>
        <v>1</v>
      </c>
      <c r="AG705" s="8">
        <f t="shared" si="192"/>
        <v>-0.76108192584039647</v>
      </c>
      <c r="AH705" s="8">
        <f t="shared" si="193"/>
        <v>-0.38948356006806006</v>
      </c>
      <c r="AI705" s="8">
        <f t="shared" si="194"/>
        <v>0.51870691010992254</v>
      </c>
      <c r="AJ705" s="8"/>
      <c r="AK705" s="8"/>
      <c r="AL705" s="8"/>
      <c r="AN705" s="8">
        <f t="shared" si="199"/>
        <v>1.0000000000000002</v>
      </c>
      <c r="AO705" s="8">
        <f t="shared" si="200"/>
        <v>3.6145958960432241</v>
      </c>
      <c r="AP705" s="8">
        <f t="shared" si="201"/>
        <v>1.0254585417780553</v>
      </c>
      <c r="AQ705" s="8"/>
      <c r="AR705" s="8">
        <f t="shared" si="202"/>
        <v>207.10108948858479</v>
      </c>
      <c r="AS705" s="8">
        <f t="shared" si="203"/>
        <v>31.245553490477626</v>
      </c>
    </row>
    <row r="706" spans="1:45">
      <c r="A706" s="19">
        <v>30.49713333</v>
      </c>
      <c r="B706" s="19">
        <v>743.59580779999999</v>
      </c>
      <c r="C706" s="19">
        <v>509.68684350000001</v>
      </c>
      <c r="E706" s="9">
        <f t="shared" si="189"/>
        <v>-216.40419220000001</v>
      </c>
      <c r="F706" s="9">
        <f t="shared" si="190"/>
        <v>30.313156499999991</v>
      </c>
      <c r="I706">
        <v>1</v>
      </c>
      <c r="J706">
        <f t="shared" si="191"/>
        <v>0.13982171325226003</v>
      </c>
      <c r="K706">
        <f t="shared" si="195"/>
        <v>3.0024216169815148</v>
      </c>
      <c r="O706">
        <f t="shared" si="196"/>
        <v>-0.13801908095645252</v>
      </c>
      <c r="P706">
        <f t="shared" si="197"/>
        <v>1.93332391507114E-2</v>
      </c>
      <c r="Q706">
        <f t="shared" si="198"/>
        <v>0.99024085916300064</v>
      </c>
      <c r="R706">
        <f t="shared" si="188"/>
        <v>1</v>
      </c>
      <c r="AG706" s="8">
        <f t="shared" si="192"/>
        <v>-0.76110804804530274</v>
      </c>
      <c r="AH706" s="8">
        <f t="shared" si="193"/>
        <v>-0.38929639019273876</v>
      </c>
      <c r="AI706" s="8">
        <f t="shared" si="194"/>
        <v>0.51880907835500745</v>
      </c>
      <c r="AJ706" s="8"/>
      <c r="AK706" s="8"/>
      <c r="AL706" s="8"/>
      <c r="AN706" s="8">
        <f t="shared" si="199"/>
        <v>1.0000000000000002</v>
      </c>
      <c r="AO706" s="8">
        <f t="shared" si="200"/>
        <v>3.6143870742634232</v>
      </c>
      <c r="AP706" s="8">
        <f t="shared" si="201"/>
        <v>1.0253390357309065</v>
      </c>
      <c r="AQ706" s="8"/>
      <c r="AR706" s="8">
        <f t="shared" si="202"/>
        <v>207.08912488193181</v>
      </c>
      <c r="AS706" s="8">
        <f t="shared" si="203"/>
        <v>31.252400682605547</v>
      </c>
    </row>
    <row r="707" spans="1:45">
      <c r="A707" s="19">
        <v>30.5305</v>
      </c>
      <c r="B707" s="19">
        <v>742.57605869999998</v>
      </c>
      <c r="C707" s="19">
        <v>509.57321059999998</v>
      </c>
      <c r="E707" s="9">
        <f t="shared" si="189"/>
        <v>-217.42394130000002</v>
      </c>
      <c r="F707" s="9">
        <f t="shared" si="190"/>
        <v>30.426789400000018</v>
      </c>
      <c r="I707">
        <v>1</v>
      </c>
      <c r="J707">
        <f t="shared" si="191"/>
        <v>0.14047525876100087</v>
      </c>
      <c r="K707">
        <f t="shared" si="195"/>
        <v>3.0025533801552613</v>
      </c>
      <c r="O707">
        <f t="shared" si="196"/>
        <v>-0.13866251968808935</v>
      </c>
      <c r="P707">
        <f t="shared" si="197"/>
        <v>1.9404741074035763E-2</v>
      </c>
      <c r="Q707">
        <f t="shared" si="198"/>
        <v>0.9901495652968797</v>
      </c>
      <c r="R707">
        <f t="shared" si="188"/>
        <v>1</v>
      </c>
      <c r="AG707" s="8">
        <f t="shared" si="192"/>
        <v>-0.76144271907678418</v>
      </c>
      <c r="AH707" s="8">
        <f t="shared" si="193"/>
        <v>-0.38873957479879473</v>
      </c>
      <c r="AI707" s="8">
        <f t="shared" si="194"/>
        <v>0.51873550924358924</v>
      </c>
      <c r="AJ707" s="8"/>
      <c r="AK707" s="8"/>
      <c r="AL707" s="8"/>
      <c r="AN707" s="8">
        <f t="shared" si="199"/>
        <v>1</v>
      </c>
      <c r="AO707" s="8">
        <f t="shared" si="200"/>
        <v>3.613628965525213</v>
      </c>
      <c r="AP707" s="8">
        <f t="shared" si="201"/>
        <v>1.0254250902865061</v>
      </c>
      <c r="AQ707" s="8"/>
      <c r="AR707" s="8">
        <f t="shared" si="202"/>
        <v>207.04568845082036</v>
      </c>
      <c r="AS707" s="8">
        <f t="shared" si="203"/>
        <v>31.247470119761815</v>
      </c>
    </row>
    <row r="708" spans="1:45">
      <c r="A708" s="19">
        <v>30.563866669999999</v>
      </c>
      <c r="B708" s="19">
        <v>742.43515669999999</v>
      </c>
      <c r="C708" s="19">
        <v>509.5516169</v>
      </c>
      <c r="E708" s="9">
        <f t="shared" si="189"/>
        <v>-217.56484330000001</v>
      </c>
      <c r="F708" s="9">
        <f t="shared" si="190"/>
        <v>30.448383100000001</v>
      </c>
      <c r="I708">
        <v>1</v>
      </c>
      <c r="J708">
        <f t="shared" si="191"/>
        <v>0.14056607442566676</v>
      </c>
      <c r="K708">
        <f t="shared" si="195"/>
        <v>3.0025449250495528</v>
      </c>
      <c r="O708">
        <f t="shared" si="196"/>
        <v>-0.13875140825326646</v>
      </c>
      <c r="P708">
        <f t="shared" si="197"/>
        <v>1.9418376471489206E-2</v>
      </c>
      <c r="Q708">
        <f t="shared" si="198"/>
        <v>0.99013684577584871</v>
      </c>
      <c r="R708">
        <f t="shared" si="188"/>
        <v>1</v>
      </c>
      <c r="AG708" s="8">
        <f t="shared" si="192"/>
        <v>-0.76148765828474096</v>
      </c>
      <c r="AH708" s="8">
        <f t="shared" si="193"/>
        <v>-0.38866096525016214</v>
      </c>
      <c r="AI708" s="8">
        <f t="shared" si="194"/>
        <v>0.51872844569276677</v>
      </c>
      <c r="AJ708" s="8"/>
      <c r="AK708" s="8"/>
      <c r="AL708" s="8"/>
      <c r="AN708" s="8">
        <f t="shared" si="199"/>
        <v>0.99999999999999978</v>
      </c>
      <c r="AO708" s="8">
        <f t="shared" si="200"/>
        <v>3.6135231719770329</v>
      </c>
      <c r="AP708" s="8">
        <f t="shared" si="201"/>
        <v>1.0254333523590229</v>
      </c>
      <c r="AQ708" s="8"/>
      <c r="AR708" s="8">
        <f t="shared" si="202"/>
        <v>207.03962692700992</v>
      </c>
      <c r="AS708" s="8">
        <f t="shared" si="203"/>
        <v>31.246996737876572</v>
      </c>
    </row>
    <row r="709" spans="1:45">
      <c r="A709" s="19">
        <v>30.597233330000002</v>
      </c>
      <c r="B709" s="19">
        <v>741.74218540000004</v>
      </c>
      <c r="C709" s="19">
        <v>509.51399889999999</v>
      </c>
      <c r="E709" s="9">
        <f t="shared" si="189"/>
        <v>-218.25781459999996</v>
      </c>
      <c r="F709" s="9">
        <f t="shared" si="190"/>
        <v>30.48600110000001</v>
      </c>
      <c r="I709">
        <v>1</v>
      </c>
      <c r="J709">
        <f t="shared" si="191"/>
        <v>0.14100663869637536</v>
      </c>
      <c r="K709">
        <f t="shared" si="195"/>
        <v>3.0028116999627703</v>
      </c>
      <c r="O709">
        <f t="shared" si="196"/>
        <v>-0.13918859500526987</v>
      </c>
      <c r="P709">
        <f t="shared" si="197"/>
        <v>1.9441703236215413E-2</v>
      </c>
      <c r="Q709">
        <f t="shared" si="198"/>
        <v>0.99007502503382738</v>
      </c>
      <c r="R709">
        <f t="shared" si="188"/>
        <v>1</v>
      </c>
      <c r="AG709" s="8">
        <f t="shared" si="192"/>
        <v>-0.76172339907669839</v>
      </c>
      <c r="AH709" s="8">
        <f t="shared" si="193"/>
        <v>-0.38829371793136064</v>
      </c>
      <c r="AI709" s="8">
        <f t="shared" si="194"/>
        <v>0.51865735501782084</v>
      </c>
      <c r="AJ709" s="8"/>
      <c r="AK709" s="8"/>
      <c r="AL709" s="8"/>
      <c r="AN709" s="8">
        <f t="shared" si="199"/>
        <v>1</v>
      </c>
      <c r="AO709" s="8">
        <f t="shared" si="200"/>
        <v>3.6130152389266357</v>
      </c>
      <c r="AP709" s="8">
        <f t="shared" si="201"/>
        <v>1.025516503176354</v>
      </c>
      <c r="AQ709" s="8"/>
      <c r="AR709" s="8">
        <f t="shared" si="202"/>
        <v>207.01052450694698</v>
      </c>
      <c r="AS709" s="8">
        <f t="shared" si="203"/>
        <v>31.242232546980432</v>
      </c>
    </row>
    <row r="710" spans="1:45">
      <c r="A710" s="19">
        <v>30.630600000000001</v>
      </c>
      <c r="B710" s="19">
        <v>741.2849549</v>
      </c>
      <c r="C710" s="19">
        <v>509.4087194</v>
      </c>
      <c r="E710" s="9">
        <f t="shared" si="189"/>
        <v>-218.7150451</v>
      </c>
      <c r="F710" s="9">
        <f t="shared" si="190"/>
        <v>30.591280600000005</v>
      </c>
      <c r="I710">
        <v>1</v>
      </c>
      <c r="J710">
        <f t="shared" si="191"/>
        <v>0.14130440091352531</v>
      </c>
      <c r="K710">
        <f t="shared" si="195"/>
        <v>3.0026259766596031</v>
      </c>
      <c r="O710">
        <f t="shared" si="196"/>
        <v>-0.13947694054858004</v>
      </c>
      <c r="P710">
        <f t="shared" si="197"/>
        <v>1.9508389208434597E-2</v>
      </c>
      <c r="Q710">
        <f t="shared" si="198"/>
        <v>0.99003313369083767</v>
      </c>
      <c r="R710">
        <f t="shared" si="188"/>
        <v>1</v>
      </c>
      <c r="AG710" s="8">
        <f t="shared" si="192"/>
        <v>-0.76186145187668786</v>
      </c>
      <c r="AH710" s="8">
        <f t="shared" si="193"/>
        <v>-0.38802863821031464</v>
      </c>
      <c r="AI710" s="8">
        <f t="shared" si="194"/>
        <v>0.51865297075500683</v>
      </c>
      <c r="AJ710" s="8"/>
      <c r="AK710" s="8"/>
      <c r="AL710" s="8"/>
      <c r="AN710" s="8">
        <f t="shared" si="199"/>
        <v>1</v>
      </c>
      <c r="AO710" s="8">
        <f t="shared" si="200"/>
        <v>3.6126656854694486</v>
      </c>
      <c r="AP710" s="8">
        <f t="shared" si="201"/>
        <v>1.0255216310679496</v>
      </c>
      <c r="AQ710" s="8"/>
      <c r="AR710" s="8">
        <f t="shared" si="202"/>
        <v>206.99049656913593</v>
      </c>
      <c r="AS710" s="8">
        <f t="shared" si="203"/>
        <v>31.241938740434207</v>
      </c>
    </row>
    <row r="711" spans="1:45">
      <c r="A711" s="19">
        <v>30.663966670000001</v>
      </c>
      <c r="B711" s="19">
        <v>740.66762500000004</v>
      </c>
      <c r="C711" s="19">
        <v>509.39744780000001</v>
      </c>
      <c r="E711" s="9">
        <f t="shared" si="189"/>
        <v>-219.33237499999996</v>
      </c>
      <c r="F711" s="9">
        <f t="shared" si="190"/>
        <v>30.602552199999991</v>
      </c>
      <c r="I711">
        <v>1</v>
      </c>
      <c r="J711">
        <f t="shared" si="191"/>
        <v>0.14169485746109042</v>
      </c>
      <c r="K711">
        <f t="shared" si="195"/>
        <v>3.0029617054534015</v>
      </c>
      <c r="O711">
        <f t="shared" si="196"/>
        <v>-0.13986632783166397</v>
      </c>
      <c r="P711">
        <f t="shared" si="197"/>
        <v>1.9514978573002779E-2</v>
      </c>
      <c r="Q711">
        <f t="shared" si="198"/>
        <v>0.98997806841878111</v>
      </c>
      <c r="R711">
        <f t="shared" si="188"/>
        <v>1</v>
      </c>
      <c r="AG711" s="8">
        <f t="shared" si="192"/>
        <v>-0.76207602430588539</v>
      </c>
      <c r="AH711" s="8">
        <f t="shared" si="193"/>
        <v>-0.38770770803183108</v>
      </c>
      <c r="AI711" s="8">
        <f t="shared" si="194"/>
        <v>0.51857773410631514</v>
      </c>
      <c r="AJ711" s="8"/>
      <c r="AK711" s="8"/>
      <c r="AL711" s="8"/>
      <c r="AN711" s="8">
        <f t="shared" si="199"/>
        <v>1</v>
      </c>
      <c r="AO711" s="8">
        <f t="shared" si="200"/>
        <v>3.6122173304739453</v>
      </c>
      <c r="AP711" s="8">
        <f t="shared" si="201"/>
        <v>1.0256096263589378</v>
      </c>
      <c r="AQ711" s="8"/>
      <c r="AR711" s="8">
        <f t="shared" si="202"/>
        <v>206.96480772017</v>
      </c>
      <c r="AS711" s="8">
        <f t="shared" si="203"/>
        <v>31.236896981643554</v>
      </c>
    </row>
    <row r="712" spans="1:45">
      <c r="A712" s="19">
        <v>30.697333329999999</v>
      </c>
      <c r="B712" s="19">
        <v>740.31123579999996</v>
      </c>
      <c r="C712" s="19">
        <v>509.40396240000001</v>
      </c>
      <c r="E712" s="9">
        <f t="shared" si="189"/>
        <v>-219.68876420000004</v>
      </c>
      <c r="F712" s="9">
        <f t="shared" si="190"/>
        <v>30.596037599999988</v>
      </c>
      <c r="I712">
        <v>1</v>
      </c>
      <c r="J712">
        <f t="shared" si="191"/>
        <v>0.1419191184761342</v>
      </c>
      <c r="K712">
        <f t="shared" si="195"/>
        <v>3.0032128248833514</v>
      </c>
      <c r="O712">
        <f t="shared" si="196"/>
        <v>-0.14009111170352367</v>
      </c>
      <c r="P712">
        <f t="shared" si="197"/>
        <v>1.9510478547754586E-2</v>
      </c>
      <c r="Q712">
        <f t="shared" si="198"/>
        <v>0.98994637311750799</v>
      </c>
      <c r="R712">
        <f t="shared" si="188"/>
        <v>1</v>
      </c>
      <c r="AG712" s="8">
        <f t="shared" si="192"/>
        <v>-0.76220265261981957</v>
      </c>
      <c r="AH712" s="8">
        <f t="shared" si="193"/>
        <v>-0.38752609882127304</v>
      </c>
      <c r="AI712" s="8">
        <f t="shared" si="194"/>
        <v>0.51852737543130323</v>
      </c>
      <c r="AJ712" s="8"/>
      <c r="AK712" s="8"/>
      <c r="AL712" s="8"/>
      <c r="AN712" s="8">
        <f t="shared" si="199"/>
        <v>1</v>
      </c>
      <c r="AO712" s="8">
        <f t="shared" si="200"/>
        <v>3.6119608758604667</v>
      </c>
      <c r="AP712" s="8">
        <f t="shared" si="201"/>
        <v>1.0256685222420732</v>
      </c>
      <c r="AQ712" s="8"/>
      <c r="AR712" s="8">
        <f t="shared" si="202"/>
        <v>206.95011395318102</v>
      </c>
      <c r="AS712" s="8">
        <f t="shared" si="203"/>
        <v>31.233522496109202</v>
      </c>
    </row>
    <row r="713" spans="1:45">
      <c r="A713" s="19">
        <v>30.730699999999999</v>
      </c>
      <c r="B713" s="19">
        <v>739.69377759999998</v>
      </c>
      <c r="C713" s="19">
        <v>509.24766440000002</v>
      </c>
      <c r="E713" s="9">
        <f t="shared" si="189"/>
        <v>-220.30622240000002</v>
      </c>
      <c r="F713" s="9">
        <f t="shared" si="190"/>
        <v>30.752335599999981</v>
      </c>
      <c r="I713">
        <v>1</v>
      </c>
      <c r="J713">
        <f t="shared" si="191"/>
        <v>0.1423223703456741</v>
      </c>
      <c r="K713">
        <f t="shared" si="195"/>
        <v>3.0028997881354025</v>
      </c>
      <c r="O713">
        <f t="shared" si="196"/>
        <v>-0.14048035039273182</v>
      </c>
      <c r="P713">
        <f t="shared" si="197"/>
        <v>1.9609518212513645E-2</v>
      </c>
      <c r="Q713">
        <f t="shared" si="198"/>
        <v>0.98988925539628336</v>
      </c>
      <c r="R713">
        <f t="shared" si="188"/>
        <v>1</v>
      </c>
      <c r="AG713" s="8">
        <f t="shared" si="192"/>
        <v>-0.76238569165886771</v>
      </c>
      <c r="AH713" s="8">
        <f t="shared" si="193"/>
        <v>-0.38716405889368699</v>
      </c>
      <c r="AI713" s="8">
        <f t="shared" si="194"/>
        <v>0.51852873464717031</v>
      </c>
      <c r="AJ713" s="8"/>
      <c r="AK713" s="8"/>
      <c r="AL713" s="8"/>
      <c r="AN713" s="8">
        <f t="shared" si="199"/>
        <v>1</v>
      </c>
      <c r="AO713" s="8">
        <f t="shared" si="200"/>
        <v>3.6114864310305492</v>
      </c>
      <c r="AP713" s="8">
        <f t="shared" si="201"/>
        <v>1.0256669326286088</v>
      </c>
      <c r="AQ713" s="8"/>
      <c r="AR713" s="8">
        <f t="shared" si="202"/>
        <v>206.92293026681494</v>
      </c>
      <c r="AS713" s="8">
        <f t="shared" si="203"/>
        <v>31.23361357425177</v>
      </c>
    </row>
    <row r="714" spans="1:45">
      <c r="A714" s="19">
        <v>30.764066669999998</v>
      </c>
      <c r="B714" s="19">
        <v>739.18503980000003</v>
      </c>
      <c r="C714" s="19">
        <v>509.0301905</v>
      </c>
      <c r="E714" s="9">
        <f t="shared" si="189"/>
        <v>-220.81496019999997</v>
      </c>
      <c r="F714" s="9">
        <f t="shared" si="190"/>
        <v>30.969809499999997</v>
      </c>
      <c r="I714">
        <v>1</v>
      </c>
      <c r="J714">
        <f t="shared" si="191"/>
        <v>0.14266243630294081</v>
      </c>
      <c r="K714">
        <f t="shared" si="195"/>
        <v>3.002249255348469</v>
      </c>
      <c r="O714">
        <f t="shared" si="196"/>
        <v>-0.14080092074790115</v>
      </c>
      <c r="P714">
        <f t="shared" si="197"/>
        <v>1.9747655181684989E-2</v>
      </c>
      <c r="Q714">
        <f t="shared" si="198"/>
        <v>0.98984096239313546</v>
      </c>
      <c r="R714">
        <f t="shared" si="188"/>
        <v>1</v>
      </c>
      <c r="AG714" s="8">
        <f t="shared" si="192"/>
        <v>-0.76251720663953082</v>
      </c>
      <c r="AH714" s="8">
        <f t="shared" si="193"/>
        <v>-0.38684066853424454</v>
      </c>
      <c r="AI714" s="8">
        <f t="shared" si="194"/>
        <v>0.51857671249934278</v>
      </c>
      <c r="AJ714" s="8"/>
      <c r="AK714" s="8"/>
      <c r="AL714" s="8"/>
      <c r="AN714" s="8">
        <f t="shared" si="199"/>
        <v>1.0000000000000002</v>
      </c>
      <c r="AO714" s="8">
        <f t="shared" si="200"/>
        <v>3.6110795580789388</v>
      </c>
      <c r="AP714" s="8">
        <f t="shared" si="201"/>
        <v>1.0256108211778567</v>
      </c>
      <c r="AQ714" s="8"/>
      <c r="AR714" s="8">
        <f t="shared" si="202"/>
        <v>206.89961816388964</v>
      </c>
      <c r="AS714" s="8">
        <f t="shared" si="203"/>
        <v>31.236828523562217</v>
      </c>
    </row>
    <row r="715" spans="1:45">
      <c r="A715" s="19">
        <v>30.79743333</v>
      </c>
      <c r="B715" s="19">
        <v>738.70194219999996</v>
      </c>
      <c r="C715" s="19">
        <v>509.23299709999998</v>
      </c>
      <c r="E715" s="9">
        <f t="shared" si="189"/>
        <v>-221.29805780000004</v>
      </c>
      <c r="F715" s="9">
        <f t="shared" si="190"/>
        <v>30.767002900000023</v>
      </c>
      <c r="I715">
        <v>1</v>
      </c>
      <c r="J715">
        <f t="shared" si="191"/>
        <v>0.14294926667815974</v>
      </c>
      <c r="K715">
        <f t="shared" si="195"/>
        <v>3.0034484849411678</v>
      </c>
      <c r="O715">
        <f t="shared" si="196"/>
        <v>-0.14110570732761155</v>
      </c>
      <c r="P715">
        <f t="shared" si="197"/>
        <v>1.9617884357931242E-2</v>
      </c>
      <c r="Q715">
        <f t="shared" si="198"/>
        <v>0.98980014041870756</v>
      </c>
      <c r="R715">
        <f t="shared" si="188"/>
        <v>1</v>
      </c>
      <c r="AG715" s="8">
        <f t="shared" si="192"/>
        <v>-0.76273055044424742</v>
      </c>
      <c r="AH715" s="8">
        <f t="shared" si="193"/>
        <v>-0.38664926382689124</v>
      </c>
      <c r="AI715" s="8">
        <f t="shared" si="194"/>
        <v>0.51840568496221051</v>
      </c>
      <c r="AJ715" s="8"/>
      <c r="AK715" s="8"/>
      <c r="AL715" s="8"/>
      <c r="AN715" s="8">
        <f t="shared" si="199"/>
        <v>1.0000000000000002</v>
      </c>
      <c r="AO715" s="8">
        <f t="shared" si="200"/>
        <v>3.6107670720271847</v>
      </c>
      <c r="AP715" s="8">
        <f t="shared" si="201"/>
        <v>1.0258108339774974</v>
      </c>
      <c r="AQ715" s="8"/>
      <c r="AR715" s="8">
        <f t="shared" si="202"/>
        <v>206.88171403196742</v>
      </c>
      <c r="AS715" s="8">
        <f t="shared" si="203"/>
        <v>31.225368634294213</v>
      </c>
    </row>
    <row r="716" spans="1:45">
      <c r="A716" s="19">
        <v>30.8308</v>
      </c>
      <c r="B716" s="19">
        <v>738.5399774</v>
      </c>
      <c r="C716" s="19">
        <v>508.95285580000001</v>
      </c>
      <c r="E716" s="9">
        <f t="shared" si="189"/>
        <v>-221.4600226</v>
      </c>
      <c r="F716" s="9">
        <f t="shared" si="190"/>
        <v>31.047144199999991</v>
      </c>
      <c r="I716">
        <v>1</v>
      </c>
      <c r="J716">
        <f t="shared" si="191"/>
        <v>0.14307608071980535</v>
      </c>
      <c r="K716">
        <f t="shared" si="195"/>
        <v>3.0023074305226123</v>
      </c>
      <c r="O716">
        <f t="shared" si="196"/>
        <v>-0.14120753421447377</v>
      </c>
      <c r="P716">
        <f t="shared" si="197"/>
        <v>1.9796307366958612E-2</v>
      </c>
      <c r="Q716">
        <f t="shared" si="198"/>
        <v>0.98978206616189057</v>
      </c>
      <c r="R716">
        <f t="shared" si="188"/>
        <v>1</v>
      </c>
      <c r="AG716" s="8">
        <f t="shared" si="192"/>
        <v>-0.76272674811219998</v>
      </c>
      <c r="AH716" s="8">
        <f t="shared" si="193"/>
        <v>-0.38648667986734198</v>
      </c>
      <c r="AI716" s="8">
        <f t="shared" si="194"/>
        <v>0.51853250042722254</v>
      </c>
      <c r="AJ716" s="8"/>
      <c r="AK716" s="8"/>
      <c r="AL716" s="8"/>
      <c r="AN716" s="8">
        <f t="shared" si="199"/>
        <v>1.0000000000000002</v>
      </c>
      <c r="AO716" s="8">
        <f t="shared" si="200"/>
        <v>3.6105994854637102</v>
      </c>
      <c r="AP716" s="8">
        <f t="shared" si="201"/>
        <v>1.025662528511722</v>
      </c>
      <c r="AQ716" s="8"/>
      <c r="AR716" s="8">
        <f t="shared" si="202"/>
        <v>206.87211202917723</v>
      </c>
      <c r="AS716" s="8">
        <f t="shared" si="203"/>
        <v>31.233865911561864</v>
      </c>
    </row>
    <row r="717" spans="1:45">
      <c r="A717" s="19">
        <v>30.864166669999999</v>
      </c>
      <c r="B717" s="19">
        <v>737.69528309999998</v>
      </c>
      <c r="C717" s="19">
        <v>509.00376549999999</v>
      </c>
      <c r="E717" s="9">
        <f t="shared" si="189"/>
        <v>-222.30471690000002</v>
      </c>
      <c r="F717" s="9">
        <f t="shared" si="190"/>
        <v>30.996234500000014</v>
      </c>
      <c r="I717">
        <v>1</v>
      </c>
      <c r="J717">
        <f t="shared" si="191"/>
        <v>0.14360426835404447</v>
      </c>
      <c r="K717">
        <f t="shared" si="195"/>
        <v>3.0030545285381263</v>
      </c>
      <c r="O717">
        <f t="shared" si="196"/>
        <v>-0.14174004661937084</v>
      </c>
      <c r="P717">
        <f t="shared" si="197"/>
        <v>1.9762998213984192E-2</v>
      </c>
      <c r="Q717">
        <f t="shared" si="198"/>
        <v>0.98970661465200516</v>
      </c>
      <c r="R717">
        <f t="shared" si="188"/>
        <v>1</v>
      </c>
      <c r="AG717" s="8">
        <f t="shared" si="192"/>
        <v>-0.76303383778418321</v>
      </c>
      <c r="AH717" s="8">
        <f t="shared" si="193"/>
        <v>-0.38606610748135167</v>
      </c>
      <c r="AI717" s="8">
        <f t="shared" si="194"/>
        <v>0.51839398438884143</v>
      </c>
      <c r="AJ717" s="8"/>
      <c r="AK717" s="8"/>
      <c r="AL717" s="8"/>
      <c r="AN717" s="8">
        <f t="shared" si="199"/>
        <v>1</v>
      </c>
      <c r="AO717" s="8">
        <f t="shared" si="200"/>
        <v>3.6099984592164471</v>
      </c>
      <c r="AP717" s="8">
        <f t="shared" si="201"/>
        <v>1.0258245166444706</v>
      </c>
      <c r="AQ717" s="8"/>
      <c r="AR717" s="8">
        <f t="shared" si="202"/>
        <v>206.83767576183246</v>
      </c>
      <c r="AS717" s="8">
        <f t="shared" si="203"/>
        <v>31.224584675224165</v>
      </c>
    </row>
    <row r="718" spans="1:45">
      <c r="A718" s="19">
        <v>30.897533330000002</v>
      </c>
      <c r="B718" s="19">
        <v>737.3227402</v>
      </c>
      <c r="C718" s="19">
        <v>509.14934340000002</v>
      </c>
      <c r="E718" s="9">
        <f t="shared" si="189"/>
        <v>-222.6772598</v>
      </c>
      <c r="F718" s="9">
        <f t="shared" si="190"/>
        <v>30.850656599999979</v>
      </c>
      <c r="I718">
        <v>1</v>
      </c>
      <c r="J718">
        <f t="shared" si="191"/>
        <v>0.14382644584886561</v>
      </c>
      <c r="K718">
        <f t="shared" si="195"/>
        <v>3.0039247507047548</v>
      </c>
      <c r="O718">
        <f t="shared" si="196"/>
        <v>-0.14197499773964656</v>
      </c>
      <c r="P718">
        <f t="shared" si="197"/>
        <v>1.9669821269516177E-2</v>
      </c>
      <c r="Q718">
        <f t="shared" si="198"/>
        <v>0.98967479413595894</v>
      </c>
      <c r="R718">
        <f t="shared" si="188"/>
        <v>1</v>
      </c>
      <c r="AG718" s="8">
        <f t="shared" si="192"/>
        <v>-0.7631958292061124</v>
      </c>
      <c r="AH718" s="8">
        <f t="shared" si="193"/>
        <v>-0.38591539970288519</v>
      </c>
      <c r="AI718" s="8">
        <f t="shared" si="194"/>
        <v>0.51826772092670115</v>
      </c>
      <c r="AJ718" s="8"/>
      <c r="AK718" s="8"/>
      <c r="AL718" s="8"/>
      <c r="AN718" s="8">
        <f t="shared" si="199"/>
        <v>1</v>
      </c>
      <c r="AO718" s="8">
        <f t="shared" si="200"/>
        <v>3.6097557045412927</v>
      </c>
      <c r="AP718" s="8">
        <f t="shared" si="201"/>
        <v>1.0259721620956439</v>
      </c>
      <c r="AQ718" s="8"/>
      <c r="AR718" s="8">
        <f t="shared" si="202"/>
        <v>206.82376694348903</v>
      </c>
      <c r="AS718" s="8">
        <f t="shared" si="203"/>
        <v>31.216125214007633</v>
      </c>
    </row>
    <row r="719" spans="1:45">
      <c r="A719" s="19">
        <v>30.930900000000001</v>
      </c>
      <c r="B719" s="19">
        <v>736.5</v>
      </c>
      <c r="C719" s="19">
        <v>508.58333329999999</v>
      </c>
      <c r="E719" s="9">
        <f t="shared" si="189"/>
        <v>-223.5</v>
      </c>
      <c r="F719" s="9">
        <f t="shared" si="190"/>
        <v>31.416666700000007</v>
      </c>
      <c r="I719">
        <v>1</v>
      </c>
      <c r="J719">
        <f t="shared" si="191"/>
        <v>0.1443950105433783</v>
      </c>
      <c r="K719">
        <f t="shared" si="195"/>
        <v>3.001940908626838</v>
      </c>
      <c r="O719">
        <f t="shared" si="196"/>
        <v>-0.14249288965080648</v>
      </c>
      <c r="P719">
        <f t="shared" si="197"/>
        <v>2.00297611690348E-2</v>
      </c>
      <c r="Q719">
        <f t="shared" si="198"/>
        <v>0.98959314117796637</v>
      </c>
      <c r="R719">
        <f t="shared" si="188"/>
        <v>1</v>
      </c>
      <c r="AG719" s="8">
        <f t="shared" si="192"/>
        <v>-0.76336137901154055</v>
      </c>
      <c r="AH719" s="8">
        <f t="shared" si="193"/>
        <v>-0.3853316664675272</v>
      </c>
      <c r="AI719" s="8">
        <f t="shared" si="194"/>
        <v>0.51845820646505114</v>
      </c>
      <c r="AJ719" s="8"/>
      <c r="AK719" s="8"/>
      <c r="AL719" s="8"/>
      <c r="AN719" s="8">
        <f t="shared" si="199"/>
        <v>1</v>
      </c>
      <c r="AO719" s="8">
        <f t="shared" si="200"/>
        <v>3.6090591488801222</v>
      </c>
      <c r="AP719" s="8">
        <f t="shared" si="201"/>
        <v>1.0257494138598813</v>
      </c>
      <c r="AQ719" s="8"/>
      <c r="AR719" s="8">
        <f t="shared" si="202"/>
        <v>206.78385724390805</v>
      </c>
      <c r="AS719" s="8">
        <f t="shared" si="203"/>
        <v>31.228887747810816</v>
      </c>
    </row>
    <row r="720" spans="1:45">
      <c r="A720" s="19">
        <v>30.964266670000001</v>
      </c>
      <c r="B720" s="19">
        <v>735.91666669999995</v>
      </c>
      <c r="C720" s="19">
        <v>508.5</v>
      </c>
      <c r="E720" s="9">
        <f t="shared" si="189"/>
        <v>-224.08333330000005</v>
      </c>
      <c r="F720" s="9">
        <f t="shared" si="190"/>
        <v>31.5</v>
      </c>
      <c r="I720">
        <v>1</v>
      </c>
      <c r="J720">
        <f t="shared" si="191"/>
        <v>0.14477011095014378</v>
      </c>
      <c r="K720">
        <f t="shared" si="195"/>
        <v>3.0019350619157787</v>
      </c>
      <c r="O720">
        <f t="shared" si="196"/>
        <v>-0.14286034522063099</v>
      </c>
      <c r="P720">
        <f t="shared" si="197"/>
        <v>2.0082264968922042E-2</v>
      </c>
      <c r="Q720">
        <f t="shared" si="198"/>
        <v>0.98953909695229336</v>
      </c>
      <c r="R720">
        <f t="shared" si="188"/>
        <v>1</v>
      </c>
      <c r="AG720" s="8">
        <f t="shared" si="192"/>
        <v>-0.76354740717859371</v>
      </c>
      <c r="AH720" s="8">
        <f t="shared" si="193"/>
        <v>-0.3850076428271958</v>
      </c>
      <c r="AI720" s="8">
        <f t="shared" si="194"/>
        <v>0.51842499163861056</v>
      </c>
      <c r="AJ720" s="8"/>
      <c r="AK720" s="8"/>
      <c r="AL720" s="8"/>
      <c r="AN720" s="8">
        <f t="shared" si="199"/>
        <v>1.0000000000000002</v>
      </c>
      <c r="AO720" s="8">
        <f t="shared" si="200"/>
        <v>3.6086228500577135</v>
      </c>
      <c r="AP720" s="8">
        <f t="shared" si="201"/>
        <v>1.0257882564747813</v>
      </c>
      <c r="AQ720" s="8"/>
      <c r="AR720" s="8">
        <f t="shared" si="202"/>
        <v>206.7588591627775</v>
      </c>
      <c r="AS720" s="8">
        <f t="shared" si="203"/>
        <v>31.226662229911788</v>
      </c>
    </row>
    <row r="721" spans="1:45">
      <c r="A721" s="19">
        <v>30.997633329999999</v>
      </c>
      <c r="B721" s="19">
        <v>735.12983059999999</v>
      </c>
      <c r="C721" s="19">
        <v>508.47854899999999</v>
      </c>
      <c r="E721" s="9">
        <f t="shared" si="189"/>
        <v>-224.87016940000001</v>
      </c>
      <c r="F721" s="9">
        <f t="shared" si="190"/>
        <v>31.521451000000013</v>
      </c>
      <c r="I721">
        <v>1</v>
      </c>
      <c r="J721">
        <f t="shared" si="191"/>
        <v>0.14526797103693845</v>
      </c>
      <c r="K721">
        <f t="shared" si="195"/>
        <v>3.0023238809175106</v>
      </c>
      <c r="O721">
        <f t="shared" si="196"/>
        <v>-0.14335600711181903</v>
      </c>
      <c r="P721">
        <f t="shared" si="197"/>
        <v>2.0095103613733779E-2</v>
      </c>
      <c r="Q721">
        <f t="shared" si="198"/>
        <v>0.98946715055918322</v>
      </c>
      <c r="R721">
        <f t="shared" si="188"/>
        <v>1</v>
      </c>
      <c r="AG721" s="8">
        <f t="shared" si="192"/>
        <v>-0.76381782974210211</v>
      </c>
      <c r="AH721" s="8">
        <f t="shared" si="193"/>
        <v>-0.38459625100959866</v>
      </c>
      <c r="AI721" s="8">
        <f t="shared" si="194"/>
        <v>0.51833198500326683</v>
      </c>
      <c r="AJ721" s="8"/>
      <c r="AK721" s="8"/>
      <c r="AL721" s="8"/>
      <c r="AN721" s="8">
        <f t="shared" si="199"/>
        <v>1</v>
      </c>
      <c r="AO721" s="8">
        <f t="shared" si="200"/>
        <v>3.608050935341379</v>
      </c>
      <c r="AP721" s="8">
        <f t="shared" si="201"/>
        <v>1.0258970169194344</v>
      </c>
      <c r="AQ721" s="8"/>
      <c r="AR721" s="8">
        <f t="shared" si="202"/>
        <v>206.7260908632901</v>
      </c>
      <c r="AS721" s="8">
        <f t="shared" si="203"/>
        <v>31.220430715455201</v>
      </c>
    </row>
    <row r="722" spans="1:45">
      <c r="A722" s="19">
        <v>31.030999999999999</v>
      </c>
      <c r="B722" s="19">
        <v>734.64319599999999</v>
      </c>
      <c r="C722" s="19">
        <v>508.480075</v>
      </c>
      <c r="E722" s="9">
        <f t="shared" si="189"/>
        <v>-225.35680400000001</v>
      </c>
      <c r="F722" s="9">
        <f t="shared" si="190"/>
        <v>31.519925000000001</v>
      </c>
      <c r="I722">
        <v>1</v>
      </c>
      <c r="J722">
        <f t="shared" si="191"/>
        <v>0.14557456055785492</v>
      </c>
      <c r="K722">
        <f t="shared" si="195"/>
        <v>3.0026273976321711</v>
      </c>
      <c r="O722">
        <f t="shared" si="196"/>
        <v>-0.14366252878940142</v>
      </c>
      <c r="P722">
        <f t="shared" si="197"/>
        <v>2.0093611785301488E-2</v>
      </c>
      <c r="Q722">
        <f t="shared" si="198"/>
        <v>0.98942272289818367</v>
      </c>
      <c r="R722">
        <f t="shared" si="188"/>
        <v>1</v>
      </c>
      <c r="AG722" s="8">
        <f t="shared" si="192"/>
        <v>-0.76398816942564807</v>
      </c>
      <c r="AH722" s="8">
        <f t="shared" si="193"/>
        <v>-0.38434597463916015</v>
      </c>
      <c r="AI722" s="8">
        <f t="shared" si="194"/>
        <v>0.51826658078282595</v>
      </c>
      <c r="AJ722" s="8"/>
      <c r="AK722" s="8"/>
      <c r="AL722" s="8"/>
      <c r="AN722" s="8">
        <f t="shared" si="199"/>
        <v>1.0000000000000002</v>
      </c>
      <c r="AO722" s="8">
        <f t="shared" si="200"/>
        <v>3.6076999788911461</v>
      </c>
      <c r="AP722" s="8">
        <f t="shared" si="201"/>
        <v>1.0259734952561206</v>
      </c>
      <c r="AQ722" s="8"/>
      <c r="AR722" s="8">
        <f t="shared" si="202"/>
        <v>206.70598253989886</v>
      </c>
      <c r="AS722" s="8">
        <f t="shared" si="203"/>
        <v>31.216048829538906</v>
      </c>
    </row>
    <row r="723" spans="1:45">
      <c r="A723" s="19">
        <v>31.064366669999998</v>
      </c>
      <c r="B723" s="19">
        <v>734.05716959999995</v>
      </c>
      <c r="C723" s="19">
        <v>508.33593810000002</v>
      </c>
      <c r="E723" s="9">
        <f t="shared" si="189"/>
        <v>-225.94283040000005</v>
      </c>
      <c r="F723" s="9">
        <f t="shared" si="190"/>
        <v>31.664061899999979</v>
      </c>
      <c r="I723">
        <v>1</v>
      </c>
      <c r="J723">
        <f t="shared" si="191"/>
        <v>0.14595662082980057</v>
      </c>
      <c r="K723">
        <f t="shared" si="195"/>
        <v>3.002357523686356</v>
      </c>
      <c r="O723">
        <f t="shared" si="196"/>
        <v>-0.14403145113313751</v>
      </c>
      <c r="P723">
        <f t="shared" si="197"/>
        <v>2.018484399860155E-2</v>
      </c>
      <c r="Q723">
        <f t="shared" si="198"/>
        <v>0.98936722866549143</v>
      </c>
      <c r="R723">
        <f t="shared" si="188"/>
        <v>1</v>
      </c>
      <c r="AG723" s="8">
        <f t="shared" si="192"/>
        <v>-0.764161583125336</v>
      </c>
      <c r="AH723" s="8">
        <f t="shared" si="193"/>
        <v>-0.38400329167315694</v>
      </c>
      <c r="AI723" s="8">
        <f t="shared" si="194"/>
        <v>0.51826493886771929</v>
      </c>
      <c r="AJ723" s="8"/>
      <c r="AK723" s="8"/>
      <c r="AL723" s="8"/>
      <c r="AN723" s="8">
        <f t="shared" si="199"/>
        <v>1.0000000000000002</v>
      </c>
      <c r="AO723" s="8">
        <f t="shared" si="200"/>
        <v>3.6072508999604365</v>
      </c>
      <c r="AP723" s="8">
        <f t="shared" si="201"/>
        <v>1.0259754151315117</v>
      </c>
      <c r="AQ723" s="8"/>
      <c r="AR723" s="8">
        <f t="shared" si="202"/>
        <v>206.68025221250096</v>
      </c>
      <c r="AS723" s="8">
        <f t="shared" si="203"/>
        <v>31.215938828781802</v>
      </c>
    </row>
    <row r="724" spans="1:45">
      <c r="A724" s="19">
        <v>31.097733330000001</v>
      </c>
      <c r="B724" s="19">
        <v>733.89834489999998</v>
      </c>
      <c r="C724" s="19">
        <v>508.38296339999999</v>
      </c>
      <c r="E724" s="9">
        <f t="shared" si="189"/>
        <v>-226.10165510000002</v>
      </c>
      <c r="F724" s="9">
        <f t="shared" si="190"/>
        <v>31.617036600000006</v>
      </c>
      <c r="I724">
        <v>1</v>
      </c>
      <c r="J724">
        <f t="shared" si="191"/>
        <v>0.14605256574918207</v>
      </c>
      <c r="K724">
        <f t="shared" si="195"/>
        <v>3.0026580595674108</v>
      </c>
      <c r="O724">
        <f t="shared" si="196"/>
        <v>-0.14413152030913484</v>
      </c>
      <c r="P724">
        <f t="shared" si="197"/>
        <v>2.0154702321007308E-2</v>
      </c>
      <c r="Q724">
        <f t="shared" si="198"/>
        <v>0.9893532699838461</v>
      </c>
      <c r="R724">
        <f t="shared" si="188"/>
        <v>1</v>
      </c>
      <c r="AG724" s="8">
        <f t="shared" si="192"/>
        <v>-0.7642271998088378</v>
      </c>
      <c r="AH724" s="8">
        <f t="shared" si="193"/>
        <v>-0.38393474968651281</v>
      </c>
      <c r="AI724" s="8">
        <f t="shared" si="194"/>
        <v>0.51821896439198145</v>
      </c>
      <c r="AJ724" s="8"/>
      <c r="AK724" s="8"/>
      <c r="AL724" s="8"/>
      <c r="AN724" s="8">
        <f t="shared" si="199"/>
        <v>1.0000000000000002</v>
      </c>
      <c r="AO724" s="8">
        <f t="shared" si="200"/>
        <v>3.6071448410397413</v>
      </c>
      <c r="AP724" s="8">
        <f t="shared" si="201"/>
        <v>1.0260291717327272</v>
      </c>
      <c r="AQ724" s="8"/>
      <c r="AR724" s="8">
        <f t="shared" si="202"/>
        <v>206.6741754839654</v>
      </c>
      <c r="AS724" s="8">
        <f t="shared" si="203"/>
        <v>31.212858802411183</v>
      </c>
    </row>
    <row r="725" spans="1:45">
      <c r="A725" s="19">
        <v>31.1311</v>
      </c>
      <c r="B725" s="19">
        <v>733.34682699999996</v>
      </c>
      <c r="C725" s="19">
        <v>508.07193139999998</v>
      </c>
      <c r="E725" s="9">
        <f t="shared" si="189"/>
        <v>-226.65317300000004</v>
      </c>
      <c r="F725" s="9">
        <f t="shared" si="190"/>
        <v>31.928068600000017</v>
      </c>
      <c r="I725">
        <v>1</v>
      </c>
      <c r="J725">
        <f t="shared" si="191"/>
        <v>0.14642761238569049</v>
      </c>
      <c r="K725">
        <f t="shared" si="195"/>
        <v>3.0016459778870872</v>
      </c>
      <c r="O725">
        <f t="shared" si="196"/>
        <v>-0.14447846413280102</v>
      </c>
      <c r="P725">
        <f t="shared" si="197"/>
        <v>2.0352321800739651E-2</v>
      </c>
      <c r="Q725">
        <f t="shared" si="198"/>
        <v>0.98929861841566624</v>
      </c>
      <c r="R725">
        <f t="shared" si="188"/>
        <v>1</v>
      </c>
      <c r="AG725" s="8">
        <f t="shared" si="192"/>
        <v>-0.76435227196400846</v>
      </c>
      <c r="AH725" s="8">
        <f t="shared" si="193"/>
        <v>-0.38356263381265499</v>
      </c>
      <c r="AI725" s="8">
        <f t="shared" si="194"/>
        <v>0.51831005227195581</v>
      </c>
      <c r="AJ725" s="8"/>
      <c r="AK725" s="8"/>
      <c r="AL725" s="8"/>
      <c r="AN725" s="8">
        <f t="shared" si="199"/>
        <v>1</v>
      </c>
      <c r="AO725" s="8">
        <f t="shared" si="200"/>
        <v>3.6066903704781805</v>
      </c>
      <c r="AP725" s="8">
        <f t="shared" si="201"/>
        <v>1.0259226636534873</v>
      </c>
      <c r="AQ725" s="8"/>
      <c r="AR725" s="8">
        <f t="shared" si="202"/>
        <v>206.64813623887503</v>
      </c>
      <c r="AS725" s="8">
        <f t="shared" si="203"/>
        <v>31.218961265835674</v>
      </c>
    </row>
    <row r="726" spans="1:45">
      <c r="A726" s="19">
        <v>31.164466669999999</v>
      </c>
      <c r="B726" s="19">
        <v>732.80334149999999</v>
      </c>
      <c r="C726" s="19">
        <v>507.78874039999999</v>
      </c>
      <c r="E726" s="9">
        <f t="shared" si="189"/>
        <v>-227.19665850000001</v>
      </c>
      <c r="F726" s="9">
        <f t="shared" si="190"/>
        <v>32.211259600000005</v>
      </c>
      <c r="I726">
        <v>1</v>
      </c>
      <c r="J726">
        <f t="shared" si="191"/>
        <v>0.14679522719848809</v>
      </c>
      <c r="K726">
        <f t="shared" si="195"/>
        <v>3.0007543032264885</v>
      </c>
      <c r="O726">
        <f t="shared" si="196"/>
        <v>-0.14482032917970913</v>
      </c>
      <c r="P726">
        <f t="shared" si="197"/>
        <v>2.0532191139444388E-2</v>
      </c>
      <c r="Q726">
        <f t="shared" si="198"/>
        <v>0.98924491476241316</v>
      </c>
      <c r="R726">
        <f t="shared" si="188"/>
        <v>1</v>
      </c>
      <c r="AG726" s="8">
        <f t="shared" si="192"/>
        <v>-0.76448044078927102</v>
      </c>
      <c r="AH726" s="8">
        <f t="shared" si="193"/>
        <v>-0.38320249758275121</v>
      </c>
      <c r="AI726" s="8">
        <f t="shared" si="194"/>
        <v>0.51838740484022505</v>
      </c>
      <c r="AJ726" s="8"/>
      <c r="AK726" s="8"/>
      <c r="AL726" s="8"/>
      <c r="AN726" s="8">
        <f t="shared" si="199"/>
        <v>1</v>
      </c>
      <c r="AO726" s="8">
        <f t="shared" si="200"/>
        <v>3.6062467423440272</v>
      </c>
      <c r="AP726" s="8">
        <f t="shared" si="201"/>
        <v>1.025832210728034</v>
      </c>
      <c r="AQ726" s="8"/>
      <c r="AR726" s="8">
        <f t="shared" si="202"/>
        <v>206.62271821911477</v>
      </c>
      <c r="AS726" s="8">
        <f t="shared" si="203"/>
        <v>31.224143836708762</v>
      </c>
    </row>
    <row r="727" spans="1:45">
      <c r="A727" s="19">
        <v>31.197833330000002</v>
      </c>
      <c r="B727" s="19">
        <v>732.16678079999997</v>
      </c>
      <c r="C727" s="19">
        <v>507.62218530000001</v>
      </c>
      <c r="E727" s="9">
        <f t="shared" si="189"/>
        <v>-227.83321920000003</v>
      </c>
      <c r="F727" s="9">
        <f t="shared" si="190"/>
        <v>32.377814699999988</v>
      </c>
      <c r="I727">
        <v>1</v>
      </c>
      <c r="J727">
        <f t="shared" si="191"/>
        <v>0.14721108686021889</v>
      </c>
      <c r="K727">
        <f t="shared" si="195"/>
        <v>3.0004259999994289</v>
      </c>
      <c r="O727">
        <f t="shared" si="196"/>
        <v>-0.14522086284963431</v>
      </c>
      <c r="P727">
        <f t="shared" si="197"/>
        <v>2.0637614674583738E-2</v>
      </c>
      <c r="Q727">
        <f t="shared" si="198"/>
        <v>0.98918400202073176</v>
      </c>
      <c r="R727">
        <f t="shared" si="188"/>
        <v>1</v>
      </c>
      <c r="AG727" s="8">
        <f t="shared" si="192"/>
        <v>-0.76466618918980545</v>
      </c>
      <c r="AH727" s="8">
        <f t="shared" si="193"/>
        <v>-0.38282734581020395</v>
      </c>
      <c r="AI727" s="8">
        <f t="shared" si="194"/>
        <v>0.51839062723958973</v>
      </c>
      <c r="AJ727" s="8"/>
      <c r="AK727" s="8"/>
      <c r="AL727" s="8"/>
      <c r="AN727" s="8">
        <f t="shared" si="199"/>
        <v>1</v>
      </c>
      <c r="AO727" s="8">
        <f t="shared" si="200"/>
        <v>3.6057572185383897</v>
      </c>
      <c r="AP727" s="8">
        <f t="shared" si="201"/>
        <v>1.0258284424785793</v>
      </c>
      <c r="AQ727" s="8"/>
      <c r="AR727" s="8">
        <f t="shared" si="202"/>
        <v>206.59467057108057</v>
      </c>
      <c r="AS727" s="8">
        <f t="shared" si="203"/>
        <v>31.224359741498667</v>
      </c>
    </row>
    <row r="728" spans="1:45">
      <c r="A728" s="19">
        <v>31.231200000000001</v>
      </c>
      <c r="B728" s="19">
        <v>731.75144109999997</v>
      </c>
      <c r="C728" s="19">
        <v>507.5278935</v>
      </c>
      <c r="E728" s="9">
        <f t="shared" si="189"/>
        <v>-228.24855890000003</v>
      </c>
      <c r="F728" s="9">
        <f t="shared" si="190"/>
        <v>32.472106499999995</v>
      </c>
      <c r="I728">
        <v>1</v>
      </c>
      <c r="J728">
        <f t="shared" si="191"/>
        <v>0.1474811224747668</v>
      </c>
      <c r="K728">
        <f t="shared" si="195"/>
        <v>3.0002745502408432</v>
      </c>
      <c r="O728">
        <f t="shared" si="196"/>
        <v>-0.14548218242041502</v>
      </c>
      <c r="P728">
        <f t="shared" si="197"/>
        <v>2.0697230003006835E-2</v>
      </c>
      <c r="Q728">
        <f t="shared" si="198"/>
        <v>0.98914435714328153</v>
      </c>
      <c r="R728">
        <f t="shared" si="188"/>
        <v>1</v>
      </c>
      <c r="AG728" s="8">
        <f t="shared" si="192"/>
        <v>-0.76479042020287991</v>
      </c>
      <c r="AH728" s="8">
        <f t="shared" si="193"/>
        <v>-0.38258661874977329</v>
      </c>
      <c r="AI728" s="8">
        <f t="shared" si="194"/>
        <v>0.51838508111202242</v>
      </c>
      <c r="AJ728" s="8"/>
      <c r="AK728" s="8"/>
      <c r="AL728" s="8"/>
      <c r="AN728" s="8">
        <f t="shared" si="199"/>
        <v>1</v>
      </c>
      <c r="AO728" s="8">
        <f t="shared" si="200"/>
        <v>3.6054404633050918</v>
      </c>
      <c r="AP728" s="8">
        <f t="shared" si="201"/>
        <v>1.025834928072884</v>
      </c>
      <c r="AQ728" s="8"/>
      <c r="AR728" s="8">
        <f t="shared" si="202"/>
        <v>206.57652183307391</v>
      </c>
      <c r="AS728" s="8">
        <f t="shared" si="203"/>
        <v>31.223988144317374</v>
      </c>
    </row>
    <row r="729" spans="1:45">
      <c r="A729" s="19">
        <v>31.264566670000001</v>
      </c>
      <c r="B729" s="19">
        <v>730.90001540000003</v>
      </c>
      <c r="C729" s="19">
        <v>507.47398190000001</v>
      </c>
      <c r="E729" s="9">
        <f t="shared" si="189"/>
        <v>-229.09998459999997</v>
      </c>
      <c r="F729" s="9">
        <f t="shared" si="190"/>
        <v>32.526018099999987</v>
      </c>
      <c r="I729">
        <v>1</v>
      </c>
      <c r="J729">
        <f t="shared" si="191"/>
        <v>0.14802215089194304</v>
      </c>
      <c r="K729">
        <f t="shared" si="195"/>
        <v>3.0005621404186842</v>
      </c>
      <c r="O729">
        <f t="shared" si="196"/>
        <v>-0.14601794941333923</v>
      </c>
      <c r="P729">
        <f t="shared" si="197"/>
        <v>2.0730610147510056E-2</v>
      </c>
      <c r="Q729">
        <f t="shared" si="198"/>
        <v>0.98906470984058237</v>
      </c>
      <c r="R729">
        <f t="shared" si="188"/>
        <v>1</v>
      </c>
      <c r="AG729" s="8">
        <f t="shared" si="192"/>
        <v>-0.76507510233211207</v>
      </c>
      <c r="AH729" s="8">
        <f t="shared" si="193"/>
        <v>-0.38213251344472943</v>
      </c>
      <c r="AI729" s="8">
        <f t="shared" si="194"/>
        <v>0.5182999420797979</v>
      </c>
      <c r="AJ729" s="8"/>
      <c r="AK729" s="8"/>
      <c r="AL729" s="8"/>
      <c r="AN729" s="8">
        <f t="shared" si="199"/>
        <v>1</v>
      </c>
      <c r="AO729" s="8">
        <f t="shared" si="200"/>
        <v>3.6048166456292967</v>
      </c>
      <c r="AP729" s="8">
        <f t="shared" si="201"/>
        <v>1.0259344857317174</v>
      </c>
      <c r="AQ729" s="8"/>
      <c r="AR729" s="8">
        <f t="shared" si="202"/>
        <v>206.54077971306521</v>
      </c>
      <c r="AS729" s="8">
        <f t="shared" si="203"/>
        <v>31.218283910648019</v>
      </c>
    </row>
    <row r="730" spans="1:45">
      <c r="A730" s="19">
        <v>31.297933329999999</v>
      </c>
      <c r="B730" s="19">
        <v>730.76356850000002</v>
      </c>
      <c r="C730" s="19">
        <v>507.47060720000002</v>
      </c>
      <c r="E730" s="9">
        <f t="shared" si="189"/>
        <v>-229.23643149999998</v>
      </c>
      <c r="F730" s="9">
        <f t="shared" si="190"/>
        <v>32.529392799999982</v>
      </c>
      <c r="I730">
        <v>1</v>
      </c>
      <c r="J730">
        <f t="shared" si="191"/>
        <v>0.14810837862322093</v>
      </c>
      <c r="K730">
        <f t="shared" si="195"/>
        <v>3.0006305464732561</v>
      </c>
      <c r="O730">
        <f t="shared" si="196"/>
        <v>-0.1461038055181218</v>
      </c>
      <c r="P730">
        <f t="shared" si="197"/>
        <v>2.0732603662406042E-2</v>
      </c>
      <c r="Q730">
        <f t="shared" si="198"/>
        <v>0.98905198910800463</v>
      </c>
      <c r="R730">
        <f t="shared" si="188"/>
        <v>1</v>
      </c>
      <c r="AG730" s="8">
        <f t="shared" si="192"/>
        <v>-0.76512184160546037</v>
      </c>
      <c r="AH730" s="8">
        <f t="shared" si="193"/>
        <v>-0.38206122360803524</v>
      </c>
      <c r="AI730" s="8">
        <f t="shared" si="194"/>
        <v>0.51828350245150567</v>
      </c>
      <c r="AJ730" s="8"/>
      <c r="AK730" s="8"/>
      <c r="AL730" s="8"/>
      <c r="AN730" s="8">
        <f t="shared" si="199"/>
        <v>1.0000000000000002</v>
      </c>
      <c r="AO730" s="8">
        <f t="shared" si="200"/>
        <v>3.6047176501688876</v>
      </c>
      <c r="AP730" s="8">
        <f t="shared" si="201"/>
        <v>1.0259537087831054</v>
      </c>
      <c r="AQ730" s="8"/>
      <c r="AR730" s="8">
        <f t="shared" si="202"/>
        <v>206.53510769099279</v>
      </c>
      <c r="AS730" s="8">
        <f t="shared" si="203"/>
        <v>31.217182510934123</v>
      </c>
    </row>
    <row r="731" spans="1:45">
      <c r="A731" s="19">
        <v>31.331299999999999</v>
      </c>
      <c r="B731" s="19">
        <v>729.99332319999996</v>
      </c>
      <c r="C731" s="19">
        <v>507.45006369999999</v>
      </c>
      <c r="E731" s="9">
        <f t="shared" si="189"/>
        <v>-230.00667680000004</v>
      </c>
      <c r="F731" s="9">
        <f t="shared" si="190"/>
        <v>32.549936300000013</v>
      </c>
      <c r="I731">
        <v>1</v>
      </c>
      <c r="J731">
        <f t="shared" si="191"/>
        <v>0.14859524858320694</v>
      </c>
      <c r="K731">
        <f t="shared" si="195"/>
        <v>3.0010088376486683</v>
      </c>
      <c r="O731">
        <f t="shared" si="196"/>
        <v>-0.14658840969374592</v>
      </c>
      <c r="P731">
        <f t="shared" si="197"/>
        <v>2.0744803864970827E-2</v>
      </c>
      <c r="Q731">
        <f t="shared" si="198"/>
        <v>0.98898002571137011</v>
      </c>
      <c r="R731">
        <f t="shared" ref="R731:R794" si="204">SQRT(O731^2+P731^2+Q731^2)</f>
        <v>1</v>
      </c>
      <c r="AG731" s="8">
        <f t="shared" si="192"/>
        <v>-0.76538523634764288</v>
      </c>
      <c r="AH731" s="8">
        <f t="shared" si="193"/>
        <v>-0.38165834257390746</v>
      </c>
      <c r="AI731" s="8">
        <f t="shared" si="194"/>
        <v>0.51819142170128674</v>
      </c>
      <c r="AJ731" s="8"/>
      <c r="AK731" s="8"/>
      <c r="AL731" s="8"/>
      <c r="AN731" s="8">
        <f t="shared" si="199"/>
        <v>1</v>
      </c>
      <c r="AO731" s="8">
        <f t="shared" si="200"/>
        <v>3.6041586273544941</v>
      </c>
      <c r="AP731" s="8">
        <f t="shared" si="201"/>
        <v>1.0260613757515211</v>
      </c>
      <c r="AQ731" s="8"/>
      <c r="AR731" s="8">
        <f t="shared" si="202"/>
        <v>206.50307804307653</v>
      </c>
      <c r="AS731" s="8">
        <f t="shared" si="203"/>
        <v>31.21101364805093</v>
      </c>
    </row>
    <row r="732" spans="1:45">
      <c r="A732" s="19">
        <v>31.364666669999998</v>
      </c>
      <c r="B732" s="19">
        <v>729.62664719999998</v>
      </c>
      <c r="C732" s="19">
        <v>507.25445789999998</v>
      </c>
      <c r="E732" s="9">
        <f t="shared" si="189"/>
        <v>-230.37335280000002</v>
      </c>
      <c r="F732" s="9">
        <f t="shared" si="190"/>
        <v>32.745542100000023</v>
      </c>
      <c r="I732">
        <v>1</v>
      </c>
      <c r="J732">
        <f t="shared" si="191"/>
        <v>0.14884359492048421</v>
      </c>
      <c r="K732">
        <f t="shared" si="195"/>
        <v>3.000397304754578</v>
      </c>
      <c r="O732">
        <f t="shared" si="196"/>
        <v>-0.1468188570119921</v>
      </c>
      <c r="P732">
        <f t="shared" si="197"/>
        <v>2.08690067880111E-2</v>
      </c>
      <c r="Q732">
        <f t="shared" si="198"/>
        <v>0.98894322778477739</v>
      </c>
      <c r="R732">
        <f t="shared" si="204"/>
        <v>1</v>
      </c>
      <c r="AG732" s="8">
        <f t="shared" si="192"/>
        <v>-0.76547026530507267</v>
      </c>
      <c r="AH732" s="8">
        <f t="shared" si="193"/>
        <v>-0.38141399272082721</v>
      </c>
      <c r="AI732" s="8">
        <f t="shared" si="194"/>
        <v>0.51824573234184812</v>
      </c>
      <c r="AJ732" s="8"/>
      <c r="AK732" s="8"/>
      <c r="AL732" s="8"/>
      <c r="AN732" s="8">
        <f t="shared" si="199"/>
        <v>1</v>
      </c>
      <c r="AO732" s="8">
        <f t="shared" si="200"/>
        <v>3.603858574127631</v>
      </c>
      <c r="AP732" s="8">
        <f t="shared" si="201"/>
        <v>1.0259978729698336</v>
      </c>
      <c r="AQ732" s="8"/>
      <c r="AR732" s="8">
        <f t="shared" si="202"/>
        <v>206.48588625954798</v>
      </c>
      <c r="AS732" s="8">
        <f t="shared" si="203"/>
        <v>31.214652089428967</v>
      </c>
    </row>
    <row r="733" spans="1:45">
      <c r="A733" s="19">
        <v>31.398033330000001</v>
      </c>
      <c r="B733" s="19">
        <v>729.21296480000001</v>
      </c>
      <c r="C733" s="19">
        <v>507.1762554</v>
      </c>
      <c r="E733" s="9">
        <f t="shared" si="189"/>
        <v>-230.78703519999999</v>
      </c>
      <c r="F733" s="9">
        <f t="shared" si="190"/>
        <v>32.823744599999998</v>
      </c>
      <c r="I733">
        <v>1</v>
      </c>
      <c r="J733">
        <f t="shared" si="191"/>
        <v>0.14911104219127935</v>
      </c>
      <c r="K733">
        <f t="shared" si="195"/>
        <v>3.0003149052029197</v>
      </c>
      <c r="O733">
        <f t="shared" si="196"/>
        <v>-0.1470789866846737</v>
      </c>
      <c r="P733">
        <f t="shared" si="197"/>
        <v>2.0918346174779105E-2</v>
      </c>
      <c r="Q733">
        <f t="shared" si="198"/>
        <v>0.98890353142716692</v>
      </c>
      <c r="R733">
        <f t="shared" si="204"/>
        <v>1</v>
      </c>
      <c r="AG733" s="8">
        <f t="shared" si="192"/>
        <v>-0.76559702195341894</v>
      </c>
      <c r="AH733" s="8">
        <f t="shared" si="193"/>
        <v>-0.38117859290672307</v>
      </c>
      <c r="AI733" s="8">
        <f t="shared" si="194"/>
        <v>0.51823168591442481</v>
      </c>
      <c r="AJ733" s="8"/>
      <c r="AK733" s="8"/>
      <c r="AL733" s="8"/>
      <c r="AN733" s="8">
        <f t="shared" si="199"/>
        <v>1.0000000000000002</v>
      </c>
      <c r="AO733" s="8">
        <f t="shared" si="200"/>
        <v>3.6035461194209937</v>
      </c>
      <c r="AP733" s="8">
        <f t="shared" si="201"/>
        <v>1.0260142970062247</v>
      </c>
      <c r="AQ733" s="8"/>
      <c r="AR733" s="8">
        <f t="shared" si="202"/>
        <v>206.46798392356868</v>
      </c>
      <c r="AS733" s="8">
        <f t="shared" si="203"/>
        <v>31.21371106146119</v>
      </c>
    </row>
    <row r="734" spans="1:45">
      <c r="A734" s="19">
        <v>31.4314</v>
      </c>
      <c r="B734" s="19">
        <v>728.7440646</v>
      </c>
      <c r="C734" s="19">
        <v>506.99518560000001</v>
      </c>
      <c r="E734" s="9">
        <f t="shared" si="189"/>
        <v>-231.2559354</v>
      </c>
      <c r="F734" s="9">
        <f t="shared" si="190"/>
        <v>33.004814399999987</v>
      </c>
      <c r="I734">
        <v>1</v>
      </c>
      <c r="J734">
        <f t="shared" si="191"/>
        <v>0.14942246065653794</v>
      </c>
      <c r="K734">
        <f t="shared" si="195"/>
        <v>2.9998301401456322</v>
      </c>
      <c r="O734">
        <f t="shared" si="196"/>
        <v>-0.14737369527843266</v>
      </c>
      <c r="P734">
        <f t="shared" si="197"/>
        <v>2.1033152951052129E-2</v>
      </c>
      <c r="Q734">
        <f t="shared" si="198"/>
        <v>0.98885721942903226</v>
      </c>
      <c r="R734">
        <f t="shared" si="204"/>
        <v>1</v>
      </c>
      <c r="AG734" s="8">
        <f t="shared" si="192"/>
        <v>-0.76572057607853394</v>
      </c>
      <c r="AH734" s="8">
        <f t="shared" si="193"/>
        <v>-0.38088562038719265</v>
      </c>
      <c r="AI734" s="8">
        <f t="shared" si="194"/>
        <v>0.51826454977378245</v>
      </c>
      <c r="AJ734" s="8"/>
      <c r="AK734" s="8"/>
      <c r="AL734" s="8"/>
      <c r="AN734" s="8">
        <f t="shared" si="199"/>
        <v>0.99999999999999989</v>
      </c>
      <c r="AO734" s="8">
        <f t="shared" si="200"/>
        <v>3.6031750665445235</v>
      </c>
      <c r="AP734" s="8">
        <f t="shared" si="201"/>
        <v>1.0259758700949462</v>
      </c>
      <c r="AQ734" s="8"/>
      <c r="AR734" s="8">
        <f t="shared" si="202"/>
        <v>206.44672415977075</v>
      </c>
      <c r="AS734" s="8">
        <f t="shared" si="203"/>
        <v>31.215912761297176</v>
      </c>
    </row>
    <row r="735" spans="1:45">
      <c r="A735" s="19">
        <v>31.464766669999999</v>
      </c>
      <c r="B735" s="19">
        <v>727.94685470000002</v>
      </c>
      <c r="C735" s="19">
        <v>506.97788439999999</v>
      </c>
      <c r="E735" s="9">
        <f t="shared" si="189"/>
        <v>-232.05314529999998</v>
      </c>
      <c r="F735" s="9">
        <f t="shared" si="190"/>
        <v>33.022115600000006</v>
      </c>
      <c r="I735">
        <v>1</v>
      </c>
      <c r="J735">
        <f t="shared" si="191"/>
        <v>0.14992581442354982</v>
      </c>
      <c r="K735">
        <f t="shared" si="195"/>
        <v>3.0002376161161983</v>
      </c>
      <c r="O735">
        <f t="shared" si="196"/>
        <v>-0.14787501535458805</v>
      </c>
      <c r="P735">
        <f t="shared" si="197"/>
        <v>2.1043221995883831E-2</v>
      </c>
      <c r="Q735">
        <f t="shared" si="198"/>
        <v>0.98878216136918262</v>
      </c>
      <c r="R735">
        <f t="shared" si="204"/>
        <v>1</v>
      </c>
      <c r="AG735" s="8">
        <f t="shared" si="192"/>
        <v>-0.76599346656306944</v>
      </c>
      <c r="AH735" s="8">
        <f t="shared" si="193"/>
        <v>-0.38046964205931383</v>
      </c>
      <c r="AI735" s="8">
        <f t="shared" si="194"/>
        <v>0.51816682704892403</v>
      </c>
      <c r="AJ735" s="8"/>
      <c r="AK735" s="8"/>
      <c r="AL735" s="8"/>
      <c r="AN735" s="8">
        <f t="shared" si="199"/>
        <v>1</v>
      </c>
      <c r="AO735" s="8">
        <f t="shared" si="200"/>
        <v>3.602597498962111</v>
      </c>
      <c r="AP735" s="8">
        <f t="shared" si="201"/>
        <v>1.0260901322745735</v>
      </c>
      <c r="AQ735" s="8"/>
      <c r="AR735" s="8">
        <f t="shared" si="202"/>
        <v>206.41363197491492</v>
      </c>
      <c r="AS735" s="8">
        <f t="shared" si="203"/>
        <v>31.209366020646563</v>
      </c>
    </row>
    <row r="736" spans="1:45">
      <c r="A736" s="19">
        <v>31.498133330000002</v>
      </c>
      <c r="B736" s="19">
        <v>727.16911270000003</v>
      </c>
      <c r="C736" s="19">
        <v>506.693848</v>
      </c>
      <c r="E736" s="9">
        <f t="shared" ref="E736:E799" si="205">(B736-($B$15/2))</f>
        <v>-232.83088729999997</v>
      </c>
      <c r="F736" s="9">
        <f t="shared" ref="F736:F799" si="206">(($C$15/2)-C736)</f>
        <v>33.306151999999997</v>
      </c>
      <c r="I736">
        <v>1</v>
      </c>
      <c r="J736">
        <f t="shared" ref="J736:J799" si="207">ATAN((SQRT(E736^2+F736^2)^$B$16)/($F$24))</f>
        <v>0.15044079552613993</v>
      </c>
      <c r="K736">
        <f t="shared" si="195"/>
        <v>2.9995078937973281</v>
      </c>
      <c r="O736">
        <f t="shared" si="196"/>
        <v>-0.14836367348939863</v>
      </c>
      <c r="P736">
        <f t="shared" si="197"/>
        <v>2.1223228231524595E-2</v>
      </c>
      <c r="Q736">
        <f t="shared" si="198"/>
        <v>0.98870511021849372</v>
      </c>
      <c r="R736">
        <f t="shared" si="204"/>
        <v>1</v>
      </c>
      <c r="AG736" s="8">
        <f t="shared" ref="AG736:AG799" si="208">$O736*$Z$27+$P736*$Z$31+$Q736*$Z$35</f>
        <v>-0.76620151799279523</v>
      </c>
      <c r="AH736" s="8">
        <f t="shared" ref="AH736:AH799" si="209">$O736*$AA$27+$P736*$AA$31+$Q736*$AA$35</f>
        <v>-0.37998823160778317</v>
      </c>
      <c r="AI736" s="8">
        <f t="shared" ref="AI736:AI799" si="210">$AB$27*$O736+$P736*$AB$31+$AB$35*$Q736</f>
        <v>0.51821248312359869</v>
      </c>
      <c r="AJ736" s="8"/>
      <c r="AK736" s="8"/>
      <c r="AL736" s="8"/>
      <c r="AN736" s="8">
        <f t="shared" si="199"/>
        <v>1</v>
      </c>
      <c r="AO736" s="8">
        <f t="shared" si="200"/>
        <v>3.6019851584200131</v>
      </c>
      <c r="AP736" s="8">
        <f t="shared" si="201"/>
        <v>1.0260367499482439</v>
      </c>
      <c r="AQ736" s="8"/>
      <c r="AR736" s="8">
        <f t="shared" si="202"/>
        <v>206.37854744622797</v>
      </c>
      <c r="AS736" s="8">
        <f t="shared" si="203"/>
        <v>31.212424602645839</v>
      </c>
    </row>
    <row r="737" spans="1:45">
      <c r="A737" s="19">
        <v>31.531500000000001</v>
      </c>
      <c r="B737" s="19">
        <v>726.77375119999999</v>
      </c>
      <c r="C737" s="19">
        <v>506.59086589999998</v>
      </c>
      <c r="E737" s="9">
        <f t="shared" si="205"/>
        <v>-233.22624880000001</v>
      </c>
      <c r="F737" s="9">
        <f t="shared" si="206"/>
        <v>33.409134100000017</v>
      </c>
      <c r="I737">
        <v>1</v>
      </c>
      <c r="J737">
        <f t="shared" si="207"/>
        <v>0.15069885498921406</v>
      </c>
      <c r="K737">
        <f t="shared" ref="K737:K800" si="211">ATAN2(E737,F737)</f>
        <v>2.9993128303206738</v>
      </c>
      <c r="O737">
        <f t="shared" ref="O737:O800" si="212">COS(K737)*SIN(J737)</f>
        <v>-0.14861209239380505</v>
      </c>
      <c r="P737">
        <f t="shared" ref="P737:P800" si="213">SIN(K737)*SIN(J737)</f>
        <v>2.1288347041605492E-2</v>
      </c>
      <c r="Q737">
        <f t="shared" ref="Q737:Q800" si="214">COS(J737)</f>
        <v>0.98866640090304037</v>
      </c>
      <c r="R737">
        <f t="shared" si="204"/>
        <v>1</v>
      </c>
      <c r="AG737" s="8">
        <f t="shared" si="208"/>
        <v>-0.76631617349814984</v>
      </c>
      <c r="AH737" s="8">
        <f t="shared" si="209"/>
        <v>-0.37975520095274873</v>
      </c>
      <c r="AI737" s="8">
        <f t="shared" si="210"/>
        <v>0.51821376823130727</v>
      </c>
      <c r="AJ737" s="8"/>
      <c r="AK737" s="8"/>
      <c r="AL737" s="8"/>
      <c r="AN737" s="8">
        <f t="shared" ref="AN737:AN800" si="215">AG737^2+AH737^2+AI737^2</f>
        <v>1</v>
      </c>
      <c r="AO737" s="8">
        <f t="shared" ref="AO737:AO800" si="216">IF(ATAN2(AG737,AH737)&gt;=0,ATAN2(AG737,AH737),ATAN2(AG737,AH737)+2*PI())</f>
        <v>3.6016814949816904</v>
      </c>
      <c r="AP737" s="8">
        <f t="shared" ref="AP737:AP800" si="217">ACOS(AI737/AN737)</f>
        <v>1.0260352473403163</v>
      </c>
      <c r="AQ737" s="8"/>
      <c r="AR737" s="8">
        <f t="shared" ref="AR737:AR800" si="218">DEGREES(AO737)</f>
        <v>206.36114881281966</v>
      </c>
      <c r="AS737" s="8">
        <f t="shared" ref="AS737:AS800" si="219">90-DEGREES(AP737)</f>
        <v>31.212510695738352</v>
      </c>
    </row>
    <row r="738" spans="1:45">
      <c r="A738" s="19">
        <v>31.564866670000001</v>
      </c>
      <c r="B738" s="19">
        <v>726.5</v>
      </c>
      <c r="C738" s="19">
        <v>506.66666670000001</v>
      </c>
      <c r="E738" s="9">
        <f t="shared" si="205"/>
        <v>-233.5</v>
      </c>
      <c r="F738" s="9">
        <f t="shared" si="206"/>
        <v>33.333333299999993</v>
      </c>
      <c r="I738">
        <v>1</v>
      </c>
      <c r="J738">
        <f t="shared" si="207"/>
        <v>0.15086428827178228</v>
      </c>
      <c r="K738">
        <f t="shared" si="211"/>
        <v>2.9997955291741665</v>
      </c>
      <c r="O738">
        <f t="shared" si="212"/>
        <v>-0.1487842657011369</v>
      </c>
      <c r="P738">
        <f t="shared" si="213"/>
        <v>2.1239723847587811E-2</v>
      </c>
      <c r="Q738">
        <f t="shared" si="214"/>
        <v>0.98864155102375284</v>
      </c>
      <c r="R738">
        <f t="shared" si="204"/>
        <v>1</v>
      </c>
      <c r="AG738" s="8">
        <f t="shared" si="208"/>
        <v>-0.76642744837586319</v>
      </c>
      <c r="AH738" s="8">
        <f t="shared" si="209"/>
        <v>-0.37963544337387334</v>
      </c>
      <c r="AI738" s="8">
        <f t="shared" si="210"/>
        <v>0.51813694764066609</v>
      </c>
      <c r="AJ738" s="8"/>
      <c r="AK738" s="8"/>
      <c r="AL738" s="8"/>
      <c r="AN738" s="8">
        <f t="shared" si="215"/>
        <v>1</v>
      </c>
      <c r="AO738" s="8">
        <f t="shared" si="216"/>
        <v>3.6014982681477354</v>
      </c>
      <c r="AP738" s="8">
        <f t="shared" si="217"/>
        <v>1.0261250671580742</v>
      </c>
      <c r="AQ738" s="8"/>
      <c r="AR738" s="8">
        <f t="shared" si="218"/>
        <v>206.3506506885405</v>
      </c>
      <c r="AS738" s="8">
        <f t="shared" si="219"/>
        <v>31.207364399264193</v>
      </c>
    </row>
    <row r="739" spans="1:45">
      <c r="A739" s="19">
        <v>31.598233329999999</v>
      </c>
      <c r="B739" s="19">
        <v>725.81033279999997</v>
      </c>
      <c r="C739" s="19">
        <v>506.53626500000001</v>
      </c>
      <c r="E739" s="9">
        <f t="shared" si="205"/>
        <v>-234.18966720000003</v>
      </c>
      <c r="F739" s="9">
        <f t="shared" si="206"/>
        <v>33.463734999999986</v>
      </c>
      <c r="I739">
        <v>1</v>
      </c>
      <c r="J739">
        <f t="shared" si="207"/>
        <v>0.15130994830427585</v>
      </c>
      <c r="K739">
        <f t="shared" si="211"/>
        <v>2.9996618363779328</v>
      </c>
      <c r="O739">
        <f t="shared" si="212"/>
        <v>-0.14921757767252258</v>
      </c>
      <c r="P739">
        <f t="shared" si="213"/>
        <v>2.1321937625500893E-2</v>
      </c>
      <c r="Q739">
        <f t="shared" si="214"/>
        <v>0.98857447341585702</v>
      </c>
      <c r="R739">
        <f t="shared" si="204"/>
        <v>1</v>
      </c>
      <c r="AG739" s="8">
        <f t="shared" si="208"/>
        <v>-0.76663793319374629</v>
      </c>
      <c r="AH739" s="8">
        <f t="shared" si="209"/>
        <v>-0.37924283185960039</v>
      </c>
      <c r="AI739" s="8">
        <f t="shared" si="210"/>
        <v>0.51811307054689515</v>
      </c>
      <c r="AJ739" s="8"/>
      <c r="AK739" s="8"/>
      <c r="AL739" s="8"/>
      <c r="AN739" s="8">
        <f t="shared" si="215"/>
        <v>1</v>
      </c>
      <c r="AO739" s="8">
        <f t="shared" si="216"/>
        <v>3.600977705519639</v>
      </c>
      <c r="AP739" s="8">
        <f t="shared" si="217"/>
        <v>1.0261529836282404</v>
      </c>
      <c r="AQ739" s="8"/>
      <c r="AR739" s="8">
        <f t="shared" si="218"/>
        <v>206.32082464697834</v>
      </c>
      <c r="AS739" s="8">
        <f t="shared" si="219"/>
        <v>31.205764903344765</v>
      </c>
    </row>
    <row r="740" spans="1:45">
      <c r="A740" s="19">
        <v>31.631599999999999</v>
      </c>
      <c r="B740" s="19">
        <v>725.11548779999998</v>
      </c>
      <c r="C740" s="19">
        <v>506.531297</v>
      </c>
      <c r="E740" s="9">
        <f t="shared" si="205"/>
        <v>-234.88451220000002</v>
      </c>
      <c r="F740" s="9">
        <f t="shared" si="206"/>
        <v>33.468703000000005</v>
      </c>
      <c r="I740">
        <v>1</v>
      </c>
      <c r="J740">
        <f t="shared" si="207"/>
        <v>0.15174755446467625</v>
      </c>
      <c r="K740">
        <f t="shared" si="211"/>
        <v>3.0000553805088197</v>
      </c>
      <c r="O740">
        <f t="shared" si="212"/>
        <v>-0.14965422328960051</v>
      </c>
      <c r="P740">
        <f t="shared" si="213"/>
        <v>2.1324235919439733E-2</v>
      </c>
      <c r="Q740">
        <f t="shared" si="214"/>
        <v>0.98850841696671377</v>
      </c>
      <c r="R740">
        <f t="shared" si="204"/>
        <v>1</v>
      </c>
      <c r="AG740" s="8">
        <f t="shared" si="208"/>
        <v>-0.76687725481936231</v>
      </c>
      <c r="AH740" s="8">
        <f t="shared" si="209"/>
        <v>-0.37888298660449571</v>
      </c>
      <c r="AI740" s="8">
        <f t="shared" si="210"/>
        <v>0.51802216024256753</v>
      </c>
      <c r="AJ740" s="8"/>
      <c r="AK740" s="8"/>
      <c r="AL740" s="8"/>
      <c r="AN740" s="8">
        <f t="shared" si="215"/>
        <v>1</v>
      </c>
      <c r="AO740" s="8">
        <f t="shared" si="216"/>
        <v>3.600476572289554</v>
      </c>
      <c r="AP740" s="8">
        <f t="shared" si="217"/>
        <v>1.0262592692454389</v>
      </c>
      <c r="AQ740" s="8"/>
      <c r="AR740" s="8">
        <f t="shared" si="218"/>
        <v>206.29211182792068</v>
      </c>
      <c r="AS740" s="8">
        <f t="shared" si="219"/>
        <v>31.199675186056346</v>
      </c>
    </row>
    <row r="741" spans="1:45">
      <c r="A741" s="19">
        <v>31.664966669999998</v>
      </c>
      <c r="B741" s="19">
        <v>724.88574000000006</v>
      </c>
      <c r="C741" s="19">
        <v>506.51553940000002</v>
      </c>
      <c r="E741" s="9">
        <f t="shared" si="205"/>
        <v>-235.11425999999994</v>
      </c>
      <c r="F741" s="9">
        <f t="shared" si="206"/>
        <v>33.484460599999977</v>
      </c>
      <c r="I741">
        <v>1</v>
      </c>
      <c r="J741">
        <f t="shared" si="207"/>
        <v>0.15189350639877289</v>
      </c>
      <c r="K741">
        <f t="shared" si="211"/>
        <v>3.0001261608408631</v>
      </c>
      <c r="O741">
        <f t="shared" si="212"/>
        <v>-0.14979856410986453</v>
      </c>
      <c r="P741">
        <f t="shared" si="213"/>
        <v>2.1333985092496462E-2</v>
      </c>
      <c r="Q741">
        <f t="shared" si="214"/>
        <v>0.98848634349225883</v>
      </c>
      <c r="R741">
        <f t="shared" si="204"/>
        <v>1</v>
      </c>
      <c r="AG741" s="8">
        <f t="shared" si="208"/>
        <v>-0.76695328418805941</v>
      </c>
      <c r="AH741" s="8">
        <f t="shared" si="209"/>
        <v>-0.37876000629026108</v>
      </c>
      <c r="AI741" s="8">
        <f t="shared" si="210"/>
        <v>0.51799953427406764</v>
      </c>
      <c r="AJ741" s="8"/>
      <c r="AK741" s="8"/>
      <c r="AL741" s="8"/>
      <c r="AN741" s="8">
        <f t="shared" si="215"/>
        <v>0.99999999999999978</v>
      </c>
      <c r="AO741" s="8">
        <f t="shared" si="216"/>
        <v>3.6003083025476577</v>
      </c>
      <c r="AP741" s="8">
        <f t="shared" si="217"/>
        <v>1.0262857207943865</v>
      </c>
      <c r="AQ741" s="8"/>
      <c r="AR741" s="8">
        <f t="shared" si="218"/>
        <v>206.28247068189029</v>
      </c>
      <c r="AS741" s="8">
        <f t="shared" si="219"/>
        <v>31.198159623940064</v>
      </c>
    </row>
    <row r="742" spans="1:45">
      <c r="A742" s="19">
        <v>31.698333330000001</v>
      </c>
      <c r="B742" s="19">
        <v>724.1612543</v>
      </c>
      <c r="C742" s="19">
        <v>506.38082259999999</v>
      </c>
      <c r="E742" s="9">
        <f t="shared" si="205"/>
        <v>-235.8387457</v>
      </c>
      <c r="F742" s="9">
        <f t="shared" si="206"/>
        <v>33.619177400000012</v>
      </c>
      <c r="I742">
        <v>1</v>
      </c>
      <c r="J742">
        <f t="shared" si="207"/>
        <v>0.15236133595209952</v>
      </c>
      <c r="K742">
        <f t="shared" si="211"/>
        <v>2.9999950983984629</v>
      </c>
      <c r="O742">
        <f t="shared" si="212"/>
        <v>-0.15025356523344183</v>
      </c>
      <c r="P742">
        <f t="shared" si="213"/>
        <v>2.1418877757224931E-2</v>
      </c>
      <c r="Q742">
        <f t="shared" si="214"/>
        <v>0.98841544798240633</v>
      </c>
      <c r="R742">
        <f t="shared" si="204"/>
        <v>1</v>
      </c>
      <c r="AG742" s="8">
        <f t="shared" si="208"/>
        <v>-0.76717445641268767</v>
      </c>
      <c r="AH742" s="8">
        <f t="shared" si="209"/>
        <v>-0.37834813440346249</v>
      </c>
      <c r="AI742" s="8">
        <f t="shared" si="210"/>
        <v>0.51797301341027113</v>
      </c>
      <c r="AJ742" s="8"/>
      <c r="AK742" s="8"/>
      <c r="AL742" s="8"/>
      <c r="AN742" s="8">
        <f t="shared" si="215"/>
        <v>1.0000000000000002</v>
      </c>
      <c r="AO742" s="8">
        <f t="shared" si="216"/>
        <v>3.5997620909153429</v>
      </c>
      <c r="AP742" s="8">
        <f t="shared" si="217"/>
        <v>1.0263167252449881</v>
      </c>
      <c r="AQ742" s="8"/>
      <c r="AR742" s="8">
        <f t="shared" si="218"/>
        <v>206.25117506063768</v>
      </c>
      <c r="AS742" s="8">
        <f t="shared" si="219"/>
        <v>31.196383199774473</v>
      </c>
    </row>
    <row r="743" spans="1:45">
      <c r="A743" s="19">
        <v>31.7317</v>
      </c>
      <c r="B743" s="19">
        <v>723.84755089999999</v>
      </c>
      <c r="C743" s="19">
        <v>506.33434349999999</v>
      </c>
      <c r="E743" s="9">
        <f t="shared" si="205"/>
        <v>-236.15244910000001</v>
      </c>
      <c r="F743" s="9">
        <f t="shared" si="206"/>
        <v>33.665656500000011</v>
      </c>
      <c r="I743">
        <v>1</v>
      </c>
      <c r="J743">
        <f t="shared" si="207"/>
        <v>0.15256282777932886</v>
      </c>
      <c r="K743">
        <f t="shared" si="211"/>
        <v>2.9999877932121928</v>
      </c>
      <c r="O743">
        <f t="shared" si="212"/>
        <v>-0.15045056993002259</v>
      </c>
      <c r="P743">
        <f t="shared" si="213"/>
        <v>2.144808248568519E-2</v>
      </c>
      <c r="Q743">
        <f t="shared" si="214"/>
        <v>0.98838484699302154</v>
      </c>
      <c r="R743">
        <f t="shared" si="204"/>
        <v>1</v>
      </c>
      <c r="AG743" s="8">
        <f t="shared" si="208"/>
        <v>-0.76727273698007936</v>
      </c>
      <c r="AH743" s="8">
        <f t="shared" si="209"/>
        <v>-0.37817313404744929</v>
      </c>
      <c r="AI743" s="8">
        <f t="shared" si="210"/>
        <v>0.51795523722791725</v>
      </c>
      <c r="AJ743" s="8"/>
      <c r="AK743" s="8"/>
      <c r="AL743" s="8"/>
      <c r="AN743" s="8">
        <f t="shared" si="215"/>
        <v>1</v>
      </c>
      <c r="AO743" s="8">
        <f t="shared" si="216"/>
        <v>3.5995277913535122</v>
      </c>
      <c r="AP743" s="8">
        <f t="shared" si="217"/>
        <v>1.0263375063225042</v>
      </c>
      <c r="AQ743" s="8"/>
      <c r="AR743" s="8">
        <f t="shared" si="218"/>
        <v>206.23775068460301</v>
      </c>
      <c r="AS743" s="8">
        <f t="shared" si="219"/>
        <v>31.195192531739067</v>
      </c>
    </row>
    <row r="744" spans="1:45">
      <c r="A744" s="19">
        <v>31.76506667</v>
      </c>
      <c r="B744" s="19">
        <v>723.18501019999997</v>
      </c>
      <c r="C744" s="19">
        <v>506.15729649999997</v>
      </c>
      <c r="E744" s="9">
        <f t="shared" si="205"/>
        <v>-236.81498980000003</v>
      </c>
      <c r="F744" s="9">
        <f t="shared" si="206"/>
        <v>33.842703500000027</v>
      </c>
      <c r="I744">
        <v>1</v>
      </c>
      <c r="J744">
        <f t="shared" si="207"/>
        <v>0.15299542637596467</v>
      </c>
      <c r="K744">
        <f t="shared" si="211"/>
        <v>2.9996459789227128</v>
      </c>
      <c r="O744">
        <f t="shared" si="212"/>
        <v>-0.15086648935232616</v>
      </c>
      <c r="P744">
        <f t="shared" si="213"/>
        <v>2.1559994456215294E-2</v>
      </c>
      <c r="Q744">
        <f t="shared" si="214"/>
        <v>0.98831901177178227</v>
      </c>
      <c r="R744">
        <f t="shared" si="204"/>
        <v>1</v>
      </c>
      <c r="AG744" s="8">
        <f t="shared" si="208"/>
        <v>-0.76746306205264536</v>
      </c>
      <c r="AH744" s="8">
        <f t="shared" si="209"/>
        <v>-0.37778120598226983</v>
      </c>
      <c r="AI744" s="8">
        <f t="shared" si="210"/>
        <v>0.51795927329410685</v>
      </c>
      <c r="AJ744" s="8"/>
      <c r="AK744" s="8"/>
      <c r="AL744" s="8"/>
      <c r="AN744" s="8">
        <f t="shared" si="215"/>
        <v>1</v>
      </c>
      <c r="AO744" s="8">
        <f t="shared" si="216"/>
        <v>3.5990184552398676</v>
      </c>
      <c r="AP744" s="8">
        <f t="shared" si="217"/>
        <v>1.0263327880205209</v>
      </c>
      <c r="AQ744" s="8"/>
      <c r="AR744" s="8">
        <f t="shared" si="218"/>
        <v>206.20856787493759</v>
      </c>
      <c r="AS744" s="8">
        <f t="shared" si="219"/>
        <v>31.195462870529177</v>
      </c>
    </row>
    <row r="745" spans="1:45">
      <c r="A745" s="19">
        <v>31.798433330000002</v>
      </c>
      <c r="B745" s="19">
        <v>722.5322208</v>
      </c>
      <c r="C745" s="19">
        <v>505.84744910000001</v>
      </c>
      <c r="E745" s="9">
        <f t="shared" si="205"/>
        <v>-237.4677792</v>
      </c>
      <c r="F745" s="9">
        <f t="shared" si="206"/>
        <v>34.152550899999994</v>
      </c>
      <c r="I745">
        <v>1</v>
      </c>
      <c r="J745">
        <f t="shared" si="207"/>
        <v>0.15343385021749512</v>
      </c>
      <c r="K745">
        <f t="shared" si="211"/>
        <v>2.9987523950514152</v>
      </c>
      <c r="O745">
        <f t="shared" si="212"/>
        <v>-0.15127603866582817</v>
      </c>
      <c r="P745">
        <f t="shared" si="213"/>
        <v>2.1756478406840085E-2</v>
      </c>
      <c r="Q745">
        <f t="shared" si="214"/>
        <v>0.98825210132481256</v>
      </c>
      <c r="R745">
        <f t="shared" si="204"/>
        <v>1</v>
      </c>
      <c r="AG745" s="8">
        <f t="shared" si="208"/>
        <v>-0.7676210170620712</v>
      </c>
      <c r="AH745" s="8">
        <f t="shared" si="209"/>
        <v>-0.37735672364010764</v>
      </c>
      <c r="AI745" s="8">
        <f t="shared" si="210"/>
        <v>0.51803462942953427</v>
      </c>
      <c r="AJ745" s="8"/>
      <c r="AK745" s="8"/>
      <c r="AL745" s="8"/>
      <c r="AN745" s="8">
        <f t="shared" si="215"/>
        <v>1</v>
      </c>
      <c r="AO745" s="8">
        <f t="shared" si="216"/>
        <v>3.5984916574395411</v>
      </c>
      <c r="AP745" s="8">
        <f t="shared" si="217"/>
        <v>1.0262446915973196</v>
      </c>
      <c r="AQ745" s="8"/>
      <c r="AR745" s="8">
        <f t="shared" si="218"/>
        <v>206.17838458432212</v>
      </c>
      <c r="AS745" s="8">
        <f t="shared" si="219"/>
        <v>31.200510423768812</v>
      </c>
    </row>
    <row r="746" spans="1:45">
      <c r="A746" s="19">
        <v>31.831800000000001</v>
      </c>
      <c r="B746" s="19">
        <v>722.13390159999994</v>
      </c>
      <c r="C746" s="19">
        <v>505.71237170000001</v>
      </c>
      <c r="E746" s="9">
        <f t="shared" si="205"/>
        <v>-237.86609840000006</v>
      </c>
      <c r="F746" s="9">
        <f t="shared" si="206"/>
        <v>34.287628299999994</v>
      </c>
      <c r="I746">
        <v>1</v>
      </c>
      <c r="J746">
        <f t="shared" si="207"/>
        <v>0.15369650762481044</v>
      </c>
      <c r="K746">
        <f t="shared" si="211"/>
        <v>2.998431999281943</v>
      </c>
      <c r="O746">
        <f t="shared" si="212"/>
        <v>-0.15152597131365178</v>
      </c>
      <c r="P746">
        <f t="shared" si="213"/>
        <v>2.1841978395181663E-2</v>
      </c>
      <c r="Q746">
        <f t="shared" si="214"/>
        <v>0.98821192463825225</v>
      </c>
      <c r="R746">
        <f t="shared" si="204"/>
        <v>1</v>
      </c>
      <c r="AG746" s="8">
        <f t="shared" si="208"/>
        <v>-0.76772903704109774</v>
      </c>
      <c r="AH746" s="8">
        <f t="shared" si="209"/>
        <v>-0.37711296439086611</v>
      </c>
      <c r="AI746" s="8">
        <f t="shared" si="210"/>
        <v>0.51805206087060607</v>
      </c>
      <c r="AJ746" s="8"/>
      <c r="AK746" s="8"/>
      <c r="AL746" s="8"/>
      <c r="AN746" s="8">
        <f t="shared" si="215"/>
        <v>1</v>
      </c>
      <c r="AO746" s="8">
        <f t="shared" si="216"/>
        <v>3.5981801933776096</v>
      </c>
      <c r="AP746" s="8">
        <f t="shared" si="217"/>
        <v>1.0262243123933872</v>
      </c>
      <c r="AQ746" s="8"/>
      <c r="AR746" s="8">
        <f t="shared" si="218"/>
        <v>206.16053900810343</v>
      </c>
      <c r="AS746" s="8">
        <f t="shared" si="219"/>
        <v>31.20167806614397</v>
      </c>
    </row>
    <row r="747" spans="1:45">
      <c r="A747" s="19">
        <v>31.865166670000001</v>
      </c>
      <c r="B747" s="19">
        <v>721.39878539999995</v>
      </c>
      <c r="C747" s="19">
        <v>505.49467129999999</v>
      </c>
      <c r="E747" s="9">
        <f t="shared" si="205"/>
        <v>-238.60121460000005</v>
      </c>
      <c r="F747" s="9">
        <f t="shared" si="206"/>
        <v>34.505328700000007</v>
      </c>
      <c r="I747">
        <v>1</v>
      </c>
      <c r="J747">
        <f t="shared" si="207"/>
        <v>0.15417837637696152</v>
      </c>
      <c r="K747">
        <f t="shared" si="211"/>
        <v>2.9979732668595269</v>
      </c>
      <c r="O747">
        <f t="shared" si="212"/>
        <v>-0.15198720396354215</v>
      </c>
      <c r="P747">
        <f t="shared" si="213"/>
        <v>2.1979638451329029E-2</v>
      </c>
      <c r="Q747">
        <f t="shared" si="214"/>
        <v>0.98813803961030333</v>
      </c>
      <c r="R747">
        <f t="shared" si="204"/>
        <v>1</v>
      </c>
      <c r="AG747" s="8">
        <f t="shared" si="208"/>
        <v>-0.7679350939733639</v>
      </c>
      <c r="AH747" s="8">
        <f t="shared" si="209"/>
        <v>-0.37667200157302394</v>
      </c>
      <c r="AI747" s="8">
        <f t="shared" si="210"/>
        <v>0.51806746150968852</v>
      </c>
      <c r="AJ747" s="8"/>
      <c r="AK747" s="8"/>
      <c r="AL747" s="8"/>
      <c r="AN747" s="8">
        <f t="shared" si="215"/>
        <v>1</v>
      </c>
      <c r="AO747" s="8">
        <f t="shared" si="216"/>
        <v>3.5976112503627276</v>
      </c>
      <c r="AP747" s="8">
        <f t="shared" si="217"/>
        <v>1.0262063072031395</v>
      </c>
      <c r="AQ747" s="8"/>
      <c r="AR747" s="8">
        <f t="shared" si="218"/>
        <v>206.12794097456725</v>
      </c>
      <c r="AS747" s="8">
        <f t="shared" si="219"/>
        <v>31.202709687554496</v>
      </c>
    </row>
    <row r="748" spans="1:45">
      <c r="A748" s="19">
        <v>31.898533329999999</v>
      </c>
      <c r="B748" s="19">
        <v>720.9347199</v>
      </c>
      <c r="C748" s="19">
        <v>505.45693499999999</v>
      </c>
      <c r="E748" s="9">
        <f t="shared" si="205"/>
        <v>-239.0652801</v>
      </c>
      <c r="F748" s="9">
        <f t="shared" si="206"/>
        <v>34.543065000000013</v>
      </c>
      <c r="I748">
        <v>1</v>
      </c>
      <c r="J748">
        <f t="shared" si="207"/>
        <v>0.15447349103417127</v>
      </c>
      <c r="K748">
        <f t="shared" si="211"/>
        <v>2.9980936244433614</v>
      </c>
      <c r="O748">
        <f t="shared" si="212"/>
        <v>-0.1522784583698254</v>
      </c>
      <c r="P748">
        <f t="shared" si="213"/>
        <v>2.2003047382574244E-2</v>
      </c>
      <c r="Q748">
        <f t="shared" si="214"/>
        <v>0.98809267633273623</v>
      </c>
      <c r="R748">
        <f t="shared" si="204"/>
        <v>1</v>
      </c>
      <c r="AG748" s="8">
        <f t="shared" si="208"/>
        <v>-0.768086731194359</v>
      </c>
      <c r="AH748" s="8">
        <f t="shared" si="209"/>
        <v>-0.37642180875637998</v>
      </c>
      <c r="AI748" s="8">
        <f t="shared" si="210"/>
        <v>0.51802451221514589</v>
      </c>
      <c r="AJ748" s="8"/>
      <c r="AK748" s="8"/>
      <c r="AL748" s="8"/>
      <c r="AN748" s="8">
        <f t="shared" si="215"/>
        <v>1</v>
      </c>
      <c r="AO748" s="8">
        <f t="shared" si="216"/>
        <v>3.5972705728275725</v>
      </c>
      <c r="AP748" s="8">
        <f t="shared" si="217"/>
        <v>1.0262565195789271</v>
      </c>
      <c r="AQ748" s="8"/>
      <c r="AR748" s="8">
        <f t="shared" si="218"/>
        <v>206.10842158962794</v>
      </c>
      <c r="AS748" s="8">
        <f t="shared" si="219"/>
        <v>31.199832730342543</v>
      </c>
    </row>
    <row r="749" spans="1:45">
      <c r="A749" s="19">
        <v>31.931899999999999</v>
      </c>
      <c r="B749" s="19">
        <v>720.35021989999996</v>
      </c>
      <c r="C749" s="19">
        <v>505.51698570000002</v>
      </c>
      <c r="E749" s="9">
        <f t="shared" si="205"/>
        <v>-239.64978010000004</v>
      </c>
      <c r="F749" s="9">
        <f t="shared" si="206"/>
        <v>34.483014299999979</v>
      </c>
      <c r="I749">
        <v>1</v>
      </c>
      <c r="J749">
        <f t="shared" si="207"/>
        <v>0.15483542163785441</v>
      </c>
      <c r="K749">
        <f t="shared" si="211"/>
        <v>2.99868433287569</v>
      </c>
      <c r="O749">
        <f t="shared" si="212"/>
        <v>-0.1526453945854816</v>
      </c>
      <c r="P749">
        <f t="shared" si="213"/>
        <v>2.1964023176336358E-2</v>
      </c>
      <c r="Q749">
        <f t="shared" si="214"/>
        <v>0.98803692501735585</v>
      </c>
      <c r="R749">
        <f t="shared" si="204"/>
        <v>1</v>
      </c>
      <c r="AG749" s="8">
        <f t="shared" si="208"/>
        <v>-0.76830098564831339</v>
      </c>
      <c r="AH749" s="8">
        <f t="shared" si="209"/>
        <v>-0.3761370913839498</v>
      </c>
      <c r="AI749" s="8">
        <f t="shared" si="210"/>
        <v>0.51791358732616055</v>
      </c>
      <c r="AJ749" s="8"/>
      <c r="AK749" s="8"/>
      <c r="AL749" s="8"/>
      <c r="AN749" s="8">
        <f t="shared" si="215"/>
        <v>1</v>
      </c>
      <c r="AO749" s="8">
        <f t="shared" si="216"/>
        <v>3.5968614783943322</v>
      </c>
      <c r="AP749" s="8">
        <f t="shared" si="217"/>
        <v>1.0263861957213904</v>
      </c>
      <c r="AQ749" s="8"/>
      <c r="AR749" s="8">
        <f t="shared" si="218"/>
        <v>206.08498220518098</v>
      </c>
      <c r="AS749" s="8">
        <f t="shared" si="219"/>
        <v>31.192402834675853</v>
      </c>
    </row>
    <row r="750" spans="1:45">
      <c r="A750" s="19">
        <v>31.965266669999998</v>
      </c>
      <c r="B750" s="19">
        <v>719.87082829999997</v>
      </c>
      <c r="C750" s="19">
        <v>505.40702119999997</v>
      </c>
      <c r="E750" s="9">
        <f t="shared" si="205"/>
        <v>-240.12917170000003</v>
      </c>
      <c r="F750" s="9">
        <f t="shared" si="206"/>
        <v>34.592978800000026</v>
      </c>
      <c r="I750">
        <v>1</v>
      </c>
      <c r="J750">
        <f t="shared" si="207"/>
        <v>0.15514666500805821</v>
      </c>
      <c r="K750">
        <f t="shared" si="211"/>
        <v>2.9985171190750637</v>
      </c>
      <c r="O750">
        <f t="shared" si="212"/>
        <v>-0.15294609011334015</v>
      </c>
      <c r="P750">
        <f t="shared" si="213"/>
        <v>2.203339484068885E-2</v>
      </c>
      <c r="Q750">
        <f t="shared" si="214"/>
        <v>0.9879888779894419</v>
      </c>
      <c r="R750">
        <f t="shared" si="204"/>
        <v>1</v>
      </c>
      <c r="AG750" s="8">
        <f t="shared" si="208"/>
        <v>-0.76844202390570282</v>
      </c>
      <c r="AH750" s="8">
        <f t="shared" si="209"/>
        <v>-0.37585852753197274</v>
      </c>
      <c r="AI750" s="8">
        <f t="shared" si="210"/>
        <v>0.51790657765392856</v>
      </c>
      <c r="AJ750" s="8"/>
      <c r="AK750" s="8"/>
      <c r="AL750" s="8"/>
      <c r="AN750" s="8">
        <f t="shared" si="215"/>
        <v>1</v>
      </c>
      <c r="AO750" s="8">
        <f t="shared" si="216"/>
        <v>3.596496512736544</v>
      </c>
      <c r="AP750" s="8">
        <f t="shared" si="217"/>
        <v>1.0263943899988264</v>
      </c>
      <c r="AQ750" s="8"/>
      <c r="AR750" s="8">
        <f t="shared" si="218"/>
        <v>206.06407121332251</v>
      </c>
      <c r="AS750" s="8">
        <f t="shared" si="219"/>
        <v>31.191933337162617</v>
      </c>
    </row>
    <row r="751" spans="1:45">
      <c r="A751" s="19">
        <v>31.998633330000001</v>
      </c>
      <c r="B751" s="19">
        <v>719.09229340000002</v>
      </c>
      <c r="C751" s="19">
        <v>505.4138006</v>
      </c>
      <c r="E751" s="9">
        <f t="shared" si="205"/>
        <v>-240.90770659999998</v>
      </c>
      <c r="F751" s="9">
        <f t="shared" si="206"/>
        <v>34.586199399999998</v>
      </c>
      <c r="I751">
        <v>1</v>
      </c>
      <c r="J751">
        <f t="shared" si="207"/>
        <v>0.15563531541385617</v>
      </c>
      <c r="K751">
        <f t="shared" si="211"/>
        <v>2.9990008107266313</v>
      </c>
      <c r="O751">
        <f t="shared" si="212"/>
        <v>-0.15343459272872051</v>
      </c>
      <c r="P751">
        <f t="shared" si="213"/>
        <v>2.2028018504964327E-2</v>
      </c>
      <c r="Q751">
        <f t="shared" si="214"/>
        <v>0.98791325133076169</v>
      </c>
      <c r="R751">
        <f t="shared" si="204"/>
        <v>1</v>
      </c>
      <c r="AG751" s="8">
        <f t="shared" si="208"/>
        <v>-0.76871116981816801</v>
      </c>
      <c r="AH751" s="8">
        <f t="shared" si="209"/>
        <v>-0.37545852853033651</v>
      </c>
      <c r="AI751" s="8">
        <f t="shared" si="210"/>
        <v>0.51779728731485097</v>
      </c>
      <c r="AJ751" s="8"/>
      <c r="AK751" s="8"/>
      <c r="AL751" s="8"/>
      <c r="AN751" s="8">
        <f t="shared" si="215"/>
        <v>1</v>
      </c>
      <c r="AO751" s="8">
        <f t="shared" si="216"/>
        <v>3.5959382721599549</v>
      </c>
      <c r="AP751" s="8">
        <f t="shared" si="217"/>
        <v>1.0265221446895227</v>
      </c>
      <c r="AQ751" s="8"/>
      <c r="AR751" s="8">
        <f t="shared" si="218"/>
        <v>206.032086384331</v>
      </c>
      <c r="AS751" s="8">
        <f t="shared" si="219"/>
        <v>31.184613532572712</v>
      </c>
    </row>
    <row r="752" spans="1:45">
      <c r="A752" s="19">
        <v>32.031999999999996</v>
      </c>
      <c r="B752" s="19">
        <v>718.81757990000006</v>
      </c>
      <c r="C752" s="19">
        <v>505.41606109999998</v>
      </c>
      <c r="E752" s="9">
        <f t="shared" si="205"/>
        <v>-241.18242009999994</v>
      </c>
      <c r="F752" s="9">
        <f t="shared" si="206"/>
        <v>34.583938900000021</v>
      </c>
      <c r="I752">
        <v>1</v>
      </c>
      <c r="J752">
        <f t="shared" si="207"/>
        <v>0.15580774629890046</v>
      </c>
      <c r="K752">
        <f t="shared" si="211"/>
        <v>2.9991702216162563</v>
      </c>
      <c r="O752">
        <f t="shared" si="212"/>
        <v>-0.15360694203639788</v>
      </c>
      <c r="P752">
        <f t="shared" si="213"/>
        <v>2.2026203633747486E-2</v>
      </c>
      <c r="Q752">
        <f t="shared" si="214"/>
        <v>0.98788650851791238</v>
      </c>
      <c r="R752">
        <f t="shared" si="204"/>
        <v>1</v>
      </c>
      <c r="AG752" s="8">
        <f t="shared" si="208"/>
        <v>-0.76880605932360946</v>
      </c>
      <c r="AH752" s="8">
        <f t="shared" si="209"/>
        <v>-0.37531733791875399</v>
      </c>
      <c r="AI752" s="8">
        <f t="shared" si="210"/>
        <v>0.5177587652612774</v>
      </c>
      <c r="AJ752" s="8"/>
      <c r="AK752" s="8"/>
      <c r="AL752" s="8"/>
      <c r="AN752" s="8">
        <f t="shared" si="215"/>
        <v>1</v>
      </c>
      <c r="AO752" s="8">
        <f t="shared" si="216"/>
        <v>3.5957413043908879</v>
      </c>
      <c r="AP752" s="8">
        <f t="shared" si="217"/>
        <v>1.0265671726008665</v>
      </c>
      <c r="AQ752" s="8"/>
      <c r="AR752" s="8">
        <f t="shared" si="218"/>
        <v>206.02080096246334</v>
      </c>
      <c r="AS752" s="8">
        <f t="shared" si="219"/>
        <v>31.182033623292426</v>
      </c>
    </row>
    <row r="753" spans="1:45">
      <c r="A753" s="19">
        <v>32.065366670000003</v>
      </c>
      <c r="B753" s="19">
        <v>718.1956083</v>
      </c>
      <c r="C753" s="19">
        <v>505.20576770000002</v>
      </c>
      <c r="E753" s="9">
        <f t="shared" si="205"/>
        <v>-241.8043917</v>
      </c>
      <c r="F753" s="9">
        <f t="shared" si="206"/>
        <v>34.794232299999976</v>
      </c>
      <c r="I753">
        <v>1</v>
      </c>
      <c r="J753">
        <f t="shared" si="207"/>
        <v>0.15621754678246183</v>
      </c>
      <c r="K753">
        <f t="shared" si="211"/>
        <v>2.998679500560431</v>
      </c>
      <c r="O753">
        <f t="shared" si="212"/>
        <v>-0.1539968110890379</v>
      </c>
      <c r="P753">
        <f t="shared" si="213"/>
        <v>2.2159236980025494E-2</v>
      </c>
      <c r="Q753">
        <f t="shared" si="214"/>
        <v>0.98782283350349331</v>
      </c>
      <c r="R753">
        <f t="shared" si="204"/>
        <v>1</v>
      </c>
      <c r="AG753" s="8">
        <f t="shared" si="208"/>
        <v>-0.76897398271261297</v>
      </c>
      <c r="AH753" s="8">
        <f t="shared" si="209"/>
        <v>-0.3749367382474319</v>
      </c>
      <c r="AI753" s="8">
        <f t="shared" si="210"/>
        <v>0.51778514484627602</v>
      </c>
      <c r="AJ753" s="8"/>
      <c r="AK753" s="8"/>
      <c r="AL753" s="8"/>
      <c r="AN753" s="8">
        <f t="shared" si="215"/>
        <v>1.0000000000000002</v>
      </c>
      <c r="AO753" s="8">
        <f t="shared" si="216"/>
        <v>3.5952554101733569</v>
      </c>
      <c r="AP753" s="8">
        <f t="shared" si="217"/>
        <v>1.0265363379904899</v>
      </c>
      <c r="AQ753" s="8"/>
      <c r="AR753" s="8">
        <f t="shared" si="218"/>
        <v>205.99296127450901</v>
      </c>
      <c r="AS753" s="8">
        <f t="shared" si="219"/>
        <v>31.183800316329936</v>
      </c>
    </row>
    <row r="754" spans="1:45">
      <c r="A754" s="19">
        <v>32.098733330000002</v>
      </c>
      <c r="B754" s="19">
        <v>717.22283319999997</v>
      </c>
      <c r="C754" s="19">
        <v>505.0403465</v>
      </c>
      <c r="E754" s="9">
        <f t="shared" si="205"/>
        <v>-242.77716680000003</v>
      </c>
      <c r="F754" s="9">
        <f t="shared" si="206"/>
        <v>34.959653500000002</v>
      </c>
      <c r="I754">
        <v>1</v>
      </c>
      <c r="J754">
        <f t="shared" si="207"/>
        <v>0.15684364793481168</v>
      </c>
      <c r="K754">
        <f t="shared" si="211"/>
        <v>2.9985768218347006</v>
      </c>
      <c r="O754">
        <f t="shared" si="212"/>
        <v>-0.15460666754117597</v>
      </c>
      <c r="P754">
        <f t="shared" si="213"/>
        <v>2.2263195494335121E-2</v>
      </c>
      <c r="Q754">
        <f t="shared" si="214"/>
        <v>0.98772522924049744</v>
      </c>
      <c r="R754">
        <f t="shared" si="204"/>
        <v>1</v>
      </c>
      <c r="AG754" s="8">
        <f t="shared" si="208"/>
        <v>-0.76927185643390017</v>
      </c>
      <c r="AH754" s="8">
        <f t="shared" si="209"/>
        <v>-0.37438765644555061</v>
      </c>
      <c r="AI754" s="8">
        <f t="shared" si="210"/>
        <v>0.51773998647965114</v>
      </c>
      <c r="AJ754" s="8"/>
      <c r="AK754" s="8"/>
      <c r="AL754" s="8"/>
      <c r="AN754" s="8">
        <f t="shared" si="215"/>
        <v>1</v>
      </c>
      <c r="AO754" s="8">
        <f t="shared" si="216"/>
        <v>3.5945259423833926</v>
      </c>
      <c r="AP754" s="8">
        <f t="shared" si="217"/>
        <v>1.0265891224217696</v>
      </c>
      <c r="AQ754" s="8"/>
      <c r="AR754" s="8">
        <f t="shared" si="218"/>
        <v>205.95116584885332</v>
      </c>
      <c r="AS754" s="8">
        <f t="shared" si="219"/>
        <v>31.180775991193613</v>
      </c>
    </row>
    <row r="755" spans="1:45">
      <c r="A755" s="19">
        <v>32.132100000000001</v>
      </c>
      <c r="B755" s="19">
        <v>716.93173330000002</v>
      </c>
      <c r="C755" s="19">
        <v>505.24521670000001</v>
      </c>
      <c r="E755" s="9">
        <f t="shared" si="205"/>
        <v>-243.06826669999998</v>
      </c>
      <c r="F755" s="9">
        <f t="shared" si="206"/>
        <v>34.754783299999986</v>
      </c>
      <c r="I755">
        <v>1</v>
      </c>
      <c r="J755">
        <f t="shared" si="207"/>
        <v>0.1570080553184898</v>
      </c>
      <c r="K755">
        <f t="shared" si="211"/>
        <v>2.9995716430175894</v>
      </c>
      <c r="O755">
        <f t="shared" si="212"/>
        <v>-0.15478949121867475</v>
      </c>
      <c r="P755">
        <f t="shared" si="213"/>
        <v>2.2132363460928495E-2</v>
      </c>
      <c r="Q755">
        <f t="shared" si="214"/>
        <v>0.98769953523118414</v>
      </c>
      <c r="R755">
        <f t="shared" si="204"/>
        <v>1</v>
      </c>
      <c r="AG755" s="8">
        <f t="shared" si="208"/>
        <v>-0.76941621719121067</v>
      </c>
      <c r="AH755" s="8">
        <f t="shared" si="209"/>
        <v>-0.37429526547482483</v>
      </c>
      <c r="AI755" s="8">
        <f t="shared" si="210"/>
        <v>0.51759225164824318</v>
      </c>
      <c r="AJ755" s="8"/>
      <c r="AK755" s="8"/>
      <c r="AL755" s="8"/>
      <c r="AN755" s="8">
        <f t="shared" si="215"/>
        <v>1.0000000000000002</v>
      </c>
      <c r="AO755" s="8">
        <f t="shared" si="216"/>
        <v>3.59435501760594</v>
      </c>
      <c r="AP755" s="8">
        <f t="shared" si="217"/>
        <v>1.0267617940156439</v>
      </c>
      <c r="AQ755" s="8"/>
      <c r="AR755" s="8">
        <f t="shared" si="218"/>
        <v>205.94137258049108</v>
      </c>
      <c r="AS755" s="8">
        <f t="shared" si="219"/>
        <v>31.170882637622817</v>
      </c>
    </row>
    <row r="756" spans="1:45">
      <c r="A756" s="19">
        <v>32.165466670000001</v>
      </c>
      <c r="B756" s="19">
        <v>716.75</v>
      </c>
      <c r="C756" s="19">
        <v>504.58333329999999</v>
      </c>
      <c r="E756" s="9">
        <f t="shared" si="205"/>
        <v>-243.25</v>
      </c>
      <c r="F756" s="9">
        <f t="shared" si="206"/>
        <v>35.416666700000007</v>
      </c>
      <c r="I756">
        <v>1</v>
      </c>
      <c r="J756">
        <f t="shared" si="207"/>
        <v>0.15718219433586605</v>
      </c>
      <c r="K756">
        <f t="shared" si="211"/>
        <v>2.997010784130647</v>
      </c>
      <c r="O756">
        <f t="shared" si="212"/>
        <v>-0.15490250596985203</v>
      </c>
      <c r="P756">
        <f t="shared" si="213"/>
        <v>2.255346526178427E-2</v>
      </c>
      <c r="Q756">
        <f t="shared" si="214"/>
        <v>0.98767229122262279</v>
      </c>
      <c r="R756">
        <f t="shared" si="204"/>
        <v>1</v>
      </c>
      <c r="AG756" s="8">
        <f t="shared" si="208"/>
        <v>-0.7693346176287561</v>
      </c>
      <c r="AH756" s="8">
        <f t="shared" si="209"/>
        <v>-0.37401422835514975</v>
      </c>
      <c r="AI756" s="8">
        <f t="shared" si="210"/>
        <v>0.51791659860050598</v>
      </c>
      <c r="AJ756" s="8"/>
      <c r="AK756" s="8"/>
      <c r="AL756" s="8"/>
      <c r="AN756" s="8">
        <f t="shared" si="215"/>
        <v>1</v>
      </c>
      <c r="AO756" s="8">
        <f t="shared" si="216"/>
        <v>3.5941013155974968</v>
      </c>
      <c r="AP756" s="8">
        <f t="shared" si="217"/>
        <v>1.0263826755418286</v>
      </c>
      <c r="AQ756" s="8"/>
      <c r="AR756" s="8">
        <f t="shared" si="218"/>
        <v>205.92683652615329</v>
      </c>
      <c r="AS756" s="8">
        <f t="shared" si="219"/>
        <v>31.192604526107878</v>
      </c>
    </row>
    <row r="757" spans="1:45">
      <c r="A757" s="19">
        <v>32.198833329999999</v>
      </c>
      <c r="B757" s="19">
        <v>716.63318800000002</v>
      </c>
      <c r="C757" s="19">
        <v>504.65947369999998</v>
      </c>
      <c r="E757" s="9">
        <f t="shared" si="205"/>
        <v>-243.36681199999998</v>
      </c>
      <c r="F757" s="9">
        <f t="shared" si="206"/>
        <v>35.340526300000022</v>
      </c>
      <c r="I757">
        <v>1</v>
      </c>
      <c r="J757">
        <f t="shared" si="207"/>
        <v>0.15724859994679091</v>
      </c>
      <c r="K757">
        <f t="shared" si="211"/>
        <v>2.9973856064676569</v>
      </c>
      <c r="O757">
        <f t="shared" si="212"/>
        <v>-0.15497585448954318</v>
      </c>
      <c r="P757">
        <f t="shared" si="213"/>
        <v>2.2504828067734569E-2</v>
      </c>
      <c r="Q757">
        <f t="shared" si="214"/>
        <v>0.98766189419197381</v>
      </c>
      <c r="R757">
        <f t="shared" si="204"/>
        <v>1</v>
      </c>
      <c r="AG757" s="8">
        <f t="shared" si="208"/>
        <v>-0.76939122282321482</v>
      </c>
      <c r="AH757" s="8">
        <f t="shared" si="209"/>
        <v>-0.37397544204844058</v>
      </c>
      <c r="AI757" s="8">
        <f t="shared" si="210"/>
        <v>0.51786051692253188</v>
      </c>
      <c r="AJ757" s="8"/>
      <c r="AK757" s="8"/>
      <c r="AL757" s="8"/>
      <c r="AN757" s="8">
        <f t="shared" si="215"/>
        <v>1.0000000000000002</v>
      </c>
      <c r="AO757" s="8">
        <f t="shared" si="216"/>
        <v>3.5940316088562119</v>
      </c>
      <c r="AP757" s="8">
        <f t="shared" si="217"/>
        <v>1.0264482337894658</v>
      </c>
      <c r="AQ757" s="8"/>
      <c r="AR757" s="8">
        <f t="shared" si="218"/>
        <v>205.92284262407404</v>
      </c>
      <c r="AS757" s="8">
        <f t="shared" si="219"/>
        <v>31.188848315205988</v>
      </c>
    </row>
    <row r="758" spans="1:45">
      <c r="A758" s="19">
        <v>32.232199999999999</v>
      </c>
      <c r="B758" s="19">
        <v>715.75889129999996</v>
      </c>
      <c r="C758" s="19">
        <v>504.57740790000003</v>
      </c>
      <c r="E758" s="9">
        <f t="shared" si="205"/>
        <v>-244.24110870000004</v>
      </c>
      <c r="F758" s="9">
        <f t="shared" si="206"/>
        <v>35.422592099999974</v>
      </c>
      <c r="I758">
        <v>1</v>
      </c>
      <c r="J758">
        <f t="shared" si="207"/>
        <v>0.15780511871494129</v>
      </c>
      <c r="K758">
        <f t="shared" si="211"/>
        <v>2.9975656303148801</v>
      </c>
      <c r="O758">
        <f t="shared" si="212"/>
        <v>-0.15552384065007474</v>
      </c>
      <c r="P758">
        <f t="shared" si="213"/>
        <v>2.2555816252618391E-2</v>
      </c>
      <c r="Q758">
        <f t="shared" si="214"/>
        <v>0.98757458966025868</v>
      </c>
      <c r="R758">
        <f t="shared" si="204"/>
        <v>1</v>
      </c>
      <c r="AG758" s="8">
        <f t="shared" si="208"/>
        <v>-0.76967293049379792</v>
      </c>
      <c r="AH758" s="8">
        <f t="shared" si="209"/>
        <v>-0.37350070516734968</v>
      </c>
      <c r="AI758" s="8">
        <f t="shared" si="210"/>
        <v>0.51778451435378214</v>
      </c>
      <c r="AJ758" s="8"/>
      <c r="AK758" s="8"/>
      <c r="AL758" s="8"/>
      <c r="AN758" s="8">
        <f t="shared" si="215"/>
        <v>1.0000000000000002</v>
      </c>
      <c r="AO758" s="8">
        <f t="shared" si="216"/>
        <v>3.593388575659227</v>
      </c>
      <c r="AP758" s="8">
        <f t="shared" si="217"/>
        <v>1.0265370749682499</v>
      </c>
      <c r="AQ758" s="8"/>
      <c r="AR758" s="8">
        <f t="shared" si="218"/>
        <v>205.88599953580001</v>
      </c>
      <c r="AS758" s="8">
        <f t="shared" si="219"/>
        <v>31.183758090614695</v>
      </c>
    </row>
    <row r="759" spans="1:45">
      <c r="A759" s="19">
        <v>32.265566669999998</v>
      </c>
      <c r="B759" s="19">
        <v>715.44936619999999</v>
      </c>
      <c r="C759" s="19">
        <v>504.64672990000003</v>
      </c>
      <c r="E759" s="9">
        <f t="shared" si="205"/>
        <v>-244.55063380000001</v>
      </c>
      <c r="F759" s="9">
        <f t="shared" si="206"/>
        <v>35.353270099999975</v>
      </c>
      <c r="I759">
        <v>1</v>
      </c>
      <c r="J759">
        <f t="shared" si="207"/>
        <v>0.15799318091844206</v>
      </c>
      <c r="K759">
        <f t="shared" si="211"/>
        <v>2.9980230707773718</v>
      </c>
      <c r="O759">
        <f t="shared" si="212"/>
        <v>-0.15571795420101325</v>
      </c>
      <c r="P759">
        <f t="shared" si="213"/>
        <v>2.2511243617508277E-2</v>
      </c>
      <c r="Q759">
        <f t="shared" si="214"/>
        <v>0.98754501803727623</v>
      </c>
      <c r="R759">
        <f t="shared" si="204"/>
        <v>1</v>
      </c>
      <c r="AG759" s="8">
        <f t="shared" si="208"/>
        <v>-0.76979399307926943</v>
      </c>
      <c r="AH759" s="8">
        <f t="shared" si="209"/>
        <v>-0.37336044697844895</v>
      </c>
      <c r="AI759" s="8">
        <f t="shared" si="210"/>
        <v>0.51770569327671734</v>
      </c>
      <c r="AJ759" s="8"/>
      <c r="AK759" s="8"/>
      <c r="AL759" s="8"/>
      <c r="AN759" s="8">
        <f t="shared" si="215"/>
        <v>1</v>
      </c>
      <c r="AO759" s="8">
        <f t="shared" si="216"/>
        <v>3.5931793100193703</v>
      </c>
      <c r="AP759" s="8">
        <f t="shared" si="217"/>
        <v>1.0266292057215862</v>
      </c>
      <c r="AQ759" s="8"/>
      <c r="AR759" s="8">
        <f t="shared" si="218"/>
        <v>205.87400949783913</v>
      </c>
      <c r="AS759" s="8">
        <f t="shared" si="219"/>
        <v>31.178479387285165</v>
      </c>
    </row>
    <row r="760" spans="1:45">
      <c r="A760" s="19">
        <v>32.298933329999997</v>
      </c>
      <c r="B760" s="19">
        <v>714.80482629999995</v>
      </c>
      <c r="C760" s="19">
        <v>504.57882999999998</v>
      </c>
      <c r="E760" s="9">
        <f t="shared" si="205"/>
        <v>-245.19517370000005</v>
      </c>
      <c r="F760" s="9">
        <f t="shared" si="206"/>
        <v>35.421170000000018</v>
      </c>
      <c r="I760">
        <v>1</v>
      </c>
      <c r="J760">
        <f t="shared" si="207"/>
        <v>0.15840406382953554</v>
      </c>
      <c r="K760">
        <f t="shared" si="211"/>
        <v>2.9981240532285742</v>
      </c>
      <c r="O760">
        <f t="shared" si="212"/>
        <v>-0.15612181003859096</v>
      </c>
      <c r="P760">
        <f t="shared" si="213"/>
        <v>2.2553531909444126E-2</v>
      </c>
      <c r="Q760">
        <f t="shared" si="214"/>
        <v>0.9874802877165112</v>
      </c>
      <c r="R760">
        <f t="shared" si="204"/>
        <v>1</v>
      </c>
      <c r="AG760" s="8">
        <f t="shared" si="208"/>
        <v>-0.76999981048432731</v>
      </c>
      <c r="AH760" s="8">
        <f t="shared" si="209"/>
        <v>-0.37300833057874272</v>
      </c>
      <c r="AI760" s="8">
        <f t="shared" si="210"/>
        <v>0.51765343346003168</v>
      </c>
      <c r="AJ760" s="8"/>
      <c r="AK760" s="8"/>
      <c r="AL760" s="8"/>
      <c r="AN760" s="8">
        <f t="shared" si="215"/>
        <v>1</v>
      </c>
      <c r="AO760" s="8">
        <f t="shared" si="216"/>
        <v>3.5927040402910229</v>
      </c>
      <c r="AP760" s="8">
        <f t="shared" si="217"/>
        <v>1.026690287265672</v>
      </c>
      <c r="AQ760" s="8"/>
      <c r="AR760" s="8">
        <f t="shared" si="218"/>
        <v>205.84677854827447</v>
      </c>
      <c r="AS760" s="8">
        <f t="shared" si="219"/>
        <v>31.174979672602902</v>
      </c>
    </row>
    <row r="761" spans="1:45">
      <c r="A761" s="19">
        <v>32.332299999999996</v>
      </c>
      <c r="B761" s="19">
        <v>714.70565639999995</v>
      </c>
      <c r="C761" s="19">
        <v>504.5818112</v>
      </c>
      <c r="E761" s="9">
        <f t="shared" si="205"/>
        <v>-245.29434360000005</v>
      </c>
      <c r="F761" s="9">
        <f t="shared" si="206"/>
        <v>35.418188799999996</v>
      </c>
      <c r="I761">
        <v>1</v>
      </c>
      <c r="J761">
        <f t="shared" si="207"/>
        <v>0.15846606146082395</v>
      </c>
      <c r="K761">
        <f t="shared" si="211"/>
        <v>2.9981931692110928</v>
      </c>
      <c r="O761">
        <f t="shared" si="212"/>
        <v>-0.15618396123098388</v>
      </c>
      <c r="P761">
        <f t="shared" si="213"/>
        <v>2.2551490365515577E-2</v>
      </c>
      <c r="Q761">
        <f t="shared" si="214"/>
        <v>0.98747050616030685</v>
      </c>
      <c r="R761">
        <f t="shared" si="204"/>
        <v>1</v>
      </c>
      <c r="AG761" s="8">
        <f t="shared" si="208"/>
        <v>-0.77003438512470979</v>
      </c>
      <c r="AH761" s="8">
        <f t="shared" si="209"/>
        <v>-0.3729579488158325</v>
      </c>
      <c r="AI761" s="8">
        <f t="shared" si="210"/>
        <v>0.51763830436000113</v>
      </c>
      <c r="AJ761" s="8"/>
      <c r="AK761" s="8"/>
      <c r="AL761" s="8"/>
      <c r="AN761" s="8">
        <f t="shared" si="215"/>
        <v>1.0000000000000002</v>
      </c>
      <c r="AO761" s="8">
        <f t="shared" si="216"/>
        <v>3.5926334288731496</v>
      </c>
      <c r="AP761" s="8">
        <f t="shared" si="217"/>
        <v>1.0267079698147095</v>
      </c>
      <c r="AQ761" s="8"/>
      <c r="AR761" s="8">
        <f t="shared" si="218"/>
        <v>205.84273281204491</v>
      </c>
      <c r="AS761" s="8">
        <f t="shared" si="219"/>
        <v>31.173966537172028</v>
      </c>
    </row>
    <row r="762" spans="1:45">
      <c r="A762" s="19">
        <v>32.365666670000003</v>
      </c>
      <c r="B762" s="19">
        <v>714.03521120000005</v>
      </c>
      <c r="C762" s="19">
        <v>504.41654419999998</v>
      </c>
      <c r="E762" s="9">
        <f t="shared" si="205"/>
        <v>-245.96478879999995</v>
      </c>
      <c r="F762" s="9">
        <f t="shared" si="206"/>
        <v>35.583455800000024</v>
      </c>
      <c r="I762">
        <v>1</v>
      </c>
      <c r="J762">
        <f t="shared" si="207"/>
        <v>0.15890199148589731</v>
      </c>
      <c r="K762">
        <f t="shared" si="211"/>
        <v>2.9979205276340153</v>
      </c>
      <c r="O762">
        <f t="shared" si="212"/>
        <v>-0.15660382498693287</v>
      </c>
      <c r="P762">
        <f t="shared" si="213"/>
        <v>2.2655703329408729E-2</v>
      </c>
      <c r="Q762">
        <f t="shared" si="214"/>
        <v>0.98740162097604023</v>
      </c>
      <c r="R762">
        <f t="shared" si="204"/>
        <v>1</v>
      </c>
      <c r="AG762" s="8">
        <f t="shared" si="208"/>
        <v>-0.77022770204932123</v>
      </c>
      <c r="AH762" s="8">
        <f t="shared" si="209"/>
        <v>-0.37256488539102517</v>
      </c>
      <c r="AI762" s="8">
        <f t="shared" si="210"/>
        <v>0.5176337442336949</v>
      </c>
      <c r="AJ762" s="8"/>
      <c r="AK762" s="8"/>
      <c r="AL762" s="8"/>
      <c r="AN762" s="8">
        <f t="shared" si="215"/>
        <v>1</v>
      </c>
      <c r="AO762" s="8">
        <f t="shared" si="216"/>
        <v>3.5921214830438832</v>
      </c>
      <c r="AP762" s="8">
        <f t="shared" si="217"/>
        <v>1.0267132995498254</v>
      </c>
      <c r="AQ762" s="8"/>
      <c r="AR762" s="8">
        <f t="shared" si="218"/>
        <v>205.81340047668863</v>
      </c>
      <c r="AS762" s="8">
        <f t="shared" si="219"/>
        <v>31.17366116584396</v>
      </c>
    </row>
    <row r="763" spans="1:45">
      <c r="A763" s="19">
        <v>32.399033330000002</v>
      </c>
      <c r="B763" s="19">
        <v>713.40286270000001</v>
      </c>
      <c r="C763" s="19">
        <v>504.16990060000001</v>
      </c>
      <c r="E763" s="9">
        <f t="shared" si="205"/>
        <v>-246.59713729999999</v>
      </c>
      <c r="F763" s="9">
        <f t="shared" si="206"/>
        <v>35.830099399999995</v>
      </c>
      <c r="I763">
        <v>1</v>
      </c>
      <c r="J763">
        <f t="shared" si="207"/>
        <v>0.15932138312502744</v>
      </c>
      <c r="K763">
        <f t="shared" si="211"/>
        <v>2.9973042673112218</v>
      </c>
      <c r="O763">
        <f t="shared" si="212"/>
        <v>-0.15699962442838816</v>
      </c>
      <c r="P763">
        <f t="shared" si="213"/>
        <v>2.2811749603517468E-2</v>
      </c>
      <c r="Q763">
        <f t="shared" si="214"/>
        <v>0.98733517207145594</v>
      </c>
      <c r="R763">
        <f t="shared" si="204"/>
        <v>1</v>
      </c>
      <c r="AG763" s="8">
        <f t="shared" si="208"/>
        <v>-0.77039012668401319</v>
      </c>
      <c r="AH763" s="8">
        <f t="shared" si="209"/>
        <v>-0.37216846084568111</v>
      </c>
      <c r="AI763" s="8">
        <f t="shared" si="210"/>
        <v>0.5176772058527852</v>
      </c>
      <c r="AJ763" s="8"/>
      <c r="AK763" s="8"/>
      <c r="AL763" s="8"/>
      <c r="AN763" s="8">
        <f t="shared" si="215"/>
        <v>1</v>
      </c>
      <c r="AO763" s="8">
        <f t="shared" si="216"/>
        <v>3.59162170913612</v>
      </c>
      <c r="AP763" s="8">
        <f t="shared" si="217"/>
        <v>1.0266625022499318</v>
      </c>
      <c r="AQ763" s="8"/>
      <c r="AR763" s="8">
        <f t="shared" si="218"/>
        <v>205.78476554106302</v>
      </c>
      <c r="AS763" s="8">
        <f t="shared" si="219"/>
        <v>31.176571636738522</v>
      </c>
    </row>
    <row r="764" spans="1:45">
      <c r="A764" s="19">
        <v>32.432400000000001</v>
      </c>
      <c r="B764" s="19">
        <v>712.84333709999999</v>
      </c>
      <c r="C764" s="19">
        <v>504.11755460000001</v>
      </c>
      <c r="E764" s="9">
        <f t="shared" si="205"/>
        <v>-247.15666290000001</v>
      </c>
      <c r="F764" s="9">
        <f t="shared" si="206"/>
        <v>35.882445399999995</v>
      </c>
      <c r="I764">
        <v>1</v>
      </c>
      <c r="J764">
        <f t="shared" si="207"/>
        <v>0.15967733743029797</v>
      </c>
      <c r="K764">
        <f t="shared" si="211"/>
        <v>2.9974189876788464</v>
      </c>
      <c r="O764">
        <f t="shared" si="212"/>
        <v>-0.15735003035314066</v>
      </c>
      <c r="P764">
        <f t="shared" si="213"/>
        <v>2.2844230888160764E-2</v>
      </c>
      <c r="Q764">
        <f t="shared" si="214"/>
        <v>0.9872786380060059</v>
      </c>
      <c r="R764">
        <f t="shared" si="204"/>
        <v>1</v>
      </c>
      <c r="AG764" s="8">
        <f t="shared" si="208"/>
        <v>-0.77056981850515882</v>
      </c>
      <c r="AH764" s="8">
        <f t="shared" si="209"/>
        <v>-0.37186458922289589</v>
      </c>
      <c r="AI764" s="8">
        <f t="shared" si="210"/>
        <v>0.5176281310854477</v>
      </c>
      <c r="AJ764" s="8"/>
      <c r="AK764" s="8"/>
      <c r="AL764" s="8"/>
      <c r="AN764" s="8">
        <f t="shared" si="215"/>
        <v>1</v>
      </c>
      <c r="AO764" s="8">
        <f t="shared" si="216"/>
        <v>3.591210560705397</v>
      </c>
      <c r="AP764" s="8">
        <f t="shared" si="217"/>
        <v>1.0267198600009433</v>
      </c>
      <c r="AQ764" s="8"/>
      <c r="AR764" s="8">
        <f t="shared" si="218"/>
        <v>205.76120847122917</v>
      </c>
      <c r="AS764" s="8">
        <f t="shared" si="219"/>
        <v>31.173285279683206</v>
      </c>
    </row>
    <row r="765" spans="1:45">
      <c r="A765" s="19">
        <v>32.465766670000001</v>
      </c>
      <c r="B765" s="19">
        <v>712.17244170000004</v>
      </c>
      <c r="C765" s="19">
        <v>503.830781</v>
      </c>
      <c r="E765" s="9">
        <f t="shared" si="205"/>
        <v>-247.82755829999996</v>
      </c>
      <c r="F765" s="9">
        <f t="shared" si="206"/>
        <v>36.169218999999998</v>
      </c>
      <c r="I765">
        <v>1</v>
      </c>
      <c r="J765">
        <f t="shared" si="207"/>
        <v>0.16012455234240003</v>
      </c>
      <c r="K765">
        <f t="shared" si="211"/>
        <v>2.9966707130892232</v>
      </c>
      <c r="O765">
        <f t="shared" si="212"/>
        <v>-0.15776977409338311</v>
      </c>
      <c r="P765">
        <f t="shared" si="213"/>
        <v>2.3025726234434312E-2</v>
      </c>
      <c r="Q765">
        <f t="shared" si="214"/>
        <v>0.98720743226228791</v>
      </c>
      <c r="R765">
        <f t="shared" si="204"/>
        <v>1</v>
      </c>
      <c r="AG765" s="8">
        <f t="shared" si="208"/>
        <v>-0.77073636467389028</v>
      </c>
      <c r="AH765" s="8">
        <f t="shared" si="209"/>
        <v>-0.37143685186329162</v>
      </c>
      <c r="AI765" s="8">
        <f t="shared" si="210"/>
        <v>0.51768728132644259</v>
      </c>
      <c r="AJ765" s="8"/>
      <c r="AK765" s="8"/>
      <c r="AL765" s="8"/>
      <c r="AN765" s="8">
        <f t="shared" si="215"/>
        <v>1</v>
      </c>
      <c r="AO765" s="8">
        <f t="shared" si="216"/>
        <v>3.5906757002834837</v>
      </c>
      <c r="AP765" s="8">
        <f t="shared" si="217"/>
        <v>1.0266507259618822</v>
      </c>
      <c r="AQ765" s="8"/>
      <c r="AR765" s="8">
        <f t="shared" si="218"/>
        <v>205.73056322642495</v>
      </c>
      <c r="AS765" s="8">
        <f t="shared" si="219"/>
        <v>31.177246368342097</v>
      </c>
    </row>
    <row r="766" spans="1:45">
      <c r="A766" s="19">
        <v>32.499133329999999</v>
      </c>
      <c r="B766" s="19">
        <v>711.6129072</v>
      </c>
      <c r="C766" s="19">
        <v>503.6105144</v>
      </c>
      <c r="E766" s="9">
        <f t="shared" si="205"/>
        <v>-248.3870928</v>
      </c>
      <c r="F766" s="9">
        <f t="shared" si="206"/>
        <v>36.3894856</v>
      </c>
      <c r="I766">
        <v>1</v>
      </c>
      <c r="J766">
        <f t="shared" si="207"/>
        <v>0.16049582356523645</v>
      </c>
      <c r="K766">
        <f t="shared" si="211"/>
        <v>2.996124373399125</v>
      </c>
      <c r="O766">
        <f t="shared" si="212"/>
        <v>-0.15811981035615524</v>
      </c>
      <c r="P766">
        <f t="shared" si="213"/>
        <v>2.3165046529463048E-2</v>
      </c>
      <c r="Q766">
        <f t="shared" si="214"/>
        <v>0.98714816830718033</v>
      </c>
      <c r="R766">
        <f t="shared" si="204"/>
        <v>1</v>
      </c>
      <c r="AG766" s="8">
        <f t="shared" si="208"/>
        <v>-0.77087924118893347</v>
      </c>
      <c r="AH766" s="8">
        <f t="shared" si="209"/>
        <v>-0.37108543884664913</v>
      </c>
      <c r="AI766" s="8">
        <f t="shared" si="210"/>
        <v>0.51772656159401742</v>
      </c>
      <c r="AJ766" s="8"/>
      <c r="AK766" s="8"/>
      <c r="AL766" s="8"/>
      <c r="AN766" s="8">
        <f t="shared" si="215"/>
        <v>1</v>
      </c>
      <c r="AO766" s="8">
        <f t="shared" si="216"/>
        <v>3.5902331791670741</v>
      </c>
      <c r="AP766" s="8">
        <f t="shared" si="217"/>
        <v>1.0266048140936233</v>
      </c>
      <c r="AQ766" s="8"/>
      <c r="AR766" s="8">
        <f t="shared" si="218"/>
        <v>205.70520863410925</v>
      </c>
      <c r="AS766" s="8">
        <f t="shared" si="219"/>
        <v>31.179876924622896</v>
      </c>
    </row>
    <row r="767" spans="1:45">
      <c r="A767" s="19">
        <v>32.532499999999999</v>
      </c>
      <c r="B767" s="19">
        <v>711.01027939999994</v>
      </c>
      <c r="C767" s="19">
        <v>503.62655460000002</v>
      </c>
      <c r="E767" s="9">
        <f t="shared" si="205"/>
        <v>-248.98972060000006</v>
      </c>
      <c r="F767" s="9">
        <f t="shared" si="206"/>
        <v>36.37344539999998</v>
      </c>
      <c r="I767">
        <v>1</v>
      </c>
      <c r="J767">
        <f t="shared" si="207"/>
        <v>0.16087241058355484</v>
      </c>
      <c r="K767">
        <f t="shared" si="211"/>
        <v>2.9965345953558482</v>
      </c>
      <c r="O767">
        <f t="shared" si="212"/>
        <v>-0.15849713155696168</v>
      </c>
      <c r="P767">
        <f t="shared" si="213"/>
        <v>2.3153914735320871E-2</v>
      </c>
      <c r="Q767">
        <f t="shared" si="214"/>
        <v>0.98708791681422414</v>
      </c>
      <c r="R767">
        <f t="shared" si="204"/>
        <v>1</v>
      </c>
      <c r="AG767" s="8">
        <f t="shared" si="208"/>
        <v>-0.77108814119218805</v>
      </c>
      <c r="AH767" s="8">
        <f t="shared" si="209"/>
        <v>-0.37077858287372506</v>
      </c>
      <c r="AI767" s="8">
        <f t="shared" si="210"/>
        <v>0.51763531660323236</v>
      </c>
      <c r="AJ767" s="8"/>
      <c r="AK767" s="8"/>
      <c r="AL767" s="8"/>
      <c r="AN767" s="8">
        <f t="shared" si="215"/>
        <v>1.0000000000000002</v>
      </c>
      <c r="AO767" s="8">
        <f t="shared" si="216"/>
        <v>3.5898041273982724</v>
      </c>
      <c r="AP767" s="8">
        <f t="shared" si="217"/>
        <v>1.0267114618147009</v>
      </c>
      <c r="AQ767" s="8"/>
      <c r="AR767" s="8">
        <f t="shared" si="218"/>
        <v>205.68062577856429</v>
      </c>
      <c r="AS767" s="8">
        <f t="shared" si="219"/>
        <v>31.173766460310461</v>
      </c>
    </row>
    <row r="768" spans="1:45">
      <c r="A768" s="19">
        <v>32.565866669999998</v>
      </c>
      <c r="B768" s="19">
        <v>710.70036440000001</v>
      </c>
      <c r="C768" s="19">
        <v>503.63209160000002</v>
      </c>
      <c r="E768" s="9">
        <f t="shared" si="205"/>
        <v>-249.29963559999999</v>
      </c>
      <c r="F768" s="9">
        <f t="shared" si="206"/>
        <v>36.367908399999976</v>
      </c>
      <c r="I768">
        <v>1</v>
      </c>
      <c r="J768">
        <f t="shared" si="207"/>
        <v>0.16106632278902286</v>
      </c>
      <c r="K768">
        <f t="shared" si="211"/>
        <v>2.9967341561742189</v>
      </c>
      <c r="O768">
        <f t="shared" si="212"/>
        <v>-0.15869114968277093</v>
      </c>
      <c r="P768">
        <f t="shared" si="213"/>
        <v>2.3149914285529361E-2</v>
      </c>
      <c r="Q768">
        <f t="shared" si="214"/>
        <v>0.98705683751288253</v>
      </c>
      <c r="R768">
        <f t="shared" si="204"/>
        <v>1</v>
      </c>
      <c r="AG768" s="8">
        <f t="shared" si="208"/>
        <v>-0.77119493039001463</v>
      </c>
      <c r="AH768" s="8">
        <f t="shared" si="209"/>
        <v>-0.37061999920858274</v>
      </c>
      <c r="AI768" s="8">
        <f t="shared" si="210"/>
        <v>0.51758979465148913</v>
      </c>
      <c r="AJ768" s="8"/>
      <c r="AK768" s="8"/>
      <c r="AL768" s="8"/>
      <c r="AN768" s="8">
        <f t="shared" si="215"/>
        <v>1</v>
      </c>
      <c r="AO768" s="8">
        <f t="shared" si="216"/>
        <v>3.5895830071076964</v>
      </c>
      <c r="AP768" s="8">
        <f t="shared" si="217"/>
        <v>1.0267646655863736</v>
      </c>
      <c r="AQ768" s="8"/>
      <c r="AR768" s="8">
        <f t="shared" si="218"/>
        <v>205.66795651914958</v>
      </c>
      <c r="AS768" s="8">
        <f t="shared" si="219"/>
        <v>31.170718108739436</v>
      </c>
    </row>
    <row r="769" spans="1:45">
      <c r="A769" s="19">
        <v>32.599233329999997</v>
      </c>
      <c r="B769" s="19">
        <v>710.02587170000004</v>
      </c>
      <c r="C769" s="19">
        <v>503.62591040000001</v>
      </c>
      <c r="E769" s="9">
        <f t="shared" si="205"/>
        <v>-249.97412829999996</v>
      </c>
      <c r="F769" s="9">
        <f t="shared" si="206"/>
        <v>36.374089599999991</v>
      </c>
      <c r="I769">
        <v>1</v>
      </c>
      <c r="J769">
        <f t="shared" si="207"/>
        <v>0.1614900000761646</v>
      </c>
      <c r="K769">
        <f t="shared" si="211"/>
        <v>2.9970953825114681</v>
      </c>
      <c r="O769">
        <f t="shared" si="212"/>
        <v>-0.15911332275817736</v>
      </c>
      <c r="P769">
        <f t="shared" si="213"/>
        <v>2.3152805043943712E-2</v>
      </c>
      <c r="Q769">
        <f t="shared" si="214"/>
        <v>0.9869888034519182</v>
      </c>
      <c r="R769">
        <f t="shared" si="204"/>
        <v>1</v>
      </c>
      <c r="AG769" s="8">
        <f t="shared" si="208"/>
        <v>-0.77142325269376832</v>
      </c>
      <c r="AH769" s="8">
        <f t="shared" si="209"/>
        <v>-0.37026968387772363</v>
      </c>
      <c r="AI769" s="8">
        <f t="shared" si="210"/>
        <v>0.51750026705737773</v>
      </c>
      <c r="AJ769" s="8"/>
      <c r="AK769" s="8"/>
      <c r="AL769" s="8"/>
      <c r="AN769" s="8">
        <f t="shared" si="215"/>
        <v>1.0000000000000002</v>
      </c>
      <c r="AO769" s="8">
        <f t="shared" si="216"/>
        <v>3.5890984293296611</v>
      </c>
      <c r="AP769" s="8">
        <f t="shared" si="217"/>
        <v>1.0268692959485883</v>
      </c>
      <c r="AQ769" s="8"/>
      <c r="AR769" s="8">
        <f t="shared" si="218"/>
        <v>205.64019225762235</v>
      </c>
      <c r="AS769" s="8">
        <f t="shared" si="219"/>
        <v>31.164723230575603</v>
      </c>
    </row>
    <row r="770" spans="1:45">
      <c r="A770" s="19">
        <v>32.632599999999996</v>
      </c>
      <c r="B770" s="19">
        <v>709.67967039999996</v>
      </c>
      <c r="C770" s="19">
        <v>503.6161204</v>
      </c>
      <c r="E770" s="9">
        <f t="shared" si="205"/>
        <v>-250.32032960000004</v>
      </c>
      <c r="F770" s="9">
        <f t="shared" si="206"/>
        <v>36.3838796</v>
      </c>
      <c r="I770">
        <v>1</v>
      </c>
      <c r="J770">
        <f t="shared" si="207"/>
        <v>0.16170805626365942</v>
      </c>
      <c r="K770">
        <f t="shared" si="211"/>
        <v>2.9972541615539874</v>
      </c>
      <c r="O770">
        <f t="shared" si="212"/>
        <v>-0.15932997415975034</v>
      </c>
      <c r="P770">
        <f t="shared" si="213"/>
        <v>2.3158496977704036E-2</v>
      </c>
      <c r="Q770">
        <f t="shared" si="214"/>
        <v>0.98695371895139383</v>
      </c>
      <c r="R770">
        <f t="shared" si="204"/>
        <v>1</v>
      </c>
      <c r="AG770" s="8">
        <f t="shared" si="208"/>
        <v>-0.77153893961910069</v>
      </c>
      <c r="AH770" s="8">
        <f t="shared" si="209"/>
        <v>-0.37008799308134038</v>
      </c>
      <c r="AI770" s="8">
        <f t="shared" si="210"/>
        <v>0.51745776835260637</v>
      </c>
      <c r="AJ770" s="8"/>
      <c r="AK770" s="8"/>
      <c r="AL770" s="8"/>
      <c r="AN770" s="8">
        <f t="shared" si="215"/>
        <v>1</v>
      </c>
      <c r="AO770" s="8">
        <f t="shared" si="216"/>
        <v>3.5888485085386628</v>
      </c>
      <c r="AP770" s="8">
        <f t="shared" si="217"/>
        <v>1.0269189616125058</v>
      </c>
      <c r="AQ770" s="8"/>
      <c r="AR770" s="8">
        <f t="shared" si="218"/>
        <v>205.62587285108557</v>
      </c>
      <c r="AS770" s="8">
        <f t="shared" si="219"/>
        <v>31.161877597646416</v>
      </c>
    </row>
    <row r="771" spans="1:45">
      <c r="A771" s="19">
        <v>32.665966670000003</v>
      </c>
      <c r="B771" s="19">
        <v>708.99616549999996</v>
      </c>
      <c r="C771" s="19">
        <v>503.45656760000003</v>
      </c>
      <c r="E771" s="9">
        <f t="shared" si="205"/>
        <v>-251.00383450000004</v>
      </c>
      <c r="F771" s="9">
        <f t="shared" si="206"/>
        <v>36.543432399999972</v>
      </c>
      <c r="I771">
        <v>1</v>
      </c>
      <c r="J771">
        <f t="shared" si="207"/>
        <v>0.16215131813293768</v>
      </c>
      <c r="K771">
        <f t="shared" si="211"/>
        <v>2.9970192718246453</v>
      </c>
      <c r="O771">
        <f t="shared" si="212"/>
        <v>-0.15975742933827405</v>
      </c>
      <c r="P771">
        <f t="shared" si="213"/>
        <v>2.3258946744978883E-2</v>
      </c>
      <c r="Q771">
        <f t="shared" si="214"/>
        <v>0.98688225496638682</v>
      </c>
      <c r="R771">
        <f t="shared" si="204"/>
        <v>1</v>
      </c>
      <c r="AG771" s="8">
        <f t="shared" si="208"/>
        <v>-0.77173667457529405</v>
      </c>
      <c r="AH771" s="8">
        <f t="shared" si="209"/>
        <v>-0.36968960343253288</v>
      </c>
      <c r="AI771" s="8">
        <f t="shared" si="210"/>
        <v>0.5174476806686481</v>
      </c>
      <c r="AJ771" s="8"/>
      <c r="AK771" s="8"/>
      <c r="AL771" s="8"/>
      <c r="AN771" s="8">
        <f t="shared" si="215"/>
        <v>1</v>
      </c>
      <c r="AO771" s="8">
        <f t="shared" si="216"/>
        <v>3.5883288004023619</v>
      </c>
      <c r="AP771" s="8">
        <f t="shared" si="217"/>
        <v>1.0269307502591096</v>
      </c>
      <c r="AQ771" s="8"/>
      <c r="AR771" s="8">
        <f t="shared" si="218"/>
        <v>205.59609576829692</v>
      </c>
      <c r="AS771" s="8">
        <f t="shared" si="219"/>
        <v>31.161202157949845</v>
      </c>
    </row>
    <row r="772" spans="1:45">
      <c r="A772" s="19">
        <v>32.699333330000002</v>
      </c>
      <c r="B772" s="19">
        <v>708.66167849999999</v>
      </c>
      <c r="C772" s="19">
        <v>503.26898970000002</v>
      </c>
      <c r="E772" s="9">
        <f t="shared" si="205"/>
        <v>-251.33832150000001</v>
      </c>
      <c r="F772" s="9">
        <f t="shared" si="206"/>
        <v>36.73101029999998</v>
      </c>
      <c r="I772">
        <v>1</v>
      </c>
      <c r="J772">
        <f t="shared" si="207"/>
        <v>0.16237824110940133</v>
      </c>
      <c r="K772">
        <f t="shared" si="211"/>
        <v>2.9964782207557703</v>
      </c>
      <c r="O772">
        <f t="shared" si="212"/>
        <v>-0.15996641000390796</v>
      </c>
      <c r="P772">
        <f t="shared" si="213"/>
        <v>2.3377763559655072E-2</v>
      </c>
      <c r="Q772">
        <f t="shared" si="214"/>
        <v>0.98684559473172417</v>
      </c>
      <c r="R772">
        <f t="shared" si="204"/>
        <v>1</v>
      </c>
      <c r="AG772" s="8">
        <f t="shared" si="208"/>
        <v>-0.77180952402663294</v>
      </c>
      <c r="AH772" s="8">
        <f t="shared" si="209"/>
        <v>-0.36946366442319378</v>
      </c>
      <c r="AI772" s="8">
        <f t="shared" si="210"/>
        <v>0.51750039545179849</v>
      </c>
      <c r="AJ772" s="8"/>
      <c r="AK772" s="8"/>
      <c r="AL772" s="8"/>
      <c r="AN772" s="8">
        <f t="shared" si="215"/>
        <v>0.99999999999999989</v>
      </c>
      <c r="AO772" s="8">
        <f t="shared" si="216"/>
        <v>3.5880538872110557</v>
      </c>
      <c r="AP772" s="8">
        <f t="shared" si="217"/>
        <v>1.0268691458995398</v>
      </c>
      <c r="AQ772" s="8"/>
      <c r="AR772" s="8">
        <f t="shared" si="218"/>
        <v>205.58034440270259</v>
      </c>
      <c r="AS772" s="8">
        <f t="shared" si="219"/>
        <v>31.164731827752803</v>
      </c>
    </row>
    <row r="773" spans="1:45">
      <c r="A773" s="19">
        <v>32.732700000000001</v>
      </c>
      <c r="B773" s="19">
        <v>707.67146990000003</v>
      </c>
      <c r="C773" s="19">
        <v>502.91049270000002</v>
      </c>
      <c r="E773" s="9">
        <f t="shared" si="205"/>
        <v>-252.32853009999997</v>
      </c>
      <c r="F773" s="9">
        <f t="shared" si="206"/>
        <v>37.08950729999998</v>
      </c>
      <c r="I773">
        <v>1</v>
      </c>
      <c r="J773">
        <f t="shared" si="207"/>
        <v>0.16303203005750386</v>
      </c>
      <c r="K773">
        <f t="shared" si="211"/>
        <v>2.9956487847494491</v>
      </c>
      <c r="O773">
        <f t="shared" si="212"/>
        <v>-0.16058526018786254</v>
      </c>
      <c r="P773">
        <f t="shared" si="213"/>
        <v>2.3604259802289109E-2</v>
      </c>
      <c r="Q773">
        <f t="shared" si="214"/>
        <v>0.98673968863605688</v>
      </c>
      <c r="R773">
        <f t="shared" si="204"/>
        <v>1</v>
      </c>
      <c r="AG773" s="8">
        <f t="shared" si="208"/>
        <v>-0.77206778878713211</v>
      </c>
      <c r="AH773" s="8">
        <f t="shared" si="209"/>
        <v>-0.36885042220566971</v>
      </c>
      <c r="AI773" s="8">
        <f t="shared" si="210"/>
        <v>0.51755260172860451</v>
      </c>
      <c r="AJ773" s="8"/>
      <c r="AK773" s="8"/>
      <c r="AL773" s="8"/>
      <c r="AN773" s="8">
        <f t="shared" si="215"/>
        <v>1</v>
      </c>
      <c r="AO773" s="8">
        <f t="shared" si="216"/>
        <v>3.5872771160473609</v>
      </c>
      <c r="AP773" s="8">
        <f t="shared" si="217"/>
        <v>1.0268081335362851</v>
      </c>
      <c r="AQ773" s="8"/>
      <c r="AR773" s="8">
        <f t="shared" si="218"/>
        <v>205.53583869337541</v>
      </c>
      <c r="AS773" s="8">
        <f t="shared" si="219"/>
        <v>31.168227578665416</v>
      </c>
    </row>
    <row r="774" spans="1:45">
      <c r="A774" s="19">
        <v>32.766066670000001</v>
      </c>
      <c r="B774" s="19">
        <v>707.39805460000002</v>
      </c>
      <c r="C774" s="19">
        <v>502.67059929999999</v>
      </c>
      <c r="E774" s="9">
        <f t="shared" si="205"/>
        <v>-252.60194539999998</v>
      </c>
      <c r="F774" s="9">
        <f t="shared" si="206"/>
        <v>37.329400700000008</v>
      </c>
      <c r="I774">
        <v>1</v>
      </c>
      <c r="J774">
        <f t="shared" si="207"/>
        <v>0.16322557991840383</v>
      </c>
      <c r="K774">
        <f t="shared" si="211"/>
        <v>2.9948750037462926</v>
      </c>
      <c r="O774">
        <f t="shared" si="212"/>
        <v>-0.16075587603300098</v>
      </c>
      <c r="P774">
        <f t="shared" si="213"/>
        <v>2.3756430307030545E-2</v>
      </c>
      <c r="Q774">
        <f t="shared" si="214"/>
        <v>0.98670825492641423</v>
      </c>
      <c r="R774">
        <f t="shared" si="204"/>
        <v>1</v>
      </c>
      <c r="AG774" s="8">
        <f t="shared" si="208"/>
        <v>-0.77210831535056046</v>
      </c>
      <c r="AH774" s="8">
        <f t="shared" si="209"/>
        <v>-0.36864122352040024</v>
      </c>
      <c r="AI774" s="8">
        <f t="shared" si="210"/>
        <v>0.51764118623608557</v>
      </c>
      <c r="AJ774" s="8"/>
      <c r="AK774" s="8"/>
      <c r="AL774" s="8"/>
      <c r="AN774" s="8">
        <f t="shared" si="215"/>
        <v>1</v>
      </c>
      <c r="AO774" s="8">
        <f t="shared" si="216"/>
        <v>3.5870360760440319</v>
      </c>
      <c r="AP774" s="8">
        <f t="shared" si="217"/>
        <v>1.0267046015578782</v>
      </c>
      <c r="AQ774" s="8"/>
      <c r="AR774" s="8">
        <f t="shared" si="218"/>
        <v>205.52202811849085</v>
      </c>
      <c r="AS774" s="8">
        <f t="shared" si="219"/>
        <v>31.17415952407277</v>
      </c>
    </row>
    <row r="775" spans="1:45">
      <c r="A775" s="19">
        <v>32.799433329999999</v>
      </c>
      <c r="B775" s="19">
        <v>706.74785699999995</v>
      </c>
      <c r="C775" s="19">
        <v>502.76025329999999</v>
      </c>
      <c r="E775" s="9">
        <f t="shared" si="205"/>
        <v>-253.25214300000005</v>
      </c>
      <c r="F775" s="9">
        <f t="shared" si="206"/>
        <v>37.239746700000012</v>
      </c>
      <c r="I775">
        <v>1</v>
      </c>
      <c r="J775">
        <f t="shared" si="207"/>
        <v>0.16362482995009914</v>
      </c>
      <c r="K775">
        <f t="shared" si="211"/>
        <v>2.9955928239833978</v>
      </c>
      <c r="O775">
        <f t="shared" si="212"/>
        <v>-0.16116262675496962</v>
      </c>
      <c r="P775">
        <f t="shared" si="213"/>
        <v>2.3698340028900425E-2</v>
      </c>
      <c r="Q775">
        <f t="shared" si="214"/>
        <v>0.98664329745724866</v>
      </c>
      <c r="R775">
        <f t="shared" si="204"/>
        <v>1</v>
      </c>
      <c r="AG775" s="8">
        <f t="shared" si="208"/>
        <v>-0.77234847669064066</v>
      </c>
      <c r="AH775" s="8">
        <f t="shared" si="209"/>
        <v>-0.36833046354516336</v>
      </c>
      <c r="AI775" s="8">
        <f t="shared" si="210"/>
        <v>0.51750410643612488</v>
      </c>
      <c r="AJ775" s="8"/>
      <c r="AK775" s="8"/>
      <c r="AL775" s="8"/>
      <c r="AN775" s="8">
        <f t="shared" si="215"/>
        <v>1</v>
      </c>
      <c r="AO775" s="8">
        <f t="shared" si="216"/>
        <v>3.5865874140844465</v>
      </c>
      <c r="AP775" s="8">
        <f t="shared" si="217"/>
        <v>1.0268648090255639</v>
      </c>
      <c r="AQ775" s="8"/>
      <c r="AR775" s="8">
        <f t="shared" si="218"/>
        <v>205.49632168177854</v>
      </c>
      <c r="AS775" s="8">
        <f t="shared" si="219"/>
        <v>31.164980312327906</v>
      </c>
    </row>
    <row r="776" spans="1:45">
      <c r="A776" s="19">
        <v>32.832799999999999</v>
      </c>
      <c r="B776" s="19">
        <v>706.52580360000002</v>
      </c>
      <c r="C776" s="19">
        <v>502.60501260000001</v>
      </c>
      <c r="E776" s="9">
        <f t="shared" si="205"/>
        <v>-253.47419639999998</v>
      </c>
      <c r="F776" s="9">
        <f t="shared" si="206"/>
        <v>37.394987399999991</v>
      </c>
      <c r="I776">
        <v>1</v>
      </c>
      <c r="J776">
        <f t="shared" si="207"/>
        <v>0.16377833214503293</v>
      </c>
      <c r="K776">
        <f t="shared" si="211"/>
        <v>2.9951194595561494</v>
      </c>
      <c r="O776">
        <f t="shared" si="212"/>
        <v>-0.16130121900855654</v>
      </c>
      <c r="P776">
        <f t="shared" si="213"/>
        <v>2.3796730152803893E-2</v>
      </c>
      <c r="Q776">
        <f t="shared" si="214"/>
        <v>0.9866182809883407</v>
      </c>
      <c r="R776">
        <f t="shared" si="204"/>
        <v>1</v>
      </c>
      <c r="AG776" s="8">
        <f t="shared" si="208"/>
        <v>-0.77238994284666407</v>
      </c>
      <c r="AH776" s="8">
        <f t="shared" si="209"/>
        <v>-0.36817175296511534</v>
      </c>
      <c r="AI776" s="8">
        <f t="shared" si="210"/>
        <v>0.5175551531073006</v>
      </c>
      <c r="AJ776" s="8"/>
      <c r="AK776" s="8"/>
      <c r="AL776" s="8"/>
      <c r="AN776" s="8">
        <f t="shared" si="215"/>
        <v>1.0000000000000002</v>
      </c>
      <c r="AO776" s="8">
        <f t="shared" si="216"/>
        <v>3.5863991320915924</v>
      </c>
      <c r="AP776" s="8">
        <f t="shared" si="217"/>
        <v>1.0268051517366632</v>
      </c>
      <c r="AQ776" s="8"/>
      <c r="AR776" s="8">
        <f t="shared" si="218"/>
        <v>205.48553391822969</v>
      </c>
      <c r="AS776" s="8">
        <f t="shared" si="219"/>
        <v>31.168398423199108</v>
      </c>
    </row>
    <row r="777" spans="1:45">
      <c r="A777" s="19">
        <v>32.866166669999998</v>
      </c>
      <c r="B777" s="19">
        <v>705.90887320000002</v>
      </c>
      <c r="C777" s="19">
        <v>502.59917639999998</v>
      </c>
      <c r="E777" s="9">
        <f t="shared" si="205"/>
        <v>-254.09112679999998</v>
      </c>
      <c r="F777" s="9">
        <f t="shared" si="206"/>
        <v>37.400823600000024</v>
      </c>
      <c r="I777">
        <v>1</v>
      </c>
      <c r="J777">
        <f t="shared" si="207"/>
        <v>0.16416549817122453</v>
      </c>
      <c r="K777">
        <f t="shared" si="211"/>
        <v>2.9954475661949163</v>
      </c>
      <c r="O777">
        <f t="shared" si="212"/>
        <v>-0.16168691913399985</v>
      </c>
      <c r="P777">
        <f t="shared" si="213"/>
        <v>2.3799429823136178E-2</v>
      </c>
      <c r="Q777">
        <f t="shared" si="214"/>
        <v>0.98655508073348297</v>
      </c>
      <c r="R777">
        <f t="shared" si="204"/>
        <v>1</v>
      </c>
      <c r="AG777" s="8">
        <f t="shared" si="208"/>
        <v>-0.7725978066528072</v>
      </c>
      <c r="AH777" s="8">
        <f t="shared" si="209"/>
        <v>-0.36785114936903651</v>
      </c>
      <c r="AI777" s="8">
        <f t="shared" si="210"/>
        <v>0.51747286021892058</v>
      </c>
      <c r="AJ777" s="8"/>
      <c r="AK777" s="8"/>
      <c r="AL777" s="8"/>
      <c r="AN777" s="8">
        <f t="shared" si="215"/>
        <v>1.0000000000000002</v>
      </c>
      <c r="AO777" s="8">
        <f t="shared" si="216"/>
        <v>3.585956398176724</v>
      </c>
      <c r="AP777" s="8">
        <f t="shared" si="217"/>
        <v>1.0269013248326262</v>
      </c>
      <c r="AQ777" s="8"/>
      <c r="AR777" s="8">
        <f t="shared" si="218"/>
        <v>205.46016713346043</v>
      </c>
      <c r="AS777" s="8">
        <f t="shared" si="219"/>
        <v>31.162888110697722</v>
      </c>
    </row>
    <row r="778" spans="1:45">
      <c r="A778" s="19">
        <v>32.899533329999997</v>
      </c>
      <c r="B778" s="19">
        <v>705.61619859999996</v>
      </c>
      <c r="C778" s="19">
        <v>502.59399079999997</v>
      </c>
      <c r="E778" s="9">
        <f t="shared" si="205"/>
        <v>-254.38380140000004</v>
      </c>
      <c r="F778" s="9">
        <f t="shared" si="206"/>
        <v>37.406009200000028</v>
      </c>
      <c r="I778">
        <v>1</v>
      </c>
      <c r="J778">
        <f t="shared" si="207"/>
        <v>0.16434938584879</v>
      </c>
      <c r="K778">
        <f t="shared" si="211"/>
        <v>2.9955933760924998</v>
      </c>
      <c r="O778">
        <f t="shared" si="212"/>
        <v>-0.16186987012216406</v>
      </c>
      <c r="P778">
        <f t="shared" si="213"/>
        <v>2.3802246124436131E-2</v>
      </c>
      <c r="Q778">
        <f t="shared" si="214"/>
        <v>0.98652501145488725</v>
      </c>
      <c r="R778">
        <f t="shared" si="204"/>
        <v>1</v>
      </c>
      <c r="AG778" s="8">
        <f t="shared" si="208"/>
        <v>-0.77269584242434552</v>
      </c>
      <c r="AH778" s="8">
        <f t="shared" si="209"/>
        <v>-0.36769836232158026</v>
      </c>
      <c r="AI778" s="8">
        <f t="shared" si="210"/>
        <v>0.51743506785504878</v>
      </c>
      <c r="AJ778" s="8"/>
      <c r="AK778" s="8"/>
      <c r="AL778" s="8"/>
      <c r="AN778" s="8">
        <f t="shared" si="215"/>
        <v>1</v>
      </c>
      <c r="AO778" s="8">
        <f t="shared" si="216"/>
        <v>3.58574594092685</v>
      </c>
      <c r="AP778" s="8">
        <f t="shared" si="217"/>
        <v>1.0269454896988304</v>
      </c>
      <c r="AQ778" s="8"/>
      <c r="AR778" s="8">
        <f t="shared" si="218"/>
        <v>205.4481088212747</v>
      </c>
      <c r="AS778" s="8">
        <f t="shared" si="219"/>
        <v>31.16035765026146</v>
      </c>
    </row>
    <row r="779" spans="1:45">
      <c r="A779" s="19">
        <v>32.932899999999997</v>
      </c>
      <c r="B779" s="19">
        <v>705.16666669999995</v>
      </c>
      <c r="C779" s="19">
        <v>502.5</v>
      </c>
      <c r="E779" s="9">
        <f t="shared" si="205"/>
        <v>-254.83333330000005</v>
      </c>
      <c r="F779" s="9">
        <f t="shared" si="206"/>
        <v>37.5</v>
      </c>
      <c r="I779">
        <v>1</v>
      </c>
      <c r="J779">
        <f t="shared" si="207"/>
        <v>0.16463973890787087</v>
      </c>
      <c r="K779">
        <f t="shared" si="211"/>
        <v>2.9954862534035902</v>
      </c>
      <c r="O779">
        <f t="shared" si="212"/>
        <v>-0.16215070126081138</v>
      </c>
      <c r="P779">
        <f t="shared" si="213"/>
        <v>2.386128697740672E-2</v>
      </c>
      <c r="Q779">
        <f t="shared" si="214"/>
        <v>0.98647746505655609</v>
      </c>
      <c r="R779">
        <f t="shared" si="204"/>
        <v>1</v>
      </c>
      <c r="AG779" s="8">
        <f t="shared" si="208"/>
        <v>-0.77282760238326853</v>
      </c>
      <c r="AH779" s="8">
        <f t="shared" si="209"/>
        <v>-0.36743934771715903</v>
      </c>
      <c r="AI779" s="8">
        <f t="shared" si="210"/>
        <v>0.51742228667087531</v>
      </c>
      <c r="AJ779" s="8"/>
      <c r="AK779" s="8"/>
      <c r="AL779" s="8"/>
      <c r="AN779" s="8">
        <f t="shared" si="215"/>
        <v>1.0000000000000002</v>
      </c>
      <c r="AO779" s="8">
        <f t="shared" si="216"/>
        <v>3.5854064646942305</v>
      </c>
      <c r="AP779" s="8">
        <f t="shared" si="217"/>
        <v>1.0269604257638085</v>
      </c>
      <c r="AQ779" s="8"/>
      <c r="AR779" s="8">
        <f t="shared" si="218"/>
        <v>205.42865826590062</v>
      </c>
      <c r="AS779" s="8">
        <f t="shared" si="219"/>
        <v>31.159501876775678</v>
      </c>
    </row>
    <row r="780" spans="1:45">
      <c r="A780" s="19">
        <v>32.966266670000003</v>
      </c>
      <c r="B780" s="19">
        <v>704.32933439999999</v>
      </c>
      <c r="C780" s="19">
        <v>502.40687780000002</v>
      </c>
      <c r="E780" s="9">
        <f t="shared" si="205"/>
        <v>-255.67066560000001</v>
      </c>
      <c r="F780" s="9">
        <f t="shared" si="206"/>
        <v>37.593122199999982</v>
      </c>
      <c r="I780">
        <v>1</v>
      </c>
      <c r="J780">
        <f t="shared" si="207"/>
        <v>0.16517295765618589</v>
      </c>
      <c r="K780">
        <f t="shared" si="211"/>
        <v>2.9956014721181949</v>
      </c>
      <c r="O780">
        <f t="shared" si="212"/>
        <v>-0.16267383908387406</v>
      </c>
      <c r="P780">
        <f t="shared" si="213"/>
        <v>2.391912070581793E-2</v>
      </c>
      <c r="Q780">
        <f t="shared" si="214"/>
        <v>0.98638993189426583</v>
      </c>
      <c r="R780">
        <f t="shared" si="204"/>
        <v>1</v>
      </c>
      <c r="AG780" s="8">
        <f t="shared" si="208"/>
        <v>-0.77309069741711511</v>
      </c>
      <c r="AH780" s="8">
        <f t="shared" si="209"/>
        <v>-0.36698004062970302</v>
      </c>
      <c r="AI780" s="8">
        <f t="shared" si="210"/>
        <v>0.51735521969584908</v>
      </c>
      <c r="AJ780" s="8"/>
      <c r="AK780" s="8"/>
      <c r="AL780" s="8"/>
      <c r="AN780" s="8">
        <f t="shared" si="215"/>
        <v>1.0000000000000002</v>
      </c>
      <c r="AO780" s="8">
        <f t="shared" si="216"/>
        <v>3.5847897349151299</v>
      </c>
      <c r="AP780" s="8">
        <f t="shared" si="217"/>
        <v>1.0270387978791642</v>
      </c>
      <c r="AQ780" s="8"/>
      <c r="AR780" s="8">
        <f t="shared" si="218"/>
        <v>205.39332225245812</v>
      </c>
      <c r="AS780" s="8">
        <f t="shared" si="219"/>
        <v>31.155011485334285</v>
      </c>
    </row>
    <row r="781" spans="1:45">
      <c r="A781" s="19">
        <v>32.999633330000002</v>
      </c>
      <c r="B781" s="19">
        <v>703.95225840000001</v>
      </c>
      <c r="C781" s="19">
        <v>502.41296340000002</v>
      </c>
      <c r="E781" s="9">
        <f t="shared" si="205"/>
        <v>-256.04774159999999</v>
      </c>
      <c r="F781" s="9">
        <f t="shared" si="206"/>
        <v>37.587036599999976</v>
      </c>
      <c r="I781">
        <v>1</v>
      </c>
      <c r="J781">
        <f t="shared" si="207"/>
        <v>0.16540863785670565</v>
      </c>
      <c r="K781">
        <f t="shared" si="211"/>
        <v>2.9958367008858309</v>
      </c>
      <c r="O781">
        <f t="shared" si="212"/>
        <v>-0.16290946405762985</v>
      </c>
      <c r="P781">
        <f t="shared" si="213"/>
        <v>2.391461822610555E-2</v>
      </c>
      <c r="Q781">
        <f t="shared" si="214"/>
        <v>0.98635115326923783</v>
      </c>
      <c r="R781">
        <f t="shared" si="204"/>
        <v>1</v>
      </c>
      <c r="AG781" s="8">
        <f t="shared" si="208"/>
        <v>-0.7732195643289691</v>
      </c>
      <c r="AH781" s="8">
        <f t="shared" si="209"/>
        <v>-0.36678677139659766</v>
      </c>
      <c r="AI781" s="8">
        <f t="shared" si="210"/>
        <v>0.51729969038013102</v>
      </c>
      <c r="AJ781" s="8"/>
      <c r="AK781" s="8"/>
      <c r="AL781" s="8"/>
      <c r="AN781" s="8">
        <f t="shared" si="215"/>
        <v>1.0000000000000002</v>
      </c>
      <c r="AO781" s="8">
        <f t="shared" si="216"/>
        <v>3.5845211471595078</v>
      </c>
      <c r="AP781" s="8">
        <f t="shared" si="217"/>
        <v>1.0271036846804993</v>
      </c>
      <c r="AQ781" s="8"/>
      <c r="AR781" s="8">
        <f t="shared" si="218"/>
        <v>205.37793330763208</v>
      </c>
      <c r="AS781" s="8">
        <f t="shared" si="219"/>
        <v>31.151293745471683</v>
      </c>
    </row>
    <row r="782" spans="1:45">
      <c r="A782" s="19">
        <v>33.033000000000001</v>
      </c>
      <c r="B782" s="19">
        <v>703.29830470000002</v>
      </c>
      <c r="C782" s="19">
        <v>502.31187929999999</v>
      </c>
      <c r="E782" s="9">
        <f t="shared" si="205"/>
        <v>-256.70169529999998</v>
      </c>
      <c r="F782" s="9">
        <f t="shared" si="206"/>
        <v>37.688120700000013</v>
      </c>
      <c r="I782">
        <v>1</v>
      </c>
      <c r="J782">
        <f t="shared" si="207"/>
        <v>0.16582760933169585</v>
      </c>
      <c r="K782">
        <f t="shared" si="211"/>
        <v>2.9958173072741152</v>
      </c>
      <c r="O782">
        <f t="shared" si="212"/>
        <v>-0.16331785578728159</v>
      </c>
      <c r="P782">
        <f t="shared" si="213"/>
        <v>2.3977804486966594E-2</v>
      </c>
      <c r="Q782">
        <f t="shared" si="214"/>
        <v>0.98628208078268842</v>
      </c>
      <c r="R782">
        <f t="shared" si="204"/>
        <v>1</v>
      </c>
      <c r="AG782" s="8">
        <f t="shared" si="208"/>
        <v>-0.77341858651165951</v>
      </c>
      <c r="AH782" s="8">
        <f t="shared" si="209"/>
        <v>-0.36641999599548641</v>
      </c>
      <c r="AI782" s="8">
        <f t="shared" si="210"/>
        <v>0.51726209659414879</v>
      </c>
      <c r="AJ782" s="8"/>
      <c r="AK782" s="8"/>
      <c r="AL782" s="8"/>
      <c r="AN782" s="8">
        <f t="shared" si="215"/>
        <v>1</v>
      </c>
      <c r="AO782" s="8">
        <f t="shared" si="216"/>
        <v>3.5840342729593049</v>
      </c>
      <c r="AP782" s="8">
        <f t="shared" si="217"/>
        <v>1.0271476121135787</v>
      </c>
      <c r="AQ782" s="8"/>
      <c r="AR782" s="8">
        <f t="shared" si="218"/>
        <v>205.35003747080663</v>
      </c>
      <c r="AS782" s="8">
        <f t="shared" si="219"/>
        <v>31.148776888951389</v>
      </c>
    </row>
    <row r="783" spans="1:45">
      <c r="A783" s="19">
        <v>33.066366670000001</v>
      </c>
      <c r="B783" s="19">
        <v>703.04216670000005</v>
      </c>
      <c r="C783" s="19">
        <v>502.19898940000002</v>
      </c>
      <c r="E783" s="9">
        <f t="shared" si="205"/>
        <v>-256.95783329999995</v>
      </c>
      <c r="F783" s="9">
        <f t="shared" si="206"/>
        <v>37.801010599999984</v>
      </c>
      <c r="I783">
        <v>1</v>
      </c>
      <c r="J783">
        <f t="shared" si="207"/>
        <v>0.16599844462226079</v>
      </c>
      <c r="K783">
        <f t="shared" si="211"/>
        <v>2.995530517402349</v>
      </c>
      <c r="O783">
        <f t="shared" si="212"/>
        <v>-0.16347766776029055</v>
      </c>
      <c r="P783">
        <f t="shared" si="213"/>
        <v>2.4049163913424144E-2</v>
      </c>
      <c r="Q783">
        <f t="shared" si="214"/>
        <v>0.9862538668409474</v>
      </c>
      <c r="R783">
        <f t="shared" si="204"/>
        <v>1</v>
      </c>
      <c r="AG783" s="8">
        <f t="shared" si="208"/>
        <v>-0.77348050893590525</v>
      </c>
      <c r="AH783" s="8">
        <f t="shared" si="209"/>
        <v>-0.36625560166173554</v>
      </c>
      <c r="AI783" s="8">
        <f t="shared" si="210"/>
        <v>0.51728593306570125</v>
      </c>
      <c r="AJ783" s="8"/>
      <c r="AK783" s="8"/>
      <c r="AL783" s="8"/>
      <c r="AN783" s="8">
        <f t="shared" si="215"/>
        <v>1</v>
      </c>
      <c r="AO783" s="8">
        <f t="shared" si="216"/>
        <v>3.5838296994969001</v>
      </c>
      <c r="AP783" s="8">
        <f t="shared" si="217"/>
        <v>1.0271197599062325</v>
      </c>
      <c r="AQ783" s="8"/>
      <c r="AR783" s="8">
        <f t="shared" si="218"/>
        <v>205.33831627481047</v>
      </c>
      <c r="AS783" s="8">
        <f t="shared" si="219"/>
        <v>31.15037270288245</v>
      </c>
    </row>
    <row r="784" spans="1:45">
      <c r="A784" s="19">
        <v>33.099733329999999</v>
      </c>
      <c r="B784" s="19">
        <v>702.41666669999995</v>
      </c>
      <c r="C784" s="19">
        <v>502.41666670000001</v>
      </c>
      <c r="E784" s="9">
        <f t="shared" si="205"/>
        <v>-257.58333330000005</v>
      </c>
      <c r="F784" s="9">
        <f t="shared" si="206"/>
        <v>37.583333299999993</v>
      </c>
      <c r="I784">
        <v>1</v>
      </c>
      <c r="J784">
        <f t="shared" si="207"/>
        <v>0.16637027273496852</v>
      </c>
      <c r="K784">
        <f t="shared" si="211"/>
        <v>2.9967075601778972</v>
      </c>
      <c r="O784">
        <f t="shared" si="212"/>
        <v>-0.16386872473219408</v>
      </c>
      <c r="P784">
        <f t="shared" si="213"/>
        <v>2.3909671562030423E-2</v>
      </c>
      <c r="Q784">
        <f t="shared" si="214"/>
        <v>0.98619235885320078</v>
      </c>
      <c r="R784">
        <f t="shared" si="204"/>
        <v>1</v>
      </c>
      <c r="AG784" s="8">
        <f t="shared" si="208"/>
        <v>-0.77373922084943902</v>
      </c>
      <c r="AH784" s="8">
        <f t="shared" si="209"/>
        <v>-0.36599366370927322</v>
      </c>
      <c r="AI784" s="8">
        <f t="shared" si="210"/>
        <v>0.51708438019724268</v>
      </c>
      <c r="AJ784" s="8"/>
      <c r="AK784" s="8"/>
      <c r="AL784" s="8"/>
      <c r="AN784" s="8">
        <f t="shared" si="215"/>
        <v>1</v>
      </c>
      <c r="AO784" s="8">
        <f t="shared" si="216"/>
        <v>3.5834237599989849</v>
      </c>
      <c r="AP784" s="8">
        <f t="shared" si="217"/>
        <v>1.0273552536566384</v>
      </c>
      <c r="AQ784" s="8"/>
      <c r="AR784" s="8">
        <f t="shared" si="218"/>
        <v>205.31505765484226</v>
      </c>
      <c r="AS784" s="8">
        <f t="shared" si="219"/>
        <v>31.136879904882484</v>
      </c>
    </row>
    <row r="785" spans="1:45">
      <c r="A785" s="19">
        <v>33.133099999999999</v>
      </c>
      <c r="B785" s="19">
        <v>701.33333330000005</v>
      </c>
      <c r="C785" s="19">
        <v>502.33333329999999</v>
      </c>
      <c r="E785" s="9">
        <f t="shared" si="205"/>
        <v>-258.66666669999995</v>
      </c>
      <c r="F785" s="9">
        <f t="shared" si="206"/>
        <v>37.666666700000007</v>
      </c>
      <c r="I785">
        <v>1</v>
      </c>
      <c r="J785">
        <f t="shared" si="207"/>
        <v>0.16705643740239259</v>
      </c>
      <c r="K785">
        <f t="shared" si="211"/>
        <v>2.9969904657107715</v>
      </c>
      <c r="O785">
        <f t="shared" si="212"/>
        <v>-0.1645450716656118</v>
      </c>
      <c r="P785">
        <f t="shared" si="213"/>
        <v>2.3960815866330615E-2</v>
      </c>
      <c r="Q785">
        <f t="shared" si="214"/>
        <v>0.98607849519882462</v>
      </c>
      <c r="R785">
        <f t="shared" si="204"/>
        <v>1</v>
      </c>
      <c r="AG785" s="8">
        <f t="shared" si="208"/>
        <v>-0.77408656730775638</v>
      </c>
      <c r="AH785" s="8">
        <f t="shared" si="209"/>
        <v>-0.36540975930909325</v>
      </c>
      <c r="AI785" s="8">
        <f t="shared" si="210"/>
        <v>0.51697745996838673</v>
      </c>
      <c r="AJ785" s="8"/>
      <c r="AK785" s="8"/>
      <c r="AL785" s="8"/>
      <c r="AN785" s="8">
        <f t="shared" si="215"/>
        <v>1</v>
      </c>
      <c r="AO785" s="8">
        <f t="shared" si="216"/>
        <v>3.5826336235534528</v>
      </c>
      <c r="AP785" s="8">
        <f t="shared" si="217"/>
        <v>1.0274801653224337</v>
      </c>
      <c r="AQ785" s="8"/>
      <c r="AR785" s="8">
        <f t="shared" si="218"/>
        <v>205.26978617127381</v>
      </c>
      <c r="AS785" s="8">
        <f t="shared" si="219"/>
        <v>31.129722993620469</v>
      </c>
    </row>
    <row r="786" spans="1:45">
      <c r="A786" s="19">
        <v>33.166466669999998</v>
      </c>
      <c r="B786" s="19">
        <v>701.4162116</v>
      </c>
      <c r="C786" s="19">
        <v>501.66422269999998</v>
      </c>
      <c r="E786" s="9">
        <f t="shared" si="205"/>
        <v>-258.5837884</v>
      </c>
      <c r="F786" s="9">
        <f t="shared" si="206"/>
        <v>38.335777300000018</v>
      </c>
      <c r="I786">
        <v>1</v>
      </c>
      <c r="J786">
        <f t="shared" si="207"/>
        <v>0.16706610442737552</v>
      </c>
      <c r="K786">
        <f t="shared" si="211"/>
        <v>2.9944118703524825</v>
      </c>
      <c r="O786">
        <f t="shared" si="212"/>
        <v>-0.16449216882026715</v>
      </c>
      <c r="P786">
        <f t="shared" si="213"/>
        <v>2.4386428826439831E-2</v>
      </c>
      <c r="Q786">
        <f t="shared" si="214"/>
        <v>0.98607688771509994</v>
      </c>
      <c r="R786">
        <f t="shared" si="204"/>
        <v>1</v>
      </c>
      <c r="AG786" s="8">
        <f t="shared" si="208"/>
        <v>-0.773912647351509</v>
      </c>
      <c r="AH786" s="8">
        <f t="shared" si="209"/>
        <v>-0.36526338775574718</v>
      </c>
      <c r="AI786" s="8">
        <f t="shared" si="210"/>
        <v>0.51734115613835885</v>
      </c>
      <c r="AJ786" s="8"/>
      <c r="AK786" s="8"/>
      <c r="AL786" s="8"/>
      <c r="AN786" s="8">
        <f t="shared" si="215"/>
        <v>1.0000000000000002</v>
      </c>
      <c r="AO786" s="8">
        <f t="shared" si="216"/>
        <v>3.5825657067388521</v>
      </c>
      <c r="AP786" s="8">
        <f t="shared" si="217"/>
        <v>1.0270552315883434</v>
      </c>
      <c r="AQ786" s="8"/>
      <c r="AR786" s="8">
        <f t="shared" si="218"/>
        <v>205.26589482443921</v>
      </c>
      <c r="AS786" s="8">
        <f t="shared" si="219"/>
        <v>31.154069903156568</v>
      </c>
    </row>
    <row r="787" spans="1:45">
      <c r="A787" s="19">
        <v>33.199833329999997</v>
      </c>
      <c r="B787" s="19">
        <v>700.786203</v>
      </c>
      <c r="C787" s="19">
        <v>501.63647179999998</v>
      </c>
      <c r="E787" s="9">
        <f t="shared" si="205"/>
        <v>-259.213797</v>
      </c>
      <c r="F787" s="9">
        <f t="shared" si="206"/>
        <v>38.363528200000019</v>
      </c>
      <c r="I787">
        <v>1</v>
      </c>
      <c r="J787">
        <f t="shared" si="207"/>
        <v>0.16746309428039741</v>
      </c>
      <c r="K787">
        <f t="shared" si="211"/>
        <v>2.994659697200361</v>
      </c>
      <c r="O787">
        <f t="shared" si="212"/>
        <v>-0.1648854388239856</v>
      </c>
      <c r="P787">
        <f t="shared" si="213"/>
        <v>2.4402972585959012E-2</v>
      </c>
      <c r="Q787">
        <f t="shared" si="214"/>
        <v>0.98601079456200202</v>
      </c>
      <c r="R787">
        <f t="shared" si="204"/>
        <v>1</v>
      </c>
      <c r="AG787" s="8">
        <f t="shared" si="208"/>
        <v>-0.77411898054483153</v>
      </c>
      <c r="AH787" s="8">
        <f t="shared" si="209"/>
        <v>-0.36492966231247448</v>
      </c>
      <c r="AI787" s="8">
        <f t="shared" si="210"/>
        <v>0.51726796297928024</v>
      </c>
      <c r="AJ787" s="8"/>
      <c r="AK787" s="8"/>
      <c r="AL787" s="8"/>
      <c r="AN787" s="8">
        <f t="shared" si="215"/>
        <v>0.99999999999999989</v>
      </c>
      <c r="AO787" s="8">
        <f t="shared" si="216"/>
        <v>3.5821101603972139</v>
      </c>
      <c r="AP787" s="8">
        <f t="shared" si="217"/>
        <v>1.0271407574607045</v>
      </c>
      <c r="AQ787" s="8"/>
      <c r="AR787" s="8">
        <f t="shared" si="218"/>
        <v>205.23979394169072</v>
      </c>
      <c r="AS787" s="8">
        <f t="shared" si="219"/>
        <v>31.149169631631104</v>
      </c>
    </row>
    <row r="788" spans="1:45">
      <c r="A788" s="19">
        <v>33.233199999999997</v>
      </c>
      <c r="B788" s="19">
        <v>700.4309968</v>
      </c>
      <c r="C788" s="19">
        <v>501.5980591</v>
      </c>
      <c r="E788" s="9">
        <f t="shared" si="205"/>
        <v>-259.5690032</v>
      </c>
      <c r="F788" s="9">
        <f t="shared" si="206"/>
        <v>38.4019409</v>
      </c>
      <c r="I788">
        <v>1</v>
      </c>
      <c r="J788">
        <f t="shared" si="207"/>
        <v>0.16768901439233216</v>
      </c>
      <c r="K788">
        <f t="shared" si="211"/>
        <v>2.9947130714875527</v>
      </c>
      <c r="O788">
        <f t="shared" si="212"/>
        <v>-0.1651070979911623</v>
      </c>
      <c r="P788">
        <f t="shared" si="213"/>
        <v>2.4426772615610687E-2</v>
      </c>
      <c r="Q788">
        <f t="shared" si="214"/>
        <v>0.98597311270263444</v>
      </c>
      <c r="R788">
        <f t="shared" si="204"/>
        <v>1</v>
      </c>
      <c r="AG788" s="8">
        <f t="shared" si="208"/>
        <v>-0.77423028007405159</v>
      </c>
      <c r="AH788" s="8">
        <f t="shared" si="209"/>
        <v>-0.36473505541448048</v>
      </c>
      <c r="AI788" s="8">
        <f t="shared" si="210"/>
        <v>0.51723864199057223</v>
      </c>
      <c r="AJ788" s="8"/>
      <c r="AK788" s="8"/>
      <c r="AL788" s="8"/>
      <c r="AN788" s="8">
        <f t="shared" si="215"/>
        <v>0.99999999999999989</v>
      </c>
      <c r="AO788" s="8">
        <f t="shared" si="216"/>
        <v>3.5818490290558302</v>
      </c>
      <c r="AP788" s="8">
        <f t="shared" si="217"/>
        <v>1.0271750176619177</v>
      </c>
      <c r="AQ788" s="8"/>
      <c r="AR788" s="8">
        <f t="shared" si="218"/>
        <v>205.22483221793084</v>
      </c>
      <c r="AS788" s="8">
        <f t="shared" si="219"/>
        <v>31.147206666696327</v>
      </c>
    </row>
    <row r="789" spans="1:45">
      <c r="A789" s="19">
        <v>33.266566670000003</v>
      </c>
      <c r="B789" s="19">
        <v>699.98586160000002</v>
      </c>
      <c r="C789" s="19">
        <v>501.57851410000001</v>
      </c>
      <c r="E789" s="9">
        <f t="shared" si="205"/>
        <v>-260.01413839999998</v>
      </c>
      <c r="F789" s="9">
        <f t="shared" si="206"/>
        <v>38.421485899999993</v>
      </c>
      <c r="I789">
        <v>1</v>
      </c>
      <c r="J789">
        <f t="shared" si="207"/>
        <v>0.16796946612130773</v>
      </c>
      <c r="K789">
        <f t="shared" si="211"/>
        <v>2.9948873688629822</v>
      </c>
      <c r="O789">
        <f t="shared" si="212"/>
        <v>-0.16538489403638199</v>
      </c>
      <c r="P789">
        <f t="shared" si="213"/>
        <v>2.4438414823875782E-2</v>
      </c>
      <c r="Q789">
        <f t="shared" si="214"/>
        <v>0.98592626534922523</v>
      </c>
      <c r="R789">
        <f t="shared" si="204"/>
        <v>1</v>
      </c>
      <c r="AG789" s="8">
        <f t="shared" si="208"/>
        <v>-0.77437593293337148</v>
      </c>
      <c r="AH789" s="8">
        <f t="shared" si="209"/>
        <v>-0.36449925793446442</v>
      </c>
      <c r="AI789" s="8">
        <f t="shared" si="210"/>
        <v>0.51718681872104533</v>
      </c>
      <c r="AJ789" s="8"/>
      <c r="AK789" s="8"/>
      <c r="AL789" s="8"/>
      <c r="AN789" s="8">
        <f t="shared" si="215"/>
        <v>1</v>
      </c>
      <c r="AO789" s="8">
        <f t="shared" si="216"/>
        <v>3.5815272691163007</v>
      </c>
      <c r="AP789" s="8">
        <f t="shared" si="217"/>
        <v>1.0272355689889205</v>
      </c>
      <c r="AQ789" s="8"/>
      <c r="AR789" s="8">
        <f t="shared" si="218"/>
        <v>205.20639673137941</v>
      </c>
      <c r="AS789" s="8">
        <f t="shared" si="219"/>
        <v>31.143737331215142</v>
      </c>
    </row>
    <row r="790" spans="1:45">
      <c r="A790" s="19">
        <v>33.299933330000002</v>
      </c>
      <c r="B790" s="19">
        <v>699.21688219999999</v>
      </c>
      <c r="C790" s="19">
        <v>501.43911050000003</v>
      </c>
      <c r="E790" s="9">
        <f t="shared" si="205"/>
        <v>-260.78311780000001</v>
      </c>
      <c r="F790" s="9">
        <f t="shared" si="206"/>
        <v>38.560889499999973</v>
      </c>
      <c r="I790">
        <v>1</v>
      </c>
      <c r="J790">
        <f t="shared" si="207"/>
        <v>0.16846367384189587</v>
      </c>
      <c r="K790">
        <f t="shared" si="211"/>
        <v>2.9947906494866334</v>
      </c>
      <c r="O790">
        <f t="shared" si="212"/>
        <v>-0.16586452082681782</v>
      </c>
      <c r="P790">
        <f t="shared" si="213"/>
        <v>2.4525680625072134E-2</v>
      </c>
      <c r="Q790">
        <f t="shared" si="214"/>
        <v>0.98584352293899413</v>
      </c>
      <c r="R790">
        <f t="shared" si="204"/>
        <v>1</v>
      </c>
      <c r="AG790" s="8">
        <f t="shared" si="208"/>
        <v>-0.77460431917091255</v>
      </c>
      <c r="AH790" s="8">
        <f t="shared" si="209"/>
        <v>-0.36406201112972203</v>
      </c>
      <c r="AI790" s="8">
        <f t="shared" si="210"/>
        <v>0.51715278281562915</v>
      </c>
      <c r="AJ790" s="8"/>
      <c r="AK790" s="8"/>
      <c r="AL790" s="8"/>
      <c r="AN790" s="8">
        <f t="shared" si="215"/>
        <v>1.0000000000000002</v>
      </c>
      <c r="AO790" s="8">
        <f t="shared" si="216"/>
        <v>3.5809514061045173</v>
      </c>
      <c r="AP790" s="8">
        <f t="shared" si="217"/>
        <v>1.0272753360046003</v>
      </c>
      <c r="AQ790" s="8"/>
      <c r="AR790" s="8">
        <f t="shared" si="218"/>
        <v>205.17340221122654</v>
      </c>
      <c r="AS790" s="8">
        <f t="shared" si="219"/>
        <v>31.14145884905286</v>
      </c>
    </row>
    <row r="791" spans="1:45">
      <c r="A791" s="19">
        <v>33.333300000000001</v>
      </c>
      <c r="B791" s="19">
        <v>698.85034010000004</v>
      </c>
      <c r="C791" s="19">
        <v>501.24738719999999</v>
      </c>
      <c r="E791" s="9">
        <f t="shared" si="205"/>
        <v>-261.14965989999996</v>
      </c>
      <c r="F791" s="9">
        <f t="shared" si="206"/>
        <v>38.752612800000009</v>
      </c>
      <c r="I791">
        <v>1</v>
      </c>
      <c r="J791">
        <f t="shared" si="207"/>
        <v>0.16871083365139963</v>
      </c>
      <c r="K791">
        <f t="shared" si="211"/>
        <v>2.994275345423639</v>
      </c>
      <c r="O791">
        <f t="shared" si="212"/>
        <v>-0.1660928772184132</v>
      </c>
      <c r="P791">
        <f t="shared" si="213"/>
        <v>2.4646913046518271E-2</v>
      </c>
      <c r="Q791">
        <f t="shared" si="214"/>
        <v>0.98580205204421567</v>
      </c>
      <c r="R791">
        <f t="shared" si="204"/>
        <v>1</v>
      </c>
      <c r="AG791" s="8">
        <f t="shared" si="208"/>
        <v>-0.77468575133385653</v>
      </c>
      <c r="AH791" s="8">
        <f t="shared" si="209"/>
        <v>-0.3638181486517475</v>
      </c>
      <c r="AI791" s="8">
        <f t="shared" si="210"/>
        <v>0.51720241819998602</v>
      </c>
      <c r="AJ791" s="8"/>
      <c r="AK791" s="8"/>
      <c r="AL791" s="8"/>
      <c r="AN791" s="8">
        <f t="shared" si="215"/>
        <v>1.0000000000000002</v>
      </c>
      <c r="AO791" s="8">
        <f t="shared" si="216"/>
        <v>3.5806530646222492</v>
      </c>
      <c r="AP791" s="8">
        <f t="shared" si="217"/>
        <v>1.0272173424841231</v>
      </c>
      <c r="AQ791" s="8"/>
      <c r="AR791" s="8">
        <f t="shared" si="218"/>
        <v>205.15630850343891</v>
      </c>
      <c r="AS791" s="8">
        <f t="shared" si="219"/>
        <v>31.144781633015313</v>
      </c>
    </row>
    <row r="792" spans="1:45">
      <c r="A792" s="19">
        <v>33.366666670000001</v>
      </c>
      <c r="B792" s="19">
        <v>698.25081890000001</v>
      </c>
      <c r="C792" s="19">
        <v>501.33793980000002</v>
      </c>
      <c r="E792" s="9">
        <f t="shared" si="205"/>
        <v>-261.74918109999999</v>
      </c>
      <c r="F792" s="9">
        <f t="shared" si="206"/>
        <v>38.662060199999985</v>
      </c>
      <c r="I792">
        <v>1</v>
      </c>
      <c r="J792">
        <f t="shared" si="207"/>
        <v>0.16907760400414842</v>
      </c>
      <c r="K792">
        <f t="shared" si="211"/>
        <v>2.9949464710536091</v>
      </c>
      <c r="O792">
        <f t="shared" si="212"/>
        <v>-0.16646705201087303</v>
      </c>
      <c r="P792">
        <f t="shared" si="213"/>
        <v>2.4588268659003314E-2</v>
      </c>
      <c r="Q792">
        <f t="shared" si="214"/>
        <v>0.98574040073396707</v>
      </c>
      <c r="R792">
        <f t="shared" si="204"/>
        <v>1</v>
      </c>
      <c r="AG792" s="8">
        <f t="shared" si="208"/>
        <v>-0.77490707312407003</v>
      </c>
      <c r="AH792" s="8">
        <f t="shared" si="209"/>
        <v>-0.36353358131272107</v>
      </c>
      <c r="AI792" s="8">
        <f t="shared" si="210"/>
        <v>0.51707094608016269</v>
      </c>
      <c r="AJ792" s="8"/>
      <c r="AK792" s="8"/>
      <c r="AL792" s="8"/>
      <c r="AN792" s="8">
        <f t="shared" si="215"/>
        <v>1</v>
      </c>
      <c r="AO792" s="8">
        <f t="shared" si="216"/>
        <v>3.5802422215610692</v>
      </c>
      <c r="AP792" s="8">
        <f t="shared" si="217"/>
        <v>1.0273709488465546</v>
      </c>
      <c r="AQ792" s="8"/>
      <c r="AR792" s="8">
        <f t="shared" si="218"/>
        <v>205.13276892999104</v>
      </c>
      <c r="AS792" s="8">
        <f t="shared" si="219"/>
        <v>31.135980636741635</v>
      </c>
    </row>
    <row r="793" spans="1:45">
      <c r="A793" s="19">
        <v>33.400033329999999</v>
      </c>
      <c r="B793" s="19">
        <v>697.91364959999999</v>
      </c>
      <c r="C793" s="19">
        <v>501.2564261</v>
      </c>
      <c r="E793" s="9">
        <f t="shared" si="205"/>
        <v>-262.08635040000001</v>
      </c>
      <c r="F793" s="9">
        <f t="shared" si="206"/>
        <v>38.743573900000001</v>
      </c>
      <c r="I793">
        <v>1</v>
      </c>
      <c r="J793">
        <f t="shared" si="207"/>
        <v>0.16929612072850148</v>
      </c>
      <c r="K793">
        <f t="shared" si="211"/>
        <v>2.9948280598237003</v>
      </c>
      <c r="O793">
        <f t="shared" si="212"/>
        <v>-0.16667722041562869</v>
      </c>
      <c r="P793">
        <f t="shared" si="213"/>
        <v>2.4639479304296885E-2</v>
      </c>
      <c r="Q793">
        <f t="shared" si="214"/>
        <v>0.98570360669631973</v>
      </c>
      <c r="R793">
        <f t="shared" si="204"/>
        <v>1</v>
      </c>
      <c r="AG793" s="8">
        <f t="shared" si="208"/>
        <v>-0.77500256896091124</v>
      </c>
      <c r="AH793" s="8">
        <f t="shared" si="209"/>
        <v>-0.36333607400628842</v>
      </c>
      <c r="AI793" s="8">
        <f t="shared" si="210"/>
        <v>0.51706664505621025</v>
      </c>
      <c r="AJ793" s="8"/>
      <c r="AK793" s="8"/>
      <c r="AL793" s="8"/>
      <c r="AN793" s="8">
        <f t="shared" si="215"/>
        <v>1</v>
      </c>
      <c r="AO793" s="8">
        <f t="shared" si="216"/>
        <v>3.5799859349945606</v>
      </c>
      <c r="AP793" s="8">
        <f t="shared" si="217"/>
        <v>1.0273759737369053</v>
      </c>
      <c r="AQ793" s="8"/>
      <c r="AR793" s="8">
        <f t="shared" si="218"/>
        <v>205.11808479138421</v>
      </c>
      <c r="AS793" s="8">
        <f t="shared" si="219"/>
        <v>31.135692731732021</v>
      </c>
    </row>
    <row r="794" spans="1:45">
      <c r="A794" s="19">
        <v>33.433399999999999</v>
      </c>
      <c r="B794" s="19">
        <v>697.3026734</v>
      </c>
      <c r="C794" s="19">
        <v>501.158119</v>
      </c>
      <c r="E794" s="9">
        <f t="shared" si="205"/>
        <v>-262.6973266</v>
      </c>
      <c r="F794" s="9">
        <f t="shared" si="206"/>
        <v>38.841881000000001</v>
      </c>
      <c r="I794">
        <v>1</v>
      </c>
      <c r="J794">
        <f t="shared" si="207"/>
        <v>0.16968748760770677</v>
      </c>
      <c r="K794">
        <f t="shared" si="211"/>
        <v>2.9947983025979981</v>
      </c>
      <c r="O794">
        <f t="shared" si="212"/>
        <v>-0.16705809715061151</v>
      </c>
      <c r="P794">
        <f t="shared" si="213"/>
        <v>2.4700863208596109E-2</v>
      </c>
      <c r="Q794">
        <f t="shared" si="214"/>
        <v>0.98563759036126819</v>
      </c>
      <c r="R794">
        <f t="shared" si="204"/>
        <v>1</v>
      </c>
      <c r="AG794" s="8">
        <f t="shared" si="208"/>
        <v>-0.77518629222835256</v>
      </c>
      <c r="AH794" s="8">
        <f t="shared" si="209"/>
        <v>-0.36299213522974177</v>
      </c>
      <c r="AI794" s="8">
        <f t="shared" si="210"/>
        <v>0.51703280563481857</v>
      </c>
      <c r="AJ794" s="8"/>
      <c r="AK794" s="8"/>
      <c r="AL794" s="8"/>
      <c r="AN794" s="8">
        <f t="shared" si="215"/>
        <v>1</v>
      </c>
      <c r="AO794" s="8">
        <f t="shared" si="216"/>
        <v>3.5795310078411955</v>
      </c>
      <c r="AP794" s="8">
        <f t="shared" si="217"/>
        <v>1.0274155078328449</v>
      </c>
      <c r="AQ794" s="8"/>
      <c r="AR794" s="8">
        <f t="shared" si="218"/>
        <v>205.0920193855105</v>
      </c>
      <c r="AS794" s="8">
        <f t="shared" si="219"/>
        <v>31.13342759488782</v>
      </c>
    </row>
    <row r="795" spans="1:45">
      <c r="A795" s="19">
        <v>33.466766669999998</v>
      </c>
      <c r="B795" s="19">
        <v>696.33333330000005</v>
      </c>
      <c r="C795" s="19">
        <v>500.58333329999999</v>
      </c>
      <c r="E795" s="9">
        <f t="shared" si="205"/>
        <v>-263.66666669999995</v>
      </c>
      <c r="F795" s="9">
        <f t="shared" si="206"/>
        <v>39.416666700000007</v>
      </c>
      <c r="I795">
        <v>1</v>
      </c>
      <c r="J795">
        <f t="shared" si="207"/>
        <v>0.17034726913484377</v>
      </c>
      <c r="K795">
        <f t="shared" si="211"/>
        <v>2.9931973038965864</v>
      </c>
      <c r="O795">
        <f t="shared" si="212"/>
        <v>-0.16766145897485515</v>
      </c>
      <c r="P795">
        <f t="shared" si="213"/>
        <v>2.5064434308516261E-2</v>
      </c>
      <c r="Q795">
        <f t="shared" si="214"/>
        <v>0.98552595567403345</v>
      </c>
      <c r="R795">
        <f t="shared" ref="R795:R858" si="220">SQRT(O795^2+P795^2+Q795^2)</f>
        <v>1</v>
      </c>
      <c r="AG795" s="8">
        <f t="shared" si="208"/>
        <v>-0.77538599222070648</v>
      </c>
      <c r="AH795" s="8">
        <f t="shared" si="209"/>
        <v>-0.36232796266739287</v>
      </c>
      <c r="AI795" s="8">
        <f t="shared" si="210"/>
        <v>0.51719919812119486</v>
      </c>
      <c r="AJ795" s="8"/>
      <c r="AK795" s="8"/>
      <c r="AL795" s="8"/>
      <c r="AN795" s="8">
        <f t="shared" si="215"/>
        <v>1</v>
      </c>
      <c r="AO795" s="8">
        <f t="shared" si="216"/>
        <v>3.5787292684905774</v>
      </c>
      <c r="AP795" s="8">
        <f t="shared" si="217"/>
        <v>1.0272211048558186</v>
      </c>
      <c r="AQ795" s="8"/>
      <c r="AR795" s="8">
        <f t="shared" si="218"/>
        <v>205.0460831044505</v>
      </c>
      <c r="AS795" s="8">
        <f t="shared" si="219"/>
        <v>31.144566064996198</v>
      </c>
    </row>
    <row r="796" spans="1:45">
      <c r="A796" s="19">
        <v>33.500133329999997</v>
      </c>
      <c r="B796" s="19">
        <v>696.16841350000004</v>
      </c>
      <c r="C796" s="19">
        <v>501.18954350000001</v>
      </c>
      <c r="E796" s="9">
        <f t="shared" si="205"/>
        <v>-263.83158649999996</v>
      </c>
      <c r="F796" s="9">
        <f t="shared" si="206"/>
        <v>38.810456499999987</v>
      </c>
      <c r="I796">
        <v>1</v>
      </c>
      <c r="J796">
        <f t="shared" si="207"/>
        <v>0.17039419218089016</v>
      </c>
      <c r="K796">
        <f t="shared" si="211"/>
        <v>2.9955370115106925</v>
      </c>
      <c r="O796">
        <f t="shared" si="212"/>
        <v>-0.16776539478885014</v>
      </c>
      <c r="P796">
        <f t="shared" si="213"/>
        <v>2.467881743438631E-2</v>
      </c>
      <c r="Q796">
        <f t="shared" si="214"/>
        <v>0.98551799997837763</v>
      </c>
      <c r="R796">
        <f t="shared" si="220"/>
        <v>1</v>
      </c>
      <c r="AG796" s="8">
        <f t="shared" si="208"/>
        <v>-0.77557371704477307</v>
      </c>
      <c r="AH796" s="8">
        <f t="shared" si="209"/>
        <v>-0.36241407842334666</v>
      </c>
      <c r="AI796" s="8">
        <f t="shared" si="210"/>
        <v>0.51685727738894305</v>
      </c>
      <c r="AJ796" s="8"/>
      <c r="AK796" s="8"/>
      <c r="AL796" s="8"/>
      <c r="AN796" s="8">
        <f t="shared" si="215"/>
        <v>1.0000000000000002</v>
      </c>
      <c r="AO796" s="8">
        <f t="shared" si="216"/>
        <v>3.578727569250534</v>
      </c>
      <c r="AP796" s="8">
        <f t="shared" si="217"/>
        <v>1.0276205597427612</v>
      </c>
      <c r="AQ796" s="8"/>
      <c r="AR796" s="8">
        <f t="shared" si="218"/>
        <v>205.04598574516766</v>
      </c>
      <c r="AS796" s="8">
        <f t="shared" si="219"/>
        <v>31.121678985868513</v>
      </c>
    </row>
    <row r="797" spans="1:45">
      <c r="A797" s="19">
        <v>33.533499999999997</v>
      </c>
      <c r="B797" s="19">
        <v>695.25</v>
      </c>
      <c r="C797" s="19">
        <v>500.66666670000001</v>
      </c>
      <c r="E797" s="9">
        <f t="shared" si="205"/>
        <v>-264.75</v>
      </c>
      <c r="F797" s="9">
        <f t="shared" si="206"/>
        <v>39.333333299999993</v>
      </c>
      <c r="I797">
        <v>1</v>
      </c>
      <c r="J797">
        <f t="shared" si="207"/>
        <v>0.17101696781309025</v>
      </c>
      <c r="K797">
        <f t="shared" si="211"/>
        <v>2.9941036535212131</v>
      </c>
      <c r="O797">
        <f t="shared" si="212"/>
        <v>-0.16833690947895344</v>
      </c>
      <c r="P797">
        <f t="shared" si="213"/>
        <v>2.5009449545713384E-2</v>
      </c>
      <c r="Q797">
        <f t="shared" si="214"/>
        <v>0.98541220427823761</v>
      </c>
      <c r="R797">
        <f t="shared" si="220"/>
        <v>1</v>
      </c>
      <c r="AG797" s="8">
        <f t="shared" si="208"/>
        <v>-0.77576730607063016</v>
      </c>
      <c r="AH797" s="8">
        <f t="shared" si="209"/>
        <v>-0.36179091154444781</v>
      </c>
      <c r="AI797" s="8">
        <f t="shared" si="210"/>
        <v>0.51700331058490812</v>
      </c>
      <c r="AJ797" s="8"/>
      <c r="AK797" s="8"/>
      <c r="AL797" s="8"/>
      <c r="AN797" s="8">
        <f t="shared" si="215"/>
        <v>1.0000000000000002</v>
      </c>
      <c r="AO797" s="8">
        <f t="shared" si="216"/>
        <v>3.5779722689135349</v>
      </c>
      <c r="AP797" s="8">
        <f t="shared" si="217"/>
        <v>1.0274499656937475</v>
      </c>
      <c r="AQ797" s="8"/>
      <c r="AR797" s="8">
        <f t="shared" si="218"/>
        <v>205.0027102235928</v>
      </c>
      <c r="AS797" s="8">
        <f t="shared" si="219"/>
        <v>31.131453304887046</v>
      </c>
    </row>
    <row r="798" spans="1:45">
      <c r="A798" s="19">
        <v>33.566866670000003</v>
      </c>
      <c r="B798" s="19">
        <v>694.45833630000004</v>
      </c>
      <c r="C798" s="19">
        <v>500.62810719999999</v>
      </c>
      <c r="E798" s="9">
        <f t="shared" si="205"/>
        <v>-265.54166369999996</v>
      </c>
      <c r="F798" s="9">
        <f t="shared" si="206"/>
        <v>39.371892800000012</v>
      </c>
      <c r="I798">
        <v>1</v>
      </c>
      <c r="J798">
        <f t="shared" si="207"/>
        <v>0.17151557477200421</v>
      </c>
      <c r="K798">
        <f t="shared" si="211"/>
        <v>2.9943949536714807</v>
      </c>
      <c r="O798">
        <f t="shared" si="212"/>
        <v>-0.16883018673332911</v>
      </c>
      <c r="P798">
        <f t="shared" si="213"/>
        <v>2.5032471066304525E-2</v>
      </c>
      <c r="Q798">
        <f t="shared" si="214"/>
        <v>0.98532722658003513</v>
      </c>
      <c r="R798">
        <f t="shared" si="220"/>
        <v>1</v>
      </c>
      <c r="AG798" s="8">
        <f t="shared" si="208"/>
        <v>-0.77602395080394726</v>
      </c>
      <c r="AH798" s="8">
        <f t="shared" si="209"/>
        <v>-0.36137028379596187</v>
      </c>
      <c r="AI798" s="8">
        <f t="shared" si="210"/>
        <v>0.51691231922624847</v>
      </c>
      <c r="AJ798" s="8"/>
      <c r="AK798" s="8"/>
      <c r="AL798" s="8"/>
      <c r="AN798" s="8">
        <f t="shared" si="215"/>
        <v>1.0000000000000002</v>
      </c>
      <c r="AO798" s="8">
        <f t="shared" si="216"/>
        <v>3.5774002342894651</v>
      </c>
      <c r="AP798" s="8">
        <f t="shared" si="217"/>
        <v>1.0275562626596368</v>
      </c>
      <c r="AQ798" s="8"/>
      <c r="AR798" s="8">
        <f t="shared" si="218"/>
        <v>204.96993505389824</v>
      </c>
      <c r="AS798" s="8">
        <f t="shared" si="219"/>
        <v>31.125362937366539</v>
      </c>
    </row>
    <row r="799" spans="1:45">
      <c r="A799" s="19">
        <v>33.600233330000002</v>
      </c>
      <c r="B799" s="19">
        <v>694.12179830000002</v>
      </c>
      <c r="C799" s="19">
        <v>500.60313830000001</v>
      </c>
      <c r="E799" s="9">
        <f t="shared" si="205"/>
        <v>-265.87820169999998</v>
      </c>
      <c r="F799" s="9">
        <f t="shared" si="206"/>
        <v>39.396861699999988</v>
      </c>
      <c r="I799">
        <v>1</v>
      </c>
      <c r="J799">
        <f t="shared" si="207"/>
        <v>0.17172831051949808</v>
      </c>
      <c r="K799">
        <f t="shared" si="211"/>
        <v>2.99448670130234</v>
      </c>
      <c r="O799">
        <f t="shared" si="212"/>
        <v>-0.16903982923803026</v>
      </c>
      <c r="P799">
        <f t="shared" si="213"/>
        <v>2.5047705045773562E-2</v>
      </c>
      <c r="Q799">
        <f t="shared" si="214"/>
        <v>0.98529089542282766</v>
      </c>
      <c r="R799">
        <f t="shared" si="220"/>
        <v>1</v>
      </c>
      <c r="AG799" s="8">
        <f t="shared" si="208"/>
        <v>-0.77613110673966268</v>
      </c>
      <c r="AH799" s="8">
        <f t="shared" si="209"/>
        <v>-0.36118903950475445</v>
      </c>
      <c r="AI799" s="8">
        <f t="shared" si="210"/>
        <v>0.51687811222056923</v>
      </c>
      <c r="AJ799" s="8"/>
      <c r="AK799" s="8"/>
      <c r="AL799" s="8"/>
      <c r="AN799" s="8">
        <f t="shared" si="215"/>
        <v>1</v>
      </c>
      <c r="AO799" s="8">
        <f t="shared" si="216"/>
        <v>3.5771554633412439</v>
      </c>
      <c r="AP799" s="8">
        <f t="shared" si="217"/>
        <v>1.0275962218426091</v>
      </c>
      <c r="AQ799" s="8"/>
      <c r="AR799" s="8">
        <f t="shared" si="218"/>
        <v>204.95591071161775</v>
      </c>
      <c r="AS799" s="8">
        <f t="shared" si="219"/>
        <v>31.123073444829437</v>
      </c>
    </row>
    <row r="800" spans="1:45">
      <c r="A800" s="19">
        <v>33.633600000000001</v>
      </c>
      <c r="B800" s="19">
        <v>693.46412009999995</v>
      </c>
      <c r="C800" s="19">
        <v>500.57087080000002</v>
      </c>
      <c r="E800" s="9">
        <f t="shared" ref="E800:E863" si="221">(B800-($B$15/2))</f>
        <v>-266.53587990000005</v>
      </c>
      <c r="F800" s="9">
        <f t="shared" ref="F800:F863" si="222">(($C$15/2)-C800)</f>
        <v>39.429129199999977</v>
      </c>
      <c r="I800">
        <v>1</v>
      </c>
      <c r="J800">
        <f t="shared" ref="J800:J863" si="223">ATAN((SQRT(E800^2+F800^2)^$B$16)/($F$24))</f>
        <v>0.17214248541558702</v>
      </c>
      <c r="K800">
        <f t="shared" si="211"/>
        <v>2.9947260186189086</v>
      </c>
      <c r="O800">
        <f t="shared" si="212"/>
        <v>-0.16944949376225454</v>
      </c>
      <c r="P800">
        <f t="shared" si="213"/>
        <v>2.506696653723775E-2</v>
      </c>
      <c r="Q800">
        <f t="shared" si="214"/>
        <v>0.98522003443511874</v>
      </c>
      <c r="R800">
        <f t="shared" si="220"/>
        <v>1</v>
      </c>
      <c r="AG800" s="8">
        <f t="shared" ref="AG800:AG863" si="224">$O800*$Z$27+$P800*$Z$31+$Q800*$Z$35</f>
        <v>-0.77634400627708611</v>
      </c>
      <c r="AH800" s="8">
        <f t="shared" ref="AH800:AH863" si="225">$O800*$AA$27+$P800*$AA$31+$Q800*$AA$35</f>
        <v>-0.36083950297007539</v>
      </c>
      <c r="AI800" s="8">
        <f t="shared" ref="AI800:AI863" si="226">$AB$27*$O800+$P800*$AB$31+$AB$35*$Q800</f>
        <v>0.5168025125847906</v>
      </c>
      <c r="AJ800" s="8"/>
      <c r="AK800" s="8"/>
      <c r="AL800" s="8"/>
      <c r="AN800" s="8">
        <f t="shared" si="215"/>
        <v>1</v>
      </c>
      <c r="AO800" s="8">
        <f t="shared" si="216"/>
        <v>3.5766803718827269</v>
      </c>
      <c r="AP800" s="8">
        <f t="shared" si="217"/>
        <v>1.0276845307327207</v>
      </c>
      <c r="AQ800" s="8"/>
      <c r="AR800" s="8">
        <f t="shared" si="218"/>
        <v>204.92868997616202</v>
      </c>
      <c r="AS800" s="8">
        <f t="shared" si="219"/>
        <v>31.118013718132559</v>
      </c>
    </row>
    <row r="801" spans="1:45">
      <c r="A801" s="19">
        <v>33.666966670000001</v>
      </c>
      <c r="B801" s="19">
        <v>693.22392439999999</v>
      </c>
      <c r="C801" s="19">
        <v>500.3836283</v>
      </c>
      <c r="E801" s="9">
        <f t="shared" si="221"/>
        <v>-266.77607560000001</v>
      </c>
      <c r="F801" s="9">
        <f t="shared" si="222"/>
        <v>39.616371700000002</v>
      </c>
      <c r="I801">
        <v>1</v>
      </c>
      <c r="J801">
        <f t="shared" si="223"/>
        <v>0.17230999136669445</v>
      </c>
      <c r="K801">
        <f t="shared" ref="K801:K864" si="227">ATAN2(E801,F801)</f>
        <v>2.9941695639568855</v>
      </c>
      <c r="O801">
        <f t="shared" ref="O801:O864" si="228">COS(K801)*SIN(J801)</f>
        <v>-0.16959875663732893</v>
      </c>
      <c r="P801">
        <f t="shared" ref="P801:P864" si="229">SIN(K801)*SIN(J801)</f>
        <v>2.5185494492678828E-2</v>
      </c>
      <c r="Q801">
        <f t="shared" ref="Q801:Q864" si="230">COS(J801)</f>
        <v>0.9851913279227702</v>
      </c>
      <c r="R801">
        <f t="shared" si="220"/>
        <v>1</v>
      </c>
      <c r="AG801" s="8">
        <f t="shared" si="224"/>
        <v>-0.77638337771841137</v>
      </c>
      <c r="AH801" s="8">
        <f t="shared" si="225"/>
        <v>-0.36066222090018796</v>
      </c>
      <c r="AI801" s="8">
        <f t="shared" si="226"/>
        <v>0.51686711369354377</v>
      </c>
      <c r="AJ801" s="8"/>
      <c r="AK801" s="8"/>
      <c r="AL801" s="8"/>
      <c r="AN801" s="8">
        <f t="shared" ref="AN801:AN864" si="231">AG801^2+AH801^2+AI801^2</f>
        <v>1</v>
      </c>
      <c r="AO801" s="8">
        <f t="shared" ref="AO801:AO864" si="232">IF(ATAN2(AG801,AH801)&gt;=0,ATAN2(AG801,AH801),ATAN2(AG801,AH801)+2*PI())</f>
        <v>3.5764731916114423</v>
      </c>
      <c r="AP801" s="8">
        <f t="shared" ref="AP801:AP864" si="233">ACOS(AI801/AN801)</f>
        <v>1.0276090696537108</v>
      </c>
      <c r="AQ801" s="8"/>
      <c r="AR801" s="8">
        <f t="shared" ref="AR801:AR864" si="234">DEGREES(AO801)</f>
        <v>204.91681942101903</v>
      </c>
      <c r="AS801" s="8">
        <f t="shared" ref="AS801:AS864" si="235">90-DEGREES(AP801)</f>
        <v>31.122337319477332</v>
      </c>
    </row>
    <row r="802" spans="1:45">
      <c r="A802" s="19">
        <v>33.700333329999999</v>
      </c>
      <c r="B802" s="19">
        <v>692.58333330000005</v>
      </c>
      <c r="C802" s="19">
        <v>500.16666670000001</v>
      </c>
      <c r="E802" s="9">
        <f t="shared" si="221"/>
        <v>-267.41666669999995</v>
      </c>
      <c r="F802" s="9">
        <f t="shared" si="222"/>
        <v>39.833333299999993</v>
      </c>
      <c r="I802">
        <v>1</v>
      </c>
      <c r="J802">
        <f t="shared" si="223"/>
        <v>0.17273055713457586</v>
      </c>
      <c r="K802">
        <f t="shared" si="227"/>
        <v>2.9937238293062056</v>
      </c>
      <c r="O802">
        <f t="shared" si="228"/>
        <v>-0.16999731494062539</v>
      </c>
      <c r="P802">
        <f t="shared" si="229"/>
        <v>2.532213040308235E-2</v>
      </c>
      <c r="Q802">
        <f t="shared" si="230"/>
        <v>0.98511913118405492</v>
      </c>
      <c r="R802">
        <f t="shared" si="220"/>
        <v>1</v>
      </c>
      <c r="AG802" s="8">
        <f t="shared" si="224"/>
        <v>-0.77654997916234469</v>
      </c>
      <c r="AH802" s="8">
        <f t="shared" si="225"/>
        <v>-0.36026927107213819</v>
      </c>
      <c r="AI802" s="8">
        <f t="shared" si="226"/>
        <v>0.51689088034527397</v>
      </c>
      <c r="AJ802" s="8"/>
      <c r="AK802" s="8"/>
      <c r="AL802" s="8"/>
      <c r="AN802" s="8">
        <f t="shared" si="231"/>
        <v>1</v>
      </c>
      <c r="AO802" s="8">
        <f t="shared" si="232"/>
        <v>3.5759748993253955</v>
      </c>
      <c r="AP802" s="8">
        <f t="shared" si="233"/>
        <v>1.0275813067699935</v>
      </c>
      <c r="AQ802" s="8"/>
      <c r="AR802" s="8">
        <f t="shared" si="234"/>
        <v>204.88826937606461</v>
      </c>
      <c r="AS802" s="8">
        <f t="shared" si="235"/>
        <v>31.123928015541445</v>
      </c>
    </row>
    <row r="803" spans="1:45">
      <c r="A803" s="19">
        <v>33.733699999999999</v>
      </c>
      <c r="B803" s="19">
        <v>692.24767039999995</v>
      </c>
      <c r="C803" s="19">
        <v>499.82459310000002</v>
      </c>
      <c r="E803" s="9">
        <f t="shared" si="221"/>
        <v>-267.75232960000005</v>
      </c>
      <c r="F803" s="9">
        <f t="shared" si="222"/>
        <v>40.175406899999984</v>
      </c>
      <c r="I803">
        <v>1</v>
      </c>
      <c r="J803">
        <f t="shared" si="223"/>
        <v>0.17297227477371455</v>
      </c>
      <c r="K803">
        <f t="shared" si="227"/>
        <v>2.9926568387791073</v>
      </c>
      <c r="O803">
        <f t="shared" si="228"/>
        <v>-0.17020567930359756</v>
      </c>
      <c r="P803">
        <f t="shared" si="229"/>
        <v>2.5538834462910078E-2</v>
      </c>
      <c r="Q803">
        <f t="shared" si="230"/>
        <v>0.98507755769131045</v>
      </c>
      <c r="R803">
        <f t="shared" si="220"/>
        <v>1</v>
      </c>
      <c r="AG803" s="8">
        <f t="shared" si="224"/>
        <v>-0.7765872669779712</v>
      </c>
      <c r="AH803" s="8">
        <f t="shared" si="225"/>
        <v>-0.35999876163033911</v>
      </c>
      <c r="AI803" s="8">
        <f t="shared" si="226"/>
        <v>0.51702331513415123</v>
      </c>
      <c r="AJ803" s="8"/>
      <c r="AK803" s="8"/>
      <c r="AL803" s="8"/>
      <c r="AN803" s="8">
        <f t="shared" si="231"/>
        <v>1.0000000000000002</v>
      </c>
      <c r="AO803" s="8">
        <f t="shared" si="232"/>
        <v>3.5756698892581857</v>
      </c>
      <c r="AP803" s="8">
        <f t="shared" si="233"/>
        <v>1.0274265952750099</v>
      </c>
      <c r="AQ803" s="8"/>
      <c r="AR803" s="8">
        <f t="shared" si="234"/>
        <v>204.8707935865045</v>
      </c>
      <c r="AS803" s="8">
        <f t="shared" si="235"/>
        <v>31.132792331246165</v>
      </c>
    </row>
    <row r="804" spans="1:45">
      <c r="A804" s="19">
        <v>33.767066669999998</v>
      </c>
      <c r="B804" s="19">
        <v>691.75578270000005</v>
      </c>
      <c r="C804" s="19">
        <v>499.78668090000002</v>
      </c>
      <c r="E804" s="9">
        <f t="shared" si="221"/>
        <v>-268.24421729999995</v>
      </c>
      <c r="F804" s="9">
        <f t="shared" si="222"/>
        <v>40.213319099999978</v>
      </c>
      <c r="I804">
        <v>1</v>
      </c>
      <c r="J804">
        <f t="shared" si="223"/>
        <v>0.17328316668421398</v>
      </c>
      <c r="K804">
        <f t="shared" si="227"/>
        <v>2.9927877060410188</v>
      </c>
      <c r="O804">
        <f t="shared" si="228"/>
        <v>-0.17051188004602841</v>
      </c>
      <c r="P804">
        <f t="shared" si="229"/>
        <v>2.5561962571455075E-2</v>
      </c>
      <c r="Q804">
        <f t="shared" si="230"/>
        <v>0.98502400216069064</v>
      </c>
      <c r="R804">
        <f t="shared" si="220"/>
        <v>1</v>
      </c>
      <c r="AG804" s="8">
        <f t="shared" si="224"/>
        <v>-0.77674315662440019</v>
      </c>
      <c r="AH804" s="8">
        <f t="shared" si="225"/>
        <v>-0.35973340937036669</v>
      </c>
      <c r="AI804" s="8">
        <f t="shared" si="226"/>
        <v>0.51697383185218837</v>
      </c>
      <c r="AJ804" s="8"/>
      <c r="AK804" s="8"/>
      <c r="AL804" s="8"/>
      <c r="AN804" s="8">
        <f t="shared" si="231"/>
        <v>1</v>
      </c>
      <c r="AO804" s="8">
        <f t="shared" si="232"/>
        <v>3.5753120554817159</v>
      </c>
      <c r="AP804" s="8">
        <f t="shared" si="233"/>
        <v>1.0274844037754116</v>
      </c>
      <c r="AQ804" s="8"/>
      <c r="AR804" s="8">
        <f t="shared" si="234"/>
        <v>204.85029122134554</v>
      </c>
      <c r="AS804" s="8">
        <f t="shared" si="235"/>
        <v>31.129480148153164</v>
      </c>
    </row>
    <row r="805" spans="1:45">
      <c r="A805" s="19">
        <v>33.800433329999997</v>
      </c>
      <c r="B805" s="19">
        <v>691.22397439999997</v>
      </c>
      <c r="C805" s="19">
        <v>499.76977720000002</v>
      </c>
      <c r="E805" s="9">
        <f t="shared" si="221"/>
        <v>-268.77602560000003</v>
      </c>
      <c r="F805" s="9">
        <f t="shared" si="222"/>
        <v>40.230222799999979</v>
      </c>
      <c r="I805">
        <v>1</v>
      </c>
      <c r="J805">
        <f t="shared" si="223"/>
        <v>0.17361700793788334</v>
      </c>
      <c r="K805">
        <f t="shared" si="227"/>
        <v>2.993016307602745</v>
      </c>
      <c r="O805">
        <f t="shared" si="228"/>
        <v>-0.17084292832852144</v>
      </c>
      <c r="P805">
        <f t="shared" si="229"/>
        <v>2.5571659730877633E-2</v>
      </c>
      <c r="Q805">
        <f t="shared" si="230"/>
        <v>0.98496638727356778</v>
      </c>
      <c r="R805">
        <f t="shared" si="220"/>
        <v>1</v>
      </c>
      <c r="AG805" s="8">
        <f t="shared" si="224"/>
        <v>-0.776916865113077</v>
      </c>
      <c r="AH805" s="8">
        <f t="shared" si="225"/>
        <v>-0.3594533226179577</v>
      </c>
      <c r="AI805" s="8">
        <f t="shared" si="226"/>
        <v>0.51690762575317006</v>
      </c>
      <c r="AJ805" s="8"/>
      <c r="AK805" s="8"/>
      <c r="AL805" s="8"/>
      <c r="AN805" s="8">
        <f t="shared" si="231"/>
        <v>1</v>
      </c>
      <c r="AO805" s="8">
        <f t="shared" si="232"/>
        <v>3.5749298846093485</v>
      </c>
      <c r="AP805" s="8">
        <f t="shared" si="233"/>
        <v>1.0275617454342307</v>
      </c>
      <c r="AQ805" s="8"/>
      <c r="AR805" s="8">
        <f t="shared" si="234"/>
        <v>204.82839444330605</v>
      </c>
      <c r="AS805" s="8">
        <f t="shared" si="235"/>
        <v>31.12504879752229</v>
      </c>
    </row>
    <row r="806" spans="1:45">
      <c r="A806" s="19">
        <v>33.833799999999997</v>
      </c>
      <c r="B806" s="19">
        <v>690.50901680000004</v>
      </c>
      <c r="C806" s="19">
        <v>499.75092669999998</v>
      </c>
      <c r="E806" s="9">
        <f t="shared" si="221"/>
        <v>-269.49098319999996</v>
      </c>
      <c r="F806" s="9">
        <f t="shared" si="222"/>
        <v>40.24907330000002</v>
      </c>
      <c r="I806">
        <v>1</v>
      </c>
      <c r="J806">
        <f t="shared" si="223"/>
        <v>0.17406542082138884</v>
      </c>
      <c r="K806">
        <f t="shared" si="227"/>
        <v>2.9933363037945218</v>
      </c>
      <c r="O806">
        <f t="shared" si="228"/>
        <v>-0.17128791176684158</v>
      </c>
      <c r="P806">
        <f t="shared" si="229"/>
        <v>2.5582227777139057E-2</v>
      </c>
      <c r="Q806">
        <f t="shared" si="230"/>
        <v>0.98488882667259114</v>
      </c>
      <c r="R806">
        <f t="shared" si="220"/>
        <v>1</v>
      </c>
      <c r="AG806" s="8">
        <f t="shared" si="224"/>
        <v>-0.77715107939093098</v>
      </c>
      <c r="AH806" s="8">
        <f t="shared" si="225"/>
        <v>-0.35907785294514744</v>
      </c>
      <c r="AI806" s="8">
        <f t="shared" si="226"/>
        <v>0.516816500632298</v>
      </c>
      <c r="AJ806" s="8"/>
      <c r="AK806" s="8"/>
      <c r="AL806" s="8"/>
      <c r="AN806" s="8">
        <f t="shared" si="231"/>
        <v>1</v>
      </c>
      <c r="AO806" s="8">
        <f t="shared" si="232"/>
        <v>3.5744169611060284</v>
      </c>
      <c r="AP806" s="8">
        <f t="shared" si="233"/>
        <v>1.0276681914725876</v>
      </c>
      <c r="AQ806" s="8"/>
      <c r="AR806" s="8">
        <f t="shared" si="234"/>
        <v>204.79900609135277</v>
      </c>
      <c r="AS806" s="8">
        <f t="shared" si="235"/>
        <v>31.118949888778552</v>
      </c>
    </row>
    <row r="807" spans="1:45">
      <c r="A807" s="19">
        <v>33.867166670000003</v>
      </c>
      <c r="B807" s="19">
        <v>690.12828379999996</v>
      </c>
      <c r="C807" s="19">
        <v>499.5996351</v>
      </c>
      <c r="E807" s="9">
        <f t="shared" si="221"/>
        <v>-269.87171620000004</v>
      </c>
      <c r="F807" s="9">
        <f t="shared" si="222"/>
        <v>40.4003649</v>
      </c>
      <c r="I807">
        <v>1</v>
      </c>
      <c r="J807">
        <f t="shared" si="223"/>
        <v>0.17431738021340606</v>
      </c>
      <c r="K807">
        <f t="shared" si="227"/>
        <v>2.992994055278178</v>
      </c>
      <c r="O807">
        <f t="shared" si="228"/>
        <v>-0.1715245580547464</v>
      </c>
      <c r="P807">
        <f t="shared" si="229"/>
        <v>2.5677587975123269E-2</v>
      </c>
      <c r="Q807">
        <f t="shared" si="230"/>
        <v>0.9848451591290398</v>
      </c>
      <c r="R807">
        <f t="shared" si="220"/>
        <v>1</v>
      </c>
      <c r="AG807" s="8">
        <f t="shared" si="224"/>
        <v>-0.77724482938379569</v>
      </c>
      <c r="AH807" s="8">
        <f t="shared" si="225"/>
        <v>-0.35883794637325289</v>
      </c>
      <c r="AI807" s="8">
        <f t="shared" si="226"/>
        <v>0.5168421455713349</v>
      </c>
      <c r="AJ807" s="8"/>
      <c r="AK807" s="8"/>
      <c r="AL807" s="8"/>
      <c r="AN807" s="8">
        <f t="shared" si="231"/>
        <v>1.0000000000000002</v>
      </c>
      <c r="AO807" s="8">
        <f t="shared" si="232"/>
        <v>3.5741166323166467</v>
      </c>
      <c r="AP807" s="8">
        <f t="shared" si="233"/>
        <v>1.0276382355273239</v>
      </c>
      <c r="AQ807" s="8"/>
      <c r="AR807" s="8">
        <f t="shared" si="234"/>
        <v>204.78179851925492</v>
      </c>
      <c r="AS807" s="8">
        <f t="shared" si="235"/>
        <v>31.120666238013484</v>
      </c>
    </row>
    <row r="808" spans="1:45">
      <c r="A808" s="19">
        <v>33.900533330000002</v>
      </c>
      <c r="B808" s="19">
        <v>689.45040840000001</v>
      </c>
      <c r="C808" s="19">
        <v>499.45249610000002</v>
      </c>
      <c r="E808" s="9">
        <f t="shared" si="221"/>
        <v>-270.54959159999999</v>
      </c>
      <c r="F808" s="9">
        <f t="shared" si="222"/>
        <v>40.547503899999981</v>
      </c>
      <c r="I808">
        <v>1</v>
      </c>
      <c r="J808">
        <f t="shared" si="223"/>
        <v>0.1747545263904163</v>
      </c>
      <c r="K808">
        <f t="shared" si="227"/>
        <v>2.9928289924385871</v>
      </c>
      <c r="O808">
        <f t="shared" si="228"/>
        <v>-0.17194606712275767</v>
      </c>
      <c r="P808">
        <f t="shared" si="229"/>
        <v>2.5769707453698765E-2</v>
      </c>
      <c r="Q808">
        <f t="shared" si="230"/>
        <v>0.98476924818901956</v>
      </c>
      <c r="R808">
        <f t="shared" si="220"/>
        <v>1</v>
      </c>
      <c r="AG808" s="8">
        <f t="shared" si="224"/>
        <v>-0.77743834480523877</v>
      </c>
      <c r="AH808" s="8">
        <f t="shared" si="225"/>
        <v>-0.3584453614170563</v>
      </c>
      <c r="AI808" s="8">
        <f t="shared" si="226"/>
        <v>0.51682351233770962</v>
      </c>
      <c r="AJ808" s="8"/>
      <c r="AK808" s="8"/>
      <c r="AL808" s="8"/>
      <c r="AN808" s="8">
        <f t="shared" si="231"/>
        <v>1.0000000000000002</v>
      </c>
      <c r="AO808" s="8">
        <f t="shared" si="232"/>
        <v>3.573605534505031</v>
      </c>
      <c r="AP808" s="8">
        <f t="shared" si="233"/>
        <v>1.02766000112816</v>
      </c>
      <c r="AQ808" s="8"/>
      <c r="AR808" s="8">
        <f t="shared" si="234"/>
        <v>204.75251477173097</v>
      </c>
      <c r="AS808" s="8">
        <f t="shared" si="235"/>
        <v>31.119419160947011</v>
      </c>
    </row>
    <row r="809" spans="1:45">
      <c r="A809" s="19">
        <v>33.933900000000001</v>
      </c>
      <c r="B809" s="19">
        <v>689.14730559999998</v>
      </c>
      <c r="C809" s="19">
        <v>499.61725589999998</v>
      </c>
      <c r="E809" s="9">
        <f t="shared" si="221"/>
        <v>-270.85269440000002</v>
      </c>
      <c r="F809" s="9">
        <f t="shared" si="222"/>
        <v>40.382744100000025</v>
      </c>
      <c r="I809">
        <v>1</v>
      </c>
      <c r="J809">
        <f t="shared" si="223"/>
        <v>0.17492844482275163</v>
      </c>
      <c r="K809">
        <f t="shared" si="227"/>
        <v>2.9935880474345082</v>
      </c>
      <c r="O809">
        <f t="shared" si="228"/>
        <v>-0.17213497269488859</v>
      </c>
      <c r="P809">
        <f t="shared" si="229"/>
        <v>2.5664439367667522E-2</v>
      </c>
      <c r="Q809">
        <f t="shared" si="230"/>
        <v>0.98473899472259818</v>
      </c>
      <c r="R809">
        <f t="shared" si="220"/>
        <v>1</v>
      </c>
      <c r="AG809" s="8">
        <f t="shared" si="224"/>
        <v>-0.77757525592860555</v>
      </c>
      <c r="AH809" s="8">
        <f t="shared" si="225"/>
        <v>-0.35833502124771177</v>
      </c>
      <c r="AI809" s="8">
        <f t="shared" si="226"/>
        <v>0.5166940428483433</v>
      </c>
      <c r="AJ809" s="8"/>
      <c r="AK809" s="8"/>
      <c r="AL809" s="8"/>
      <c r="AN809" s="8">
        <f t="shared" si="231"/>
        <v>1</v>
      </c>
      <c r="AO809" s="8">
        <f t="shared" si="232"/>
        <v>3.5734215438772869</v>
      </c>
      <c r="AP809" s="8">
        <f t="shared" si="233"/>
        <v>1.0278112273807514</v>
      </c>
      <c r="AQ809" s="8"/>
      <c r="AR809" s="8">
        <f t="shared" si="234"/>
        <v>204.74197288529126</v>
      </c>
      <c r="AS809" s="8">
        <f t="shared" si="235"/>
        <v>31.110754534921952</v>
      </c>
    </row>
    <row r="810" spans="1:45">
      <c r="A810" s="19">
        <v>33.967266670000001</v>
      </c>
      <c r="B810" s="19">
        <v>688.30741450000005</v>
      </c>
      <c r="C810" s="19">
        <v>499.43979519999999</v>
      </c>
      <c r="E810" s="9">
        <f t="shared" si="221"/>
        <v>-271.69258549999995</v>
      </c>
      <c r="F810" s="9">
        <f t="shared" si="222"/>
        <v>40.560204800000008</v>
      </c>
      <c r="I810">
        <v>1</v>
      </c>
      <c r="J810">
        <f t="shared" si="223"/>
        <v>0.17546949091737249</v>
      </c>
      <c r="K810">
        <f t="shared" si="227"/>
        <v>2.9933999676729743</v>
      </c>
      <c r="O810">
        <f t="shared" si="228"/>
        <v>-0.17265706704429618</v>
      </c>
      <c r="P810">
        <f t="shared" si="229"/>
        <v>2.5775477039965088E-2</v>
      </c>
      <c r="Q810">
        <f t="shared" si="230"/>
        <v>0.98464468819113815</v>
      </c>
      <c r="R810">
        <f t="shared" si="220"/>
        <v>1</v>
      </c>
      <c r="AG810" s="8">
        <f t="shared" si="224"/>
        <v>-0.77781575359402011</v>
      </c>
      <c r="AH810" s="8">
        <f t="shared" si="225"/>
        <v>-0.35784994315813251</v>
      </c>
      <c r="AI810" s="8">
        <f t="shared" si="226"/>
        <v>0.51666824137224465</v>
      </c>
      <c r="AJ810" s="8"/>
      <c r="AK810" s="8"/>
      <c r="AL810" s="8"/>
      <c r="AN810" s="8">
        <f t="shared" si="231"/>
        <v>1.0000000000000002</v>
      </c>
      <c r="AO810" s="8">
        <f t="shared" si="232"/>
        <v>3.5727894322474718</v>
      </c>
      <c r="AP810" s="8">
        <f t="shared" si="233"/>
        <v>1.0278413630290606</v>
      </c>
      <c r="AQ810" s="8"/>
      <c r="AR810" s="8">
        <f t="shared" si="234"/>
        <v>204.70575555672173</v>
      </c>
      <c r="AS810" s="8">
        <f t="shared" si="235"/>
        <v>31.10902788946094</v>
      </c>
    </row>
    <row r="811" spans="1:45">
      <c r="A811" s="19">
        <v>34.000633329999999</v>
      </c>
      <c r="B811" s="19">
        <v>687.98064050000005</v>
      </c>
      <c r="C811" s="19">
        <v>499.01288140000003</v>
      </c>
      <c r="E811" s="9">
        <f t="shared" si="221"/>
        <v>-272.01935949999995</v>
      </c>
      <c r="F811" s="9">
        <f t="shared" si="222"/>
        <v>40.987118599999974</v>
      </c>
      <c r="I811">
        <v>1</v>
      </c>
      <c r="J811">
        <f t="shared" si="223"/>
        <v>0.17571349055371763</v>
      </c>
      <c r="K811">
        <f t="shared" si="227"/>
        <v>2.9920404622019192</v>
      </c>
      <c r="O811">
        <f t="shared" si="228"/>
        <v>-0.17285943167303083</v>
      </c>
      <c r="P811">
        <f t="shared" si="229"/>
        <v>2.6045977169176872E-2</v>
      </c>
      <c r="Q811">
        <f t="shared" si="230"/>
        <v>0.98460206375722137</v>
      </c>
      <c r="R811">
        <f t="shared" si="220"/>
        <v>1</v>
      </c>
      <c r="AG811" s="8">
        <f t="shared" si="224"/>
        <v>-0.77783092751747818</v>
      </c>
      <c r="AH811" s="8">
        <f t="shared" si="225"/>
        <v>-0.35755999222478563</v>
      </c>
      <c r="AI811" s="8">
        <f t="shared" si="226"/>
        <v>0.51684610877659798</v>
      </c>
      <c r="AJ811" s="8"/>
      <c r="AK811" s="8"/>
      <c r="AL811" s="8"/>
      <c r="AN811" s="8">
        <f t="shared" si="231"/>
        <v>1</v>
      </c>
      <c r="AO811" s="8">
        <f t="shared" si="232"/>
        <v>3.5724743294282688</v>
      </c>
      <c r="AP811" s="8">
        <f t="shared" si="233"/>
        <v>1.0276336060447107</v>
      </c>
      <c r="AQ811" s="8"/>
      <c r="AR811" s="8">
        <f t="shared" si="234"/>
        <v>204.68770149506872</v>
      </c>
      <c r="AS811" s="8">
        <f t="shared" si="235"/>
        <v>31.120931487828557</v>
      </c>
    </row>
    <row r="812" spans="1:45">
      <c r="A812" s="19">
        <v>34.033999999999999</v>
      </c>
      <c r="B812" s="19">
        <v>687.31541449999997</v>
      </c>
      <c r="C812" s="19">
        <v>498.88346300000001</v>
      </c>
      <c r="E812" s="9">
        <f t="shared" si="221"/>
        <v>-272.68458550000003</v>
      </c>
      <c r="F812" s="9">
        <f t="shared" si="222"/>
        <v>41.116536999999994</v>
      </c>
      <c r="I812">
        <v>1</v>
      </c>
      <c r="J812">
        <f t="shared" si="223"/>
        <v>0.17614091577263813</v>
      </c>
      <c r="K812">
        <f t="shared" si="227"/>
        <v>2.9919358150043527</v>
      </c>
      <c r="O812">
        <f t="shared" si="228"/>
        <v>-0.17327282897346269</v>
      </c>
      <c r="P812">
        <f t="shared" si="229"/>
        <v>2.6126811203936031E-2</v>
      </c>
      <c r="Q812">
        <f t="shared" si="230"/>
        <v>0.98452725532401952</v>
      </c>
      <c r="R812">
        <f t="shared" si="220"/>
        <v>1</v>
      </c>
      <c r="AG812" s="8">
        <f t="shared" si="224"/>
        <v>-0.7780235639263019</v>
      </c>
      <c r="AH812" s="8">
        <f t="shared" si="225"/>
        <v>-0.35717891586088302</v>
      </c>
      <c r="AI812" s="8">
        <f t="shared" si="226"/>
        <v>0.51681965523755002</v>
      </c>
      <c r="AJ812" s="8"/>
      <c r="AK812" s="8"/>
      <c r="AL812" s="8"/>
      <c r="AN812" s="8">
        <f t="shared" si="231"/>
        <v>1.0000000000000002</v>
      </c>
      <c r="AO812" s="8">
        <f t="shared" si="232"/>
        <v>3.5719758983214214</v>
      </c>
      <c r="AP812" s="8">
        <f t="shared" si="233"/>
        <v>1.0276645065961001</v>
      </c>
      <c r="AQ812" s="8"/>
      <c r="AR812" s="8">
        <f t="shared" si="234"/>
        <v>204.65914349626831</v>
      </c>
      <c r="AS812" s="8">
        <f t="shared" si="235"/>
        <v>31.119161016649315</v>
      </c>
    </row>
    <row r="813" spans="1:45">
      <c r="A813" s="19">
        <v>34.067366669999998</v>
      </c>
      <c r="B813" s="19">
        <v>686.82967069999995</v>
      </c>
      <c r="C813" s="19">
        <v>498.84199269999999</v>
      </c>
      <c r="E813" s="9">
        <f t="shared" si="221"/>
        <v>-273.17032930000005</v>
      </c>
      <c r="F813" s="9">
        <f t="shared" si="222"/>
        <v>41.158007300000008</v>
      </c>
      <c r="I813">
        <v>1</v>
      </c>
      <c r="J813">
        <f t="shared" si="223"/>
        <v>0.17644799516110871</v>
      </c>
      <c r="K813">
        <f t="shared" si="227"/>
        <v>2.9920495404954455</v>
      </c>
      <c r="O813">
        <f t="shared" si="228"/>
        <v>-0.17357474478320745</v>
      </c>
      <c r="P813">
        <f t="shared" si="229"/>
        <v>2.6152147018270278E-2</v>
      </c>
      <c r="Q813">
        <f t="shared" si="230"/>
        <v>0.9844733989193305</v>
      </c>
      <c r="R813">
        <f t="shared" si="220"/>
        <v>1</v>
      </c>
      <c r="AG813" s="8">
        <f t="shared" si="224"/>
        <v>-0.7781757314415082</v>
      </c>
      <c r="AH813" s="8">
        <f t="shared" si="225"/>
        <v>-0.35691564572161449</v>
      </c>
      <c r="AI813" s="8">
        <f t="shared" si="226"/>
        <v>0.51677243815300056</v>
      </c>
      <c r="AJ813" s="8"/>
      <c r="AK813" s="8"/>
      <c r="AL813" s="8"/>
      <c r="AN813" s="8">
        <f t="shared" si="231"/>
        <v>1.0000000000000002</v>
      </c>
      <c r="AO813" s="8">
        <f t="shared" si="232"/>
        <v>3.5716222707044332</v>
      </c>
      <c r="AP813" s="8">
        <f t="shared" si="233"/>
        <v>1.0277196597477269</v>
      </c>
      <c r="AQ813" s="8"/>
      <c r="AR813" s="8">
        <f t="shared" si="234"/>
        <v>204.63888212629564</v>
      </c>
      <c r="AS813" s="8">
        <f t="shared" si="235"/>
        <v>31.116000973834254</v>
      </c>
    </row>
    <row r="814" spans="1:45">
      <c r="A814" s="19">
        <v>34.100733329999997</v>
      </c>
      <c r="B814" s="19">
        <v>686.36045969999998</v>
      </c>
      <c r="C814" s="19">
        <v>498.7772564</v>
      </c>
      <c r="E814" s="9">
        <f t="shared" si="221"/>
        <v>-273.63954030000002</v>
      </c>
      <c r="F814" s="9">
        <f t="shared" si="222"/>
        <v>41.222743600000001</v>
      </c>
      <c r="I814">
        <v>1</v>
      </c>
      <c r="J814">
        <f t="shared" si="223"/>
        <v>0.17674691696608238</v>
      </c>
      <c r="K814">
        <f t="shared" si="227"/>
        <v>2.9920708331110197</v>
      </c>
      <c r="O814">
        <f t="shared" si="228"/>
        <v>-0.17386629093962275</v>
      </c>
      <c r="P814">
        <f t="shared" si="229"/>
        <v>2.6192287577407124E-2</v>
      </c>
      <c r="Q814">
        <f t="shared" si="230"/>
        <v>0.98442088404622996</v>
      </c>
      <c r="R814">
        <f t="shared" si="220"/>
        <v>1</v>
      </c>
      <c r="AG814" s="8">
        <f t="shared" si="224"/>
        <v>-0.77831723297536837</v>
      </c>
      <c r="AH814" s="8">
        <f t="shared" si="225"/>
        <v>-0.35665434797416085</v>
      </c>
      <c r="AI814" s="8">
        <f t="shared" si="226"/>
        <v>0.516739741963682</v>
      </c>
      <c r="AJ814" s="8"/>
      <c r="AK814" s="8"/>
      <c r="AL814" s="8"/>
      <c r="AN814" s="8">
        <f t="shared" si="231"/>
        <v>1.0000000000000002</v>
      </c>
      <c r="AO814" s="8">
        <f t="shared" si="232"/>
        <v>3.5712759508592931</v>
      </c>
      <c r="AP814" s="8">
        <f t="shared" si="233"/>
        <v>1.0277578503116263</v>
      </c>
      <c r="AQ814" s="8"/>
      <c r="AR814" s="8">
        <f t="shared" si="234"/>
        <v>204.61903946080747</v>
      </c>
      <c r="AS814" s="8">
        <f t="shared" si="235"/>
        <v>31.113812815705593</v>
      </c>
    </row>
    <row r="815" spans="1:45">
      <c r="A815" s="19">
        <v>34.134099999999997</v>
      </c>
      <c r="B815" s="19">
        <v>685.83333330000005</v>
      </c>
      <c r="C815" s="19">
        <v>499.16666670000001</v>
      </c>
      <c r="E815" s="9">
        <f t="shared" si="221"/>
        <v>-274.16666669999995</v>
      </c>
      <c r="F815" s="9">
        <f t="shared" si="222"/>
        <v>40.833333299999993</v>
      </c>
      <c r="I815">
        <v>1</v>
      </c>
      <c r="J815">
        <f t="shared" si="223"/>
        <v>0.17703950393807805</v>
      </c>
      <c r="K815">
        <f t="shared" si="227"/>
        <v>2.9937432884676944</v>
      </c>
      <c r="O815">
        <f t="shared" si="228"/>
        <v>-0.17419473212506736</v>
      </c>
      <c r="P815">
        <f t="shared" si="229"/>
        <v>2.5943896249613272E-2</v>
      </c>
      <c r="Q815">
        <f t="shared" si="230"/>
        <v>0.98436939689695013</v>
      </c>
      <c r="R815">
        <f t="shared" si="220"/>
        <v>1</v>
      </c>
      <c r="AG815" s="8">
        <f t="shared" si="224"/>
        <v>-0.77857726962282614</v>
      </c>
      <c r="AH815" s="8">
        <f t="shared" si="225"/>
        <v>-0.35649147867386188</v>
      </c>
      <c r="AI815" s="8">
        <f t="shared" si="226"/>
        <v>0.51646031876571963</v>
      </c>
      <c r="AJ815" s="8"/>
      <c r="AK815" s="8"/>
      <c r="AL815" s="8"/>
      <c r="AN815" s="8">
        <f t="shared" si="231"/>
        <v>1</v>
      </c>
      <c r="AO815" s="8">
        <f t="shared" si="232"/>
        <v>3.570976537560691</v>
      </c>
      <c r="AP815" s="8">
        <f t="shared" si="233"/>
        <v>1.0280841928019</v>
      </c>
      <c r="AQ815" s="8"/>
      <c r="AR815" s="8">
        <f t="shared" si="234"/>
        <v>204.60188434246749</v>
      </c>
      <c r="AS815" s="8">
        <f t="shared" si="235"/>
        <v>31.095114768337119</v>
      </c>
    </row>
    <row r="816" spans="1:45">
      <c r="A816" s="19">
        <v>34.167466670000003</v>
      </c>
      <c r="B816" s="19">
        <v>685.31911760000003</v>
      </c>
      <c r="C816" s="19">
        <v>499.17765409999998</v>
      </c>
      <c r="E816" s="9">
        <f t="shared" si="221"/>
        <v>-274.68088239999997</v>
      </c>
      <c r="F816" s="9">
        <f t="shared" si="222"/>
        <v>40.822345900000016</v>
      </c>
      <c r="I816">
        <v>1</v>
      </c>
      <c r="J816">
        <f t="shared" si="223"/>
        <v>0.17735943531799056</v>
      </c>
      <c r="K816">
        <f t="shared" si="227"/>
        <v>2.9940552006440364</v>
      </c>
      <c r="O816">
        <f t="shared" si="228"/>
        <v>-0.17451431622513652</v>
      </c>
      <c r="P816">
        <f t="shared" si="229"/>
        <v>2.5935855889199343E-2</v>
      </c>
      <c r="Q816">
        <f t="shared" si="230"/>
        <v>0.98431300144403644</v>
      </c>
      <c r="R816">
        <f t="shared" si="220"/>
        <v>1</v>
      </c>
      <c r="AG816" s="8">
        <f t="shared" si="224"/>
        <v>-0.77875008502708221</v>
      </c>
      <c r="AH816" s="8">
        <f t="shared" si="225"/>
        <v>-0.35622826270516034</v>
      </c>
      <c r="AI816" s="8">
        <f t="shared" si="226"/>
        <v>0.51638138029984748</v>
      </c>
      <c r="AJ816" s="8"/>
      <c r="AK816" s="8"/>
      <c r="AL816" s="8"/>
      <c r="AN816" s="8">
        <f t="shared" si="231"/>
        <v>1.0000000000000002</v>
      </c>
      <c r="AO816" s="8">
        <f t="shared" si="232"/>
        <v>3.5706130604833604</v>
      </c>
      <c r="AP816" s="8">
        <f t="shared" si="233"/>
        <v>1.0281763745680494</v>
      </c>
      <c r="AQ816" s="8"/>
      <c r="AR816" s="8">
        <f t="shared" si="234"/>
        <v>204.58105863998668</v>
      </c>
      <c r="AS816" s="8">
        <f t="shared" si="235"/>
        <v>31.089833142188695</v>
      </c>
    </row>
    <row r="817" spans="1:45">
      <c r="A817" s="19">
        <v>34.200833330000002</v>
      </c>
      <c r="B817" s="19">
        <v>684.55930699999999</v>
      </c>
      <c r="C817" s="19">
        <v>499.04931099999999</v>
      </c>
      <c r="E817" s="9">
        <f t="shared" si="221"/>
        <v>-275.44069300000001</v>
      </c>
      <c r="F817" s="9">
        <f t="shared" si="222"/>
        <v>40.950689000000011</v>
      </c>
      <c r="I817">
        <v>1</v>
      </c>
      <c r="J817">
        <f t="shared" si="223"/>
        <v>0.17784553345549639</v>
      </c>
      <c r="K817">
        <f t="shared" si="227"/>
        <v>2.9940004205450776</v>
      </c>
      <c r="O817">
        <f t="shared" si="228"/>
        <v>-0.17498614533062418</v>
      </c>
      <c r="P817">
        <f t="shared" si="229"/>
        <v>2.601577544224087E-2</v>
      </c>
      <c r="Q817">
        <f t="shared" si="230"/>
        <v>0.9842271223505622</v>
      </c>
      <c r="R817">
        <f t="shared" si="220"/>
        <v>1</v>
      </c>
      <c r="AG817" s="8">
        <f t="shared" si="224"/>
        <v>-0.77897361859316272</v>
      </c>
      <c r="AH817" s="8">
        <f t="shared" si="225"/>
        <v>-0.35579843530873512</v>
      </c>
      <c r="AI817" s="8">
        <f t="shared" si="226"/>
        <v>0.51634056103286119</v>
      </c>
      <c r="AJ817" s="8"/>
      <c r="AK817" s="8"/>
      <c r="AL817" s="8"/>
      <c r="AN817" s="8">
        <f t="shared" si="231"/>
        <v>1.0000000000000002</v>
      </c>
      <c r="AO817" s="8">
        <f t="shared" si="232"/>
        <v>3.5700480573386204</v>
      </c>
      <c r="AP817" s="8">
        <f t="shared" si="233"/>
        <v>1.0282240399670073</v>
      </c>
      <c r="AQ817" s="8"/>
      <c r="AR817" s="8">
        <f t="shared" si="234"/>
        <v>204.54868634438148</v>
      </c>
      <c r="AS817" s="8">
        <f t="shared" si="235"/>
        <v>31.087102115999606</v>
      </c>
    </row>
    <row r="818" spans="1:45">
      <c r="A818" s="19">
        <v>34.234200000000001</v>
      </c>
      <c r="B818" s="19">
        <v>684.20372090000001</v>
      </c>
      <c r="C818" s="19">
        <v>499.0842998</v>
      </c>
      <c r="E818" s="9">
        <f t="shared" si="221"/>
        <v>-275.79627909999999</v>
      </c>
      <c r="F818" s="9">
        <f t="shared" si="222"/>
        <v>40.915700200000003</v>
      </c>
      <c r="I818">
        <v>1</v>
      </c>
      <c r="J818">
        <f t="shared" si="223"/>
        <v>0.1780641894560204</v>
      </c>
      <c r="K818">
        <f t="shared" si="227"/>
        <v>2.9943120963414316</v>
      </c>
      <c r="O818">
        <f t="shared" si="228"/>
        <v>-0.17520711842626396</v>
      </c>
      <c r="P818">
        <f t="shared" si="229"/>
        <v>2.5992815979347019E-2</v>
      </c>
      <c r="Q818">
        <f t="shared" si="230"/>
        <v>0.98418841649870525</v>
      </c>
      <c r="R818">
        <f t="shared" si="220"/>
        <v>1</v>
      </c>
      <c r="AG818" s="8">
        <f t="shared" si="224"/>
        <v>-0.77909895953572672</v>
      </c>
      <c r="AH818" s="8">
        <f t="shared" si="225"/>
        <v>-0.35562414587982705</v>
      </c>
      <c r="AI818" s="8">
        <f t="shared" si="226"/>
        <v>0.5162715158882889</v>
      </c>
      <c r="AJ818" s="8"/>
      <c r="AK818" s="8"/>
      <c r="AL818" s="8"/>
      <c r="AN818" s="8">
        <f t="shared" si="231"/>
        <v>1.0000000000000002</v>
      </c>
      <c r="AO818" s="8">
        <f t="shared" si="232"/>
        <v>3.5698021395902799</v>
      </c>
      <c r="AP818" s="8">
        <f t="shared" si="233"/>
        <v>1.0283046621175478</v>
      </c>
      <c r="AQ818" s="8"/>
      <c r="AR818" s="8">
        <f t="shared" si="234"/>
        <v>204.53459629529419</v>
      </c>
      <c r="AS818" s="8">
        <f t="shared" si="235"/>
        <v>31.082482807038367</v>
      </c>
    </row>
    <row r="819" spans="1:45">
      <c r="A819" s="19">
        <v>34.267566670000001</v>
      </c>
      <c r="B819" s="19">
        <v>683.77287130000002</v>
      </c>
      <c r="C819" s="19">
        <v>499.11886429999998</v>
      </c>
      <c r="E819" s="9">
        <f t="shared" si="221"/>
        <v>-276.22712869999998</v>
      </c>
      <c r="F819" s="9">
        <f t="shared" si="222"/>
        <v>40.881135700000016</v>
      </c>
      <c r="I819">
        <v>1</v>
      </c>
      <c r="J819">
        <f t="shared" si="223"/>
        <v>0.17832985238045357</v>
      </c>
      <c r="K819">
        <f t="shared" si="227"/>
        <v>2.9946609658996861</v>
      </c>
      <c r="O819">
        <f t="shared" si="228"/>
        <v>-0.1754748147815888</v>
      </c>
      <c r="P819">
        <f t="shared" si="229"/>
        <v>2.5969968079455001E-2</v>
      </c>
      <c r="Q819">
        <f t="shared" si="230"/>
        <v>0.98414132630192863</v>
      </c>
      <c r="R819">
        <f t="shared" si="220"/>
        <v>1</v>
      </c>
      <c r="AG819" s="8">
        <f t="shared" si="224"/>
        <v>-0.77924905273977851</v>
      </c>
      <c r="AH819" s="8">
        <f t="shared" si="225"/>
        <v>-0.35541074438180537</v>
      </c>
      <c r="AI819" s="8">
        <f t="shared" si="226"/>
        <v>0.51619193773452998</v>
      </c>
      <c r="AJ819" s="8"/>
      <c r="AK819" s="8"/>
      <c r="AL819" s="8"/>
      <c r="AN819" s="8">
        <f t="shared" si="231"/>
        <v>1</v>
      </c>
      <c r="AO819" s="8">
        <f t="shared" si="232"/>
        <v>3.5695027037101079</v>
      </c>
      <c r="AP819" s="8">
        <f t="shared" si="233"/>
        <v>1.028397578518232</v>
      </c>
      <c r="AQ819" s="8"/>
      <c r="AR819" s="8">
        <f t="shared" si="234"/>
        <v>204.51743988312558</v>
      </c>
      <c r="AS819" s="8">
        <f t="shared" si="235"/>
        <v>31.077159089431611</v>
      </c>
    </row>
    <row r="820" spans="1:45">
      <c r="A820" s="19">
        <v>34.300933329999999</v>
      </c>
      <c r="B820" s="19">
        <v>683.05278729999998</v>
      </c>
      <c r="C820" s="19">
        <v>498.92420090000002</v>
      </c>
      <c r="E820" s="9">
        <f t="shared" si="221"/>
        <v>-276.94721270000002</v>
      </c>
      <c r="F820" s="9">
        <f t="shared" si="222"/>
        <v>41.075799099999983</v>
      </c>
      <c r="I820">
        <v>1</v>
      </c>
      <c r="J820">
        <f t="shared" si="223"/>
        <v>0.17879714501769606</v>
      </c>
      <c r="K820">
        <f t="shared" si="227"/>
        <v>2.9943497149800105</v>
      </c>
      <c r="O820">
        <f t="shared" si="228"/>
        <v>-0.17592160969554277</v>
      </c>
      <c r="P820">
        <f t="shared" si="229"/>
        <v>2.6092050635766282E-2</v>
      </c>
      <c r="Q820">
        <f t="shared" si="230"/>
        <v>0.98405832760855683</v>
      </c>
      <c r="R820">
        <f t="shared" si="220"/>
        <v>1</v>
      </c>
      <c r="AG820" s="8">
        <f t="shared" si="224"/>
        <v>-0.77944450558245948</v>
      </c>
      <c r="AH820" s="8">
        <f t="shared" si="225"/>
        <v>-0.354982706411412</v>
      </c>
      <c r="AI820" s="8">
        <f t="shared" si="226"/>
        <v>0.51619138007733589</v>
      </c>
      <c r="AJ820" s="8"/>
      <c r="AK820" s="8"/>
      <c r="AL820" s="8"/>
      <c r="AN820" s="8">
        <f t="shared" si="231"/>
        <v>1</v>
      </c>
      <c r="AO820" s="8">
        <f t="shared" si="232"/>
        <v>3.5689532982884309</v>
      </c>
      <c r="AP820" s="8">
        <f t="shared" si="233"/>
        <v>1.0283982296270573</v>
      </c>
      <c r="AQ820" s="8"/>
      <c r="AR820" s="8">
        <f t="shared" si="234"/>
        <v>204.48596127122187</v>
      </c>
      <c r="AS820" s="8">
        <f t="shared" si="235"/>
        <v>31.077121783643918</v>
      </c>
    </row>
    <row r="821" spans="1:45">
      <c r="A821" s="19">
        <v>34.334299999999999</v>
      </c>
      <c r="B821" s="19">
        <v>682.44911209999998</v>
      </c>
      <c r="C821" s="19">
        <v>498.76061079999999</v>
      </c>
      <c r="E821" s="9">
        <f t="shared" si="221"/>
        <v>-277.55088790000002</v>
      </c>
      <c r="F821" s="9">
        <f t="shared" si="222"/>
        <v>41.239389200000005</v>
      </c>
      <c r="I821">
        <v>1</v>
      </c>
      <c r="J821">
        <f t="shared" si="223"/>
        <v>0.17918889270533209</v>
      </c>
      <c r="K821">
        <f t="shared" si="227"/>
        <v>2.9940886514705136</v>
      </c>
      <c r="O821">
        <f t="shared" si="228"/>
        <v>-0.17629609491004752</v>
      </c>
      <c r="P821">
        <f t="shared" si="229"/>
        <v>2.6194631649152037E-2</v>
      </c>
      <c r="Q821">
        <f t="shared" si="230"/>
        <v>0.98398858133223921</v>
      </c>
      <c r="R821">
        <f t="shared" si="220"/>
        <v>1</v>
      </c>
      <c r="AG821" s="8">
        <f t="shared" si="224"/>
        <v>-0.77960811964542198</v>
      </c>
      <c r="AH821" s="8">
        <f t="shared" si="225"/>
        <v>-0.35462373997652508</v>
      </c>
      <c r="AI821" s="8">
        <f t="shared" si="226"/>
        <v>0.51619103326965243</v>
      </c>
      <c r="AJ821" s="8"/>
      <c r="AK821" s="8"/>
      <c r="AL821" s="8"/>
      <c r="AN821" s="8">
        <f t="shared" si="231"/>
        <v>1</v>
      </c>
      <c r="AO821" s="8">
        <f t="shared" si="232"/>
        <v>3.5684926941869159</v>
      </c>
      <c r="AP821" s="8">
        <f t="shared" si="233"/>
        <v>1.0283986345522944</v>
      </c>
      <c r="AQ821" s="8"/>
      <c r="AR821" s="8">
        <f t="shared" si="234"/>
        <v>204.45957060017864</v>
      </c>
      <c r="AS821" s="8">
        <f t="shared" si="235"/>
        <v>31.077098583136817</v>
      </c>
    </row>
    <row r="822" spans="1:45">
      <c r="A822" s="19">
        <v>34.367666669999998</v>
      </c>
      <c r="B822" s="19">
        <v>681.98087940000005</v>
      </c>
      <c r="C822" s="19">
        <v>498.630854</v>
      </c>
      <c r="E822" s="9">
        <f t="shared" si="221"/>
        <v>-278.01912059999995</v>
      </c>
      <c r="F822" s="9">
        <f t="shared" si="222"/>
        <v>41.369146000000001</v>
      </c>
      <c r="I822">
        <v>1</v>
      </c>
      <c r="J822">
        <f t="shared" si="223"/>
        <v>0.17949298837925237</v>
      </c>
      <c r="K822">
        <f t="shared" si="227"/>
        <v>2.9938768550963881</v>
      </c>
      <c r="O822">
        <f t="shared" si="228"/>
        <v>-0.17658650291817332</v>
      </c>
      <c r="P822">
        <f t="shared" si="229"/>
        <v>2.6276008661151581E-2</v>
      </c>
      <c r="Q822">
        <f t="shared" si="230"/>
        <v>0.98393433640460426</v>
      </c>
      <c r="R822">
        <f t="shared" si="220"/>
        <v>1</v>
      </c>
      <c r="AG822" s="8">
        <f t="shared" si="224"/>
        <v>-0.77973429874801248</v>
      </c>
      <c r="AH822" s="8">
        <f t="shared" si="225"/>
        <v>-0.35434449281562919</v>
      </c>
      <c r="AI822" s="8">
        <f t="shared" si="226"/>
        <v>0.5161922159110689</v>
      </c>
      <c r="AJ822" s="8"/>
      <c r="AK822" s="8"/>
      <c r="AL822" s="8"/>
      <c r="AN822" s="8">
        <f t="shared" si="231"/>
        <v>0.99999999999999978</v>
      </c>
      <c r="AO822" s="8">
        <f t="shared" si="232"/>
        <v>3.5681349124105384</v>
      </c>
      <c r="AP822" s="8">
        <f t="shared" si="233"/>
        <v>1.028397253725053</v>
      </c>
      <c r="AQ822" s="8"/>
      <c r="AR822" s="8">
        <f t="shared" si="234"/>
        <v>204.43907121440552</v>
      </c>
      <c r="AS822" s="8">
        <f t="shared" si="235"/>
        <v>31.077177698709988</v>
      </c>
    </row>
    <row r="823" spans="1:45">
      <c r="A823" s="19">
        <v>34.401033329999997</v>
      </c>
      <c r="B823" s="19">
        <v>681.68044280000004</v>
      </c>
      <c r="C823" s="19">
        <v>498.13652100000002</v>
      </c>
      <c r="E823" s="9">
        <f t="shared" si="221"/>
        <v>-278.31955719999996</v>
      </c>
      <c r="F823" s="9">
        <f t="shared" si="222"/>
        <v>41.863478999999984</v>
      </c>
      <c r="I823">
        <v>1</v>
      </c>
      <c r="J823">
        <f t="shared" si="223"/>
        <v>0.17972646575889922</v>
      </c>
      <c r="K823">
        <f t="shared" si="227"/>
        <v>2.9922967123487028</v>
      </c>
      <c r="O823">
        <f t="shared" si="228"/>
        <v>-0.17677192876653486</v>
      </c>
      <c r="P823">
        <f t="shared" si="229"/>
        <v>2.6589176851806739E-2</v>
      </c>
      <c r="Q823">
        <f t="shared" si="230"/>
        <v>0.98389262669993749</v>
      </c>
      <c r="R823">
        <f t="shared" si="220"/>
        <v>1</v>
      </c>
      <c r="AG823" s="8">
        <f t="shared" si="224"/>
        <v>-0.77972517198572266</v>
      </c>
      <c r="AH823" s="8">
        <f t="shared" si="225"/>
        <v>-0.35404908420438852</v>
      </c>
      <c r="AI823" s="8">
        <f t="shared" si="226"/>
        <v>0.5164086580856958</v>
      </c>
      <c r="AJ823" s="8"/>
      <c r="AK823" s="8"/>
      <c r="AL823" s="8"/>
      <c r="AN823" s="8">
        <f t="shared" si="231"/>
        <v>1</v>
      </c>
      <c r="AO823" s="8">
        <f t="shared" si="232"/>
        <v>3.5678252645594659</v>
      </c>
      <c r="AP823" s="8">
        <f t="shared" si="233"/>
        <v>1.0281445210387385</v>
      </c>
      <c r="AQ823" s="8"/>
      <c r="AR823" s="8">
        <f t="shared" si="234"/>
        <v>204.42132969940377</v>
      </c>
      <c r="AS823" s="8">
        <f t="shared" si="235"/>
        <v>31.091658214980804</v>
      </c>
    </row>
    <row r="824" spans="1:45">
      <c r="A824" s="19">
        <v>34.434399999999997</v>
      </c>
      <c r="B824" s="19">
        <v>680.8471859</v>
      </c>
      <c r="C824" s="19">
        <v>498.15535310000001</v>
      </c>
      <c r="E824" s="9">
        <f t="shared" si="221"/>
        <v>-279.1528141</v>
      </c>
      <c r="F824" s="9">
        <f t="shared" si="222"/>
        <v>41.844646899999987</v>
      </c>
      <c r="I824">
        <v>1</v>
      </c>
      <c r="J824">
        <f t="shared" si="223"/>
        <v>0.18024423253249841</v>
      </c>
      <c r="K824">
        <f t="shared" si="227"/>
        <v>2.9928017679686483</v>
      </c>
      <c r="O824">
        <f t="shared" si="228"/>
        <v>-0.17728910978935508</v>
      </c>
      <c r="P824">
        <f t="shared" si="229"/>
        <v>2.6575408964687582E-2</v>
      </c>
      <c r="Q824">
        <f t="shared" si="230"/>
        <v>0.9837999385995394</v>
      </c>
      <c r="R824">
        <f t="shared" si="220"/>
        <v>1</v>
      </c>
      <c r="AG824" s="8">
        <f t="shared" si="224"/>
        <v>-0.78000411011825355</v>
      </c>
      <c r="AH824" s="8">
        <f t="shared" si="225"/>
        <v>-0.35362273239803832</v>
      </c>
      <c r="AI824" s="8">
        <f t="shared" si="226"/>
        <v>0.51627952828867507</v>
      </c>
      <c r="AJ824" s="8"/>
      <c r="AK824" s="8"/>
      <c r="AL824" s="8"/>
      <c r="AN824" s="8">
        <f t="shared" si="231"/>
        <v>1</v>
      </c>
      <c r="AO824" s="8">
        <f t="shared" si="232"/>
        <v>3.5672373157548889</v>
      </c>
      <c r="AP824" s="8">
        <f t="shared" si="233"/>
        <v>1.0282953064549956</v>
      </c>
      <c r="AQ824" s="8"/>
      <c r="AR824" s="8">
        <f t="shared" si="234"/>
        <v>204.38764271433175</v>
      </c>
      <c r="AS824" s="8">
        <f t="shared" si="235"/>
        <v>31.083018847017158</v>
      </c>
    </row>
    <row r="825" spans="1:45">
      <c r="A825" s="19">
        <v>34.467766670000003</v>
      </c>
      <c r="B825" s="19">
        <v>680.55717819999995</v>
      </c>
      <c r="C825" s="19">
        <v>498.11906299999998</v>
      </c>
      <c r="E825" s="9">
        <f t="shared" si="221"/>
        <v>-279.44282180000005</v>
      </c>
      <c r="F825" s="9">
        <f t="shared" si="222"/>
        <v>41.880937000000017</v>
      </c>
      <c r="I825">
        <v>1</v>
      </c>
      <c r="J825">
        <f t="shared" si="223"/>
        <v>0.18042842876759244</v>
      </c>
      <c r="K825">
        <f t="shared" si="227"/>
        <v>2.9928269032836243</v>
      </c>
      <c r="O825">
        <f t="shared" si="228"/>
        <v>-0.17746898541966857</v>
      </c>
      <c r="P825">
        <f t="shared" si="229"/>
        <v>2.6597811136958225E-2</v>
      </c>
      <c r="Q825">
        <f t="shared" si="230"/>
        <v>0.98376690107811426</v>
      </c>
      <c r="R825">
        <f t="shared" si="220"/>
        <v>1</v>
      </c>
      <c r="AG825" s="8">
        <f t="shared" si="224"/>
        <v>-0.78009174438611406</v>
      </c>
      <c r="AH825" s="8">
        <f t="shared" si="225"/>
        <v>-0.35346222422614193</v>
      </c>
      <c r="AI825" s="8">
        <f t="shared" si="226"/>
        <v>0.51625703519248844</v>
      </c>
      <c r="AJ825" s="8"/>
      <c r="AK825" s="8"/>
      <c r="AL825" s="8"/>
      <c r="AN825" s="8">
        <f t="shared" si="231"/>
        <v>1</v>
      </c>
      <c r="AO825" s="8">
        <f t="shared" si="232"/>
        <v>3.5670243729896116</v>
      </c>
      <c r="AP825" s="8">
        <f t="shared" si="233"/>
        <v>1.0283215703378628</v>
      </c>
      <c r="AQ825" s="8"/>
      <c r="AR825" s="8">
        <f t="shared" si="234"/>
        <v>204.3754419926035</v>
      </c>
      <c r="AS825" s="8">
        <f t="shared" si="235"/>
        <v>31.081514037375243</v>
      </c>
    </row>
    <row r="826" spans="1:45">
      <c r="A826" s="19">
        <v>34.501133330000002</v>
      </c>
      <c r="B826" s="19">
        <v>680.06565490000003</v>
      </c>
      <c r="C826" s="19">
        <v>498.16270639999999</v>
      </c>
      <c r="E826" s="9">
        <f t="shared" si="221"/>
        <v>-279.93434509999997</v>
      </c>
      <c r="F826" s="9">
        <f t="shared" si="222"/>
        <v>41.83729360000001</v>
      </c>
      <c r="I826">
        <v>1</v>
      </c>
      <c r="J826">
        <f t="shared" si="223"/>
        <v>0.18073078303666573</v>
      </c>
      <c r="K826">
        <f t="shared" si="227"/>
        <v>2.9932367829970676</v>
      </c>
      <c r="O826">
        <f t="shared" si="228"/>
        <v>-0.17777404310479364</v>
      </c>
      <c r="P826">
        <f t="shared" si="229"/>
        <v>2.6569032939410892E-2</v>
      </c>
      <c r="Q826">
        <f t="shared" si="230"/>
        <v>0.98371259831662183</v>
      </c>
      <c r="R826">
        <f t="shared" si="220"/>
        <v>1</v>
      </c>
      <c r="AG826" s="8">
        <f t="shared" si="224"/>
        <v>-0.78026323814327414</v>
      </c>
      <c r="AH826" s="8">
        <f t="shared" si="225"/>
        <v>-0.35321990698699757</v>
      </c>
      <c r="AI826" s="8">
        <f t="shared" si="226"/>
        <v>0.51616371095832492</v>
      </c>
      <c r="AJ826" s="8"/>
      <c r="AK826" s="8"/>
      <c r="AL826" s="8"/>
      <c r="AN826" s="8">
        <f t="shared" si="231"/>
        <v>1</v>
      </c>
      <c r="AO826" s="8">
        <f t="shared" si="232"/>
        <v>3.566684036097409</v>
      </c>
      <c r="AP826" s="8">
        <f t="shared" si="233"/>
        <v>1.0284305351883418</v>
      </c>
      <c r="AQ826" s="8"/>
      <c r="AR826" s="8">
        <f t="shared" si="234"/>
        <v>204.35594212506771</v>
      </c>
      <c r="AS826" s="8">
        <f t="shared" si="235"/>
        <v>31.075270811327513</v>
      </c>
    </row>
    <row r="827" spans="1:45">
      <c r="A827" s="19">
        <v>34.534500000000001</v>
      </c>
      <c r="B827" s="19">
        <v>679.42938389999995</v>
      </c>
      <c r="C827" s="19">
        <v>498.15596449999998</v>
      </c>
      <c r="E827" s="9">
        <f t="shared" si="221"/>
        <v>-280.57061610000005</v>
      </c>
      <c r="F827" s="9">
        <f t="shared" si="222"/>
        <v>41.844035500000018</v>
      </c>
      <c r="I827">
        <v>1</v>
      </c>
      <c r="J827">
        <f t="shared" si="223"/>
        <v>0.18112805328685641</v>
      </c>
      <c r="K827">
        <f t="shared" si="227"/>
        <v>2.993544815785997</v>
      </c>
      <c r="O827">
        <f t="shared" si="228"/>
        <v>-0.17816872952548887</v>
      </c>
      <c r="P827">
        <f t="shared" si="229"/>
        <v>2.6571915287797853E-2</v>
      </c>
      <c r="Q827">
        <f t="shared" si="230"/>
        <v>0.98364111195964721</v>
      </c>
      <c r="R827">
        <f t="shared" si="220"/>
        <v>1</v>
      </c>
      <c r="AG827" s="8">
        <f t="shared" si="224"/>
        <v>-0.78047124615073704</v>
      </c>
      <c r="AH827" s="8">
        <f t="shared" si="225"/>
        <v>-0.35288833737326669</v>
      </c>
      <c r="AI827" s="8">
        <f t="shared" si="226"/>
        <v>0.51607601695665639</v>
      </c>
      <c r="AJ827" s="8"/>
      <c r="AK827" s="8"/>
      <c r="AL827" s="8"/>
      <c r="AN827" s="8">
        <f t="shared" si="231"/>
        <v>1</v>
      </c>
      <c r="AO827" s="8">
        <f t="shared" si="232"/>
        <v>3.566231234874885</v>
      </c>
      <c r="AP827" s="8">
        <f t="shared" si="233"/>
        <v>1.0285329196904738</v>
      </c>
      <c r="AQ827" s="8"/>
      <c r="AR827" s="8">
        <f t="shared" si="234"/>
        <v>204.32999852605872</v>
      </c>
      <c r="AS827" s="8">
        <f t="shared" si="235"/>
        <v>31.069404611467803</v>
      </c>
    </row>
    <row r="828" spans="1:45">
      <c r="A828" s="19">
        <v>34.567866670000001</v>
      </c>
      <c r="B828" s="19">
        <v>678.87919720000002</v>
      </c>
      <c r="C828" s="19">
        <v>498.1511208</v>
      </c>
      <c r="E828" s="9">
        <f t="shared" si="221"/>
        <v>-281.12080279999998</v>
      </c>
      <c r="F828" s="9">
        <f t="shared" si="222"/>
        <v>41.848879199999999</v>
      </c>
      <c r="I828">
        <v>1</v>
      </c>
      <c r="J828">
        <f t="shared" si="223"/>
        <v>0.18147145678180765</v>
      </c>
      <c r="K828">
        <f t="shared" si="227"/>
        <v>2.9938135033383046</v>
      </c>
      <c r="O828">
        <f t="shared" si="228"/>
        <v>-0.17850995623039992</v>
      </c>
      <c r="P828">
        <f t="shared" si="229"/>
        <v>2.6573777251191377E-2</v>
      </c>
      <c r="Q828">
        <f t="shared" si="230"/>
        <v>0.98357919350158318</v>
      </c>
      <c r="R828">
        <f t="shared" si="220"/>
        <v>1</v>
      </c>
      <c r="AG828" s="8">
        <f t="shared" si="224"/>
        <v>-0.78065120588718817</v>
      </c>
      <c r="AH828" s="8">
        <f t="shared" si="225"/>
        <v>-0.35260189416273852</v>
      </c>
      <c r="AI828" s="8">
        <f t="shared" si="226"/>
        <v>0.51599961141431894</v>
      </c>
      <c r="AJ828" s="8"/>
      <c r="AK828" s="8"/>
      <c r="AL828" s="8"/>
      <c r="AN828" s="8">
        <f t="shared" si="231"/>
        <v>1.0000000000000004</v>
      </c>
      <c r="AO828" s="8">
        <f t="shared" si="232"/>
        <v>3.5658399789886426</v>
      </c>
      <c r="AP828" s="8">
        <f t="shared" si="233"/>
        <v>1.0286221195419631</v>
      </c>
      <c r="AQ828" s="8"/>
      <c r="AR828" s="8">
        <f t="shared" si="234"/>
        <v>204.30758121506736</v>
      </c>
      <c r="AS828" s="8">
        <f t="shared" si="235"/>
        <v>31.064293836444271</v>
      </c>
    </row>
    <row r="829" spans="1:45">
      <c r="A829" s="19">
        <v>34.601233329999999</v>
      </c>
      <c r="B829" s="19">
        <v>678.66044699999998</v>
      </c>
      <c r="C829" s="19">
        <v>497.9792028</v>
      </c>
      <c r="E829" s="9">
        <f t="shared" si="221"/>
        <v>-281.33955300000002</v>
      </c>
      <c r="F829" s="9">
        <f t="shared" si="222"/>
        <v>42.020797200000004</v>
      </c>
      <c r="I829">
        <v>1</v>
      </c>
      <c r="J829">
        <f t="shared" si="223"/>
        <v>0.18162377758702294</v>
      </c>
      <c r="K829">
        <f t="shared" si="227"/>
        <v>2.9933289542515809</v>
      </c>
      <c r="O829">
        <f t="shared" si="228"/>
        <v>-0.17864523281685663</v>
      </c>
      <c r="P829">
        <f t="shared" si="229"/>
        <v>2.668240216811579E-2</v>
      </c>
      <c r="Q829">
        <f t="shared" si="230"/>
        <v>0.9835516916798781</v>
      </c>
      <c r="R829">
        <f t="shared" si="220"/>
        <v>1</v>
      </c>
      <c r="AG829" s="8">
        <f t="shared" si="224"/>
        <v>-0.78068548151778439</v>
      </c>
      <c r="AH829" s="8">
        <f t="shared" si="225"/>
        <v>-0.35243995006771905</v>
      </c>
      <c r="AI829" s="8">
        <f t="shared" si="226"/>
        <v>0.51605838869609399</v>
      </c>
      <c r="AJ829" s="8"/>
      <c r="AK829" s="8"/>
      <c r="AL829" s="8"/>
      <c r="AN829" s="8">
        <f t="shared" si="231"/>
        <v>1</v>
      </c>
      <c r="AO829" s="8">
        <f t="shared" si="232"/>
        <v>3.5656512031263627</v>
      </c>
      <c r="AP829" s="8">
        <f t="shared" si="233"/>
        <v>1.028553500275065</v>
      </c>
      <c r="AQ829" s="8"/>
      <c r="AR829" s="8">
        <f t="shared" si="234"/>
        <v>204.29676515488478</v>
      </c>
      <c r="AS829" s="8">
        <f t="shared" si="235"/>
        <v>31.068225430830822</v>
      </c>
    </row>
    <row r="830" spans="1:45">
      <c r="A830" s="19">
        <v>34.634599999999999</v>
      </c>
      <c r="B830" s="19">
        <v>678.19005790000006</v>
      </c>
      <c r="C830" s="19">
        <v>497.6499293</v>
      </c>
      <c r="E830" s="9">
        <f t="shared" si="221"/>
        <v>-281.80994209999994</v>
      </c>
      <c r="F830" s="9">
        <f t="shared" si="222"/>
        <v>42.350070700000003</v>
      </c>
      <c r="I830">
        <v>1</v>
      </c>
      <c r="J830">
        <f t="shared" si="223"/>
        <v>0.18194765190318637</v>
      </c>
      <c r="K830">
        <f t="shared" si="227"/>
        <v>2.9924300147177298</v>
      </c>
      <c r="O830">
        <f t="shared" si="228"/>
        <v>-0.17893617534049178</v>
      </c>
      <c r="P830">
        <f t="shared" si="229"/>
        <v>2.6890320547201963E-2</v>
      </c>
      <c r="Q830">
        <f t="shared" si="230"/>
        <v>0.98349313968902985</v>
      </c>
      <c r="R830">
        <f t="shared" si="220"/>
        <v>1</v>
      </c>
      <c r="AG830" s="8">
        <f t="shared" si="224"/>
        <v>-0.78076795700386104</v>
      </c>
      <c r="AH830" s="8">
        <f t="shared" si="225"/>
        <v>-0.35210312679963091</v>
      </c>
      <c r="AI830" s="8">
        <f t="shared" si="226"/>
        <v>0.51616352584616076</v>
      </c>
      <c r="AJ830" s="8"/>
      <c r="AK830" s="8"/>
      <c r="AL830" s="8"/>
      <c r="AN830" s="8">
        <f t="shared" si="231"/>
        <v>1.0000000000000002</v>
      </c>
      <c r="AO830" s="8">
        <f t="shared" si="232"/>
        <v>3.5652531538261569</v>
      </c>
      <c r="AP830" s="8">
        <f t="shared" si="233"/>
        <v>1.0284307513171518</v>
      </c>
      <c r="AQ830" s="8"/>
      <c r="AR830" s="8">
        <f t="shared" si="234"/>
        <v>204.27395860994486</v>
      </c>
      <c r="AS830" s="8">
        <f t="shared" si="235"/>
        <v>31.075258428058874</v>
      </c>
    </row>
    <row r="831" spans="1:45">
      <c r="A831" s="19">
        <v>34.667966669999998</v>
      </c>
      <c r="B831" s="19">
        <v>677.45480540000005</v>
      </c>
      <c r="C831" s="19">
        <v>497.34756800000002</v>
      </c>
      <c r="E831" s="9">
        <f t="shared" si="221"/>
        <v>-282.54519459999995</v>
      </c>
      <c r="F831" s="9">
        <f t="shared" si="222"/>
        <v>42.652431999999976</v>
      </c>
      <c r="I831">
        <v>1</v>
      </c>
      <c r="J831">
        <f t="shared" si="223"/>
        <v>0.18243409931601048</v>
      </c>
      <c r="K831">
        <f t="shared" si="227"/>
        <v>2.9917660067863281</v>
      </c>
      <c r="O831">
        <f t="shared" si="228"/>
        <v>-0.17939131728606844</v>
      </c>
      <c r="P831">
        <f t="shared" si="229"/>
        <v>2.7080538293233678E-2</v>
      </c>
      <c r="Q831">
        <f t="shared" si="230"/>
        <v>0.98340500289967903</v>
      </c>
      <c r="R831">
        <f t="shared" si="220"/>
        <v>1</v>
      </c>
      <c r="AG831" s="8">
        <f t="shared" si="224"/>
        <v>-0.78094321486467377</v>
      </c>
      <c r="AH831" s="8">
        <f t="shared" si="225"/>
        <v>-0.35163665546228873</v>
      </c>
      <c r="AI831" s="8">
        <f t="shared" si="226"/>
        <v>0.51621638650097446</v>
      </c>
      <c r="AJ831" s="8"/>
      <c r="AK831" s="8"/>
      <c r="AL831" s="8"/>
      <c r="AN831" s="8">
        <f t="shared" si="231"/>
        <v>0.99999999999999978</v>
      </c>
      <c r="AO831" s="8">
        <f t="shared" si="232"/>
        <v>3.5646725309090241</v>
      </c>
      <c r="AP831" s="8">
        <f t="shared" si="233"/>
        <v>1.0283690324009536</v>
      </c>
      <c r="AQ831" s="8"/>
      <c r="AR831" s="8">
        <f t="shared" si="234"/>
        <v>204.24069136730458</v>
      </c>
      <c r="AS831" s="8">
        <f t="shared" si="235"/>
        <v>31.078794661473154</v>
      </c>
    </row>
    <row r="832" spans="1:45">
      <c r="A832" s="19">
        <v>34.701333329999997</v>
      </c>
      <c r="B832" s="19">
        <v>676.87022869999998</v>
      </c>
      <c r="C832" s="19">
        <v>497.19962370000002</v>
      </c>
      <c r="E832" s="9">
        <f t="shared" si="221"/>
        <v>-283.12977130000002</v>
      </c>
      <c r="F832" s="9">
        <f t="shared" si="222"/>
        <v>42.800376299999982</v>
      </c>
      <c r="I832">
        <v>1</v>
      </c>
      <c r="J832">
        <f t="shared" si="223"/>
        <v>0.18281214712967256</v>
      </c>
      <c r="K832">
        <f t="shared" si="227"/>
        <v>2.9915598613669512</v>
      </c>
      <c r="O832">
        <f t="shared" si="228"/>
        <v>-0.17975331578453685</v>
      </c>
      <c r="P832">
        <f t="shared" si="229"/>
        <v>2.7173085760024134E-2</v>
      </c>
      <c r="Q832">
        <f t="shared" si="230"/>
        <v>0.98333634575090478</v>
      </c>
      <c r="R832">
        <f t="shared" si="220"/>
        <v>1</v>
      </c>
      <c r="AG832" s="8">
        <f t="shared" si="224"/>
        <v>-0.78110267609373052</v>
      </c>
      <c r="AH832" s="8">
        <f t="shared" si="225"/>
        <v>-0.35129190760054918</v>
      </c>
      <c r="AI832" s="8">
        <f t="shared" si="226"/>
        <v>0.51620984594792452</v>
      </c>
      <c r="AJ832" s="8"/>
      <c r="AK832" s="8"/>
      <c r="AL832" s="8"/>
      <c r="AN832" s="8">
        <f t="shared" si="231"/>
        <v>1</v>
      </c>
      <c r="AO832" s="8">
        <f t="shared" si="232"/>
        <v>3.5642290540505552</v>
      </c>
      <c r="AP832" s="8">
        <f t="shared" si="233"/>
        <v>1.0283766691286123</v>
      </c>
      <c r="AQ832" s="8"/>
      <c r="AR832" s="8">
        <f t="shared" si="234"/>
        <v>204.2152820150026</v>
      </c>
      <c r="AS832" s="8">
        <f t="shared" si="235"/>
        <v>31.078357109209023</v>
      </c>
    </row>
    <row r="833" spans="1:45">
      <c r="A833" s="19">
        <v>34.734699999999997</v>
      </c>
      <c r="B833" s="19">
        <v>676.47223670000005</v>
      </c>
      <c r="C833" s="19">
        <v>497.19758330000002</v>
      </c>
      <c r="E833" s="9">
        <f t="shared" si="221"/>
        <v>-283.52776329999995</v>
      </c>
      <c r="F833" s="9">
        <f t="shared" si="222"/>
        <v>42.802416699999981</v>
      </c>
      <c r="I833">
        <v>1</v>
      </c>
      <c r="J833">
        <f t="shared" si="223"/>
        <v>0.18306021935007841</v>
      </c>
      <c r="K833">
        <f t="shared" si="227"/>
        <v>2.9917602887001533</v>
      </c>
      <c r="O833">
        <f t="shared" si="228"/>
        <v>-0.17999995824213424</v>
      </c>
      <c r="P833">
        <f t="shared" si="229"/>
        <v>2.7173470170927787E-2</v>
      </c>
      <c r="Q833">
        <f t="shared" si="230"/>
        <v>0.98329121706221889</v>
      </c>
      <c r="R833">
        <f t="shared" si="220"/>
        <v>1</v>
      </c>
      <c r="AG833" s="8">
        <f t="shared" si="224"/>
        <v>-0.7812328099911573</v>
      </c>
      <c r="AH833" s="8">
        <f t="shared" si="225"/>
        <v>-0.35108509242027297</v>
      </c>
      <c r="AI833" s="8">
        <f t="shared" si="226"/>
        <v>0.51615361518986658</v>
      </c>
      <c r="AJ833" s="8"/>
      <c r="AK833" s="8"/>
      <c r="AL833" s="8"/>
      <c r="AN833" s="8">
        <f t="shared" si="231"/>
        <v>1</v>
      </c>
      <c r="AO833" s="8">
        <f t="shared" si="232"/>
        <v>3.5639465142580544</v>
      </c>
      <c r="AP833" s="8">
        <f t="shared" si="233"/>
        <v>1.0284423225218369</v>
      </c>
      <c r="AQ833" s="8"/>
      <c r="AR833" s="8">
        <f t="shared" si="234"/>
        <v>204.1990936773478</v>
      </c>
      <c r="AS833" s="8">
        <f t="shared" si="235"/>
        <v>31.074595446866539</v>
      </c>
    </row>
    <row r="834" spans="1:45">
      <c r="A834" s="19">
        <v>34.768066670000003</v>
      </c>
      <c r="B834" s="19">
        <v>675.90112120000003</v>
      </c>
      <c r="C834" s="19">
        <v>497.18107220000002</v>
      </c>
      <c r="E834" s="9">
        <f t="shared" si="221"/>
        <v>-284.09887879999997</v>
      </c>
      <c r="F834" s="9">
        <f t="shared" si="222"/>
        <v>42.818927799999983</v>
      </c>
      <c r="I834">
        <v>1</v>
      </c>
      <c r="J834">
        <f t="shared" si="223"/>
        <v>0.1834174540198322</v>
      </c>
      <c r="K834">
        <f t="shared" si="227"/>
        <v>2.992000190698993</v>
      </c>
      <c r="O834">
        <f t="shared" si="228"/>
        <v>-0.18035380328049669</v>
      </c>
      <c r="P834">
        <f t="shared" si="229"/>
        <v>2.7182636248837558E-2</v>
      </c>
      <c r="Q834">
        <f t="shared" si="230"/>
        <v>0.98322612349795879</v>
      </c>
      <c r="R834">
        <f t="shared" si="220"/>
        <v>1</v>
      </c>
      <c r="AG834" s="8">
        <f t="shared" si="224"/>
        <v>-0.78141646860232006</v>
      </c>
      <c r="AH834" s="8">
        <f t="shared" si="225"/>
        <v>-0.35078446439333605</v>
      </c>
      <c r="AI834" s="8">
        <f t="shared" si="226"/>
        <v>0.51607999587017506</v>
      </c>
      <c r="AJ834" s="8"/>
      <c r="AK834" s="8"/>
      <c r="AL834" s="8"/>
      <c r="AN834" s="8">
        <f t="shared" si="231"/>
        <v>1.0000000000000002</v>
      </c>
      <c r="AO834" s="8">
        <f t="shared" si="232"/>
        <v>3.5635384843745821</v>
      </c>
      <c r="AP834" s="8">
        <f t="shared" si="233"/>
        <v>1.0285282743660944</v>
      </c>
      <c r="AQ834" s="8"/>
      <c r="AR834" s="8">
        <f t="shared" si="234"/>
        <v>204.17571528710963</v>
      </c>
      <c r="AS834" s="8">
        <f t="shared" si="235"/>
        <v>31.069670768949216</v>
      </c>
    </row>
    <row r="835" spans="1:45">
      <c r="A835" s="19">
        <v>34.801433330000002</v>
      </c>
      <c r="B835" s="19">
        <v>675.42878450000001</v>
      </c>
      <c r="C835" s="19">
        <v>497.25792990000002</v>
      </c>
      <c r="E835" s="9">
        <f t="shared" si="221"/>
        <v>-284.57121549999999</v>
      </c>
      <c r="F835" s="9">
        <f t="shared" si="222"/>
        <v>42.742070099999978</v>
      </c>
      <c r="I835">
        <v>1</v>
      </c>
      <c r="J835">
        <f t="shared" si="223"/>
        <v>0.18370440406782174</v>
      </c>
      <c r="K835">
        <f t="shared" si="227"/>
        <v>2.9925089219236849</v>
      </c>
      <c r="O835">
        <f t="shared" si="228"/>
        <v>-0.18064660837364391</v>
      </c>
      <c r="P835">
        <f t="shared" si="229"/>
        <v>2.7132786374289945E-2</v>
      </c>
      <c r="Q835">
        <f t="shared" si="230"/>
        <v>0.98317374598118035</v>
      </c>
      <c r="R835">
        <f t="shared" si="220"/>
        <v>1</v>
      </c>
      <c r="AG835" s="8">
        <f t="shared" si="224"/>
        <v>-0.78158812004750888</v>
      </c>
      <c r="AH835" s="8">
        <f t="shared" si="225"/>
        <v>-0.3505614115429454</v>
      </c>
      <c r="AI835" s="8">
        <f t="shared" si="226"/>
        <v>0.51597161485649445</v>
      </c>
      <c r="AJ835" s="8"/>
      <c r="AK835" s="8"/>
      <c r="AL835" s="8"/>
      <c r="AN835" s="8">
        <f t="shared" si="231"/>
        <v>1</v>
      </c>
      <c r="AO835" s="8">
        <f t="shared" si="232"/>
        <v>3.5632188656130483</v>
      </c>
      <c r="AP835" s="8">
        <f t="shared" si="233"/>
        <v>1.0286548029971794</v>
      </c>
      <c r="AQ835" s="8"/>
      <c r="AR835" s="8">
        <f t="shared" si="234"/>
        <v>204.15740248102054</v>
      </c>
      <c r="AS835" s="8">
        <f t="shared" si="235"/>
        <v>31.06242121240048</v>
      </c>
    </row>
    <row r="836" spans="1:45">
      <c r="A836" s="19">
        <v>34.834800000000001</v>
      </c>
      <c r="B836" s="19">
        <v>674.79702780000002</v>
      </c>
      <c r="C836" s="19">
        <v>497.18821129999998</v>
      </c>
      <c r="E836" s="9">
        <f t="shared" si="221"/>
        <v>-285.20297219999998</v>
      </c>
      <c r="F836" s="9">
        <f t="shared" si="222"/>
        <v>42.811788700000022</v>
      </c>
      <c r="I836">
        <v>1</v>
      </c>
      <c r="J836">
        <f t="shared" si="223"/>
        <v>0.1841043287273296</v>
      </c>
      <c r="K836">
        <f t="shared" si="227"/>
        <v>2.9925952292626996</v>
      </c>
      <c r="O836">
        <f t="shared" si="228"/>
        <v>-0.1810377739817198</v>
      </c>
      <c r="P836">
        <f t="shared" si="229"/>
        <v>2.7175561554066283E-2</v>
      </c>
      <c r="Q836">
        <f t="shared" si="230"/>
        <v>0.98310061196500376</v>
      </c>
      <c r="R836">
        <f t="shared" si="220"/>
        <v>1</v>
      </c>
      <c r="AG836" s="8">
        <f t="shared" si="224"/>
        <v>-0.78177974194633348</v>
      </c>
      <c r="AH836" s="8">
        <f t="shared" si="225"/>
        <v>-0.35021429408641069</v>
      </c>
      <c r="AI836" s="8">
        <f t="shared" si="226"/>
        <v>0.51591703141094425</v>
      </c>
      <c r="AJ836" s="8"/>
      <c r="AK836" s="8"/>
      <c r="AL836" s="8"/>
      <c r="AN836" s="8">
        <f t="shared" si="231"/>
        <v>1</v>
      </c>
      <c r="AO836" s="8">
        <f t="shared" si="232"/>
        <v>3.5627575989669875</v>
      </c>
      <c r="AP836" s="8">
        <f t="shared" si="233"/>
        <v>1.0287185223949558</v>
      </c>
      <c r="AQ836" s="8"/>
      <c r="AR836" s="8">
        <f t="shared" si="234"/>
        <v>204.13097384897108</v>
      </c>
      <c r="AS836" s="8">
        <f t="shared" si="235"/>
        <v>31.058770359834774</v>
      </c>
    </row>
    <row r="837" spans="1:45">
      <c r="A837" s="19">
        <v>34.868166670000001</v>
      </c>
      <c r="B837" s="19">
        <v>674.58845989999998</v>
      </c>
      <c r="C837" s="19">
        <v>497.14792119999998</v>
      </c>
      <c r="E837" s="9">
        <f t="shared" si="221"/>
        <v>-285.41154010000002</v>
      </c>
      <c r="F837" s="9">
        <f t="shared" si="222"/>
        <v>42.852078800000015</v>
      </c>
      <c r="I837">
        <v>1</v>
      </c>
      <c r="J837">
        <f t="shared" si="223"/>
        <v>0.18423796314017443</v>
      </c>
      <c r="K837">
        <f t="shared" si="227"/>
        <v>2.9925644525731472</v>
      </c>
      <c r="O837">
        <f t="shared" si="228"/>
        <v>-0.18116685578423516</v>
      </c>
      <c r="P837">
        <f t="shared" si="229"/>
        <v>2.7200639390033903E-2</v>
      </c>
      <c r="Q837">
        <f t="shared" si="230"/>
        <v>0.9830761392598375</v>
      </c>
      <c r="R837">
        <f t="shared" si="220"/>
        <v>1</v>
      </c>
      <c r="AG837" s="8">
        <f t="shared" si="224"/>
        <v>-0.78183918279156372</v>
      </c>
      <c r="AH837" s="8">
        <f t="shared" si="225"/>
        <v>-0.35009481176478574</v>
      </c>
      <c r="AI837" s="8">
        <f t="shared" si="226"/>
        <v>0.51590804900408282</v>
      </c>
      <c r="AJ837" s="8"/>
      <c r="AK837" s="8"/>
      <c r="AL837" s="8"/>
      <c r="AN837" s="8">
        <f t="shared" si="231"/>
        <v>1</v>
      </c>
      <c r="AO837" s="8">
        <f t="shared" si="232"/>
        <v>3.5626019427100704</v>
      </c>
      <c r="AP837" s="8">
        <f t="shared" si="233"/>
        <v>1.0287290080057541</v>
      </c>
      <c r="AQ837" s="8"/>
      <c r="AR837" s="8">
        <f t="shared" si="234"/>
        <v>204.12205540239492</v>
      </c>
      <c r="AS837" s="8">
        <f t="shared" si="235"/>
        <v>31.058169578590416</v>
      </c>
    </row>
    <row r="838" spans="1:45">
      <c r="A838" s="19">
        <v>34.901533329999999</v>
      </c>
      <c r="B838" s="19">
        <v>674.04952460000004</v>
      </c>
      <c r="C838" s="19">
        <v>497.09508390000002</v>
      </c>
      <c r="E838" s="9">
        <f t="shared" si="221"/>
        <v>-285.95047539999996</v>
      </c>
      <c r="F838" s="9">
        <f t="shared" si="222"/>
        <v>42.90491609999998</v>
      </c>
      <c r="I838">
        <v>1</v>
      </c>
      <c r="J838">
        <f t="shared" si="223"/>
        <v>0.18457845350581442</v>
      </c>
      <c r="K838">
        <f t="shared" si="227"/>
        <v>2.9926604851454837</v>
      </c>
      <c r="O838">
        <f t="shared" si="228"/>
        <v>-0.18150047913342277</v>
      </c>
      <c r="P838">
        <f t="shared" si="229"/>
        <v>2.72329074411789E-2</v>
      </c>
      <c r="Q838">
        <f t="shared" si="230"/>
        <v>0.98301370530966559</v>
      </c>
      <c r="R838">
        <f t="shared" si="220"/>
        <v>1</v>
      </c>
      <c r="AG838" s="8">
        <f t="shared" si="224"/>
        <v>-0.78200394552193431</v>
      </c>
      <c r="AH838" s="8">
        <f t="shared" si="225"/>
        <v>-0.34980055931465531</v>
      </c>
      <c r="AI838" s="8">
        <f t="shared" si="226"/>
        <v>0.51585792413345943</v>
      </c>
      <c r="AJ838" s="8"/>
      <c r="AK838" s="8"/>
      <c r="AL838" s="8"/>
      <c r="AN838" s="8">
        <f t="shared" si="231"/>
        <v>1</v>
      </c>
      <c r="AO838" s="8">
        <f t="shared" si="232"/>
        <v>3.5622098531836244</v>
      </c>
      <c r="AP838" s="8">
        <f t="shared" si="233"/>
        <v>1.0287875200474867</v>
      </c>
      <c r="AQ838" s="8"/>
      <c r="AR838" s="8">
        <f t="shared" si="234"/>
        <v>204.09959032733829</v>
      </c>
      <c r="AS838" s="8">
        <f t="shared" si="235"/>
        <v>31.054817085548436</v>
      </c>
    </row>
    <row r="839" spans="1:45">
      <c r="A839" s="19">
        <v>34.934899999999999</v>
      </c>
      <c r="B839" s="19">
        <v>673.69298730000003</v>
      </c>
      <c r="C839" s="19">
        <v>496.972397</v>
      </c>
      <c r="E839" s="9">
        <f t="shared" si="221"/>
        <v>-286.30701269999997</v>
      </c>
      <c r="F839" s="9">
        <f t="shared" si="222"/>
        <v>43.027602999999999</v>
      </c>
      <c r="I839">
        <v>1</v>
      </c>
      <c r="J839">
        <f t="shared" si="223"/>
        <v>0.18481188777897245</v>
      </c>
      <c r="K839">
        <f t="shared" si="227"/>
        <v>2.9924241475308118</v>
      </c>
      <c r="O839">
        <f t="shared" si="228"/>
        <v>-0.18172095379115089</v>
      </c>
      <c r="P839">
        <f t="shared" si="229"/>
        <v>2.7309904087819029E-2</v>
      </c>
      <c r="Q839">
        <f t="shared" si="230"/>
        <v>0.9829708358298066</v>
      </c>
      <c r="R839">
        <f t="shared" si="220"/>
        <v>1</v>
      </c>
      <c r="AG839" s="8">
        <f t="shared" si="224"/>
        <v>-0.78209364242309365</v>
      </c>
      <c r="AH839" s="8">
        <f t="shared" si="225"/>
        <v>-0.34958109132500603</v>
      </c>
      <c r="AI839" s="8">
        <f t="shared" si="226"/>
        <v>0.51587071546017793</v>
      </c>
      <c r="AJ839" s="8"/>
      <c r="AK839" s="8"/>
      <c r="AL839" s="8"/>
      <c r="AN839" s="8">
        <f t="shared" si="231"/>
        <v>1</v>
      </c>
      <c r="AO839" s="8">
        <f t="shared" si="232"/>
        <v>3.5619332415370435</v>
      </c>
      <c r="AP839" s="8">
        <f t="shared" si="233"/>
        <v>1.028772588601033</v>
      </c>
      <c r="AQ839" s="8"/>
      <c r="AR839" s="8">
        <f t="shared" si="234"/>
        <v>204.08374164742506</v>
      </c>
      <c r="AS839" s="8">
        <f t="shared" si="235"/>
        <v>31.055672594412265</v>
      </c>
    </row>
    <row r="840" spans="1:45">
      <c r="A840" s="19">
        <v>34.968266669999998</v>
      </c>
      <c r="B840" s="19">
        <v>672.75435789999995</v>
      </c>
      <c r="C840" s="19">
        <v>496.51308169999999</v>
      </c>
      <c r="E840" s="9">
        <f t="shared" si="221"/>
        <v>-287.24564210000005</v>
      </c>
      <c r="F840" s="9">
        <f t="shared" si="222"/>
        <v>43.486918300000013</v>
      </c>
      <c r="I840">
        <v>1</v>
      </c>
      <c r="J840">
        <f t="shared" si="223"/>
        <v>0.1854392205399879</v>
      </c>
      <c r="K840">
        <f t="shared" si="227"/>
        <v>2.9913408462412718</v>
      </c>
      <c r="O840">
        <f t="shared" si="228"/>
        <v>-0.18230092879428592</v>
      </c>
      <c r="P840">
        <f t="shared" si="229"/>
        <v>2.7599045675795915E-2</v>
      </c>
      <c r="Q840">
        <f t="shared" si="230"/>
        <v>0.98285536272562812</v>
      </c>
      <c r="R840">
        <f t="shared" si="220"/>
        <v>1</v>
      </c>
      <c r="AG840" s="8">
        <f t="shared" si="224"/>
        <v>-0.78229961815004423</v>
      </c>
      <c r="AH840" s="8">
        <f t="shared" si="225"/>
        <v>-0.34896476017127348</v>
      </c>
      <c r="AI840" s="8">
        <f t="shared" si="226"/>
        <v>0.51597568121075299</v>
      </c>
      <c r="AJ840" s="8"/>
      <c r="AK840" s="8"/>
      <c r="AL840" s="8"/>
      <c r="AN840" s="8">
        <f t="shared" si="231"/>
        <v>1</v>
      </c>
      <c r="AO840" s="8">
        <f t="shared" si="232"/>
        <v>3.5611782450852179</v>
      </c>
      <c r="AP840" s="8">
        <f t="shared" si="233"/>
        <v>1.0286500559354186</v>
      </c>
      <c r="AQ840" s="8"/>
      <c r="AR840" s="8">
        <f t="shared" si="234"/>
        <v>204.04048353718809</v>
      </c>
      <c r="AS840" s="8">
        <f t="shared" si="235"/>
        <v>31.062693199004457</v>
      </c>
    </row>
    <row r="841" spans="1:45">
      <c r="A841" s="19">
        <v>35.001633329999997</v>
      </c>
      <c r="B841" s="19">
        <v>672.09600130000001</v>
      </c>
      <c r="C841" s="19">
        <v>496.32109539999999</v>
      </c>
      <c r="E841" s="9">
        <f t="shared" si="221"/>
        <v>-287.90399869999999</v>
      </c>
      <c r="F841" s="9">
        <f t="shared" si="222"/>
        <v>43.67890460000001</v>
      </c>
      <c r="I841">
        <v>1</v>
      </c>
      <c r="J841">
        <f t="shared" si="223"/>
        <v>0.18586697805127028</v>
      </c>
      <c r="K841">
        <f t="shared" si="227"/>
        <v>2.9910273975779025</v>
      </c>
      <c r="O841">
        <f t="shared" si="228"/>
        <v>-0.18270791954292451</v>
      </c>
      <c r="P841">
        <f t="shared" si="229"/>
        <v>2.7719246079995114E-2</v>
      </c>
      <c r="Q841">
        <f t="shared" si="230"/>
        <v>0.98277640363057805</v>
      </c>
      <c r="R841">
        <f t="shared" si="220"/>
        <v>1</v>
      </c>
      <c r="AG841" s="8">
        <f t="shared" si="224"/>
        <v>-0.78247244252328563</v>
      </c>
      <c r="AH841" s="8">
        <f t="shared" si="225"/>
        <v>-0.34856925039630576</v>
      </c>
      <c r="AI841" s="8">
        <f t="shared" si="226"/>
        <v>0.51598096318546571</v>
      </c>
      <c r="AJ841" s="8"/>
      <c r="AK841" s="8"/>
      <c r="AL841" s="8"/>
      <c r="AN841" s="8">
        <f t="shared" si="231"/>
        <v>1</v>
      </c>
      <c r="AO841" s="8">
        <f t="shared" si="232"/>
        <v>3.5606743833764471</v>
      </c>
      <c r="AP841" s="8">
        <f t="shared" si="233"/>
        <v>1.0286438897381327</v>
      </c>
      <c r="AQ841" s="8"/>
      <c r="AR841" s="8">
        <f t="shared" si="234"/>
        <v>204.01161438781727</v>
      </c>
      <c r="AS841" s="8">
        <f t="shared" si="235"/>
        <v>31.063046496084581</v>
      </c>
    </row>
    <row r="842" spans="1:45">
      <c r="A842" s="19">
        <v>35.034999999999997</v>
      </c>
      <c r="B842" s="19">
        <v>671.81328589999998</v>
      </c>
      <c r="C842" s="19">
        <v>496.21522959999999</v>
      </c>
      <c r="E842" s="9">
        <f t="shared" si="221"/>
        <v>-288.18671410000002</v>
      </c>
      <c r="F842" s="9">
        <f t="shared" si="222"/>
        <v>43.784770400000014</v>
      </c>
      <c r="I842">
        <v>1</v>
      </c>
      <c r="J842">
        <f t="shared" si="223"/>
        <v>0.18605286863459974</v>
      </c>
      <c r="K842">
        <f t="shared" si="227"/>
        <v>2.9908138026533022</v>
      </c>
      <c r="O842">
        <f t="shared" si="228"/>
        <v>-0.1828826076889879</v>
      </c>
      <c r="P842">
        <f t="shared" si="229"/>
        <v>2.7785711818196588E-2</v>
      </c>
      <c r="Q842">
        <f t="shared" si="230"/>
        <v>0.98274203432214702</v>
      </c>
      <c r="R842">
        <f t="shared" si="220"/>
        <v>1</v>
      </c>
      <c r="AG842" s="8">
        <f t="shared" si="224"/>
        <v>-0.78254146306257211</v>
      </c>
      <c r="AH842" s="8">
        <f t="shared" si="225"/>
        <v>-0.34839278352750236</v>
      </c>
      <c r="AI842" s="8">
        <f t="shared" si="226"/>
        <v>0.51599547185401573</v>
      </c>
      <c r="AJ842" s="8"/>
      <c r="AK842" s="8"/>
      <c r="AL842" s="8"/>
      <c r="AN842" s="8">
        <f t="shared" si="231"/>
        <v>1.0000000000000004</v>
      </c>
      <c r="AO842" s="8">
        <f t="shared" si="232"/>
        <v>3.5604534122830329</v>
      </c>
      <c r="AP842" s="8">
        <f t="shared" si="233"/>
        <v>1.0286269521456546</v>
      </c>
      <c r="AQ842" s="8"/>
      <c r="AR842" s="8">
        <f t="shared" si="234"/>
        <v>203.99895367677024</v>
      </c>
      <c r="AS842" s="8">
        <f t="shared" si="235"/>
        <v>31.064016948648693</v>
      </c>
    </row>
    <row r="843" spans="1:45">
      <c r="A843" s="19">
        <v>35.068366670000003</v>
      </c>
      <c r="B843" s="19">
        <v>671.02625330000001</v>
      </c>
      <c r="C843" s="19">
        <v>496.10559660000001</v>
      </c>
      <c r="E843" s="9">
        <f t="shared" si="221"/>
        <v>-288.97374669999999</v>
      </c>
      <c r="F843" s="9">
        <f t="shared" si="222"/>
        <v>43.894403399999987</v>
      </c>
      <c r="I843">
        <v>1</v>
      </c>
      <c r="J843">
        <f t="shared" si="223"/>
        <v>0.18655281839993124</v>
      </c>
      <c r="K843">
        <f t="shared" si="227"/>
        <v>2.9908474324366496</v>
      </c>
      <c r="O843">
        <f t="shared" si="228"/>
        <v>-0.18336926892322528</v>
      </c>
      <c r="P843">
        <f t="shared" si="229"/>
        <v>2.7853342226396561E-2</v>
      </c>
      <c r="Q843">
        <f t="shared" si="230"/>
        <v>0.98264943013334172</v>
      </c>
      <c r="R843">
        <f t="shared" si="220"/>
        <v>1</v>
      </c>
      <c r="AG843" s="8">
        <f t="shared" si="224"/>
        <v>-0.78277407876135063</v>
      </c>
      <c r="AH843" s="8">
        <f t="shared" si="225"/>
        <v>-0.34795384281528291</v>
      </c>
      <c r="AI843" s="8">
        <f t="shared" si="226"/>
        <v>0.51593881894018834</v>
      </c>
      <c r="AJ843" s="8"/>
      <c r="AK843" s="8"/>
      <c r="AL843" s="8"/>
      <c r="AN843" s="8">
        <f t="shared" si="231"/>
        <v>1.0000000000000002</v>
      </c>
      <c r="AO843" s="8">
        <f t="shared" si="232"/>
        <v>3.5598748571649321</v>
      </c>
      <c r="AP843" s="8">
        <f t="shared" si="233"/>
        <v>1.0286930884520784</v>
      </c>
      <c r="AQ843" s="8"/>
      <c r="AR843" s="8">
        <f t="shared" si="234"/>
        <v>203.96580491028737</v>
      </c>
      <c r="AS843" s="8">
        <f t="shared" si="235"/>
        <v>31.060227617418022</v>
      </c>
    </row>
    <row r="844" spans="1:45">
      <c r="A844" s="19">
        <v>35.101733330000002</v>
      </c>
      <c r="B844" s="19">
        <v>670.81424760000004</v>
      </c>
      <c r="C844" s="19">
        <v>496.06744989999999</v>
      </c>
      <c r="E844" s="9">
        <f t="shared" si="221"/>
        <v>-289.18575239999996</v>
      </c>
      <c r="F844" s="9">
        <f t="shared" si="222"/>
        <v>43.932550100000014</v>
      </c>
      <c r="I844">
        <v>1</v>
      </c>
      <c r="J844">
        <f t="shared" si="223"/>
        <v>0.18668829152851241</v>
      </c>
      <c r="K844">
        <f t="shared" si="227"/>
        <v>2.990827343292346</v>
      </c>
      <c r="O844">
        <f t="shared" si="228"/>
        <v>-0.18350032015939502</v>
      </c>
      <c r="P844">
        <f t="shared" si="229"/>
        <v>2.7877020018669062E-2</v>
      </c>
      <c r="Q844">
        <f t="shared" si="230"/>
        <v>0.98262429455834144</v>
      </c>
      <c r="R844">
        <f t="shared" si="220"/>
        <v>1</v>
      </c>
      <c r="AG844" s="8">
        <f t="shared" si="224"/>
        <v>-0.78283480763391733</v>
      </c>
      <c r="AH844" s="8">
        <f t="shared" si="225"/>
        <v>-0.3478331660099705</v>
      </c>
      <c r="AI844" s="8">
        <f t="shared" si="226"/>
        <v>0.51592804980951368</v>
      </c>
      <c r="AJ844" s="8"/>
      <c r="AK844" s="8"/>
      <c r="AL844" s="8"/>
      <c r="AN844" s="8">
        <f t="shared" si="231"/>
        <v>1</v>
      </c>
      <c r="AO844" s="8">
        <f t="shared" si="232"/>
        <v>3.5597173326064953</v>
      </c>
      <c r="AP844" s="8">
        <f t="shared" si="233"/>
        <v>1.0287056599792246</v>
      </c>
      <c r="AQ844" s="8"/>
      <c r="AR844" s="8">
        <f t="shared" si="234"/>
        <v>203.95677941791928</v>
      </c>
      <c r="AS844" s="8">
        <f t="shared" si="235"/>
        <v>31.059507321970514</v>
      </c>
    </row>
    <row r="845" spans="1:45">
      <c r="A845" s="19">
        <v>35.135100000000001</v>
      </c>
      <c r="B845" s="19">
        <v>670.46355770000002</v>
      </c>
      <c r="C845" s="19">
        <v>496.07998329999998</v>
      </c>
      <c r="E845" s="9">
        <f t="shared" si="221"/>
        <v>-289.53644229999998</v>
      </c>
      <c r="F845" s="9">
        <f t="shared" si="222"/>
        <v>43.920016700000019</v>
      </c>
      <c r="I845">
        <v>1</v>
      </c>
      <c r="J845">
        <f t="shared" si="223"/>
        <v>0.18690522993668315</v>
      </c>
      <c r="K845">
        <f t="shared" si="227"/>
        <v>2.991049516189308</v>
      </c>
      <c r="O845">
        <f t="shared" si="228"/>
        <v>-0.18371726278873193</v>
      </c>
      <c r="P845">
        <f t="shared" si="229"/>
        <v>2.7868219923069069E-2</v>
      </c>
      <c r="Q845">
        <f t="shared" si="230"/>
        <v>0.9825840064196727</v>
      </c>
      <c r="R845">
        <f t="shared" si="220"/>
        <v>1</v>
      </c>
      <c r="AG845" s="8">
        <f t="shared" si="224"/>
        <v>-0.78295183380125488</v>
      </c>
      <c r="AH845" s="8">
        <f t="shared" si="225"/>
        <v>-0.34765492655432018</v>
      </c>
      <c r="AI845" s="8">
        <f t="shared" si="226"/>
        <v>0.51587060198247625</v>
      </c>
      <c r="AJ845" s="8"/>
      <c r="AK845" s="8"/>
      <c r="AL845" s="8"/>
      <c r="AN845" s="8">
        <f t="shared" si="231"/>
        <v>1</v>
      </c>
      <c r="AO845" s="8">
        <f t="shared" si="232"/>
        <v>3.5594717263466955</v>
      </c>
      <c r="AP845" s="8">
        <f t="shared" si="233"/>
        <v>1.0287727210653048</v>
      </c>
      <c r="AQ845" s="8"/>
      <c r="AR845" s="8">
        <f t="shared" si="234"/>
        <v>203.94270721581077</v>
      </c>
      <c r="AS845" s="8">
        <f t="shared" si="235"/>
        <v>31.055665004768557</v>
      </c>
    </row>
    <row r="846" spans="1:45">
      <c r="A846" s="19">
        <v>35.168466670000001</v>
      </c>
      <c r="B846" s="19">
        <v>669.85494689999996</v>
      </c>
      <c r="C846" s="19">
        <v>496.11919269999999</v>
      </c>
      <c r="E846" s="9">
        <f t="shared" si="221"/>
        <v>-290.14505310000004</v>
      </c>
      <c r="F846" s="9">
        <f t="shared" si="222"/>
        <v>43.880807300000015</v>
      </c>
      <c r="I846">
        <v>1</v>
      </c>
      <c r="J846">
        <f t="shared" si="223"/>
        <v>0.18728006170764963</v>
      </c>
      <c r="K846">
        <f t="shared" si="227"/>
        <v>2.9914926747091899</v>
      </c>
      <c r="O846">
        <f t="shared" si="228"/>
        <v>-0.18409374441707685</v>
      </c>
      <c r="P846">
        <f t="shared" si="229"/>
        <v>2.784187439210627E-2</v>
      </c>
      <c r="Q846">
        <f t="shared" si="230"/>
        <v>0.98251428656118489</v>
      </c>
      <c r="R846">
        <f t="shared" si="220"/>
        <v>1</v>
      </c>
      <c r="AG846" s="8">
        <f t="shared" si="224"/>
        <v>-0.78315865213770786</v>
      </c>
      <c r="AH846" s="8">
        <f t="shared" si="225"/>
        <v>-0.34735052260848076</v>
      </c>
      <c r="AI846" s="8">
        <f t="shared" si="226"/>
        <v>0.51576170856846681</v>
      </c>
      <c r="AJ846" s="8"/>
      <c r="AK846" s="8"/>
      <c r="AL846" s="8"/>
      <c r="AN846" s="8">
        <f t="shared" si="231"/>
        <v>1</v>
      </c>
      <c r="AO846" s="8">
        <f t="shared" si="232"/>
        <v>3.5590490246024702</v>
      </c>
      <c r="AP846" s="8">
        <f t="shared" si="233"/>
        <v>1.0288998291578584</v>
      </c>
      <c r="AQ846" s="8"/>
      <c r="AR846" s="8">
        <f t="shared" si="234"/>
        <v>203.91848818987384</v>
      </c>
      <c r="AS846" s="8">
        <f t="shared" si="235"/>
        <v>31.048382247523278</v>
      </c>
    </row>
    <row r="847" spans="1:45">
      <c r="A847" s="19">
        <v>35.201833329999999</v>
      </c>
      <c r="B847" s="19">
        <v>669.30497730000002</v>
      </c>
      <c r="C847" s="19">
        <v>496.09028760000001</v>
      </c>
      <c r="E847" s="9">
        <f t="shared" si="221"/>
        <v>-290.69502269999998</v>
      </c>
      <c r="F847" s="9">
        <f t="shared" si="222"/>
        <v>43.909712399999989</v>
      </c>
      <c r="I847">
        <v>1</v>
      </c>
      <c r="J847">
        <f t="shared" si="223"/>
        <v>0.18762480778680188</v>
      </c>
      <c r="K847">
        <f t="shared" si="227"/>
        <v>2.991675198690054</v>
      </c>
      <c r="O847">
        <f t="shared" si="228"/>
        <v>-0.18443373090120066</v>
      </c>
      <c r="P847">
        <f t="shared" si="229"/>
        <v>2.7858860483787461E-2</v>
      </c>
      <c r="Q847">
        <f t="shared" si="230"/>
        <v>0.98245004086640886</v>
      </c>
      <c r="R847">
        <f t="shared" si="220"/>
        <v>1</v>
      </c>
      <c r="AG847" s="8">
        <f t="shared" si="224"/>
        <v>-0.78333129698624582</v>
      </c>
      <c r="AH847" s="8">
        <f t="shared" si="225"/>
        <v>-0.34705725375388202</v>
      </c>
      <c r="AI847" s="8">
        <f t="shared" si="226"/>
        <v>0.51569694761425489</v>
      </c>
      <c r="AJ847" s="8"/>
      <c r="AK847" s="8"/>
      <c r="AL847" s="8"/>
      <c r="AN847" s="8">
        <f t="shared" si="231"/>
        <v>1</v>
      </c>
      <c r="AO847" s="8">
        <f t="shared" si="232"/>
        <v>3.5586544263067443</v>
      </c>
      <c r="AP847" s="8">
        <f t="shared" si="233"/>
        <v>1.0289754181105759</v>
      </c>
      <c r="AQ847" s="8"/>
      <c r="AR847" s="8">
        <f t="shared" si="234"/>
        <v>203.89587937292569</v>
      </c>
      <c r="AS847" s="8">
        <f t="shared" si="235"/>
        <v>31.044051319554747</v>
      </c>
    </row>
    <row r="848" spans="1:45">
      <c r="A848" s="19">
        <v>35.235199999999999</v>
      </c>
      <c r="B848" s="19">
        <v>668.7302952</v>
      </c>
      <c r="C848" s="19">
        <v>496.11549689999998</v>
      </c>
      <c r="E848" s="9">
        <f t="shared" si="221"/>
        <v>-291.2697048</v>
      </c>
      <c r="F848" s="9">
        <f t="shared" si="222"/>
        <v>43.884503100000018</v>
      </c>
      <c r="I848">
        <v>1</v>
      </c>
      <c r="J848">
        <f t="shared" si="223"/>
        <v>0.18797981442681627</v>
      </c>
      <c r="K848">
        <f t="shared" si="227"/>
        <v>2.9920512176410932</v>
      </c>
      <c r="O848">
        <f t="shared" si="228"/>
        <v>-0.18478906546246771</v>
      </c>
      <c r="P848">
        <f t="shared" si="229"/>
        <v>2.7841468516961201E-2</v>
      </c>
      <c r="Q848">
        <f t="shared" si="230"/>
        <v>0.98238376102026792</v>
      </c>
      <c r="R848">
        <f t="shared" si="220"/>
        <v>1</v>
      </c>
      <c r="AG848" s="8">
        <f t="shared" si="224"/>
        <v>-0.78352374477816245</v>
      </c>
      <c r="AH848" s="8">
        <f t="shared" si="225"/>
        <v>-0.34676645913498816</v>
      </c>
      <c r="AI848" s="8">
        <f t="shared" si="226"/>
        <v>0.51560019800984136</v>
      </c>
      <c r="AJ848" s="8"/>
      <c r="AK848" s="8"/>
      <c r="AL848" s="8"/>
      <c r="AN848" s="8">
        <f t="shared" si="231"/>
        <v>1</v>
      </c>
      <c r="AO848" s="8">
        <f t="shared" si="232"/>
        <v>3.5582531508544117</v>
      </c>
      <c r="AP848" s="8">
        <f t="shared" si="233"/>
        <v>1.0290883377932736</v>
      </c>
      <c r="AQ848" s="8"/>
      <c r="AR848" s="8">
        <f t="shared" si="234"/>
        <v>203.87288798308484</v>
      </c>
      <c r="AS848" s="8">
        <f t="shared" si="235"/>
        <v>31.037581498312214</v>
      </c>
    </row>
    <row r="849" spans="1:45">
      <c r="A849" s="19">
        <v>35.268566669999998</v>
      </c>
      <c r="B849" s="19">
        <v>668.09103159999995</v>
      </c>
      <c r="C849" s="19">
        <v>495.91418570000002</v>
      </c>
      <c r="E849" s="9">
        <f t="shared" si="221"/>
        <v>-291.90896840000005</v>
      </c>
      <c r="F849" s="9">
        <f t="shared" si="222"/>
        <v>44.085814299999981</v>
      </c>
      <c r="I849">
        <v>1</v>
      </c>
      <c r="J849">
        <f t="shared" si="223"/>
        <v>0.18839617812001713</v>
      </c>
      <c r="K849">
        <f t="shared" si="227"/>
        <v>2.9916995333514662</v>
      </c>
      <c r="O849">
        <f t="shared" si="228"/>
        <v>-0.18518368910738855</v>
      </c>
      <c r="P849">
        <f t="shared" si="229"/>
        <v>2.7967533077607475E-2</v>
      </c>
      <c r="Q849">
        <f t="shared" si="230"/>
        <v>0.98230586803812336</v>
      </c>
      <c r="R849">
        <f t="shared" si="220"/>
        <v>1</v>
      </c>
      <c r="AG849" s="8">
        <f t="shared" si="224"/>
        <v>-0.78368731431810834</v>
      </c>
      <c r="AH849" s="8">
        <f t="shared" si="225"/>
        <v>-0.34637815730277177</v>
      </c>
      <c r="AI849" s="8">
        <f t="shared" si="226"/>
        <v>0.51561261187097318</v>
      </c>
      <c r="AJ849" s="8"/>
      <c r="AK849" s="8"/>
      <c r="AL849" s="8"/>
      <c r="AN849" s="8">
        <f t="shared" si="231"/>
        <v>1</v>
      </c>
      <c r="AO849" s="8">
        <f t="shared" si="232"/>
        <v>3.5577614745850545</v>
      </c>
      <c r="AP849" s="8">
        <f t="shared" si="233"/>
        <v>1.0290738495919936</v>
      </c>
      <c r="AQ849" s="8"/>
      <c r="AR849" s="8">
        <f t="shared" si="234"/>
        <v>203.84471700796394</v>
      </c>
      <c r="AS849" s="8">
        <f t="shared" si="235"/>
        <v>31.038411611098297</v>
      </c>
    </row>
    <row r="850" spans="1:45">
      <c r="A850" s="19">
        <v>35.301933329999997</v>
      </c>
      <c r="B850" s="19">
        <v>667.43730760000005</v>
      </c>
      <c r="C850" s="19">
        <v>495.62437499999999</v>
      </c>
      <c r="E850" s="9">
        <f t="shared" si="221"/>
        <v>-292.56269239999995</v>
      </c>
      <c r="F850" s="9">
        <f t="shared" si="222"/>
        <v>44.375625000000014</v>
      </c>
      <c r="I850">
        <v>1</v>
      </c>
      <c r="J850">
        <f t="shared" si="223"/>
        <v>0.18882983114332164</v>
      </c>
      <c r="K850">
        <f t="shared" si="227"/>
        <v>2.9910610300193552</v>
      </c>
      <c r="O850">
        <f t="shared" si="228"/>
        <v>-0.18558693928608372</v>
      </c>
      <c r="P850">
        <f t="shared" si="229"/>
        <v>2.81496466794788E-2</v>
      </c>
      <c r="Q850">
        <f t="shared" si="230"/>
        <v>0.98222455953730048</v>
      </c>
      <c r="R850">
        <f t="shared" si="220"/>
        <v>1</v>
      </c>
      <c r="AG850" s="8">
        <f t="shared" si="224"/>
        <v>-0.78383597574266428</v>
      </c>
      <c r="AH850" s="8">
        <f t="shared" si="225"/>
        <v>-0.34595733772194515</v>
      </c>
      <c r="AI850" s="8">
        <f t="shared" si="226"/>
        <v>0.51566916100140159</v>
      </c>
      <c r="AJ850" s="8"/>
      <c r="AK850" s="8"/>
      <c r="AL850" s="8"/>
      <c r="AN850" s="8">
        <f t="shared" si="231"/>
        <v>1</v>
      </c>
      <c r="AO850" s="8">
        <f t="shared" si="232"/>
        <v>3.5572420950228594</v>
      </c>
      <c r="AP850" s="8">
        <f t="shared" si="233"/>
        <v>1.029007849576554</v>
      </c>
      <c r="AQ850" s="8"/>
      <c r="AR850" s="8">
        <f t="shared" si="234"/>
        <v>203.81495875108479</v>
      </c>
      <c r="AS850" s="8">
        <f t="shared" si="235"/>
        <v>31.042193133430779</v>
      </c>
    </row>
    <row r="851" spans="1:45">
      <c r="A851" s="19">
        <v>35.335299999999997</v>
      </c>
      <c r="B851" s="19">
        <v>666.89190699999995</v>
      </c>
      <c r="C851" s="19">
        <v>495.30176640000002</v>
      </c>
      <c r="E851" s="9">
        <f t="shared" si="221"/>
        <v>-293.10809300000005</v>
      </c>
      <c r="F851" s="9">
        <f t="shared" si="222"/>
        <v>44.69823359999998</v>
      </c>
      <c r="I851">
        <v>1</v>
      </c>
      <c r="J851">
        <f t="shared" si="223"/>
        <v>0.1891992888818364</v>
      </c>
      <c r="K851">
        <f t="shared" si="227"/>
        <v>2.9902611220087869</v>
      </c>
      <c r="O851">
        <f t="shared" si="228"/>
        <v>-0.18592309318276265</v>
      </c>
      <c r="P851">
        <f t="shared" si="229"/>
        <v>2.8352795604035703E-2</v>
      </c>
      <c r="Q851">
        <f t="shared" si="230"/>
        <v>0.98215514171783957</v>
      </c>
      <c r="R851">
        <f t="shared" si="220"/>
        <v>1</v>
      </c>
      <c r="AG851" s="8">
        <f t="shared" si="224"/>
        <v>-0.78394210435189204</v>
      </c>
      <c r="AH851" s="8">
        <f t="shared" si="225"/>
        <v>-0.34558339637351743</v>
      </c>
      <c r="AI851" s="8">
        <f t="shared" si="226"/>
        <v>0.51575856093260497</v>
      </c>
      <c r="AJ851" s="8"/>
      <c r="AK851" s="8"/>
      <c r="AL851" s="8"/>
      <c r="AN851" s="8">
        <f t="shared" si="231"/>
        <v>1</v>
      </c>
      <c r="AO851" s="8">
        <f t="shared" si="232"/>
        <v>3.5567927666227508</v>
      </c>
      <c r="AP851" s="8">
        <f t="shared" si="233"/>
        <v>1.0289035031563554</v>
      </c>
      <c r="AQ851" s="8"/>
      <c r="AR851" s="8">
        <f t="shared" si="234"/>
        <v>203.78921413014319</v>
      </c>
      <c r="AS851" s="8">
        <f t="shared" si="235"/>
        <v>31.048171742915464</v>
      </c>
    </row>
    <row r="852" spans="1:45">
      <c r="A852" s="19">
        <v>35.368666670000003</v>
      </c>
      <c r="B852" s="19">
        <v>666.55510040000001</v>
      </c>
      <c r="C852" s="19">
        <v>495.3906427</v>
      </c>
      <c r="E852" s="9">
        <f t="shared" si="221"/>
        <v>-293.44489959999999</v>
      </c>
      <c r="F852" s="9">
        <f t="shared" si="222"/>
        <v>44.609357299999999</v>
      </c>
      <c r="I852">
        <v>1</v>
      </c>
      <c r="J852">
        <f t="shared" si="223"/>
        <v>0.18940017825508135</v>
      </c>
      <c r="K852">
        <f t="shared" si="227"/>
        <v>2.9907281977867104</v>
      </c>
      <c r="O852">
        <f t="shared" si="228"/>
        <v>-0.18613137550512326</v>
      </c>
      <c r="P852">
        <f t="shared" si="229"/>
        <v>2.8295605225944508E-2</v>
      </c>
      <c r="Q852">
        <f t="shared" si="230"/>
        <v>0.98211734012666141</v>
      </c>
      <c r="R852">
        <f t="shared" si="220"/>
        <v>1</v>
      </c>
      <c r="AG852" s="8">
        <f t="shared" si="224"/>
        <v>-0.78407089328660551</v>
      </c>
      <c r="AH852" s="8">
        <f t="shared" si="225"/>
        <v>-0.34543390140489572</v>
      </c>
      <c r="AI852" s="8">
        <f t="shared" si="226"/>
        <v>0.51566292678545089</v>
      </c>
      <c r="AJ852" s="8"/>
      <c r="AK852" s="8"/>
      <c r="AL852" s="8"/>
      <c r="AN852" s="8">
        <f t="shared" si="231"/>
        <v>1</v>
      </c>
      <c r="AO852" s="8">
        <f t="shared" si="232"/>
        <v>3.5565724759234314</v>
      </c>
      <c r="AP852" s="8">
        <f t="shared" si="233"/>
        <v>1.0290151258267244</v>
      </c>
      <c r="AQ852" s="8"/>
      <c r="AR852" s="8">
        <f t="shared" si="234"/>
        <v>203.77659240280622</v>
      </c>
      <c r="AS852" s="8">
        <f t="shared" si="235"/>
        <v>31.041776235005337</v>
      </c>
    </row>
    <row r="853" spans="1:45">
      <c r="A853" s="19">
        <v>35.402033330000002</v>
      </c>
      <c r="B853" s="19">
        <v>665.90830349999999</v>
      </c>
      <c r="C853" s="19">
        <v>495.1143841</v>
      </c>
      <c r="E853" s="9">
        <f t="shared" si="221"/>
        <v>-294.09169650000001</v>
      </c>
      <c r="F853" s="9">
        <f t="shared" si="222"/>
        <v>44.885615900000005</v>
      </c>
      <c r="I853">
        <v>1</v>
      </c>
      <c r="J853">
        <f t="shared" si="223"/>
        <v>0.18982821150407422</v>
      </c>
      <c r="K853">
        <f t="shared" si="227"/>
        <v>2.9901368922536764</v>
      </c>
      <c r="O853">
        <f t="shared" si="228"/>
        <v>-0.18653016113861895</v>
      </c>
      <c r="P853">
        <f t="shared" si="229"/>
        <v>2.8469083847911945E-2</v>
      </c>
      <c r="Q853">
        <f t="shared" si="230"/>
        <v>0.98203666441251647</v>
      </c>
      <c r="R853">
        <f t="shared" si="220"/>
        <v>1</v>
      </c>
      <c r="AG853" s="8">
        <f t="shared" si="224"/>
        <v>-0.78421987604274068</v>
      </c>
      <c r="AH853" s="8">
        <f t="shared" si="225"/>
        <v>-0.34502048249942641</v>
      </c>
      <c r="AI853" s="8">
        <f t="shared" si="226"/>
        <v>0.51571314960486669</v>
      </c>
      <c r="AJ853" s="8"/>
      <c r="AK853" s="8"/>
      <c r="AL853" s="8"/>
      <c r="AN853" s="8">
        <f t="shared" si="231"/>
        <v>1</v>
      </c>
      <c r="AO853" s="8">
        <f t="shared" si="232"/>
        <v>3.5560607868923251</v>
      </c>
      <c r="AP853" s="8">
        <f t="shared" si="233"/>
        <v>1.0289565074779927</v>
      </c>
      <c r="AQ853" s="8"/>
      <c r="AR853" s="8">
        <f t="shared" si="234"/>
        <v>203.74727478090068</v>
      </c>
      <c r="AS853" s="8">
        <f t="shared" si="235"/>
        <v>31.045134818989688</v>
      </c>
    </row>
    <row r="854" spans="1:45">
      <c r="A854" s="19">
        <v>35.435400000000001</v>
      </c>
      <c r="B854" s="19">
        <v>665.41961839999999</v>
      </c>
      <c r="C854" s="19">
        <v>495.1589199</v>
      </c>
      <c r="E854" s="9">
        <f t="shared" si="221"/>
        <v>-294.58038160000001</v>
      </c>
      <c r="F854" s="9">
        <f t="shared" si="222"/>
        <v>44.841080099999999</v>
      </c>
      <c r="I854">
        <v>1</v>
      </c>
      <c r="J854">
        <f t="shared" si="223"/>
        <v>0.19012759662862039</v>
      </c>
      <c r="K854">
        <f t="shared" si="227"/>
        <v>2.9905320865672866</v>
      </c>
      <c r="O854">
        <f t="shared" si="228"/>
        <v>-0.18683204805310563</v>
      </c>
      <c r="P854">
        <f t="shared" si="229"/>
        <v>2.8439608864965778E-2</v>
      </c>
      <c r="Q854">
        <f t="shared" si="230"/>
        <v>0.9819801293650956</v>
      </c>
      <c r="R854">
        <f t="shared" si="220"/>
        <v>1</v>
      </c>
      <c r="AG854" s="8">
        <f t="shared" si="224"/>
        <v>-0.78438799814563265</v>
      </c>
      <c r="AH854" s="8">
        <f t="shared" si="225"/>
        <v>-0.34477970301949012</v>
      </c>
      <c r="AI854" s="8">
        <f t="shared" si="226"/>
        <v>0.51561848759609019</v>
      </c>
      <c r="AJ854" s="8"/>
      <c r="AK854" s="8"/>
      <c r="AL854" s="8"/>
      <c r="AN854" s="8">
        <f t="shared" si="231"/>
        <v>1.0000000000000002</v>
      </c>
      <c r="AO854" s="8">
        <f t="shared" si="232"/>
        <v>3.5557245474057924</v>
      </c>
      <c r="AP854" s="8">
        <f t="shared" si="233"/>
        <v>1.0290669919967614</v>
      </c>
      <c r="AQ854" s="8"/>
      <c r="AR854" s="8">
        <f t="shared" si="234"/>
        <v>203.72800967741671</v>
      </c>
      <c r="AS854" s="8">
        <f t="shared" si="235"/>
        <v>31.038804522362703</v>
      </c>
    </row>
    <row r="855" spans="1:45">
      <c r="A855" s="19">
        <v>35.468766670000001</v>
      </c>
      <c r="B855" s="19">
        <v>664.96741010000005</v>
      </c>
      <c r="C855" s="19">
        <v>495.09704499999998</v>
      </c>
      <c r="E855" s="9">
        <f t="shared" si="221"/>
        <v>-295.03258989999995</v>
      </c>
      <c r="F855" s="9">
        <f t="shared" si="222"/>
        <v>44.90295500000002</v>
      </c>
      <c r="I855">
        <v>1</v>
      </c>
      <c r="J855">
        <f t="shared" si="223"/>
        <v>0.1904143691366402</v>
      </c>
      <c r="K855">
        <f t="shared" si="227"/>
        <v>2.9905551441198299</v>
      </c>
      <c r="O855">
        <f t="shared" si="228"/>
        <v>-0.18711109503912335</v>
      </c>
      <c r="P855">
        <f t="shared" si="229"/>
        <v>2.8477671173175362E-2</v>
      </c>
      <c r="Q855">
        <f t="shared" si="230"/>
        <v>0.98192589351631454</v>
      </c>
      <c r="R855">
        <f t="shared" si="220"/>
        <v>1</v>
      </c>
      <c r="AG855" s="8">
        <f t="shared" si="224"/>
        <v>-0.78452083258749017</v>
      </c>
      <c r="AH855" s="8">
        <f t="shared" si="225"/>
        <v>-0.3445277548829826</v>
      </c>
      <c r="AI855" s="8">
        <f t="shared" si="226"/>
        <v>0.51558480325890421</v>
      </c>
      <c r="AJ855" s="8"/>
      <c r="AK855" s="8"/>
      <c r="AL855" s="8"/>
      <c r="AN855" s="8">
        <f t="shared" si="231"/>
        <v>1.0000000000000002</v>
      </c>
      <c r="AO855" s="8">
        <f t="shared" si="232"/>
        <v>3.5553929774549085</v>
      </c>
      <c r="AP855" s="8">
        <f t="shared" si="233"/>
        <v>1.029106304811743</v>
      </c>
      <c r="AQ855" s="8"/>
      <c r="AR855" s="8">
        <f t="shared" si="234"/>
        <v>203.70901211861769</v>
      </c>
      <c r="AS855" s="8">
        <f t="shared" si="235"/>
        <v>31.036552063983478</v>
      </c>
    </row>
    <row r="856" spans="1:45">
      <c r="A856" s="19">
        <v>35.502133329999999</v>
      </c>
      <c r="B856" s="19">
        <v>664.4991655</v>
      </c>
      <c r="C856" s="19">
        <v>495.02258119999999</v>
      </c>
      <c r="E856" s="9">
        <f t="shared" si="221"/>
        <v>-295.5008345</v>
      </c>
      <c r="F856" s="9">
        <f t="shared" si="222"/>
        <v>44.977418800000009</v>
      </c>
      <c r="I856">
        <v>1</v>
      </c>
      <c r="J856">
        <f t="shared" si="223"/>
        <v>0.19071226469347125</v>
      </c>
      <c r="K856">
        <f t="shared" si="227"/>
        <v>2.990544564966759</v>
      </c>
      <c r="O856">
        <f t="shared" si="228"/>
        <v>-0.18739996625273872</v>
      </c>
      <c r="P856">
        <f t="shared" si="229"/>
        <v>2.8523664846893407E-2</v>
      </c>
      <c r="Q856">
        <f t="shared" si="230"/>
        <v>0.98186946851003287</v>
      </c>
      <c r="R856">
        <f t="shared" si="220"/>
        <v>1</v>
      </c>
      <c r="AG856" s="8">
        <f t="shared" si="224"/>
        <v>-0.78465601114601524</v>
      </c>
      <c r="AH856" s="8">
        <f t="shared" si="225"/>
        <v>-0.34426393029226521</v>
      </c>
      <c r="AI856" s="8">
        <f t="shared" si="226"/>
        <v>0.51555532241666047</v>
      </c>
      <c r="AJ856" s="8"/>
      <c r="AK856" s="8"/>
      <c r="AL856" s="8"/>
      <c r="AN856" s="8">
        <f t="shared" si="231"/>
        <v>1</v>
      </c>
      <c r="AO856" s="8">
        <f t="shared" si="232"/>
        <v>3.5550476315392481</v>
      </c>
      <c r="AP856" s="8">
        <f t="shared" si="233"/>
        <v>1.0291407109864892</v>
      </c>
      <c r="AQ856" s="8"/>
      <c r="AR856" s="8">
        <f t="shared" si="234"/>
        <v>203.68922525517829</v>
      </c>
      <c r="AS856" s="8">
        <f t="shared" si="235"/>
        <v>31.03458073538134</v>
      </c>
    </row>
    <row r="857" spans="1:45">
      <c r="A857" s="19">
        <v>35.535499999999999</v>
      </c>
      <c r="B857" s="19">
        <v>663.9669811</v>
      </c>
      <c r="C857" s="19">
        <v>495.0821929</v>
      </c>
      <c r="E857" s="9">
        <f t="shared" si="221"/>
        <v>-296.0330189</v>
      </c>
      <c r="F857" s="9">
        <f t="shared" si="222"/>
        <v>44.917807100000005</v>
      </c>
      <c r="I857">
        <v>1</v>
      </c>
      <c r="J857">
        <f t="shared" si="223"/>
        <v>0.19103718702043024</v>
      </c>
      <c r="K857">
        <f t="shared" si="227"/>
        <v>2.9910088373480086</v>
      </c>
      <c r="O857">
        <f t="shared" si="228"/>
        <v>-0.18772859995384092</v>
      </c>
      <c r="P857">
        <f t="shared" si="229"/>
        <v>2.8484515244997601E-2</v>
      </c>
      <c r="Q857">
        <f t="shared" si="230"/>
        <v>0.98180782495895202</v>
      </c>
      <c r="R857">
        <f t="shared" si="220"/>
        <v>1</v>
      </c>
      <c r="AG857" s="8">
        <f t="shared" si="224"/>
        <v>-0.78484125503531188</v>
      </c>
      <c r="AH857" s="8">
        <f t="shared" si="225"/>
        <v>-0.34400483769736723</v>
      </c>
      <c r="AI857" s="8">
        <f t="shared" si="226"/>
        <v>0.51544628821576022</v>
      </c>
      <c r="AJ857" s="8"/>
      <c r="AK857" s="8"/>
      <c r="AL857" s="8"/>
      <c r="AN857" s="8">
        <f t="shared" si="231"/>
        <v>1</v>
      </c>
      <c r="AO857" s="8">
        <f t="shared" si="232"/>
        <v>3.5546839024077359</v>
      </c>
      <c r="AP857" s="8">
        <f t="shared" si="233"/>
        <v>1.0292679552259067</v>
      </c>
      <c r="AQ857" s="8"/>
      <c r="AR857" s="8">
        <f t="shared" si="234"/>
        <v>203.66838511105666</v>
      </c>
      <c r="AS857" s="8">
        <f t="shared" si="235"/>
        <v>31.02729017749536</v>
      </c>
    </row>
    <row r="858" spans="1:45">
      <c r="A858" s="19">
        <v>35.568866669999998</v>
      </c>
      <c r="B858" s="19">
        <v>663.20599579999998</v>
      </c>
      <c r="C858" s="19">
        <v>495.07386989999998</v>
      </c>
      <c r="E858" s="9">
        <f t="shared" si="221"/>
        <v>-296.79400420000002</v>
      </c>
      <c r="F858" s="9">
        <f t="shared" si="222"/>
        <v>44.926130100000023</v>
      </c>
      <c r="I858">
        <v>1</v>
      </c>
      <c r="J858">
        <f t="shared" si="223"/>
        <v>0.19151059718779259</v>
      </c>
      <c r="K858">
        <f t="shared" si="227"/>
        <v>2.9913617337356908</v>
      </c>
      <c r="O858">
        <f t="shared" si="228"/>
        <v>-0.18819818186858298</v>
      </c>
      <c r="P858">
        <f t="shared" si="229"/>
        <v>2.8487826180996115E-2</v>
      </c>
      <c r="Q858">
        <f t="shared" si="230"/>
        <v>0.9817178250907137</v>
      </c>
      <c r="R858">
        <f t="shared" si="220"/>
        <v>1</v>
      </c>
      <c r="AG858" s="8">
        <f t="shared" si="224"/>
        <v>-0.78508538884711088</v>
      </c>
      <c r="AH858" s="8">
        <f t="shared" si="225"/>
        <v>-0.34360789965846006</v>
      </c>
      <c r="AI858" s="8">
        <f t="shared" si="226"/>
        <v>0.51533925089312038</v>
      </c>
      <c r="AJ858" s="8"/>
      <c r="AK858" s="8"/>
      <c r="AL858" s="8"/>
      <c r="AN858" s="8">
        <f t="shared" si="231"/>
        <v>1</v>
      </c>
      <c r="AO858" s="8">
        <f t="shared" si="232"/>
        <v>3.5541453231835591</v>
      </c>
      <c r="AP858" s="8">
        <f t="shared" si="233"/>
        <v>1.0293928596116126</v>
      </c>
      <c r="AQ858" s="8"/>
      <c r="AR858" s="8">
        <f t="shared" si="234"/>
        <v>203.63752679457792</v>
      </c>
      <c r="AS858" s="8">
        <f t="shared" si="235"/>
        <v>31.020133683351737</v>
      </c>
    </row>
    <row r="859" spans="1:45">
      <c r="A859" s="19">
        <v>35.602233329999997</v>
      </c>
      <c r="B859" s="19">
        <v>663.03702799999996</v>
      </c>
      <c r="C859" s="19">
        <v>495.04150390000001</v>
      </c>
      <c r="E859" s="9">
        <f t="shared" si="221"/>
        <v>-296.96297200000004</v>
      </c>
      <c r="F859" s="9">
        <f t="shared" si="222"/>
        <v>44.958496099999991</v>
      </c>
      <c r="I859">
        <v>1</v>
      </c>
      <c r="J859">
        <f t="shared" si="223"/>
        <v>0.19161857345824468</v>
      </c>
      <c r="K859">
        <f t="shared" si="227"/>
        <v>2.9913393841299811</v>
      </c>
      <c r="O859">
        <f t="shared" si="228"/>
        <v>-0.18830235195587899</v>
      </c>
      <c r="P859">
        <f t="shared" si="229"/>
        <v>2.8507899483270312E-2</v>
      </c>
      <c r="Q859">
        <f t="shared" si="230"/>
        <v>0.98169726693871162</v>
      </c>
      <c r="R859">
        <f t="shared" ref="R859:R922" si="236">SQRT(O859^2+P859^2+Q859^2)</f>
        <v>1</v>
      </c>
      <c r="AG859" s="8">
        <f t="shared" si="224"/>
        <v>-0.78513285869618477</v>
      </c>
      <c r="AH859" s="8">
        <f t="shared" si="225"/>
        <v>-0.34351113933765354</v>
      </c>
      <c r="AI859" s="8">
        <f t="shared" si="226"/>
        <v>0.51533143834478423</v>
      </c>
      <c r="AJ859" s="8"/>
      <c r="AK859" s="8"/>
      <c r="AL859" s="8"/>
      <c r="AN859" s="8">
        <f t="shared" si="231"/>
        <v>1.0000000000000002</v>
      </c>
      <c r="AO859" s="8">
        <f t="shared" si="232"/>
        <v>3.5540196799030856</v>
      </c>
      <c r="AP859" s="8">
        <f t="shared" si="233"/>
        <v>1.029401975891828</v>
      </c>
      <c r="AQ859" s="8"/>
      <c r="AR859" s="8">
        <f t="shared" si="234"/>
        <v>203.63032796488261</v>
      </c>
      <c r="AS859" s="8">
        <f t="shared" si="235"/>
        <v>31.019611358970536</v>
      </c>
    </row>
    <row r="860" spans="1:45">
      <c r="A860" s="19">
        <v>35.635599999999997</v>
      </c>
      <c r="B860" s="19">
        <v>662.35344069999996</v>
      </c>
      <c r="C860" s="19">
        <v>495.0360857</v>
      </c>
      <c r="E860" s="9">
        <f t="shared" si="221"/>
        <v>-297.64655930000004</v>
      </c>
      <c r="F860" s="9">
        <f t="shared" si="222"/>
        <v>44.963914299999999</v>
      </c>
      <c r="I860">
        <v>1</v>
      </c>
      <c r="J860">
        <f t="shared" si="223"/>
        <v>0.19204357911423986</v>
      </c>
      <c r="K860">
        <f t="shared" si="227"/>
        <v>2.9916615117991414</v>
      </c>
      <c r="O860">
        <f t="shared" si="228"/>
        <v>-0.18872405452445076</v>
      </c>
      <c r="P860">
        <f t="shared" si="229"/>
        <v>2.8509559236776096E-2</v>
      </c>
      <c r="Q860">
        <f t="shared" si="230"/>
        <v>0.98161623676260412</v>
      </c>
      <c r="R860">
        <f t="shared" si="236"/>
        <v>1</v>
      </c>
      <c r="AG860" s="8">
        <f t="shared" si="224"/>
        <v>-0.78535238548566511</v>
      </c>
      <c r="AH860" s="8">
        <f t="shared" si="225"/>
        <v>-0.34315514014131376</v>
      </c>
      <c r="AI860" s="8">
        <f t="shared" si="226"/>
        <v>0.51523410252677437</v>
      </c>
      <c r="AJ860" s="8"/>
      <c r="AK860" s="8"/>
      <c r="AL860" s="8"/>
      <c r="AN860" s="8">
        <f t="shared" si="231"/>
        <v>1</v>
      </c>
      <c r="AO860" s="8">
        <f t="shared" si="232"/>
        <v>3.5535364607434756</v>
      </c>
      <c r="AP860" s="8">
        <f t="shared" si="233"/>
        <v>1.029515550595494</v>
      </c>
      <c r="AQ860" s="8"/>
      <c r="AR860" s="8">
        <f t="shared" si="234"/>
        <v>203.60264154645711</v>
      </c>
      <c r="AS860" s="8">
        <f t="shared" si="235"/>
        <v>31.013104007791021</v>
      </c>
    </row>
    <row r="861" spans="1:45">
      <c r="A861" s="19">
        <v>35.668966670000003</v>
      </c>
      <c r="B861" s="19">
        <v>661.90527099999997</v>
      </c>
      <c r="C861" s="19">
        <v>494.6046455</v>
      </c>
      <c r="E861" s="9">
        <f t="shared" si="221"/>
        <v>-298.09472900000003</v>
      </c>
      <c r="F861" s="9">
        <f t="shared" si="222"/>
        <v>45.395354499999996</v>
      </c>
      <c r="I861">
        <v>1</v>
      </c>
      <c r="J861">
        <f t="shared" si="223"/>
        <v>0.19236246025835169</v>
      </c>
      <c r="K861">
        <f t="shared" si="227"/>
        <v>2.9904687439954829</v>
      </c>
      <c r="O861">
        <f t="shared" si="228"/>
        <v>-0.18899935667624435</v>
      </c>
      <c r="P861">
        <f t="shared" si="229"/>
        <v>2.8781766203554937E-2</v>
      </c>
      <c r="Q861">
        <f t="shared" si="230"/>
        <v>0.98155532350966834</v>
      </c>
      <c r="R861">
        <f t="shared" si="236"/>
        <v>1</v>
      </c>
      <c r="AG861" s="8">
        <f t="shared" si="224"/>
        <v>-0.78540214456949198</v>
      </c>
      <c r="AH861" s="8">
        <f t="shared" si="225"/>
        <v>-0.3428008381585228</v>
      </c>
      <c r="AI861" s="8">
        <f t="shared" si="226"/>
        <v>0.51539407899534229</v>
      </c>
      <c r="AJ861" s="8"/>
      <c r="AK861" s="8"/>
      <c r="AL861" s="8"/>
      <c r="AN861" s="8">
        <f t="shared" si="231"/>
        <v>1</v>
      </c>
      <c r="AO861" s="8">
        <f t="shared" si="232"/>
        <v>3.5531343551582415</v>
      </c>
      <c r="AP861" s="8">
        <f t="shared" si="233"/>
        <v>1.0293288805733325</v>
      </c>
      <c r="AQ861" s="8"/>
      <c r="AR861" s="8">
        <f t="shared" si="234"/>
        <v>203.57960259350455</v>
      </c>
      <c r="AS861" s="8">
        <f t="shared" si="235"/>
        <v>31.023799412222495</v>
      </c>
    </row>
    <row r="862" spans="1:45">
      <c r="A862" s="19">
        <v>35.702333330000002</v>
      </c>
      <c r="B862" s="19">
        <v>661.72122079999997</v>
      </c>
      <c r="C862" s="19">
        <v>494.21764910000002</v>
      </c>
      <c r="E862" s="9">
        <f t="shared" si="221"/>
        <v>-298.27877920000003</v>
      </c>
      <c r="F862" s="9">
        <f t="shared" si="222"/>
        <v>45.782350899999983</v>
      </c>
      <c r="I862">
        <v>1</v>
      </c>
      <c r="J862">
        <f t="shared" si="223"/>
        <v>0.19251342555826401</v>
      </c>
      <c r="K862">
        <f t="shared" si="227"/>
        <v>2.9892927660255042</v>
      </c>
      <c r="O862">
        <f t="shared" si="228"/>
        <v>-0.18911184268867565</v>
      </c>
      <c r="P862">
        <f t="shared" si="229"/>
        <v>2.9026485774615713E-2</v>
      </c>
      <c r="Q862">
        <f t="shared" si="230"/>
        <v>0.98152645103352643</v>
      </c>
      <c r="R862">
        <f t="shared" si="236"/>
        <v>1</v>
      </c>
      <c r="AG862" s="8">
        <f t="shared" si="224"/>
        <v>-0.78537638398287912</v>
      </c>
      <c r="AH862" s="8">
        <f t="shared" si="225"/>
        <v>-0.34259603543492023</v>
      </c>
      <c r="AI862" s="8">
        <f t="shared" si="226"/>
        <v>0.51556948317976714</v>
      </c>
      <c r="AJ862" s="8"/>
      <c r="AK862" s="8"/>
      <c r="AL862" s="8"/>
      <c r="AN862" s="8">
        <f t="shared" si="231"/>
        <v>1.0000000000000002</v>
      </c>
      <c r="AO862" s="8">
        <f t="shared" si="232"/>
        <v>3.5529273196198567</v>
      </c>
      <c r="AP862" s="8">
        <f t="shared" si="233"/>
        <v>1.029124184488869</v>
      </c>
      <c r="AQ862" s="8"/>
      <c r="AR862" s="8">
        <f t="shared" si="234"/>
        <v>203.56774033094587</v>
      </c>
      <c r="AS862" s="8">
        <f t="shared" si="235"/>
        <v>31.035527633945108</v>
      </c>
    </row>
    <row r="863" spans="1:45">
      <c r="A863" s="19">
        <v>35.735700000000001</v>
      </c>
      <c r="B863" s="19">
        <v>660.85389069999997</v>
      </c>
      <c r="C863" s="19">
        <v>494.1892876</v>
      </c>
      <c r="E863" s="9">
        <f t="shared" si="221"/>
        <v>-299.14610930000003</v>
      </c>
      <c r="F863" s="9">
        <f t="shared" si="222"/>
        <v>45.8107124</v>
      </c>
      <c r="I863">
        <v>1</v>
      </c>
      <c r="J863">
        <f t="shared" si="223"/>
        <v>0.19305437980773071</v>
      </c>
      <c r="K863">
        <f t="shared" si="227"/>
        <v>2.9896349324157394</v>
      </c>
      <c r="O863">
        <f t="shared" si="228"/>
        <v>-0.18964657825194237</v>
      </c>
      <c r="P863">
        <f t="shared" si="229"/>
        <v>2.9042145573189383E-2</v>
      </c>
      <c r="Q863">
        <f t="shared" si="230"/>
        <v>0.98142280854779174</v>
      </c>
      <c r="R863">
        <f t="shared" si="236"/>
        <v>1</v>
      </c>
      <c r="AG863" s="8">
        <f t="shared" si="224"/>
        <v>-0.78564973849733544</v>
      </c>
      <c r="AH863" s="8">
        <f t="shared" si="225"/>
        <v>-0.34213827125501595</v>
      </c>
      <c r="AI863" s="8">
        <f t="shared" si="226"/>
        <v>0.51545697370556309</v>
      </c>
      <c r="AJ863" s="8"/>
      <c r="AK863" s="8"/>
      <c r="AL863" s="8"/>
      <c r="AN863" s="8">
        <f t="shared" si="231"/>
        <v>1</v>
      </c>
      <c r="AO863" s="8">
        <f t="shared" si="232"/>
        <v>3.5523101323111144</v>
      </c>
      <c r="AP863" s="8">
        <f t="shared" si="233"/>
        <v>1.029255485559752</v>
      </c>
      <c r="AQ863" s="8"/>
      <c r="AR863" s="8">
        <f t="shared" si="234"/>
        <v>203.53237810298592</v>
      </c>
      <c r="AS863" s="8">
        <f t="shared" si="235"/>
        <v>31.028004636737961</v>
      </c>
    </row>
    <row r="864" spans="1:45">
      <c r="A864" s="19">
        <v>35.769066670000001</v>
      </c>
      <c r="B864" s="19">
        <v>660.4422343</v>
      </c>
      <c r="C864" s="19">
        <v>494.056691</v>
      </c>
      <c r="E864" s="9">
        <f t="shared" ref="E864:E927" si="237">(B864-($B$15/2))</f>
        <v>-299.5577657</v>
      </c>
      <c r="F864" s="9">
        <f t="shared" ref="F864:F927" si="238">(($C$15/2)-C864)</f>
        <v>45.943308999999999</v>
      </c>
      <c r="I864">
        <v>1</v>
      </c>
      <c r="J864">
        <f t="shared" ref="J864:J927" si="239">ATAN((SQRT(E864^2+F864^2)^$B$16)/($F$24))</f>
        <v>0.1933224255079847</v>
      </c>
      <c r="K864">
        <f t="shared" si="227"/>
        <v>2.9894080643644942</v>
      </c>
      <c r="O864">
        <f t="shared" si="228"/>
        <v>-0.18990000353383943</v>
      </c>
      <c r="P864">
        <f t="shared" si="229"/>
        <v>2.9125048790068112E-2</v>
      </c>
      <c r="Q864">
        <f t="shared" si="230"/>
        <v>0.9813713467341626</v>
      </c>
      <c r="R864">
        <f t="shared" si="236"/>
        <v>1</v>
      </c>
      <c r="AG864" s="8">
        <f t="shared" ref="AG864:AG927" si="240">$O864*$Z$27+$P864*$Z$31+$Q864*$Z$35</f>
        <v>-0.78575316575034138</v>
      </c>
      <c r="AH864" s="8">
        <f t="shared" ref="AH864:AH927" si="241">$O864*$AA$27+$P864*$AA$31+$Q864*$AA$35</f>
        <v>-0.34188733274396049</v>
      </c>
      <c r="AI864" s="8">
        <f t="shared" ref="AI864:AI927" si="242">$AB$27*$O864+$P864*$AB$31+$AB$35*$Q864</f>
        <v>0.51546582255522755</v>
      </c>
      <c r="AJ864" s="8"/>
      <c r="AK864" s="8"/>
      <c r="AL864" s="8"/>
      <c r="AN864" s="8">
        <f t="shared" si="231"/>
        <v>1.0000000000000004</v>
      </c>
      <c r="AO864" s="8">
        <f t="shared" si="232"/>
        <v>3.551993454734546</v>
      </c>
      <c r="AP864" s="8">
        <f t="shared" si="233"/>
        <v>1.0292451591301983</v>
      </c>
      <c r="AQ864" s="8"/>
      <c r="AR864" s="8">
        <f t="shared" si="234"/>
        <v>203.5142338143821</v>
      </c>
      <c r="AS864" s="8">
        <f t="shared" si="235"/>
        <v>31.028596297568825</v>
      </c>
    </row>
    <row r="865" spans="1:45">
      <c r="A865" s="19">
        <v>35.80243333</v>
      </c>
      <c r="B865" s="19">
        <v>659.85625760000005</v>
      </c>
      <c r="C865" s="19">
        <v>494.21913999999998</v>
      </c>
      <c r="E865" s="9">
        <f t="shared" si="237"/>
        <v>-300.14374239999995</v>
      </c>
      <c r="F865" s="9">
        <f t="shared" si="238"/>
        <v>45.780860000000018</v>
      </c>
      <c r="I865">
        <v>1</v>
      </c>
      <c r="J865">
        <f t="shared" si="239"/>
        <v>0.1936705905153176</v>
      </c>
      <c r="K865">
        <f t="shared" ref="K865:K928" si="243">ATAN2(E865,F865)</f>
        <v>2.9902295131307812</v>
      </c>
      <c r="O865">
        <f t="shared" ref="O865:O928" si="244">COS(K865)*SIN(J865)</f>
        <v>-0.19026162523614717</v>
      </c>
      <c r="P865">
        <f t="shared" ref="P865:P928" si="245">SIN(K865)*SIN(J865)</f>
        <v>2.9020564475738125E-2</v>
      </c>
      <c r="Q865">
        <f t="shared" ref="Q865:Q928" si="246">COS(J865)</f>
        <v>0.98130439762594024</v>
      </c>
      <c r="R865">
        <f t="shared" si="236"/>
        <v>1</v>
      </c>
      <c r="AG865" s="8">
        <f t="shared" si="240"/>
        <v>-0.78597755509630618</v>
      </c>
      <c r="AH865" s="8">
        <f t="shared" si="241"/>
        <v>-0.34162936785690962</v>
      </c>
      <c r="AI865" s="8">
        <f t="shared" si="242"/>
        <v>0.51529472916237118</v>
      </c>
      <c r="AJ865" s="8"/>
      <c r="AK865" s="8"/>
      <c r="AL865" s="8"/>
      <c r="AN865" s="8">
        <f t="shared" ref="AN865:AN928" si="247">AG865^2+AH865^2+AI865^2</f>
        <v>1</v>
      </c>
      <c r="AO865" s="8">
        <f t="shared" ref="AO865:AO928" si="248">IF(ATAN2(AG865,AH865)&gt;=0,ATAN2(AG865,AH865),ATAN2(AG865,AH865)+2*PI())</f>
        <v>3.5516129822181308</v>
      </c>
      <c r="AP865" s="8">
        <f t="shared" ref="AP865:AP928" si="249">ACOS(AI865/AN865)</f>
        <v>1.0294448103105063</v>
      </c>
      <c r="AQ865" s="8"/>
      <c r="AR865" s="8">
        <f t="shared" ref="AR865:AR928" si="250">DEGREES(AO865)</f>
        <v>203.4924343449708</v>
      </c>
      <c r="AS865" s="8">
        <f t="shared" ref="AS865:AS928" si="251">90-DEGREES(AP865)</f>
        <v>31.017157127562378</v>
      </c>
    </row>
    <row r="866" spans="1:45">
      <c r="A866" s="19">
        <v>35.835799999999999</v>
      </c>
      <c r="B866" s="19">
        <v>659.57913380000002</v>
      </c>
      <c r="C866" s="19">
        <v>494.07394340000002</v>
      </c>
      <c r="E866" s="9">
        <f t="shared" si="237"/>
        <v>-300.42086619999998</v>
      </c>
      <c r="F866" s="9">
        <f t="shared" si="238"/>
        <v>45.926056599999981</v>
      </c>
      <c r="I866">
        <v>1</v>
      </c>
      <c r="J866">
        <f t="shared" si="239"/>
        <v>0.19385628450064901</v>
      </c>
      <c r="K866">
        <f t="shared" si="243"/>
        <v>2.9898947106835077</v>
      </c>
      <c r="O866">
        <f t="shared" si="244"/>
        <v>-0.1904320248034756</v>
      </c>
      <c r="P866">
        <f t="shared" si="245"/>
        <v>2.911179925749454E-2</v>
      </c>
      <c r="Q866">
        <f t="shared" si="246"/>
        <v>0.98126864164368355</v>
      </c>
      <c r="R866">
        <f t="shared" si="236"/>
        <v>1</v>
      </c>
      <c r="AG866" s="8">
        <f t="shared" si="240"/>
        <v>-0.78603477945215661</v>
      </c>
      <c r="AH866" s="8">
        <f t="shared" si="241"/>
        <v>-0.34144463079585019</v>
      </c>
      <c r="AI866" s="8">
        <f t="shared" si="242"/>
        <v>0.51532988424142956</v>
      </c>
      <c r="AJ866" s="8"/>
      <c r="AK866" s="8"/>
      <c r="AL866" s="8"/>
      <c r="AN866" s="8">
        <f t="shared" si="247"/>
        <v>1</v>
      </c>
      <c r="AO866" s="8">
        <f t="shared" si="248"/>
        <v>3.5513886674494768</v>
      </c>
      <c r="AP866" s="8">
        <f t="shared" si="249"/>
        <v>1.0294037893327821</v>
      </c>
      <c r="AQ866" s="8"/>
      <c r="AR866" s="8">
        <f t="shared" si="250"/>
        <v>203.47958205544447</v>
      </c>
      <c r="AS866" s="8">
        <f t="shared" si="251"/>
        <v>31.019507456457475</v>
      </c>
    </row>
    <row r="867" spans="1:45">
      <c r="A867" s="19">
        <v>35.869166669999998</v>
      </c>
      <c r="B867" s="19">
        <v>658.82042720000004</v>
      </c>
      <c r="C867" s="19">
        <v>494.11597560000001</v>
      </c>
      <c r="E867" s="9">
        <f t="shared" si="237"/>
        <v>-301.17957279999996</v>
      </c>
      <c r="F867" s="9">
        <f t="shared" si="238"/>
        <v>45.884024399999987</v>
      </c>
      <c r="I867">
        <v>1</v>
      </c>
      <c r="J867">
        <f t="shared" si="239"/>
        <v>0.19432298804283057</v>
      </c>
      <c r="K867">
        <f t="shared" si="243"/>
        <v>2.9904074315444324</v>
      </c>
      <c r="O867">
        <f t="shared" si="244"/>
        <v>-0.19089964294704187</v>
      </c>
      <c r="P867">
        <f t="shared" si="245"/>
        <v>2.9083127363189371E-2</v>
      </c>
      <c r="Q867">
        <f t="shared" si="246"/>
        <v>0.98117862697139324</v>
      </c>
      <c r="R867">
        <f t="shared" si="236"/>
        <v>1</v>
      </c>
      <c r="AG867" s="8">
        <f t="shared" si="240"/>
        <v>-0.78628800996220571</v>
      </c>
      <c r="AH867" s="8">
        <f t="shared" si="241"/>
        <v>-0.34106305012215016</v>
      </c>
      <c r="AI867" s="8">
        <f t="shared" si="242"/>
        <v>0.51519623565302763</v>
      </c>
      <c r="AJ867" s="8"/>
      <c r="AK867" s="8"/>
      <c r="AL867" s="8"/>
      <c r="AN867" s="8">
        <f t="shared" si="247"/>
        <v>1</v>
      </c>
      <c r="AO867" s="8">
        <f t="shared" si="248"/>
        <v>3.5508625982768187</v>
      </c>
      <c r="AP867" s="8">
        <f t="shared" si="249"/>
        <v>1.0295597328411388</v>
      </c>
      <c r="AQ867" s="8"/>
      <c r="AR867" s="8">
        <f t="shared" si="250"/>
        <v>203.44944051211922</v>
      </c>
      <c r="AS867" s="8">
        <f t="shared" si="251"/>
        <v>31.010572551586172</v>
      </c>
    </row>
    <row r="868" spans="1:45">
      <c r="A868" s="19">
        <v>35.902533329999997</v>
      </c>
      <c r="B868" s="19">
        <v>658.30817490000004</v>
      </c>
      <c r="C868" s="19">
        <v>493.99185540000002</v>
      </c>
      <c r="E868" s="9">
        <f t="shared" si="237"/>
        <v>-301.69182509999996</v>
      </c>
      <c r="F868" s="9">
        <f t="shared" si="238"/>
        <v>46.00814459999998</v>
      </c>
      <c r="I868">
        <v>1</v>
      </c>
      <c r="J868">
        <f t="shared" si="239"/>
        <v>0.19465247731111845</v>
      </c>
      <c r="K868">
        <f t="shared" si="243"/>
        <v>2.9902581618138253</v>
      </c>
      <c r="O868">
        <f t="shared" si="244"/>
        <v>-0.19121488211991169</v>
      </c>
      <c r="P868">
        <f t="shared" si="245"/>
        <v>2.9160359062857629E-2</v>
      </c>
      <c r="Q868">
        <f t="shared" si="246"/>
        <v>0.98111494857391379</v>
      </c>
      <c r="R868">
        <f t="shared" si="236"/>
        <v>1</v>
      </c>
      <c r="AG868" s="8">
        <f t="shared" si="240"/>
        <v>-0.78642530539710354</v>
      </c>
      <c r="AH868" s="8">
        <f t="shared" si="241"/>
        <v>-0.3407623280829889</v>
      </c>
      <c r="AI868" s="8">
        <f t="shared" si="242"/>
        <v>0.51518567021078332</v>
      </c>
      <c r="AJ868" s="8"/>
      <c r="AK868" s="8"/>
      <c r="AL868" s="8"/>
      <c r="AN868" s="8">
        <f t="shared" si="247"/>
        <v>1</v>
      </c>
      <c r="AO868" s="8">
        <f t="shared" si="248"/>
        <v>3.5504769613100136</v>
      </c>
      <c r="AP868" s="8">
        <f t="shared" si="249"/>
        <v>1.0295720601602425</v>
      </c>
      <c r="AQ868" s="8"/>
      <c r="AR868" s="8">
        <f t="shared" si="250"/>
        <v>203.42734514149706</v>
      </c>
      <c r="AS868" s="8">
        <f t="shared" si="251"/>
        <v>31.009866248228818</v>
      </c>
    </row>
    <row r="869" spans="1:45">
      <c r="A869" s="19">
        <v>35.935899999999997</v>
      </c>
      <c r="B869" s="19">
        <v>657.70565050000005</v>
      </c>
      <c r="C869" s="19">
        <v>493.90203050000002</v>
      </c>
      <c r="E869" s="9">
        <f t="shared" si="237"/>
        <v>-302.29434949999995</v>
      </c>
      <c r="F869" s="9">
        <f t="shared" si="238"/>
        <v>46.097969499999977</v>
      </c>
      <c r="I869">
        <v>1</v>
      </c>
      <c r="J869">
        <f t="shared" si="239"/>
        <v>0.19503467305889244</v>
      </c>
      <c r="K869">
        <f t="shared" si="243"/>
        <v>2.990264822632474</v>
      </c>
      <c r="O869">
        <f t="shared" si="244"/>
        <v>-0.19158575500271205</v>
      </c>
      <c r="P869">
        <f t="shared" si="245"/>
        <v>2.9215611556607974E-2</v>
      </c>
      <c r="Q869">
        <f t="shared" si="246"/>
        <v>0.9810409504813824</v>
      </c>
      <c r="R869">
        <f t="shared" si="236"/>
        <v>1</v>
      </c>
      <c r="AG869" s="8">
        <f t="shared" si="240"/>
        <v>-0.78659902659780001</v>
      </c>
      <c r="AH869" s="8">
        <f t="shared" si="241"/>
        <v>-0.34042447585096508</v>
      </c>
      <c r="AI869" s="8">
        <f t="shared" si="242"/>
        <v>0.5151438125387795</v>
      </c>
      <c r="AJ869" s="8"/>
      <c r="AK869" s="8"/>
      <c r="AL869" s="8"/>
      <c r="AN869" s="8">
        <f t="shared" si="247"/>
        <v>1</v>
      </c>
      <c r="AO869" s="8">
        <f t="shared" si="248"/>
        <v>3.5500346922422334</v>
      </c>
      <c r="AP869" s="8">
        <f t="shared" si="249"/>
        <v>1.0296208970553529</v>
      </c>
      <c r="AQ869" s="8"/>
      <c r="AR869" s="8">
        <f t="shared" si="250"/>
        <v>203.40200499050408</v>
      </c>
      <c r="AS869" s="8">
        <f t="shared" si="251"/>
        <v>31.007068100254472</v>
      </c>
    </row>
    <row r="870" spans="1:45">
      <c r="A870" s="19">
        <v>35.969266670000003</v>
      </c>
      <c r="B870" s="19">
        <v>657.14088360000005</v>
      </c>
      <c r="C870" s="19">
        <v>493.77949159999997</v>
      </c>
      <c r="E870" s="9">
        <f t="shared" si="237"/>
        <v>-302.85911639999995</v>
      </c>
      <c r="F870" s="9">
        <f t="shared" si="238"/>
        <v>46.220508400000028</v>
      </c>
      <c r="I870">
        <v>1</v>
      </c>
      <c r="J870">
        <f t="shared" si="239"/>
        <v>0.19539649926097943</v>
      </c>
      <c r="K870">
        <f t="shared" si="243"/>
        <v>2.990147318092494</v>
      </c>
      <c r="O870">
        <f t="shared" si="244"/>
        <v>-0.19193321156154525</v>
      </c>
      <c r="P870">
        <f t="shared" si="245"/>
        <v>2.9291674368826747E-2</v>
      </c>
      <c r="Q870">
        <f t="shared" si="246"/>
        <v>0.98097076414760787</v>
      </c>
      <c r="R870">
        <f t="shared" si="236"/>
        <v>1</v>
      </c>
      <c r="AG870" s="8">
        <f t="shared" si="240"/>
        <v>-0.78675329738240929</v>
      </c>
      <c r="AH870" s="8">
        <f t="shared" si="241"/>
        <v>-0.34009695879095092</v>
      </c>
      <c r="AI870" s="8">
        <f t="shared" si="242"/>
        <v>0.5151245554999806</v>
      </c>
      <c r="AJ870" s="8"/>
      <c r="AK870" s="8"/>
      <c r="AL870" s="8"/>
      <c r="AN870" s="8">
        <f t="shared" si="247"/>
        <v>1</v>
      </c>
      <c r="AO870" s="8">
        <f t="shared" si="248"/>
        <v>3.5496125214872429</v>
      </c>
      <c r="AP870" s="8">
        <f t="shared" si="249"/>
        <v>1.0296433644737917</v>
      </c>
      <c r="AQ870" s="8"/>
      <c r="AR870" s="8">
        <f t="shared" si="250"/>
        <v>203.37781638800925</v>
      </c>
      <c r="AS870" s="8">
        <f t="shared" si="251"/>
        <v>31.005780812001369</v>
      </c>
    </row>
    <row r="871" spans="1:45">
      <c r="A871" s="19">
        <v>36.002633330000002</v>
      </c>
      <c r="B871" s="19">
        <v>656.63841690000004</v>
      </c>
      <c r="C871" s="19">
        <v>493.8896709</v>
      </c>
      <c r="E871" s="9">
        <f t="shared" si="237"/>
        <v>-303.36158309999996</v>
      </c>
      <c r="F871" s="9">
        <f t="shared" si="238"/>
        <v>46.110329100000001</v>
      </c>
      <c r="I871">
        <v>1</v>
      </c>
      <c r="J871">
        <f t="shared" si="239"/>
        <v>0.19569766779734302</v>
      </c>
      <c r="K871">
        <f t="shared" si="243"/>
        <v>2.9907493267353624</v>
      </c>
      <c r="O871">
        <f t="shared" si="244"/>
        <v>-0.1922428846601302</v>
      </c>
      <c r="P871">
        <f t="shared" si="245"/>
        <v>2.9220518261502852E-2</v>
      </c>
      <c r="Q871">
        <f t="shared" si="246"/>
        <v>0.9809122461311619</v>
      </c>
      <c r="R871">
        <f t="shared" si="236"/>
        <v>1</v>
      </c>
      <c r="AG871" s="8">
        <f t="shared" si="240"/>
        <v>-0.78693868994487381</v>
      </c>
      <c r="AH871" s="8">
        <f t="shared" si="241"/>
        <v>-0.3398674899218157</v>
      </c>
      <c r="AI871" s="8">
        <f t="shared" si="242"/>
        <v>0.51499280340805764</v>
      </c>
      <c r="AJ871" s="8"/>
      <c r="AK871" s="8"/>
      <c r="AL871" s="8"/>
      <c r="AN871" s="8">
        <f t="shared" si="247"/>
        <v>1</v>
      </c>
      <c r="AO871" s="8">
        <f t="shared" si="248"/>
        <v>3.5492809820603619</v>
      </c>
      <c r="AP871" s="8">
        <f t="shared" si="249"/>
        <v>1.0297970730848416</v>
      </c>
      <c r="AQ871" s="8"/>
      <c r="AR871" s="8">
        <f t="shared" si="250"/>
        <v>203.35882057810679</v>
      </c>
      <c r="AS871" s="8">
        <f t="shared" si="251"/>
        <v>30.996973957313394</v>
      </c>
    </row>
    <row r="872" spans="1:45">
      <c r="A872" s="19">
        <v>36.036000000000001</v>
      </c>
      <c r="B872" s="19">
        <v>655.79551560000004</v>
      </c>
      <c r="C872" s="19">
        <v>493.85742149999999</v>
      </c>
      <c r="E872" s="9">
        <f t="shared" si="237"/>
        <v>-304.20448439999996</v>
      </c>
      <c r="F872" s="9">
        <f t="shared" si="238"/>
        <v>46.142578500000013</v>
      </c>
      <c r="I872">
        <v>1</v>
      </c>
      <c r="J872">
        <f t="shared" si="239"/>
        <v>0.19622333862822863</v>
      </c>
      <c r="K872">
        <f t="shared" si="243"/>
        <v>2.9910573738960919</v>
      </c>
      <c r="O872">
        <f t="shared" si="244"/>
        <v>-0.1927616558392804</v>
      </c>
      <c r="P872">
        <f t="shared" si="245"/>
        <v>2.9238621691909498E-2</v>
      </c>
      <c r="Q872">
        <f t="shared" si="246"/>
        <v>0.98080989342464131</v>
      </c>
      <c r="R872">
        <f t="shared" si="236"/>
        <v>1</v>
      </c>
      <c r="AG872" s="8">
        <f t="shared" si="240"/>
        <v>-0.7872017037864607</v>
      </c>
      <c r="AH872" s="8">
        <f t="shared" si="241"/>
        <v>-0.33942121469807007</v>
      </c>
      <c r="AI872" s="8">
        <f t="shared" si="242"/>
        <v>0.51488514891049264</v>
      </c>
      <c r="AJ872" s="8"/>
      <c r="AK872" s="8"/>
      <c r="AL872" s="8"/>
      <c r="AN872" s="8">
        <f t="shared" si="247"/>
        <v>1.0000000000000002</v>
      </c>
      <c r="AO872" s="8">
        <f t="shared" si="248"/>
        <v>3.5486814196902796</v>
      </c>
      <c r="AP872" s="8">
        <f t="shared" si="249"/>
        <v>1.029922657694434</v>
      </c>
      <c r="AQ872" s="8"/>
      <c r="AR872" s="8">
        <f t="shared" si="250"/>
        <v>203.32446818474622</v>
      </c>
      <c r="AS872" s="8">
        <f t="shared" si="251"/>
        <v>30.98977848921195</v>
      </c>
    </row>
    <row r="873" spans="1:45">
      <c r="A873" s="19">
        <v>36.069366670000001</v>
      </c>
      <c r="B873" s="19">
        <v>655.61096989999999</v>
      </c>
      <c r="C873" s="19">
        <v>493.94192249999998</v>
      </c>
      <c r="E873" s="9">
        <f t="shared" si="237"/>
        <v>-304.38903010000001</v>
      </c>
      <c r="F873" s="9">
        <f t="shared" si="238"/>
        <v>46.058077500000024</v>
      </c>
      <c r="I873">
        <v>1</v>
      </c>
      <c r="J873">
        <f t="shared" si="239"/>
        <v>0.19632982079426214</v>
      </c>
      <c r="K873">
        <f t="shared" si="243"/>
        <v>2.9914186530890081</v>
      </c>
      <c r="O873">
        <f t="shared" si="244"/>
        <v>-0.19287546878174033</v>
      </c>
      <c r="P873">
        <f t="shared" si="245"/>
        <v>2.9184603946074462E-2</v>
      </c>
      <c r="Q873">
        <f t="shared" si="246"/>
        <v>0.9807891274044257</v>
      </c>
      <c r="R873">
        <f t="shared" si="236"/>
        <v>1</v>
      </c>
      <c r="AG873" s="8">
        <f t="shared" si="240"/>
        <v>-0.78727939940342562</v>
      </c>
      <c r="AH873" s="8">
        <f t="shared" si="241"/>
        <v>-0.339349365221702</v>
      </c>
      <c r="AI873" s="8">
        <f t="shared" si="242"/>
        <v>0.51481370960630957</v>
      </c>
      <c r="AJ873" s="8"/>
      <c r="AK873" s="8"/>
      <c r="AL873" s="8"/>
      <c r="AN873" s="8">
        <f t="shared" si="247"/>
        <v>1.0000000000000002</v>
      </c>
      <c r="AO873" s="8">
        <f t="shared" si="248"/>
        <v>3.5485685768835258</v>
      </c>
      <c r="AP873" s="8">
        <f t="shared" si="249"/>
        <v>1.03000599015568</v>
      </c>
      <c r="AQ873" s="8"/>
      <c r="AR873" s="8">
        <f t="shared" si="250"/>
        <v>203.3180027681708</v>
      </c>
      <c r="AS873" s="8">
        <f t="shared" si="251"/>
        <v>30.985003890886119</v>
      </c>
    </row>
    <row r="874" spans="1:45">
      <c r="A874" s="19">
        <v>36.10273333</v>
      </c>
      <c r="B874" s="19">
        <v>655.06851040000004</v>
      </c>
      <c r="C874" s="19">
        <v>493.92032419999998</v>
      </c>
      <c r="E874" s="9">
        <f t="shared" si="237"/>
        <v>-304.93148959999996</v>
      </c>
      <c r="F874" s="9">
        <f t="shared" si="238"/>
        <v>46.079675800000018</v>
      </c>
      <c r="I874">
        <v>1</v>
      </c>
      <c r="J874">
        <f t="shared" si="239"/>
        <v>0.19666816123162378</v>
      </c>
      <c r="K874">
        <f t="shared" si="243"/>
        <v>2.9916125684924713</v>
      </c>
      <c r="O874">
        <f t="shared" si="244"/>
        <v>-0.19320922885071459</v>
      </c>
      <c r="P874">
        <f t="shared" si="245"/>
        <v>2.9196783312499697E-2</v>
      </c>
      <c r="Q874">
        <f t="shared" si="246"/>
        <v>0.98072307086716137</v>
      </c>
      <c r="R874">
        <f t="shared" si="236"/>
        <v>1</v>
      </c>
      <c r="AG874" s="8">
        <f t="shared" si="240"/>
        <v>-0.78744829980617248</v>
      </c>
      <c r="AH874" s="8">
        <f t="shared" si="241"/>
        <v>-0.33906191105836292</v>
      </c>
      <c r="AI874" s="8">
        <f t="shared" si="242"/>
        <v>0.51474478686220737</v>
      </c>
      <c r="AJ874" s="8"/>
      <c r="AK874" s="8"/>
      <c r="AL874" s="8"/>
      <c r="AN874" s="8">
        <f t="shared" si="247"/>
        <v>1.0000000000000002</v>
      </c>
      <c r="AO874" s="8">
        <f t="shared" si="248"/>
        <v>3.5481826964808643</v>
      </c>
      <c r="AP874" s="8">
        <f t="shared" si="249"/>
        <v>1.0300863831498375</v>
      </c>
      <c r="AQ874" s="8"/>
      <c r="AR874" s="8">
        <f t="shared" si="250"/>
        <v>203.29589344970151</v>
      </c>
      <c r="AS874" s="8">
        <f t="shared" si="251"/>
        <v>30.980397711618473</v>
      </c>
    </row>
    <row r="875" spans="1:45">
      <c r="A875" s="19">
        <v>36.136099999999999</v>
      </c>
      <c r="B875" s="19">
        <v>654.5624186</v>
      </c>
      <c r="C875" s="19">
        <v>494.00566609999998</v>
      </c>
      <c r="E875" s="9">
        <f t="shared" si="237"/>
        <v>-305.4375814</v>
      </c>
      <c r="F875" s="9">
        <f t="shared" si="238"/>
        <v>45.994333900000015</v>
      </c>
      <c r="I875">
        <v>1</v>
      </c>
      <c r="J875">
        <f t="shared" si="239"/>
        <v>0.1969739297194843</v>
      </c>
      <c r="K875">
        <f t="shared" si="243"/>
        <v>2.9921305777209883</v>
      </c>
      <c r="O875">
        <f t="shared" si="244"/>
        <v>-0.19352084910281661</v>
      </c>
      <c r="P875">
        <f t="shared" si="245"/>
        <v>2.9141347012533871E-2</v>
      </c>
      <c r="Q875">
        <f t="shared" si="246"/>
        <v>0.98066327700022493</v>
      </c>
      <c r="R875">
        <f t="shared" si="236"/>
        <v>1</v>
      </c>
      <c r="AG875" s="8">
        <f t="shared" si="240"/>
        <v>-0.78762898520873748</v>
      </c>
      <c r="AH875" s="8">
        <f t="shared" si="241"/>
        <v>-0.33882351340437944</v>
      </c>
      <c r="AI875" s="8">
        <f t="shared" si="242"/>
        <v>0.51462530876684132</v>
      </c>
      <c r="AJ875" s="8"/>
      <c r="AK875" s="8"/>
      <c r="AL875" s="8"/>
      <c r="AN875" s="8">
        <f t="shared" si="247"/>
        <v>1</v>
      </c>
      <c r="AO875" s="8">
        <f t="shared" si="248"/>
        <v>3.5478439811923108</v>
      </c>
      <c r="AP875" s="8">
        <f t="shared" si="249"/>
        <v>1.0302257358173448</v>
      </c>
      <c r="AQ875" s="8"/>
      <c r="AR875" s="8">
        <f t="shared" si="250"/>
        <v>203.27648649321083</v>
      </c>
      <c r="AS875" s="8">
        <f t="shared" si="251"/>
        <v>30.972413391906414</v>
      </c>
    </row>
    <row r="876" spans="1:45">
      <c r="A876" s="19">
        <v>36.169466669999998</v>
      </c>
      <c r="B876" s="19">
        <v>653.89431000000002</v>
      </c>
      <c r="C876" s="19">
        <v>494.06482849999998</v>
      </c>
      <c r="E876" s="9">
        <f t="shared" si="237"/>
        <v>-306.10568999999998</v>
      </c>
      <c r="F876" s="9">
        <f t="shared" si="238"/>
        <v>45.935171500000024</v>
      </c>
      <c r="I876">
        <v>1</v>
      </c>
      <c r="J876">
        <f t="shared" si="239"/>
        <v>0.19738258758171739</v>
      </c>
      <c r="K876">
        <f t="shared" si="243"/>
        <v>2.9926409863350258</v>
      </c>
      <c r="O876">
        <f t="shared" si="244"/>
        <v>-0.19393199998576863</v>
      </c>
      <c r="P876">
        <f t="shared" si="245"/>
        <v>2.9102038837253541E-2</v>
      </c>
      <c r="Q876">
        <f t="shared" si="246"/>
        <v>0.98058321967951034</v>
      </c>
      <c r="R876">
        <f t="shared" si="236"/>
        <v>1</v>
      </c>
      <c r="AG876" s="8">
        <f t="shared" si="240"/>
        <v>-0.78785559281940409</v>
      </c>
      <c r="AH876" s="8">
        <f t="shared" si="241"/>
        <v>-0.33849367717471646</v>
      </c>
      <c r="AI876" s="8">
        <f t="shared" si="242"/>
        <v>0.51449547653592098</v>
      </c>
      <c r="AJ876" s="8"/>
      <c r="AK876" s="8"/>
      <c r="AL876" s="8"/>
      <c r="AN876" s="8">
        <f t="shared" si="247"/>
        <v>1.0000000000000002</v>
      </c>
      <c r="AO876" s="8">
        <f t="shared" si="248"/>
        <v>3.5473862065172592</v>
      </c>
      <c r="AP876" s="8">
        <f t="shared" si="249"/>
        <v>1.0303771517649878</v>
      </c>
      <c r="AQ876" s="8"/>
      <c r="AR876" s="8">
        <f t="shared" si="250"/>
        <v>203.2502579363624</v>
      </c>
      <c r="AS876" s="8">
        <f t="shared" si="251"/>
        <v>30.963737897155497</v>
      </c>
    </row>
    <row r="877" spans="1:45">
      <c r="A877" s="19">
        <v>36.202833329999997</v>
      </c>
      <c r="B877" s="19">
        <v>653.66049069999997</v>
      </c>
      <c r="C877" s="19">
        <v>494.06274059999998</v>
      </c>
      <c r="E877" s="9">
        <f t="shared" si="237"/>
        <v>-306.33950930000003</v>
      </c>
      <c r="F877" s="9">
        <f t="shared" si="238"/>
        <v>45.937259400000016</v>
      </c>
      <c r="I877">
        <v>1</v>
      </c>
      <c r="J877">
        <f t="shared" si="239"/>
        <v>0.19752772253367945</v>
      </c>
      <c r="K877">
        <f t="shared" si="243"/>
        <v>2.9927463384251642</v>
      </c>
      <c r="O877">
        <f t="shared" si="244"/>
        <v>-0.19407580610266015</v>
      </c>
      <c r="P877">
        <f t="shared" si="245"/>
        <v>2.910271244010908E-2</v>
      </c>
      <c r="Q877">
        <f t="shared" si="246"/>
        <v>0.98055474789235042</v>
      </c>
      <c r="R877">
        <f t="shared" si="236"/>
        <v>1</v>
      </c>
      <c r="AG877" s="8">
        <f t="shared" si="240"/>
        <v>-0.78792984529552712</v>
      </c>
      <c r="AH877" s="8">
        <f t="shared" si="241"/>
        <v>-0.33837180566346703</v>
      </c>
      <c r="AI877" s="8">
        <f t="shared" si="242"/>
        <v>0.51446193253204997</v>
      </c>
      <c r="AJ877" s="8"/>
      <c r="AK877" s="8"/>
      <c r="AL877" s="8"/>
      <c r="AN877" s="8">
        <f t="shared" si="247"/>
        <v>1</v>
      </c>
      <c r="AO877" s="8">
        <f t="shared" si="248"/>
        <v>3.5472214448900221</v>
      </c>
      <c r="AP877" s="8">
        <f t="shared" si="249"/>
        <v>1.0304162699928803</v>
      </c>
      <c r="AQ877" s="8"/>
      <c r="AR877" s="8">
        <f t="shared" si="250"/>
        <v>203.24081779049601</v>
      </c>
      <c r="AS877" s="8">
        <f t="shared" si="251"/>
        <v>30.961496587795224</v>
      </c>
    </row>
    <row r="878" spans="1:45">
      <c r="A878" s="19">
        <v>36.236199999999997</v>
      </c>
      <c r="B878" s="19">
        <v>652.98633259999997</v>
      </c>
      <c r="C878" s="19">
        <v>493.99493749999999</v>
      </c>
      <c r="E878" s="9">
        <f t="shared" si="237"/>
        <v>-307.01366740000003</v>
      </c>
      <c r="F878" s="9">
        <f t="shared" si="238"/>
        <v>46.005062500000008</v>
      </c>
      <c r="I878">
        <v>1</v>
      </c>
      <c r="J878">
        <f t="shared" si="239"/>
        <v>0.19795188655080351</v>
      </c>
      <c r="K878">
        <f t="shared" si="243"/>
        <v>2.9928523888417424</v>
      </c>
      <c r="O878">
        <f t="shared" si="244"/>
        <v>-0.19449019761784553</v>
      </c>
      <c r="P878">
        <f t="shared" si="245"/>
        <v>2.9143763444865946E-2</v>
      </c>
      <c r="Q878">
        <f t="shared" si="246"/>
        <v>0.98047141930952841</v>
      </c>
      <c r="R878">
        <f t="shared" si="236"/>
        <v>1</v>
      </c>
      <c r="AG878" s="8">
        <f t="shared" si="240"/>
        <v>-0.78813022784688558</v>
      </c>
      <c r="AH878" s="8">
        <f t="shared" si="241"/>
        <v>-0.33800297273797403</v>
      </c>
      <c r="AI878" s="8">
        <f t="shared" si="242"/>
        <v>0.5143974478691633</v>
      </c>
      <c r="AJ878" s="8"/>
      <c r="AK878" s="8"/>
      <c r="AL878" s="8"/>
      <c r="AN878" s="8">
        <f t="shared" si="247"/>
        <v>1</v>
      </c>
      <c r="AO878" s="8">
        <f t="shared" si="248"/>
        <v>3.5467340410739769</v>
      </c>
      <c r="AP878" s="8">
        <f t="shared" si="249"/>
        <v>1.0304914679105124</v>
      </c>
      <c r="AQ878" s="8"/>
      <c r="AR878" s="8">
        <f t="shared" si="250"/>
        <v>203.21289160891806</v>
      </c>
      <c r="AS878" s="8">
        <f t="shared" si="251"/>
        <v>30.957188064486736</v>
      </c>
    </row>
    <row r="879" spans="1:45">
      <c r="A879" s="19">
        <v>36.269566670000003</v>
      </c>
      <c r="B879" s="19">
        <v>652.73803799999996</v>
      </c>
      <c r="C879" s="19">
        <v>493.4884745</v>
      </c>
      <c r="E879" s="9">
        <f t="shared" si="237"/>
        <v>-307.26196200000004</v>
      </c>
      <c r="F879" s="9">
        <f t="shared" si="238"/>
        <v>46.511525500000005</v>
      </c>
      <c r="I879">
        <v>1</v>
      </c>
      <c r="J879">
        <f t="shared" si="239"/>
        <v>0.19815302393667103</v>
      </c>
      <c r="K879">
        <f t="shared" si="243"/>
        <v>2.9913590428406982</v>
      </c>
      <c r="O879">
        <f t="shared" si="244"/>
        <v>-0.19464144323088148</v>
      </c>
      <c r="P879">
        <f t="shared" si="245"/>
        <v>2.9463687568947974E-2</v>
      </c>
      <c r="Q879">
        <f t="shared" si="246"/>
        <v>0.9804318434709467</v>
      </c>
      <c r="R879">
        <f t="shared" si="236"/>
        <v>1</v>
      </c>
      <c r="AG879" s="8">
        <f t="shared" si="240"/>
        <v>-0.78809803708985204</v>
      </c>
      <c r="AH879" s="8">
        <f t="shared" si="241"/>
        <v>-0.33773118266693136</v>
      </c>
      <c r="AI879" s="8">
        <f t="shared" si="242"/>
        <v>0.5146252346995025</v>
      </c>
      <c r="AJ879" s="8"/>
      <c r="AK879" s="8"/>
      <c r="AL879" s="8"/>
      <c r="AN879" s="8">
        <f t="shared" si="247"/>
        <v>1</v>
      </c>
      <c r="AO879" s="8">
        <f t="shared" si="248"/>
        <v>3.546457512487823</v>
      </c>
      <c r="AP879" s="8">
        <f t="shared" si="249"/>
        <v>1.0302258222017926</v>
      </c>
      <c r="AQ879" s="8"/>
      <c r="AR879" s="8">
        <f t="shared" si="250"/>
        <v>203.19704768801671</v>
      </c>
      <c r="AS879" s="8">
        <f t="shared" si="251"/>
        <v>30.972408442442138</v>
      </c>
    </row>
    <row r="880" spans="1:45">
      <c r="A880" s="19">
        <v>36.302933330000002</v>
      </c>
      <c r="B880" s="19">
        <v>651.91613770000004</v>
      </c>
      <c r="C880" s="19">
        <v>493.38249999999999</v>
      </c>
      <c r="E880" s="9">
        <f t="shared" si="237"/>
        <v>-308.08386229999996</v>
      </c>
      <c r="F880" s="9">
        <f t="shared" si="238"/>
        <v>46.617500000000007</v>
      </c>
      <c r="I880">
        <v>1</v>
      </c>
      <c r="J880">
        <f t="shared" si="239"/>
        <v>0.19867217014458338</v>
      </c>
      <c r="K880">
        <f t="shared" si="243"/>
        <v>2.9914175563471188</v>
      </c>
      <c r="O880">
        <f t="shared" si="244"/>
        <v>-0.19514639943632223</v>
      </c>
      <c r="P880">
        <f t="shared" si="245"/>
        <v>2.9528444650775688E-2</v>
      </c>
      <c r="Q880">
        <f t="shared" si="246"/>
        <v>0.98032951283920111</v>
      </c>
      <c r="R880">
        <f t="shared" si="236"/>
        <v>1</v>
      </c>
      <c r="AG880" s="8">
        <f t="shared" si="240"/>
        <v>-0.78833688569902693</v>
      </c>
      <c r="AH880" s="8">
        <f t="shared" si="241"/>
        <v>-0.33727493787666796</v>
      </c>
      <c r="AI880" s="8">
        <f t="shared" si="242"/>
        <v>0.51455861758078558</v>
      </c>
      <c r="AJ880" s="8"/>
      <c r="AK880" s="8"/>
      <c r="AL880" s="8"/>
      <c r="AN880" s="8">
        <f t="shared" si="247"/>
        <v>1</v>
      </c>
      <c r="AO880" s="8">
        <f t="shared" si="248"/>
        <v>3.5458587159987358</v>
      </c>
      <c r="AP880" s="8">
        <f t="shared" si="249"/>
        <v>1.0303035156735705</v>
      </c>
      <c r="AQ880" s="8"/>
      <c r="AR880" s="8">
        <f t="shared" si="250"/>
        <v>203.16273917640476</v>
      </c>
      <c r="AS880" s="8">
        <f t="shared" si="251"/>
        <v>30.96795693441355</v>
      </c>
    </row>
    <row r="881" spans="1:45">
      <c r="A881" s="19">
        <v>36.336300000000001</v>
      </c>
      <c r="B881" s="19">
        <v>651.26366480000002</v>
      </c>
      <c r="C881" s="19">
        <v>493.18825679999998</v>
      </c>
      <c r="E881" s="9">
        <f t="shared" si="237"/>
        <v>-308.73633519999998</v>
      </c>
      <c r="F881" s="9">
        <f t="shared" si="238"/>
        <v>46.811743200000024</v>
      </c>
      <c r="I881">
        <v>1</v>
      </c>
      <c r="J881">
        <f t="shared" si="239"/>
        <v>0.19909456026333397</v>
      </c>
      <c r="K881">
        <f t="shared" si="243"/>
        <v>2.991115121990799</v>
      </c>
      <c r="O881">
        <f t="shared" si="244"/>
        <v>-0.19554684489020971</v>
      </c>
      <c r="P881">
        <f t="shared" si="245"/>
        <v>2.9649534709417422E-2</v>
      </c>
      <c r="Q881">
        <f t="shared" si="246"/>
        <v>0.98024605918361096</v>
      </c>
      <c r="R881">
        <f t="shared" si="236"/>
        <v>1</v>
      </c>
      <c r="AG881" s="8">
        <f t="shared" si="240"/>
        <v>-0.78850207144005269</v>
      </c>
      <c r="AH881" s="8">
        <f t="shared" si="241"/>
        <v>-0.33688164793818082</v>
      </c>
      <c r="AI881" s="8">
        <f t="shared" si="242"/>
        <v>0.51456315318646917</v>
      </c>
      <c r="AJ881" s="8"/>
      <c r="AK881" s="8"/>
      <c r="AL881" s="8"/>
      <c r="AN881" s="8">
        <f t="shared" si="247"/>
        <v>1</v>
      </c>
      <c r="AO881" s="8">
        <f t="shared" si="248"/>
        <v>3.5453612397858918</v>
      </c>
      <c r="AP881" s="8">
        <f t="shared" si="249"/>
        <v>1.0302982260527782</v>
      </c>
      <c r="AQ881" s="8"/>
      <c r="AR881" s="8">
        <f t="shared" si="250"/>
        <v>203.13423588900065</v>
      </c>
      <c r="AS881" s="8">
        <f t="shared" si="251"/>
        <v>30.968260007360172</v>
      </c>
    </row>
    <row r="882" spans="1:45">
      <c r="A882" s="19">
        <v>36.369666670000001</v>
      </c>
      <c r="B882" s="19">
        <v>650.92518959999995</v>
      </c>
      <c r="C882" s="19">
        <v>493.02925740000001</v>
      </c>
      <c r="E882" s="9">
        <f t="shared" si="237"/>
        <v>-309.07481040000005</v>
      </c>
      <c r="F882" s="9">
        <f t="shared" si="238"/>
        <v>46.970742599999994</v>
      </c>
      <c r="I882">
        <v>1</v>
      </c>
      <c r="J882">
        <f t="shared" si="239"/>
        <v>0.19931913762992257</v>
      </c>
      <c r="K882">
        <f t="shared" si="243"/>
        <v>2.9907745790936646</v>
      </c>
      <c r="O882">
        <f t="shared" si="244"/>
        <v>-0.19575437382659763</v>
      </c>
      <c r="P882">
        <f t="shared" si="245"/>
        <v>2.9749199858550859E-2</v>
      </c>
      <c r="Q882">
        <f t="shared" si="246"/>
        <v>0.98020161713574649</v>
      </c>
      <c r="R882">
        <f t="shared" si="236"/>
        <v>1</v>
      </c>
      <c r="AG882" s="8">
        <f t="shared" si="240"/>
        <v>-0.78857487200206966</v>
      </c>
      <c r="AH882" s="8">
        <f t="shared" si="241"/>
        <v>-0.33666118138685286</v>
      </c>
      <c r="AI882" s="8">
        <f t="shared" si="242"/>
        <v>0.51459588046750637</v>
      </c>
      <c r="AJ882" s="8"/>
      <c r="AK882" s="8"/>
      <c r="AL882" s="8"/>
      <c r="AN882" s="8">
        <f t="shared" si="247"/>
        <v>1</v>
      </c>
      <c r="AO882" s="8">
        <f t="shared" si="248"/>
        <v>3.5450914337859687</v>
      </c>
      <c r="AP882" s="8">
        <f t="shared" si="249"/>
        <v>1.0302600575752323</v>
      </c>
      <c r="AQ882" s="8"/>
      <c r="AR882" s="8">
        <f t="shared" si="250"/>
        <v>203.11877714391775</v>
      </c>
      <c r="AS882" s="8">
        <f t="shared" si="251"/>
        <v>30.970446900033991</v>
      </c>
    </row>
    <row r="883" spans="1:45">
      <c r="A883" s="19">
        <v>36.40303333</v>
      </c>
      <c r="B883" s="19">
        <v>650.72403429999997</v>
      </c>
      <c r="C883" s="19">
        <v>493.0683937</v>
      </c>
      <c r="E883" s="9">
        <f t="shared" si="237"/>
        <v>-309.27596570000003</v>
      </c>
      <c r="F883" s="9">
        <f t="shared" si="238"/>
        <v>46.931606299999999</v>
      </c>
      <c r="I883">
        <v>1</v>
      </c>
      <c r="J883">
        <f t="shared" si="239"/>
        <v>0.1994400305654053</v>
      </c>
      <c r="K883">
        <f t="shared" si="243"/>
        <v>2.9909948839896461</v>
      </c>
      <c r="O883">
        <f t="shared" si="244"/>
        <v>-0.1958780797630347</v>
      </c>
      <c r="P883">
        <f t="shared" si="245"/>
        <v>2.9723851646318699E-2</v>
      </c>
      <c r="Q883">
        <f t="shared" si="246"/>
        <v>0.98017767293060387</v>
      </c>
      <c r="R883">
        <f t="shared" si="236"/>
        <v>1</v>
      </c>
      <c r="AG883" s="8">
        <f t="shared" si="240"/>
        <v>-0.78864754343042565</v>
      </c>
      <c r="AH883" s="8">
        <f t="shared" si="241"/>
        <v>-0.33656789051953301</v>
      </c>
      <c r="AI883" s="8">
        <f t="shared" si="242"/>
        <v>0.51454553473175402</v>
      </c>
      <c r="AJ883" s="8"/>
      <c r="AK883" s="8"/>
      <c r="AL883" s="8"/>
      <c r="AN883" s="8">
        <f t="shared" si="247"/>
        <v>1.0000000000000002</v>
      </c>
      <c r="AO883" s="8">
        <f t="shared" si="248"/>
        <v>3.544958095622047</v>
      </c>
      <c r="AP883" s="8">
        <f t="shared" si="249"/>
        <v>1.0303187733675674</v>
      </c>
      <c r="AQ883" s="8"/>
      <c r="AR883" s="8">
        <f t="shared" si="250"/>
        <v>203.111137429877</v>
      </c>
      <c r="AS883" s="8">
        <f t="shared" si="251"/>
        <v>30.967082732942423</v>
      </c>
    </row>
    <row r="884" spans="1:45">
      <c r="A884" s="19">
        <v>36.436399999999999</v>
      </c>
      <c r="B884" s="19">
        <v>649.75792639999997</v>
      </c>
      <c r="C884" s="19">
        <v>493.09924180000002</v>
      </c>
      <c r="E884" s="9">
        <f t="shared" si="237"/>
        <v>-310.24207360000003</v>
      </c>
      <c r="F884" s="9">
        <f t="shared" si="238"/>
        <v>46.900758199999984</v>
      </c>
      <c r="I884">
        <v>1</v>
      </c>
      <c r="J884">
        <f t="shared" si="239"/>
        <v>0.20003539697462591</v>
      </c>
      <c r="K884">
        <f t="shared" si="243"/>
        <v>2.9915540353091465</v>
      </c>
      <c r="O884">
        <f t="shared" si="244"/>
        <v>-0.19647164320873803</v>
      </c>
      <c r="P884">
        <f t="shared" si="245"/>
        <v>2.9701545391197702E-2</v>
      </c>
      <c r="Q884">
        <f t="shared" si="246"/>
        <v>0.98005954493399683</v>
      </c>
      <c r="R884">
        <f t="shared" si="236"/>
        <v>1</v>
      </c>
      <c r="AG884" s="8">
        <f t="shared" si="240"/>
        <v>-0.78896175469909557</v>
      </c>
      <c r="AH884" s="8">
        <f t="shared" si="241"/>
        <v>-0.33607545811250861</v>
      </c>
      <c r="AI884" s="8">
        <f t="shared" si="242"/>
        <v>0.51438568805575424</v>
      </c>
      <c r="AJ884" s="8"/>
      <c r="AK884" s="8"/>
      <c r="AL884" s="8"/>
      <c r="AN884" s="8">
        <f t="shared" si="247"/>
        <v>1.0000000000000002</v>
      </c>
      <c r="AO884" s="8">
        <f t="shared" si="248"/>
        <v>3.5442861356233566</v>
      </c>
      <c r="AP884" s="8">
        <f t="shared" si="249"/>
        <v>1.0305051810921957</v>
      </c>
      <c r="AQ884" s="8"/>
      <c r="AR884" s="8">
        <f t="shared" si="250"/>
        <v>203.07263695795044</v>
      </c>
      <c r="AS884" s="8">
        <f t="shared" si="251"/>
        <v>30.956402357052582</v>
      </c>
    </row>
    <row r="885" spans="1:45">
      <c r="A885" s="19">
        <v>36.469766669999998</v>
      </c>
      <c r="B885" s="19">
        <v>649.45688719999998</v>
      </c>
      <c r="C885" s="19">
        <v>492.90725520000001</v>
      </c>
      <c r="E885" s="9">
        <f t="shared" si="237"/>
        <v>-310.54311280000002</v>
      </c>
      <c r="F885" s="9">
        <f t="shared" si="238"/>
        <v>47.092744799999991</v>
      </c>
      <c r="I885">
        <v>1</v>
      </c>
      <c r="J885">
        <f t="shared" si="239"/>
        <v>0.20023978759797101</v>
      </c>
      <c r="K885">
        <f t="shared" si="243"/>
        <v>2.991092925972652</v>
      </c>
      <c r="O885">
        <f t="shared" si="244"/>
        <v>-0.19665597323337647</v>
      </c>
      <c r="P885">
        <f t="shared" si="245"/>
        <v>2.982217018877981E-2</v>
      </c>
      <c r="Q885">
        <f t="shared" si="246"/>
        <v>0.98001891122409723</v>
      </c>
      <c r="R885">
        <f t="shared" si="236"/>
        <v>1</v>
      </c>
      <c r="AG885" s="8">
        <f t="shared" si="240"/>
        <v>-0.78901519602269299</v>
      </c>
      <c r="AH885" s="8">
        <f t="shared" si="241"/>
        <v>-0.33586509805006454</v>
      </c>
      <c r="AI885" s="8">
        <f t="shared" si="242"/>
        <v>0.51444111067943632</v>
      </c>
      <c r="AJ885" s="8"/>
      <c r="AK885" s="8"/>
      <c r="AL885" s="8"/>
      <c r="AN885" s="8">
        <f t="shared" si="247"/>
        <v>1</v>
      </c>
      <c r="AO885" s="8">
        <f t="shared" si="248"/>
        <v>3.5440360245922813</v>
      </c>
      <c r="AP885" s="8">
        <f t="shared" si="249"/>
        <v>1.0304405514855783</v>
      </c>
      <c r="AQ885" s="8"/>
      <c r="AR885" s="8">
        <f t="shared" si="250"/>
        <v>203.05830665146016</v>
      </c>
      <c r="AS885" s="8">
        <f t="shared" si="251"/>
        <v>30.960105360743349</v>
      </c>
    </row>
    <row r="886" spans="1:45">
      <c r="A886" s="19">
        <v>36.503133329999997</v>
      </c>
      <c r="B886" s="19">
        <v>648.81536889999995</v>
      </c>
      <c r="C886" s="19">
        <v>493.14554609999999</v>
      </c>
      <c r="E886" s="9">
        <f t="shared" si="237"/>
        <v>-311.18463110000005</v>
      </c>
      <c r="F886" s="9">
        <f t="shared" si="238"/>
        <v>46.85445390000001</v>
      </c>
      <c r="I886">
        <v>1</v>
      </c>
      <c r="J886">
        <f t="shared" si="239"/>
        <v>0.20061467518025453</v>
      </c>
      <c r="K886">
        <f t="shared" si="243"/>
        <v>2.9921472310991066</v>
      </c>
      <c r="O886">
        <f t="shared" si="244"/>
        <v>-0.19705059360829272</v>
      </c>
      <c r="P886">
        <f t="shared" si="245"/>
        <v>2.9669517808610685E-2</v>
      </c>
      <c r="Q886">
        <f t="shared" si="246"/>
        <v>0.97994427559510955</v>
      </c>
      <c r="R886">
        <f t="shared" si="236"/>
        <v>1</v>
      </c>
      <c r="AG886" s="8">
        <f t="shared" si="240"/>
        <v>-0.78927153283881779</v>
      </c>
      <c r="AH886" s="8">
        <f t="shared" si="241"/>
        <v>-0.33559958794473399</v>
      </c>
      <c r="AI886" s="8">
        <f t="shared" si="242"/>
        <v>0.51422112366333972</v>
      </c>
      <c r="AJ886" s="8"/>
      <c r="AK886" s="8"/>
      <c r="AL886" s="8"/>
      <c r="AN886" s="8">
        <f t="shared" si="247"/>
        <v>1</v>
      </c>
      <c r="AO886" s="8">
        <f t="shared" si="248"/>
        <v>3.5436341200610086</v>
      </c>
      <c r="AP886" s="8">
        <f t="shared" si="249"/>
        <v>1.0306970686844279</v>
      </c>
      <c r="AQ886" s="8"/>
      <c r="AR886" s="8">
        <f t="shared" si="250"/>
        <v>203.03527921805104</v>
      </c>
      <c r="AS886" s="8">
        <f t="shared" si="251"/>
        <v>30.94540800787675</v>
      </c>
    </row>
    <row r="887" spans="1:45">
      <c r="A887" s="19">
        <v>36.536499999999997</v>
      </c>
      <c r="B887" s="19">
        <v>648.22686629999998</v>
      </c>
      <c r="C887" s="19">
        <v>493.12114200000002</v>
      </c>
      <c r="E887" s="9">
        <f t="shared" si="237"/>
        <v>-311.77313370000002</v>
      </c>
      <c r="F887" s="9">
        <f t="shared" si="238"/>
        <v>46.87885799999998</v>
      </c>
      <c r="I887">
        <v>1</v>
      </c>
      <c r="J887">
        <f t="shared" si="239"/>
        <v>0.20098129151485145</v>
      </c>
      <c r="K887">
        <f t="shared" si="243"/>
        <v>2.9923486087936273</v>
      </c>
      <c r="O887">
        <f t="shared" si="244"/>
        <v>-0.19741182106063015</v>
      </c>
      <c r="P887">
        <f t="shared" si="245"/>
        <v>2.9683252745978002E-2</v>
      </c>
      <c r="Q887">
        <f t="shared" si="246"/>
        <v>0.97987115347475362</v>
      </c>
      <c r="R887">
        <f t="shared" si="236"/>
        <v>1</v>
      </c>
      <c r="AG887" s="8">
        <f t="shared" si="240"/>
        <v>-0.78945303917237064</v>
      </c>
      <c r="AH887" s="8">
        <f t="shared" si="241"/>
        <v>-0.33528741311825139</v>
      </c>
      <c r="AI887" s="8">
        <f t="shared" si="242"/>
        <v>0.51414613637173101</v>
      </c>
      <c r="AJ887" s="8"/>
      <c r="AK887" s="8"/>
      <c r="AL887" s="8"/>
      <c r="AN887" s="8">
        <f t="shared" si="247"/>
        <v>1.0000000000000002</v>
      </c>
      <c r="AO887" s="8">
        <f t="shared" si="248"/>
        <v>3.5432163688144933</v>
      </c>
      <c r="AP887" s="8">
        <f t="shared" si="249"/>
        <v>1.0307844990557107</v>
      </c>
      <c r="AQ887" s="8"/>
      <c r="AR887" s="8">
        <f t="shared" si="250"/>
        <v>203.01134383473939</v>
      </c>
      <c r="AS887" s="8">
        <f t="shared" si="251"/>
        <v>30.940398616600987</v>
      </c>
    </row>
    <row r="888" spans="1:45">
      <c r="A888" s="19">
        <v>36.569866670000003</v>
      </c>
      <c r="B888" s="19">
        <v>647.81347630000005</v>
      </c>
      <c r="C888" s="19">
        <v>493.01982340000001</v>
      </c>
      <c r="E888" s="9">
        <f t="shared" si="237"/>
        <v>-312.18652369999995</v>
      </c>
      <c r="F888" s="9">
        <f t="shared" si="238"/>
        <v>46.980176599999993</v>
      </c>
      <c r="I888">
        <v>1</v>
      </c>
      <c r="J888">
        <f t="shared" si="239"/>
        <v>0.20124662886697617</v>
      </c>
      <c r="K888">
        <f t="shared" si="243"/>
        <v>2.9922259452094502</v>
      </c>
      <c r="O888">
        <f t="shared" si="244"/>
        <v>-0.19766527306087869</v>
      </c>
      <c r="P888">
        <f t="shared" si="245"/>
        <v>2.9746157284518637E-2</v>
      </c>
      <c r="Q888">
        <f t="shared" si="246"/>
        <v>0.97981814943007306</v>
      </c>
      <c r="R888">
        <f t="shared" si="236"/>
        <v>1</v>
      </c>
      <c r="AG888" s="8">
        <f t="shared" si="240"/>
        <v>-0.78956192575482143</v>
      </c>
      <c r="AH888" s="8">
        <f t="shared" si="241"/>
        <v>-0.33504436739434879</v>
      </c>
      <c r="AI888" s="8">
        <f t="shared" si="242"/>
        <v>0.51413737198890597</v>
      </c>
      <c r="AJ888" s="8"/>
      <c r="AK888" s="8"/>
      <c r="AL888" s="8"/>
      <c r="AN888" s="8">
        <f t="shared" si="247"/>
        <v>1.0000000000000002</v>
      </c>
      <c r="AO888" s="8">
        <f t="shared" si="248"/>
        <v>3.5429059237300087</v>
      </c>
      <c r="AP888" s="8">
        <f t="shared" si="249"/>
        <v>1.0307947174647258</v>
      </c>
      <c r="AQ888" s="8"/>
      <c r="AR888" s="8">
        <f t="shared" si="250"/>
        <v>202.99355664162783</v>
      </c>
      <c r="AS888" s="8">
        <f t="shared" si="251"/>
        <v>30.939813144891083</v>
      </c>
    </row>
    <row r="889" spans="1:45">
      <c r="A889" s="19">
        <v>36.603233330000002</v>
      </c>
      <c r="B889" s="19">
        <v>647.02453849999995</v>
      </c>
      <c r="C889" s="19">
        <v>492.70117260000001</v>
      </c>
      <c r="E889" s="9">
        <f t="shared" si="237"/>
        <v>-312.97546150000005</v>
      </c>
      <c r="F889" s="9">
        <f t="shared" si="238"/>
        <v>47.298827399999993</v>
      </c>
      <c r="I889">
        <v>1</v>
      </c>
      <c r="J889">
        <f t="shared" si="239"/>
        <v>0.20176465355934639</v>
      </c>
      <c r="K889">
        <f t="shared" si="243"/>
        <v>2.9916013602811731</v>
      </c>
      <c r="O889">
        <f t="shared" si="244"/>
        <v>-0.19814850015559496</v>
      </c>
      <c r="P889">
        <f t="shared" si="245"/>
        <v>2.9945452156249511E-2</v>
      </c>
      <c r="Q889">
        <f t="shared" si="246"/>
        <v>0.97971446951713737</v>
      </c>
      <c r="R889">
        <f t="shared" si="236"/>
        <v>1</v>
      </c>
      <c r="AG889" s="8">
        <f t="shared" si="240"/>
        <v>-0.78974195192839691</v>
      </c>
      <c r="AH889" s="8">
        <f t="shared" si="241"/>
        <v>-0.33454516029853382</v>
      </c>
      <c r="AI889" s="8">
        <f t="shared" si="242"/>
        <v>0.51418594407583129</v>
      </c>
      <c r="AJ889" s="8"/>
      <c r="AK889" s="8"/>
      <c r="AL889" s="8"/>
      <c r="AN889" s="8">
        <f t="shared" si="247"/>
        <v>1</v>
      </c>
      <c r="AO889" s="8">
        <f t="shared" si="248"/>
        <v>3.5422881309691681</v>
      </c>
      <c r="AP889" s="8">
        <f t="shared" si="249"/>
        <v>1.0307380863972044</v>
      </c>
      <c r="AQ889" s="8"/>
      <c r="AR889" s="8">
        <f t="shared" si="250"/>
        <v>202.95815972381794</v>
      </c>
      <c r="AS889" s="8">
        <f t="shared" si="251"/>
        <v>30.943057866049379</v>
      </c>
    </row>
    <row r="890" spans="1:45">
      <c r="A890" s="19">
        <v>36.636600000000001</v>
      </c>
      <c r="B890" s="19">
        <v>646.20096360000002</v>
      </c>
      <c r="C890" s="19">
        <v>492.43219310000001</v>
      </c>
      <c r="E890" s="9">
        <f t="shared" si="237"/>
        <v>-313.79903639999998</v>
      </c>
      <c r="F890" s="9">
        <f t="shared" si="238"/>
        <v>47.567806899999994</v>
      </c>
      <c r="I890">
        <v>1</v>
      </c>
      <c r="J890">
        <f t="shared" si="239"/>
        <v>0.20229942511543886</v>
      </c>
      <c r="K890">
        <f t="shared" si="243"/>
        <v>2.9911511386219991</v>
      </c>
      <c r="O890">
        <f t="shared" si="244"/>
        <v>-0.19865297534400336</v>
      </c>
      <c r="P890">
        <f t="shared" si="245"/>
        <v>3.0113178420435812E-2</v>
      </c>
      <c r="Q890">
        <f t="shared" si="246"/>
        <v>0.97960716201566933</v>
      </c>
      <c r="R890">
        <f t="shared" si="236"/>
        <v>1</v>
      </c>
      <c r="AG890" s="8">
        <f t="shared" si="240"/>
        <v>-0.78994363289829028</v>
      </c>
      <c r="AH890" s="8">
        <f t="shared" si="241"/>
        <v>-0.33404200325031574</v>
      </c>
      <c r="AI890" s="8">
        <f t="shared" si="242"/>
        <v>0.51420326419419704</v>
      </c>
      <c r="AJ890" s="8"/>
      <c r="AK890" s="8"/>
      <c r="AL890" s="8"/>
      <c r="AN890" s="8">
        <f t="shared" si="247"/>
        <v>1</v>
      </c>
      <c r="AO890" s="8">
        <f t="shared" si="248"/>
        <v>3.5416562207154723</v>
      </c>
      <c r="AP890" s="8">
        <f t="shared" si="249"/>
        <v>1.0307178920954496</v>
      </c>
      <c r="AQ890" s="8"/>
      <c r="AR890" s="8">
        <f t="shared" si="250"/>
        <v>202.92195393325011</v>
      </c>
      <c r="AS890" s="8">
        <f t="shared" si="251"/>
        <v>30.944214914310145</v>
      </c>
    </row>
    <row r="891" spans="1:45">
      <c r="A891" s="19">
        <v>36.669966670000001</v>
      </c>
      <c r="B891" s="19">
        <v>645.81905759999995</v>
      </c>
      <c r="C891" s="19">
        <v>492.3191918</v>
      </c>
      <c r="E891" s="9">
        <f t="shared" si="237"/>
        <v>-314.18094240000005</v>
      </c>
      <c r="F891" s="9">
        <f t="shared" si="238"/>
        <v>47.680808200000001</v>
      </c>
      <c r="I891">
        <v>1</v>
      </c>
      <c r="J891">
        <f t="shared" si="239"/>
        <v>0.20254628495116883</v>
      </c>
      <c r="K891">
        <f t="shared" si="243"/>
        <v>2.9909796766541783</v>
      </c>
      <c r="O891">
        <f t="shared" si="244"/>
        <v>-0.19888689112877972</v>
      </c>
      <c r="P891">
        <f t="shared" si="245"/>
        <v>3.0183523026461091E-2</v>
      </c>
      <c r="Q891">
        <f t="shared" si="246"/>
        <v>0.97955753249864808</v>
      </c>
      <c r="R891">
        <f t="shared" si="236"/>
        <v>1</v>
      </c>
      <c r="AG891" s="8">
        <f t="shared" si="240"/>
        <v>-0.79003964812244865</v>
      </c>
      <c r="AH891" s="8">
        <f t="shared" si="241"/>
        <v>-0.33381199093242708</v>
      </c>
      <c r="AI891" s="8">
        <f t="shared" si="242"/>
        <v>0.51420512356868531</v>
      </c>
      <c r="AJ891" s="8"/>
      <c r="AK891" s="8"/>
      <c r="AL891" s="8"/>
      <c r="AN891" s="8">
        <f t="shared" si="247"/>
        <v>1.0000000000000002</v>
      </c>
      <c r="AO891" s="8">
        <f t="shared" si="248"/>
        <v>3.5413656122097246</v>
      </c>
      <c r="AP891" s="8">
        <f t="shared" si="249"/>
        <v>1.0307157241529219</v>
      </c>
      <c r="AQ891" s="8"/>
      <c r="AR891" s="8">
        <f t="shared" si="250"/>
        <v>202.90530329238018</v>
      </c>
      <c r="AS891" s="8">
        <f t="shared" si="251"/>
        <v>30.94433912826721</v>
      </c>
    </row>
    <row r="892" spans="1:45">
      <c r="A892" s="19">
        <v>36.70333333</v>
      </c>
      <c r="B892" s="19">
        <v>645.52314639999997</v>
      </c>
      <c r="C892" s="19">
        <v>492.31933509999999</v>
      </c>
      <c r="E892" s="9">
        <f t="shared" si="237"/>
        <v>-314.47685360000003</v>
      </c>
      <c r="F892" s="9">
        <f t="shared" si="238"/>
        <v>47.680664900000011</v>
      </c>
      <c r="I892">
        <v>1</v>
      </c>
      <c r="J892">
        <f t="shared" si="239"/>
        <v>0.20272931502566771</v>
      </c>
      <c r="K892">
        <f t="shared" si="243"/>
        <v>2.9911197128155198</v>
      </c>
      <c r="O892">
        <f t="shared" si="244"/>
        <v>-0.19906837521153134</v>
      </c>
      <c r="P892">
        <f t="shared" si="245"/>
        <v>3.0182547243116042E-2</v>
      </c>
      <c r="Q892">
        <f t="shared" si="246"/>
        <v>0.97952069699039945</v>
      </c>
      <c r="R892">
        <f t="shared" si="236"/>
        <v>1</v>
      </c>
      <c r="AG892" s="8">
        <f t="shared" si="240"/>
        <v>-0.79013333006033093</v>
      </c>
      <c r="AH892" s="8">
        <f t="shared" si="241"/>
        <v>-0.33365852508607452</v>
      </c>
      <c r="AI892" s="8">
        <f t="shared" si="242"/>
        <v>0.5141607816288184</v>
      </c>
      <c r="AJ892" s="8"/>
      <c r="AK892" s="8"/>
      <c r="AL892" s="8"/>
      <c r="AN892" s="8">
        <f t="shared" si="247"/>
        <v>1</v>
      </c>
      <c r="AO892" s="8">
        <f t="shared" si="248"/>
        <v>3.5411582808285909</v>
      </c>
      <c r="AP892" s="8">
        <f t="shared" si="249"/>
        <v>1.030767423985592</v>
      </c>
      <c r="AQ892" s="8"/>
      <c r="AR892" s="8">
        <f t="shared" si="250"/>
        <v>202.89342407928061</v>
      </c>
      <c r="AS892" s="8">
        <f t="shared" si="251"/>
        <v>30.94137694605368</v>
      </c>
    </row>
    <row r="893" spans="1:45">
      <c r="A893" s="19">
        <v>36.736699999999999</v>
      </c>
      <c r="B893" s="19">
        <v>644.94362439999998</v>
      </c>
      <c r="C893" s="19">
        <v>492.2100451</v>
      </c>
      <c r="E893" s="9">
        <f t="shared" si="237"/>
        <v>-315.05637560000002</v>
      </c>
      <c r="F893" s="9">
        <f t="shared" si="238"/>
        <v>47.789954899999998</v>
      </c>
      <c r="I893">
        <v>1</v>
      </c>
      <c r="J893">
        <f t="shared" si="239"/>
        <v>0.2030980105356999</v>
      </c>
      <c r="K893">
        <f t="shared" si="243"/>
        <v>2.9910532427346426</v>
      </c>
      <c r="O893">
        <f t="shared" si="244"/>
        <v>-0.1994234154490423</v>
      </c>
      <c r="P893">
        <f t="shared" si="245"/>
        <v>3.024993864086626E-2</v>
      </c>
      <c r="Q893">
        <f t="shared" si="246"/>
        <v>0.97944639597216476</v>
      </c>
      <c r="R893">
        <f t="shared" si="236"/>
        <v>1</v>
      </c>
      <c r="AG893" s="8">
        <f t="shared" si="240"/>
        <v>-0.79029255787030295</v>
      </c>
      <c r="AH893" s="8">
        <f t="shared" si="241"/>
        <v>-0.33332704450437689</v>
      </c>
      <c r="AI893" s="8">
        <f t="shared" si="242"/>
        <v>0.5141310673133761</v>
      </c>
      <c r="AJ893" s="8"/>
      <c r="AK893" s="8"/>
      <c r="AL893" s="8"/>
      <c r="AN893" s="8">
        <f t="shared" si="247"/>
        <v>1.0000000000000002</v>
      </c>
      <c r="AO893" s="8">
        <f t="shared" si="248"/>
        <v>3.5407300338599876</v>
      </c>
      <c r="AP893" s="8">
        <f t="shared" si="249"/>
        <v>1.0308020680580674</v>
      </c>
      <c r="AQ893" s="8"/>
      <c r="AR893" s="8">
        <f t="shared" si="250"/>
        <v>202.86888733539035</v>
      </c>
      <c r="AS893" s="8">
        <f t="shared" si="251"/>
        <v>30.939391986915695</v>
      </c>
    </row>
    <row r="894" spans="1:45">
      <c r="A894" s="19">
        <v>36.770066669999999</v>
      </c>
      <c r="B894" s="19">
        <v>643.75</v>
      </c>
      <c r="C894" s="19">
        <v>491.66666670000001</v>
      </c>
      <c r="E894" s="9">
        <f t="shared" si="237"/>
        <v>-316.25</v>
      </c>
      <c r="F894" s="9">
        <f t="shared" si="238"/>
        <v>48.333333299999993</v>
      </c>
      <c r="I894">
        <v>1</v>
      </c>
      <c r="J894">
        <f t="shared" si="239"/>
        <v>0.20388722136659745</v>
      </c>
      <c r="K894">
        <f t="shared" si="243"/>
        <v>2.9899335220231107</v>
      </c>
      <c r="O894">
        <f t="shared" si="244"/>
        <v>-0.2001534739405933</v>
      </c>
      <c r="P894">
        <f t="shared" si="245"/>
        <v>3.0589990726082462E-2</v>
      </c>
      <c r="Q894">
        <f t="shared" si="246"/>
        <v>0.97928690348482161</v>
      </c>
      <c r="R894">
        <f t="shared" si="236"/>
        <v>1</v>
      </c>
      <c r="AG894" s="8">
        <f t="shared" si="240"/>
        <v>-0.79054993429629672</v>
      </c>
      <c r="AH894" s="8">
        <f t="shared" si="241"/>
        <v>-0.33255446842599157</v>
      </c>
      <c r="AI894" s="8">
        <f t="shared" si="242"/>
        <v>0.5142356725413233</v>
      </c>
      <c r="AJ894" s="8"/>
      <c r="AK894" s="8"/>
      <c r="AL894" s="8"/>
      <c r="AN894" s="8">
        <f t="shared" si="247"/>
        <v>1</v>
      </c>
      <c r="AO894" s="8">
        <f t="shared" si="248"/>
        <v>3.5397834091723954</v>
      </c>
      <c r="AP894" s="8">
        <f t="shared" si="249"/>
        <v>1.030680105095219</v>
      </c>
      <c r="AQ894" s="8"/>
      <c r="AR894" s="8">
        <f t="shared" si="250"/>
        <v>202.81464973600845</v>
      </c>
      <c r="AS894" s="8">
        <f t="shared" si="251"/>
        <v>30.946379949943818</v>
      </c>
    </row>
    <row r="895" spans="1:45">
      <c r="A895" s="19">
        <v>36.803433329999997</v>
      </c>
      <c r="B895" s="19">
        <v>643.64539049999996</v>
      </c>
      <c r="C895" s="19">
        <v>491.67792780000002</v>
      </c>
      <c r="E895" s="9">
        <f t="shared" si="237"/>
        <v>-316.35460950000004</v>
      </c>
      <c r="F895" s="9">
        <f t="shared" si="238"/>
        <v>48.32207219999998</v>
      </c>
      <c r="I895">
        <v>1</v>
      </c>
      <c r="J895">
        <f t="shared" si="239"/>
        <v>0.20395082563599806</v>
      </c>
      <c r="K895">
        <f t="shared" si="243"/>
        <v>2.9900176910054497</v>
      </c>
      <c r="O895">
        <f t="shared" si="244"/>
        <v>-0.20021762023300615</v>
      </c>
      <c r="P895">
        <f t="shared" si="245"/>
        <v>3.058254885523173E-2</v>
      </c>
      <c r="Q895">
        <f t="shared" si="246"/>
        <v>0.9792740230669601</v>
      </c>
      <c r="R895">
        <f t="shared" si="236"/>
        <v>1</v>
      </c>
      <c r="AG895" s="8">
        <f t="shared" si="240"/>
        <v>-0.79058544725525814</v>
      </c>
      <c r="AH895" s="8">
        <f t="shared" si="241"/>
        <v>-0.33250338034129817</v>
      </c>
      <c r="AI895" s="8">
        <f t="shared" si="242"/>
        <v>0.51421411167899067</v>
      </c>
      <c r="AJ895" s="8"/>
      <c r="AK895" s="8"/>
      <c r="AL895" s="8"/>
      <c r="AN895" s="8">
        <f t="shared" si="247"/>
        <v>1</v>
      </c>
      <c r="AO895" s="8">
        <f t="shared" si="248"/>
        <v>3.5397124472253791</v>
      </c>
      <c r="AP895" s="8">
        <f t="shared" si="249"/>
        <v>1.0307052444025651</v>
      </c>
      <c r="AQ895" s="8"/>
      <c r="AR895" s="8">
        <f t="shared" si="250"/>
        <v>202.81058391593837</v>
      </c>
      <c r="AS895" s="8">
        <f t="shared" si="251"/>
        <v>30.944939573733002</v>
      </c>
    </row>
    <row r="896" spans="1:45">
      <c r="A896" s="19">
        <v>36.836799999999997</v>
      </c>
      <c r="B896" s="19">
        <v>643.35897020000004</v>
      </c>
      <c r="C896" s="19">
        <v>491.66625620000002</v>
      </c>
      <c r="E896" s="9">
        <f t="shared" si="237"/>
        <v>-316.64102979999996</v>
      </c>
      <c r="F896" s="9">
        <f t="shared" si="238"/>
        <v>48.333743799999979</v>
      </c>
      <c r="I896">
        <v>1</v>
      </c>
      <c r="J896">
        <f t="shared" si="239"/>
        <v>0.20412898232111207</v>
      </c>
      <c r="K896">
        <f t="shared" si="243"/>
        <v>2.990116690232421</v>
      </c>
      <c r="O896">
        <f t="shared" si="244"/>
        <v>-0.20039311022223963</v>
      </c>
      <c r="P896">
        <f t="shared" si="245"/>
        <v>3.0589053019707203E-2</v>
      </c>
      <c r="Q896">
        <f t="shared" si="246"/>
        <v>0.97923792369924834</v>
      </c>
      <c r="R896">
        <f t="shared" si="236"/>
        <v>1</v>
      </c>
      <c r="AG896" s="8">
        <f t="shared" si="240"/>
        <v>-0.79067328704799245</v>
      </c>
      <c r="AH896" s="8">
        <f t="shared" si="241"/>
        <v>-0.33235150320861861</v>
      </c>
      <c r="AI896" s="8">
        <f t="shared" si="242"/>
        <v>0.51417723740330501</v>
      </c>
      <c r="AJ896" s="8"/>
      <c r="AK896" s="8"/>
      <c r="AL896" s="8"/>
      <c r="AN896" s="8">
        <f t="shared" si="247"/>
        <v>1</v>
      </c>
      <c r="AO896" s="8">
        <f t="shared" si="248"/>
        <v>3.5395095131441847</v>
      </c>
      <c r="AP896" s="8">
        <f t="shared" si="249"/>
        <v>1.0307482378043256</v>
      </c>
      <c r="AQ896" s="8"/>
      <c r="AR896" s="8">
        <f t="shared" si="250"/>
        <v>202.79895664956658</v>
      </c>
      <c r="AS896" s="8">
        <f t="shared" si="251"/>
        <v>30.942476233265218</v>
      </c>
    </row>
    <row r="897" spans="1:45">
      <c r="A897" s="19">
        <v>36.870166670000003</v>
      </c>
      <c r="B897" s="19">
        <v>642.70690730000001</v>
      </c>
      <c r="C897" s="19">
        <v>491.66600210000001</v>
      </c>
      <c r="E897" s="9">
        <f t="shared" si="237"/>
        <v>-317.29309269999999</v>
      </c>
      <c r="F897" s="9">
        <f t="shared" si="238"/>
        <v>48.333997899999986</v>
      </c>
      <c r="I897">
        <v>1</v>
      </c>
      <c r="J897">
        <f t="shared" si="239"/>
        <v>0.20453205789417483</v>
      </c>
      <c r="K897">
        <f t="shared" si="243"/>
        <v>2.9904224772471864</v>
      </c>
      <c r="O897">
        <f t="shared" si="244"/>
        <v>-0.2007926437633121</v>
      </c>
      <c r="P897">
        <f t="shared" si="245"/>
        <v>3.0587212407953521E-2</v>
      </c>
      <c r="Q897">
        <f t="shared" si="246"/>
        <v>0.97915613496911225</v>
      </c>
      <c r="R897">
        <f t="shared" si="236"/>
        <v>1</v>
      </c>
      <c r="AG897" s="8">
        <f t="shared" si="240"/>
        <v>-0.79087894996638819</v>
      </c>
      <c r="AH897" s="8">
        <f t="shared" si="241"/>
        <v>-0.33201316568771971</v>
      </c>
      <c r="AI897" s="8">
        <f t="shared" si="242"/>
        <v>0.51407951166145704</v>
      </c>
      <c r="AJ897" s="8"/>
      <c r="AK897" s="8"/>
      <c r="AL897" s="8"/>
      <c r="AN897" s="8">
        <f t="shared" si="247"/>
        <v>1.0000000000000002</v>
      </c>
      <c r="AO897" s="8">
        <f t="shared" si="248"/>
        <v>3.5390529688869821</v>
      </c>
      <c r="AP897" s="8">
        <f t="shared" si="249"/>
        <v>1.0308621753496205</v>
      </c>
      <c r="AQ897" s="8"/>
      <c r="AR897" s="8">
        <f t="shared" si="250"/>
        <v>202.77279859046791</v>
      </c>
      <c r="AS897" s="8">
        <f t="shared" si="251"/>
        <v>30.935948092791733</v>
      </c>
    </row>
    <row r="898" spans="1:45">
      <c r="A898" s="19">
        <v>36.903533330000002</v>
      </c>
      <c r="B898" s="19">
        <v>641.85098919999996</v>
      </c>
      <c r="C898" s="19">
        <v>491.5496622</v>
      </c>
      <c r="E898" s="9">
        <f t="shared" si="237"/>
        <v>-318.14901080000004</v>
      </c>
      <c r="F898" s="9">
        <f t="shared" si="238"/>
        <v>48.4503378</v>
      </c>
      <c r="I898">
        <v>1</v>
      </c>
      <c r="J898">
        <f t="shared" si="239"/>
        <v>0.20507198904154697</v>
      </c>
      <c r="K898">
        <f t="shared" si="243"/>
        <v>2.9904656195754264</v>
      </c>
      <c r="O898">
        <f t="shared" si="244"/>
        <v>-0.2013165849373518</v>
      </c>
      <c r="P898">
        <f t="shared" si="245"/>
        <v>3.0658138840132163E-2</v>
      </c>
      <c r="Q898">
        <f t="shared" si="246"/>
        <v>0.97904632737783215</v>
      </c>
      <c r="R898">
        <f t="shared" si="236"/>
        <v>1</v>
      </c>
      <c r="AG898" s="8">
        <f t="shared" si="240"/>
        <v>-0.79112308312719459</v>
      </c>
      <c r="AH898" s="8">
        <f t="shared" si="241"/>
        <v>-0.33153630930881289</v>
      </c>
      <c r="AI898" s="8">
        <f t="shared" si="242"/>
        <v>0.51401161752747704</v>
      </c>
      <c r="AJ898" s="8"/>
      <c r="AK898" s="8"/>
      <c r="AL898" s="8"/>
      <c r="AN898" s="8">
        <f t="shared" si="247"/>
        <v>1.0000000000000002</v>
      </c>
      <c r="AO898" s="8">
        <f t="shared" si="248"/>
        <v>3.5384302211203198</v>
      </c>
      <c r="AP898" s="8">
        <f t="shared" si="249"/>
        <v>1.0309413279168811</v>
      </c>
      <c r="AQ898" s="8"/>
      <c r="AR898" s="8">
        <f t="shared" si="250"/>
        <v>202.73711777173696</v>
      </c>
      <c r="AS898" s="8">
        <f t="shared" si="251"/>
        <v>30.931412984750082</v>
      </c>
    </row>
    <row r="899" spans="1:45">
      <c r="A899" s="19">
        <v>36.936900000000001</v>
      </c>
      <c r="B899" s="19">
        <v>641.54403769999999</v>
      </c>
      <c r="C899" s="19">
        <v>491.35014990000002</v>
      </c>
      <c r="E899" s="9">
        <f t="shared" si="237"/>
        <v>-318.45596230000001</v>
      </c>
      <c r="F899" s="9">
        <f t="shared" si="238"/>
        <v>48.649850099999981</v>
      </c>
      <c r="I899">
        <v>1</v>
      </c>
      <c r="J899">
        <f t="shared" si="239"/>
        <v>0.20528046472271314</v>
      </c>
      <c r="K899">
        <f t="shared" si="243"/>
        <v>2.9899968140511008</v>
      </c>
      <c r="O899">
        <f t="shared" si="244"/>
        <v>-0.20150395224664611</v>
      </c>
      <c r="P899">
        <f t="shared" si="245"/>
        <v>3.0783336573619813E-2</v>
      </c>
      <c r="Q899">
        <f t="shared" si="246"/>
        <v>0.97900385260650358</v>
      </c>
      <c r="R899">
        <f t="shared" si="236"/>
        <v>1</v>
      </c>
      <c r="AG899" s="8">
        <f t="shared" si="240"/>
        <v>-0.79117576396656319</v>
      </c>
      <c r="AH899" s="8">
        <f t="shared" si="241"/>
        <v>-0.3313207671356746</v>
      </c>
      <c r="AI899" s="8">
        <f t="shared" si="242"/>
        <v>0.51406950870145307</v>
      </c>
      <c r="AJ899" s="8"/>
      <c r="AK899" s="8"/>
      <c r="AL899" s="8"/>
      <c r="AN899" s="8">
        <f t="shared" si="247"/>
        <v>1.0000000000000002</v>
      </c>
      <c r="AO899" s="8">
        <f t="shared" si="248"/>
        <v>3.5381747228402904</v>
      </c>
      <c r="AP899" s="8">
        <f t="shared" si="249"/>
        <v>1.0308738372698856</v>
      </c>
      <c r="AQ899" s="8"/>
      <c r="AR899" s="8">
        <f t="shared" si="250"/>
        <v>202.72247879861843</v>
      </c>
      <c r="AS899" s="8">
        <f t="shared" si="251"/>
        <v>30.935279913979528</v>
      </c>
    </row>
    <row r="900" spans="1:45">
      <c r="A900" s="19">
        <v>36.970266670000001</v>
      </c>
      <c r="B900" s="19">
        <v>641.35108530000002</v>
      </c>
      <c r="C900" s="19">
        <v>491.413882</v>
      </c>
      <c r="E900" s="9">
        <f t="shared" si="237"/>
        <v>-318.64891469999998</v>
      </c>
      <c r="F900" s="9">
        <f t="shared" si="238"/>
        <v>48.586117999999999</v>
      </c>
      <c r="I900">
        <v>1</v>
      </c>
      <c r="J900">
        <f t="shared" si="239"/>
        <v>0.20539367515697654</v>
      </c>
      <c r="K900">
        <f t="shared" si="243"/>
        <v>2.99028266879291</v>
      </c>
      <c r="O900">
        <f t="shared" si="244"/>
        <v>-0.20162230940507192</v>
      </c>
      <c r="P900">
        <f t="shared" si="245"/>
        <v>3.0742440549060286E-2</v>
      </c>
      <c r="Q900">
        <f t="shared" si="246"/>
        <v>0.97898076932044631</v>
      </c>
      <c r="R900">
        <f t="shared" si="236"/>
        <v>1</v>
      </c>
      <c r="AG900" s="8">
        <f t="shared" si="240"/>
        <v>-0.79125058075632682</v>
      </c>
      <c r="AH900" s="8">
        <f t="shared" si="241"/>
        <v>-0.33123865595202207</v>
      </c>
      <c r="AI900" s="8">
        <f t="shared" si="242"/>
        <v>0.51400726770725103</v>
      </c>
      <c r="AJ900" s="8"/>
      <c r="AK900" s="8"/>
      <c r="AL900" s="8"/>
      <c r="AN900" s="8">
        <f t="shared" si="247"/>
        <v>1</v>
      </c>
      <c r="AO900" s="8">
        <f t="shared" si="248"/>
        <v>3.538052737163166</v>
      </c>
      <c r="AP900" s="8">
        <f t="shared" si="249"/>
        <v>1.0309463989109298</v>
      </c>
      <c r="AQ900" s="8"/>
      <c r="AR900" s="8">
        <f t="shared" si="250"/>
        <v>202.71548953415817</v>
      </c>
      <c r="AS900" s="8">
        <f t="shared" si="251"/>
        <v>30.931122438193157</v>
      </c>
    </row>
    <row r="901" spans="1:45">
      <c r="A901" s="19">
        <v>37.00363333</v>
      </c>
      <c r="B901" s="19">
        <v>640.71418400000005</v>
      </c>
      <c r="C901" s="19">
        <v>491.12981550000001</v>
      </c>
      <c r="E901" s="9">
        <f t="shared" si="237"/>
        <v>-319.28581599999995</v>
      </c>
      <c r="F901" s="9">
        <f t="shared" si="238"/>
        <v>48.870184499999993</v>
      </c>
      <c r="I901">
        <v>1</v>
      </c>
      <c r="J901">
        <f t="shared" si="239"/>
        <v>0.20581396305109567</v>
      </c>
      <c r="K901">
        <f t="shared" si="243"/>
        <v>2.9897104822224598</v>
      </c>
      <c r="O901">
        <f t="shared" si="244"/>
        <v>-0.20201138530544946</v>
      </c>
      <c r="P901">
        <f t="shared" si="245"/>
        <v>3.092005086432624E-2</v>
      </c>
      <c r="Q901">
        <f t="shared" si="246"/>
        <v>0.97889496405974052</v>
      </c>
      <c r="R901">
        <f t="shared" si="236"/>
        <v>1</v>
      </c>
      <c r="AG901" s="8">
        <f t="shared" si="240"/>
        <v>-0.7913883702218536</v>
      </c>
      <c r="AH901" s="8">
        <f t="shared" si="241"/>
        <v>-0.33082808537952862</v>
      </c>
      <c r="AI901" s="8">
        <f t="shared" si="242"/>
        <v>0.5140595543336528</v>
      </c>
      <c r="AJ901" s="8"/>
      <c r="AK901" s="8"/>
      <c r="AL901" s="8"/>
      <c r="AN901" s="8">
        <f t="shared" si="247"/>
        <v>1</v>
      </c>
      <c r="AO901" s="8">
        <f t="shared" si="248"/>
        <v>3.5375491754623587</v>
      </c>
      <c r="AP901" s="8">
        <f t="shared" si="249"/>
        <v>1.0308854424581639</v>
      </c>
      <c r="AQ901" s="8"/>
      <c r="AR901" s="8">
        <f t="shared" si="250"/>
        <v>202.68663757397746</v>
      </c>
      <c r="AS901" s="8">
        <f t="shared" si="251"/>
        <v>30.934614985670727</v>
      </c>
    </row>
    <row r="902" spans="1:45">
      <c r="A902" s="19">
        <v>37.036999999999999</v>
      </c>
      <c r="B902" s="19">
        <v>639.97101280000004</v>
      </c>
      <c r="C902" s="19">
        <v>490.73867680000001</v>
      </c>
      <c r="E902" s="9">
        <f t="shared" si="237"/>
        <v>-320.02898719999996</v>
      </c>
      <c r="F902" s="9">
        <f t="shared" si="238"/>
        <v>49.261323199999993</v>
      </c>
      <c r="I902">
        <v>1</v>
      </c>
      <c r="J902">
        <f t="shared" si="239"/>
        <v>0.20631004677553599</v>
      </c>
      <c r="K902">
        <f t="shared" si="243"/>
        <v>2.9888636738195951</v>
      </c>
      <c r="O902">
        <f t="shared" si="244"/>
        <v>-0.20246506575797554</v>
      </c>
      <c r="P902">
        <f t="shared" si="245"/>
        <v>3.1164980173436302E-2</v>
      </c>
      <c r="Q902">
        <f t="shared" si="246"/>
        <v>0.97879346195119632</v>
      </c>
      <c r="R902">
        <f t="shared" si="236"/>
        <v>1</v>
      </c>
      <c r="AG902" s="8">
        <f t="shared" si="240"/>
        <v>-0.79153575964991785</v>
      </c>
      <c r="AH902" s="8">
        <f t="shared" si="241"/>
        <v>-0.3303321670667082</v>
      </c>
      <c r="AI902" s="8">
        <f t="shared" si="242"/>
        <v>0.51415153466311858</v>
      </c>
      <c r="AJ902" s="8"/>
      <c r="AK902" s="8"/>
      <c r="AL902" s="8"/>
      <c r="AN902" s="8">
        <f t="shared" si="247"/>
        <v>1.0000000000000002</v>
      </c>
      <c r="AO902" s="8">
        <f t="shared" si="248"/>
        <v>3.5369494374147621</v>
      </c>
      <c r="AP902" s="8">
        <f t="shared" si="249"/>
        <v>1.0307782051473446</v>
      </c>
      <c r="AQ902" s="8"/>
      <c r="AR902" s="8">
        <f t="shared" si="250"/>
        <v>202.65227511503679</v>
      </c>
      <c r="AS902" s="8">
        <f t="shared" si="251"/>
        <v>30.940759230987005</v>
      </c>
    </row>
    <row r="903" spans="1:45">
      <c r="A903" s="19">
        <v>37.070366669999999</v>
      </c>
      <c r="B903" s="19">
        <v>639.64446350000003</v>
      </c>
      <c r="C903" s="19">
        <v>490.67566670000002</v>
      </c>
      <c r="E903" s="9">
        <f t="shared" si="237"/>
        <v>-320.35553649999997</v>
      </c>
      <c r="F903" s="9">
        <f t="shared" si="238"/>
        <v>49.324333299999978</v>
      </c>
      <c r="I903">
        <v>1</v>
      </c>
      <c r="J903">
        <f t="shared" si="239"/>
        <v>0.20651768223698505</v>
      </c>
      <c r="K903">
        <f t="shared" si="243"/>
        <v>2.9888248105750796</v>
      </c>
      <c r="O903">
        <f t="shared" si="244"/>
        <v>-0.20266471538946565</v>
      </c>
      <c r="P903">
        <f t="shared" si="245"/>
        <v>3.1203774653726521E-2</v>
      </c>
      <c r="Q903">
        <f t="shared" si="246"/>
        <v>0.97875090681105703</v>
      </c>
      <c r="R903">
        <f t="shared" si="236"/>
        <v>1</v>
      </c>
      <c r="AG903" s="8">
        <f t="shared" si="240"/>
        <v>-0.79162447736141406</v>
      </c>
      <c r="AH903" s="8">
        <f t="shared" si="241"/>
        <v>-0.33014498428678857</v>
      </c>
      <c r="AI903" s="8">
        <f t="shared" si="242"/>
        <v>0.51413517307469292</v>
      </c>
      <c r="AJ903" s="8"/>
      <c r="AK903" s="8"/>
      <c r="AL903" s="8"/>
      <c r="AN903" s="8">
        <f t="shared" si="247"/>
        <v>1.0000000000000004</v>
      </c>
      <c r="AO903" s="8">
        <f t="shared" si="248"/>
        <v>3.5367081996188583</v>
      </c>
      <c r="AP903" s="8">
        <f t="shared" si="249"/>
        <v>1.0307972811727688</v>
      </c>
      <c r="AQ903" s="8"/>
      <c r="AR903" s="8">
        <f t="shared" si="250"/>
        <v>202.63845320747245</v>
      </c>
      <c r="AS903" s="8">
        <f t="shared" si="251"/>
        <v>30.939666255240311</v>
      </c>
    </row>
    <row r="904" spans="1:45">
      <c r="A904" s="19">
        <v>37.103733329999997</v>
      </c>
      <c r="B904" s="19">
        <v>638.99500639999997</v>
      </c>
      <c r="C904" s="19">
        <v>490.60406649999999</v>
      </c>
      <c r="E904" s="9">
        <f t="shared" si="237"/>
        <v>-321.00499360000003</v>
      </c>
      <c r="F904" s="9">
        <f t="shared" si="238"/>
        <v>49.395933500000012</v>
      </c>
      <c r="I904">
        <v>1</v>
      </c>
      <c r="J904">
        <f t="shared" si="239"/>
        <v>0.20692548456748083</v>
      </c>
      <c r="K904">
        <f t="shared" si="243"/>
        <v>2.9889112201154266</v>
      </c>
      <c r="O904">
        <f t="shared" si="244"/>
        <v>-0.20306188774116965</v>
      </c>
      <c r="P904">
        <f t="shared" si="245"/>
        <v>3.1246964076035787E-2</v>
      </c>
      <c r="Q904">
        <f t="shared" si="246"/>
        <v>0.97866720440761856</v>
      </c>
      <c r="R904">
        <f t="shared" si="236"/>
        <v>1</v>
      </c>
      <c r="AG904" s="8">
        <f t="shared" si="240"/>
        <v>-0.79181266095289249</v>
      </c>
      <c r="AH904" s="8">
        <f t="shared" si="241"/>
        <v>-0.32978786726975728</v>
      </c>
      <c r="AI904" s="8">
        <f t="shared" si="242"/>
        <v>0.51407457878829677</v>
      </c>
      <c r="AJ904" s="8"/>
      <c r="AK904" s="8"/>
      <c r="AL904" s="8"/>
      <c r="AN904" s="8">
        <f t="shared" si="247"/>
        <v>1</v>
      </c>
      <c r="AO904" s="8">
        <f t="shared" si="248"/>
        <v>3.5362394864935549</v>
      </c>
      <c r="AP904" s="8">
        <f t="shared" si="249"/>
        <v>1.0308679263348632</v>
      </c>
      <c r="AQ904" s="8"/>
      <c r="AR904" s="8">
        <f t="shared" si="250"/>
        <v>202.61159792359018</v>
      </c>
      <c r="AS904" s="8">
        <f t="shared" si="251"/>
        <v>30.935618585609284</v>
      </c>
    </row>
    <row r="905" spans="1:45">
      <c r="A905" s="19">
        <v>37.137099999999997</v>
      </c>
      <c r="B905" s="19">
        <v>638.70561450000002</v>
      </c>
      <c r="C905" s="19">
        <v>490.6342866</v>
      </c>
      <c r="E905" s="9">
        <f t="shared" si="237"/>
        <v>-321.29438549999998</v>
      </c>
      <c r="F905" s="9">
        <f t="shared" si="238"/>
        <v>49.365713400000004</v>
      </c>
      <c r="I905">
        <v>1</v>
      </c>
      <c r="J905">
        <f t="shared" si="239"/>
        <v>0.20710128122693586</v>
      </c>
      <c r="K905">
        <f t="shared" si="243"/>
        <v>2.9891385036259415</v>
      </c>
      <c r="O905">
        <f t="shared" si="244"/>
        <v>-0.20323903219739256</v>
      </c>
      <c r="P905">
        <f t="shared" si="245"/>
        <v>3.1226937873615124E-2</v>
      </c>
      <c r="Q905">
        <f t="shared" si="246"/>
        <v>0.97863107151904016</v>
      </c>
      <c r="R905">
        <f t="shared" si="236"/>
        <v>1</v>
      </c>
      <c r="AG905" s="8">
        <f t="shared" si="240"/>
        <v>-0.7919101770603113</v>
      </c>
      <c r="AH905" s="8">
        <f t="shared" si="241"/>
        <v>-0.32964627130081958</v>
      </c>
      <c r="AI905" s="8">
        <f t="shared" si="242"/>
        <v>0.5140151819603902</v>
      </c>
      <c r="AJ905" s="8"/>
      <c r="AK905" s="8"/>
      <c r="AL905" s="8"/>
      <c r="AN905" s="8">
        <f t="shared" si="247"/>
        <v>1.0000000000000002</v>
      </c>
      <c r="AO905" s="8">
        <f t="shared" si="248"/>
        <v>3.5360433932964423</v>
      </c>
      <c r="AP905" s="8">
        <f t="shared" si="249"/>
        <v>1.0309371725111132</v>
      </c>
      <c r="AQ905" s="8"/>
      <c r="AR905" s="8">
        <f t="shared" si="250"/>
        <v>202.60036261100441</v>
      </c>
      <c r="AS905" s="8">
        <f t="shared" si="251"/>
        <v>30.931651071962747</v>
      </c>
    </row>
    <row r="906" spans="1:45">
      <c r="A906" s="19">
        <v>37.170466670000003</v>
      </c>
      <c r="B906" s="19">
        <v>638.06952090000004</v>
      </c>
      <c r="C906" s="19">
        <v>490.61769800000002</v>
      </c>
      <c r="E906" s="9">
        <f t="shared" si="237"/>
        <v>-321.93047909999996</v>
      </c>
      <c r="F906" s="9">
        <f t="shared" si="238"/>
        <v>49.382301999999981</v>
      </c>
      <c r="I906">
        <v>1</v>
      </c>
      <c r="J906">
        <f t="shared" si="239"/>
        <v>0.20749553857939815</v>
      </c>
      <c r="K906">
        <f t="shared" si="243"/>
        <v>2.9893847569195997</v>
      </c>
      <c r="O906">
        <f t="shared" si="244"/>
        <v>-0.20362807174465111</v>
      </c>
      <c r="P906">
        <f t="shared" si="245"/>
        <v>3.1235386480596341E-2</v>
      </c>
      <c r="Q906">
        <f t="shared" si="246"/>
        <v>0.97854992669202268</v>
      </c>
      <c r="R906">
        <f t="shared" si="236"/>
        <v>1</v>
      </c>
      <c r="AG906" s="8">
        <f t="shared" si="240"/>
        <v>-0.79210608253912873</v>
      </c>
      <c r="AH906" s="8">
        <f t="shared" si="241"/>
        <v>-0.32931160884093041</v>
      </c>
      <c r="AI906" s="8">
        <f t="shared" si="242"/>
        <v>0.51392783373457518</v>
      </c>
      <c r="AJ906" s="8"/>
      <c r="AK906" s="8"/>
      <c r="AL906" s="8"/>
      <c r="AN906" s="8">
        <f t="shared" si="247"/>
        <v>1</v>
      </c>
      <c r="AO906" s="8">
        <f t="shared" si="248"/>
        <v>3.5355954628537063</v>
      </c>
      <c r="AP906" s="8">
        <f t="shared" si="249"/>
        <v>1.0310389998449838</v>
      </c>
      <c r="AQ906" s="8"/>
      <c r="AR906" s="8">
        <f t="shared" si="250"/>
        <v>202.5746980871202</v>
      </c>
      <c r="AS906" s="8">
        <f t="shared" si="251"/>
        <v>30.925816795492885</v>
      </c>
    </row>
    <row r="907" spans="1:45">
      <c r="A907" s="19">
        <v>37.203833330000002</v>
      </c>
      <c r="B907" s="19">
        <v>637.58888239999999</v>
      </c>
      <c r="C907" s="19">
        <v>490.57454389999998</v>
      </c>
      <c r="E907" s="9">
        <f t="shared" si="237"/>
        <v>-322.41111760000001</v>
      </c>
      <c r="F907" s="9">
        <f t="shared" si="238"/>
        <v>49.425456100000019</v>
      </c>
      <c r="I907">
        <v>1</v>
      </c>
      <c r="J907">
        <f t="shared" si="239"/>
        <v>0.20779630902416288</v>
      </c>
      <c r="K907">
        <f t="shared" si="243"/>
        <v>2.9894774047518937</v>
      </c>
      <c r="O907">
        <f t="shared" si="244"/>
        <v>-0.20392187587454938</v>
      </c>
      <c r="P907">
        <f t="shared" si="245"/>
        <v>3.1261117168954591E-2</v>
      </c>
      <c r="Q907">
        <f t="shared" si="246"/>
        <v>0.97848792077018187</v>
      </c>
      <c r="R907">
        <f t="shared" si="236"/>
        <v>1</v>
      </c>
      <c r="AG907" s="8">
        <f t="shared" si="240"/>
        <v>-0.7922472492666256</v>
      </c>
      <c r="AH907" s="8">
        <f t="shared" si="241"/>
        <v>-0.32905009349824793</v>
      </c>
      <c r="AI907" s="8">
        <f t="shared" si="242"/>
        <v>0.51387774032181965</v>
      </c>
      <c r="AJ907" s="8"/>
      <c r="AK907" s="8"/>
      <c r="AL907" s="8"/>
      <c r="AN907" s="8">
        <f t="shared" si="247"/>
        <v>1</v>
      </c>
      <c r="AO907" s="8">
        <f t="shared" si="248"/>
        <v>3.5352508040845758</v>
      </c>
      <c r="AP907" s="8">
        <f t="shared" si="249"/>
        <v>1.0310973940917214</v>
      </c>
      <c r="AQ907" s="8"/>
      <c r="AR907" s="8">
        <f t="shared" si="250"/>
        <v>202.55495059427685</v>
      </c>
      <c r="AS907" s="8">
        <f t="shared" si="251"/>
        <v>30.922471051606976</v>
      </c>
    </row>
    <row r="908" spans="1:45">
      <c r="A908" s="19">
        <v>37.237200000000001</v>
      </c>
      <c r="B908" s="19">
        <v>636.95297870000002</v>
      </c>
      <c r="C908" s="19">
        <v>490.37312050000003</v>
      </c>
      <c r="E908" s="9">
        <f t="shared" si="237"/>
        <v>-323.04702129999998</v>
      </c>
      <c r="F908" s="9">
        <f t="shared" si="238"/>
        <v>49.626879499999973</v>
      </c>
      <c r="I908">
        <v>1</v>
      </c>
      <c r="J908">
        <f t="shared" si="239"/>
        <v>0.20820785369324035</v>
      </c>
      <c r="K908">
        <f t="shared" si="243"/>
        <v>2.9891630597237371</v>
      </c>
      <c r="O908">
        <f t="shared" si="244"/>
        <v>-0.20431004405786773</v>
      </c>
      <c r="P908">
        <f t="shared" si="245"/>
        <v>3.138635947267749E-2</v>
      </c>
      <c r="Q908">
        <f t="shared" si="246"/>
        <v>0.97840293455003702</v>
      </c>
      <c r="R908">
        <f t="shared" si="236"/>
        <v>1</v>
      </c>
      <c r="AG908" s="8">
        <f t="shared" si="240"/>
        <v>-0.79240201774085162</v>
      </c>
      <c r="AH908" s="8">
        <f t="shared" si="241"/>
        <v>-0.32866337497175824</v>
      </c>
      <c r="AI908" s="8">
        <f t="shared" si="242"/>
        <v>0.51388659082758781</v>
      </c>
      <c r="AJ908" s="8"/>
      <c r="AK908" s="8"/>
      <c r="AL908" s="8"/>
      <c r="AN908" s="8">
        <f t="shared" si="247"/>
        <v>1.0000000000000002</v>
      </c>
      <c r="AO908" s="8">
        <f t="shared" si="248"/>
        <v>3.5347652882703215</v>
      </c>
      <c r="AP908" s="8">
        <f t="shared" si="249"/>
        <v>1.0310870771429086</v>
      </c>
      <c r="AQ908" s="8"/>
      <c r="AR908" s="8">
        <f t="shared" si="250"/>
        <v>202.52713258723321</v>
      </c>
      <c r="AS908" s="8">
        <f t="shared" si="251"/>
        <v>30.923062169231407</v>
      </c>
    </row>
    <row r="909" spans="1:45">
      <c r="A909" s="19">
        <v>37.270566670000001</v>
      </c>
      <c r="B909" s="19">
        <v>636.33601680000004</v>
      </c>
      <c r="C909" s="19">
        <v>490.42047280000003</v>
      </c>
      <c r="E909" s="9">
        <f t="shared" si="237"/>
        <v>-323.66398319999996</v>
      </c>
      <c r="F909" s="9">
        <f t="shared" si="238"/>
        <v>49.579527199999973</v>
      </c>
      <c r="I909">
        <v>1</v>
      </c>
      <c r="J909">
        <f t="shared" si="239"/>
        <v>0.20858409457716395</v>
      </c>
      <c r="K909">
        <f t="shared" si="243"/>
        <v>2.9895920942001246</v>
      </c>
      <c r="O909">
        <f t="shared" si="244"/>
        <v>-0.2046873474819528</v>
      </c>
      <c r="P909">
        <f t="shared" si="245"/>
        <v>3.1354436819454379E-2</v>
      </c>
      <c r="Q909">
        <f t="shared" si="246"/>
        <v>0.9783250937559238</v>
      </c>
      <c r="R909">
        <f t="shared" si="236"/>
        <v>1</v>
      </c>
      <c r="AG909" s="8">
        <f t="shared" si="240"/>
        <v>-0.79260563075569446</v>
      </c>
      <c r="AH909" s="8">
        <f t="shared" si="241"/>
        <v>-0.32835667738524432</v>
      </c>
      <c r="AI909" s="8">
        <f t="shared" si="242"/>
        <v>0.51376863130293426</v>
      </c>
      <c r="AJ909" s="8"/>
      <c r="AK909" s="8"/>
      <c r="AL909" s="8"/>
      <c r="AN909" s="8">
        <f t="shared" si="247"/>
        <v>1</v>
      </c>
      <c r="AO909" s="8">
        <f t="shared" si="248"/>
        <v>3.5343441525883708</v>
      </c>
      <c r="AP909" s="8">
        <f t="shared" si="249"/>
        <v>1.0312245761804406</v>
      </c>
      <c r="AQ909" s="8"/>
      <c r="AR909" s="8">
        <f t="shared" si="250"/>
        <v>202.50300329005509</v>
      </c>
      <c r="AS909" s="8">
        <f t="shared" si="251"/>
        <v>30.915184054693711</v>
      </c>
    </row>
    <row r="910" spans="1:45">
      <c r="A910" s="19">
        <v>37.30393333</v>
      </c>
      <c r="B910" s="19">
        <v>635.82803950000005</v>
      </c>
      <c r="C910" s="19">
        <v>490.10295939999997</v>
      </c>
      <c r="E910" s="9">
        <f t="shared" si="237"/>
        <v>-324.17196049999995</v>
      </c>
      <c r="F910" s="9">
        <f t="shared" si="238"/>
        <v>49.897040600000025</v>
      </c>
      <c r="I910">
        <v>1</v>
      </c>
      <c r="J910">
        <f t="shared" si="239"/>
        <v>0.2089275959044776</v>
      </c>
      <c r="K910">
        <f t="shared" si="243"/>
        <v>2.9888697033534064</v>
      </c>
      <c r="O910">
        <f t="shared" si="244"/>
        <v>-0.20499677628170893</v>
      </c>
      <c r="P910">
        <f t="shared" si="245"/>
        <v>3.1553415209695686E-2</v>
      </c>
      <c r="Q910">
        <f t="shared" si="246"/>
        <v>0.97825390553920688</v>
      </c>
      <c r="R910">
        <f t="shared" si="236"/>
        <v>1</v>
      </c>
      <c r="AG910" s="8">
        <f t="shared" si="240"/>
        <v>-0.79269444489018992</v>
      </c>
      <c r="AH910" s="8">
        <f t="shared" si="241"/>
        <v>-0.32800357337768071</v>
      </c>
      <c r="AI910" s="8">
        <f t="shared" si="242"/>
        <v>0.51385715222394845</v>
      </c>
      <c r="AJ910" s="8"/>
      <c r="AK910" s="8"/>
      <c r="AL910" s="8"/>
      <c r="AN910" s="8">
        <f t="shared" si="247"/>
        <v>1</v>
      </c>
      <c r="AO910" s="8">
        <f t="shared" si="248"/>
        <v>3.5339242660426211</v>
      </c>
      <c r="AP910" s="8">
        <f t="shared" si="249"/>
        <v>1.0311213931912506</v>
      </c>
      <c r="AQ910" s="8"/>
      <c r="AR910" s="8">
        <f t="shared" si="250"/>
        <v>202.47894556310931</v>
      </c>
      <c r="AS910" s="8">
        <f t="shared" si="251"/>
        <v>30.921096004491837</v>
      </c>
    </row>
    <row r="911" spans="1:45">
      <c r="A911" s="19">
        <v>37.337299999999999</v>
      </c>
      <c r="B911" s="19">
        <v>635.11324530000002</v>
      </c>
      <c r="C911" s="19">
        <v>489.92538039999999</v>
      </c>
      <c r="E911" s="9">
        <f t="shared" si="237"/>
        <v>-324.88675469999998</v>
      </c>
      <c r="F911" s="9">
        <f t="shared" si="238"/>
        <v>50.074619600000005</v>
      </c>
      <c r="I911">
        <v>1</v>
      </c>
      <c r="J911">
        <f t="shared" si="239"/>
        <v>0.20938539444191911</v>
      </c>
      <c r="K911">
        <f t="shared" si="243"/>
        <v>2.9886665826544321</v>
      </c>
      <c r="O911">
        <f t="shared" si="244"/>
        <v>-0.2054329580932534</v>
      </c>
      <c r="P911">
        <f t="shared" si="245"/>
        <v>3.1663270604310741E-2</v>
      </c>
      <c r="Q911">
        <f t="shared" si="246"/>
        <v>0.97815885060847541</v>
      </c>
      <c r="R911">
        <f t="shared" si="236"/>
        <v>1</v>
      </c>
      <c r="AG911" s="8">
        <f t="shared" si="240"/>
        <v>-0.79287869134462408</v>
      </c>
      <c r="AH911" s="8">
        <f t="shared" si="241"/>
        <v>-0.32758266586779672</v>
      </c>
      <c r="AI911" s="8">
        <f t="shared" si="242"/>
        <v>0.51384139365623693</v>
      </c>
      <c r="AJ911" s="8"/>
      <c r="AK911" s="8"/>
      <c r="AL911" s="8"/>
      <c r="AN911" s="8">
        <f t="shared" si="247"/>
        <v>1</v>
      </c>
      <c r="AO911" s="8">
        <f t="shared" si="248"/>
        <v>3.5333887951814109</v>
      </c>
      <c r="AP911" s="8">
        <f t="shared" si="249"/>
        <v>1.0311397623790421</v>
      </c>
      <c r="AQ911" s="8"/>
      <c r="AR911" s="8">
        <f t="shared" si="250"/>
        <v>202.4482653427097</v>
      </c>
      <c r="AS911" s="8">
        <f t="shared" si="251"/>
        <v>30.920043527558299</v>
      </c>
    </row>
    <row r="912" spans="1:45">
      <c r="A912" s="19">
        <v>37.370666669999999</v>
      </c>
      <c r="B912" s="19">
        <v>634.55552560000001</v>
      </c>
      <c r="C912" s="19">
        <v>489.89193269999998</v>
      </c>
      <c r="E912" s="9">
        <f t="shared" si="237"/>
        <v>-325.44447439999999</v>
      </c>
      <c r="F912" s="9">
        <f t="shared" si="238"/>
        <v>50.108067300000016</v>
      </c>
      <c r="I912">
        <v>1</v>
      </c>
      <c r="J912">
        <f t="shared" si="239"/>
        <v>0.20973255217614845</v>
      </c>
      <c r="K912">
        <f t="shared" si="243"/>
        <v>2.9888242010254324</v>
      </c>
      <c r="O912">
        <f t="shared" si="244"/>
        <v>-0.20577355443965545</v>
      </c>
      <c r="P912">
        <f t="shared" si="245"/>
        <v>3.1682563157454158E-2</v>
      </c>
      <c r="Q912">
        <f t="shared" si="246"/>
        <v>0.97808663189159484</v>
      </c>
      <c r="R912">
        <f t="shared" si="236"/>
        <v>1</v>
      </c>
      <c r="AG912" s="8">
        <f t="shared" si="240"/>
        <v>-0.79304553258481825</v>
      </c>
      <c r="AH912" s="8">
        <f t="shared" si="241"/>
        <v>-0.3272839095552037</v>
      </c>
      <c r="AI912" s="8">
        <f t="shared" si="242"/>
        <v>0.51377429460174762</v>
      </c>
      <c r="AJ912" s="8"/>
      <c r="AK912" s="8"/>
      <c r="AL912" s="8"/>
      <c r="AN912" s="8">
        <f t="shared" si="247"/>
        <v>1.0000000000000002</v>
      </c>
      <c r="AO912" s="8">
        <f t="shared" si="248"/>
        <v>3.5329926929709385</v>
      </c>
      <c r="AP912" s="8">
        <f t="shared" si="249"/>
        <v>1.0312179750380945</v>
      </c>
      <c r="AQ912" s="8"/>
      <c r="AR912" s="8">
        <f t="shared" si="250"/>
        <v>202.42557035779384</v>
      </c>
      <c r="AS912" s="8">
        <f t="shared" si="251"/>
        <v>30.915562272290103</v>
      </c>
    </row>
    <row r="913" spans="1:45">
      <c r="A913" s="19">
        <v>37.404033329999997</v>
      </c>
      <c r="B913" s="19">
        <v>634.16666669999995</v>
      </c>
      <c r="C913" s="19">
        <v>489.16666670000001</v>
      </c>
      <c r="E913" s="9">
        <f t="shared" si="237"/>
        <v>-325.83333330000005</v>
      </c>
      <c r="F913" s="9">
        <f t="shared" si="238"/>
        <v>50.833333299999993</v>
      </c>
      <c r="I913">
        <v>1</v>
      </c>
      <c r="J913">
        <f t="shared" si="239"/>
        <v>0.21004163182281102</v>
      </c>
      <c r="K913">
        <f t="shared" si="243"/>
        <v>2.9868299758794405</v>
      </c>
      <c r="O913">
        <f t="shared" si="244"/>
        <v>-0.20600864685692555</v>
      </c>
      <c r="P913">
        <f t="shared" si="245"/>
        <v>3.2139456397231932E-2</v>
      </c>
      <c r="Q913">
        <f t="shared" si="246"/>
        <v>0.97802223531097132</v>
      </c>
      <c r="R913">
        <f t="shared" si="236"/>
        <v>1</v>
      </c>
      <c r="AG913" s="8">
        <f t="shared" si="240"/>
        <v>-0.79300664623210093</v>
      </c>
      <c r="AH913" s="8">
        <f t="shared" si="241"/>
        <v>-0.32687754430996274</v>
      </c>
      <c r="AI913" s="8">
        <f t="shared" si="242"/>
        <v>0.51409291967270276</v>
      </c>
      <c r="AJ913" s="8"/>
      <c r="AK913" s="8"/>
      <c r="AL913" s="8"/>
      <c r="AN913" s="8">
        <f t="shared" si="247"/>
        <v>1.0000000000000002</v>
      </c>
      <c r="AO913" s="8">
        <f t="shared" si="248"/>
        <v>3.532572050266543</v>
      </c>
      <c r="AP913" s="8">
        <f t="shared" si="249"/>
        <v>1.0308465435329461</v>
      </c>
      <c r="AQ913" s="8"/>
      <c r="AR913" s="8">
        <f t="shared" si="250"/>
        <v>202.40146930614901</v>
      </c>
      <c r="AS913" s="8">
        <f t="shared" si="251"/>
        <v>30.936843729913299</v>
      </c>
    </row>
    <row r="914" spans="1:45">
      <c r="A914" s="19">
        <v>37.437399999999997</v>
      </c>
      <c r="B914" s="19">
        <v>633.66666669999995</v>
      </c>
      <c r="C914" s="19">
        <v>489.33333329999999</v>
      </c>
      <c r="E914" s="9">
        <f t="shared" si="237"/>
        <v>-326.33333330000005</v>
      </c>
      <c r="F914" s="9">
        <f t="shared" si="238"/>
        <v>50.666666700000007</v>
      </c>
      <c r="I914">
        <v>1</v>
      </c>
      <c r="J914">
        <f t="shared" si="239"/>
        <v>0.21033387371806153</v>
      </c>
      <c r="K914">
        <f t="shared" si="243"/>
        <v>2.9875620044936428</v>
      </c>
      <c r="O914">
        <f t="shared" si="244"/>
        <v>-0.20631454503612207</v>
      </c>
      <c r="P914">
        <f t="shared" si="245"/>
        <v>3.2032493227094234E-2</v>
      </c>
      <c r="Q914">
        <f t="shared" si="246"/>
        <v>0.97796126093224889</v>
      </c>
      <c r="R914">
        <f t="shared" si="236"/>
        <v>1</v>
      </c>
      <c r="AG914" s="8">
        <f t="shared" si="240"/>
        <v>-0.79319952486457657</v>
      </c>
      <c r="AH914" s="8">
        <f t="shared" si="241"/>
        <v>-0.32666521070698407</v>
      </c>
      <c r="AI914" s="8">
        <f t="shared" si="242"/>
        <v>0.51393030059374001</v>
      </c>
      <c r="AJ914" s="8"/>
      <c r="AK914" s="8"/>
      <c r="AL914" s="8"/>
      <c r="AN914" s="8">
        <f t="shared" si="247"/>
        <v>1.0000000000000004</v>
      </c>
      <c r="AO914" s="8">
        <f t="shared" si="248"/>
        <v>3.5322575189327305</v>
      </c>
      <c r="AP914" s="8">
        <f t="shared" si="249"/>
        <v>1.0310361241569734</v>
      </c>
      <c r="AQ914" s="8"/>
      <c r="AR914" s="8">
        <f t="shared" si="250"/>
        <v>202.38344798819693</v>
      </c>
      <c r="AS914" s="8">
        <f t="shared" si="251"/>
        <v>30.925981560279077</v>
      </c>
    </row>
    <row r="915" spans="1:45">
      <c r="A915" s="19">
        <v>37.470766670000003</v>
      </c>
      <c r="B915" s="19">
        <v>633.19162830000005</v>
      </c>
      <c r="C915" s="19">
        <v>489.3062888</v>
      </c>
      <c r="E915" s="9">
        <f t="shared" si="237"/>
        <v>-326.80837169999995</v>
      </c>
      <c r="F915" s="9">
        <f t="shared" si="238"/>
        <v>50.693711199999996</v>
      </c>
      <c r="I915">
        <v>1</v>
      </c>
      <c r="J915">
        <f t="shared" si="239"/>
        <v>0.21062929230280897</v>
      </c>
      <c r="K915">
        <f t="shared" si="243"/>
        <v>2.9877015715738233</v>
      </c>
      <c r="O915">
        <f t="shared" si="244"/>
        <v>-0.20660449835299202</v>
      </c>
      <c r="P915">
        <f t="shared" si="245"/>
        <v>3.2047981872820173E-2</v>
      </c>
      <c r="Q915">
        <f t="shared" si="246"/>
        <v>0.97789953886796976</v>
      </c>
      <c r="R915">
        <f t="shared" si="236"/>
        <v>1</v>
      </c>
      <c r="AG915" s="8">
        <f t="shared" si="240"/>
        <v>-0.79334169727653536</v>
      </c>
      <c r="AH915" s="8">
        <f t="shared" si="241"/>
        <v>-0.32641116070831722</v>
      </c>
      <c r="AI915" s="8">
        <f t="shared" si="242"/>
        <v>0.51387226576984613</v>
      </c>
      <c r="AJ915" s="8"/>
      <c r="AK915" s="8"/>
      <c r="AL915" s="8"/>
      <c r="AN915" s="8">
        <f t="shared" si="247"/>
        <v>1.0000000000000002</v>
      </c>
      <c r="AO915" s="8">
        <f t="shared" si="248"/>
        <v>3.5319205801083227</v>
      </c>
      <c r="AP915" s="8">
        <f t="shared" si="249"/>
        <v>1.0311037756919921</v>
      </c>
      <c r="AQ915" s="8"/>
      <c r="AR915" s="8">
        <f t="shared" si="250"/>
        <v>202.36414281560425</v>
      </c>
      <c r="AS915" s="8">
        <f t="shared" si="251"/>
        <v>30.922105412844928</v>
      </c>
    </row>
    <row r="916" spans="1:45">
      <c r="A916" s="19">
        <v>37.504133330000002</v>
      </c>
      <c r="B916" s="19">
        <v>632.67872060000002</v>
      </c>
      <c r="C916" s="19">
        <v>489.30217579999999</v>
      </c>
      <c r="E916" s="9">
        <f t="shared" si="237"/>
        <v>-327.32127939999998</v>
      </c>
      <c r="F916" s="9">
        <f t="shared" si="238"/>
        <v>50.697824200000014</v>
      </c>
      <c r="I916">
        <v>1</v>
      </c>
      <c r="J916">
        <f t="shared" si="239"/>
        <v>0.21094583249772977</v>
      </c>
      <c r="K916">
        <f t="shared" si="243"/>
        <v>2.9879266648504004</v>
      </c>
      <c r="O916">
        <f t="shared" si="244"/>
        <v>-0.20691759357078701</v>
      </c>
      <c r="P916">
        <f t="shared" si="245"/>
        <v>3.2048853658302158E-2</v>
      </c>
      <c r="Q916">
        <f t="shared" si="246"/>
        <v>0.9778333091330359</v>
      </c>
      <c r="R916">
        <f t="shared" si="236"/>
        <v>1</v>
      </c>
      <c r="AG916" s="8">
        <f t="shared" si="240"/>
        <v>-0.79350065294384831</v>
      </c>
      <c r="AH916" s="8">
        <f t="shared" si="241"/>
        <v>-0.32614393634175248</v>
      </c>
      <c r="AI916" s="8">
        <f t="shared" si="242"/>
        <v>0.51379650306828029</v>
      </c>
      <c r="AJ916" s="8"/>
      <c r="AK916" s="8"/>
      <c r="AL916" s="8"/>
      <c r="AN916" s="8">
        <f t="shared" si="247"/>
        <v>1</v>
      </c>
      <c r="AO916" s="8">
        <f t="shared" si="248"/>
        <v>3.5315620279555056</v>
      </c>
      <c r="AP916" s="8">
        <f t="shared" si="249"/>
        <v>1.0311920885927868</v>
      </c>
      <c r="AQ916" s="8"/>
      <c r="AR916" s="8">
        <f t="shared" si="250"/>
        <v>202.34359929051251</v>
      </c>
      <c r="AS916" s="8">
        <f t="shared" si="251"/>
        <v>30.917045456352838</v>
      </c>
    </row>
    <row r="917" spans="1:45">
      <c r="A917" s="19">
        <v>37.537500000000001</v>
      </c>
      <c r="B917" s="19">
        <v>632.43897979999997</v>
      </c>
      <c r="C917" s="19">
        <v>489.26603019999999</v>
      </c>
      <c r="E917" s="9">
        <f t="shared" si="237"/>
        <v>-327.56102020000003</v>
      </c>
      <c r="F917" s="9">
        <f t="shared" si="238"/>
        <v>50.733969800000011</v>
      </c>
      <c r="I917">
        <v>1</v>
      </c>
      <c r="J917">
        <f t="shared" si="239"/>
        <v>0.2110970443307022</v>
      </c>
      <c r="K917">
        <f t="shared" si="243"/>
        <v>2.9879296078643476</v>
      </c>
      <c r="O917">
        <f t="shared" si="244"/>
        <v>-0.2070638032639186</v>
      </c>
      <c r="P917">
        <f t="shared" si="245"/>
        <v>3.2070875634257805E-2</v>
      </c>
      <c r="Q917">
        <f t="shared" si="246"/>
        <v>0.97780163648560803</v>
      </c>
      <c r="R917">
        <f t="shared" si="236"/>
        <v>1</v>
      </c>
      <c r="AG917" s="8">
        <f t="shared" si="240"/>
        <v>-0.79356735145976476</v>
      </c>
      <c r="AH917" s="8">
        <f t="shared" si="241"/>
        <v>-0.32600937632433924</v>
      </c>
      <c r="AI917" s="8">
        <f t="shared" si="242"/>
        <v>0.51377888750487744</v>
      </c>
      <c r="AJ917" s="8"/>
      <c r="AK917" s="8"/>
      <c r="AL917" s="8"/>
      <c r="AN917" s="8">
        <f t="shared" si="247"/>
        <v>1</v>
      </c>
      <c r="AO917" s="8">
        <f t="shared" si="248"/>
        <v>3.5313874044480156</v>
      </c>
      <c r="AP917" s="8">
        <f t="shared" si="249"/>
        <v>1.0312126215300299</v>
      </c>
      <c r="AQ917" s="8"/>
      <c r="AR917" s="8">
        <f t="shared" si="250"/>
        <v>202.33359410052958</v>
      </c>
      <c r="AS917" s="8">
        <f t="shared" si="251"/>
        <v>30.915869005707798</v>
      </c>
    </row>
    <row r="918" spans="1:45">
      <c r="A918" s="19">
        <v>37.570866670000001</v>
      </c>
      <c r="B918" s="19">
        <v>631.90133449999996</v>
      </c>
      <c r="C918" s="19">
        <v>489.21401070000002</v>
      </c>
      <c r="E918" s="9">
        <f t="shared" si="237"/>
        <v>-328.09866550000004</v>
      </c>
      <c r="F918" s="9">
        <f t="shared" si="238"/>
        <v>50.785989299999983</v>
      </c>
      <c r="I918">
        <v>1</v>
      </c>
      <c r="J918">
        <f t="shared" si="239"/>
        <v>0.21143335065455848</v>
      </c>
      <c r="K918">
        <f t="shared" si="243"/>
        <v>2.9880226330477702</v>
      </c>
      <c r="O918">
        <f t="shared" si="244"/>
        <v>-0.20739174488907319</v>
      </c>
      <c r="P918">
        <f t="shared" si="245"/>
        <v>3.210191337046079E-2</v>
      </c>
      <c r="Q918">
        <f t="shared" si="246"/>
        <v>0.97773111401336765</v>
      </c>
      <c r="R918">
        <f t="shared" si="236"/>
        <v>1</v>
      </c>
      <c r="AG918" s="8">
        <f t="shared" si="240"/>
        <v>-0.79372327046177016</v>
      </c>
      <c r="AH918" s="8">
        <f t="shared" si="241"/>
        <v>-0.32571580471202799</v>
      </c>
      <c r="AI918" s="8">
        <f t="shared" si="242"/>
        <v>0.51372422999919698</v>
      </c>
      <c r="AJ918" s="8"/>
      <c r="AK918" s="8"/>
      <c r="AL918" s="8"/>
      <c r="AN918" s="8">
        <f t="shared" si="247"/>
        <v>1</v>
      </c>
      <c r="AO918" s="8">
        <f t="shared" si="248"/>
        <v>3.53100183782704</v>
      </c>
      <c r="AP918" s="8">
        <f t="shared" si="249"/>
        <v>1.0312763294456238</v>
      </c>
      <c r="AQ918" s="8"/>
      <c r="AR918" s="8">
        <f t="shared" si="250"/>
        <v>202.31150276042655</v>
      </c>
      <c r="AS918" s="8">
        <f t="shared" si="251"/>
        <v>30.912218811022697</v>
      </c>
    </row>
    <row r="919" spans="1:45">
      <c r="A919" s="19">
        <v>37.60423333</v>
      </c>
      <c r="B919" s="19">
        <v>631.26550559999998</v>
      </c>
      <c r="C919" s="19">
        <v>489.11347210000002</v>
      </c>
      <c r="E919" s="9">
        <f t="shared" si="237"/>
        <v>-328.73449440000002</v>
      </c>
      <c r="F919" s="9">
        <f t="shared" si="238"/>
        <v>50.886527899999976</v>
      </c>
      <c r="I919">
        <v>1</v>
      </c>
      <c r="J919">
        <f t="shared" si="239"/>
        <v>0.21183473867031005</v>
      </c>
      <c r="K919">
        <f t="shared" si="243"/>
        <v>2.9880163366854524</v>
      </c>
      <c r="O919">
        <f t="shared" si="244"/>
        <v>-0.20777935658787136</v>
      </c>
      <c r="P919">
        <f t="shared" si="245"/>
        <v>3.2163250909676304E-2</v>
      </c>
      <c r="Q919">
        <f t="shared" si="246"/>
        <v>0.97764679934363385</v>
      </c>
      <c r="R919">
        <f t="shared" si="236"/>
        <v>1</v>
      </c>
      <c r="AG919" s="8">
        <f t="shared" si="240"/>
        <v>-0.79389889425856008</v>
      </c>
      <c r="AH919" s="8">
        <f t="shared" si="241"/>
        <v>-0.32535761626465087</v>
      </c>
      <c r="AI919" s="8">
        <f t="shared" si="242"/>
        <v>0.51367982949851165</v>
      </c>
      <c r="AJ919" s="8"/>
      <c r="AK919" s="8"/>
      <c r="AL919" s="8"/>
      <c r="AN919" s="8">
        <f t="shared" si="247"/>
        <v>1.0000000000000002</v>
      </c>
      <c r="AO919" s="8">
        <f t="shared" si="248"/>
        <v>3.5305379046368639</v>
      </c>
      <c r="AP919" s="8">
        <f t="shared" si="249"/>
        <v>1.0313280801711135</v>
      </c>
      <c r="AQ919" s="8"/>
      <c r="AR919" s="8">
        <f t="shared" si="250"/>
        <v>202.28492134665342</v>
      </c>
      <c r="AS919" s="8">
        <f t="shared" si="251"/>
        <v>30.909253712865386</v>
      </c>
    </row>
    <row r="920" spans="1:45">
      <c r="A920" s="19">
        <v>37.637599999999999</v>
      </c>
      <c r="B920" s="19">
        <v>630.70857999999998</v>
      </c>
      <c r="C920" s="19">
        <v>489.07516120000003</v>
      </c>
      <c r="E920" s="9">
        <f t="shared" si="237"/>
        <v>-329.29142000000002</v>
      </c>
      <c r="F920" s="9">
        <f t="shared" si="238"/>
        <v>50.924838799999975</v>
      </c>
      <c r="I920">
        <v>1</v>
      </c>
      <c r="J920">
        <f t="shared" si="239"/>
        <v>0.21218152277436306</v>
      </c>
      <c r="K920">
        <f t="shared" si="243"/>
        <v>2.9881583952994508</v>
      </c>
      <c r="O920">
        <f t="shared" si="244"/>
        <v>-0.20811896048778267</v>
      </c>
      <c r="P920">
        <f t="shared" si="245"/>
        <v>3.218554711830602E-2</v>
      </c>
      <c r="Q920">
        <f t="shared" si="246"/>
        <v>0.97757382782180702</v>
      </c>
      <c r="R920">
        <f t="shared" si="236"/>
        <v>1</v>
      </c>
      <c r="AG920" s="8">
        <f t="shared" si="240"/>
        <v>-0.79406359658427195</v>
      </c>
      <c r="AH920" s="8">
        <f t="shared" si="241"/>
        <v>-0.32505791360520464</v>
      </c>
      <c r="AI920" s="8">
        <f t="shared" si="242"/>
        <v>0.51361498944470274</v>
      </c>
      <c r="AJ920" s="8"/>
      <c r="AK920" s="8"/>
      <c r="AL920" s="8"/>
      <c r="AN920" s="8">
        <f t="shared" si="247"/>
        <v>1.0000000000000002</v>
      </c>
      <c r="AO920" s="8">
        <f t="shared" si="248"/>
        <v>3.5301419061253601</v>
      </c>
      <c r="AP920" s="8">
        <f t="shared" si="249"/>
        <v>1.0314036512093945</v>
      </c>
      <c r="AQ920" s="8"/>
      <c r="AR920" s="8">
        <f t="shared" si="250"/>
        <v>202.26223230325078</v>
      </c>
      <c r="AS920" s="8">
        <f t="shared" si="251"/>
        <v>30.904923811318469</v>
      </c>
    </row>
    <row r="921" spans="1:45">
      <c r="A921" s="19">
        <v>37.670966669999999</v>
      </c>
      <c r="B921" s="19">
        <v>630.39144850000002</v>
      </c>
      <c r="C921" s="19">
        <v>488.93558990000002</v>
      </c>
      <c r="E921" s="9">
        <f t="shared" si="237"/>
        <v>-329.60855149999998</v>
      </c>
      <c r="F921" s="9">
        <f t="shared" si="238"/>
        <v>51.064410099999975</v>
      </c>
      <c r="I921">
        <v>1</v>
      </c>
      <c r="J921">
        <f t="shared" si="239"/>
        <v>0.21239019930638514</v>
      </c>
      <c r="K921">
        <f t="shared" si="243"/>
        <v>2.9878901716781026</v>
      </c>
      <c r="O921">
        <f t="shared" si="244"/>
        <v>-0.20831190734573815</v>
      </c>
      <c r="P921">
        <f t="shared" si="245"/>
        <v>3.2272599169551518E-2</v>
      </c>
      <c r="Q921">
        <f t="shared" si="246"/>
        <v>0.97752986072079762</v>
      </c>
      <c r="R921">
        <f t="shared" si="236"/>
        <v>1</v>
      </c>
      <c r="AG921" s="8">
        <f t="shared" si="240"/>
        <v>-0.79413129342429478</v>
      </c>
      <c r="AH921" s="8">
        <f t="shared" si="241"/>
        <v>-0.32485403812339908</v>
      </c>
      <c r="AI921" s="8">
        <f t="shared" si="242"/>
        <v>0.51363931189033596</v>
      </c>
      <c r="AJ921" s="8"/>
      <c r="AK921" s="8"/>
      <c r="AL921" s="8"/>
      <c r="AN921" s="8">
        <f t="shared" si="247"/>
        <v>1</v>
      </c>
      <c r="AO921" s="8">
        <f t="shared" si="248"/>
        <v>3.5298921116351072</v>
      </c>
      <c r="AP921" s="8">
        <f t="shared" si="249"/>
        <v>1.0313753038163749</v>
      </c>
      <c r="AQ921" s="8"/>
      <c r="AR921" s="8">
        <f t="shared" si="250"/>
        <v>202.24792013321368</v>
      </c>
      <c r="AS921" s="8">
        <f t="shared" si="251"/>
        <v>30.906547997298695</v>
      </c>
    </row>
    <row r="922" spans="1:45">
      <c r="A922" s="19">
        <v>37.704333329999997</v>
      </c>
      <c r="B922" s="19">
        <v>629.7392251</v>
      </c>
      <c r="C922" s="19">
        <v>488.57874459999999</v>
      </c>
      <c r="E922" s="9">
        <f t="shared" si="237"/>
        <v>-330.2607749</v>
      </c>
      <c r="F922" s="9">
        <f t="shared" si="238"/>
        <v>51.421255400000007</v>
      </c>
      <c r="I922">
        <v>1</v>
      </c>
      <c r="J922">
        <f t="shared" si="239"/>
        <v>0.21282605241355521</v>
      </c>
      <c r="K922">
        <f t="shared" si="243"/>
        <v>2.9871338754974279</v>
      </c>
      <c r="O922">
        <f t="shared" si="244"/>
        <v>-0.20870840749583447</v>
      </c>
      <c r="P922">
        <f t="shared" si="245"/>
        <v>3.2495679601127772E-2</v>
      </c>
      <c r="Q922">
        <f t="shared" si="246"/>
        <v>0.97743789135055203</v>
      </c>
      <c r="R922">
        <f t="shared" si="236"/>
        <v>1</v>
      </c>
      <c r="AG922" s="8">
        <f t="shared" si="240"/>
        <v>-0.79425494618890979</v>
      </c>
      <c r="AH922" s="8">
        <f t="shared" si="241"/>
        <v>-0.32441505456615893</v>
      </c>
      <c r="AI922" s="8">
        <f t="shared" si="242"/>
        <v>0.51372556177913542</v>
      </c>
      <c r="AJ922" s="8"/>
      <c r="AK922" s="8"/>
      <c r="AL922" s="8"/>
      <c r="AN922" s="8">
        <f t="shared" si="247"/>
        <v>1.0000000000000002</v>
      </c>
      <c r="AO922" s="8">
        <f t="shared" si="248"/>
        <v>3.5293639718870113</v>
      </c>
      <c r="AP922" s="8">
        <f t="shared" si="249"/>
        <v>1.031274777173087</v>
      </c>
      <c r="AQ922" s="8"/>
      <c r="AR922" s="8">
        <f t="shared" si="250"/>
        <v>202.21765995465469</v>
      </c>
      <c r="AS922" s="8">
        <f t="shared" si="251"/>
        <v>30.912307749687706</v>
      </c>
    </row>
    <row r="923" spans="1:45">
      <c r="A923" s="19">
        <v>37.737699999999997</v>
      </c>
      <c r="B923" s="19">
        <v>629.41043379999996</v>
      </c>
      <c r="C923" s="19">
        <v>488.5343762</v>
      </c>
      <c r="E923" s="9">
        <f t="shared" si="237"/>
        <v>-330.58956620000004</v>
      </c>
      <c r="F923" s="9">
        <f t="shared" si="238"/>
        <v>51.465623800000003</v>
      </c>
      <c r="I923">
        <v>1</v>
      </c>
      <c r="J923">
        <f t="shared" si="239"/>
        <v>0.21303277844292376</v>
      </c>
      <c r="K923">
        <f t="shared" si="243"/>
        <v>2.9871540290860037</v>
      </c>
      <c r="O923">
        <f t="shared" si="244"/>
        <v>-0.20890871481911116</v>
      </c>
      <c r="P923">
        <f t="shared" si="245"/>
        <v>3.2522554928177502E-2</v>
      </c>
      <c r="Q923">
        <f t="shared" si="246"/>
        <v>0.97739420516676434</v>
      </c>
      <c r="R923">
        <f t="shared" ref="R923:R986" si="252">SQRT(O923^2+P923^2+Q923^2)</f>
        <v>1</v>
      </c>
      <c r="AG923" s="8">
        <f t="shared" si="240"/>
        <v>-0.79434719198375825</v>
      </c>
      <c r="AH923" s="8">
        <f t="shared" si="241"/>
        <v>-0.32423199041586814</v>
      </c>
      <c r="AI923" s="8">
        <f t="shared" si="242"/>
        <v>0.51369850591420163</v>
      </c>
      <c r="AJ923" s="8"/>
      <c r="AK923" s="8"/>
      <c r="AL923" s="8"/>
      <c r="AN923" s="8">
        <f t="shared" si="247"/>
        <v>1.0000000000000002</v>
      </c>
      <c r="AO923" s="8">
        <f t="shared" si="248"/>
        <v>3.5291257901916779</v>
      </c>
      <c r="AP923" s="8">
        <f t="shared" si="249"/>
        <v>1.0313063121871664</v>
      </c>
      <c r="AQ923" s="8"/>
      <c r="AR923" s="8">
        <f t="shared" si="250"/>
        <v>202.2040131487548</v>
      </c>
      <c r="AS923" s="8">
        <f t="shared" si="251"/>
        <v>30.910500926474072</v>
      </c>
    </row>
    <row r="924" spans="1:45">
      <c r="A924" s="19">
        <v>37.771066670000003</v>
      </c>
      <c r="B924" s="19">
        <v>628.8792373</v>
      </c>
      <c r="C924" s="19">
        <v>488.51369219999998</v>
      </c>
      <c r="E924" s="9">
        <f t="shared" si="237"/>
        <v>-331.1207627</v>
      </c>
      <c r="F924" s="9">
        <f t="shared" si="238"/>
        <v>51.48630780000002</v>
      </c>
      <c r="I924">
        <v>1</v>
      </c>
      <c r="J924">
        <f t="shared" si="239"/>
        <v>0.21336184597741023</v>
      </c>
      <c r="K924">
        <f t="shared" si="243"/>
        <v>2.9873368812725669</v>
      </c>
      <c r="O924">
        <f t="shared" si="244"/>
        <v>-0.2092324565607033</v>
      </c>
      <c r="P924">
        <f t="shared" si="245"/>
        <v>3.2533769771467491E-2</v>
      </c>
      <c r="Q924">
        <f t="shared" si="246"/>
        <v>0.97732457911690251</v>
      </c>
      <c r="R924">
        <f t="shared" si="252"/>
        <v>1</v>
      </c>
      <c r="AG924" s="8">
        <f t="shared" si="240"/>
        <v>-0.79450741992537433</v>
      </c>
      <c r="AH924" s="8">
        <f t="shared" si="241"/>
        <v>-0.32395061824290089</v>
      </c>
      <c r="AI924" s="8">
        <f t="shared" si="242"/>
        <v>0.51362822802448027</v>
      </c>
      <c r="AJ924" s="8"/>
      <c r="AK924" s="8"/>
      <c r="AL924" s="8"/>
      <c r="AN924" s="8">
        <f t="shared" si="247"/>
        <v>1.0000000000000004</v>
      </c>
      <c r="AO924" s="8">
        <f t="shared" si="248"/>
        <v>3.5287516025294234</v>
      </c>
      <c r="AP924" s="8">
        <f t="shared" si="249"/>
        <v>1.031388221931492</v>
      </c>
      <c r="AQ924" s="8"/>
      <c r="AR924" s="8">
        <f t="shared" si="250"/>
        <v>202.18257377496175</v>
      </c>
      <c r="AS924" s="8">
        <f t="shared" si="251"/>
        <v>30.905807843823212</v>
      </c>
    </row>
    <row r="925" spans="1:45">
      <c r="A925" s="19">
        <v>37.804433330000002</v>
      </c>
      <c r="B925" s="19">
        <v>628.50124319999998</v>
      </c>
      <c r="C925" s="19">
        <v>488.36283639999999</v>
      </c>
      <c r="E925" s="9">
        <f t="shared" si="237"/>
        <v>-331.49875680000002</v>
      </c>
      <c r="F925" s="9">
        <f t="shared" si="238"/>
        <v>51.637163600000008</v>
      </c>
      <c r="I925">
        <v>1</v>
      </c>
      <c r="J925">
        <f t="shared" si="239"/>
        <v>0.213609024041685</v>
      </c>
      <c r="K925">
        <f t="shared" si="243"/>
        <v>2.9870656778927906</v>
      </c>
      <c r="O925">
        <f t="shared" si="244"/>
        <v>-0.20946231392303652</v>
      </c>
      <c r="P925">
        <f t="shared" si="245"/>
        <v>3.2627693317727746E-2</v>
      </c>
      <c r="Q925">
        <f t="shared" si="246"/>
        <v>0.97727221012099363</v>
      </c>
      <c r="R925">
        <f t="shared" si="252"/>
        <v>1</v>
      </c>
      <c r="AG925" s="8">
        <f t="shared" si="240"/>
        <v>-0.79459125074236303</v>
      </c>
      <c r="AH925" s="8">
        <f t="shared" si="241"/>
        <v>-0.32371199760648017</v>
      </c>
      <c r="AI925" s="8">
        <f t="shared" si="242"/>
        <v>0.51364899187023549</v>
      </c>
      <c r="AJ925" s="8"/>
      <c r="AK925" s="8"/>
      <c r="AL925" s="8"/>
      <c r="AN925" s="8">
        <f t="shared" si="247"/>
        <v>0.99999999999999989</v>
      </c>
      <c r="AO925" s="8">
        <f t="shared" si="248"/>
        <v>3.5284571850295605</v>
      </c>
      <c r="AP925" s="8">
        <f t="shared" si="249"/>
        <v>1.0313640218320836</v>
      </c>
      <c r="AQ925" s="8"/>
      <c r="AR925" s="8">
        <f t="shared" si="250"/>
        <v>202.1657048948048</v>
      </c>
      <c r="AS925" s="8">
        <f t="shared" si="251"/>
        <v>30.907194407383109</v>
      </c>
    </row>
    <row r="926" spans="1:45">
      <c r="A926" s="19">
        <v>37.837800000000001</v>
      </c>
      <c r="B926" s="19">
        <v>627.67423719999999</v>
      </c>
      <c r="C926" s="19">
        <v>488.35129790000002</v>
      </c>
      <c r="E926" s="9">
        <f t="shared" si="237"/>
        <v>-332.32576280000001</v>
      </c>
      <c r="F926" s="9">
        <f t="shared" si="238"/>
        <v>51.64870209999998</v>
      </c>
      <c r="I926">
        <v>1</v>
      </c>
      <c r="J926">
        <f t="shared" si="239"/>
        <v>0.21411922763466396</v>
      </c>
      <c r="K926">
        <f t="shared" si="243"/>
        <v>2.987410252551324</v>
      </c>
      <c r="O926">
        <f t="shared" si="244"/>
        <v>-0.20996620989788534</v>
      </c>
      <c r="P926">
        <f t="shared" si="245"/>
        <v>3.2632084057257961E-2</v>
      </c>
      <c r="Q926">
        <f t="shared" si="246"/>
        <v>0.97716392575207012</v>
      </c>
      <c r="R926">
        <f t="shared" si="252"/>
        <v>1</v>
      </c>
      <c r="AG926" s="8">
        <f t="shared" si="240"/>
        <v>-0.79484494509811587</v>
      </c>
      <c r="AH926" s="8">
        <f t="shared" si="241"/>
        <v>-0.32327977128955732</v>
      </c>
      <c r="AI926" s="8">
        <f t="shared" si="242"/>
        <v>0.51352867760909382</v>
      </c>
      <c r="AJ926" s="8"/>
      <c r="AK926" s="8"/>
      <c r="AL926" s="8"/>
      <c r="AN926" s="8">
        <f t="shared" si="247"/>
        <v>1</v>
      </c>
      <c r="AO926" s="8">
        <f t="shared" si="248"/>
        <v>3.5278791466424133</v>
      </c>
      <c r="AP926" s="8">
        <f t="shared" si="249"/>
        <v>1.0315042422908669</v>
      </c>
      <c r="AQ926" s="8"/>
      <c r="AR926" s="8">
        <f t="shared" si="250"/>
        <v>202.13258573482474</v>
      </c>
      <c r="AS926" s="8">
        <f t="shared" si="251"/>
        <v>30.89916036689344</v>
      </c>
    </row>
    <row r="927" spans="1:45">
      <c r="A927" s="19">
        <v>37.871166670000001</v>
      </c>
      <c r="B927" s="19">
        <v>627.1695565</v>
      </c>
      <c r="C927" s="19">
        <v>488.27011379999999</v>
      </c>
      <c r="E927" s="9">
        <f t="shared" si="237"/>
        <v>-332.8304435</v>
      </c>
      <c r="F927" s="9">
        <f t="shared" si="238"/>
        <v>51.72988620000001</v>
      </c>
      <c r="I927">
        <v>1</v>
      </c>
      <c r="J927">
        <f t="shared" si="239"/>
        <v>0.2144376290784637</v>
      </c>
      <c r="K927">
        <f t="shared" si="243"/>
        <v>2.987402188766584</v>
      </c>
      <c r="O927">
        <f t="shared" si="244"/>
        <v>-0.21027337531528895</v>
      </c>
      <c r="P927">
        <f t="shared" si="245"/>
        <v>3.2681558999123804E-2</v>
      </c>
      <c r="Q927">
        <f t="shared" si="246"/>
        <v>0.97709622010061137</v>
      </c>
      <c r="R927">
        <f t="shared" si="252"/>
        <v>1</v>
      </c>
      <c r="AG927" s="8">
        <f t="shared" si="240"/>
        <v>-0.79498322884504657</v>
      </c>
      <c r="AH927" s="8">
        <f t="shared" si="241"/>
        <v>-0.32299509554789041</v>
      </c>
      <c r="AI927" s="8">
        <f t="shared" si="242"/>
        <v>0.51349375274399733</v>
      </c>
      <c r="AJ927" s="8"/>
      <c r="AK927" s="8"/>
      <c r="AL927" s="8"/>
      <c r="AN927" s="8">
        <f t="shared" si="247"/>
        <v>1</v>
      </c>
      <c r="AO927" s="8">
        <f t="shared" si="248"/>
        <v>3.5275111239272565</v>
      </c>
      <c r="AP927" s="8">
        <f t="shared" si="249"/>
        <v>1.0315449433301787</v>
      </c>
      <c r="AQ927" s="8"/>
      <c r="AR927" s="8">
        <f t="shared" si="250"/>
        <v>202.1114995864813</v>
      </c>
      <c r="AS927" s="8">
        <f t="shared" si="251"/>
        <v>30.896828369119085</v>
      </c>
    </row>
    <row r="928" spans="1:45">
      <c r="A928" s="19">
        <v>37.90453333</v>
      </c>
      <c r="B928" s="19">
        <v>626.70745620000002</v>
      </c>
      <c r="C928" s="19">
        <v>488.21300710000003</v>
      </c>
      <c r="E928" s="9">
        <f t="shared" ref="E928:E991" si="253">(B928-($B$15/2))</f>
        <v>-333.29254379999998</v>
      </c>
      <c r="F928" s="9">
        <f t="shared" ref="F928:F991" si="254">(($C$15/2)-C928)</f>
        <v>51.786992899999973</v>
      </c>
      <c r="I928">
        <v>1</v>
      </c>
      <c r="J928">
        <f t="shared" ref="J928:J991" si="255">ATAN((SQRT(E928^2+F928^2)^$B$16)/($F$24))</f>
        <v>0.21472748417389628</v>
      </c>
      <c r="K928">
        <f t="shared" si="243"/>
        <v>2.9874452976269783</v>
      </c>
      <c r="O928">
        <f t="shared" si="244"/>
        <v>-0.21055463331394456</v>
      </c>
      <c r="P928">
        <f t="shared" si="245"/>
        <v>3.2715977309815125E-2</v>
      </c>
      <c r="Q928">
        <f t="shared" si="246"/>
        <v>0.97703449847929835</v>
      </c>
      <c r="R928">
        <f t="shared" si="252"/>
        <v>1</v>
      </c>
      <c r="AG928" s="8">
        <f t="shared" ref="AG928:AG991" si="256">$O928*$Z$27+$P928*$Z$31+$Q928*$Z$35</f>
        <v>-0.79511357189767118</v>
      </c>
      <c r="AH928" s="8">
        <f t="shared" ref="AH928:AH991" si="257">$O928*$AA$27+$P928*$AA$31+$Q928*$AA$35</f>
        <v>-0.32273929917308342</v>
      </c>
      <c r="AI928" s="8">
        <f t="shared" ref="AI928:AI991" si="258">$AB$27*$O928+$P928*$AB$31+$AB$35*$Q928</f>
        <v>0.51345277538776046</v>
      </c>
      <c r="AJ928" s="8"/>
      <c r="AK928" s="8"/>
      <c r="AL928" s="8"/>
      <c r="AN928" s="8">
        <f t="shared" si="247"/>
        <v>1.0000000000000002</v>
      </c>
      <c r="AO928" s="8">
        <f t="shared" si="248"/>
        <v>3.527177782992692</v>
      </c>
      <c r="AP928" s="8">
        <f t="shared" si="249"/>
        <v>1.0315926966097579</v>
      </c>
      <c r="AQ928" s="8"/>
      <c r="AR928" s="8">
        <f t="shared" si="250"/>
        <v>202.09240055779182</v>
      </c>
      <c r="AS928" s="8">
        <f t="shared" si="251"/>
        <v>30.894092307741282</v>
      </c>
    </row>
    <row r="929" spans="1:45">
      <c r="A929" s="19">
        <v>37.937899999999999</v>
      </c>
      <c r="B929" s="19">
        <v>626.5703178</v>
      </c>
      <c r="C929" s="19">
        <v>488.0775711</v>
      </c>
      <c r="E929" s="9">
        <f t="shared" si="253"/>
        <v>-333.4296822</v>
      </c>
      <c r="F929" s="9">
        <f t="shared" si="254"/>
        <v>51.9224289</v>
      </c>
      <c r="I929">
        <v>1</v>
      </c>
      <c r="J929">
        <f t="shared" si="255"/>
        <v>0.21482484007997113</v>
      </c>
      <c r="K929">
        <f t="shared" ref="K929:K992" si="259">ATAN2(E929,F929)</f>
        <v>2.9871111005409912</v>
      </c>
      <c r="O929">
        <f t="shared" ref="O929:O992" si="260">COS(K929)*SIN(J929)</f>
        <v>-0.21063767430905986</v>
      </c>
      <c r="P929">
        <f t="shared" ref="P929:P992" si="261">SIN(K929)*SIN(J929)</f>
        <v>3.2800977992755082E-2</v>
      </c>
      <c r="Q929">
        <f t="shared" ref="Q929:Q992" si="262">COS(J929)</f>
        <v>0.97701374913784567</v>
      </c>
      <c r="R929">
        <f t="shared" si="252"/>
        <v>1</v>
      </c>
      <c r="AG929" s="8">
        <f t="shared" si="256"/>
        <v>-0.79512601636865776</v>
      </c>
      <c r="AH929" s="8">
        <f t="shared" si="257"/>
        <v>-0.32262997049891695</v>
      </c>
      <c r="AI929" s="8">
        <f t="shared" si="258"/>
        <v>0.5135022105401077</v>
      </c>
      <c r="AJ929" s="8"/>
      <c r="AK929" s="8"/>
      <c r="AL929" s="8"/>
      <c r="AN929" s="8">
        <f t="shared" ref="AN929:AN992" si="263">AG929^2+AH929^2+AI929^2</f>
        <v>1</v>
      </c>
      <c r="AO929" s="8">
        <f t="shared" ref="AO929:AO992" si="264">IF(ATAN2(AG929,AH929)&gt;=0,ATAN2(AG929,AH929),ATAN2(AG929,AH929)+2*PI())</f>
        <v>3.5270542735730035</v>
      </c>
      <c r="AP929" s="8">
        <f t="shared" ref="AP929:AP992" si="265">ACOS(AI929/AN929)</f>
        <v>1.0315350868020583</v>
      </c>
      <c r="AQ929" s="8"/>
      <c r="AR929" s="8">
        <f t="shared" ref="AR929:AR992" si="266">DEGREES(AO929)</f>
        <v>202.08532398931354</v>
      </c>
      <c r="AS929" s="8">
        <f t="shared" ref="AS929:AS992" si="267">90-DEGREES(AP929)</f>
        <v>30.897393106581035</v>
      </c>
    </row>
    <row r="930" spans="1:45">
      <c r="A930" s="19">
        <v>37.971266669999999</v>
      </c>
      <c r="B930" s="19">
        <v>625.6216392</v>
      </c>
      <c r="C930" s="19">
        <v>487.94026989999998</v>
      </c>
      <c r="E930" s="9">
        <f t="shared" si="253"/>
        <v>-334.3783608</v>
      </c>
      <c r="F930" s="9">
        <f t="shared" si="254"/>
        <v>52.059730100000024</v>
      </c>
      <c r="I930">
        <v>1</v>
      </c>
      <c r="J930">
        <f t="shared" si="255"/>
        <v>0.2154216941045787</v>
      </c>
      <c r="K930">
        <f t="shared" si="259"/>
        <v>2.987141552046281</v>
      </c>
      <c r="O930">
        <f t="shared" si="260"/>
        <v>-0.2112148285225883</v>
      </c>
      <c r="P930">
        <f t="shared" si="261"/>
        <v>3.2884266014392573E-2</v>
      </c>
      <c r="Q930">
        <f t="shared" si="262"/>
        <v>0.97688633999092667</v>
      </c>
      <c r="R930">
        <f t="shared" si="252"/>
        <v>1</v>
      </c>
      <c r="AG930" s="8">
        <f t="shared" si="256"/>
        <v>-0.79538885822671523</v>
      </c>
      <c r="AH930" s="8">
        <f t="shared" si="257"/>
        <v>-0.32209918113196589</v>
      </c>
      <c r="AI930" s="8">
        <f t="shared" si="258"/>
        <v>0.51342836084785937</v>
      </c>
      <c r="AJ930" s="8"/>
      <c r="AK930" s="8"/>
      <c r="AL930" s="8"/>
      <c r="AN930" s="8">
        <f t="shared" si="263"/>
        <v>1.0000000000000004</v>
      </c>
      <c r="AO930" s="8">
        <f t="shared" si="264"/>
        <v>3.5263659557935894</v>
      </c>
      <c r="AP930" s="8">
        <f t="shared" si="265"/>
        <v>1.0316211476343411</v>
      </c>
      <c r="AQ930" s="8"/>
      <c r="AR930" s="8">
        <f t="shared" si="266"/>
        <v>202.04588628558929</v>
      </c>
      <c r="AS930" s="8">
        <f t="shared" si="267"/>
        <v>30.892462184109846</v>
      </c>
    </row>
    <row r="931" spans="1:45">
      <c r="A931" s="19">
        <v>38.004633329999997</v>
      </c>
      <c r="B931" s="19">
        <v>624.88568459999999</v>
      </c>
      <c r="C931" s="19">
        <v>487.86192590000002</v>
      </c>
      <c r="E931" s="9">
        <f t="shared" si="253"/>
        <v>-335.11431540000001</v>
      </c>
      <c r="F931" s="9">
        <f t="shared" si="254"/>
        <v>52.138074099999983</v>
      </c>
      <c r="I931">
        <v>1</v>
      </c>
      <c r="J931">
        <f t="shared" si="255"/>
        <v>0.21588192113588717</v>
      </c>
      <c r="K931">
        <f t="shared" si="259"/>
        <v>2.9872471296067897</v>
      </c>
      <c r="O931">
        <f t="shared" si="260"/>
        <v>-0.21166252174217084</v>
      </c>
      <c r="P931">
        <f t="shared" si="261"/>
        <v>3.2931079740994483E-2</v>
      </c>
      <c r="Q931">
        <f t="shared" si="262"/>
        <v>0.97678785868623352</v>
      </c>
      <c r="R931">
        <f t="shared" si="252"/>
        <v>1</v>
      </c>
      <c r="AG931" s="8">
        <f t="shared" si="256"/>
        <v>-0.7955987605570729</v>
      </c>
      <c r="AH931" s="8">
        <f t="shared" si="257"/>
        <v>-0.32169536221763928</v>
      </c>
      <c r="AI931" s="8">
        <f t="shared" si="258"/>
        <v>0.51335631497792189</v>
      </c>
      <c r="AJ931" s="8"/>
      <c r="AK931" s="8"/>
      <c r="AL931" s="8"/>
      <c r="AN931" s="8">
        <f t="shared" si="263"/>
        <v>1</v>
      </c>
      <c r="AO931" s="8">
        <f t="shared" si="264"/>
        <v>3.525837998829866</v>
      </c>
      <c r="AP931" s="8">
        <f t="shared" si="265"/>
        <v>1.0317051021099009</v>
      </c>
      <c r="AQ931" s="8"/>
      <c r="AR931" s="8">
        <f t="shared" si="266"/>
        <v>202.01563657980341</v>
      </c>
      <c r="AS931" s="8">
        <f t="shared" si="267"/>
        <v>30.887651946989038</v>
      </c>
    </row>
    <row r="932" spans="1:45">
      <c r="A932" s="19">
        <v>38.037999999999997</v>
      </c>
      <c r="B932" s="19">
        <v>624.39575060000004</v>
      </c>
      <c r="C932" s="19">
        <v>487.87761330000001</v>
      </c>
      <c r="E932" s="9">
        <f t="shared" si="253"/>
        <v>-335.60424939999996</v>
      </c>
      <c r="F932" s="9">
        <f t="shared" si="254"/>
        <v>52.122386699999993</v>
      </c>
      <c r="I932">
        <v>1</v>
      </c>
      <c r="J932">
        <f t="shared" si="255"/>
        <v>0.21618177009415748</v>
      </c>
      <c r="K932">
        <f t="shared" si="259"/>
        <v>2.987514540539034</v>
      </c>
      <c r="O932">
        <f t="shared" si="260"/>
        <v>-0.21196072987950282</v>
      </c>
      <c r="P932">
        <f t="shared" si="261"/>
        <v>3.2919425626300437E-2</v>
      </c>
      <c r="Q932">
        <f t="shared" si="262"/>
        <v>0.97672358444207896</v>
      </c>
      <c r="R932">
        <f t="shared" si="252"/>
        <v>1</v>
      </c>
      <c r="AG932" s="8">
        <f t="shared" si="256"/>
        <v>-0.79575339747372664</v>
      </c>
      <c r="AH932" s="8">
        <f t="shared" si="257"/>
        <v>-0.32144566677738184</v>
      </c>
      <c r="AI932" s="8">
        <f t="shared" si="258"/>
        <v>0.51327304012490826</v>
      </c>
      <c r="AJ932" s="8"/>
      <c r="AK932" s="8"/>
      <c r="AL932" s="8"/>
      <c r="AN932" s="8">
        <f t="shared" si="263"/>
        <v>1</v>
      </c>
      <c r="AO932" s="8">
        <f t="shared" si="264"/>
        <v>3.525500727064574</v>
      </c>
      <c r="AP932" s="8">
        <f t="shared" si="265"/>
        <v>1.0318021363766827</v>
      </c>
      <c r="AQ932" s="8"/>
      <c r="AR932" s="8">
        <f t="shared" si="266"/>
        <v>201.99631233110324</v>
      </c>
      <c r="AS932" s="8">
        <f t="shared" si="267"/>
        <v>30.88209229303429</v>
      </c>
    </row>
    <row r="933" spans="1:45">
      <c r="A933" s="19">
        <v>38.071366670000003</v>
      </c>
      <c r="B933" s="19">
        <v>624.15365199999997</v>
      </c>
      <c r="C933" s="19">
        <v>487.95220089999998</v>
      </c>
      <c r="E933" s="9">
        <f t="shared" si="253"/>
        <v>-335.84634800000003</v>
      </c>
      <c r="F933" s="9">
        <f t="shared" si="254"/>
        <v>52.04779910000002</v>
      </c>
      <c r="I933">
        <v>1</v>
      </c>
      <c r="J933">
        <f t="shared" si="255"/>
        <v>0.21632355683657176</v>
      </c>
      <c r="K933">
        <f t="shared" si="259"/>
        <v>2.9878407341175581</v>
      </c>
      <c r="O933">
        <f t="shared" si="260"/>
        <v>-0.21210830736836961</v>
      </c>
      <c r="P933">
        <f t="shared" si="261"/>
        <v>3.2871492082891286E-2</v>
      </c>
      <c r="Q933">
        <f t="shared" si="262"/>
        <v>0.97669316110719728</v>
      </c>
      <c r="R933">
        <f t="shared" si="252"/>
        <v>1</v>
      </c>
      <c r="AG933" s="8">
        <f t="shared" si="256"/>
        <v>-0.79584456910283241</v>
      </c>
      <c r="AH933" s="8">
        <f t="shared" si="257"/>
        <v>-0.32134112456106856</v>
      </c>
      <c r="AI933" s="8">
        <f t="shared" si="258"/>
        <v>0.51319713901711783</v>
      </c>
      <c r="AJ933" s="8"/>
      <c r="AK933" s="8"/>
      <c r="AL933" s="8"/>
      <c r="AN933" s="8">
        <f t="shared" si="263"/>
        <v>1</v>
      </c>
      <c r="AO933" s="8">
        <f t="shared" si="264"/>
        <v>3.5253480008681679</v>
      </c>
      <c r="AP933" s="8">
        <f t="shared" si="265"/>
        <v>1.0318905736372446</v>
      </c>
      <c r="AQ933" s="8"/>
      <c r="AR933" s="8">
        <f t="shared" si="266"/>
        <v>201.98756176462811</v>
      </c>
      <c r="AS933" s="8">
        <f t="shared" si="267"/>
        <v>30.877025211252395</v>
      </c>
    </row>
    <row r="934" spans="1:45">
      <c r="A934" s="19">
        <v>38.104733330000002</v>
      </c>
      <c r="B934" s="19">
        <v>623.57062929999995</v>
      </c>
      <c r="C934" s="19">
        <v>488.02750170000002</v>
      </c>
      <c r="E934" s="9">
        <f t="shared" si="253"/>
        <v>-336.42937070000005</v>
      </c>
      <c r="F934" s="9">
        <f t="shared" si="254"/>
        <v>51.972498299999984</v>
      </c>
      <c r="I934">
        <v>1</v>
      </c>
      <c r="J934">
        <f t="shared" si="255"/>
        <v>0.21667496930136798</v>
      </c>
      <c r="K934">
        <f t="shared" si="259"/>
        <v>2.9883216123034795</v>
      </c>
      <c r="O934">
        <f t="shared" si="260"/>
        <v>-0.21246327546998459</v>
      </c>
      <c r="P934">
        <f t="shared" si="261"/>
        <v>3.2821888291741222E-2</v>
      </c>
      <c r="Q934">
        <f t="shared" si="262"/>
        <v>0.97661767351688344</v>
      </c>
      <c r="R934">
        <f t="shared" si="252"/>
        <v>1</v>
      </c>
      <c r="AG934" s="8">
        <f t="shared" si="256"/>
        <v>-0.79604094439363826</v>
      </c>
      <c r="AH934" s="8">
        <f t="shared" si="257"/>
        <v>-0.32105994919829323</v>
      </c>
      <c r="AI934" s="8">
        <f t="shared" si="258"/>
        <v>0.5130685372049959</v>
      </c>
      <c r="AJ934" s="8"/>
      <c r="AK934" s="8"/>
      <c r="AL934" s="8"/>
      <c r="AN934" s="8">
        <f t="shared" si="263"/>
        <v>1.0000000000000004</v>
      </c>
      <c r="AO934" s="8">
        <f t="shared" si="264"/>
        <v>3.5249585921267408</v>
      </c>
      <c r="AP934" s="8">
        <f t="shared" si="265"/>
        <v>1.0320404052034262</v>
      </c>
      <c r="AQ934" s="8"/>
      <c r="AR934" s="8">
        <f t="shared" si="266"/>
        <v>201.96525028723883</v>
      </c>
      <c r="AS934" s="8">
        <f t="shared" si="267"/>
        <v>30.868440494872353</v>
      </c>
    </row>
    <row r="935" spans="1:45">
      <c r="A935" s="19">
        <v>38.138100000000001</v>
      </c>
      <c r="B935" s="19">
        <v>622.41666669999995</v>
      </c>
      <c r="C935" s="19">
        <v>487.41666670000001</v>
      </c>
      <c r="E935" s="9">
        <f t="shared" si="253"/>
        <v>-337.58333330000005</v>
      </c>
      <c r="F935" s="9">
        <f t="shared" si="254"/>
        <v>52.583333299999993</v>
      </c>
      <c r="I935">
        <v>1</v>
      </c>
      <c r="J935">
        <f t="shared" si="255"/>
        <v>0.21744275520044454</v>
      </c>
      <c r="K935">
        <f t="shared" si="259"/>
        <v>2.9870703557460709</v>
      </c>
      <c r="O935">
        <f t="shared" si="260"/>
        <v>-0.21316287701256273</v>
      </c>
      <c r="P935">
        <f t="shared" si="261"/>
        <v>3.3203104251528774E-2</v>
      </c>
      <c r="Q935">
        <f t="shared" si="262"/>
        <v>0.97645232435167528</v>
      </c>
      <c r="R935">
        <f t="shared" si="252"/>
        <v>1</v>
      </c>
      <c r="AG935" s="8">
        <f t="shared" si="256"/>
        <v>-0.79626104689235677</v>
      </c>
      <c r="AH935" s="8">
        <f t="shared" si="257"/>
        <v>-0.32028922203034405</v>
      </c>
      <c r="AI935" s="8">
        <f t="shared" si="258"/>
        <v>0.51320868996255831</v>
      </c>
      <c r="AJ935" s="8"/>
      <c r="AK935" s="8"/>
      <c r="AL935" s="8"/>
      <c r="AN935" s="8">
        <f t="shared" si="263"/>
        <v>1.0000000000000002</v>
      </c>
      <c r="AO935" s="8">
        <f t="shared" si="264"/>
        <v>3.5240298463388107</v>
      </c>
      <c r="AP935" s="8">
        <f t="shared" si="265"/>
        <v>1.0318771151897892</v>
      </c>
      <c r="AQ935" s="8"/>
      <c r="AR935" s="8">
        <f t="shared" si="266"/>
        <v>201.91203707334986</v>
      </c>
      <c r="AS935" s="8">
        <f t="shared" si="267"/>
        <v>30.877796323490386</v>
      </c>
    </row>
    <row r="936" spans="1:45">
      <c r="A936" s="19">
        <v>38.171466670000001</v>
      </c>
      <c r="B936" s="19">
        <v>622.62319049999996</v>
      </c>
      <c r="C936" s="19">
        <v>488.22996119999999</v>
      </c>
      <c r="E936" s="9">
        <f t="shared" si="253"/>
        <v>-337.37680950000004</v>
      </c>
      <c r="F936" s="9">
        <f t="shared" si="254"/>
        <v>51.770038800000009</v>
      </c>
      <c r="I936">
        <v>1</v>
      </c>
      <c r="J936">
        <f t="shared" si="255"/>
        <v>0.21723846627181956</v>
      </c>
      <c r="K936">
        <f t="shared" si="259"/>
        <v>2.989331595236127</v>
      </c>
      <c r="O936">
        <f t="shared" si="260"/>
        <v>-0.21304023713219594</v>
      </c>
      <c r="P936">
        <f t="shared" si="261"/>
        <v>3.2690751206760134E-2</v>
      </c>
      <c r="Q936">
        <f t="shared" si="262"/>
        <v>0.97649637590120908</v>
      </c>
      <c r="R936">
        <f t="shared" si="252"/>
        <v>1</v>
      </c>
      <c r="AG936" s="8">
        <f t="shared" si="256"/>
        <v>-0.79637749653004719</v>
      </c>
      <c r="AH936" s="8">
        <f t="shared" si="257"/>
        <v>-0.32062559137423563</v>
      </c>
      <c r="AI936" s="8">
        <f t="shared" si="258"/>
        <v>0.51281781675021432</v>
      </c>
      <c r="AJ936" s="8"/>
      <c r="AK936" s="8"/>
      <c r="AL936" s="8"/>
      <c r="AN936" s="8">
        <f t="shared" si="263"/>
        <v>1</v>
      </c>
      <c r="AO936" s="8">
        <f t="shared" si="264"/>
        <v>3.5243427329043415</v>
      </c>
      <c r="AP936" s="8">
        <f t="shared" si="265"/>
        <v>1.0323324763433803</v>
      </c>
      <c r="AQ936" s="8"/>
      <c r="AR936" s="8">
        <f t="shared" si="266"/>
        <v>201.92996415302113</v>
      </c>
      <c r="AS936" s="8">
        <f t="shared" si="267"/>
        <v>30.851706051235411</v>
      </c>
    </row>
    <row r="937" spans="1:45">
      <c r="A937" s="19">
        <v>38.20483333</v>
      </c>
      <c r="B937" s="19">
        <v>622.05587560000004</v>
      </c>
      <c r="C937" s="19">
        <v>488.0922314</v>
      </c>
      <c r="E937" s="9">
        <f t="shared" si="253"/>
        <v>-337.94412439999996</v>
      </c>
      <c r="F937" s="9">
        <f t="shared" si="254"/>
        <v>51.907768599999997</v>
      </c>
      <c r="I937">
        <v>1</v>
      </c>
      <c r="J937">
        <f t="shared" si="255"/>
        <v>0.21760032152179512</v>
      </c>
      <c r="K937">
        <f t="shared" si="259"/>
        <v>2.9891850942459048</v>
      </c>
      <c r="O937">
        <f t="shared" si="260"/>
        <v>-0.21338468611915221</v>
      </c>
      <c r="P937">
        <f t="shared" si="261"/>
        <v>3.2775604338504016E-2</v>
      </c>
      <c r="Q937">
        <f t="shared" si="262"/>
        <v>0.97641831992751793</v>
      </c>
      <c r="R937">
        <f t="shared" si="252"/>
        <v>1</v>
      </c>
      <c r="AG937" s="8">
        <f t="shared" si="256"/>
        <v>-0.79652156498188686</v>
      </c>
      <c r="AH937" s="8">
        <f t="shared" si="257"/>
        <v>-0.32029251720528124</v>
      </c>
      <c r="AI937" s="8">
        <f t="shared" si="258"/>
        <v>0.51280220352598971</v>
      </c>
      <c r="AJ937" s="8"/>
      <c r="AK937" s="8"/>
      <c r="AL937" s="8"/>
      <c r="AN937" s="8">
        <f t="shared" si="263"/>
        <v>1.0000000000000002</v>
      </c>
      <c r="AO937" s="8">
        <f t="shared" si="264"/>
        <v>3.523920163198909</v>
      </c>
      <c r="AP937" s="8">
        <f t="shared" si="265"/>
        <v>1.0323506629311883</v>
      </c>
      <c r="AQ937" s="8"/>
      <c r="AR937" s="8">
        <f t="shared" si="266"/>
        <v>201.90575269234978</v>
      </c>
      <c r="AS937" s="8">
        <f t="shared" si="267"/>
        <v>30.850664036510267</v>
      </c>
    </row>
    <row r="938" spans="1:45">
      <c r="A938" s="19">
        <v>38.238199999999999</v>
      </c>
      <c r="B938" s="19">
        <v>621.5459204</v>
      </c>
      <c r="C938" s="19">
        <v>487.97067429999998</v>
      </c>
      <c r="E938" s="9">
        <f t="shared" si="253"/>
        <v>-338.4540796</v>
      </c>
      <c r="F938" s="9">
        <f t="shared" si="254"/>
        <v>52.029325700000015</v>
      </c>
      <c r="I938">
        <v>1</v>
      </c>
      <c r="J938">
        <f t="shared" si="255"/>
        <v>0.21792533737285108</v>
      </c>
      <c r="K938">
        <f t="shared" si="259"/>
        <v>2.9890603166643288</v>
      </c>
      <c r="O938">
        <f t="shared" si="260"/>
        <v>-0.21369425033778133</v>
      </c>
      <c r="P938">
        <f t="shared" si="261"/>
        <v>3.2850446844020789E-2</v>
      </c>
      <c r="Q938">
        <f t="shared" si="262"/>
        <v>0.97634810160860241</v>
      </c>
      <c r="R938">
        <f t="shared" si="252"/>
        <v>1</v>
      </c>
      <c r="AG938" s="8">
        <f t="shared" si="256"/>
        <v>-0.79665145666297321</v>
      </c>
      <c r="AH938" s="8">
        <f t="shared" si="257"/>
        <v>-0.31999375748420944</v>
      </c>
      <c r="AI938" s="8">
        <f t="shared" si="258"/>
        <v>0.51278694578538164</v>
      </c>
      <c r="AJ938" s="8"/>
      <c r="AK938" s="8"/>
      <c r="AL938" s="8"/>
      <c r="AN938" s="8">
        <f t="shared" si="263"/>
        <v>1</v>
      </c>
      <c r="AO938" s="8">
        <f t="shared" si="264"/>
        <v>3.5235408469517524</v>
      </c>
      <c r="AP938" s="8">
        <f t="shared" si="265"/>
        <v>1.032368435253886</v>
      </c>
      <c r="AQ938" s="8"/>
      <c r="AR938" s="8">
        <f t="shared" si="266"/>
        <v>201.88401947228695</v>
      </c>
      <c r="AS938" s="8">
        <f t="shared" si="267"/>
        <v>30.849645757427545</v>
      </c>
    </row>
    <row r="939" spans="1:45">
      <c r="A939" s="19">
        <v>38.271566669999999</v>
      </c>
      <c r="B939" s="19">
        <v>621.0339874</v>
      </c>
      <c r="C939" s="19">
        <v>487.80731309999999</v>
      </c>
      <c r="E939" s="9">
        <f t="shared" si="253"/>
        <v>-338.9660126</v>
      </c>
      <c r="F939" s="9">
        <f t="shared" si="254"/>
        <v>52.192686900000012</v>
      </c>
      <c r="I939">
        <v>1</v>
      </c>
      <c r="J939">
        <f t="shared" si="255"/>
        <v>0.21825548493289268</v>
      </c>
      <c r="K939">
        <f t="shared" si="259"/>
        <v>2.9888163219429589</v>
      </c>
      <c r="O939">
        <f t="shared" si="260"/>
        <v>-0.21400480145115353</v>
      </c>
      <c r="P939">
        <f t="shared" si="261"/>
        <v>3.2951638754465294E-2</v>
      </c>
      <c r="Q939">
        <f t="shared" si="262"/>
        <v>0.97627666901306598</v>
      </c>
      <c r="R939">
        <f t="shared" si="252"/>
        <v>1</v>
      </c>
      <c r="AG939" s="8">
        <f t="shared" si="256"/>
        <v>-0.79677260294918917</v>
      </c>
      <c r="AH939" s="8">
        <f t="shared" si="257"/>
        <v>-0.31968219574234014</v>
      </c>
      <c r="AI939" s="8">
        <f t="shared" si="258"/>
        <v>0.51279305076700288</v>
      </c>
      <c r="AJ939" s="8"/>
      <c r="AK939" s="8"/>
      <c r="AL939" s="8"/>
      <c r="AN939" s="8">
        <f t="shared" si="263"/>
        <v>1</v>
      </c>
      <c r="AO939" s="8">
        <f t="shared" si="264"/>
        <v>3.5231514926706518</v>
      </c>
      <c r="AP939" s="8">
        <f t="shared" si="265"/>
        <v>1.0323613241513472</v>
      </c>
      <c r="AQ939" s="8"/>
      <c r="AR939" s="8">
        <f t="shared" si="266"/>
        <v>201.86171111524453</v>
      </c>
      <c r="AS939" s="8">
        <f t="shared" si="267"/>
        <v>30.850053193590703</v>
      </c>
    </row>
    <row r="940" spans="1:45">
      <c r="A940" s="19">
        <v>38.304933329999997</v>
      </c>
      <c r="B940" s="19">
        <v>620.55454989999998</v>
      </c>
      <c r="C940" s="19">
        <v>487.37553459999998</v>
      </c>
      <c r="E940" s="9">
        <f t="shared" si="253"/>
        <v>-339.44545010000002</v>
      </c>
      <c r="F940" s="9">
        <f t="shared" si="254"/>
        <v>52.62446540000002</v>
      </c>
      <c r="I940">
        <v>1</v>
      </c>
      <c r="J940">
        <f t="shared" si="255"/>
        <v>0.21859113788927673</v>
      </c>
      <c r="K940">
        <f t="shared" si="259"/>
        <v>2.9877863748532607</v>
      </c>
      <c r="O940">
        <f t="shared" si="260"/>
        <v>-0.21429455925138324</v>
      </c>
      <c r="P940">
        <f t="shared" si="261"/>
        <v>3.3222235311772312E-2</v>
      </c>
      <c r="Q940">
        <f t="shared" si="262"/>
        <v>0.97620393615071266</v>
      </c>
      <c r="R940">
        <f t="shared" si="252"/>
        <v>1</v>
      </c>
      <c r="AG940" s="8">
        <f t="shared" si="256"/>
        <v>-0.79682424507998184</v>
      </c>
      <c r="AH940" s="8">
        <f t="shared" si="257"/>
        <v>-0.31931184429953452</v>
      </c>
      <c r="AI940" s="8">
        <f t="shared" si="258"/>
        <v>0.51294353348370325</v>
      </c>
      <c r="AJ940" s="8"/>
      <c r="AK940" s="8"/>
      <c r="AL940" s="8"/>
      <c r="AN940" s="8">
        <f t="shared" si="263"/>
        <v>1.0000000000000002</v>
      </c>
      <c r="AO940" s="8">
        <f t="shared" si="264"/>
        <v>3.5227286849459443</v>
      </c>
      <c r="AP940" s="8">
        <f t="shared" si="265"/>
        <v>1.032186031841317</v>
      </c>
      <c r="AQ940" s="8"/>
      <c r="AR940" s="8">
        <f t="shared" si="266"/>
        <v>201.83748601707327</v>
      </c>
      <c r="AS940" s="8">
        <f t="shared" si="267"/>
        <v>30.860096703136534</v>
      </c>
    </row>
    <row r="941" spans="1:45">
      <c r="A941" s="19">
        <v>38.338299999999997</v>
      </c>
      <c r="B941" s="19">
        <v>619.7652597</v>
      </c>
      <c r="C941" s="19">
        <v>487.37318049999999</v>
      </c>
      <c r="E941" s="9">
        <f t="shared" si="253"/>
        <v>-340.2347403</v>
      </c>
      <c r="F941" s="9">
        <f t="shared" si="254"/>
        <v>52.626819500000011</v>
      </c>
      <c r="I941">
        <v>1</v>
      </c>
      <c r="J941">
        <f t="shared" si="255"/>
        <v>0.21907633925012879</v>
      </c>
      <c r="K941">
        <f t="shared" si="259"/>
        <v>2.9881308419636454</v>
      </c>
      <c r="O941">
        <f t="shared" si="260"/>
        <v>-0.21477405425776994</v>
      </c>
      <c r="P941">
        <f t="shared" si="261"/>
        <v>3.3220815066505628E-2</v>
      </c>
      <c r="Q941">
        <f t="shared" si="262"/>
        <v>0.97609860314621777</v>
      </c>
      <c r="R941">
        <f t="shared" si="252"/>
        <v>1</v>
      </c>
      <c r="AG941" s="8">
        <f t="shared" si="256"/>
        <v>-0.79706590534360056</v>
      </c>
      <c r="AH941" s="8">
        <f t="shared" si="257"/>
        <v>-0.31890182291966906</v>
      </c>
      <c r="AI941" s="8">
        <f t="shared" si="258"/>
        <v>0.51282313703390803</v>
      </c>
      <c r="AJ941" s="8"/>
      <c r="AK941" s="8"/>
      <c r="AL941" s="8"/>
      <c r="AN941" s="8">
        <f t="shared" si="263"/>
        <v>1</v>
      </c>
      <c r="AO941" s="8">
        <f t="shared" si="264"/>
        <v>3.5221806428678093</v>
      </c>
      <c r="AP941" s="8">
        <f t="shared" si="265"/>
        <v>1.0323262791281334</v>
      </c>
      <c r="AQ941" s="8"/>
      <c r="AR941" s="8">
        <f t="shared" si="266"/>
        <v>201.80608551900056</v>
      </c>
      <c r="AS941" s="8">
        <f t="shared" si="267"/>
        <v>30.852061125513792</v>
      </c>
    </row>
    <row r="942" spans="1:45">
      <c r="A942" s="19">
        <v>38.371666670000003</v>
      </c>
      <c r="B942" s="19">
        <v>619.01266629999998</v>
      </c>
      <c r="C942" s="19">
        <v>487.23189239999999</v>
      </c>
      <c r="E942" s="9">
        <f t="shared" si="253"/>
        <v>-340.98733370000002</v>
      </c>
      <c r="F942" s="9">
        <f t="shared" si="254"/>
        <v>52.768107600000008</v>
      </c>
      <c r="I942">
        <v>1</v>
      </c>
      <c r="J942">
        <f t="shared" si="255"/>
        <v>0.21955211762287635</v>
      </c>
      <c r="K942">
        <f t="shared" si="259"/>
        <v>2.9880595874245417</v>
      </c>
      <c r="O942">
        <f t="shared" si="260"/>
        <v>-0.21523060601201444</v>
      </c>
      <c r="P942">
        <f t="shared" si="261"/>
        <v>3.3307136818305765E-2</v>
      </c>
      <c r="Q942">
        <f t="shared" si="262"/>
        <v>0.97599509264784101</v>
      </c>
      <c r="R942">
        <f t="shared" si="252"/>
        <v>1</v>
      </c>
      <c r="AG942" s="8">
        <f t="shared" si="256"/>
        <v>-0.79726532090295721</v>
      </c>
      <c r="AH942" s="8">
        <f t="shared" si="257"/>
        <v>-0.31847168706835538</v>
      </c>
      <c r="AI942" s="8">
        <f t="shared" si="258"/>
        <v>0.51278045265136674</v>
      </c>
      <c r="AJ942" s="8"/>
      <c r="AK942" s="8"/>
      <c r="AL942" s="8"/>
      <c r="AN942" s="8">
        <f t="shared" si="263"/>
        <v>1.0000000000000004</v>
      </c>
      <c r="AO942" s="8">
        <f t="shared" si="264"/>
        <v>3.5216291887257367</v>
      </c>
      <c r="AP942" s="8">
        <f t="shared" si="265"/>
        <v>1.032375998444456</v>
      </c>
      <c r="AQ942" s="8"/>
      <c r="AR942" s="8">
        <f t="shared" si="266"/>
        <v>201.77448952406479</v>
      </c>
      <c r="AS942" s="8">
        <f t="shared" si="267"/>
        <v>30.849212418528225</v>
      </c>
    </row>
    <row r="943" spans="1:45">
      <c r="A943" s="19">
        <v>38.405033330000002</v>
      </c>
      <c r="B943" s="19">
        <v>618.75</v>
      </c>
      <c r="C943" s="19">
        <v>486.16666670000001</v>
      </c>
      <c r="E943" s="9">
        <f t="shared" si="253"/>
        <v>-341.25</v>
      </c>
      <c r="F943" s="9">
        <f t="shared" si="254"/>
        <v>53.833333299999993</v>
      </c>
      <c r="I943">
        <v>1</v>
      </c>
      <c r="J943">
        <f t="shared" si="255"/>
        <v>0.21981563689396333</v>
      </c>
      <c r="K943">
        <f t="shared" si="259"/>
        <v>2.985128719844556</v>
      </c>
      <c r="O943">
        <f t="shared" si="260"/>
        <v>-0.21538610721882581</v>
      </c>
      <c r="P943">
        <f t="shared" si="261"/>
        <v>3.3977881606155565E-2</v>
      </c>
      <c r="Q943">
        <f t="shared" si="262"/>
        <v>0.97593766623626044</v>
      </c>
      <c r="R943">
        <f t="shared" si="252"/>
        <v>1</v>
      </c>
      <c r="AG943" s="8">
        <f t="shared" si="256"/>
        <v>-0.79710973742339153</v>
      </c>
      <c r="AH943" s="8">
        <f t="shared" si="257"/>
        <v>-0.31803521938308643</v>
      </c>
      <c r="AI943" s="8">
        <f t="shared" si="258"/>
        <v>0.51329296287477377</v>
      </c>
      <c r="AJ943" s="8"/>
      <c r="AK943" s="8"/>
      <c r="AL943" s="8"/>
      <c r="AN943" s="8">
        <f t="shared" si="263"/>
        <v>1</v>
      </c>
      <c r="AO943" s="8">
        <f t="shared" si="264"/>
        <v>3.5212241475087165</v>
      </c>
      <c r="AP943" s="8">
        <f t="shared" si="265"/>
        <v>1.031778922324925</v>
      </c>
      <c r="AQ943" s="8"/>
      <c r="AR943" s="8">
        <f t="shared" si="266"/>
        <v>201.7512823718007</v>
      </c>
      <c r="AS943" s="8">
        <f t="shared" si="267"/>
        <v>30.88342236022541</v>
      </c>
    </row>
    <row r="944" spans="1:45">
      <c r="A944" s="19">
        <v>38.438400000000001</v>
      </c>
      <c r="B944" s="19">
        <v>618.06267709999997</v>
      </c>
      <c r="C944" s="19">
        <v>487.26703329999998</v>
      </c>
      <c r="E944" s="9">
        <f t="shared" si="253"/>
        <v>-341.93732290000003</v>
      </c>
      <c r="F944" s="9">
        <f t="shared" si="254"/>
        <v>52.73296670000002</v>
      </c>
      <c r="I944">
        <v>1</v>
      </c>
      <c r="J944">
        <f t="shared" si="255"/>
        <v>0.22013229650521857</v>
      </c>
      <c r="K944">
        <f t="shared" si="259"/>
        <v>2.9885798780350932</v>
      </c>
      <c r="O944">
        <f t="shared" si="260"/>
        <v>-0.21580750587647943</v>
      </c>
      <c r="P944">
        <f t="shared" si="261"/>
        <v>3.3281450309308937E-2</v>
      </c>
      <c r="Q944">
        <f t="shared" si="262"/>
        <v>0.97586856977396408</v>
      </c>
      <c r="R944">
        <f t="shared" si="252"/>
        <v>1</v>
      </c>
      <c r="AG944" s="8">
        <f t="shared" si="256"/>
        <v>-0.79756400330219734</v>
      </c>
      <c r="AH944" s="8">
        <f t="shared" si="257"/>
        <v>-0.31798890043577605</v>
      </c>
      <c r="AI944" s="8">
        <f t="shared" si="258"/>
        <v>0.51261556729796909</v>
      </c>
      <c r="AJ944" s="8"/>
      <c r="AK944" s="8"/>
      <c r="AL944" s="8"/>
      <c r="AN944" s="8">
        <f t="shared" si="263"/>
        <v>1</v>
      </c>
      <c r="AO944" s="8">
        <f t="shared" si="264"/>
        <v>3.520977982062321</v>
      </c>
      <c r="AP944" s="8">
        <f t="shared" si="265"/>
        <v>1.0325680451540056</v>
      </c>
      <c r="AQ944" s="8"/>
      <c r="AR944" s="8">
        <f t="shared" si="266"/>
        <v>201.73717813066028</v>
      </c>
      <c r="AS944" s="8">
        <f t="shared" si="267"/>
        <v>30.838208952601661</v>
      </c>
    </row>
    <row r="945" spans="1:45">
      <c r="A945" s="19">
        <v>38.471766670000001</v>
      </c>
      <c r="B945" s="19">
        <v>617.6372169</v>
      </c>
      <c r="C945" s="19">
        <v>487.16115500000001</v>
      </c>
      <c r="E945" s="9">
        <f t="shared" si="253"/>
        <v>-342.3627831</v>
      </c>
      <c r="F945" s="9">
        <f t="shared" si="254"/>
        <v>52.838844999999992</v>
      </c>
      <c r="I945">
        <v>1</v>
      </c>
      <c r="J945">
        <f t="shared" si="255"/>
        <v>0.22040362246809303</v>
      </c>
      <c r="K945">
        <f t="shared" si="259"/>
        <v>2.9884650042469039</v>
      </c>
      <c r="O945">
        <f t="shared" si="260"/>
        <v>-0.21606535360689194</v>
      </c>
      <c r="P945">
        <f t="shared" si="261"/>
        <v>3.3346626130709177E-2</v>
      </c>
      <c r="Q945">
        <f t="shared" si="262"/>
        <v>0.9758092874616574</v>
      </c>
      <c r="R945">
        <f t="shared" si="252"/>
        <v>1</v>
      </c>
      <c r="AG945" s="8">
        <f t="shared" si="256"/>
        <v>-0.79767072991263732</v>
      </c>
      <c r="AH945" s="8">
        <f t="shared" si="257"/>
        <v>-0.31773841744983733</v>
      </c>
      <c r="AI945" s="8">
        <f t="shared" si="258"/>
        <v>0.51260482315045908</v>
      </c>
      <c r="AJ945" s="8"/>
      <c r="AK945" s="8"/>
      <c r="AL945" s="8"/>
      <c r="AN945" s="8">
        <f t="shared" si="263"/>
        <v>1</v>
      </c>
      <c r="AO945" s="8">
        <f t="shared" si="264"/>
        <v>3.5206609658737156</v>
      </c>
      <c r="AP945" s="8">
        <f t="shared" si="265"/>
        <v>1.0325805584071492</v>
      </c>
      <c r="AQ945" s="8"/>
      <c r="AR945" s="8">
        <f t="shared" si="266"/>
        <v>201.71901444101584</v>
      </c>
      <c r="AS945" s="8">
        <f t="shared" si="267"/>
        <v>30.837491996008552</v>
      </c>
    </row>
    <row r="946" spans="1:45">
      <c r="A946" s="19">
        <v>38.50513333</v>
      </c>
      <c r="B946" s="19">
        <v>617.06247069999995</v>
      </c>
      <c r="C946" s="19">
        <v>487.17989460000001</v>
      </c>
      <c r="E946" s="9">
        <f t="shared" si="253"/>
        <v>-342.93752930000005</v>
      </c>
      <c r="F946" s="9">
        <f t="shared" si="254"/>
        <v>52.820105399999989</v>
      </c>
      <c r="I946">
        <v>1</v>
      </c>
      <c r="J946">
        <f t="shared" si="255"/>
        <v>0.22075478618990427</v>
      </c>
      <c r="K946">
        <f t="shared" si="259"/>
        <v>2.9887710330800092</v>
      </c>
      <c r="O946">
        <f t="shared" si="260"/>
        <v>-0.21641421037057229</v>
      </c>
      <c r="P946">
        <f t="shared" si="261"/>
        <v>3.3332663897020144E-2</v>
      </c>
      <c r="Q946">
        <f t="shared" si="262"/>
        <v>0.97573245465507086</v>
      </c>
      <c r="R946">
        <f t="shared" si="252"/>
        <v>1</v>
      </c>
      <c r="AG946" s="8">
        <f t="shared" si="256"/>
        <v>-0.79785061467642038</v>
      </c>
      <c r="AH946" s="8">
        <f t="shared" si="257"/>
        <v>-0.31744562577368274</v>
      </c>
      <c r="AI946" s="8">
        <f t="shared" si="258"/>
        <v>0.51250626468133365</v>
      </c>
      <c r="AJ946" s="8"/>
      <c r="AK946" s="8"/>
      <c r="AL946" s="8"/>
      <c r="AN946" s="8">
        <f t="shared" si="263"/>
        <v>1</v>
      </c>
      <c r="AO946" s="8">
        <f t="shared" si="264"/>
        <v>3.5202666720199636</v>
      </c>
      <c r="AP946" s="8">
        <f t="shared" si="265"/>
        <v>1.0326953409167952</v>
      </c>
      <c r="AQ946" s="8"/>
      <c r="AR946" s="8">
        <f t="shared" si="266"/>
        <v>201.6964230673079</v>
      </c>
      <c r="AS946" s="8">
        <f t="shared" si="267"/>
        <v>30.830915442643921</v>
      </c>
    </row>
    <row r="947" spans="1:45">
      <c r="A947" s="19">
        <v>38.538499999999999</v>
      </c>
      <c r="B947" s="19">
        <v>616.4984978</v>
      </c>
      <c r="C947" s="19">
        <v>487.0196813</v>
      </c>
      <c r="E947" s="9">
        <f t="shared" si="253"/>
        <v>-343.5015022</v>
      </c>
      <c r="F947" s="9">
        <f t="shared" si="254"/>
        <v>52.980318699999998</v>
      </c>
      <c r="I947">
        <v>1</v>
      </c>
      <c r="J947">
        <f t="shared" si="255"/>
        <v>0.22111622252167787</v>
      </c>
      <c r="K947">
        <f t="shared" si="259"/>
        <v>2.9885624554209351</v>
      </c>
      <c r="O947">
        <f t="shared" si="260"/>
        <v>-0.21675578288378128</v>
      </c>
      <c r="P947">
        <f t="shared" si="261"/>
        <v>3.3431558184465887E-2</v>
      </c>
      <c r="Q947">
        <f t="shared" si="262"/>
        <v>0.975653248600033</v>
      </c>
      <c r="R947">
        <f t="shared" si="252"/>
        <v>1</v>
      </c>
      <c r="AG947" s="8">
        <f t="shared" si="256"/>
        <v>-0.79798745619977918</v>
      </c>
      <c r="AH947" s="8">
        <f t="shared" si="257"/>
        <v>-0.31710801131023525</v>
      </c>
      <c r="AI947" s="8">
        <f t="shared" si="258"/>
        <v>0.51250222332266371</v>
      </c>
      <c r="AJ947" s="8"/>
      <c r="AK947" s="8"/>
      <c r="AL947" s="8"/>
      <c r="AN947" s="8">
        <f t="shared" si="263"/>
        <v>1.0000000000000002</v>
      </c>
      <c r="AO947" s="8">
        <f t="shared" si="264"/>
        <v>3.5198424363699541</v>
      </c>
      <c r="AP947" s="8">
        <f t="shared" si="265"/>
        <v>1.0327000473692434</v>
      </c>
      <c r="AQ947" s="8"/>
      <c r="AR947" s="8">
        <f t="shared" si="266"/>
        <v>201.6721161550434</v>
      </c>
      <c r="AS947" s="8">
        <f t="shared" si="267"/>
        <v>30.830645782782163</v>
      </c>
    </row>
    <row r="948" spans="1:45">
      <c r="A948" s="19">
        <v>38.571866669999999</v>
      </c>
      <c r="B948" s="19">
        <v>615.82729270000004</v>
      </c>
      <c r="C948" s="19">
        <v>486.77755480000002</v>
      </c>
      <c r="E948" s="9">
        <f t="shared" si="253"/>
        <v>-344.17270729999996</v>
      </c>
      <c r="F948" s="9">
        <f t="shared" si="254"/>
        <v>53.222445199999981</v>
      </c>
      <c r="I948">
        <v>1</v>
      </c>
      <c r="J948">
        <f t="shared" si="255"/>
        <v>0.22155120526028368</v>
      </c>
      <c r="K948">
        <f t="shared" si="259"/>
        <v>2.9881691247519284</v>
      </c>
      <c r="O948">
        <f t="shared" si="260"/>
        <v>-0.2171620032152185</v>
      </c>
      <c r="P948">
        <f t="shared" si="261"/>
        <v>3.3581665746580239E-2</v>
      </c>
      <c r="Q948">
        <f t="shared" si="262"/>
        <v>0.97555775640668163</v>
      </c>
      <c r="R948">
        <f t="shared" si="252"/>
        <v>1</v>
      </c>
      <c r="AG948" s="8">
        <f t="shared" si="256"/>
        <v>-0.79813875490634323</v>
      </c>
      <c r="AH948" s="8">
        <f t="shared" si="257"/>
        <v>-0.31669171922461414</v>
      </c>
      <c r="AI948" s="8">
        <f t="shared" si="258"/>
        <v>0.51252403152545989</v>
      </c>
      <c r="AJ948" s="8"/>
      <c r="AK948" s="8"/>
      <c r="AL948" s="8"/>
      <c r="AN948" s="8">
        <f t="shared" si="263"/>
        <v>1.0000000000000002</v>
      </c>
      <c r="AO948" s="8">
        <f t="shared" si="264"/>
        <v>3.519326827674198</v>
      </c>
      <c r="AP948" s="8">
        <f t="shared" si="265"/>
        <v>1.0326746499938551</v>
      </c>
      <c r="AQ948" s="8"/>
      <c r="AR948" s="8">
        <f t="shared" si="266"/>
        <v>201.64257395289633</v>
      </c>
      <c r="AS948" s="8">
        <f t="shared" si="267"/>
        <v>30.832100945202619</v>
      </c>
    </row>
    <row r="949" spans="1:45">
      <c r="A949" s="19">
        <v>38.605233329999997</v>
      </c>
      <c r="B949" s="19">
        <v>615.41666669999995</v>
      </c>
      <c r="C949" s="19">
        <v>485.58333329999999</v>
      </c>
      <c r="E949" s="9">
        <f t="shared" si="253"/>
        <v>-344.58333330000005</v>
      </c>
      <c r="F949" s="9">
        <f t="shared" si="254"/>
        <v>54.416666700000007</v>
      </c>
      <c r="I949">
        <v>1</v>
      </c>
      <c r="J949">
        <f t="shared" si="255"/>
        <v>0.22191767803676493</v>
      </c>
      <c r="K949">
        <f t="shared" si="259"/>
        <v>2.9849659391829135</v>
      </c>
      <c r="O949">
        <f t="shared" si="260"/>
        <v>-0.21740644547220198</v>
      </c>
      <c r="P949">
        <f t="shared" si="261"/>
        <v>3.4332867955028767E-2</v>
      </c>
      <c r="Q949">
        <f t="shared" si="262"/>
        <v>0.97547716100640969</v>
      </c>
      <c r="R949">
        <f t="shared" si="252"/>
        <v>1</v>
      </c>
      <c r="AG949" s="8">
        <f t="shared" si="256"/>
        <v>-0.79799929127311309</v>
      </c>
      <c r="AH949" s="8">
        <f t="shared" si="257"/>
        <v>-0.31614227680825846</v>
      </c>
      <c r="AI949" s="8">
        <f t="shared" si="258"/>
        <v>0.51308010285149419</v>
      </c>
      <c r="AJ949" s="8"/>
      <c r="AK949" s="8"/>
      <c r="AL949" s="8"/>
      <c r="AN949" s="8">
        <f t="shared" si="263"/>
        <v>1.0000000000000002</v>
      </c>
      <c r="AO949" s="8">
        <f t="shared" si="264"/>
        <v>3.5187917582246748</v>
      </c>
      <c r="AP949" s="8">
        <f t="shared" si="265"/>
        <v>1.0320269308341889</v>
      </c>
      <c r="AQ949" s="8"/>
      <c r="AR949" s="8">
        <f t="shared" si="266"/>
        <v>201.61191673169225</v>
      </c>
      <c r="AS949" s="8">
        <f t="shared" si="267"/>
        <v>30.869212519361248</v>
      </c>
    </row>
    <row r="950" spans="1:45">
      <c r="A950" s="19">
        <v>38.638599999999997</v>
      </c>
      <c r="B950" s="19">
        <v>614.59023400000001</v>
      </c>
      <c r="C950" s="19">
        <v>486.48299159999999</v>
      </c>
      <c r="E950" s="9">
        <f t="shared" si="253"/>
        <v>-345.40976599999999</v>
      </c>
      <c r="F950" s="9">
        <f t="shared" si="254"/>
        <v>53.517008400000009</v>
      </c>
      <c r="I950">
        <v>1</v>
      </c>
      <c r="J950">
        <f t="shared" si="255"/>
        <v>0.22233834093877566</v>
      </c>
      <c r="K950">
        <f t="shared" si="259"/>
        <v>2.9878771536736002</v>
      </c>
      <c r="O950">
        <f t="shared" si="260"/>
        <v>-0.2179109637977667</v>
      </c>
      <c r="P950">
        <f t="shared" si="261"/>
        <v>3.3762632177624013E-2</v>
      </c>
      <c r="Q950">
        <f t="shared" si="262"/>
        <v>0.97538448651040521</v>
      </c>
      <c r="R950">
        <f t="shared" si="252"/>
        <v>1</v>
      </c>
      <c r="AG950" s="8">
        <f t="shared" si="256"/>
        <v>-0.798450736256056</v>
      </c>
      <c r="AH950" s="8">
        <f t="shared" si="257"/>
        <v>-0.31596723553496686</v>
      </c>
      <c r="AI950" s="8">
        <f t="shared" si="258"/>
        <v>0.51248524646135218</v>
      </c>
      <c r="AJ950" s="8"/>
      <c r="AK950" s="8"/>
      <c r="AL950" s="8"/>
      <c r="AN950" s="8">
        <f t="shared" si="263"/>
        <v>1</v>
      </c>
      <c r="AO950" s="8">
        <f t="shared" si="264"/>
        <v>3.5184086061772697</v>
      </c>
      <c r="AP950" s="8">
        <f t="shared" si="265"/>
        <v>1.0327198179992179</v>
      </c>
      <c r="AQ950" s="8"/>
      <c r="AR950" s="8">
        <f t="shared" si="266"/>
        <v>201.58996373646414</v>
      </c>
      <c r="AS950" s="8">
        <f t="shared" si="267"/>
        <v>30.829513009126309</v>
      </c>
    </row>
    <row r="951" spans="1:45">
      <c r="A951" s="19">
        <v>38.671966670000003</v>
      </c>
      <c r="B951" s="19">
        <v>613.95364529999995</v>
      </c>
      <c r="C951" s="19">
        <v>486.42511480000002</v>
      </c>
      <c r="E951" s="9">
        <f t="shared" si="253"/>
        <v>-346.04635470000005</v>
      </c>
      <c r="F951" s="9">
        <f t="shared" si="254"/>
        <v>53.574885199999983</v>
      </c>
      <c r="I951">
        <v>1</v>
      </c>
      <c r="J951">
        <f t="shared" si="255"/>
        <v>0.22273440044732207</v>
      </c>
      <c r="K951">
        <f t="shared" si="259"/>
        <v>2.987992167486508</v>
      </c>
      <c r="O951">
        <f t="shared" si="260"/>
        <v>-0.21829659054664449</v>
      </c>
      <c r="P951">
        <f t="shared" si="261"/>
        <v>3.3796670935103142E-2</v>
      </c>
      <c r="Q951">
        <f t="shared" si="262"/>
        <v>0.97529707453135273</v>
      </c>
      <c r="R951">
        <f t="shared" si="252"/>
        <v>1</v>
      </c>
      <c r="AG951" s="8">
        <f t="shared" si="256"/>
        <v>-0.79863181316851939</v>
      </c>
      <c r="AH951" s="8">
        <f t="shared" si="257"/>
        <v>-0.31562082612092124</v>
      </c>
      <c r="AI951" s="8">
        <f t="shared" si="258"/>
        <v>0.51241655039031508</v>
      </c>
      <c r="AJ951" s="8"/>
      <c r="AK951" s="8"/>
      <c r="AL951" s="8"/>
      <c r="AN951" s="8">
        <f t="shared" si="263"/>
        <v>1</v>
      </c>
      <c r="AO951" s="8">
        <f t="shared" si="264"/>
        <v>3.5179559238924476</v>
      </c>
      <c r="AP951" s="8">
        <f t="shared" si="265"/>
        <v>1.0327998165421328</v>
      </c>
      <c r="AQ951" s="8"/>
      <c r="AR951" s="8">
        <f t="shared" si="266"/>
        <v>201.56402695208348</v>
      </c>
      <c r="AS951" s="8">
        <f t="shared" si="267"/>
        <v>30.824929430250087</v>
      </c>
    </row>
    <row r="952" spans="1:45">
      <c r="A952" s="19">
        <v>38.705333330000002</v>
      </c>
      <c r="B952" s="19">
        <v>613.58098529999995</v>
      </c>
      <c r="C952" s="19">
        <v>486.31202380000002</v>
      </c>
      <c r="E952" s="9">
        <f t="shared" si="253"/>
        <v>-346.41901470000005</v>
      </c>
      <c r="F952" s="9">
        <f t="shared" si="254"/>
        <v>53.68797619999998</v>
      </c>
      <c r="I952">
        <v>1</v>
      </c>
      <c r="J952">
        <f t="shared" si="255"/>
        <v>0.22297375031963201</v>
      </c>
      <c r="K952">
        <f t="shared" si="259"/>
        <v>2.9878360046675168</v>
      </c>
      <c r="O952">
        <f t="shared" si="260"/>
        <v>-0.21852198715138174</v>
      </c>
      <c r="P952">
        <f t="shared" si="261"/>
        <v>3.3866510634585248E-2</v>
      </c>
      <c r="Q952">
        <f t="shared" si="262"/>
        <v>0.9752441748551226</v>
      </c>
      <c r="R952">
        <f t="shared" si="252"/>
        <v>1</v>
      </c>
      <c r="AG952" s="8">
        <f t="shared" si="256"/>
        <v>-0.7987201906889112</v>
      </c>
      <c r="AH952" s="8">
        <f t="shared" si="257"/>
        <v>-0.31539572995697668</v>
      </c>
      <c r="AI952" s="8">
        <f t="shared" si="258"/>
        <v>0.51241739871980863</v>
      </c>
      <c r="AJ952" s="8"/>
      <c r="AK952" s="8"/>
      <c r="AL952" s="8"/>
      <c r="AN952" s="8">
        <f t="shared" si="263"/>
        <v>1.0000000000000002</v>
      </c>
      <c r="AO952" s="8">
        <f t="shared" si="264"/>
        <v>3.5176743201174849</v>
      </c>
      <c r="AP952" s="8">
        <f t="shared" si="265"/>
        <v>1.0327988286614218</v>
      </c>
      <c r="AQ952" s="8"/>
      <c r="AR952" s="8">
        <f t="shared" si="266"/>
        <v>201.54789224428319</v>
      </c>
      <c r="AS952" s="8">
        <f t="shared" si="267"/>
        <v>30.824986031645487</v>
      </c>
    </row>
    <row r="953" spans="1:45">
      <c r="A953" s="19">
        <v>38.738700000000001</v>
      </c>
      <c r="B953" s="19">
        <v>613.02326489999996</v>
      </c>
      <c r="C953" s="19">
        <v>486.33553599999999</v>
      </c>
      <c r="E953" s="9">
        <f t="shared" si="253"/>
        <v>-346.97673510000004</v>
      </c>
      <c r="F953" s="9">
        <f t="shared" si="254"/>
        <v>53.664464000000009</v>
      </c>
      <c r="I953">
        <v>1</v>
      </c>
      <c r="J953">
        <f t="shared" si="255"/>
        <v>0.22331360762539484</v>
      </c>
      <c r="K953">
        <f t="shared" si="259"/>
        <v>2.9881454603423716</v>
      </c>
      <c r="O953">
        <f t="shared" si="260"/>
        <v>-0.21885999365804074</v>
      </c>
      <c r="P953">
        <f t="shared" si="261"/>
        <v>3.3849543968177603E-2</v>
      </c>
      <c r="Q953">
        <f t="shared" si="262"/>
        <v>0.97516896564090305</v>
      </c>
      <c r="R953">
        <f t="shared" si="252"/>
        <v>1</v>
      </c>
      <c r="AG953" s="8">
        <f t="shared" si="256"/>
        <v>-0.79889507375623825</v>
      </c>
      <c r="AH953" s="8">
        <f t="shared" si="257"/>
        <v>-0.31511315212884361</v>
      </c>
      <c r="AI953" s="8">
        <f t="shared" si="258"/>
        <v>0.51231861422696612</v>
      </c>
      <c r="AJ953" s="8"/>
      <c r="AK953" s="8"/>
      <c r="AL953" s="8"/>
      <c r="AN953" s="8">
        <f t="shared" si="263"/>
        <v>0.99999999999999989</v>
      </c>
      <c r="AO953" s="8">
        <f t="shared" si="264"/>
        <v>3.5172934848829258</v>
      </c>
      <c r="AP953" s="8">
        <f t="shared" si="265"/>
        <v>1.0329138594079592</v>
      </c>
      <c r="AQ953" s="8"/>
      <c r="AR953" s="8">
        <f t="shared" si="266"/>
        <v>201.52607199265307</v>
      </c>
      <c r="AS953" s="8">
        <f t="shared" si="267"/>
        <v>30.818395255354659</v>
      </c>
    </row>
    <row r="954" spans="1:45">
      <c r="A954" s="19">
        <v>38.772066670000001</v>
      </c>
      <c r="B954" s="19">
        <v>612.54704730000003</v>
      </c>
      <c r="C954" s="19">
        <v>486.33783640000001</v>
      </c>
      <c r="E954" s="9">
        <f t="shared" si="253"/>
        <v>-347.45295269999997</v>
      </c>
      <c r="F954" s="9">
        <f t="shared" si="254"/>
        <v>53.662163599999985</v>
      </c>
      <c r="I954">
        <v>1</v>
      </c>
      <c r="J954">
        <f t="shared" si="255"/>
        <v>0.22360546185197999</v>
      </c>
      <c r="K954">
        <f t="shared" si="259"/>
        <v>2.9883589617016404</v>
      </c>
      <c r="O954">
        <f t="shared" si="260"/>
        <v>-0.2191484786166728</v>
      </c>
      <c r="P954">
        <f t="shared" si="261"/>
        <v>3.3846255790414559E-2</v>
      </c>
      <c r="Q954">
        <f t="shared" si="262"/>
        <v>0.97510428944239991</v>
      </c>
      <c r="R954">
        <f t="shared" si="252"/>
        <v>1</v>
      </c>
      <c r="AG954" s="8">
        <f t="shared" si="256"/>
        <v>-0.79904036629760644</v>
      </c>
      <c r="AH954" s="8">
        <f t="shared" si="257"/>
        <v>-0.31486686447792422</v>
      </c>
      <c r="AI954" s="8">
        <f t="shared" si="258"/>
        <v>0.5122434486460784</v>
      </c>
      <c r="AJ954" s="8"/>
      <c r="AK954" s="8"/>
      <c r="AL954" s="8"/>
      <c r="AN954" s="8">
        <f t="shared" si="263"/>
        <v>1.0000000000000002</v>
      </c>
      <c r="AO954" s="8">
        <f t="shared" si="264"/>
        <v>3.5169646453192813</v>
      </c>
      <c r="AP954" s="8">
        <f t="shared" si="265"/>
        <v>1.0330013815508985</v>
      </c>
      <c r="AQ954" s="8"/>
      <c r="AR954" s="8">
        <f t="shared" si="266"/>
        <v>201.50723087351932</v>
      </c>
      <c r="AS954" s="8">
        <f t="shared" si="267"/>
        <v>30.813380605950293</v>
      </c>
    </row>
    <row r="955" spans="1:45">
      <c r="A955" s="19">
        <v>38.80543333</v>
      </c>
      <c r="B955" s="19">
        <v>611.93502799999999</v>
      </c>
      <c r="C955" s="19">
        <v>486.3038651</v>
      </c>
      <c r="E955" s="9">
        <f t="shared" si="253"/>
        <v>-348.06497200000001</v>
      </c>
      <c r="F955" s="9">
        <f t="shared" si="254"/>
        <v>53.696134900000004</v>
      </c>
      <c r="I955">
        <v>1</v>
      </c>
      <c r="J955">
        <f t="shared" si="255"/>
        <v>0.22398399839214531</v>
      </c>
      <c r="K955">
        <f t="shared" si="259"/>
        <v>2.9885288797270095</v>
      </c>
      <c r="O955">
        <f t="shared" si="260"/>
        <v>-0.21951900799042162</v>
      </c>
      <c r="P955">
        <f t="shared" si="261"/>
        <v>3.3865293018246756E-2</v>
      </c>
      <c r="Q955">
        <f t="shared" si="262"/>
        <v>0.97502028033251154</v>
      </c>
      <c r="R955">
        <f t="shared" si="252"/>
        <v>1</v>
      </c>
      <c r="AG955" s="8">
        <f t="shared" si="256"/>
        <v>-0.79921878115670841</v>
      </c>
      <c r="AH955" s="8">
        <f t="shared" si="257"/>
        <v>-0.31453994840911081</v>
      </c>
      <c r="AI955" s="8">
        <f t="shared" si="258"/>
        <v>0.51216595035318324</v>
      </c>
      <c r="AJ955" s="8"/>
      <c r="AK955" s="8"/>
      <c r="AL955" s="8"/>
      <c r="AN955" s="8">
        <f t="shared" si="263"/>
        <v>1</v>
      </c>
      <c r="AO955" s="8">
        <f t="shared" si="264"/>
        <v>3.5165343631449884</v>
      </c>
      <c r="AP955" s="8">
        <f t="shared" si="265"/>
        <v>1.0330916150998388</v>
      </c>
      <c r="AQ955" s="8"/>
      <c r="AR955" s="8">
        <f t="shared" si="266"/>
        <v>201.48257752093261</v>
      </c>
      <c r="AS955" s="8">
        <f t="shared" si="267"/>
        <v>30.808210604425526</v>
      </c>
    </row>
    <row r="956" spans="1:45">
      <c r="A956" s="19">
        <v>38.838799999999999</v>
      </c>
      <c r="B956" s="19">
        <v>611.33333330000005</v>
      </c>
      <c r="C956" s="19">
        <v>485.41666670000001</v>
      </c>
      <c r="E956" s="9">
        <f t="shared" si="253"/>
        <v>-348.66666669999995</v>
      </c>
      <c r="F956" s="9">
        <f t="shared" si="254"/>
        <v>54.583333299999993</v>
      </c>
      <c r="I956">
        <v>1</v>
      </c>
      <c r="J956">
        <f t="shared" si="255"/>
        <v>0.22443739187712608</v>
      </c>
      <c r="K956">
        <f t="shared" si="259"/>
        <v>2.9863042879476271</v>
      </c>
      <c r="O956">
        <f t="shared" si="260"/>
        <v>-0.21987985427960366</v>
      </c>
      <c r="P956">
        <f t="shared" si="261"/>
        <v>3.4421917889918642E-2</v>
      </c>
      <c r="Q956">
        <f t="shared" si="262"/>
        <v>0.97491947423915992</v>
      </c>
      <c r="R956">
        <f t="shared" si="252"/>
        <v>1</v>
      </c>
      <c r="AG956" s="8">
        <f t="shared" si="256"/>
        <v>-0.79920474663102647</v>
      </c>
      <c r="AH956" s="8">
        <f t="shared" si="257"/>
        <v>-0.31397809936478954</v>
      </c>
      <c r="AI956" s="8">
        <f t="shared" si="258"/>
        <v>0.51253246344179137</v>
      </c>
      <c r="AJ956" s="8"/>
      <c r="AK956" s="8"/>
      <c r="AL956" s="8"/>
      <c r="AN956" s="8">
        <f t="shared" si="263"/>
        <v>1.0000000000000002</v>
      </c>
      <c r="AO956" s="8">
        <f t="shared" si="264"/>
        <v>3.5159314791018383</v>
      </c>
      <c r="AP956" s="8">
        <f t="shared" si="265"/>
        <v>1.0326648302578114</v>
      </c>
      <c r="AQ956" s="8"/>
      <c r="AR956" s="8">
        <f t="shared" si="266"/>
        <v>201.44803480972433</v>
      </c>
      <c r="AS956" s="8">
        <f t="shared" si="267"/>
        <v>30.832663574633855</v>
      </c>
    </row>
    <row r="957" spans="1:45">
      <c r="A957" s="19">
        <v>38.872166669999999</v>
      </c>
      <c r="B957" s="19">
        <v>610.75327070000003</v>
      </c>
      <c r="C957" s="19">
        <v>485.32239429999998</v>
      </c>
      <c r="E957" s="9">
        <f t="shared" si="253"/>
        <v>-349.24672929999997</v>
      </c>
      <c r="F957" s="9">
        <f t="shared" si="254"/>
        <v>54.677605700000015</v>
      </c>
      <c r="I957">
        <v>1</v>
      </c>
      <c r="J957">
        <f t="shared" si="255"/>
        <v>0.22480191964732205</v>
      </c>
      <c r="K957">
        <f t="shared" si="259"/>
        <v>2.9862946058386401</v>
      </c>
      <c r="O957">
        <f t="shared" si="260"/>
        <v>-0.22023061470537025</v>
      </c>
      <c r="P957">
        <f t="shared" si="261"/>
        <v>3.4479013556015799E-2</v>
      </c>
      <c r="Q957">
        <f t="shared" si="262"/>
        <v>0.9748382809321241</v>
      </c>
      <c r="R957">
        <f t="shared" si="252"/>
        <v>1</v>
      </c>
      <c r="AG957" s="8">
        <f t="shared" si="256"/>
        <v>-0.79935980955068175</v>
      </c>
      <c r="AH957" s="8">
        <f t="shared" si="257"/>
        <v>-0.3136507996361878</v>
      </c>
      <c r="AI957" s="8">
        <f t="shared" si="258"/>
        <v>0.51249104456827133</v>
      </c>
      <c r="AJ957" s="8"/>
      <c r="AK957" s="8"/>
      <c r="AL957" s="8"/>
      <c r="AN957" s="8">
        <f t="shared" si="263"/>
        <v>1</v>
      </c>
      <c r="AO957" s="8">
        <f t="shared" si="264"/>
        <v>3.5155106835954388</v>
      </c>
      <c r="AP957" s="8">
        <f t="shared" si="265"/>
        <v>1.0327130657628052</v>
      </c>
      <c r="AQ957" s="8"/>
      <c r="AR957" s="8">
        <f t="shared" si="266"/>
        <v>201.42392500316959</v>
      </c>
      <c r="AS957" s="8">
        <f t="shared" si="267"/>
        <v>30.829899883775028</v>
      </c>
    </row>
    <row r="958" spans="1:45">
      <c r="A958" s="19">
        <v>38.905533329999997</v>
      </c>
      <c r="B958" s="19">
        <v>610.30903209999997</v>
      </c>
      <c r="C958" s="19">
        <v>485.19214699999998</v>
      </c>
      <c r="E958" s="9">
        <f t="shared" si="253"/>
        <v>-349.69096790000003</v>
      </c>
      <c r="F958" s="9">
        <f t="shared" si="254"/>
        <v>54.807853000000023</v>
      </c>
      <c r="I958">
        <v>1</v>
      </c>
      <c r="J958">
        <f t="shared" si="255"/>
        <v>0.22508662596543416</v>
      </c>
      <c r="K958">
        <f t="shared" si="259"/>
        <v>2.986125187190904</v>
      </c>
      <c r="O958">
        <f t="shared" si="260"/>
        <v>-0.22049895647484999</v>
      </c>
      <c r="P958">
        <f t="shared" si="261"/>
        <v>3.4559298073100118E-2</v>
      </c>
      <c r="Q958">
        <f t="shared" si="262"/>
        <v>0.97477477660749756</v>
      </c>
      <c r="R958">
        <f t="shared" si="252"/>
        <v>1</v>
      </c>
      <c r="AG958" s="8">
        <f t="shared" si="256"/>
        <v>-0.79946559600217326</v>
      </c>
      <c r="AH958" s="8">
        <f t="shared" si="257"/>
        <v>-0.31338379374750913</v>
      </c>
      <c r="AI958" s="8">
        <f t="shared" si="258"/>
        <v>0.51248937415843909</v>
      </c>
      <c r="AJ958" s="8"/>
      <c r="AK958" s="8"/>
      <c r="AL958" s="8"/>
      <c r="AN958" s="8">
        <f t="shared" si="263"/>
        <v>1</v>
      </c>
      <c r="AO958" s="8">
        <f t="shared" si="264"/>
        <v>3.5151762257124846</v>
      </c>
      <c r="AP958" s="8">
        <f t="shared" si="265"/>
        <v>1.0327150110560588</v>
      </c>
      <c r="AQ958" s="8"/>
      <c r="AR958" s="8">
        <f t="shared" si="266"/>
        <v>201.40476197805143</v>
      </c>
      <c r="AS958" s="8">
        <f t="shared" si="267"/>
        <v>30.829788426681681</v>
      </c>
    </row>
    <row r="959" spans="1:45">
      <c r="A959" s="19">
        <v>38.938899999999997</v>
      </c>
      <c r="B959" s="19">
        <v>610</v>
      </c>
      <c r="C959" s="19">
        <v>484.41666670000001</v>
      </c>
      <c r="E959" s="9">
        <f t="shared" si="253"/>
        <v>-350</v>
      </c>
      <c r="F959" s="9">
        <f t="shared" si="254"/>
        <v>55.583333299999993</v>
      </c>
      <c r="I959">
        <v>1</v>
      </c>
      <c r="J959">
        <f t="shared" si="255"/>
        <v>0.22535087602060386</v>
      </c>
      <c r="K959">
        <f t="shared" si="259"/>
        <v>2.9840983673093322</v>
      </c>
      <c r="O959">
        <f t="shared" si="260"/>
        <v>-0.22068284671490287</v>
      </c>
      <c r="P959">
        <f t="shared" si="261"/>
        <v>3.5046537778706484E-2</v>
      </c>
      <c r="Q959">
        <f t="shared" si="262"/>
        <v>0.97471576439264196</v>
      </c>
      <c r="R959">
        <f t="shared" si="252"/>
        <v>1</v>
      </c>
      <c r="AG959" s="8">
        <f t="shared" si="256"/>
        <v>-0.79938708544642678</v>
      </c>
      <c r="AH959" s="8">
        <f t="shared" si="257"/>
        <v>-0.3130051240297228</v>
      </c>
      <c r="AI959" s="8">
        <f t="shared" si="258"/>
        <v>0.51284313386512748</v>
      </c>
      <c r="AJ959" s="8"/>
      <c r="AK959" s="8"/>
      <c r="AL959" s="8"/>
      <c r="AN959" s="8">
        <f t="shared" si="263"/>
        <v>1</v>
      </c>
      <c r="AO959" s="8">
        <f t="shared" si="264"/>
        <v>3.514798933835388</v>
      </c>
      <c r="AP959" s="8">
        <f t="shared" si="265"/>
        <v>1.0323029860546797</v>
      </c>
      <c r="AQ959" s="8"/>
      <c r="AR959" s="8">
        <f t="shared" si="266"/>
        <v>201.38314474584922</v>
      </c>
      <c r="AS959" s="8">
        <f t="shared" si="267"/>
        <v>30.853395720314573</v>
      </c>
    </row>
    <row r="960" spans="1:45">
      <c r="A960" s="19">
        <v>38.972266670000003</v>
      </c>
      <c r="B960" s="19">
        <v>609.36889840000003</v>
      </c>
      <c r="C960" s="19">
        <v>484.32576990000001</v>
      </c>
      <c r="E960" s="9">
        <f t="shared" si="253"/>
        <v>-350.63110159999997</v>
      </c>
      <c r="F960" s="9">
        <f t="shared" si="254"/>
        <v>55.674230099999988</v>
      </c>
      <c r="I960">
        <v>1</v>
      </c>
      <c r="J960">
        <f t="shared" si="255"/>
        <v>0.2257461937811493</v>
      </c>
      <c r="K960">
        <f t="shared" si="259"/>
        <v>2.9841243168307301</v>
      </c>
      <c r="O960">
        <f t="shared" si="260"/>
        <v>-0.22106429386317067</v>
      </c>
      <c r="P960">
        <f t="shared" si="261"/>
        <v>3.5101234052741473E-2</v>
      </c>
      <c r="Q960">
        <f t="shared" si="262"/>
        <v>0.97462735511925391</v>
      </c>
      <c r="R960">
        <f t="shared" si="252"/>
        <v>1</v>
      </c>
      <c r="AG960" s="8">
        <f t="shared" si="256"/>
        <v>-0.79955803930051306</v>
      </c>
      <c r="AH960" s="8">
        <f t="shared" si="257"/>
        <v>-0.31265234708092882</v>
      </c>
      <c r="AI960" s="8">
        <f t="shared" si="258"/>
        <v>0.51279182097095277</v>
      </c>
      <c r="AJ960" s="8"/>
      <c r="AK960" s="8"/>
      <c r="AL960" s="8"/>
      <c r="AN960" s="8">
        <f t="shared" si="263"/>
        <v>1</v>
      </c>
      <c r="AO960" s="8">
        <f t="shared" si="264"/>
        <v>3.5143437011621028</v>
      </c>
      <c r="AP960" s="8">
        <f t="shared" si="265"/>
        <v>1.0323627566242337</v>
      </c>
      <c r="AQ960" s="8"/>
      <c r="AR960" s="8">
        <f t="shared" si="266"/>
        <v>201.35706183497351</v>
      </c>
      <c r="AS960" s="8">
        <f t="shared" si="267"/>
        <v>30.84997111894004</v>
      </c>
    </row>
    <row r="961" spans="1:45">
      <c r="A961" s="19">
        <v>39.005633330000002</v>
      </c>
      <c r="B961" s="19">
        <v>609.07390190000001</v>
      </c>
      <c r="C961" s="19">
        <v>484.05061490000003</v>
      </c>
      <c r="E961" s="9">
        <f t="shared" si="253"/>
        <v>-350.92609809999999</v>
      </c>
      <c r="F961" s="9">
        <f t="shared" si="254"/>
        <v>55.949385099999972</v>
      </c>
      <c r="I961">
        <v>1</v>
      </c>
      <c r="J961">
        <f t="shared" si="255"/>
        <v>0.22595361963301616</v>
      </c>
      <c r="K961">
        <f t="shared" si="259"/>
        <v>2.9834897746442071</v>
      </c>
      <c r="O961">
        <f t="shared" si="260"/>
        <v>-0.22124161287268987</v>
      </c>
      <c r="P961">
        <f t="shared" si="261"/>
        <v>3.5273330384313288E-2</v>
      </c>
      <c r="Q961">
        <f t="shared" si="262"/>
        <v>0.97458090525984031</v>
      </c>
      <c r="R961">
        <f t="shared" si="252"/>
        <v>1</v>
      </c>
      <c r="AG961" s="8">
        <f t="shared" si="256"/>
        <v>-0.79958620230328126</v>
      </c>
      <c r="AH961" s="8">
        <f t="shared" si="257"/>
        <v>-0.31242190079325161</v>
      </c>
      <c r="AI961" s="8">
        <f t="shared" si="258"/>
        <v>0.51288835138941102</v>
      </c>
      <c r="AJ961" s="8"/>
      <c r="AK961" s="8"/>
      <c r="AL961" s="8"/>
      <c r="AN961" s="8">
        <f t="shared" si="263"/>
        <v>1</v>
      </c>
      <c r="AO961" s="8">
        <f t="shared" si="264"/>
        <v>3.5140817449723629</v>
      </c>
      <c r="AP961" s="8">
        <f t="shared" si="265"/>
        <v>1.0322503137586372</v>
      </c>
      <c r="AQ961" s="8"/>
      <c r="AR961" s="8">
        <f t="shared" si="266"/>
        <v>201.3420528508841</v>
      </c>
      <c r="AS961" s="8">
        <f t="shared" si="267"/>
        <v>30.856413620575076</v>
      </c>
    </row>
    <row r="962" spans="1:45">
      <c r="A962" s="19">
        <v>39.039000000000001</v>
      </c>
      <c r="B962" s="19">
        <v>608.26692330000003</v>
      </c>
      <c r="C962" s="19">
        <v>484.14059090000001</v>
      </c>
      <c r="E962" s="9">
        <f t="shared" si="253"/>
        <v>-351.73307669999997</v>
      </c>
      <c r="F962" s="9">
        <f t="shared" si="254"/>
        <v>55.859409099999993</v>
      </c>
      <c r="I962">
        <v>1</v>
      </c>
      <c r="J962">
        <f t="shared" si="255"/>
        <v>0.22643887910966184</v>
      </c>
      <c r="K962">
        <f t="shared" si="259"/>
        <v>2.984096019264058</v>
      </c>
      <c r="O962">
        <f t="shared" si="260"/>
        <v>-0.22173000165401585</v>
      </c>
      <c r="P962">
        <f t="shared" si="261"/>
        <v>3.5213369718706769E-2</v>
      </c>
      <c r="Q962">
        <f t="shared" si="262"/>
        <v>0.97447207500244137</v>
      </c>
      <c r="R962">
        <f t="shared" si="252"/>
        <v>1</v>
      </c>
      <c r="AG962" s="8">
        <f t="shared" si="256"/>
        <v>-0.79985029772842631</v>
      </c>
      <c r="AH962" s="8">
        <f t="shared" si="257"/>
        <v>-0.31202892679488275</v>
      </c>
      <c r="AI962" s="8">
        <f t="shared" si="258"/>
        <v>0.51271575952664206</v>
      </c>
      <c r="AJ962" s="8"/>
      <c r="AK962" s="8"/>
      <c r="AL962" s="8"/>
      <c r="AN962" s="8">
        <f t="shared" si="263"/>
        <v>1</v>
      </c>
      <c r="AO962" s="8">
        <f t="shared" si="264"/>
        <v>3.5135434715958906</v>
      </c>
      <c r="AP962" s="8">
        <f t="shared" si="265"/>
        <v>1.0324513510114417</v>
      </c>
      <c r="AQ962" s="8"/>
      <c r="AR962" s="8">
        <f t="shared" si="266"/>
        <v>201.31121205818798</v>
      </c>
      <c r="AS962" s="8">
        <f t="shared" si="267"/>
        <v>30.844895034464471</v>
      </c>
    </row>
    <row r="963" spans="1:45">
      <c r="A963" s="19">
        <v>39.072366670000001</v>
      </c>
      <c r="B963" s="19">
        <v>607.85241169999995</v>
      </c>
      <c r="C963" s="19">
        <v>484.16400670000002</v>
      </c>
      <c r="E963" s="9">
        <f t="shared" si="253"/>
        <v>-352.14758830000005</v>
      </c>
      <c r="F963" s="9">
        <f t="shared" si="254"/>
        <v>55.835993299999984</v>
      </c>
      <c r="I963">
        <v>1</v>
      </c>
      <c r="J963">
        <f t="shared" si="255"/>
        <v>0.22669034243552522</v>
      </c>
      <c r="K963">
        <f t="shared" si="259"/>
        <v>2.984343225566473</v>
      </c>
      <c r="O963">
        <f t="shared" si="260"/>
        <v>-0.22198071341104439</v>
      </c>
      <c r="P963">
        <f t="shared" si="261"/>
        <v>3.5196928897292951E-2</v>
      </c>
      <c r="Q963">
        <f t="shared" si="262"/>
        <v>0.97441558847840826</v>
      </c>
      <c r="R963">
        <f t="shared" si="252"/>
        <v>1</v>
      </c>
      <c r="AG963" s="8">
        <f t="shared" si="256"/>
        <v>-0.79998078803008199</v>
      </c>
      <c r="AH963" s="8">
        <f t="shared" si="257"/>
        <v>-0.31182065009689197</v>
      </c>
      <c r="AI963" s="8">
        <f t="shared" si="258"/>
        <v>0.51263887967644506</v>
      </c>
      <c r="AJ963" s="8"/>
      <c r="AK963" s="8"/>
      <c r="AL963" s="8"/>
      <c r="AN963" s="8">
        <f t="shared" si="263"/>
        <v>1</v>
      </c>
      <c r="AO963" s="8">
        <f t="shared" si="264"/>
        <v>3.513262248553064</v>
      </c>
      <c r="AP963" s="8">
        <f t="shared" si="265"/>
        <v>1.032540893893561</v>
      </c>
      <c r="AQ963" s="8"/>
      <c r="AR963" s="8">
        <f t="shared" si="266"/>
        <v>201.29509916473219</v>
      </c>
      <c r="AS963" s="8">
        <f t="shared" si="267"/>
        <v>30.839764605233604</v>
      </c>
    </row>
    <row r="964" spans="1:45">
      <c r="A964" s="19">
        <v>39.10573333</v>
      </c>
      <c r="B964" s="19">
        <v>607.09560929999998</v>
      </c>
      <c r="C964" s="19">
        <v>484.25881930000003</v>
      </c>
      <c r="E964" s="9">
        <f t="shared" si="253"/>
        <v>-352.90439070000002</v>
      </c>
      <c r="F964" s="9">
        <f t="shared" si="254"/>
        <v>55.741180699999973</v>
      </c>
      <c r="I964">
        <v>1</v>
      </c>
      <c r="J964">
        <f t="shared" si="255"/>
        <v>0.22714438723507194</v>
      </c>
      <c r="K964">
        <f t="shared" si="259"/>
        <v>2.9849370456221851</v>
      </c>
      <c r="O964">
        <f t="shared" si="260"/>
        <v>-0.22243856262739206</v>
      </c>
      <c r="P964">
        <f t="shared" si="261"/>
        <v>3.5134128225120263E-2</v>
      </c>
      <c r="Q964">
        <f t="shared" si="262"/>
        <v>0.97431343975648854</v>
      </c>
      <c r="R964">
        <f t="shared" si="252"/>
        <v>1</v>
      </c>
      <c r="AG964" s="8">
        <f t="shared" si="256"/>
        <v>-0.80023042518422427</v>
      </c>
      <c r="AH964" s="8">
        <f t="shared" si="257"/>
        <v>-0.31145505075072566</v>
      </c>
      <c r="AI964" s="8">
        <f t="shared" si="258"/>
        <v>0.51247148015410449</v>
      </c>
      <c r="AJ964" s="8"/>
      <c r="AK964" s="8"/>
      <c r="AL964" s="8"/>
      <c r="AN964" s="8">
        <f t="shared" si="263"/>
        <v>1</v>
      </c>
      <c r="AO964" s="8">
        <f t="shared" si="264"/>
        <v>3.512759982271219</v>
      </c>
      <c r="AP964" s="8">
        <f t="shared" si="265"/>
        <v>1.0327358495644146</v>
      </c>
      <c r="AQ964" s="8"/>
      <c r="AR964" s="8">
        <f t="shared" si="266"/>
        <v>201.26632142659074</v>
      </c>
      <c r="AS964" s="8">
        <f t="shared" si="267"/>
        <v>30.828594468101549</v>
      </c>
    </row>
    <row r="965" spans="1:45">
      <c r="A965" s="19">
        <v>39.139099999999999</v>
      </c>
      <c r="B965" s="19">
        <v>606.62481879999996</v>
      </c>
      <c r="C965" s="19">
        <v>483.97697820000002</v>
      </c>
      <c r="E965" s="9">
        <f t="shared" si="253"/>
        <v>-353.37518120000004</v>
      </c>
      <c r="F965" s="9">
        <f t="shared" si="254"/>
        <v>56.023021799999981</v>
      </c>
      <c r="I965">
        <v>1</v>
      </c>
      <c r="J965">
        <f t="shared" si="255"/>
        <v>0.22745980007286054</v>
      </c>
      <c r="K965">
        <f t="shared" si="259"/>
        <v>2.9843642514273139</v>
      </c>
      <c r="O965">
        <f t="shared" si="260"/>
        <v>-0.22272191074847295</v>
      </c>
      <c r="P965">
        <f t="shared" si="261"/>
        <v>3.530965139891195E-2</v>
      </c>
      <c r="Q965">
        <f t="shared" si="262"/>
        <v>0.97424236152542487</v>
      </c>
      <c r="R965">
        <f t="shared" si="252"/>
        <v>1</v>
      </c>
      <c r="AG965" s="8">
        <f t="shared" si="256"/>
        <v>-0.8003098964765869</v>
      </c>
      <c r="AH965" s="8">
        <f t="shared" si="257"/>
        <v>-0.31113163628356999</v>
      </c>
      <c r="AI965" s="8">
        <f t="shared" si="258"/>
        <v>0.5125438269115562</v>
      </c>
      <c r="AJ965" s="8"/>
      <c r="AK965" s="8"/>
      <c r="AL965" s="8"/>
      <c r="AN965" s="8">
        <f t="shared" si="263"/>
        <v>1.0000000000000002</v>
      </c>
      <c r="AO965" s="8">
        <f t="shared" si="264"/>
        <v>3.5123754114970844</v>
      </c>
      <c r="AP965" s="8">
        <f t="shared" si="265"/>
        <v>1.0326515963692162</v>
      </c>
      <c r="AQ965" s="8"/>
      <c r="AR965" s="8">
        <f t="shared" si="266"/>
        <v>201.24428714430874</v>
      </c>
      <c r="AS965" s="8">
        <f t="shared" si="267"/>
        <v>30.833421820596904</v>
      </c>
    </row>
    <row r="966" spans="1:45">
      <c r="A966" s="19">
        <v>39.172466669999999</v>
      </c>
      <c r="B966" s="19">
        <v>606.08200629999999</v>
      </c>
      <c r="C966" s="19">
        <v>484.12547590000003</v>
      </c>
      <c r="E966" s="9">
        <f t="shared" si="253"/>
        <v>-353.91799370000001</v>
      </c>
      <c r="F966" s="9">
        <f t="shared" si="254"/>
        <v>55.874524099999974</v>
      </c>
      <c r="I966">
        <v>1</v>
      </c>
      <c r="J966">
        <f t="shared" si="255"/>
        <v>0.22777757699693454</v>
      </c>
      <c r="K966">
        <f t="shared" si="259"/>
        <v>2.9850108029991302</v>
      </c>
      <c r="O966">
        <f t="shared" si="260"/>
        <v>-0.22305048667661412</v>
      </c>
      <c r="P966">
        <f t="shared" si="261"/>
        <v>3.5213919651379468E-2</v>
      </c>
      <c r="Q966">
        <f t="shared" si="262"/>
        <v>0.97417065253276425</v>
      </c>
      <c r="R966">
        <f t="shared" si="252"/>
        <v>1</v>
      </c>
      <c r="AG966" s="8">
        <f t="shared" si="256"/>
        <v>-0.80050659968240501</v>
      </c>
      <c r="AH966" s="8">
        <f t="shared" si="257"/>
        <v>-0.31089209171087673</v>
      </c>
      <c r="AI966" s="8">
        <f t="shared" si="258"/>
        <v>0.51238197780225403</v>
      </c>
      <c r="AJ966" s="8"/>
      <c r="AK966" s="8"/>
      <c r="AL966" s="8"/>
      <c r="AN966" s="8">
        <f t="shared" si="263"/>
        <v>1</v>
      </c>
      <c r="AO966" s="8">
        <f t="shared" si="264"/>
        <v>3.5120324270346464</v>
      </c>
      <c r="AP966" s="8">
        <f t="shared" si="265"/>
        <v>1.0328400758669085</v>
      </c>
      <c r="AQ966" s="8"/>
      <c r="AR966" s="8">
        <f t="shared" si="266"/>
        <v>201.22463558217248</v>
      </c>
      <c r="AS966" s="8">
        <f t="shared" si="267"/>
        <v>30.822622740854392</v>
      </c>
    </row>
    <row r="967" spans="1:45">
      <c r="A967" s="19">
        <v>39.205833329999997</v>
      </c>
      <c r="B967" s="19">
        <v>605.65069089999997</v>
      </c>
      <c r="C967" s="19">
        <v>483.8184316</v>
      </c>
      <c r="E967" s="9">
        <f t="shared" si="253"/>
        <v>-354.34930910000003</v>
      </c>
      <c r="F967" s="9">
        <f t="shared" si="254"/>
        <v>56.181568400000003</v>
      </c>
      <c r="I967">
        <v>1</v>
      </c>
      <c r="J967">
        <f t="shared" si="255"/>
        <v>0.22807119048011398</v>
      </c>
      <c r="K967">
        <f t="shared" si="259"/>
        <v>2.9843529334133585</v>
      </c>
      <c r="O967">
        <f t="shared" si="260"/>
        <v>-0.22330976359904564</v>
      </c>
      <c r="P967">
        <f t="shared" si="261"/>
        <v>3.5405438746000467E-2</v>
      </c>
      <c r="Q967">
        <f t="shared" si="262"/>
        <v>0.97410430878245358</v>
      </c>
      <c r="R967">
        <f t="shared" si="252"/>
        <v>1</v>
      </c>
      <c r="AG967" s="8">
        <f t="shared" si="256"/>
        <v>-0.80056838776907413</v>
      </c>
      <c r="AH967" s="8">
        <f t="shared" si="257"/>
        <v>-0.31058205951814277</v>
      </c>
      <c r="AI967" s="8">
        <f t="shared" si="258"/>
        <v>0.51247345376155273</v>
      </c>
      <c r="AJ967" s="8"/>
      <c r="AK967" s="8"/>
      <c r="AL967" s="8"/>
      <c r="AN967" s="8">
        <f t="shared" si="263"/>
        <v>1</v>
      </c>
      <c r="AO967" s="8">
        <f t="shared" si="264"/>
        <v>3.5116698208730193</v>
      </c>
      <c r="AP967" s="8">
        <f t="shared" si="265"/>
        <v>1.0327335512075457</v>
      </c>
      <c r="AQ967" s="8"/>
      <c r="AR967" s="8">
        <f t="shared" si="266"/>
        <v>201.20385977948581</v>
      </c>
      <c r="AS967" s="8">
        <f t="shared" si="267"/>
        <v>30.828726154249949</v>
      </c>
    </row>
    <row r="968" spans="1:45">
      <c r="A968" s="19">
        <v>39.239199999999997</v>
      </c>
      <c r="B968" s="19">
        <v>605.01327430000003</v>
      </c>
      <c r="C968" s="19">
        <v>483.65786009999999</v>
      </c>
      <c r="E968" s="9">
        <f t="shared" si="253"/>
        <v>-354.98672569999997</v>
      </c>
      <c r="F968" s="9">
        <f t="shared" si="254"/>
        <v>56.342139900000006</v>
      </c>
      <c r="I968">
        <v>1</v>
      </c>
      <c r="J968">
        <f t="shared" si="255"/>
        <v>0.2284766795376576</v>
      </c>
      <c r="K968">
        <f t="shared" si="259"/>
        <v>2.9841894082599985</v>
      </c>
      <c r="O968">
        <f t="shared" si="260"/>
        <v>-0.22369405822103877</v>
      </c>
      <c r="P968">
        <f t="shared" si="261"/>
        <v>3.550386820305975E-2</v>
      </c>
      <c r="Q968">
        <f t="shared" si="262"/>
        <v>0.97401254799885528</v>
      </c>
      <c r="R968">
        <f t="shared" si="252"/>
        <v>1</v>
      </c>
      <c r="AG968" s="8">
        <f t="shared" si="256"/>
        <v>-0.80072470286859154</v>
      </c>
      <c r="AH968" s="8">
        <f t="shared" si="257"/>
        <v>-0.31020645762317545</v>
      </c>
      <c r="AI968" s="8">
        <f t="shared" si="258"/>
        <v>0.5124567336516197</v>
      </c>
      <c r="AJ968" s="8"/>
      <c r="AK968" s="8"/>
      <c r="AL968" s="8"/>
      <c r="AN968" s="8">
        <f t="shared" si="263"/>
        <v>1.0000000000000002</v>
      </c>
      <c r="AO968" s="8">
        <f t="shared" si="264"/>
        <v>3.5111961927493489</v>
      </c>
      <c r="AP968" s="8">
        <f t="shared" si="265"/>
        <v>1.0327530224466832</v>
      </c>
      <c r="AQ968" s="8"/>
      <c r="AR968" s="8">
        <f t="shared" si="266"/>
        <v>201.17672288694081</v>
      </c>
      <c r="AS968" s="8">
        <f t="shared" si="267"/>
        <v>30.827610534425482</v>
      </c>
    </row>
    <row r="969" spans="1:45">
      <c r="A969" s="19">
        <v>39.272566670000003</v>
      </c>
      <c r="B969" s="19">
        <v>604.16481590000001</v>
      </c>
      <c r="C969" s="19">
        <v>483.59134019999999</v>
      </c>
      <c r="E969" s="9">
        <f t="shared" si="253"/>
        <v>-355.83518409999999</v>
      </c>
      <c r="F969" s="9">
        <f t="shared" si="254"/>
        <v>56.408659800000009</v>
      </c>
      <c r="I969">
        <v>1</v>
      </c>
      <c r="J969">
        <f t="shared" si="255"/>
        <v>0.22900203320997739</v>
      </c>
      <c r="K969">
        <f t="shared" si="259"/>
        <v>2.9843762130722067</v>
      </c>
      <c r="O969">
        <f t="shared" si="260"/>
        <v>-0.22420604594168461</v>
      </c>
      <c r="P969">
        <f t="shared" si="261"/>
        <v>3.5542192384981956E-2</v>
      </c>
      <c r="Q969">
        <f t="shared" si="262"/>
        <v>0.973893424109468</v>
      </c>
      <c r="R969">
        <f t="shared" si="252"/>
        <v>1</v>
      </c>
      <c r="AG969" s="8">
        <f t="shared" si="256"/>
        <v>-0.80096524676945102</v>
      </c>
      <c r="AH969" s="8">
        <f t="shared" si="257"/>
        <v>-0.30974797170401536</v>
      </c>
      <c r="AI969" s="8">
        <f t="shared" si="258"/>
        <v>0.51235814377523181</v>
      </c>
      <c r="AJ969" s="8"/>
      <c r="AK969" s="8"/>
      <c r="AL969" s="8"/>
      <c r="AN969" s="8">
        <f t="shared" si="263"/>
        <v>1.0000000000000002</v>
      </c>
      <c r="AO969" s="8">
        <f t="shared" si="264"/>
        <v>3.5105971743474735</v>
      </c>
      <c r="AP969" s="8">
        <f t="shared" si="265"/>
        <v>1.0328678297152361</v>
      </c>
      <c r="AQ969" s="8"/>
      <c r="AR969" s="8">
        <f t="shared" si="266"/>
        <v>201.14240166066267</v>
      </c>
      <c r="AS969" s="8">
        <f t="shared" si="267"/>
        <v>30.821032562479978</v>
      </c>
    </row>
    <row r="970" spans="1:45">
      <c r="A970" s="19">
        <v>39.305933330000002</v>
      </c>
      <c r="B970" s="19">
        <v>603.9215547</v>
      </c>
      <c r="C970" s="19">
        <v>483.32266620000001</v>
      </c>
      <c r="E970" s="9">
        <f t="shared" si="253"/>
        <v>-356.0784453</v>
      </c>
      <c r="F970" s="9">
        <f t="shared" si="254"/>
        <v>56.677333799999985</v>
      </c>
      <c r="I970">
        <v>1</v>
      </c>
      <c r="J970">
        <f t="shared" si="255"/>
        <v>0.22917687602107439</v>
      </c>
      <c r="K970">
        <f t="shared" si="259"/>
        <v>2.9837458809439035</v>
      </c>
      <c r="O970">
        <f t="shared" si="260"/>
        <v>-0.22435175596117812</v>
      </c>
      <c r="P970">
        <f t="shared" si="261"/>
        <v>3.5710275443701034E-2</v>
      </c>
      <c r="Q970">
        <f t="shared" si="262"/>
        <v>0.97385371890488304</v>
      </c>
      <c r="R970">
        <f t="shared" si="252"/>
        <v>1</v>
      </c>
      <c r="AG970" s="8">
        <f t="shared" si="256"/>
        <v>-0.80097867719088311</v>
      </c>
      <c r="AH970" s="8">
        <f t="shared" si="257"/>
        <v>-0.30954623902645773</v>
      </c>
      <c r="AI970" s="8">
        <f t="shared" si="258"/>
        <v>0.51245905650121759</v>
      </c>
      <c r="AJ970" s="8"/>
      <c r="AK970" s="8"/>
      <c r="AL970" s="8"/>
      <c r="AN970" s="8">
        <f t="shared" si="263"/>
        <v>1</v>
      </c>
      <c r="AO970" s="8">
        <f t="shared" si="264"/>
        <v>3.5103724218382069</v>
      </c>
      <c r="AP970" s="8">
        <f t="shared" si="265"/>
        <v>1.0327503174086239</v>
      </c>
      <c r="AQ970" s="8"/>
      <c r="AR970" s="8">
        <f t="shared" si="266"/>
        <v>201.12952429044671</v>
      </c>
      <c r="AS970" s="8">
        <f t="shared" si="267"/>
        <v>30.827765521689699</v>
      </c>
    </row>
    <row r="971" spans="1:45">
      <c r="A971" s="19">
        <v>39.339300000000001</v>
      </c>
      <c r="B971" s="19">
        <v>603.09000179999998</v>
      </c>
      <c r="C971" s="19">
        <v>483.24340009999997</v>
      </c>
      <c r="E971" s="9">
        <f t="shared" si="253"/>
        <v>-356.90999820000002</v>
      </c>
      <c r="F971" s="9">
        <f t="shared" si="254"/>
        <v>56.756599900000026</v>
      </c>
      <c r="I971">
        <v>1</v>
      </c>
      <c r="J971">
        <f t="shared" si="255"/>
        <v>0.22969295915894711</v>
      </c>
      <c r="K971">
        <f t="shared" si="259"/>
        <v>2.9838909658206565</v>
      </c>
      <c r="O971">
        <f t="shared" si="260"/>
        <v>-0.22485325749005777</v>
      </c>
      <c r="P971">
        <f t="shared" si="261"/>
        <v>3.5756651357308225E-2</v>
      </c>
      <c r="Q971">
        <f t="shared" si="262"/>
        <v>0.97373634751909188</v>
      </c>
      <c r="R971">
        <f t="shared" si="252"/>
        <v>1</v>
      </c>
      <c r="AG971" s="8">
        <f t="shared" si="256"/>
        <v>-0.8012109537726495</v>
      </c>
      <c r="AH971" s="8">
        <f t="shared" si="257"/>
        <v>-0.30909295526725078</v>
      </c>
      <c r="AI971" s="8">
        <f t="shared" si="258"/>
        <v>0.51236954686913116</v>
      </c>
      <c r="AJ971" s="8"/>
      <c r="AK971" s="8"/>
      <c r="AL971" s="8"/>
      <c r="AN971" s="8">
        <f t="shared" si="263"/>
        <v>1.0000000000000002</v>
      </c>
      <c r="AO971" s="8">
        <f t="shared" si="264"/>
        <v>3.50978257593906</v>
      </c>
      <c r="AP971" s="8">
        <f t="shared" si="265"/>
        <v>1.0328545512889087</v>
      </c>
      <c r="AQ971" s="8"/>
      <c r="AR971" s="8">
        <f t="shared" si="266"/>
        <v>201.0957286098625</v>
      </c>
      <c r="AS971" s="8">
        <f t="shared" si="267"/>
        <v>30.821793360267108</v>
      </c>
    </row>
    <row r="972" spans="1:45">
      <c r="A972" s="19">
        <v>39.372666670000001</v>
      </c>
      <c r="B972" s="19">
        <v>602.91666669999995</v>
      </c>
      <c r="C972" s="19">
        <v>483.58333329999999</v>
      </c>
      <c r="E972" s="9">
        <f t="shared" si="253"/>
        <v>-357.08333330000005</v>
      </c>
      <c r="F972" s="9">
        <f t="shared" si="254"/>
        <v>56.416666700000007</v>
      </c>
      <c r="I972">
        <v>1</v>
      </c>
      <c r="J972">
        <f t="shared" si="255"/>
        <v>0.22976598481580887</v>
      </c>
      <c r="K972">
        <f t="shared" si="259"/>
        <v>2.984894906119365</v>
      </c>
      <c r="O972">
        <f t="shared" si="260"/>
        <v>-0.22495927763822951</v>
      </c>
      <c r="P972">
        <f t="shared" si="261"/>
        <v>3.5541990913718048E-2</v>
      </c>
      <c r="Q972">
        <f t="shared" si="262"/>
        <v>0.97371971854655137</v>
      </c>
      <c r="R972">
        <f t="shared" si="252"/>
        <v>1</v>
      </c>
      <c r="AG972" s="8">
        <f t="shared" si="256"/>
        <v>-0.80133857305028189</v>
      </c>
      <c r="AH972" s="8">
        <f t="shared" si="257"/>
        <v>-0.30909882786535936</v>
      </c>
      <c r="AI972" s="8">
        <f t="shared" si="258"/>
        <v>0.51216638502931755</v>
      </c>
      <c r="AJ972" s="8"/>
      <c r="AK972" s="8"/>
      <c r="AL972" s="8"/>
      <c r="AN972" s="8">
        <f t="shared" si="263"/>
        <v>1</v>
      </c>
      <c r="AO972" s="8">
        <f t="shared" si="264"/>
        <v>3.5097354746639842</v>
      </c>
      <c r="AP972" s="8">
        <f t="shared" si="265"/>
        <v>1.0330911090071313</v>
      </c>
      <c r="AQ972" s="8"/>
      <c r="AR972" s="8">
        <f t="shared" si="266"/>
        <v>201.09302990559095</v>
      </c>
      <c r="AS972" s="8">
        <f t="shared" si="267"/>
        <v>30.808239601401709</v>
      </c>
    </row>
    <row r="973" spans="1:45">
      <c r="A973" s="19">
        <v>39.40603333</v>
      </c>
      <c r="B973" s="19">
        <v>602.80679640000005</v>
      </c>
      <c r="C973" s="19">
        <v>483.58149259999999</v>
      </c>
      <c r="E973" s="9">
        <f t="shared" si="253"/>
        <v>-357.19320359999995</v>
      </c>
      <c r="F973" s="9">
        <f t="shared" si="254"/>
        <v>56.41850740000001</v>
      </c>
      <c r="I973">
        <v>1</v>
      </c>
      <c r="J973">
        <f t="shared" si="255"/>
        <v>0.2298333334819678</v>
      </c>
      <c r="K973">
        <f t="shared" si="259"/>
        <v>2.9849372927468578</v>
      </c>
      <c r="O973">
        <f t="shared" si="260"/>
        <v>-0.22502555911905012</v>
      </c>
      <c r="P973">
        <f t="shared" si="261"/>
        <v>3.5542686827166901E-2</v>
      </c>
      <c r="Q973">
        <f t="shared" si="262"/>
        <v>0.97370437770211593</v>
      </c>
      <c r="R973">
        <f t="shared" si="252"/>
        <v>1</v>
      </c>
      <c r="AG973" s="8">
        <f t="shared" si="256"/>
        <v>-0.80137115458790964</v>
      </c>
      <c r="AH973" s="8">
        <f t="shared" si="257"/>
        <v>-0.3090413675157927</v>
      </c>
      <c r="AI973" s="8">
        <f t="shared" si="258"/>
        <v>0.51215008128322081</v>
      </c>
      <c r="AJ973" s="8"/>
      <c r="AK973" s="8"/>
      <c r="AL973" s="8"/>
      <c r="AN973" s="8">
        <f t="shared" si="263"/>
        <v>1.0000000000000002</v>
      </c>
      <c r="AO973" s="8">
        <f t="shared" si="264"/>
        <v>3.5096594050281649</v>
      </c>
      <c r="AP973" s="8">
        <f t="shared" si="265"/>
        <v>1.0331100913272975</v>
      </c>
      <c r="AQ973" s="8"/>
      <c r="AR973" s="8">
        <f t="shared" si="266"/>
        <v>201.08867143650943</v>
      </c>
      <c r="AS973" s="8">
        <f t="shared" si="267"/>
        <v>30.807151994570823</v>
      </c>
    </row>
    <row r="974" spans="1:45">
      <c r="A974" s="19">
        <v>39.439399999999999</v>
      </c>
      <c r="B974" s="19">
        <v>602.01198810000005</v>
      </c>
      <c r="C974" s="19">
        <v>483.5812439</v>
      </c>
      <c r="E974" s="9">
        <f t="shared" si="253"/>
        <v>-357.98801189999995</v>
      </c>
      <c r="F974" s="9">
        <f t="shared" si="254"/>
        <v>56.418756099999996</v>
      </c>
      <c r="I974">
        <v>1</v>
      </c>
      <c r="J974">
        <f t="shared" si="255"/>
        <v>0.23031923292189432</v>
      </c>
      <c r="K974">
        <f t="shared" si="259"/>
        <v>2.9852787785498305</v>
      </c>
      <c r="O974">
        <f t="shared" si="260"/>
        <v>-0.22550501076599816</v>
      </c>
      <c r="P974">
        <f t="shared" si="261"/>
        <v>3.5539492326040999E-2</v>
      </c>
      <c r="Q974">
        <f t="shared" si="262"/>
        <v>0.97359356746264214</v>
      </c>
      <c r="R974">
        <f t="shared" si="252"/>
        <v>1</v>
      </c>
      <c r="AG974" s="8">
        <f t="shared" si="256"/>
        <v>-0.80160961701534605</v>
      </c>
      <c r="AH974" s="8">
        <f t="shared" si="257"/>
        <v>-0.30862938085151481</v>
      </c>
      <c r="AI974" s="8">
        <f t="shared" si="258"/>
        <v>0.51202531888933089</v>
      </c>
      <c r="AJ974" s="8"/>
      <c r="AK974" s="8"/>
      <c r="AL974" s="8"/>
      <c r="AN974" s="8">
        <f t="shared" si="263"/>
        <v>1</v>
      </c>
      <c r="AO974" s="8">
        <f t="shared" si="264"/>
        <v>3.5091120107260103</v>
      </c>
      <c r="AP974" s="8">
        <f t="shared" si="265"/>
        <v>1.0332553440649219</v>
      </c>
      <c r="AQ974" s="8"/>
      <c r="AR974" s="8">
        <f t="shared" si="266"/>
        <v>201.05730805326647</v>
      </c>
      <c r="AS974" s="8">
        <f t="shared" si="267"/>
        <v>30.798829625742222</v>
      </c>
    </row>
    <row r="975" spans="1:45">
      <c r="A975" s="19">
        <v>39.472766669999999</v>
      </c>
      <c r="B975" s="19">
        <v>601.69192329999998</v>
      </c>
      <c r="C975" s="19">
        <v>483.5279218</v>
      </c>
      <c r="E975" s="9">
        <f t="shared" si="253"/>
        <v>-358.30807670000002</v>
      </c>
      <c r="F975" s="9">
        <f t="shared" si="254"/>
        <v>56.472078199999999</v>
      </c>
      <c r="I975">
        <v>1</v>
      </c>
      <c r="J975">
        <f t="shared" si="255"/>
        <v>0.23052000525816826</v>
      </c>
      <c r="K975">
        <f t="shared" si="259"/>
        <v>2.9852709355145097</v>
      </c>
      <c r="O975">
        <f t="shared" si="260"/>
        <v>-0.22569781468259034</v>
      </c>
      <c r="P975">
        <f t="shared" si="261"/>
        <v>3.5571692264687302E-2</v>
      </c>
      <c r="Q975">
        <f t="shared" si="262"/>
        <v>0.97354771385737915</v>
      </c>
      <c r="R975">
        <f t="shared" si="252"/>
        <v>1</v>
      </c>
      <c r="AG975" s="8">
        <f t="shared" si="256"/>
        <v>-0.80169374910591429</v>
      </c>
      <c r="AH975" s="8">
        <f t="shared" si="257"/>
        <v>-0.30844849942126817</v>
      </c>
      <c r="AI975" s="8">
        <f t="shared" si="258"/>
        <v>0.51200259359623479</v>
      </c>
      <c r="AJ975" s="8"/>
      <c r="AK975" s="8"/>
      <c r="AL975" s="8"/>
      <c r="AN975" s="8">
        <f t="shared" si="263"/>
        <v>0.99999999999999978</v>
      </c>
      <c r="AO975" s="8">
        <f t="shared" si="264"/>
        <v>3.5088803052956554</v>
      </c>
      <c r="AP975" s="8">
        <f t="shared" si="265"/>
        <v>1.0332818002909647</v>
      </c>
      <c r="AQ975" s="8"/>
      <c r="AR975" s="8">
        <f t="shared" si="266"/>
        <v>201.04403231001686</v>
      </c>
      <c r="AS975" s="8">
        <f t="shared" si="267"/>
        <v>30.797313795648122</v>
      </c>
    </row>
    <row r="976" spans="1:45">
      <c r="A976" s="19">
        <v>39.506133329999997</v>
      </c>
      <c r="B976" s="19">
        <v>600.9465715</v>
      </c>
      <c r="C976" s="19">
        <v>483.48766929999999</v>
      </c>
      <c r="E976" s="9">
        <f t="shared" si="253"/>
        <v>-359.0534285</v>
      </c>
      <c r="F976" s="9">
        <f t="shared" si="254"/>
        <v>56.512330700000007</v>
      </c>
      <c r="I976">
        <v>1</v>
      </c>
      <c r="J976">
        <f t="shared" si="255"/>
        <v>0.23097940960415106</v>
      </c>
      <c r="K976">
        <f t="shared" si="259"/>
        <v>2.9854807968293704</v>
      </c>
      <c r="O976">
        <f t="shared" si="260"/>
        <v>-0.22614706414125471</v>
      </c>
      <c r="P976">
        <f t="shared" si="261"/>
        <v>3.5593860582185485E-2</v>
      </c>
      <c r="Q976">
        <f t="shared" si="262"/>
        <v>0.97344264467360742</v>
      </c>
      <c r="R976">
        <f t="shared" si="252"/>
        <v>1</v>
      </c>
      <c r="AG976" s="8">
        <f t="shared" si="256"/>
        <v>-0.80190816872435877</v>
      </c>
      <c r="AH976" s="8">
        <f t="shared" si="257"/>
        <v>-0.30805090233516086</v>
      </c>
      <c r="AI976" s="8">
        <f t="shared" si="258"/>
        <v>0.51190617353538403</v>
      </c>
      <c r="AJ976" s="8"/>
      <c r="AK976" s="8"/>
      <c r="AL976" s="8"/>
      <c r="AN976" s="8">
        <f t="shared" si="263"/>
        <v>1.0000000000000002</v>
      </c>
      <c r="AO976" s="8">
        <f t="shared" si="264"/>
        <v>3.5083587073628859</v>
      </c>
      <c r="AP976" s="8">
        <f t="shared" si="265"/>
        <v>1.0333940455093613</v>
      </c>
      <c r="AQ976" s="8"/>
      <c r="AR976" s="8">
        <f t="shared" si="266"/>
        <v>201.01414694986642</v>
      </c>
      <c r="AS976" s="8">
        <f t="shared" si="267"/>
        <v>30.790882618363476</v>
      </c>
    </row>
    <row r="977" spans="1:45">
      <c r="A977" s="19">
        <v>39.539499999999997</v>
      </c>
      <c r="B977" s="19">
        <v>600.89776199999994</v>
      </c>
      <c r="C977" s="19">
        <v>483.536293</v>
      </c>
      <c r="E977" s="9">
        <f t="shared" si="253"/>
        <v>-359.10223800000006</v>
      </c>
      <c r="F977" s="9">
        <f t="shared" si="254"/>
        <v>56.463706999999999</v>
      </c>
      <c r="I977">
        <v>1</v>
      </c>
      <c r="J977">
        <f t="shared" si="255"/>
        <v>0.23100456326235153</v>
      </c>
      <c r="K977">
        <f t="shared" si="259"/>
        <v>2.9856338066189076</v>
      </c>
      <c r="O977">
        <f t="shared" si="260"/>
        <v>-0.22617669609404975</v>
      </c>
      <c r="P977">
        <f t="shared" si="261"/>
        <v>3.5563060730583552E-2</v>
      </c>
      <c r="Q977">
        <f t="shared" si="262"/>
        <v>0.97343688591271937</v>
      </c>
      <c r="R977">
        <f t="shared" si="252"/>
        <v>1</v>
      </c>
      <c r="AG977" s="8">
        <f t="shared" si="256"/>
        <v>-0.80193359314138268</v>
      </c>
      <c r="AH977" s="8">
        <f t="shared" si="257"/>
        <v>-0.30803929200715496</v>
      </c>
      <c r="AI977" s="8">
        <f t="shared" si="258"/>
        <v>0.51187333078710218</v>
      </c>
      <c r="AJ977" s="8"/>
      <c r="AK977" s="8"/>
      <c r="AL977" s="8"/>
      <c r="AN977" s="8">
        <f t="shared" si="263"/>
        <v>1.0000000000000002</v>
      </c>
      <c r="AO977" s="8">
        <f t="shared" si="264"/>
        <v>3.50833547815646</v>
      </c>
      <c r="AP977" s="8">
        <f t="shared" si="265"/>
        <v>1.0334322769327313</v>
      </c>
      <c r="AQ977" s="8"/>
      <c r="AR977" s="8">
        <f t="shared" si="266"/>
        <v>201.01281601437677</v>
      </c>
      <c r="AS977" s="8">
        <f t="shared" si="267"/>
        <v>30.788692119159599</v>
      </c>
    </row>
    <row r="978" spans="1:45">
      <c r="A978" s="19">
        <v>39.572866670000003</v>
      </c>
      <c r="B978" s="19">
        <v>600.13560289999998</v>
      </c>
      <c r="C978" s="19">
        <v>483.39384460000002</v>
      </c>
      <c r="E978" s="9">
        <f t="shared" si="253"/>
        <v>-359.86439710000002</v>
      </c>
      <c r="F978" s="9">
        <f t="shared" si="254"/>
        <v>56.606155399999977</v>
      </c>
      <c r="I978">
        <v>1</v>
      </c>
      <c r="J978">
        <f t="shared" si="255"/>
        <v>0.23148397154966019</v>
      </c>
      <c r="K978">
        <f t="shared" si="259"/>
        <v>2.9855724945267177</v>
      </c>
      <c r="O978">
        <f t="shared" si="260"/>
        <v>-0.22663549448396361</v>
      </c>
      <c r="P978">
        <f t="shared" si="261"/>
        <v>3.5649439409117654E-2</v>
      </c>
      <c r="Q978">
        <f t="shared" si="262"/>
        <v>0.97332701088063145</v>
      </c>
      <c r="R978">
        <f t="shared" si="252"/>
        <v>1</v>
      </c>
      <c r="AG978" s="8">
        <f t="shared" si="256"/>
        <v>-0.80213010514598326</v>
      </c>
      <c r="AH978" s="8">
        <f t="shared" si="257"/>
        <v>-0.30760423957326832</v>
      </c>
      <c r="AI978" s="8">
        <f t="shared" si="258"/>
        <v>0.51182704717027738</v>
      </c>
      <c r="AJ978" s="8"/>
      <c r="AK978" s="8"/>
      <c r="AL978" s="8"/>
      <c r="AN978" s="8">
        <f t="shared" si="263"/>
        <v>1.0000000000000002</v>
      </c>
      <c r="AO978" s="8">
        <f t="shared" si="264"/>
        <v>3.5077807201674149</v>
      </c>
      <c r="AP978" s="8">
        <f t="shared" si="265"/>
        <v>1.0334861530571953</v>
      </c>
      <c r="AQ978" s="8"/>
      <c r="AR978" s="8">
        <f t="shared" si="266"/>
        <v>200.98103072295334</v>
      </c>
      <c r="AS978" s="8">
        <f t="shared" si="267"/>
        <v>30.78560524461129</v>
      </c>
    </row>
    <row r="979" spans="1:45">
      <c r="A979" s="19">
        <v>39.606233330000002</v>
      </c>
      <c r="B979" s="19">
        <v>599.5</v>
      </c>
      <c r="C979" s="19">
        <v>482.41666670000001</v>
      </c>
      <c r="E979" s="9">
        <f t="shared" si="253"/>
        <v>-360.5</v>
      </c>
      <c r="F979" s="9">
        <f t="shared" si="254"/>
        <v>57.583333299999993</v>
      </c>
      <c r="I979">
        <v>1</v>
      </c>
      <c r="J979">
        <f t="shared" si="255"/>
        <v>0.23196681593345694</v>
      </c>
      <c r="K979">
        <f t="shared" si="259"/>
        <v>2.983198855324444</v>
      </c>
      <c r="O979">
        <f t="shared" si="260"/>
        <v>-0.22701429318848698</v>
      </c>
      <c r="P979">
        <f t="shared" si="261"/>
        <v>3.6261413893305304E-2</v>
      </c>
      <c r="Q979">
        <f t="shared" si="262"/>
        <v>0.97321612222085085</v>
      </c>
      <c r="R979">
        <f t="shared" si="252"/>
        <v>1</v>
      </c>
      <c r="AG979" s="8">
        <f t="shared" si="256"/>
        <v>-0.8021029223706414</v>
      </c>
      <c r="AH979" s="8">
        <f t="shared" si="257"/>
        <v>-0.30699985549492947</v>
      </c>
      <c r="AI979" s="8">
        <f t="shared" si="258"/>
        <v>0.51223236001893668</v>
      </c>
      <c r="AJ979" s="8"/>
      <c r="AK979" s="8"/>
      <c r="AL979" s="8"/>
      <c r="AN979" s="8">
        <f t="shared" si="263"/>
        <v>1.0000000000000004</v>
      </c>
      <c r="AO979" s="8">
        <f t="shared" si="264"/>
        <v>3.5071349941082279</v>
      </c>
      <c r="AP979" s="8">
        <f t="shared" si="265"/>
        <v>1.033014292664332</v>
      </c>
      <c r="AQ979" s="8"/>
      <c r="AR979" s="8">
        <f t="shared" si="266"/>
        <v>200.94403334504031</v>
      </c>
      <c r="AS979" s="8">
        <f t="shared" si="267"/>
        <v>30.812640853641739</v>
      </c>
    </row>
    <row r="980" spans="1:45">
      <c r="A980" s="19">
        <v>39.639600000000002</v>
      </c>
      <c r="B980" s="19">
        <v>599.28660100000002</v>
      </c>
      <c r="C980" s="19">
        <v>482.41844550000002</v>
      </c>
      <c r="E980" s="9">
        <f t="shared" si="253"/>
        <v>-360.71339899999998</v>
      </c>
      <c r="F980" s="9">
        <f t="shared" si="254"/>
        <v>57.581554499999982</v>
      </c>
      <c r="I980">
        <v>1</v>
      </c>
      <c r="J980">
        <f t="shared" si="255"/>
        <v>0.23209694748542636</v>
      </c>
      <c r="K980">
        <f t="shared" si="259"/>
        <v>2.983295812206066</v>
      </c>
      <c r="O980">
        <f t="shared" si="260"/>
        <v>-0.22714286868517994</v>
      </c>
      <c r="P980">
        <f t="shared" si="261"/>
        <v>3.6259366878916663E-2</v>
      </c>
      <c r="Q980">
        <f t="shared" si="262"/>
        <v>0.97318619776433701</v>
      </c>
      <c r="R980">
        <f t="shared" si="252"/>
        <v>1</v>
      </c>
      <c r="AG980" s="8">
        <f t="shared" si="256"/>
        <v>-0.80216711556941744</v>
      </c>
      <c r="AH980" s="8">
        <f t="shared" si="257"/>
        <v>-0.30688978431559644</v>
      </c>
      <c r="AI980" s="8">
        <f t="shared" si="258"/>
        <v>0.51219779283180011</v>
      </c>
      <c r="AJ980" s="8"/>
      <c r="AK980" s="8"/>
      <c r="AL980" s="8"/>
      <c r="AN980" s="8">
        <f t="shared" si="263"/>
        <v>1</v>
      </c>
      <c r="AO980" s="8">
        <f t="shared" si="264"/>
        <v>3.5069885861787395</v>
      </c>
      <c r="AP980" s="8">
        <f t="shared" si="265"/>
        <v>1.0330545405501783</v>
      </c>
      <c r="AQ980" s="8"/>
      <c r="AR980" s="8">
        <f t="shared" si="266"/>
        <v>200.93564478859338</v>
      </c>
      <c r="AS980" s="8">
        <f t="shared" si="267"/>
        <v>30.810334819648425</v>
      </c>
    </row>
    <row r="981" spans="1:45">
      <c r="A981" s="19">
        <v>39.672966670000001</v>
      </c>
      <c r="B981" s="19">
        <v>598.42158510000002</v>
      </c>
      <c r="C981" s="19">
        <v>482.36064219999997</v>
      </c>
      <c r="E981" s="9">
        <f t="shared" si="253"/>
        <v>-361.57841489999998</v>
      </c>
      <c r="F981" s="9">
        <f t="shared" si="254"/>
        <v>57.639357800000028</v>
      </c>
      <c r="I981">
        <v>1</v>
      </c>
      <c r="J981">
        <f t="shared" si="255"/>
        <v>0.23263070765387922</v>
      </c>
      <c r="K981">
        <f t="shared" si="259"/>
        <v>2.9835123324796227</v>
      </c>
      <c r="O981">
        <f t="shared" si="260"/>
        <v>-0.22766365305610456</v>
      </c>
      <c r="P981">
        <f t="shared" si="261"/>
        <v>3.6291952770978048E-2</v>
      </c>
      <c r="Q981">
        <f t="shared" si="262"/>
        <v>0.97306328429409916</v>
      </c>
      <c r="R981">
        <f t="shared" si="252"/>
        <v>1</v>
      </c>
      <c r="AG981" s="8">
        <f t="shared" si="256"/>
        <v>-0.80241267839207375</v>
      </c>
      <c r="AH981" s="8">
        <f t="shared" si="257"/>
        <v>-0.30642532026097347</v>
      </c>
      <c r="AI981" s="8">
        <f t="shared" si="258"/>
        <v>0.51209121907978317</v>
      </c>
      <c r="AJ981" s="8"/>
      <c r="AK981" s="8"/>
      <c r="AL981" s="8"/>
      <c r="AN981" s="8">
        <f t="shared" si="263"/>
        <v>1.0000000000000002</v>
      </c>
      <c r="AO981" s="8">
        <f t="shared" si="264"/>
        <v>3.5063813831389306</v>
      </c>
      <c r="AP981" s="8">
        <f t="shared" si="265"/>
        <v>1.033178622328264</v>
      </c>
      <c r="AQ981" s="8"/>
      <c r="AR981" s="8">
        <f t="shared" si="266"/>
        <v>200.90085461710478</v>
      </c>
      <c r="AS981" s="8">
        <f t="shared" si="267"/>
        <v>30.803225457449635</v>
      </c>
    </row>
    <row r="982" spans="1:45">
      <c r="A982" s="19">
        <v>39.70633333</v>
      </c>
      <c r="B982" s="19">
        <v>598.22441460000005</v>
      </c>
      <c r="C982" s="19">
        <v>482.35579200000001</v>
      </c>
      <c r="E982" s="9">
        <f t="shared" si="253"/>
        <v>-361.77558539999995</v>
      </c>
      <c r="F982" s="9">
        <f t="shared" si="254"/>
        <v>57.644207999999992</v>
      </c>
      <c r="I982">
        <v>1</v>
      </c>
      <c r="J982">
        <f t="shared" si="255"/>
        <v>0.23275154652157587</v>
      </c>
      <c r="K982">
        <f t="shared" si="259"/>
        <v>2.9835839857372437</v>
      </c>
      <c r="O982">
        <f t="shared" si="260"/>
        <v>-0.22778237031985368</v>
      </c>
      <c r="P982">
        <f t="shared" si="261"/>
        <v>3.6294141626315189E-2</v>
      </c>
      <c r="Q982">
        <f t="shared" si="262"/>
        <v>0.97303541921919678</v>
      </c>
      <c r="R982">
        <f t="shared" si="252"/>
        <v>1</v>
      </c>
      <c r="AG982" s="8">
        <f t="shared" si="256"/>
        <v>-0.80247046395738941</v>
      </c>
      <c r="AH982" s="8">
        <f t="shared" si="257"/>
        <v>-0.3063217968620976</v>
      </c>
      <c r="AI982" s="8">
        <f t="shared" si="258"/>
        <v>0.51206260480842403</v>
      </c>
      <c r="AJ982" s="8"/>
      <c r="AK982" s="8"/>
      <c r="AL982" s="8"/>
      <c r="AN982" s="8">
        <f t="shared" si="263"/>
        <v>1.0000000000000002</v>
      </c>
      <c r="AO982" s="8">
        <f t="shared" si="264"/>
        <v>3.5062447898103</v>
      </c>
      <c r="AP982" s="8">
        <f t="shared" si="265"/>
        <v>1.0332119358131302</v>
      </c>
      <c r="AQ982" s="8"/>
      <c r="AR982" s="8">
        <f t="shared" si="266"/>
        <v>200.89302839586463</v>
      </c>
      <c r="AS982" s="8">
        <f t="shared" si="267"/>
        <v>30.80131673536593</v>
      </c>
    </row>
    <row r="983" spans="1:45">
      <c r="A983" s="19">
        <v>39.739699999999999</v>
      </c>
      <c r="B983" s="19">
        <v>597.55744130000005</v>
      </c>
      <c r="C983" s="19">
        <v>482.29630470000001</v>
      </c>
      <c r="E983" s="9">
        <f t="shared" si="253"/>
        <v>-362.44255869999995</v>
      </c>
      <c r="F983" s="9">
        <f t="shared" si="254"/>
        <v>57.703695299999993</v>
      </c>
      <c r="I983">
        <v>1</v>
      </c>
      <c r="J983">
        <f t="shared" si="255"/>
        <v>0.23316445736492725</v>
      </c>
      <c r="K983">
        <f t="shared" si="259"/>
        <v>2.9837098779011568</v>
      </c>
      <c r="O983">
        <f t="shared" si="260"/>
        <v>-0.22818369796183019</v>
      </c>
      <c r="P983">
        <f t="shared" si="261"/>
        <v>3.6328632671736749E-2</v>
      </c>
      <c r="Q983">
        <f t="shared" si="262"/>
        <v>0.97294009601448039</v>
      </c>
      <c r="R983">
        <f t="shared" si="252"/>
        <v>1</v>
      </c>
      <c r="AG983" s="8">
        <f t="shared" si="256"/>
        <v>-0.80265624026141869</v>
      </c>
      <c r="AH983" s="8">
        <f t="shared" si="257"/>
        <v>-0.3059594890133055</v>
      </c>
      <c r="AI983" s="8">
        <f t="shared" si="258"/>
        <v>0.51198803799710091</v>
      </c>
      <c r="AJ983" s="8"/>
      <c r="AK983" s="8"/>
      <c r="AL983" s="8"/>
      <c r="AN983" s="8">
        <f t="shared" si="263"/>
        <v>1</v>
      </c>
      <c r="AO983" s="8">
        <f t="shared" si="264"/>
        <v>3.5057736126290147</v>
      </c>
      <c r="AP983" s="8">
        <f t="shared" si="265"/>
        <v>1.0332987453414963</v>
      </c>
      <c r="AQ983" s="8"/>
      <c r="AR983" s="8">
        <f t="shared" si="266"/>
        <v>200.86603193197411</v>
      </c>
      <c r="AS983" s="8">
        <f t="shared" si="267"/>
        <v>30.796342915769024</v>
      </c>
    </row>
    <row r="984" spans="1:45">
      <c r="A984" s="19">
        <v>39.773066669999999</v>
      </c>
      <c r="B984" s="19">
        <v>597.15453070000001</v>
      </c>
      <c r="C984" s="19">
        <v>482.29788480000002</v>
      </c>
      <c r="E984" s="9">
        <f t="shared" si="253"/>
        <v>-362.84546929999999</v>
      </c>
      <c r="F984" s="9">
        <f t="shared" si="254"/>
        <v>57.70211519999998</v>
      </c>
      <c r="I984">
        <v>1</v>
      </c>
      <c r="J984">
        <f t="shared" si="255"/>
        <v>0.23341021538785039</v>
      </c>
      <c r="K984">
        <f t="shared" si="259"/>
        <v>2.9838865471299836</v>
      </c>
      <c r="O984">
        <f t="shared" si="260"/>
        <v>-0.22842624619969287</v>
      </c>
      <c r="P984">
        <f t="shared" si="261"/>
        <v>3.6325870620201865E-2</v>
      </c>
      <c r="Q984">
        <f t="shared" si="262"/>
        <v>0.97288328239866562</v>
      </c>
      <c r="R984">
        <f t="shared" si="252"/>
        <v>1</v>
      </c>
      <c r="AG984" s="8">
        <f t="shared" si="256"/>
        <v>-0.80277673037000041</v>
      </c>
      <c r="AH984" s="8">
        <f t="shared" si="257"/>
        <v>-0.30575118626208198</v>
      </c>
      <c r="AI984" s="8">
        <f t="shared" si="258"/>
        <v>0.51192356194629429</v>
      </c>
      <c r="AJ984" s="8"/>
      <c r="AK984" s="8"/>
      <c r="AL984" s="8"/>
      <c r="AN984" s="8">
        <f t="shared" si="263"/>
        <v>1</v>
      </c>
      <c r="AO984" s="8">
        <f t="shared" si="264"/>
        <v>3.5054970707532229</v>
      </c>
      <c r="AP984" s="8">
        <f t="shared" si="265"/>
        <v>1.033373803741666</v>
      </c>
      <c r="AQ984" s="8"/>
      <c r="AR984" s="8">
        <f t="shared" si="266"/>
        <v>200.8501872496326</v>
      </c>
      <c r="AS984" s="8">
        <f t="shared" si="267"/>
        <v>30.792042386222299</v>
      </c>
    </row>
    <row r="985" spans="1:45">
      <c r="A985" s="19">
        <v>39.806433329999997</v>
      </c>
      <c r="B985" s="19">
        <v>596.59534570000005</v>
      </c>
      <c r="C985" s="19">
        <v>482.28329930000001</v>
      </c>
      <c r="E985" s="9">
        <f t="shared" si="253"/>
        <v>-363.40465429999995</v>
      </c>
      <c r="F985" s="9">
        <f t="shared" si="254"/>
        <v>57.71670069999999</v>
      </c>
      <c r="I985">
        <v>1</v>
      </c>
      <c r="J985">
        <f t="shared" si="255"/>
        <v>0.2337528880559738</v>
      </c>
      <c r="K985">
        <f t="shared" si="259"/>
        <v>2.9840860726331964</v>
      </c>
      <c r="O985">
        <f t="shared" si="260"/>
        <v>-0.22876272991864843</v>
      </c>
      <c r="P985">
        <f t="shared" si="261"/>
        <v>3.6332583685430152E-2</v>
      </c>
      <c r="Q985">
        <f t="shared" si="262"/>
        <v>0.97280396625574506</v>
      </c>
      <c r="R985">
        <f t="shared" si="252"/>
        <v>1</v>
      </c>
      <c r="AG985" s="8">
        <f t="shared" si="256"/>
        <v>-0.80294011752415395</v>
      </c>
      <c r="AH985" s="8">
        <f t="shared" si="257"/>
        <v>-0.30545737511476989</v>
      </c>
      <c r="AI985" s="8">
        <f t="shared" si="258"/>
        <v>0.51184270988096803</v>
      </c>
      <c r="AJ985" s="8"/>
      <c r="AK985" s="8"/>
      <c r="AL985" s="8"/>
      <c r="AN985" s="8">
        <f t="shared" si="263"/>
        <v>1.0000000000000002</v>
      </c>
      <c r="AO985" s="8">
        <f t="shared" si="264"/>
        <v>3.5051097672227951</v>
      </c>
      <c r="AP985" s="8">
        <f t="shared" si="265"/>
        <v>1.0334679211806028</v>
      </c>
      <c r="AQ985" s="8"/>
      <c r="AR985" s="8">
        <f t="shared" si="266"/>
        <v>200.82799639194857</v>
      </c>
      <c r="AS985" s="8">
        <f t="shared" si="267"/>
        <v>30.786649854192639</v>
      </c>
    </row>
    <row r="986" spans="1:45">
      <c r="A986" s="19">
        <v>39.839799999999997</v>
      </c>
      <c r="B986" s="19">
        <v>596.19490299999995</v>
      </c>
      <c r="C986" s="19">
        <v>482.18141730000002</v>
      </c>
      <c r="E986" s="9">
        <f t="shared" si="253"/>
        <v>-363.80509700000005</v>
      </c>
      <c r="F986" s="9">
        <f t="shared" si="254"/>
        <v>57.818582699999979</v>
      </c>
      <c r="I986">
        <v>1</v>
      </c>
      <c r="J986">
        <f t="shared" si="255"/>
        <v>0.2340071163180108</v>
      </c>
      <c r="K986">
        <f t="shared" si="259"/>
        <v>2.9839834343679938</v>
      </c>
      <c r="O986">
        <f t="shared" si="260"/>
        <v>-0.22900324109466394</v>
      </c>
      <c r="P986">
        <f t="shared" si="261"/>
        <v>3.6394879959034426E-2</v>
      </c>
      <c r="Q986">
        <f t="shared" si="262"/>
        <v>0.97274504793440442</v>
      </c>
      <c r="R986">
        <f t="shared" si="252"/>
        <v>1</v>
      </c>
      <c r="AG986" s="8">
        <f t="shared" si="256"/>
        <v>-0.80303670317223674</v>
      </c>
      <c r="AH986" s="8">
        <f t="shared" si="257"/>
        <v>-0.30522124953171215</v>
      </c>
      <c r="AI986" s="8">
        <f t="shared" si="258"/>
        <v>0.51183204490590983</v>
      </c>
      <c r="AJ986" s="8"/>
      <c r="AK986" s="8"/>
      <c r="AL986" s="8"/>
      <c r="AN986" s="8">
        <f t="shared" si="263"/>
        <v>1</v>
      </c>
      <c r="AO986" s="8">
        <f t="shared" si="264"/>
        <v>3.5048128961850602</v>
      </c>
      <c r="AP986" s="8">
        <f t="shared" si="265"/>
        <v>1.0334803355608422</v>
      </c>
      <c r="AQ986" s="8"/>
      <c r="AR986" s="8">
        <f t="shared" si="266"/>
        <v>200.81098693442669</v>
      </c>
      <c r="AS986" s="8">
        <f t="shared" si="267"/>
        <v>30.785938562599654</v>
      </c>
    </row>
    <row r="987" spans="1:45">
      <c r="A987" s="19">
        <v>39.873166670000003</v>
      </c>
      <c r="B987" s="19">
        <v>595.35873679999997</v>
      </c>
      <c r="C987" s="19">
        <v>481.72727220000002</v>
      </c>
      <c r="E987" s="9">
        <f t="shared" si="253"/>
        <v>-364.64126320000003</v>
      </c>
      <c r="F987" s="9">
        <f t="shared" si="254"/>
        <v>58.272727799999984</v>
      </c>
      <c r="I987">
        <v>1</v>
      </c>
      <c r="J987">
        <f t="shared" si="255"/>
        <v>0.23456137093593102</v>
      </c>
      <c r="K987">
        <f t="shared" si="259"/>
        <v>2.9831242386482875</v>
      </c>
      <c r="O987">
        <f t="shared" si="260"/>
        <v>-0.22950424402687858</v>
      </c>
      <c r="P987">
        <f t="shared" si="261"/>
        <v>3.6676700337634913E-2</v>
      </c>
      <c r="Q987">
        <f t="shared" si="262"/>
        <v>0.97261637947650992</v>
      </c>
      <c r="R987">
        <f t="shared" ref="R987:R1050" si="268">SQRT(O987^2+P987^2+Q987^2)</f>
        <v>1</v>
      </c>
      <c r="AG987" s="8">
        <f t="shared" si="256"/>
        <v>-0.80318444340578421</v>
      </c>
      <c r="AH987" s="8">
        <f t="shared" si="257"/>
        <v>-0.30466029211784829</v>
      </c>
      <c r="AI987" s="8">
        <f t="shared" si="258"/>
        <v>0.5119344257594014</v>
      </c>
      <c r="AJ987" s="8"/>
      <c r="AK987" s="8"/>
      <c r="AL987" s="8"/>
      <c r="AN987" s="8">
        <f t="shared" si="263"/>
        <v>1.0000000000000002</v>
      </c>
      <c r="AO987" s="8">
        <f t="shared" si="264"/>
        <v>3.5041413795082281</v>
      </c>
      <c r="AP987" s="8">
        <f t="shared" si="265"/>
        <v>1.0333611571037822</v>
      </c>
      <c r="AQ987" s="8"/>
      <c r="AR987" s="8">
        <f t="shared" si="266"/>
        <v>200.77251186297156</v>
      </c>
      <c r="AS987" s="8">
        <f t="shared" si="267"/>
        <v>30.792766985198071</v>
      </c>
    </row>
    <row r="988" spans="1:45">
      <c r="A988" s="19">
        <v>39.906533330000002</v>
      </c>
      <c r="B988" s="19">
        <v>595.13901329999999</v>
      </c>
      <c r="C988" s="19">
        <v>481.6726918</v>
      </c>
      <c r="E988" s="9">
        <f t="shared" si="253"/>
        <v>-364.86098670000001</v>
      </c>
      <c r="F988" s="9">
        <f t="shared" si="254"/>
        <v>58.327308200000004</v>
      </c>
      <c r="I988">
        <v>1</v>
      </c>
      <c r="J988">
        <f t="shared" si="255"/>
        <v>0.23470070352097097</v>
      </c>
      <c r="K988">
        <f t="shared" si="259"/>
        <v>2.983072213871198</v>
      </c>
      <c r="O988">
        <f t="shared" si="260"/>
        <v>-0.2296361514209426</v>
      </c>
      <c r="P988">
        <f t="shared" si="261"/>
        <v>3.6710032220584381E-2</v>
      </c>
      <c r="Q988">
        <f t="shared" si="262"/>
        <v>0.97258398685920255</v>
      </c>
      <c r="R988">
        <f t="shared" si="268"/>
        <v>1</v>
      </c>
      <c r="AG988" s="8">
        <f t="shared" si="256"/>
        <v>-0.80323763233354639</v>
      </c>
      <c r="AH988" s="8">
        <f t="shared" si="257"/>
        <v>-0.30453111260563392</v>
      </c>
      <c r="AI988" s="8">
        <f t="shared" si="258"/>
        <v>0.51192783422897925</v>
      </c>
      <c r="AJ988" s="8"/>
      <c r="AK988" s="8"/>
      <c r="AL988" s="8"/>
      <c r="AN988" s="8">
        <f t="shared" si="263"/>
        <v>1</v>
      </c>
      <c r="AO988" s="8">
        <f t="shared" si="264"/>
        <v>3.5039788165341803</v>
      </c>
      <c r="AP988" s="8">
        <f t="shared" si="265"/>
        <v>1.0333688303600375</v>
      </c>
      <c r="AQ988" s="8"/>
      <c r="AR988" s="8">
        <f t="shared" si="266"/>
        <v>200.76319769065353</v>
      </c>
      <c r="AS988" s="8">
        <f t="shared" si="267"/>
        <v>30.792327339999524</v>
      </c>
    </row>
    <row r="989" spans="1:45">
      <c r="A989" s="19">
        <v>39.939900000000002</v>
      </c>
      <c r="B989" s="19">
        <v>594.32587850000004</v>
      </c>
      <c r="C989" s="19">
        <v>481.48623479999998</v>
      </c>
      <c r="E989" s="9">
        <f t="shared" si="253"/>
        <v>-365.67412149999996</v>
      </c>
      <c r="F989" s="9">
        <f t="shared" si="254"/>
        <v>58.513765200000023</v>
      </c>
      <c r="I989">
        <v>1</v>
      </c>
      <c r="J989">
        <f t="shared" si="255"/>
        <v>0.23521475001723086</v>
      </c>
      <c r="K989">
        <f t="shared" si="259"/>
        <v>2.9829216442353905</v>
      </c>
      <c r="O989">
        <f t="shared" si="260"/>
        <v>-0.23012426408894882</v>
      </c>
      <c r="P989">
        <f t="shared" si="261"/>
        <v>3.6823598838463478E-2</v>
      </c>
      <c r="Q989">
        <f t="shared" si="262"/>
        <v>0.97246431587287752</v>
      </c>
      <c r="R989">
        <f t="shared" si="268"/>
        <v>1</v>
      </c>
      <c r="AG989" s="8">
        <f t="shared" si="256"/>
        <v>-0.80343776275337475</v>
      </c>
      <c r="AH989" s="8">
        <f t="shared" si="257"/>
        <v>-0.30405744174723687</v>
      </c>
      <c r="AI989" s="8">
        <f t="shared" si="258"/>
        <v>0.51189533451671332</v>
      </c>
      <c r="AJ989" s="8"/>
      <c r="AK989" s="8"/>
      <c r="AL989" s="8"/>
      <c r="AN989" s="8">
        <f t="shared" si="263"/>
        <v>1.0000000000000002</v>
      </c>
      <c r="AO989" s="8">
        <f t="shared" si="264"/>
        <v>3.5033806482292991</v>
      </c>
      <c r="AP989" s="8">
        <f t="shared" si="265"/>
        <v>1.033406663036694</v>
      </c>
      <c r="AQ989" s="8"/>
      <c r="AR989" s="8">
        <f t="shared" si="266"/>
        <v>200.72892517134534</v>
      </c>
      <c r="AS989" s="8">
        <f t="shared" si="267"/>
        <v>30.790159687299415</v>
      </c>
    </row>
    <row r="990" spans="1:45">
      <c r="A990" s="19">
        <v>39.973266670000001</v>
      </c>
      <c r="B990" s="19">
        <v>594.02680669999995</v>
      </c>
      <c r="C990" s="19">
        <v>481.37144599999999</v>
      </c>
      <c r="E990" s="9">
        <f t="shared" si="253"/>
        <v>-365.97319330000005</v>
      </c>
      <c r="F990" s="9">
        <f t="shared" si="254"/>
        <v>58.628554000000008</v>
      </c>
      <c r="I990">
        <v>1</v>
      </c>
      <c r="J990">
        <f t="shared" si="255"/>
        <v>0.23540830040915664</v>
      </c>
      <c r="K990">
        <f t="shared" si="259"/>
        <v>2.9827433262881016</v>
      </c>
      <c r="O990">
        <f t="shared" si="260"/>
        <v>-0.23030354095040315</v>
      </c>
      <c r="P990">
        <f t="shared" si="261"/>
        <v>3.6894406022611591E-2</v>
      </c>
      <c r="Q990">
        <f t="shared" si="262"/>
        <v>0.97241919038547597</v>
      </c>
      <c r="R990">
        <f t="shared" si="268"/>
        <v>1</v>
      </c>
      <c r="AG990" s="8">
        <f t="shared" si="256"/>
        <v>-0.80350101445055899</v>
      </c>
      <c r="AH990" s="8">
        <f t="shared" si="257"/>
        <v>-0.30387023038164229</v>
      </c>
      <c r="AI990" s="8">
        <f t="shared" si="258"/>
        <v>0.51190722095388563</v>
      </c>
      <c r="AJ990" s="8"/>
      <c r="AK990" s="8"/>
      <c r="AL990" s="8"/>
      <c r="AN990" s="8">
        <f t="shared" si="263"/>
        <v>1</v>
      </c>
      <c r="AO990" s="8">
        <f t="shared" si="264"/>
        <v>3.5031507638150869</v>
      </c>
      <c r="AP990" s="8">
        <f t="shared" si="265"/>
        <v>1.0333928262213004</v>
      </c>
      <c r="AQ990" s="8"/>
      <c r="AR990" s="8">
        <f t="shared" si="266"/>
        <v>200.71575376463514</v>
      </c>
      <c r="AS990" s="8">
        <f t="shared" si="267"/>
        <v>30.790952478423378</v>
      </c>
    </row>
    <row r="991" spans="1:45">
      <c r="A991" s="19">
        <v>40.00663333</v>
      </c>
      <c r="B991" s="19">
        <v>593.62646600000005</v>
      </c>
      <c r="C991" s="19">
        <v>481.356492</v>
      </c>
      <c r="E991" s="9">
        <f t="shared" si="253"/>
        <v>-366.37353399999995</v>
      </c>
      <c r="F991" s="9">
        <f t="shared" si="254"/>
        <v>58.643507999999997</v>
      </c>
      <c r="I991">
        <v>1</v>
      </c>
      <c r="J991">
        <f t="shared" si="255"/>
        <v>0.23565382460792053</v>
      </c>
      <c r="K991">
        <f t="shared" si="259"/>
        <v>2.9828742053766253</v>
      </c>
      <c r="O991">
        <f t="shared" si="260"/>
        <v>-0.23054411221892784</v>
      </c>
      <c r="P991">
        <f t="shared" si="261"/>
        <v>3.6901998191997153E-2</v>
      </c>
      <c r="Q991">
        <f t="shared" si="262"/>
        <v>0.97236189500135406</v>
      </c>
      <c r="R991">
        <f t="shared" si="268"/>
        <v>1</v>
      </c>
      <c r="AG991" s="8">
        <f t="shared" si="256"/>
        <v>-0.803616520010068</v>
      </c>
      <c r="AH991" s="8">
        <f t="shared" si="257"/>
        <v>-0.30365865722949514</v>
      </c>
      <c r="AI991" s="8">
        <f t="shared" si="258"/>
        <v>0.51185145174795399</v>
      </c>
      <c r="AJ991" s="8"/>
      <c r="AK991" s="8"/>
      <c r="AL991" s="8"/>
      <c r="AN991" s="8">
        <f t="shared" si="263"/>
        <v>1</v>
      </c>
      <c r="AO991" s="8">
        <f t="shared" si="264"/>
        <v>3.5028728456156548</v>
      </c>
      <c r="AP991" s="8">
        <f t="shared" si="265"/>
        <v>1.0334577452926599</v>
      </c>
      <c r="AQ991" s="8"/>
      <c r="AR991" s="8">
        <f t="shared" si="266"/>
        <v>200.69983022475782</v>
      </c>
      <c r="AS991" s="8">
        <f t="shared" si="267"/>
        <v>30.787232889624569</v>
      </c>
    </row>
    <row r="992" spans="1:45">
      <c r="A992" s="19">
        <v>40.04</v>
      </c>
      <c r="B992" s="19">
        <v>593.18815710000001</v>
      </c>
      <c r="C992" s="19">
        <v>481.36761239999998</v>
      </c>
      <c r="E992" s="9">
        <f t="shared" ref="E992:E1055" si="269">(B992-($B$15/2))</f>
        <v>-366.81184289999999</v>
      </c>
      <c r="F992" s="9">
        <f t="shared" ref="F992:F1055" si="270">(($C$15/2)-C992)</f>
        <v>58.632387600000015</v>
      </c>
      <c r="I992">
        <v>1</v>
      </c>
      <c r="J992">
        <f t="shared" ref="J992:J1055" si="271">ATAN((SQRT(E992^2+F992^2)^$B$16)/($F$24))</f>
        <v>0.23591992891385011</v>
      </c>
      <c r="K992">
        <f t="shared" si="259"/>
        <v>2.9830902577771501</v>
      </c>
      <c r="O992">
        <f t="shared" si="260"/>
        <v>-0.23080757763834162</v>
      </c>
      <c r="P992">
        <f t="shared" si="261"/>
        <v>3.6893027351893981E-2</v>
      </c>
      <c r="Q992">
        <f t="shared" si="262"/>
        <v>0.97229973086365362</v>
      </c>
      <c r="R992">
        <f t="shared" si="268"/>
        <v>1</v>
      </c>
      <c r="AG992" s="8">
        <f t="shared" ref="AG992:AG1055" si="272">$O992*$Z$27+$P992*$Z$31+$Q992*$Z$35</f>
        <v>-0.80374903224461436</v>
      </c>
      <c r="AH992" s="8">
        <f t="shared" ref="AH992:AH1055" si="273">$O992*$AA$27+$P992*$AA$31+$Q992*$AA$35</f>
        <v>-0.30343475772321404</v>
      </c>
      <c r="AI992" s="8">
        <f t="shared" ref="AI992:AI1055" si="274">$AB$27*$O992+$P992*$AB$31+$AB$35*$Q992</f>
        <v>0.51177616295730322</v>
      </c>
      <c r="AJ992" s="8"/>
      <c r="AK992" s="8"/>
      <c r="AL992" s="8"/>
      <c r="AN992" s="8">
        <f t="shared" si="263"/>
        <v>1</v>
      </c>
      <c r="AO992" s="8">
        <f t="shared" si="264"/>
        <v>3.5025745340655026</v>
      </c>
      <c r="AP992" s="8">
        <f t="shared" si="265"/>
        <v>1.0335453824781875</v>
      </c>
      <c r="AQ992" s="8"/>
      <c r="AR992" s="8">
        <f t="shared" si="266"/>
        <v>200.68273823195409</v>
      </c>
      <c r="AS992" s="8">
        <f t="shared" si="267"/>
        <v>30.782211648765433</v>
      </c>
    </row>
    <row r="993" spans="1:45">
      <c r="A993" s="19">
        <v>40.073366669999999</v>
      </c>
      <c r="B993" s="19">
        <v>592.52495380000005</v>
      </c>
      <c r="C993" s="19">
        <v>481.43955799999998</v>
      </c>
      <c r="E993" s="9">
        <f t="shared" si="269"/>
        <v>-367.47504619999995</v>
      </c>
      <c r="F993" s="9">
        <f t="shared" si="270"/>
        <v>58.560442000000023</v>
      </c>
      <c r="I993">
        <v>1</v>
      </c>
      <c r="J993">
        <f t="shared" si="271"/>
        <v>0.23631717483915607</v>
      </c>
      <c r="K993">
        <f t="shared" ref="K993:K1056" si="275">ATAN2(E993,F993)</f>
        <v>2.9835624906836546</v>
      </c>
      <c r="O993">
        <f t="shared" ref="O993:O1056" si="276">COS(K993)*SIN(J993)</f>
        <v>-0.2312063850012489</v>
      </c>
      <c r="P993">
        <f t="shared" ref="P993:P1056" si="277">SIN(K993)*SIN(J993)</f>
        <v>3.6844809569807839E-2</v>
      </c>
      <c r="Q993">
        <f t="shared" ref="Q993:Q1056" si="278">COS(J993)</f>
        <v>0.9722068028677946</v>
      </c>
      <c r="R993">
        <f t="shared" si="268"/>
        <v>1</v>
      </c>
      <c r="AG993" s="8">
        <f t="shared" si="272"/>
        <v>-0.80396166834212335</v>
      </c>
      <c r="AH993" s="8">
        <f t="shared" si="273"/>
        <v>-0.30311148806475779</v>
      </c>
      <c r="AI993" s="8">
        <f t="shared" si="274"/>
        <v>0.51163371823963866</v>
      </c>
      <c r="AJ993" s="8"/>
      <c r="AK993" s="8"/>
      <c r="AL993" s="8"/>
      <c r="AN993" s="8">
        <f t="shared" ref="AN993:AN1056" si="279">AG993^2+AH993^2+AI993^2</f>
        <v>1.0000000000000002</v>
      </c>
      <c r="AO993" s="8">
        <f t="shared" ref="AO993:AO1056" si="280">IF(ATAN2(AG993,AH993)&gt;=0,ATAN2(AG993,AH993),ATAN2(AG993,AH993)+2*PI())</f>
        <v>3.5021351310535578</v>
      </c>
      <c r="AP993" s="8">
        <f t="shared" ref="AP993:AP1056" si="281">ACOS(AI993/AN993)</f>
        <v>1.0337111775695931</v>
      </c>
      <c r="AQ993" s="8"/>
      <c r="AR993" s="8">
        <f t="shared" ref="AR993:AR1056" si="282">DEGREES(AO993)</f>
        <v>200.65756229386432</v>
      </c>
      <c r="AS993" s="8">
        <f t="shared" ref="AS993:AS1056" si="283">90-DEGREES(AP993)</f>
        <v>30.772712289763909</v>
      </c>
    </row>
    <row r="994" spans="1:45">
      <c r="A994" s="19">
        <v>40.106733329999997</v>
      </c>
      <c r="B994" s="19">
        <v>591.7111112</v>
      </c>
      <c r="C994" s="19">
        <v>481.48261120000001</v>
      </c>
      <c r="E994" s="9">
        <f t="shared" si="269"/>
        <v>-368.2888888</v>
      </c>
      <c r="F994" s="9">
        <f t="shared" si="270"/>
        <v>58.517388799999992</v>
      </c>
      <c r="I994">
        <v>1</v>
      </c>
      <c r="J994">
        <f t="shared" si="271"/>
        <v>0.23680900344563713</v>
      </c>
      <c r="K994">
        <f t="shared" si="275"/>
        <v>2.9840199584345339</v>
      </c>
      <c r="O994">
        <f t="shared" si="276"/>
        <v>-0.23169542338093305</v>
      </c>
      <c r="P994">
        <f t="shared" si="277"/>
        <v>3.6814065222927461E-2</v>
      </c>
      <c r="Q994">
        <f t="shared" si="278"/>
        <v>0.97209153652631508</v>
      </c>
      <c r="R994">
        <f t="shared" si="268"/>
        <v>1</v>
      </c>
      <c r="AG994" s="8">
        <f t="shared" si="272"/>
        <v>-0.80421229551264828</v>
      </c>
      <c r="AH994" s="8">
        <f t="shared" si="273"/>
        <v>-0.30270207771039637</v>
      </c>
      <c r="AI994" s="8">
        <f t="shared" si="274"/>
        <v>0.51148219509195636</v>
      </c>
      <c r="AJ994" s="8"/>
      <c r="AK994" s="8"/>
      <c r="AL994" s="8"/>
      <c r="AN994" s="8">
        <f t="shared" si="279"/>
        <v>1</v>
      </c>
      <c r="AO994" s="8">
        <f t="shared" si="280"/>
        <v>3.5015864197012467</v>
      </c>
      <c r="AP994" s="8">
        <f t="shared" si="281"/>
        <v>1.0338875213160534</v>
      </c>
      <c r="AQ994" s="8"/>
      <c r="AR994" s="8">
        <f t="shared" si="282"/>
        <v>200.62612344920598</v>
      </c>
      <c r="AS994" s="8">
        <f t="shared" si="283"/>
        <v>30.7626085373482</v>
      </c>
    </row>
    <row r="995" spans="1:45">
      <c r="A995" s="19">
        <v>40.140099999999997</v>
      </c>
      <c r="B995" s="19">
        <v>591.45404529999996</v>
      </c>
      <c r="C995" s="19">
        <v>481.3842214</v>
      </c>
      <c r="E995" s="9">
        <f t="shared" si="269"/>
        <v>-368.54595470000004</v>
      </c>
      <c r="F995" s="9">
        <f t="shared" si="270"/>
        <v>58.615778599999999</v>
      </c>
      <c r="I995">
        <v>1</v>
      </c>
      <c r="J995">
        <f t="shared" si="271"/>
        <v>0.23697518687283037</v>
      </c>
      <c r="K995">
        <f t="shared" si="275"/>
        <v>2.9838676673443802</v>
      </c>
      <c r="O995">
        <f t="shared" si="276"/>
        <v>-0.23184935130774148</v>
      </c>
      <c r="P995">
        <f t="shared" si="277"/>
        <v>3.6874723685057419E-2</v>
      </c>
      <c r="Q995">
        <f t="shared" si="278"/>
        <v>0.97205253615806697</v>
      </c>
      <c r="R995">
        <f t="shared" si="268"/>
        <v>1</v>
      </c>
      <c r="AG995" s="8">
        <f t="shared" si="272"/>
        <v>-0.80426647349979896</v>
      </c>
      <c r="AH995" s="8">
        <f t="shared" si="273"/>
        <v>-0.30254126757216582</v>
      </c>
      <c r="AI995" s="8">
        <f t="shared" si="274"/>
        <v>0.51149215147451144</v>
      </c>
      <c r="AJ995" s="8"/>
      <c r="AK995" s="8"/>
      <c r="AL995" s="8"/>
      <c r="AN995" s="8">
        <f t="shared" si="279"/>
        <v>1.0000000000000002</v>
      </c>
      <c r="AO995" s="8">
        <f t="shared" si="280"/>
        <v>3.5013890618250469</v>
      </c>
      <c r="AP995" s="8">
        <f t="shared" si="281"/>
        <v>1.0338759345735249</v>
      </c>
      <c r="AQ995" s="8"/>
      <c r="AR995" s="8">
        <f t="shared" si="282"/>
        <v>200.61481567584605</v>
      </c>
      <c r="AS995" s="8">
        <f t="shared" si="283"/>
        <v>30.763272408793391</v>
      </c>
    </row>
    <row r="996" spans="1:45">
      <c r="A996" s="19">
        <v>40.173466670000003</v>
      </c>
      <c r="B996" s="19">
        <v>591.21371929999998</v>
      </c>
      <c r="C996" s="19">
        <v>481.2944493</v>
      </c>
      <c r="E996" s="9">
        <f t="shared" si="269"/>
        <v>-368.78628070000002</v>
      </c>
      <c r="F996" s="9">
        <f t="shared" si="270"/>
        <v>58.705550700000003</v>
      </c>
      <c r="I996">
        <v>1</v>
      </c>
      <c r="J996">
        <f t="shared" si="271"/>
        <v>0.23713032790135719</v>
      </c>
      <c r="K996">
        <f t="shared" si="275"/>
        <v>2.9837313382245627</v>
      </c>
      <c r="O996">
        <f t="shared" si="276"/>
        <v>-0.23199324934522725</v>
      </c>
      <c r="P996">
        <f t="shared" si="277"/>
        <v>3.6930038274859293E-2</v>
      </c>
      <c r="Q996">
        <f t="shared" si="278"/>
        <v>0.97201610302055219</v>
      </c>
      <c r="R996">
        <f t="shared" si="268"/>
        <v>1</v>
      </c>
      <c r="AG996" s="8">
        <f t="shared" si="272"/>
        <v>-0.80431759103158595</v>
      </c>
      <c r="AH996" s="8">
        <f t="shared" si="273"/>
        <v>-0.30239155365779113</v>
      </c>
      <c r="AI996" s="8">
        <f t="shared" si="274"/>
        <v>0.5115003040405488</v>
      </c>
      <c r="AJ996" s="8"/>
      <c r="AK996" s="8"/>
      <c r="AL996" s="8"/>
      <c r="AN996" s="8">
        <f t="shared" si="279"/>
        <v>1.0000000000000002</v>
      </c>
      <c r="AO996" s="8">
        <f t="shared" si="280"/>
        <v>3.5012050419576415</v>
      </c>
      <c r="AP996" s="8">
        <f t="shared" si="281"/>
        <v>1.0338664469633827</v>
      </c>
      <c r="AQ996" s="8"/>
      <c r="AR996" s="8">
        <f t="shared" si="282"/>
        <v>200.60427211409717</v>
      </c>
      <c r="AS996" s="8">
        <f t="shared" si="283"/>
        <v>30.763816008812206</v>
      </c>
    </row>
    <row r="997" spans="1:45">
      <c r="A997" s="19">
        <v>40.206833330000002</v>
      </c>
      <c r="B997" s="19">
        <v>590.48702709999998</v>
      </c>
      <c r="C997" s="19">
        <v>481.3575457</v>
      </c>
      <c r="E997" s="9">
        <f t="shared" si="269"/>
        <v>-369.51297290000002</v>
      </c>
      <c r="F997" s="9">
        <f t="shared" si="270"/>
        <v>58.642454299999997</v>
      </c>
      <c r="I997">
        <v>1</v>
      </c>
      <c r="J997">
        <f t="shared" si="271"/>
        <v>0.23756696499399452</v>
      </c>
      <c r="K997">
        <f t="shared" si="275"/>
        <v>2.9842032305902775</v>
      </c>
      <c r="O997">
        <f t="shared" si="276"/>
        <v>-0.23242980079096334</v>
      </c>
      <c r="P997">
        <f t="shared" si="277"/>
        <v>3.688707831789953E-2</v>
      </c>
      <c r="Q997">
        <f t="shared" si="278"/>
        <v>0.97191343809901209</v>
      </c>
      <c r="R997">
        <f t="shared" si="268"/>
        <v>1</v>
      </c>
      <c r="AG997" s="8">
        <f t="shared" si="272"/>
        <v>-0.80454651682764733</v>
      </c>
      <c r="AH997" s="8">
        <f t="shared" si="273"/>
        <v>-0.30203294404261305</v>
      </c>
      <c r="AI997" s="8">
        <f t="shared" si="274"/>
        <v>0.5113521320708968</v>
      </c>
      <c r="AJ997" s="8"/>
      <c r="AK997" s="8"/>
      <c r="AL997" s="8"/>
      <c r="AN997" s="8">
        <f t="shared" si="279"/>
        <v>0.99999999999999989</v>
      </c>
      <c r="AO997" s="8">
        <f t="shared" si="280"/>
        <v>3.5007206969787799</v>
      </c>
      <c r="AP997" s="8">
        <f t="shared" si="281"/>
        <v>1.034038874848072</v>
      </c>
      <c r="AQ997" s="8"/>
      <c r="AR997" s="8">
        <f t="shared" si="282"/>
        <v>200.57652119098003</v>
      </c>
      <c r="AS997" s="8">
        <f t="shared" si="283"/>
        <v>30.753936618749144</v>
      </c>
    </row>
    <row r="998" spans="1:45">
      <c r="A998" s="19">
        <v>40.240200000000002</v>
      </c>
      <c r="B998" s="19">
        <v>589.54847989999996</v>
      </c>
      <c r="C998" s="19">
        <v>481.25958309999999</v>
      </c>
      <c r="E998" s="9">
        <f t="shared" si="269"/>
        <v>-370.45152010000004</v>
      </c>
      <c r="F998" s="9">
        <f t="shared" si="270"/>
        <v>58.740416900000014</v>
      </c>
      <c r="I998">
        <v>1</v>
      </c>
      <c r="J998">
        <f t="shared" si="271"/>
        <v>0.23814815209621309</v>
      </c>
      <c r="K998">
        <f t="shared" si="275"/>
        <v>2.9843374861433385</v>
      </c>
      <c r="O998">
        <f t="shared" si="276"/>
        <v>-0.23299260533162475</v>
      </c>
      <c r="P998">
        <f t="shared" si="277"/>
        <v>3.6944328823653796E-2</v>
      </c>
      <c r="Q998">
        <f t="shared" si="278"/>
        <v>0.97177649818698097</v>
      </c>
      <c r="R998">
        <f t="shared" si="268"/>
        <v>1</v>
      </c>
      <c r="AG998" s="8">
        <f t="shared" si="272"/>
        <v>-0.80480192482527979</v>
      </c>
      <c r="AH998" s="8">
        <f t="shared" si="273"/>
        <v>-0.30151934942347891</v>
      </c>
      <c r="AI998" s="8">
        <f t="shared" si="274"/>
        <v>0.51125330680668157</v>
      </c>
      <c r="AJ998" s="8"/>
      <c r="AK998" s="8"/>
      <c r="AL998" s="8"/>
      <c r="AN998" s="8">
        <f t="shared" si="279"/>
        <v>1.0000000000000002</v>
      </c>
      <c r="AO998" s="8">
        <f t="shared" si="280"/>
        <v>3.5000567751531171</v>
      </c>
      <c r="AP998" s="8">
        <f t="shared" si="281"/>
        <v>1.0341538680830169</v>
      </c>
      <c r="AQ998" s="8"/>
      <c r="AR998" s="8">
        <f t="shared" si="282"/>
        <v>200.53848127244294</v>
      </c>
      <c r="AS998" s="8">
        <f t="shared" si="283"/>
        <v>30.747347991714243</v>
      </c>
    </row>
    <row r="999" spans="1:45">
      <c r="A999" s="19">
        <v>40.273566670000001</v>
      </c>
      <c r="B999" s="19">
        <v>588.41666669999995</v>
      </c>
      <c r="C999" s="19">
        <v>480.83333329999999</v>
      </c>
      <c r="E999" s="9">
        <f t="shared" si="269"/>
        <v>-371.58333330000005</v>
      </c>
      <c r="F999" s="9">
        <f t="shared" si="270"/>
        <v>59.166666700000007</v>
      </c>
      <c r="I999">
        <v>1</v>
      </c>
      <c r="J999">
        <f t="shared" si="271"/>
        <v>0.23887861584206754</v>
      </c>
      <c r="K999">
        <f t="shared" si="275"/>
        <v>2.9836896983813208</v>
      </c>
      <c r="O999">
        <f t="shared" si="276"/>
        <v>-0.23366957858545445</v>
      </c>
      <c r="P999">
        <f t="shared" si="277"/>
        <v>3.7206862727971163E-2</v>
      </c>
      <c r="Q999">
        <f t="shared" si="278"/>
        <v>0.97160392002587048</v>
      </c>
      <c r="R999">
        <f t="shared" si="268"/>
        <v>1</v>
      </c>
      <c r="AG999" s="8">
        <f t="shared" si="272"/>
        <v>-0.8050408552819891</v>
      </c>
      <c r="AH999" s="8">
        <f t="shared" si="273"/>
        <v>-0.30081341844262194</v>
      </c>
      <c r="AI999" s="8">
        <f t="shared" si="274"/>
        <v>0.51129297727595269</v>
      </c>
      <c r="AJ999" s="8"/>
      <c r="AK999" s="8"/>
      <c r="AL999" s="8"/>
      <c r="AN999" s="8">
        <f t="shared" si="279"/>
        <v>1.0000000000000004</v>
      </c>
      <c r="AO999" s="8">
        <f t="shared" si="280"/>
        <v>3.4991900312532032</v>
      </c>
      <c r="AP999" s="8">
        <f t="shared" si="281"/>
        <v>1.0341077084069239</v>
      </c>
      <c r="AQ999" s="8"/>
      <c r="AR999" s="8">
        <f t="shared" si="282"/>
        <v>200.48882050505918</v>
      </c>
      <c r="AS999" s="8">
        <f t="shared" si="283"/>
        <v>30.749992746338059</v>
      </c>
    </row>
    <row r="1000" spans="1:45">
      <c r="A1000" s="19">
        <v>40.30693333</v>
      </c>
      <c r="B1000" s="19">
        <v>588.41664920000005</v>
      </c>
      <c r="C1000" s="19">
        <v>480.83333329999999</v>
      </c>
      <c r="E1000" s="9">
        <f t="shared" si="269"/>
        <v>-371.58335079999995</v>
      </c>
      <c r="F1000" s="9">
        <f t="shared" si="270"/>
        <v>59.166666700000007</v>
      </c>
      <c r="I1000">
        <v>1</v>
      </c>
      <c r="J1000">
        <f t="shared" si="271"/>
        <v>0.23887862649643218</v>
      </c>
      <c r="K1000">
        <f t="shared" si="275"/>
        <v>2.983689705694883</v>
      </c>
      <c r="O1000">
        <f t="shared" si="276"/>
        <v>-0.23366958908060673</v>
      </c>
      <c r="P1000">
        <f t="shared" si="277"/>
        <v>3.7206862646813305E-2</v>
      </c>
      <c r="Q1000">
        <f t="shared" si="278"/>
        <v>0.97160391750490671</v>
      </c>
      <c r="R1000">
        <f t="shared" si="268"/>
        <v>1</v>
      </c>
      <c r="AG1000" s="8">
        <f t="shared" si="272"/>
        <v>-0.80504086044035628</v>
      </c>
      <c r="AH1000" s="8">
        <f t="shared" si="273"/>
        <v>-0.30081340938095935</v>
      </c>
      <c r="AI1000" s="8">
        <f t="shared" si="274"/>
        <v>0.51129297448532807</v>
      </c>
      <c r="AJ1000" s="8"/>
      <c r="AK1000" s="8"/>
      <c r="AL1000" s="8"/>
      <c r="AN1000" s="8">
        <f t="shared" si="279"/>
        <v>1</v>
      </c>
      <c r="AO1000" s="8">
        <f t="shared" si="280"/>
        <v>3.4991900192751899</v>
      </c>
      <c r="AP1000" s="8">
        <f t="shared" si="281"/>
        <v>1.0341077116540771</v>
      </c>
      <c r="AQ1000" s="8"/>
      <c r="AR1000" s="8">
        <f t="shared" si="282"/>
        <v>200.48881981876957</v>
      </c>
      <c r="AS1000" s="8">
        <f t="shared" si="283"/>
        <v>30.74999256028989</v>
      </c>
    </row>
    <row r="1001" spans="1:45">
      <c r="A1001" s="19">
        <v>40.340299999999999</v>
      </c>
      <c r="B1001" s="19">
        <v>587.5</v>
      </c>
      <c r="C1001" s="19">
        <v>480.58333329999999</v>
      </c>
      <c r="E1001" s="9">
        <f t="shared" si="269"/>
        <v>-372.5</v>
      </c>
      <c r="F1001" s="9">
        <f t="shared" si="270"/>
        <v>59.416666700000007</v>
      </c>
      <c r="I1001">
        <v>1</v>
      </c>
      <c r="J1001">
        <f t="shared" si="271"/>
        <v>0.23946086961476712</v>
      </c>
      <c r="K1001">
        <f t="shared" si="275"/>
        <v>2.9834173130956536</v>
      </c>
      <c r="O1001">
        <f t="shared" si="276"/>
        <v>-0.23421805346811098</v>
      </c>
      <c r="P1001">
        <f t="shared" si="277"/>
        <v>3.7359613471241747E-2</v>
      </c>
      <c r="Q1001">
        <f t="shared" si="278"/>
        <v>0.97146598638906989</v>
      </c>
      <c r="R1001">
        <f t="shared" si="268"/>
        <v>1</v>
      </c>
      <c r="AG1001" s="8">
        <f t="shared" si="272"/>
        <v>-0.80525519921495836</v>
      </c>
      <c r="AH1001" s="8">
        <f t="shared" si="273"/>
        <v>-0.30026849350391738</v>
      </c>
      <c r="AI1001" s="8">
        <f t="shared" si="274"/>
        <v>0.51127575333294051</v>
      </c>
      <c r="AJ1001" s="8"/>
      <c r="AK1001" s="8"/>
      <c r="AL1001" s="8"/>
      <c r="AN1001" s="8">
        <f t="shared" si="279"/>
        <v>1.0000000000000002</v>
      </c>
      <c r="AO1001" s="8">
        <f t="shared" si="280"/>
        <v>3.4985087797218335</v>
      </c>
      <c r="AP1001" s="8">
        <f t="shared" si="281"/>
        <v>1.0341277499597927</v>
      </c>
      <c r="AQ1001" s="8"/>
      <c r="AR1001" s="8">
        <f t="shared" si="282"/>
        <v>200.44978766752487</v>
      </c>
      <c r="AS1001" s="8">
        <f t="shared" si="283"/>
        <v>30.748844449943789</v>
      </c>
    </row>
    <row r="1002" spans="1:45">
      <c r="A1002" s="19">
        <v>40.373666669999999</v>
      </c>
      <c r="B1002" s="19">
        <v>587.11418590000005</v>
      </c>
      <c r="C1002" s="19">
        <v>480.5007119</v>
      </c>
      <c r="E1002" s="9">
        <f t="shared" si="269"/>
        <v>-372.88581409999995</v>
      </c>
      <c r="F1002" s="9">
        <f t="shared" si="270"/>
        <v>59.499288100000001</v>
      </c>
      <c r="I1002">
        <v>1</v>
      </c>
      <c r="J1002">
        <f t="shared" si="271"/>
        <v>0.23970369785231577</v>
      </c>
      <c r="K1002">
        <f t="shared" si="275"/>
        <v>2.9833621814788169</v>
      </c>
      <c r="O1002">
        <f t="shared" si="276"/>
        <v>-0.23444893894574076</v>
      </c>
      <c r="P1002">
        <f t="shared" si="277"/>
        <v>3.7409696039900776E-2</v>
      </c>
      <c r="Q1002">
        <f t="shared" si="278"/>
        <v>0.97140836401042918</v>
      </c>
      <c r="R1002">
        <f t="shared" si="268"/>
        <v>1</v>
      </c>
      <c r="AG1002" s="8">
        <f t="shared" si="272"/>
        <v>-0.80535035069422256</v>
      </c>
      <c r="AH1002" s="8">
        <f t="shared" si="273"/>
        <v>-0.30004550616972658</v>
      </c>
      <c r="AI1002" s="8">
        <f t="shared" si="274"/>
        <v>0.51125679150896886</v>
      </c>
      <c r="AJ1002" s="8"/>
      <c r="AK1002" s="8"/>
      <c r="AL1002" s="8"/>
      <c r="AN1002" s="8">
        <f t="shared" si="279"/>
        <v>1</v>
      </c>
      <c r="AO1002" s="8">
        <f t="shared" si="280"/>
        <v>3.4982269887814876</v>
      </c>
      <c r="AP1002" s="8">
        <f t="shared" si="281"/>
        <v>1.0341498134116882</v>
      </c>
      <c r="AQ1002" s="8"/>
      <c r="AR1002" s="8">
        <f t="shared" si="282"/>
        <v>200.43364223593804</v>
      </c>
      <c r="AS1002" s="8">
        <f t="shared" si="283"/>
        <v>30.747580307268684</v>
      </c>
    </row>
    <row r="1003" spans="1:45">
      <c r="A1003" s="19">
        <v>40.407033329999997</v>
      </c>
      <c r="B1003" s="19">
        <v>586.5724361</v>
      </c>
      <c r="C1003" s="19">
        <v>480.38797699999998</v>
      </c>
      <c r="E1003" s="9">
        <f t="shared" si="269"/>
        <v>-373.4275639</v>
      </c>
      <c r="F1003" s="9">
        <f t="shared" si="270"/>
        <v>59.612023000000022</v>
      </c>
      <c r="I1003">
        <v>1</v>
      </c>
      <c r="J1003">
        <f t="shared" si="271"/>
        <v>0.24004430854476105</v>
      </c>
      <c r="K1003">
        <f t="shared" si="275"/>
        <v>2.9832935258924178</v>
      </c>
      <c r="O1003">
        <f t="shared" si="276"/>
        <v>-0.23477309152994769</v>
      </c>
      <c r="P1003">
        <f t="shared" si="277"/>
        <v>3.7477948295782874E-2</v>
      </c>
      <c r="Q1003">
        <f t="shared" si="278"/>
        <v>0.97132744164108198</v>
      </c>
      <c r="R1003">
        <f t="shared" si="268"/>
        <v>1</v>
      </c>
      <c r="AG1003" s="8">
        <f t="shared" si="272"/>
        <v>-0.80548459276246809</v>
      </c>
      <c r="AH1003" s="8">
        <f t="shared" si="273"/>
        <v>-0.29973332644716649</v>
      </c>
      <c r="AI1003" s="8">
        <f t="shared" si="274"/>
        <v>0.51122842628241782</v>
      </c>
      <c r="AJ1003" s="8"/>
      <c r="AK1003" s="8"/>
      <c r="AL1003" s="8"/>
      <c r="AN1003" s="8">
        <f t="shared" si="279"/>
        <v>1.0000000000000002</v>
      </c>
      <c r="AO1003" s="8">
        <f t="shared" si="280"/>
        <v>3.4978320787545449</v>
      </c>
      <c r="AP1003" s="8">
        <f t="shared" si="281"/>
        <v>1.0341828178611447</v>
      </c>
      <c r="AQ1003" s="8"/>
      <c r="AR1003" s="8">
        <f t="shared" si="282"/>
        <v>200.41101555810681</v>
      </c>
      <c r="AS1003" s="8">
        <f t="shared" si="283"/>
        <v>30.745689291609679</v>
      </c>
    </row>
    <row r="1004" spans="1:45">
      <c r="A1004" s="19">
        <v>40.440399999999997</v>
      </c>
      <c r="B1004" s="19">
        <v>586.19303509999997</v>
      </c>
      <c r="C1004" s="19">
        <v>480.45377889999997</v>
      </c>
      <c r="E1004" s="9">
        <f t="shared" si="269"/>
        <v>-373.80696490000003</v>
      </c>
      <c r="F1004" s="9">
        <f t="shared" si="270"/>
        <v>59.546221100000025</v>
      </c>
      <c r="I1004">
        <v>1</v>
      </c>
      <c r="J1004">
        <f t="shared" si="271"/>
        <v>0.24026877002608771</v>
      </c>
      <c r="K1004">
        <f t="shared" si="275"/>
        <v>2.9836231980255663</v>
      </c>
      <c r="O1004">
        <f t="shared" si="276"/>
        <v>-0.23500073919581235</v>
      </c>
      <c r="P1004">
        <f t="shared" si="277"/>
        <v>3.7434845491872495E-2</v>
      </c>
      <c r="Q1004">
        <f t="shared" si="278"/>
        <v>0.97127405242826359</v>
      </c>
      <c r="R1004">
        <f t="shared" si="268"/>
        <v>1</v>
      </c>
      <c r="AG1004" s="8">
        <f t="shared" si="272"/>
        <v>-0.80561079560167603</v>
      </c>
      <c r="AH1004" s="8">
        <f t="shared" si="273"/>
        <v>-0.29955539478334386</v>
      </c>
      <c r="AI1004" s="8">
        <f t="shared" si="274"/>
        <v>0.51113384887544822</v>
      </c>
      <c r="AJ1004" s="8"/>
      <c r="AK1004" s="8"/>
      <c r="AL1004" s="8"/>
      <c r="AN1004" s="8">
        <f t="shared" si="279"/>
        <v>1</v>
      </c>
      <c r="AO1004" s="8">
        <f t="shared" si="280"/>
        <v>3.4975868507556154</v>
      </c>
      <c r="AP1004" s="8">
        <f t="shared" si="281"/>
        <v>1.0342928590219831</v>
      </c>
      <c r="AQ1004" s="8"/>
      <c r="AR1004" s="8">
        <f t="shared" si="282"/>
        <v>200.39696502874972</v>
      </c>
      <c r="AS1004" s="8">
        <f t="shared" si="283"/>
        <v>30.739384397520915</v>
      </c>
    </row>
    <row r="1005" spans="1:45">
      <c r="A1005" s="19">
        <v>40.473766670000003</v>
      </c>
      <c r="B1005" s="19">
        <v>585.67044920000001</v>
      </c>
      <c r="C1005" s="19">
        <v>480.3968807</v>
      </c>
      <c r="E1005" s="9">
        <f t="shared" si="269"/>
        <v>-374.32955079999999</v>
      </c>
      <c r="F1005" s="9">
        <f t="shared" si="270"/>
        <v>59.603119300000003</v>
      </c>
      <c r="I1005">
        <v>1</v>
      </c>
      <c r="J1005">
        <f t="shared" si="271"/>
        <v>0.24059222053611359</v>
      </c>
      <c r="K1005">
        <f t="shared" si="275"/>
        <v>2.9836918440910836</v>
      </c>
      <c r="O1005">
        <f t="shared" si="276"/>
        <v>-0.23531354690485523</v>
      </c>
      <c r="P1005">
        <f t="shared" si="277"/>
        <v>3.7468111665514399E-2</v>
      </c>
      <c r="Q1005">
        <f t="shared" si="278"/>
        <v>0.97119703214707009</v>
      </c>
      <c r="R1005">
        <f t="shared" si="268"/>
        <v>1</v>
      </c>
      <c r="AG1005" s="8">
        <f t="shared" si="272"/>
        <v>-0.80575166041873447</v>
      </c>
      <c r="AH1005" s="8">
        <f t="shared" si="273"/>
        <v>-0.29926885000117642</v>
      </c>
      <c r="AI1005" s="8">
        <f t="shared" si="274"/>
        <v>0.51107965832287428</v>
      </c>
      <c r="AJ1005" s="8"/>
      <c r="AK1005" s="8"/>
      <c r="AL1005" s="8"/>
      <c r="AN1005" s="8">
        <f t="shared" si="279"/>
        <v>1</v>
      </c>
      <c r="AO1005" s="8">
        <f t="shared" si="280"/>
        <v>3.4972172628805294</v>
      </c>
      <c r="AP1005" s="8">
        <f t="shared" si="281"/>
        <v>1.034355906684147</v>
      </c>
      <c r="AQ1005" s="8"/>
      <c r="AR1005" s="8">
        <f t="shared" si="282"/>
        <v>200.37578920334806</v>
      </c>
      <c r="AS1005" s="8">
        <f t="shared" si="283"/>
        <v>30.735772032570758</v>
      </c>
    </row>
    <row r="1006" spans="1:45">
      <c r="A1006" s="19">
        <v>40.507133330000002</v>
      </c>
      <c r="B1006" s="19">
        <v>585.30793270000004</v>
      </c>
      <c r="C1006" s="19">
        <v>480.37379559999999</v>
      </c>
      <c r="E1006" s="9">
        <f t="shared" si="269"/>
        <v>-374.69206729999996</v>
      </c>
      <c r="F1006" s="9">
        <f t="shared" si="270"/>
        <v>59.626204400000006</v>
      </c>
      <c r="I1006">
        <v>1</v>
      </c>
      <c r="J1006">
        <f t="shared" si="271"/>
        <v>0.24081498389068132</v>
      </c>
      <c r="K1006">
        <f t="shared" si="275"/>
        <v>2.9837820010955296</v>
      </c>
      <c r="O1006">
        <f t="shared" si="276"/>
        <v>-0.23553057683989684</v>
      </c>
      <c r="P1006">
        <f t="shared" si="277"/>
        <v>3.7480895761428865E-2</v>
      </c>
      <c r="Q1006">
        <f t="shared" si="278"/>
        <v>0.97114392848145137</v>
      </c>
      <c r="R1006">
        <f t="shared" si="268"/>
        <v>1</v>
      </c>
      <c r="AG1006" s="8">
        <f t="shared" si="272"/>
        <v>-0.80585296741581802</v>
      </c>
      <c r="AH1006" s="8">
        <f t="shared" si="273"/>
        <v>-0.29907468571102391</v>
      </c>
      <c r="AI1006" s="8">
        <f t="shared" si="274"/>
        <v>0.51103358722687975</v>
      </c>
      <c r="AJ1006" s="8"/>
      <c r="AK1006" s="8"/>
      <c r="AL1006" s="8"/>
      <c r="AN1006" s="8">
        <f t="shared" si="279"/>
        <v>1.0000000000000002</v>
      </c>
      <c r="AO1006" s="8">
        <f t="shared" si="280"/>
        <v>3.4969644733720022</v>
      </c>
      <c r="AP1006" s="8">
        <f t="shared" si="281"/>
        <v>1.034409505956106</v>
      </c>
      <c r="AQ1006" s="8"/>
      <c r="AR1006" s="8">
        <f t="shared" si="282"/>
        <v>200.36130543140428</v>
      </c>
      <c r="AS1006" s="8">
        <f t="shared" si="283"/>
        <v>30.732701020502532</v>
      </c>
    </row>
    <row r="1007" spans="1:45">
      <c r="A1007" s="19">
        <v>40.540500000000002</v>
      </c>
      <c r="B1007" s="19">
        <v>584.65576050000004</v>
      </c>
      <c r="C1007" s="19">
        <v>480.16907609999998</v>
      </c>
      <c r="E1007" s="9">
        <f t="shared" si="269"/>
        <v>-375.34423949999996</v>
      </c>
      <c r="F1007" s="9">
        <f t="shared" si="270"/>
        <v>59.830923900000016</v>
      </c>
      <c r="I1007">
        <v>1</v>
      </c>
      <c r="J1007">
        <f t="shared" si="271"/>
        <v>0.24123148538231262</v>
      </c>
      <c r="K1007">
        <f t="shared" si="275"/>
        <v>2.9835197358713526</v>
      </c>
      <c r="O1007">
        <f t="shared" si="276"/>
        <v>-0.23592015835629607</v>
      </c>
      <c r="P1007">
        <f t="shared" si="277"/>
        <v>3.7606334547440196E-2</v>
      </c>
      <c r="Q1007">
        <f t="shared" si="278"/>
        <v>0.97104451107199319</v>
      </c>
      <c r="R1007">
        <f t="shared" si="268"/>
        <v>1</v>
      </c>
      <c r="AG1007" s="8">
        <f t="shared" si="272"/>
        <v>-0.80599872584874188</v>
      </c>
      <c r="AH1007" s="8">
        <f t="shared" si="273"/>
        <v>-0.29867953330957442</v>
      </c>
      <c r="AI1007" s="8">
        <f t="shared" si="274"/>
        <v>0.51103482299367797</v>
      </c>
      <c r="AJ1007" s="8"/>
      <c r="AK1007" s="8"/>
      <c r="AL1007" s="8"/>
      <c r="AN1007" s="8">
        <f t="shared" si="279"/>
        <v>1.0000000000000004</v>
      </c>
      <c r="AO1007" s="8">
        <f t="shared" si="280"/>
        <v>3.4964744817268083</v>
      </c>
      <c r="AP1007" s="8">
        <f t="shared" si="281"/>
        <v>1.034408068283045</v>
      </c>
      <c r="AQ1007" s="8"/>
      <c r="AR1007" s="8">
        <f t="shared" si="282"/>
        <v>200.333230978138</v>
      </c>
      <c r="AS1007" s="8">
        <f t="shared" si="283"/>
        <v>30.732783393101251</v>
      </c>
    </row>
    <row r="1008" spans="1:45">
      <c r="A1008" s="19">
        <v>40.573866670000001</v>
      </c>
      <c r="B1008" s="19">
        <v>583.50041610000005</v>
      </c>
      <c r="C1008" s="19">
        <v>479.74557870000001</v>
      </c>
      <c r="E1008" s="9">
        <f t="shared" si="269"/>
        <v>-376.49958389999995</v>
      </c>
      <c r="F1008" s="9">
        <f t="shared" si="270"/>
        <v>60.25442129999999</v>
      </c>
      <c r="I1008">
        <v>1</v>
      </c>
      <c r="J1008">
        <f t="shared" si="271"/>
        <v>0.24197509253729615</v>
      </c>
      <c r="K1008">
        <f t="shared" si="275"/>
        <v>2.9828998716824007</v>
      </c>
      <c r="O1008">
        <f t="shared" si="276"/>
        <v>-0.23660973947989444</v>
      </c>
      <c r="P1008">
        <f t="shared" si="277"/>
        <v>3.7866663167658368E-2</v>
      </c>
      <c r="Q1008">
        <f t="shared" si="278"/>
        <v>0.97086659588421498</v>
      </c>
      <c r="R1008">
        <f t="shared" si="268"/>
        <v>1</v>
      </c>
      <c r="AG1008" s="8">
        <f t="shared" si="272"/>
        <v>-0.80624295895262788</v>
      </c>
      <c r="AH1008" s="8">
        <f t="shared" si="273"/>
        <v>-0.29796246565297996</v>
      </c>
      <c r="AI1008" s="8">
        <f t="shared" si="274"/>
        <v>0.51106815612138079</v>
      </c>
      <c r="AJ1008" s="8"/>
      <c r="AK1008" s="8"/>
      <c r="AL1008" s="8"/>
      <c r="AN1008" s="8">
        <f t="shared" si="279"/>
        <v>1.0000000000000002</v>
      </c>
      <c r="AO1008" s="8">
        <f t="shared" si="280"/>
        <v>3.4955934856583486</v>
      </c>
      <c r="AP1008" s="8">
        <f t="shared" si="281"/>
        <v>1.0343692885450246</v>
      </c>
      <c r="AQ1008" s="8"/>
      <c r="AR1008" s="8">
        <f t="shared" si="282"/>
        <v>200.28275362164763</v>
      </c>
      <c r="AS1008" s="8">
        <f t="shared" si="283"/>
        <v>30.73500530842044</v>
      </c>
    </row>
    <row r="1009" spans="1:45">
      <c r="A1009" s="19">
        <v>40.60723333</v>
      </c>
      <c r="B1009" s="19">
        <v>583.44728569999995</v>
      </c>
      <c r="C1009" s="19">
        <v>479.58050500000002</v>
      </c>
      <c r="E1009" s="9">
        <f t="shared" si="269"/>
        <v>-376.55271430000005</v>
      </c>
      <c r="F1009" s="9">
        <f t="shared" si="270"/>
        <v>60.419494999999984</v>
      </c>
      <c r="I1009">
        <v>1</v>
      </c>
      <c r="J1009">
        <f t="shared" si="271"/>
        <v>0.24202346830939739</v>
      </c>
      <c r="K1009">
        <f t="shared" si="275"/>
        <v>2.9824944812108618</v>
      </c>
      <c r="O1009">
        <f t="shared" si="276"/>
        <v>-0.23664074223818671</v>
      </c>
      <c r="P1009">
        <f t="shared" si="277"/>
        <v>3.7970020131272798E-2</v>
      </c>
      <c r="Q1009">
        <f t="shared" si="278"/>
        <v>0.97085500291453963</v>
      </c>
      <c r="R1009">
        <f t="shared" si="268"/>
        <v>1</v>
      </c>
      <c r="AG1009" s="8">
        <f t="shared" si="272"/>
        <v>-0.8062217077628725</v>
      </c>
      <c r="AH1009" s="8">
        <f t="shared" si="273"/>
        <v>-0.29788857389765944</v>
      </c>
      <c r="AI1009" s="8">
        <f t="shared" si="274"/>
        <v>0.51114475002012516</v>
      </c>
      <c r="AJ1009" s="8"/>
      <c r="AK1009" s="8"/>
      <c r="AL1009" s="8"/>
      <c r="AN1009" s="8">
        <f t="shared" si="279"/>
        <v>1</v>
      </c>
      <c r="AO1009" s="8">
        <f t="shared" si="280"/>
        <v>3.4955214163582609</v>
      </c>
      <c r="AP1009" s="8">
        <f t="shared" si="281"/>
        <v>1.0342801758672588</v>
      </c>
      <c r="AQ1009" s="8"/>
      <c r="AR1009" s="8">
        <f t="shared" si="282"/>
        <v>200.27862435492014</v>
      </c>
      <c r="AS1009" s="8">
        <f t="shared" si="283"/>
        <v>30.74011108875753</v>
      </c>
    </row>
    <row r="1010" spans="1:45">
      <c r="A1010" s="19">
        <v>40.640599999999999</v>
      </c>
      <c r="B1010" s="19">
        <v>582.53218130000005</v>
      </c>
      <c r="C1010" s="19">
        <v>479.55190210000001</v>
      </c>
      <c r="E1010" s="9">
        <f t="shared" si="269"/>
        <v>-377.46781869999995</v>
      </c>
      <c r="F1010" s="9">
        <f t="shared" si="270"/>
        <v>60.448097899999993</v>
      </c>
      <c r="I1010">
        <v>1</v>
      </c>
      <c r="J1010">
        <f t="shared" si="271"/>
        <v>0.24258243500523752</v>
      </c>
      <c r="K1010">
        <f t="shared" si="275"/>
        <v>2.9827998520779326</v>
      </c>
      <c r="O1010">
        <f t="shared" si="276"/>
        <v>-0.23718813729725058</v>
      </c>
      <c r="P1010">
        <f t="shared" si="277"/>
        <v>3.7983560541509129E-2</v>
      </c>
      <c r="Q1010">
        <f t="shared" si="278"/>
        <v>0.97072088504062282</v>
      </c>
      <c r="R1010">
        <f t="shared" si="268"/>
        <v>1</v>
      </c>
      <c r="AG1010" s="8">
        <f t="shared" si="272"/>
        <v>-0.80648317861944085</v>
      </c>
      <c r="AH1010" s="8">
        <f t="shared" si="273"/>
        <v>-0.29740688964884188</v>
      </c>
      <c r="AI1010" s="8">
        <f t="shared" si="274"/>
        <v>0.51101274406151997</v>
      </c>
      <c r="AJ1010" s="8"/>
      <c r="AK1010" s="8"/>
      <c r="AL1010" s="8"/>
      <c r="AN1010" s="8">
        <f t="shared" si="279"/>
        <v>0.99999999999999978</v>
      </c>
      <c r="AO1010" s="8">
        <f t="shared" si="280"/>
        <v>3.4948903464456071</v>
      </c>
      <c r="AP1010" s="8">
        <f t="shared" si="281"/>
        <v>1.0344337544054043</v>
      </c>
      <c r="AQ1010" s="8"/>
      <c r="AR1010" s="8">
        <f t="shared" si="282"/>
        <v>200.24246671234741</v>
      </c>
      <c r="AS1010" s="8">
        <f t="shared" si="283"/>
        <v>30.731311686698007</v>
      </c>
    </row>
    <row r="1011" spans="1:45">
      <c r="A1011" s="19">
        <v>40.673966669999999</v>
      </c>
      <c r="B1011" s="19">
        <v>582.27938289999997</v>
      </c>
      <c r="C1011" s="19">
        <v>479.56433199999998</v>
      </c>
      <c r="E1011" s="9">
        <f t="shared" si="269"/>
        <v>-377.72061710000003</v>
      </c>
      <c r="F1011" s="9">
        <f t="shared" si="270"/>
        <v>60.435668000000021</v>
      </c>
      <c r="I1011">
        <v>1</v>
      </c>
      <c r="J1011">
        <f t="shared" si="271"/>
        <v>0.24273485161307554</v>
      </c>
      <c r="K1011">
        <f t="shared" si="275"/>
        <v>2.9829364381942454</v>
      </c>
      <c r="O1011">
        <f t="shared" si="276"/>
        <v>-0.23733941610974918</v>
      </c>
      <c r="P1011">
        <f t="shared" si="277"/>
        <v>3.7974538603290531E-2</v>
      </c>
      <c r="Q1011">
        <f t="shared" si="278"/>
        <v>0.97068426173424205</v>
      </c>
      <c r="R1011">
        <f t="shared" si="268"/>
        <v>1</v>
      </c>
      <c r="AG1011" s="8">
        <f t="shared" si="272"/>
        <v>-0.80655988751769547</v>
      </c>
      <c r="AH1011" s="8">
        <f t="shared" si="273"/>
        <v>-0.29727954182580146</v>
      </c>
      <c r="AI1011" s="8">
        <f t="shared" si="274"/>
        <v>0.51096577366716456</v>
      </c>
      <c r="AJ1011" s="8"/>
      <c r="AK1011" s="8"/>
      <c r="AL1011" s="8"/>
      <c r="AN1011" s="8">
        <f t="shared" si="279"/>
        <v>1</v>
      </c>
      <c r="AO1011" s="8">
        <f t="shared" si="280"/>
        <v>3.4947204732079538</v>
      </c>
      <c r="AP1011" s="8">
        <f t="shared" si="281"/>
        <v>1.0344883973782126</v>
      </c>
      <c r="AQ1011" s="8"/>
      <c r="AR1011" s="8">
        <f t="shared" si="282"/>
        <v>200.23273369277763</v>
      </c>
      <c r="AS1011" s="8">
        <f t="shared" si="283"/>
        <v>30.72818087497604</v>
      </c>
    </row>
    <row r="1012" spans="1:45">
      <c r="A1012" s="19">
        <v>40.707333329999997</v>
      </c>
      <c r="B1012" s="19">
        <v>581.73601440000004</v>
      </c>
      <c r="C1012" s="19">
        <v>479.54989130000001</v>
      </c>
      <c r="E1012" s="9">
        <f t="shared" si="269"/>
        <v>-378.26398559999996</v>
      </c>
      <c r="F1012" s="9">
        <f t="shared" si="270"/>
        <v>60.450108699999987</v>
      </c>
      <c r="I1012">
        <v>1</v>
      </c>
      <c r="J1012">
        <f t="shared" si="271"/>
        <v>0.24306643211960408</v>
      </c>
      <c r="K1012">
        <f t="shared" si="275"/>
        <v>2.9831233215429318</v>
      </c>
      <c r="O1012">
        <f t="shared" si="276"/>
        <v>-0.23766432279107338</v>
      </c>
      <c r="P1012">
        <f t="shared" si="277"/>
        <v>3.7980972796137803E-2</v>
      </c>
      <c r="Q1012">
        <f t="shared" si="278"/>
        <v>0.9706045102809483</v>
      </c>
      <c r="R1012">
        <f t="shared" si="268"/>
        <v>1</v>
      </c>
      <c r="AG1012" s="8">
        <f t="shared" si="272"/>
        <v>-0.80671550470984255</v>
      </c>
      <c r="AH1012" s="8">
        <f t="shared" si="273"/>
        <v>-0.29699426079805047</v>
      </c>
      <c r="AI1012" s="8">
        <f t="shared" si="274"/>
        <v>0.51088599854934724</v>
      </c>
      <c r="AJ1012" s="8"/>
      <c r="AK1012" s="8"/>
      <c r="AL1012" s="8"/>
      <c r="AN1012" s="8">
        <f t="shared" si="279"/>
        <v>1</v>
      </c>
      <c r="AO1012" s="8">
        <f t="shared" si="280"/>
        <v>3.4943464881258599</v>
      </c>
      <c r="AP1012" s="8">
        <f t="shared" si="281"/>
        <v>1.0345811996344993</v>
      </c>
      <c r="AQ1012" s="8"/>
      <c r="AR1012" s="8">
        <f t="shared" si="282"/>
        <v>200.21130592597279</v>
      </c>
      <c r="AS1012" s="8">
        <f t="shared" si="283"/>
        <v>30.722863697361518</v>
      </c>
    </row>
    <row r="1013" spans="1:45">
      <c r="A1013" s="19">
        <v>40.740699999999997</v>
      </c>
      <c r="B1013" s="19">
        <v>581.47679289999996</v>
      </c>
      <c r="C1013" s="19">
        <v>479.62053040000001</v>
      </c>
      <c r="E1013" s="9">
        <f t="shared" si="269"/>
        <v>-378.52320710000004</v>
      </c>
      <c r="F1013" s="9">
        <f t="shared" si="270"/>
        <v>60.379469599999993</v>
      </c>
      <c r="I1013">
        <v>1</v>
      </c>
      <c r="J1013">
        <f t="shared" si="271"/>
        <v>0.2432170836561425</v>
      </c>
      <c r="K1013">
        <f t="shared" si="275"/>
        <v>2.9834120208550798</v>
      </c>
      <c r="O1013">
        <f t="shared" si="276"/>
        <v>-0.23781967280979002</v>
      </c>
      <c r="P1013">
        <f t="shared" si="277"/>
        <v>3.7935390579386913E-2</v>
      </c>
      <c r="Q1013">
        <f t="shared" si="278"/>
        <v>0.97056824044795209</v>
      </c>
      <c r="R1013">
        <f t="shared" si="268"/>
        <v>1</v>
      </c>
      <c r="AG1013" s="8">
        <f t="shared" si="272"/>
        <v>-0.80680699158861835</v>
      </c>
      <c r="AH1013" s="8">
        <f t="shared" si="273"/>
        <v>-0.2968799478886473</v>
      </c>
      <c r="AI1013" s="8">
        <f t="shared" si="274"/>
        <v>0.51080796280535523</v>
      </c>
      <c r="AJ1013" s="8"/>
      <c r="AK1013" s="8"/>
      <c r="AL1013" s="8"/>
      <c r="AN1013" s="8">
        <f t="shared" si="279"/>
        <v>1</v>
      </c>
      <c r="AO1013" s="8">
        <f t="shared" si="280"/>
        <v>3.4941849409504977</v>
      </c>
      <c r="AP1013" s="8">
        <f t="shared" si="281"/>
        <v>1.0346719735284333</v>
      </c>
      <c r="AQ1013" s="8"/>
      <c r="AR1013" s="8">
        <f t="shared" si="282"/>
        <v>200.20204995463229</v>
      </c>
      <c r="AS1013" s="8">
        <f t="shared" si="283"/>
        <v>30.717662736349133</v>
      </c>
    </row>
    <row r="1014" spans="1:45">
      <c r="A1014" s="19">
        <v>40.774066670000003</v>
      </c>
      <c r="B1014" s="19">
        <v>581.01080999999999</v>
      </c>
      <c r="C1014" s="19">
        <v>479.56383849999997</v>
      </c>
      <c r="E1014" s="9">
        <f t="shared" si="269"/>
        <v>-378.98919000000001</v>
      </c>
      <c r="F1014" s="9">
        <f t="shared" si="270"/>
        <v>60.436161500000026</v>
      </c>
      <c r="I1014">
        <v>1</v>
      </c>
      <c r="J1014">
        <f t="shared" si="271"/>
        <v>0.24350568972911354</v>
      </c>
      <c r="K1014">
        <f t="shared" si="275"/>
        <v>2.9834574073925895</v>
      </c>
      <c r="O1014">
        <f t="shared" si="276"/>
        <v>-0.23809800124857883</v>
      </c>
      <c r="P1014">
        <f t="shared" si="277"/>
        <v>3.7968706327181384E-2</v>
      </c>
      <c r="Q1014">
        <f t="shared" si="278"/>
        <v>0.97049869610487993</v>
      </c>
      <c r="R1014">
        <f t="shared" si="268"/>
        <v>1</v>
      </c>
      <c r="AG1014" s="8">
        <f t="shared" si="272"/>
        <v>-0.8069304290790914</v>
      </c>
      <c r="AH1014" s="8">
        <f t="shared" si="273"/>
        <v>-0.29662285985910852</v>
      </c>
      <c r="AI1014" s="8">
        <f t="shared" si="274"/>
        <v>0.51076233380627956</v>
      </c>
      <c r="AJ1014" s="8"/>
      <c r="AK1014" s="8"/>
      <c r="AL1014" s="8"/>
      <c r="AN1014" s="8">
        <f t="shared" si="279"/>
        <v>1.0000000000000002</v>
      </c>
      <c r="AO1014" s="8">
        <f t="shared" si="280"/>
        <v>3.4938547190254128</v>
      </c>
      <c r="AP1014" s="8">
        <f t="shared" si="281"/>
        <v>1.034725048500261</v>
      </c>
      <c r="AQ1014" s="8"/>
      <c r="AR1014" s="8">
        <f t="shared" si="282"/>
        <v>200.18312963202223</v>
      </c>
      <c r="AS1014" s="8">
        <f t="shared" si="283"/>
        <v>30.714621764465633</v>
      </c>
    </row>
    <row r="1015" spans="1:45">
      <c r="A1015" s="19">
        <v>40.807433330000002</v>
      </c>
      <c r="B1015" s="19">
        <v>580.21280509999997</v>
      </c>
      <c r="C1015" s="19">
        <v>479.56832580000003</v>
      </c>
      <c r="E1015" s="9">
        <f t="shared" si="269"/>
        <v>-379.78719490000003</v>
      </c>
      <c r="F1015" s="9">
        <f t="shared" si="270"/>
        <v>60.431674199999975</v>
      </c>
      <c r="I1015">
        <v>1</v>
      </c>
      <c r="J1015">
        <f t="shared" si="271"/>
        <v>0.243990020340146</v>
      </c>
      <c r="K1015">
        <f t="shared" si="275"/>
        <v>2.9837957083284623</v>
      </c>
      <c r="O1015">
        <f t="shared" si="276"/>
        <v>-0.23857500688933439</v>
      </c>
      <c r="P1015">
        <f t="shared" si="277"/>
        <v>3.796201473405441E-2</v>
      </c>
      <c r="Q1015">
        <f t="shared" si="278"/>
        <v>0.97038180708682165</v>
      </c>
      <c r="R1015">
        <f t="shared" si="268"/>
        <v>1</v>
      </c>
      <c r="AG1015" s="8">
        <f t="shared" si="272"/>
        <v>-0.80716427238190358</v>
      </c>
      <c r="AH1015" s="8">
        <f t="shared" si="273"/>
        <v>-0.29621114346352767</v>
      </c>
      <c r="AI1015" s="8">
        <f t="shared" si="274"/>
        <v>0.51063176152509526</v>
      </c>
      <c r="AJ1015" s="8"/>
      <c r="AK1015" s="8"/>
      <c r="AL1015" s="8"/>
      <c r="AN1015" s="8">
        <f t="shared" si="279"/>
        <v>1.0000000000000002</v>
      </c>
      <c r="AO1015" s="8">
        <f t="shared" si="280"/>
        <v>3.4933114343736191</v>
      </c>
      <c r="AP1015" s="8">
        <f t="shared" si="281"/>
        <v>1.0348769189867451</v>
      </c>
      <c r="AQ1015" s="8"/>
      <c r="AR1015" s="8">
        <f t="shared" si="282"/>
        <v>200.15200171440023</v>
      </c>
      <c r="AS1015" s="8">
        <f t="shared" si="283"/>
        <v>30.705920226557495</v>
      </c>
    </row>
    <row r="1016" spans="1:45">
      <c r="A1016" s="19">
        <v>40.840800000000002</v>
      </c>
      <c r="B1016" s="19">
        <v>579.59697989999995</v>
      </c>
      <c r="C1016" s="19">
        <v>479.5639961</v>
      </c>
      <c r="E1016" s="9">
        <f t="shared" si="269"/>
        <v>-380.40302010000005</v>
      </c>
      <c r="F1016" s="9">
        <f t="shared" si="270"/>
        <v>60.436003900000003</v>
      </c>
      <c r="I1016">
        <v>1</v>
      </c>
      <c r="J1016">
        <f t="shared" si="271"/>
        <v>0.24436447777724032</v>
      </c>
      <c r="K1016">
        <f t="shared" si="275"/>
        <v>2.9840358508828468</v>
      </c>
      <c r="O1016">
        <f t="shared" si="276"/>
        <v>-0.23894296544294324</v>
      </c>
      <c r="P1016">
        <f t="shared" si="277"/>
        <v>3.796173328905518E-2</v>
      </c>
      <c r="Q1016">
        <f t="shared" si="278"/>
        <v>0.97029127898328704</v>
      </c>
      <c r="R1016">
        <f t="shared" si="268"/>
        <v>1</v>
      </c>
      <c r="AG1016" s="8">
        <f t="shared" si="272"/>
        <v>-0.80734282518648093</v>
      </c>
      <c r="AH1016" s="8">
        <f t="shared" si="273"/>
        <v>-0.29589124491962415</v>
      </c>
      <c r="AI1016" s="8">
        <f t="shared" si="274"/>
        <v>0.51053494865662852</v>
      </c>
      <c r="AJ1016" s="8"/>
      <c r="AK1016" s="8"/>
      <c r="AL1016" s="8"/>
      <c r="AN1016" s="8">
        <f t="shared" si="279"/>
        <v>1</v>
      </c>
      <c r="AO1016" s="8">
        <f t="shared" si="280"/>
        <v>3.4928906335279062</v>
      </c>
      <c r="AP1016" s="8">
        <f t="shared" si="281"/>
        <v>1.0349895145747512</v>
      </c>
      <c r="AQ1016" s="8"/>
      <c r="AR1016" s="8">
        <f t="shared" si="282"/>
        <v>200.12789160192534</v>
      </c>
      <c r="AS1016" s="8">
        <f t="shared" si="283"/>
        <v>30.699468974572952</v>
      </c>
    </row>
    <row r="1017" spans="1:45">
      <c r="A1017" s="19">
        <v>40.874166670000001</v>
      </c>
      <c r="B1017" s="19">
        <v>579.25</v>
      </c>
      <c r="C1017" s="19">
        <v>479.58333329999999</v>
      </c>
      <c r="E1017" s="9">
        <f t="shared" si="269"/>
        <v>-380.75</v>
      </c>
      <c r="F1017" s="9">
        <f t="shared" si="270"/>
        <v>60.416666700000007</v>
      </c>
      <c r="I1017">
        <v>1</v>
      </c>
      <c r="J1017">
        <f t="shared" si="271"/>
        <v>0.2445733403602697</v>
      </c>
      <c r="K1017">
        <f t="shared" si="275"/>
        <v>2.9842266115215517</v>
      </c>
      <c r="O1017">
        <f t="shared" si="276"/>
        <v>-0.2391503508905167</v>
      </c>
      <c r="P1017">
        <f t="shared" si="277"/>
        <v>3.7947910810086416E-2</v>
      </c>
      <c r="Q1017">
        <f t="shared" si="278"/>
        <v>0.97024072566249886</v>
      </c>
      <c r="R1017">
        <f t="shared" si="268"/>
        <v>1</v>
      </c>
      <c r="AG1017" s="8">
        <f t="shared" si="272"/>
        <v>-0.80744821917637821</v>
      </c>
      <c r="AH1017" s="8">
        <f t="shared" si="273"/>
        <v>-0.29571712276626161</v>
      </c>
      <c r="AI1017" s="8">
        <f t="shared" si="274"/>
        <v>0.51046915347720989</v>
      </c>
      <c r="AJ1017" s="8"/>
      <c r="AK1017" s="8"/>
      <c r="AL1017" s="8"/>
      <c r="AN1017" s="8">
        <f t="shared" si="279"/>
        <v>1</v>
      </c>
      <c r="AO1017" s="8">
        <f t="shared" si="280"/>
        <v>3.4926583312562709</v>
      </c>
      <c r="AP1017" s="8">
        <f t="shared" si="281"/>
        <v>1.035066031582432</v>
      </c>
      <c r="AQ1017" s="8"/>
      <c r="AR1017" s="8">
        <f t="shared" si="282"/>
        <v>200.11458166218935</v>
      </c>
      <c r="AS1017" s="8">
        <f t="shared" si="283"/>
        <v>30.695084872971869</v>
      </c>
    </row>
    <row r="1018" spans="1:45">
      <c r="A1018" s="19">
        <v>40.90753333</v>
      </c>
      <c r="B1018" s="19">
        <v>579.33342130000005</v>
      </c>
      <c r="C1018" s="19">
        <v>479.72305269999998</v>
      </c>
      <c r="E1018" s="9">
        <f t="shared" si="269"/>
        <v>-380.66657869999995</v>
      </c>
      <c r="F1018" s="9">
        <f t="shared" si="270"/>
        <v>60.276947300000018</v>
      </c>
      <c r="I1018">
        <v>1</v>
      </c>
      <c r="J1018">
        <f t="shared" si="271"/>
        <v>0.24450922621182006</v>
      </c>
      <c r="K1018">
        <f t="shared" si="275"/>
        <v>2.9845507328738803</v>
      </c>
      <c r="O1018">
        <f t="shared" si="276"/>
        <v>-0.23910119690120482</v>
      </c>
      <c r="P1018">
        <f t="shared" si="277"/>
        <v>3.7860666135177252E-2</v>
      </c>
      <c r="Q1018">
        <f t="shared" si="278"/>
        <v>0.97025624842111269</v>
      </c>
      <c r="R1018">
        <f t="shared" si="268"/>
        <v>1</v>
      </c>
      <c r="AG1018" s="8">
        <f t="shared" si="272"/>
        <v>-0.80745506632263986</v>
      </c>
      <c r="AH1018" s="8">
        <f t="shared" si="273"/>
        <v>-0.29579952698516054</v>
      </c>
      <c r="AI1018" s="8">
        <f t="shared" si="274"/>
        <v>0.51041057562050629</v>
      </c>
      <c r="AJ1018" s="8"/>
      <c r="AK1018" s="8"/>
      <c r="AL1018" s="8"/>
      <c r="AN1018" s="8">
        <f t="shared" si="279"/>
        <v>1</v>
      </c>
      <c r="AO1018" s="8">
        <f t="shared" si="280"/>
        <v>3.4927455747774752</v>
      </c>
      <c r="AP1018" s="8">
        <f t="shared" si="281"/>
        <v>1.0351341522248068</v>
      </c>
      <c r="AQ1018" s="8"/>
      <c r="AR1018" s="8">
        <f t="shared" si="282"/>
        <v>200.1195803477442</v>
      </c>
      <c r="AS1018" s="8">
        <f t="shared" si="283"/>
        <v>30.69118184766608</v>
      </c>
    </row>
    <row r="1019" spans="1:45">
      <c r="A1019" s="19">
        <v>40.940899999999999</v>
      </c>
      <c r="B1019" s="19">
        <v>577.5</v>
      </c>
      <c r="C1019" s="19">
        <v>478.41666670000001</v>
      </c>
      <c r="E1019" s="9">
        <f t="shared" si="269"/>
        <v>-382.5</v>
      </c>
      <c r="F1019" s="9">
        <f t="shared" si="270"/>
        <v>61.583333299999993</v>
      </c>
      <c r="I1019">
        <v>1</v>
      </c>
      <c r="J1019">
        <f t="shared" si="271"/>
        <v>0.24574883033911177</v>
      </c>
      <c r="K1019">
        <f t="shared" si="275"/>
        <v>2.9819603812814734</v>
      </c>
      <c r="O1019">
        <f t="shared" si="276"/>
        <v>-0.24018958032435203</v>
      </c>
      <c r="P1019">
        <f t="shared" si="277"/>
        <v>3.8671045700135138E-2</v>
      </c>
      <c r="Q1019">
        <f t="shared" si="278"/>
        <v>0.96995541945394048</v>
      </c>
      <c r="R1019">
        <f t="shared" si="268"/>
        <v>1</v>
      </c>
      <c r="AG1019" s="8">
        <f t="shared" si="272"/>
        <v>-0.80769707624624654</v>
      </c>
      <c r="AH1019" s="8">
        <f t="shared" si="273"/>
        <v>-0.29448400148132925</v>
      </c>
      <c r="AI1019" s="8">
        <f t="shared" si="274"/>
        <v>0.51078822019973158</v>
      </c>
      <c r="AJ1019" s="8"/>
      <c r="AK1019" s="8"/>
      <c r="AL1019" s="8"/>
      <c r="AN1019" s="8">
        <f t="shared" si="279"/>
        <v>1</v>
      </c>
      <c r="AO1019" s="8">
        <f t="shared" si="280"/>
        <v>3.4912119176631466</v>
      </c>
      <c r="AP1019" s="8">
        <f t="shared" si="281"/>
        <v>1.0346949380385342</v>
      </c>
      <c r="AQ1019" s="8"/>
      <c r="AR1019" s="8">
        <f t="shared" si="282"/>
        <v>200.03170826787297</v>
      </c>
      <c r="AS1019" s="8">
        <f t="shared" si="283"/>
        <v>30.716346966841769</v>
      </c>
    </row>
    <row r="1020" spans="1:45">
      <c r="A1020" s="19">
        <v>40.974266669999999</v>
      </c>
      <c r="B1020" s="19">
        <v>577.87806130000001</v>
      </c>
      <c r="C1020" s="19">
        <v>478.68754310000003</v>
      </c>
      <c r="E1020" s="9">
        <f t="shared" si="269"/>
        <v>-382.12193869999999</v>
      </c>
      <c r="F1020" s="9">
        <f t="shared" si="270"/>
        <v>61.312456899999972</v>
      </c>
      <c r="I1020">
        <v>1</v>
      </c>
      <c r="J1020">
        <f t="shared" si="271"/>
        <v>0.24549299993703214</v>
      </c>
      <c r="K1020">
        <f t="shared" si="275"/>
        <v>2.9824961242272812</v>
      </c>
      <c r="O1020">
        <f t="shared" si="276"/>
        <v>-0.2399652455069399</v>
      </c>
      <c r="P1020">
        <f t="shared" si="277"/>
        <v>3.8503046495304928E-2</v>
      </c>
      <c r="Q1020">
        <f t="shared" si="278"/>
        <v>0.970017626829211</v>
      </c>
      <c r="R1020">
        <f t="shared" si="268"/>
        <v>1</v>
      </c>
      <c r="AG1020" s="8">
        <f t="shared" si="272"/>
        <v>-0.80764764518269705</v>
      </c>
      <c r="AH1020" s="8">
        <f t="shared" si="273"/>
        <v>-0.2947556757854094</v>
      </c>
      <c r="AI1020" s="8">
        <f t="shared" si="274"/>
        <v>0.51070967567017089</v>
      </c>
      <c r="AJ1020" s="8"/>
      <c r="AK1020" s="8"/>
      <c r="AL1020" s="8"/>
      <c r="AN1020" s="8">
        <f t="shared" si="279"/>
        <v>1.0000000000000002</v>
      </c>
      <c r="AO1020" s="8">
        <f t="shared" si="280"/>
        <v>3.4915284864105178</v>
      </c>
      <c r="AP1020" s="8">
        <f t="shared" si="281"/>
        <v>1.0347862975795021</v>
      </c>
      <c r="AQ1020" s="8"/>
      <c r="AR1020" s="8">
        <f t="shared" si="282"/>
        <v>200.04984632102307</v>
      </c>
      <c r="AS1020" s="8">
        <f t="shared" si="283"/>
        <v>30.711112450726056</v>
      </c>
    </row>
    <row r="1021" spans="1:45">
      <c r="A1021" s="19">
        <v>41.007633329999997</v>
      </c>
      <c r="B1021" s="19">
        <v>576.92753470000002</v>
      </c>
      <c r="C1021" s="19">
        <v>478.54963190000001</v>
      </c>
      <c r="E1021" s="9">
        <f t="shared" si="269"/>
        <v>-383.07246529999998</v>
      </c>
      <c r="F1021" s="9">
        <f t="shared" si="270"/>
        <v>61.450368099999992</v>
      </c>
      <c r="I1021">
        <v>1</v>
      </c>
      <c r="J1021">
        <f t="shared" si="271"/>
        <v>0.24608319678466845</v>
      </c>
      <c r="K1021">
        <f t="shared" si="275"/>
        <v>2.9825332890487997</v>
      </c>
      <c r="O1021">
        <f t="shared" si="276"/>
        <v>-0.24053190896643392</v>
      </c>
      <c r="P1021">
        <f t="shared" si="277"/>
        <v>3.8584799704169871E-2</v>
      </c>
      <c r="Q1021">
        <f t="shared" si="278"/>
        <v>0.96987401965448705</v>
      </c>
      <c r="R1021">
        <f t="shared" si="268"/>
        <v>1</v>
      </c>
      <c r="AG1021" s="8">
        <f t="shared" si="272"/>
        <v>-0.80789305457825944</v>
      </c>
      <c r="AH1021" s="8">
        <f t="shared" si="273"/>
        <v>-0.29422518462206271</v>
      </c>
      <c r="AI1021" s="8">
        <f t="shared" si="274"/>
        <v>0.51062741122889488</v>
      </c>
      <c r="AJ1021" s="8"/>
      <c r="AK1021" s="8"/>
      <c r="AL1021" s="8"/>
      <c r="AN1021" s="8">
        <f t="shared" si="279"/>
        <v>1.0000000000000002</v>
      </c>
      <c r="AO1021" s="8">
        <f t="shared" si="280"/>
        <v>3.4908510326200211</v>
      </c>
      <c r="AP1021" s="8">
        <f t="shared" si="281"/>
        <v>1.0348819786426229</v>
      </c>
      <c r="AQ1021" s="8"/>
      <c r="AR1021" s="8">
        <f t="shared" si="282"/>
        <v>200.01103107801248</v>
      </c>
      <c r="AS1021" s="8">
        <f t="shared" si="283"/>
        <v>30.705630329629912</v>
      </c>
    </row>
    <row r="1022" spans="1:45">
      <c r="A1022" s="19">
        <v>41.040999999999997</v>
      </c>
      <c r="B1022" s="19">
        <v>576.41666669999995</v>
      </c>
      <c r="C1022" s="19">
        <v>478.16666670000001</v>
      </c>
      <c r="E1022" s="9">
        <f t="shared" si="269"/>
        <v>-383.58333330000005</v>
      </c>
      <c r="F1022" s="9">
        <f t="shared" si="270"/>
        <v>61.833333299999993</v>
      </c>
      <c r="I1022">
        <v>1</v>
      </c>
      <c r="J1022">
        <f t="shared" si="271"/>
        <v>0.24643045942615874</v>
      </c>
      <c r="K1022">
        <f t="shared" si="275"/>
        <v>2.9817683264970039</v>
      </c>
      <c r="O1022">
        <f t="shared" si="276"/>
        <v>-0.24083481673007695</v>
      </c>
      <c r="P1022">
        <f t="shared" si="277"/>
        <v>3.882238408275298E-2</v>
      </c>
      <c r="Q1022">
        <f t="shared" si="278"/>
        <v>0.96978936555559392</v>
      </c>
      <c r="R1022">
        <f t="shared" si="268"/>
        <v>1</v>
      </c>
      <c r="AG1022" s="8">
        <f t="shared" si="272"/>
        <v>-0.80795585822027394</v>
      </c>
      <c r="AH1022" s="8">
        <f t="shared" si="273"/>
        <v>-0.29385335413471247</v>
      </c>
      <c r="AI1022" s="8">
        <f t="shared" si="274"/>
        <v>0.51074214377836491</v>
      </c>
      <c r="AJ1022" s="8"/>
      <c r="AK1022" s="8"/>
      <c r="AL1022" s="8"/>
      <c r="AN1022" s="8">
        <f t="shared" si="279"/>
        <v>1</v>
      </c>
      <c r="AO1022" s="8">
        <f t="shared" si="280"/>
        <v>3.4904196510760874</v>
      </c>
      <c r="AP1022" s="8">
        <f t="shared" si="281"/>
        <v>1.0347485327057946</v>
      </c>
      <c r="AQ1022" s="8"/>
      <c r="AR1022" s="8">
        <f t="shared" si="282"/>
        <v>199.98631473618525</v>
      </c>
      <c r="AS1022" s="8">
        <f t="shared" si="283"/>
        <v>30.71327621860334</v>
      </c>
    </row>
    <row r="1023" spans="1:45">
      <c r="A1023" s="19">
        <v>41.074366670000003</v>
      </c>
      <c r="B1023" s="19">
        <v>576.25</v>
      </c>
      <c r="C1023" s="19">
        <v>478.16666670000001</v>
      </c>
      <c r="E1023" s="9">
        <f t="shared" si="269"/>
        <v>-383.75</v>
      </c>
      <c r="F1023" s="9">
        <f t="shared" si="270"/>
        <v>61.833333299999993</v>
      </c>
      <c r="I1023">
        <v>1</v>
      </c>
      <c r="J1023">
        <f t="shared" si="271"/>
        <v>0.246531547189832</v>
      </c>
      <c r="K1023">
        <f t="shared" si="275"/>
        <v>2.981836564618658</v>
      </c>
      <c r="O1023">
        <f t="shared" si="276"/>
        <v>-0.24093424959166124</v>
      </c>
      <c r="P1023">
        <f t="shared" si="277"/>
        <v>3.8821544647261431E-2</v>
      </c>
      <c r="Q1023">
        <f t="shared" si="278"/>
        <v>0.96976470086557787</v>
      </c>
      <c r="R1023">
        <f t="shared" si="268"/>
        <v>1</v>
      </c>
      <c r="AG1023" s="8">
        <f t="shared" si="272"/>
        <v>-0.80800421849661008</v>
      </c>
      <c r="AH1023" s="8">
        <f t="shared" si="273"/>
        <v>-0.29376713843272106</v>
      </c>
      <c r="AI1023" s="8">
        <f t="shared" si="274"/>
        <v>0.51071523500746774</v>
      </c>
      <c r="AJ1023" s="8"/>
      <c r="AK1023" s="8"/>
      <c r="AL1023" s="8"/>
      <c r="AN1023" s="8">
        <f t="shared" si="279"/>
        <v>1</v>
      </c>
      <c r="AO1023" s="8">
        <f t="shared" si="280"/>
        <v>3.4903061847878303</v>
      </c>
      <c r="AP1023" s="8">
        <f t="shared" si="281"/>
        <v>1.0347798313660124</v>
      </c>
      <c r="AQ1023" s="8"/>
      <c r="AR1023" s="8">
        <f t="shared" si="282"/>
        <v>199.97981359675109</v>
      </c>
      <c r="AS1023" s="8">
        <f t="shared" si="283"/>
        <v>30.711482937468446</v>
      </c>
    </row>
    <row r="1024" spans="1:45">
      <c r="A1024" s="19">
        <v>41.107733330000002</v>
      </c>
      <c r="B1024" s="19">
        <v>575.49871959999996</v>
      </c>
      <c r="C1024" s="19">
        <v>478.61993630000001</v>
      </c>
      <c r="E1024" s="9">
        <f t="shared" si="269"/>
        <v>-384.50128040000004</v>
      </c>
      <c r="F1024" s="9">
        <f t="shared" si="270"/>
        <v>61.380063699999994</v>
      </c>
      <c r="I1024">
        <v>1</v>
      </c>
      <c r="J1024">
        <f t="shared" si="271"/>
        <v>0.24694312773294838</v>
      </c>
      <c r="K1024">
        <f t="shared" si="275"/>
        <v>2.9832927890882877</v>
      </c>
      <c r="O1024">
        <f t="shared" si="276"/>
        <v>-0.24138465233998352</v>
      </c>
      <c r="P1024">
        <f t="shared" si="277"/>
        <v>3.8533565665677692E-2</v>
      </c>
      <c r="Q1024">
        <f t="shared" si="278"/>
        <v>0.96966417585254439</v>
      </c>
      <c r="R1024">
        <f t="shared" si="268"/>
        <v>1</v>
      </c>
      <c r="AG1024" s="8">
        <f t="shared" si="272"/>
        <v>-0.80832325119240755</v>
      </c>
      <c r="AH1024" s="8">
        <f t="shared" si="273"/>
        <v>-0.29350578254392495</v>
      </c>
      <c r="AI1024" s="8">
        <f t="shared" si="274"/>
        <v>0.51036053647888402</v>
      </c>
      <c r="AJ1024" s="8"/>
      <c r="AK1024" s="8"/>
      <c r="AL1024" s="8"/>
      <c r="AN1024" s="8">
        <f t="shared" si="279"/>
        <v>1</v>
      </c>
      <c r="AO1024" s="8">
        <f t="shared" si="280"/>
        <v>3.4898937988090135</v>
      </c>
      <c r="AP1024" s="8">
        <f t="shared" si="281"/>
        <v>1.0351923409481263</v>
      </c>
      <c r="AQ1024" s="8"/>
      <c r="AR1024" s="8">
        <f t="shared" si="282"/>
        <v>199.95618562063453</v>
      </c>
      <c r="AS1024" s="8">
        <f t="shared" si="283"/>
        <v>30.687847879404615</v>
      </c>
    </row>
    <row r="1025" spans="1:45">
      <c r="A1025" s="19">
        <v>41.141100000000002</v>
      </c>
      <c r="B1025" s="19">
        <v>575.25</v>
      </c>
      <c r="C1025" s="19">
        <v>478.41666670000001</v>
      </c>
      <c r="E1025" s="9">
        <f t="shared" si="269"/>
        <v>-384.75</v>
      </c>
      <c r="F1025" s="9">
        <f t="shared" si="270"/>
        <v>61.583333299999993</v>
      </c>
      <c r="I1025">
        <v>1</v>
      </c>
      <c r="J1025">
        <f t="shared" si="271"/>
        <v>0.24711368177383614</v>
      </c>
      <c r="K1025">
        <f t="shared" si="275"/>
        <v>2.9828782603773663</v>
      </c>
      <c r="O1025">
        <f t="shared" si="276"/>
        <v>-0.24153195634885746</v>
      </c>
      <c r="P1025">
        <f t="shared" si="277"/>
        <v>3.8659760806842733E-2</v>
      </c>
      <c r="Q1025">
        <f t="shared" si="278"/>
        <v>0.96962247135503787</v>
      </c>
      <c r="R1025">
        <f t="shared" si="268"/>
        <v>1</v>
      </c>
      <c r="AG1025" s="8">
        <f t="shared" si="272"/>
        <v>-0.80834996295757178</v>
      </c>
      <c r="AH1025" s="8">
        <f t="shared" si="273"/>
        <v>-0.29332005746773288</v>
      </c>
      <c r="AI1025" s="8">
        <f t="shared" si="274"/>
        <v>0.51042500063537066</v>
      </c>
      <c r="AJ1025" s="8"/>
      <c r="AK1025" s="8"/>
      <c r="AL1025" s="8"/>
      <c r="AN1025" s="8">
        <f t="shared" si="279"/>
        <v>1</v>
      </c>
      <c r="AO1025" s="8">
        <f t="shared" si="280"/>
        <v>3.4896801867430707</v>
      </c>
      <c r="AP1025" s="8">
        <f t="shared" si="281"/>
        <v>1.0351173775191467</v>
      </c>
      <c r="AQ1025" s="8"/>
      <c r="AR1025" s="8">
        <f t="shared" si="282"/>
        <v>199.94394655080293</v>
      </c>
      <c r="AS1025" s="8">
        <f t="shared" si="283"/>
        <v>30.692142967502974</v>
      </c>
    </row>
    <row r="1026" spans="1:45">
      <c r="A1026" s="19">
        <v>41.174466670000001</v>
      </c>
      <c r="B1026" s="19">
        <v>574.59521400000006</v>
      </c>
      <c r="C1026" s="19">
        <v>478.47080570000003</v>
      </c>
      <c r="E1026" s="9">
        <f t="shared" si="269"/>
        <v>-385.40478599999994</v>
      </c>
      <c r="F1026" s="9">
        <f t="shared" si="270"/>
        <v>61.529194299999972</v>
      </c>
      <c r="I1026">
        <v>1</v>
      </c>
      <c r="J1026">
        <f t="shared" si="271"/>
        <v>0.24750550657719464</v>
      </c>
      <c r="K1026">
        <f t="shared" si="275"/>
        <v>2.9832803936574166</v>
      </c>
      <c r="O1026">
        <f t="shared" si="276"/>
        <v>-0.24192263576263251</v>
      </c>
      <c r="P1026">
        <f t="shared" si="277"/>
        <v>3.8622522091376316E-2</v>
      </c>
      <c r="Q1026">
        <f t="shared" si="278"/>
        <v>0.9695265540937813</v>
      </c>
      <c r="R1026">
        <f t="shared" si="268"/>
        <v>1</v>
      </c>
      <c r="AG1026" s="8">
        <f t="shared" si="272"/>
        <v>-0.80855167844141973</v>
      </c>
      <c r="AH1026" s="8">
        <f t="shared" si="273"/>
        <v>-0.29299656291066256</v>
      </c>
      <c r="AI1026" s="8">
        <f t="shared" si="274"/>
        <v>0.51029128682753466</v>
      </c>
      <c r="AJ1026" s="8"/>
      <c r="AK1026" s="8"/>
      <c r="AL1026" s="8"/>
      <c r="AN1026" s="8">
        <f t="shared" si="279"/>
        <v>1.0000000000000002</v>
      </c>
      <c r="AO1026" s="8">
        <f t="shared" si="280"/>
        <v>3.4892465842598175</v>
      </c>
      <c r="AP1026" s="8">
        <f t="shared" si="281"/>
        <v>1.0352728655697958</v>
      </c>
      <c r="AQ1026" s="8"/>
      <c r="AR1026" s="8">
        <f t="shared" si="282"/>
        <v>199.91910295852611</v>
      </c>
      <c r="AS1026" s="8">
        <f t="shared" si="283"/>
        <v>30.683234158436065</v>
      </c>
    </row>
    <row r="1027" spans="1:45">
      <c r="A1027" s="19">
        <v>41.20783333</v>
      </c>
      <c r="B1027" s="19">
        <v>573.81769159999999</v>
      </c>
      <c r="C1027" s="19">
        <v>478.13953570000001</v>
      </c>
      <c r="E1027" s="9">
        <f t="shared" si="269"/>
        <v>-386.18230840000001</v>
      </c>
      <c r="F1027" s="9">
        <f t="shared" si="270"/>
        <v>61.86046429999999</v>
      </c>
      <c r="I1027">
        <v>1</v>
      </c>
      <c r="J1027">
        <f t="shared" si="271"/>
        <v>0.24800902376329981</v>
      </c>
      <c r="K1027">
        <f t="shared" si="275"/>
        <v>2.9827573899937114</v>
      </c>
      <c r="O1027">
        <f t="shared" si="276"/>
        <v>-0.24238440051473351</v>
      </c>
      <c r="P1027">
        <f t="shared" si="277"/>
        <v>3.8826251821427515E-2</v>
      </c>
      <c r="Q1027">
        <f t="shared" si="278"/>
        <v>0.96940307641177437</v>
      </c>
      <c r="R1027">
        <f t="shared" si="268"/>
        <v>1</v>
      </c>
      <c r="AG1027" s="8">
        <f t="shared" si="272"/>
        <v>-0.80870270370242969</v>
      </c>
      <c r="AH1027" s="8">
        <f t="shared" si="273"/>
        <v>-0.29250141733587232</v>
      </c>
      <c r="AI1027" s="8">
        <f t="shared" si="274"/>
        <v>0.51033602447885884</v>
      </c>
      <c r="AJ1027" s="8"/>
      <c r="AK1027" s="8"/>
      <c r="AL1027" s="8"/>
      <c r="AN1027" s="8">
        <f t="shared" si="279"/>
        <v>1.0000000000000002</v>
      </c>
      <c r="AO1027" s="8">
        <f t="shared" si="280"/>
        <v>3.4886454312925004</v>
      </c>
      <c r="AP1027" s="8">
        <f t="shared" si="281"/>
        <v>1.035220844340659</v>
      </c>
      <c r="AQ1027" s="8"/>
      <c r="AR1027" s="8">
        <f t="shared" si="282"/>
        <v>199.88465943065708</v>
      </c>
      <c r="AS1027" s="8">
        <f t="shared" si="283"/>
        <v>30.686214755310687</v>
      </c>
    </row>
    <row r="1028" spans="1:45">
      <c r="A1028" s="19">
        <v>41.241199999999999</v>
      </c>
      <c r="B1028" s="19">
        <v>573.58914609999999</v>
      </c>
      <c r="C1028" s="19">
        <v>477.91450909999998</v>
      </c>
      <c r="E1028" s="9">
        <f t="shared" si="269"/>
        <v>-386.41085390000001</v>
      </c>
      <c r="F1028" s="9">
        <f t="shared" si="270"/>
        <v>62.085490900000025</v>
      </c>
      <c r="I1028">
        <v>1</v>
      </c>
      <c r="J1028">
        <f t="shared" si="271"/>
        <v>0.24816943657502868</v>
      </c>
      <c r="K1028">
        <f t="shared" si="275"/>
        <v>2.9822820165526052</v>
      </c>
      <c r="O1028">
        <f t="shared" si="276"/>
        <v>-0.24251944853888296</v>
      </c>
      <c r="P1028">
        <f t="shared" si="277"/>
        <v>3.8966138925358676E-2</v>
      </c>
      <c r="Q1028">
        <f t="shared" si="278"/>
        <v>0.96936368670259443</v>
      </c>
      <c r="R1028">
        <f t="shared" si="268"/>
        <v>1</v>
      </c>
      <c r="AG1028" s="8">
        <f t="shared" si="272"/>
        <v>-0.8087185443161683</v>
      </c>
      <c r="AH1028" s="8">
        <f t="shared" si="273"/>
        <v>-0.29232004628201042</v>
      </c>
      <c r="AI1028" s="8">
        <f t="shared" si="274"/>
        <v>0.51041483777494268</v>
      </c>
      <c r="AJ1028" s="8"/>
      <c r="AK1028" s="8"/>
      <c r="AL1028" s="8"/>
      <c r="AN1028" s="8">
        <f t="shared" si="279"/>
        <v>1</v>
      </c>
      <c r="AO1028" s="8">
        <f t="shared" si="280"/>
        <v>3.4884408265549354</v>
      </c>
      <c r="AP1028" s="8">
        <f t="shared" si="281"/>
        <v>1.0351291958253817</v>
      </c>
      <c r="AQ1028" s="8"/>
      <c r="AR1028" s="8">
        <f t="shared" si="282"/>
        <v>199.87293644272623</v>
      </c>
      <c r="AS1028" s="8">
        <f t="shared" si="283"/>
        <v>30.691465828434715</v>
      </c>
    </row>
    <row r="1029" spans="1:45">
      <c r="A1029" s="19">
        <v>41.274566669999999</v>
      </c>
      <c r="B1029" s="19">
        <v>572.58515839999995</v>
      </c>
      <c r="C1029" s="19">
        <v>477.63524899999999</v>
      </c>
      <c r="E1029" s="9">
        <f t="shared" si="269"/>
        <v>-387.41484160000005</v>
      </c>
      <c r="F1029" s="9">
        <f t="shared" si="270"/>
        <v>62.364751000000012</v>
      </c>
      <c r="I1029">
        <v>1</v>
      </c>
      <c r="J1029">
        <f t="shared" si="271"/>
        <v>0.24880505902092798</v>
      </c>
      <c r="K1029">
        <f t="shared" si="275"/>
        <v>2.9819852456998888</v>
      </c>
      <c r="O1029">
        <f t="shared" si="276"/>
        <v>-0.24311614272393328</v>
      </c>
      <c r="P1029">
        <f t="shared" si="277"/>
        <v>3.9136027010325529E-2</v>
      </c>
      <c r="Q1029">
        <f t="shared" si="278"/>
        <v>0.96920736302242527</v>
      </c>
      <c r="R1029">
        <f t="shared" si="268"/>
        <v>1</v>
      </c>
      <c r="AG1029" s="8">
        <f t="shared" si="272"/>
        <v>-0.80894624406617055</v>
      </c>
      <c r="AH1029" s="8">
        <f t="shared" si="273"/>
        <v>-0.29172243610664828</v>
      </c>
      <c r="AI1029" s="8">
        <f t="shared" si="274"/>
        <v>0.51039591934422668</v>
      </c>
      <c r="AJ1029" s="8"/>
      <c r="AK1029" s="8"/>
      <c r="AL1029" s="8"/>
      <c r="AN1029" s="8">
        <f t="shared" si="279"/>
        <v>1.0000000000000002</v>
      </c>
      <c r="AO1029" s="8">
        <f t="shared" si="280"/>
        <v>3.4876972568005065</v>
      </c>
      <c r="AP1029" s="8">
        <f t="shared" si="281"/>
        <v>1.0351511956910007</v>
      </c>
      <c r="AQ1029" s="8"/>
      <c r="AR1029" s="8">
        <f t="shared" si="282"/>
        <v>199.83033303402388</v>
      </c>
      <c r="AS1029" s="8">
        <f t="shared" si="283"/>
        <v>30.690205328984895</v>
      </c>
    </row>
    <row r="1030" spans="1:45">
      <c r="A1030" s="19">
        <v>41.307933329999997</v>
      </c>
      <c r="B1030" s="19">
        <v>571.78536240000005</v>
      </c>
      <c r="C1030" s="19">
        <v>477.63538949999997</v>
      </c>
      <c r="E1030" s="9">
        <f t="shared" si="269"/>
        <v>-388.21463759999995</v>
      </c>
      <c r="F1030" s="9">
        <f t="shared" si="270"/>
        <v>62.364610500000026</v>
      </c>
      <c r="I1030">
        <v>1</v>
      </c>
      <c r="J1030">
        <f t="shared" si="271"/>
        <v>0.24928958687090999</v>
      </c>
      <c r="K1030">
        <f t="shared" si="275"/>
        <v>2.9823088809409208</v>
      </c>
      <c r="O1030">
        <f t="shared" si="276"/>
        <v>-0.24359243048933568</v>
      </c>
      <c r="P1030">
        <f t="shared" si="277"/>
        <v>3.9131824451886052E-2</v>
      </c>
      <c r="Q1030">
        <f t="shared" si="278"/>
        <v>0.96908793621805289</v>
      </c>
      <c r="R1030">
        <f t="shared" si="268"/>
        <v>1</v>
      </c>
      <c r="AG1030" s="8">
        <f t="shared" si="272"/>
        <v>-0.8091770742481873</v>
      </c>
      <c r="AH1030" s="8">
        <f t="shared" si="273"/>
        <v>-0.29130889007127281</v>
      </c>
      <c r="AI1030" s="8">
        <f t="shared" si="274"/>
        <v>0.51026619825007702</v>
      </c>
      <c r="AJ1030" s="8"/>
      <c r="AK1030" s="8"/>
      <c r="AL1030" s="8"/>
      <c r="AN1030" s="8">
        <f t="shared" si="279"/>
        <v>1.0000000000000002</v>
      </c>
      <c r="AO1030" s="8">
        <f t="shared" si="280"/>
        <v>3.4871538611630633</v>
      </c>
      <c r="AP1030" s="8">
        <f t="shared" si="281"/>
        <v>1.0353020380265288</v>
      </c>
      <c r="AQ1030" s="8"/>
      <c r="AR1030" s="8">
        <f t="shared" si="282"/>
        <v>199.79919875739256</v>
      </c>
      <c r="AS1030" s="8">
        <f t="shared" si="283"/>
        <v>30.681562699787236</v>
      </c>
    </row>
    <row r="1031" spans="1:45">
      <c r="A1031" s="19">
        <v>41.341299999999997</v>
      </c>
      <c r="B1031" s="19">
        <v>571.41666669999995</v>
      </c>
      <c r="C1031" s="19">
        <v>478.16666670000001</v>
      </c>
      <c r="E1031" s="9">
        <f t="shared" si="269"/>
        <v>-388.58333330000005</v>
      </c>
      <c r="F1031" s="9">
        <f t="shared" si="270"/>
        <v>61.833333299999993</v>
      </c>
      <c r="I1031">
        <v>1</v>
      </c>
      <c r="J1031">
        <f t="shared" si="271"/>
        <v>0.24946149141066823</v>
      </c>
      <c r="K1031">
        <f t="shared" si="275"/>
        <v>2.9837906407250312</v>
      </c>
      <c r="O1031">
        <f t="shared" si="276"/>
        <v>-0.24381466415400777</v>
      </c>
      <c r="P1031">
        <f t="shared" si="277"/>
        <v>3.8797014951804973E-2</v>
      </c>
      <c r="Q1031">
        <f t="shared" si="278"/>
        <v>0.96904551037311859</v>
      </c>
      <c r="R1031">
        <f t="shared" si="268"/>
        <v>1</v>
      </c>
      <c r="AG1031" s="8">
        <f t="shared" si="272"/>
        <v>-0.80940199962514103</v>
      </c>
      <c r="AH1031" s="8">
        <f t="shared" si="273"/>
        <v>-0.29126732438383834</v>
      </c>
      <c r="AI1031" s="8">
        <f t="shared" si="274"/>
        <v>0.50993308261879144</v>
      </c>
      <c r="AJ1031" s="8"/>
      <c r="AK1031" s="8"/>
      <c r="AL1031" s="8"/>
      <c r="AN1031" s="8">
        <f t="shared" si="279"/>
        <v>1</v>
      </c>
      <c r="AO1031" s="8">
        <f t="shared" si="280"/>
        <v>3.4870198290055545</v>
      </c>
      <c r="AP1031" s="8">
        <f t="shared" si="281"/>
        <v>1.0356893298574785</v>
      </c>
      <c r="AQ1031" s="8"/>
      <c r="AR1031" s="8">
        <f t="shared" si="282"/>
        <v>199.79151928044828</v>
      </c>
      <c r="AS1031" s="8">
        <f t="shared" si="283"/>
        <v>30.659372512433919</v>
      </c>
    </row>
    <row r="1032" spans="1:45">
      <c r="A1032" s="19">
        <v>41.374666670000003</v>
      </c>
      <c r="B1032" s="19">
        <v>571.43254990000003</v>
      </c>
      <c r="C1032" s="19">
        <v>477.65698609999998</v>
      </c>
      <c r="E1032" s="9">
        <f t="shared" si="269"/>
        <v>-388.56745009999997</v>
      </c>
      <c r="F1032" s="9">
        <f t="shared" si="270"/>
        <v>62.343013900000017</v>
      </c>
      <c r="I1032">
        <v>1</v>
      </c>
      <c r="J1032">
        <f t="shared" si="271"/>
        <v>0.24950120532068357</v>
      </c>
      <c r="K1032">
        <f t="shared" si="275"/>
        <v>2.9825052619674151</v>
      </c>
      <c r="O1032">
        <f t="shared" si="276"/>
        <v>-0.24380259231466539</v>
      </c>
      <c r="P1032">
        <f t="shared" si="277"/>
        <v>3.9116473594526718E-2</v>
      </c>
      <c r="Q1032">
        <f t="shared" si="278"/>
        <v>0.96903570495321678</v>
      </c>
      <c r="R1032">
        <f t="shared" si="268"/>
        <v>1</v>
      </c>
      <c r="AG1032" s="8">
        <f t="shared" si="272"/>
        <v>-0.8092836308922452</v>
      </c>
      <c r="AH1032" s="8">
        <f t="shared" si="273"/>
        <v>-0.29113251463165524</v>
      </c>
      <c r="AI1032" s="8">
        <f t="shared" si="274"/>
        <v>0.51019786719871096</v>
      </c>
      <c r="AJ1032" s="8"/>
      <c r="AK1032" s="8"/>
      <c r="AL1032" s="8"/>
      <c r="AN1032" s="8">
        <f t="shared" si="279"/>
        <v>1.0000000000000002</v>
      </c>
      <c r="AO1032" s="8">
        <f t="shared" si="280"/>
        <v>3.4869189436426611</v>
      </c>
      <c r="AP1032" s="8">
        <f t="shared" si="281"/>
        <v>1.035381489339005</v>
      </c>
      <c r="AQ1032" s="8"/>
      <c r="AR1032" s="8">
        <f t="shared" si="282"/>
        <v>199.78573897493985</v>
      </c>
      <c r="AS1032" s="8">
        <f t="shared" si="283"/>
        <v>30.677010474905572</v>
      </c>
    </row>
    <row r="1033" spans="1:45">
      <c r="A1033" s="19">
        <v>41.408033330000002</v>
      </c>
      <c r="B1033" s="19">
        <v>570.50495160000003</v>
      </c>
      <c r="C1033" s="19">
        <v>478.0830406</v>
      </c>
      <c r="E1033" s="9">
        <f t="shared" si="269"/>
        <v>-389.49504839999997</v>
      </c>
      <c r="F1033" s="9">
        <f t="shared" si="270"/>
        <v>61.916959399999996</v>
      </c>
      <c r="I1033">
        <v>1</v>
      </c>
      <c r="J1033">
        <f t="shared" si="271"/>
        <v>0.25002186534706411</v>
      </c>
      <c r="K1033">
        <f t="shared" si="275"/>
        <v>2.9839445181773989</v>
      </c>
      <c r="O1033">
        <f t="shared" si="276"/>
        <v>-0.24435688683633319</v>
      </c>
      <c r="P1033">
        <f t="shared" si="277"/>
        <v>3.8844743992272189E-2</v>
      </c>
      <c r="Q1033">
        <f t="shared" si="278"/>
        <v>0.96890701190559581</v>
      </c>
      <c r="R1033">
        <f t="shared" si="268"/>
        <v>1</v>
      </c>
      <c r="AG1033" s="8">
        <f t="shared" si="272"/>
        <v>-0.80964598943421662</v>
      </c>
      <c r="AH1033" s="8">
        <f t="shared" si="273"/>
        <v>-0.29077242107200446</v>
      </c>
      <c r="AI1033" s="8">
        <f t="shared" si="274"/>
        <v>0.50982817785702428</v>
      </c>
      <c r="AJ1033" s="8"/>
      <c r="AK1033" s="8"/>
      <c r="AL1033" s="8"/>
      <c r="AN1033" s="8">
        <f t="shared" si="279"/>
        <v>1.0000000000000004</v>
      </c>
      <c r="AO1033" s="8">
        <f t="shared" si="280"/>
        <v>3.4863824936454506</v>
      </c>
      <c r="AP1033" s="8">
        <f t="shared" si="281"/>
        <v>1.0358112773745816</v>
      </c>
      <c r="AQ1033" s="8"/>
      <c r="AR1033" s="8">
        <f t="shared" si="282"/>
        <v>199.75500265417986</v>
      </c>
      <c r="AS1033" s="8">
        <f t="shared" si="283"/>
        <v>30.65238543438182</v>
      </c>
    </row>
    <row r="1034" spans="1:45">
      <c r="A1034" s="19">
        <v>41.441400000000002</v>
      </c>
      <c r="B1034" s="19">
        <v>569.50010399999996</v>
      </c>
      <c r="C1034" s="19">
        <v>478.12042789999998</v>
      </c>
      <c r="E1034" s="9">
        <f t="shared" si="269"/>
        <v>-390.49989600000004</v>
      </c>
      <c r="F1034" s="9">
        <f t="shared" si="270"/>
        <v>61.879572100000019</v>
      </c>
      <c r="I1034">
        <v>1</v>
      </c>
      <c r="J1034">
        <f t="shared" si="271"/>
        <v>0.25062687087823077</v>
      </c>
      <c r="K1034">
        <f t="shared" si="275"/>
        <v>2.9844369165506706</v>
      </c>
      <c r="O1034">
        <f t="shared" si="276"/>
        <v>-0.24495490964014843</v>
      </c>
      <c r="P1034">
        <f t="shared" si="277"/>
        <v>3.8816156284780627E-2</v>
      </c>
      <c r="Q1034">
        <f t="shared" si="278"/>
        <v>0.96875714100824162</v>
      </c>
      <c r="R1034">
        <f t="shared" si="268"/>
        <v>1</v>
      </c>
      <c r="AG1034" s="8">
        <f t="shared" si="272"/>
        <v>-0.80994344540413143</v>
      </c>
      <c r="AH1034" s="8">
        <f t="shared" si="273"/>
        <v>-0.29026334886220784</v>
      </c>
      <c r="AI1034" s="8">
        <f t="shared" si="274"/>
        <v>0.50964576281391871</v>
      </c>
      <c r="AJ1034" s="8"/>
      <c r="AK1034" s="8"/>
      <c r="AL1034" s="8"/>
      <c r="AN1034" s="8">
        <f t="shared" si="279"/>
        <v>1</v>
      </c>
      <c r="AO1034" s="8">
        <f t="shared" si="280"/>
        <v>3.4857087815100285</v>
      </c>
      <c r="AP1034" s="8">
        <f t="shared" si="281"/>
        <v>1.0360233064572522</v>
      </c>
      <c r="AQ1034" s="8"/>
      <c r="AR1034" s="8">
        <f t="shared" si="282"/>
        <v>199.71640179221345</v>
      </c>
      <c r="AS1034" s="8">
        <f t="shared" si="283"/>
        <v>30.640237062810762</v>
      </c>
    </row>
    <row r="1035" spans="1:45">
      <c r="A1035" s="19">
        <v>41.474766670000001</v>
      </c>
      <c r="B1035" s="19">
        <v>569.35375720000002</v>
      </c>
      <c r="C1035" s="19">
        <v>477.9436614</v>
      </c>
      <c r="E1035" s="9">
        <f t="shared" si="269"/>
        <v>-390.64624279999998</v>
      </c>
      <c r="F1035" s="9">
        <f t="shared" si="270"/>
        <v>62.056338600000004</v>
      </c>
      <c r="I1035">
        <v>1</v>
      </c>
      <c r="J1035">
        <f t="shared" si="271"/>
        <v>0.25073247708987612</v>
      </c>
      <c r="K1035">
        <f t="shared" si="275"/>
        <v>2.9840534365275011</v>
      </c>
      <c r="O1035">
        <f t="shared" si="276"/>
        <v>-0.24504104488232695</v>
      </c>
      <c r="P1035">
        <f t="shared" si="277"/>
        <v>3.8926139268926081E-2</v>
      </c>
      <c r="Q1035">
        <f t="shared" si="278"/>
        <v>0.9687309440730143</v>
      </c>
      <c r="R1035">
        <f t="shared" si="268"/>
        <v>1</v>
      </c>
      <c r="AG1035" s="8">
        <f t="shared" si="272"/>
        <v>-0.80994607007492969</v>
      </c>
      <c r="AH1035" s="8">
        <f t="shared" si="273"/>
        <v>-0.29013810168782805</v>
      </c>
      <c r="AI1035" s="8">
        <f t="shared" si="274"/>
        <v>0.50971290499570521</v>
      </c>
      <c r="AJ1035" s="8"/>
      <c r="AK1035" s="8"/>
      <c r="AL1035" s="8"/>
      <c r="AN1035" s="8">
        <f t="shared" si="279"/>
        <v>1</v>
      </c>
      <c r="AO1035" s="8">
        <f t="shared" si="280"/>
        <v>3.4855707090302328</v>
      </c>
      <c r="AP1035" s="8">
        <f t="shared" si="281"/>
        <v>1.0359452672236629</v>
      </c>
      <c r="AQ1035" s="8"/>
      <c r="AR1035" s="8">
        <f t="shared" si="282"/>
        <v>199.70849082185424</v>
      </c>
      <c r="AS1035" s="8">
        <f t="shared" si="283"/>
        <v>30.644708381531863</v>
      </c>
    </row>
    <row r="1036" spans="1:45">
      <c r="A1036" s="19">
        <v>41.50813333</v>
      </c>
      <c r="B1036" s="19">
        <v>569.25</v>
      </c>
      <c r="C1036" s="19">
        <v>477.83333329999999</v>
      </c>
      <c r="E1036" s="9">
        <f t="shared" si="269"/>
        <v>-390.75</v>
      </c>
      <c r="F1036" s="9">
        <f t="shared" si="270"/>
        <v>62.166666700000007</v>
      </c>
      <c r="I1036">
        <v>1</v>
      </c>
      <c r="J1036">
        <f t="shared" si="271"/>
        <v>0.25080592358193005</v>
      </c>
      <c r="K1036">
        <f t="shared" si="275"/>
        <v>2.9838191886275975</v>
      </c>
      <c r="O1036">
        <f t="shared" si="276"/>
        <v>-0.24510218530902447</v>
      </c>
      <c r="P1036">
        <f t="shared" si="277"/>
        <v>3.8994717495963636E-2</v>
      </c>
      <c r="Q1036">
        <f t="shared" si="278"/>
        <v>0.96871271838670037</v>
      </c>
      <c r="R1036">
        <f t="shared" si="268"/>
        <v>1</v>
      </c>
      <c r="AG1036" s="8">
        <f t="shared" si="272"/>
        <v>-0.80995126851695354</v>
      </c>
      <c r="AH1036" s="8">
        <f t="shared" si="273"/>
        <v>-0.29005351027820703</v>
      </c>
      <c r="AI1036" s="8">
        <f t="shared" si="274"/>
        <v>0.50975278694978021</v>
      </c>
      <c r="AJ1036" s="8"/>
      <c r="AK1036" s="8"/>
      <c r="AL1036" s="8"/>
      <c r="AN1036" s="8">
        <f t="shared" si="279"/>
        <v>1</v>
      </c>
      <c r="AO1036" s="8">
        <f t="shared" si="280"/>
        <v>3.4854761057410277</v>
      </c>
      <c r="AP1036" s="8">
        <f t="shared" si="281"/>
        <v>1.0358989107941463</v>
      </c>
      <c r="AQ1036" s="8"/>
      <c r="AR1036" s="8">
        <f t="shared" si="282"/>
        <v>199.70307045265474</v>
      </c>
      <c r="AS1036" s="8">
        <f t="shared" si="283"/>
        <v>30.647364409296458</v>
      </c>
    </row>
    <row r="1037" spans="1:45">
      <c r="A1037" s="19">
        <v>41.541499999999999</v>
      </c>
      <c r="B1037" s="19">
        <v>568.41666669999995</v>
      </c>
      <c r="C1037" s="19">
        <v>477.66666670000001</v>
      </c>
      <c r="E1037" s="9">
        <f t="shared" si="269"/>
        <v>-391.58333330000005</v>
      </c>
      <c r="F1037" s="9">
        <f t="shared" si="270"/>
        <v>62.333333299999993</v>
      </c>
      <c r="I1037">
        <v>1</v>
      </c>
      <c r="J1037">
        <f t="shared" si="271"/>
        <v>0.25132648950193487</v>
      </c>
      <c r="K1037">
        <f t="shared" si="275"/>
        <v>2.9837342900402608</v>
      </c>
      <c r="O1037">
        <f t="shared" si="276"/>
        <v>-0.24559684933311587</v>
      </c>
      <c r="P1037">
        <f t="shared" si="277"/>
        <v>3.9094795322104733E-2</v>
      </c>
      <c r="Q1037">
        <f t="shared" si="278"/>
        <v>0.96858339061557808</v>
      </c>
      <c r="R1037">
        <f t="shared" si="268"/>
        <v>1</v>
      </c>
      <c r="AG1037" s="8">
        <f t="shared" si="272"/>
        <v>-0.81015345627548252</v>
      </c>
      <c r="AH1037" s="8">
        <f t="shared" si="273"/>
        <v>-0.28957593762381212</v>
      </c>
      <c r="AI1037" s="8">
        <f t="shared" si="274"/>
        <v>0.50970300532190316</v>
      </c>
      <c r="AJ1037" s="8"/>
      <c r="AK1037" s="8"/>
      <c r="AL1037" s="8"/>
      <c r="AN1037" s="8">
        <f t="shared" si="279"/>
        <v>1.0000000000000002</v>
      </c>
      <c r="AO1037" s="8">
        <f t="shared" si="280"/>
        <v>3.4848742826772785</v>
      </c>
      <c r="AP1037" s="8">
        <f t="shared" si="281"/>
        <v>1.0359567738229591</v>
      </c>
      <c r="AQ1037" s="8"/>
      <c r="AR1037" s="8">
        <f t="shared" si="282"/>
        <v>199.66858853108826</v>
      </c>
      <c r="AS1037" s="8">
        <f t="shared" si="283"/>
        <v>30.644049101955638</v>
      </c>
    </row>
    <row r="1038" spans="1:45">
      <c r="A1038" s="19">
        <v>42.008633330000002</v>
      </c>
      <c r="B1038" s="19">
        <v>560.75</v>
      </c>
      <c r="C1038" s="19">
        <v>476</v>
      </c>
      <c r="E1038" s="9">
        <f t="shared" si="269"/>
        <v>-399.25</v>
      </c>
      <c r="F1038" s="9">
        <f t="shared" si="270"/>
        <v>64</v>
      </c>
      <c r="I1038">
        <v>1</v>
      </c>
      <c r="J1038">
        <f t="shared" si="271"/>
        <v>0.25612257981080871</v>
      </c>
      <c r="K1038">
        <f t="shared" si="275"/>
        <v>2.9826443439625141</v>
      </c>
      <c r="O1038">
        <f t="shared" si="276"/>
        <v>-0.25013810516663848</v>
      </c>
      <c r="P1038">
        <f t="shared" si="277"/>
        <v>4.0097279225209483E-2</v>
      </c>
      <c r="Q1038">
        <f t="shared" si="278"/>
        <v>0.96737952042741704</v>
      </c>
      <c r="R1038">
        <f t="shared" si="268"/>
        <v>1</v>
      </c>
      <c r="AG1038" s="8">
        <f t="shared" si="272"/>
        <v>-0.81197110312860932</v>
      </c>
      <c r="AH1038" s="8">
        <f t="shared" si="273"/>
        <v>-0.28514681955764387</v>
      </c>
      <c r="AI1038" s="8">
        <f t="shared" si="274"/>
        <v>0.50930758778980512</v>
      </c>
      <c r="AJ1038" s="8"/>
      <c r="AK1038" s="8"/>
      <c r="AL1038" s="8"/>
      <c r="AN1038" s="8">
        <f t="shared" si="279"/>
        <v>1.0000000000000004</v>
      </c>
      <c r="AO1038" s="8">
        <f t="shared" si="280"/>
        <v>3.4793170035576626</v>
      </c>
      <c r="AP1038" s="8">
        <f t="shared" si="281"/>
        <v>1.0364163118416501</v>
      </c>
      <c r="AQ1038" s="8"/>
      <c r="AR1038" s="8">
        <f t="shared" si="282"/>
        <v>199.35017989195811</v>
      </c>
      <c r="AS1038" s="8">
        <f t="shared" si="283"/>
        <v>30.61771951295885</v>
      </c>
    </row>
    <row r="1039" spans="1:45">
      <c r="A1039" s="19">
        <v>42.042000000000002</v>
      </c>
      <c r="B1039" s="19">
        <v>559.5</v>
      </c>
      <c r="C1039" s="19">
        <v>475.66666670000001</v>
      </c>
      <c r="E1039" s="9">
        <f t="shared" si="269"/>
        <v>-400.5</v>
      </c>
      <c r="F1039" s="9">
        <f t="shared" si="270"/>
        <v>64.333333299999993</v>
      </c>
      <c r="I1039">
        <v>1</v>
      </c>
      <c r="J1039">
        <f t="shared" si="271"/>
        <v>0.25690949199535501</v>
      </c>
      <c r="K1039">
        <f t="shared" si="275"/>
        <v>2.9823206986595427</v>
      </c>
      <c r="O1039">
        <f t="shared" si="276"/>
        <v>-0.25087664494212347</v>
      </c>
      <c r="P1039">
        <f t="shared" si="277"/>
        <v>4.0298953348932319E-2</v>
      </c>
      <c r="Q1039">
        <f t="shared" si="278"/>
        <v>0.96717987126571459</v>
      </c>
      <c r="R1039">
        <f t="shared" si="268"/>
        <v>1</v>
      </c>
      <c r="AG1039" s="8">
        <f t="shared" si="272"/>
        <v>-0.81225150924191269</v>
      </c>
      <c r="AH1039" s="8">
        <f t="shared" si="273"/>
        <v>-0.28440776769086962</v>
      </c>
      <c r="AI1039" s="8">
        <f t="shared" si="274"/>
        <v>0.50927370579221098</v>
      </c>
      <c r="AJ1039" s="8"/>
      <c r="AK1039" s="8"/>
      <c r="AL1039" s="8"/>
      <c r="AN1039" s="8">
        <f t="shared" si="279"/>
        <v>1</v>
      </c>
      <c r="AO1039" s="8">
        <f t="shared" si="280"/>
        <v>3.4783987958691682</v>
      </c>
      <c r="AP1039" s="8">
        <f t="shared" si="281"/>
        <v>1.0364556822934858</v>
      </c>
      <c r="AQ1039" s="8"/>
      <c r="AR1039" s="8">
        <f t="shared" si="282"/>
        <v>199.2975704666909</v>
      </c>
      <c r="AS1039" s="8">
        <f t="shared" si="283"/>
        <v>30.615463752231136</v>
      </c>
    </row>
    <row r="1040" spans="1:45">
      <c r="A1040" s="19">
        <v>42.075366670000001</v>
      </c>
      <c r="B1040" s="19">
        <v>558.9447748</v>
      </c>
      <c r="C1040" s="19">
        <v>475.70126269999997</v>
      </c>
      <c r="E1040" s="9">
        <f t="shared" si="269"/>
        <v>-401.0552252</v>
      </c>
      <c r="F1040" s="9">
        <f t="shared" si="270"/>
        <v>64.298737300000028</v>
      </c>
      <c r="I1040">
        <v>1</v>
      </c>
      <c r="J1040">
        <f t="shared" si="271"/>
        <v>0.25724123674991844</v>
      </c>
      <c r="K1040">
        <f t="shared" si="275"/>
        <v>2.9826215935014817</v>
      </c>
      <c r="O1040">
        <f t="shared" si="276"/>
        <v>-0.25120555658611321</v>
      </c>
      <c r="P1040">
        <f t="shared" si="277"/>
        <v>4.0274254208197774E-2</v>
      </c>
      <c r="Q1040">
        <f t="shared" si="278"/>
        <v>0.96709552412790878</v>
      </c>
      <c r="R1040">
        <f t="shared" si="268"/>
        <v>1</v>
      </c>
      <c r="AG1040" s="8">
        <f t="shared" si="272"/>
        <v>-0.81241671345775102</v>
      </c>
      <c r="AH1040" s="8">
        <f t="shared" si="273"/>
        <v>-0.28413071033531462</v>
      </c>
      <c r="AI1040" s="8">
        <f t="shared" si="274"/>
        <v>0.50916482904738847</v>
      </c>
      <c r="AJ1040" s="8"/>
      <c r="AK1040" s="8"/>
      <c r="AL1040" s="8"/>
      <c r="AN1040" s="8">
        <f t="shared" si="279"/>
        <v>1.0000000000000004</v>
      </c>
      <c r="AO1040" s="8">
        <f t="shared" si="280"/>
        <v>3.4780315389625058</v>
      </c>
      <c r="AP1040" s="8">
        <f t="shared" si="281"/>
        <v>1.03658218948248</v>
      </c>
      <c r="AQ1040" s="8"/>
      <c r="AR1040" s="8">
        <f t="shared" si="282"/>
        <v>199.27652819594212</v>
      </c>
      <c r="AS1040" s="8">
        <f t="shared" si="283"/>
        <v>30.608215424223701</v>
      </c>
    </row>
    <row r="1041" spans="1:45">
      <c r="A1041" s="19">
        <v>42.642600000000002</v>
      </c>
      <c r="B1041" s="19">
        <v>550.91699949999997</v>
      </c>
      <c r="C1041" s="19">
        <v>474.00085660000002</v>
      </c>
      <c r="E1041" s="9">
        <f t="shared" si="269"/>
        <v>-409.08300050000003</v>
      </c>
      <c r="F1041" s="9">
        <f t="shared" si="270"/>
        <v>65.99914339999998</v>
      </c>
      <c r="I1041">
        <v>1</v>
      </c>
      <c r="J1041">
        <f t="shared" si="271"/>
        <v>0.26224443127121905</v>
      </c>
      <c r="K1041">
        <f t="shared" si="275"/>
        <v>2.9816366114791295</v>
      </c>
      <c r="O1041">
        <f t="shared" si="276"/>
        <v>-0.25593940107402191</v>
      </c>
      <c r="P1041">
        <f t="shared" si="277"/>
        <v>4.1291819050287074E-2</v>
      </c>
      <c r="Q1041">
        <f t="shared" si="278"/>
        <v>0.96581054490898433</v>
      </c>
      <c r="R1041">
        <f t="shared" si="268"/>
        <v>1</v>
      </c>
      <c r="AG1041" s="8">
        <f t="shared" si="272"/>
        <v>-0.81429980172935545</v>
      </c>
      <c r="AH1041" s="8">
        <f t="shared" si="273"/>
        <v>-0.27951049014657903</v>
      </c>
      <c r="AI1041" s="8">
        <f t="shared" si="274"/>
        <v>0.50871378868824813</v>
      </c>
      <c r="AJ1041" s="8"/>
      <c r="AK1041" s="8"/>
      <c r="AL1041" s="8"/>
      <c r="AN1041" s="8">
        <f t="shared" si="279"/>
        <v>1</v>
      </c>
      <c r="AO1041" s="8">
        <f t="shared" si="280"/>
        <v>3.4722437886330955</v>
      </c>
      <c r="AP1041" s="8">
        <f t="shared" si="281"/>
        <v>1.0371061661433987</v>
      </c>
      <c r="AQ1041" s="8"/>
      <c r="AR1041" s="8">
        <f t="shared" si="282"/>
        <v>198.94491452919146</v>
      </c>
      <c r="AS1041" s="8">
        <f t="shared" si="283"/>
        <v>30.578193772989707</v>
      </c>
    </row>
    <row r="1042" spans="1:45">
      <c r="A1042" s="19">
        <v>42.675966670000001</v>
      </c>
      <c r="B1042" s="19">
        <v>550.19912190000002</v>
      </c>
      <c r="C1042" s="19">
        <v>474.00516240000002</v>
      </c>
      <c r="E1042" s="9">
        <f t="shared" si="269"/>
        <v>-409.80087809999998</v>
      </c>
      <c r="F1042" s="9">
        <f t="shared" si="270"/>
        <v>65.994837599999983</v>
      </c>
      <c r="I1042">
        <v>1</v>
      </c>
      <c r="J1042">
        <f t="shared" si="271"/>
        <v>0.26267607196028919</v>
      </c>
      <c r="K1042">
        <f t="shared" si="275"/>
        <v>2.9819223164568092</v>
      </c>
      <c r="O1042">
        <f t="shared" si="276"/>
        <v>-0.25636274432181216</v>
      </c>
      <c r="P1042">
        <f t="shared" si="277"/>
        <v>4.1284971756648726E-2</v>
      </c>
      <c r="Q1042">
        <f t="shared" si="278"/>
        <v>0.96569855256743653</v>
      </c>
      <c r="R1042">
        <f t="shared" si="268"/>
        <v>1</v>
      </c>
      <c r="AG1042" s="8">
        <f t="shared" si="272"/>
        <v>-0.81450198881610858</v>
      </c>
      <c r="AH1042" s="8">
        <f t="shared" si="273"/>
        <v>-0.279141314061362</v>
      </c>
      <c r="AI1042" s="8">
        <f t="shared" si="274"/>
        <v>0.50859280077356572</v>
      </c>
      <c r="AJ1042" s="8"/>
      <c r="AK1042" s="8"/>
      <c r="AL1042" s="8"/>
      <c r="AN1042" s="8">
        <f t="shared" si="279"/>
        <v>1</v>
      </c>
      <c r="AO1042" s="8">
        <f t="shared" si="280"/>
        <v>3.4717620039097121</v>
      </c>
      <c r="AP1042" s="8">
        <f t="shared" si="281"/>
        <v>1.0372466910305618</v>
      </c>
      <c r="AQ1042" s="8"/>
      <c r="AR1042" s="8">
        <f t="shared" si="282"/>
        <v>198.9173102979077</v>
      </c>
      <c r="AS1042" s="8">
        <f t="shared" si="283"/>
        <v>30.57014229003871</v>
      </c>
    </row>
    <row r="1043" spans="1:45">
      <c r="A1043" s="19">
        <v>42.70933333</v>
      </c>
      <c r="B1043" s="19">
        <v>549.6264443</v>
      </c>
      <c r="C1043" s="19">
        <v>474.0130585</v>
      </c>
      <c r="E1043" s="9">
        <f t="shared" si="269"/>
        <v>-410.3735557</v>
      </c>
      <c r="F1043" s="9">
        <f t="shared" si="270"/>
        <v>65.9869415</v>
      </c>
      <c r="I1043">
        <v>1</v>
      </c>
      <c r="J1043">
        <f t="shared" si="271"/>
        <v>0.2630199237842179</v>
      </c>
      <c r="K1043">
        <f t="shared" si="275"/>
        <v>2.982160132993704</v>
      </c>
      <c r="O1043">
        <f t="shared" si="276"/>
        <v>-0.25670038606324308</v>
      </c>
      <c r="P1043">
        <f t="shared" si="277"/>
        <v>4.127671757330692E-2</v>
      </c>
      <c r="Q1043">
        <f t="shared" si="278"/>
        <v>0.96560920893566227</v>
      </c>
      <c r="R1043">
        <f t="shared" si="268"/>
        <v>1</v>
      </c>
      <c r="AG1043" s="8">
        <f t="shared" si="272"/>
        <v>-0.81466413680083916</v>
      </c>
      <c r="AH1043" s="8">
        <f t="shared" si="273"/>
        <v>-0.27884807625639663</v>
      </c>
      <c r="AI1043" s="8">
        <f t="shared" si="274"/>
        <v>0.50849394743561172</v>
      </c>
      <c r="AJ1043" s="8"/>
      <c r="AK1043" s="8"/>
      <c r="AL1043" s="8"/>
      <c r="AN1043" s="8">
        <f t="shared" si="279"/>
        <v>1.0000000000000002</v>
      </c>
      <c r="AO1043" s="8">
        <f t="shared" si="280"/>
        <v>3.4713787947702506</v>
      </c>
      <c r="AP1043" s="8">
        <f t="shared" si="281"/>
        <v>1.0373614984197692</v>
      </c>
      <c r="AQ1043" s="8"/>
      <c r="AR1043" s="8">
        <f t="shared" si="282"/>
        <v>198.89535403154574</v>
      </c>
      <c r="AS1043" s="8">
        <f t="shared" si="283"/>
        <v>30.563564311180208</v>
      </c>
    </row>
    <row r="1044" spans="1:45">
      <c r="A1044" s="19">
        <v>42.776066669999999</v>
      </c>
      <c r="B1044" s="19">
        <v>548.91666669999995</v>
      </c>
      <c r="C1044" s="19">
        <v>474</v>
      </c>
      <c r="E1044" s="9">
        <f t="shared" si="269"/>
        <v>-411.08333330000005</v>
      </c>
      <c r="F1044" s="9">
        <f t="shared" si="270"/>
        <v>66</v>
      </c>
      <c r="I1044">
        <v>1</v>
      </c>
      <c r="J1044">
        <f t="shared" si="271"/>
        <v>0.26344823784775528</v>
      </c>
      <c r="K1044">
        <f t="shared" si="275"/>
        <v>2.9823998122879076</v>
      </c>
      <c r="O1044">
        <f t="shared" si="276"/>
        <v>-0.25711860276948473</v>
      </c>
      <c r="P1044">
        <f t="shared" si="277"/>
        <v>4.1280748714766793E-2</v>
      </c>
      <c r="Q1044">
        <f t="shared" si="278"/>
        <v>0.96549775965323514</v>
      </c>
      <c r="R1044">
        <f t="shared" si="268"/>
        <v>1</v>
      </c>
      <c r="AG1044" s="8">
        <f t="shared" si="272"/>
        <v>-0.81485981242847338</v>
      </c>
      <c r="AH1044" s="8">
        <f t="shared" si="273"/>
        <v>-0.27847826751755606</v>
      </c>
      <c r="AI1044" s="8">
        <f t="shared" si="274"/>
        <v>0.50838306483345186</v>
      </c>
      <c r="AJ1044" s="8"/>
      <c r="AK1044" s="8"/>
      <c r="AL1044" s="8"/>
      <c r="AN1044" s="8">
        <f t="shared" si="279"/>
        <v>1</v>
      </c>
      <c r="AO1044" s="8">
        <f t="shared" si="280"/>
        <v>3.4708989048614085</v>
      </c>
      <c r="AP1044" s="8">
        <f t="shared" si="281"/>
        <v>1.0374902672282502</v>
      </c>
      <c r="AQ1044" s="8"/>
      <c r="AR1044" s="8">
        <f t="shared" si="282"/>
        <v>198.86785836513815</v>
      </c>
      <c r="AS1044" s="8">
        <f t="shared" si="283"/>
        <v>30.556186401921316</v>
      </c>
    </row>
    <row r="1045" spans="1:45">
      <c r="A1045" s="19">
        <v>42.809433329999997</v>
      </c>
      <c r="B1045" s="19">
        <v>548.68165060000001</v>
      </c>
      <c r="C1045" s="19">
        <v>474.01831129999999</v>
      </c>
      <c r="E1045" s="9">
        <f t="shared" si="269"/>
        <v>-411.31834939999999</v>
      </c>
      <c r="F1045" s="9">
        <f t="shared" si="270"/>
        <v>65.981688700000007</v>
      </c>
      <c r="I1045">
        <v>1</v>
      </c>
      <c r="J1045">
        <f t="shared" si="271"/>
        <v>0.26358785601112517</v>
      </c>
      <c r="K1045">
        <f t="shared" si="275"/>
        <v>2.982532644459754</v>
      </c>
      <c r="O1045">
        <f t="shared" si="276"/>
        <v>-0.25725718078345455</v>
      </c>
      <c r="P1045">
        <f t="shared" si="277"/>
        <v>4.1267945480804105E-2</v>
      </c>
      <c r="Q1045">
        <f t="shared" si="278"/>
        <v>0.96546139208729753</v>
      </c>
      <c r="R1045">
        <f t="shared" si="268"/>
        <v>1</v>
      </c>
      <c r="AG1045" s="8">
        <f t="shared" si="272"/>
        <v>-0.81492962763211985</v>
      </c>
      <c r="AH1045" s="8">
        <f t="shared" si="273"/>
        <v>-0.27836215904852402</v>
      </c>
      <c r="AI1045" s="8">
        <f t="shared" si="274"/>
        <v>0.50833474248492871</v>
      </c>
      <c r="AJ1045" s="8"/>
      <c r="AK1045" s="8"/>
      <c r="AL1045" s="8"/>
      <c r="AN1045" s="8">
        <f t="shared" si="279"/>
        <v>1.0000000000000002</v>
      </c>
      <c r="AO1045" s="8">
        <f t="shared" si="280"/>
        <v>3.4707451042027517</v>
      </c>
      <c r="AP1045" s="8">
        <f t="shared" si="281"/>
        <v>1.0375463812761607</v>
      </c>
      <c r="AQ1045" s="8"/>
      <c r="AR1045" s="8">
        <f t="shared" si="282"/>
        <v>198.85904623651081</v>
      </c>
      <c r="AS1045" s="8">
        <f t="shared" si="283"/>
        <v>30.552971303804647</v>
      </c>
    </row>
    <row r="1046" spans="1:45">
      <c r="A1046" s="19">
        <v>42.842799999999997</v>
      </c>
      <c r="B1046" s="19">
        <v>548.11479020000002</v>
      </c>
      <c r="C1046" s="19">
        <v>474.04938609999999</v>
      </c>
      <c r="E1046" s="9">
        <f t="shared" si="269"/>
        <v>-411.88520979999998</v>
      </c>
      <c r="F1046" s="9">
        <f t="shared" si="270"/>
        <v>65.950613900000008</v>
      </c>
      <c r="I1046">
        <v>1</v>
      </c>
      <c r="J1046">
        <f t="shared" si="271"/>
        <v>0.26392585471798941</v>
      </c>
      <c r="K1046">
        <f t="shared" si="275"/>
        <v>2.9828214444194248</v>
      </c>
      <c r="O1046">
        <f t="shared" si="276"/>
        <v>-0.25759129382426366</v>
      </c>
      <c r="P1046">
        <f t="shared" si="277"/>
        <v>4.1245239107406954E-2</v>
      </c>
      <c r="Q1046">
        <f t="shared" si="278"/>
        <v>0.96537327267586748</v>
      </c>
      <c r="R1046">
        <f t="shared" si="268"/>
        <v>1</v>
      </c>
      <c r="AG1046" s="8">
        <f t="shared" si="272"/>
        <v>-0.81509500251355427</v>
      </c>
      <c r="AH1046" s="8">
        <f t="shared" si="273"/>
        <v>-0.27807845177501112</v>
      </c>
      <c r="AI1046" s="8">
        <f t="shared" si="274"/>
        <v>0.50822486316181137</v>
      </c>
      <c r="AJ1046" s="8"/>
      <c r="AK1046" s="8"/>
      <c r="AL1046" s="8"/>
      <c r="AN1046" s="8">
        <f t="shared" si="279"/>
        <v>1</v>
      </c>
      <c r="AO1046" s="8">
        <f t="shared" si="280"/>
        <v>3.4703712958479067</v>
      </c>
      <c r="AP1046" s="8">
        <f t="shared" si="281"/>
        <v>1.0376739710873339</v>
      </c>
      <c r="AQ1046" s="8"/>
      <c r="AR1046" s="8">
        <f t="shared" si="282"/>
        <v>198.83762859543145</v>
      </c>
      <c r="AS1046" s="8">
        <f t="shared" si="283"/>
        <v>30.545660946115554</v>
      </c>
    </row>
    <row r="1047" spans="1:45">
      <c r="A1047" s="19">
        <v>42.876166670000003</v>
      </c>
      <c r="B1047" s="19">
        <v>547.84153349999997</v>
      </c>
      <c r="C1047" s="19">
        <v>473.9630646</v>
      </c>
      <c r="E1047" s="9">
        <f t="shared" si="269"/>
        <v>-412.15846650000003</v>
      </c>
      <c r="F1047" s="9">
        <f t="shared" si="270"/>
        <v>66.036935400000004</v>
      </c>
      <c r="I1047">
        <v>1</v>
      </c>
      <c r="J1047">
        <f t="shared" si="271"/>
        <v>0.26409852960455138</v>
      </c>
      <c r="K1047">
        <f t="shared" si="275"/>
        <v>2.9827207472642523</v>
      </c>
      <c r="O1047">
        <f t="shared" si="276"/>
        <v>-0.2577517318170075</v>
      </c>
      <c r="P1047">
        <f t="shared" si="277"/>
        <v>4.1297548993180472E-2</v>
      </c>
      <c r="Q1047">
        <f t="shared" si="278"/>
        <v>0.96532821216024201</v>
      </c>
      <c r="R1047">
        <f t="shared" si="268"/>
        <v>1</v>
      </c>
      <c r="AG1047" s="8">
        <f t="shared" si="272"/>
        <v>-0.81515200079827965</v>
      </c>
      <c r="AH1047" s="8">
        <f t="shared" si="273"/>
        <v>-0.27791335457199057</v>
      </c>
      <c r="AI1047" s="8">
        <f t="shared" si="274"/>
        <v>0.508223752834423</v>
      </c>
      <c r="AJ1047" s="8"/>
      <c r="AK1047" s="8"/>
      <c r="AL1047" s="8"/>
      <c r="AN1047" s="8">
        <f t="shared" si="279"/>
        <v>1.0000000000000002</v>
      </c>
      <c r="AO1047" s="8">
        <f t="shared" si="280"/>
        <v>3.4701684938150144</v>
      </c>
      <c r="AP1047" s="8">
        <f t="shared" si="281"/>
        <v>1.037675260329662</v>
      </c>
      <c r="AQ1047" s="8"/>
      <c r="AR1047" s="8">
        <f t="shared" si="282"/>
        <v>198.82600889487003</v>
      </c>
      <c r="AS1047" s="8">
        <f t="shared" si="283"/>
        <v>30.54558707797139</v>
      </c>
    </row>
    <row r="1048" spans="1:45">
      <c r="A1048" s="19">
        <v>42.909533330000002</v>
      </c>
      <c r="B1048" s="19">
        <v>547.10547110000005</v>
      </c>
      <c r="C1048" s="19">
        <v>473.75725269999998</v>
      </c>
      <c r="E1048" s="9">
        <f t="shared" si="269"/>
        <v>-412.89452889999995</v>
      </c>
      <c r="F1048" s="9">
        <f t="shared" si="270"/>
        <v>66.242747300000019</v>
      </c>
      <c r="I1048">
        <v>1</v>
      </c>
      <c r="J1048">
        <f t="shared" si="271"/>
        <v>0.26456101884505812</v>
      </c>
      <c r="K1048">
        <f t="shared" si="275"/>
        <v>2.9825132462370139</v>
      </c>
      <c r="O1048">
        <f t="shared" si="276"/>
        <v>-0.25818394617913415</v>
      </c>
      <c r="P1048">
        <f t="shared" si="277"/>
        <v>4.1421749881804311E-2</v>
      </c>
      <c r="Q1048">
        <f t="shared" si="278"/>
        <v>0.96520738112184945</v>
      </c>
      <c r="R1048">
        <f t="shared" si="268"/>
        <v>1</v>
      </c>
      <c r="AG1048" s="8">
        <f t="shared" si="272"/>
        <v>-0.81531136702485474</v>
      </c>
      <c r="AH1048" s="8">
        <f t="shared" si="273"/>
        <v>-0.27747613905768742</v>
      </c>
      <c r="AI1048" s="8">
        <f t="shared" si="274"/>
        <v>0.50820701200760854</v>
      </c>
      <c r="AJ1048" s="8"/>
      <c r="AK1048" s="8"/>
      <c r="AL1048" s="8"/>
      <c r="AN1048" s="8">
        <f t="shared" si="279"/>
        <v>1</v>
      </c>
      <c r="AO1048" s="8">
        <f t="shared" si="280"/>
        <v>3.4696282782666508</v>
      </c>
      <c r="AP1048" s="8">
        <f t="shared" si="281"/>
        <v>1.0376946986059383</v>
      </c>
      <c r="AQ1048" s="8"/>
      <c r="AR1048" s="8">
        <f t="shared" si="282"/>
        <v>198.79505682392147</v>
      </c>
      <c r="AS1048" s="8">
        <f t="shared" si="283"/>
        <v>30.544473346779746</v>
      </c>
    </row>
    <row r="1049" spans="1:45">
      <c r="A1049" s="19">
        <v>42.942900000000002</v>
      </c>
      <c r="B1049" s="19">
        <v>546.5</v>
      </c>
      <c r="C1049" s="19">
        <v>473</v>
      </c>
      <c r="E1049" s="9">
        <f t="shared" si="269"/>
        <v>-413.5</v>
      </c>
      <c r="F1049" s="9">
        <f t="shared" si="270"/>
        <v>67</v>
      </c>
      <c r="I1049">
        <v>1</v>
      </c>
      <c r="J1049">
        <f t="shared" si="271"/>
        <v>0.26499839292037608</v>
      </c>
      <c r="K1049">
        <f t="shared" si="275"/>
        <v>2.9809572893285852</v>
      </c>
      <c r="O1049">
        <f t="shared" si="276"/>
        <v>-0.25853588029464331</v>
      </c>
      <c r="P1049">
        <f t="shared" si="277"/>
        <v>4.1890940700703962E-2</v>
      </c>
      <c r="Q1049">
        <f t="shared" si="278"/>
        <v>0.9650929217891322</v>
      </c>
      <c r="R1049">
        <f t="shared" si="268"/>
        <v>1</v>
      </c>
      <c r="AG1049" s="8">
        <f t="shared" si="272"/>
        <v>-0.81531057617044755</v>
      </c>
      <c r="AH1049" s="8">
        <f t="shared" si="273"/>
        <v>-0.2769520336240604</v>
      </c>
      <c r="AI1049" s="8">
        <f t="shared" si="274"/>
        <v>0.5084940859598176</v>
      </c>
      <c r="AJ1049" s="8"/>
      <c r="AK1049" s="8"/>
      <c r="AL1049" s="8"/>
      <c r="AN1049" s="8">
        <f t="shared" si="279"/>
        <v>1</v>
      </c>
      <c r="AO1049" s="8">
        <f t="shared" si="280"/>
        <v>3.4690523594450728</v>
      </c>
      <c r="AP1049" s="8">
        <f t="shared" si="281"/>
        <v>1.0373613375444326</v>
      </c>
      <c r="AQ1049" s="8"/>
      <c r="AR1049" s="8">
        <f t="shared" si="282"/>
        <v>198.7620591061029</v>
      </c>
      <c r="AS1049" s="8">
        <f t="shared" si="283"/>
        <v>30.563573528658019</v>
      </c>
    </row>
    <row r="1050" spans="1:45">
      <c r="A1050" s="19">
        <v>42.976266670000001</v>
      </c>
      <c r="B1050" s="19">
        <v>545.82879100000002</v>
      </c>
      <c r="C1050" s="19">
        <v>473.06404220000002</v>
      </c>
      <c r="E1050" s="9">
        <f t="shared" si="269"/>
        <v>-414.17120899999998</v>
      </c>
      <c r="F1050" s="9">
        <f t="shared" si="270"/>
        <v>66.935957799999983</v>
      </c>
      <c r="I1050">
        <v>1</v>
      </c>
      <c r="J1050">
        <f t="shared" si="271"/>
        <v>0.26539553745837929</v>
      </c>
      <c r="K1050">
        <f t="shared" si="275"/>
        <v>2.9813638593612088</v>
      </c>
      <c r="O1050">
        <f t="shared" si="276"/>
        <v>-0.25893124198464057</v>
      </c>
      <c r="P1050">
        <f t="shared" si="277"/>
        <v>4.1846971276522232E-2</v>
      </c>
      <c r="Q1050">
        <f t="shared" si="278"/>
        <v>0.96498883046347916</v>
      </c>
      <c r="R1050">
        <f t="shared" si="268"/>
        <v>1</v>
      </c>
      <c r="AG1050" s="8">
        <f t="shared" si="272"/>
        <v>-0.81551194665000837</v>
      </c>
      <c r="AH1050" s="8">
        <f t="shared" si="273"/>
        <v>-0.27662384255450456</v>
      </c>
      <c r="AI1050" s="8">
        <f t="shared" si="274"/>
        <v>0.50834979551633008</v>
      </c>
      <c r="AJ1050" s="8"/>
      <c r="AK1050" s="8"/>
      <c r="AL1050" s="8"/>
      <c r="AN1050" s="8">
        <f t="shared" si="279"/>
        <v>1</v>
      </c>
      <c r="AO1050" s="8">
        <f t="shared" si="280"/>
        <v>3.4686162913146656</v>
      </c>
      <c r="AP1050" s="8">
        <f t="shared" si="281"/>
        <v>1.0375289012297855</v>
      </c>
      <c r="AQ1050" s="8"/>
      <c r="AR1050" s="8">
        <f t="shared" si="282"/>
        <v>198.73707424265041</v>
      </c>
      <c r="AS1050" s="8">
        <f t="shared" si="283"/>
        <v>30.553972836687642</v>
      </c>
    </row>
    <row r="1051" spans="1:45">
      <c r="A1051" s="19">
        <v>43.00963333</v>
      </c>
      <c r="B1051" s="19">
        <v>545.2614605</v>
      </c>
      <c r="C1051" s="19">
        <v>472.91071440000002</v>
      </c>
      <c r="E1051" s="9">
        <f t="shared" si="269"/>
        <v>-414.7385395</v>
      </c>
      <c r="F1051" s="9">
        <f t="shared" si="270"/>
        <v>67.089285599999982</v>
      </c>
      <c r="I1051">
        <v>1</v>
      </c>
      <c r="J1051">
        <f t="shared" si="271"/>
        <v>0.26575132096306114</v>
      </c>
      <c r="K1051">
        <f t="shared" si="275"/>
        <v>2.9812190241726522</v>
      </c>
      <c r="O1051">
        <f t="shared" si="276"/>
        <v>-0.25926408338776918</v>
      </c>
      <c r="P1051">
        <f t="shared" si="277"/>
        <v>4.1939295434646445E-2</v>
      </c>
      <c r="Q1051">
        <f t="shared" si="278"/>
        <v>0.96489545058702875</v>
      </c>
      <c r="R1051">
        <f t="shared" ref="R1051:R1114" si="284">SQRT(O1051^2+P1051^2+Q1051^2)</f>
        <v>1</v>
      </c>
      <c r="AG1051" s="8">
        <f t="shared" si="272"/>
        <v>-0.81563552530708883</v>
      </c>
      <c r="AH1051" s="8">
        <f t="shared" si="273"/>
        <v>-0.27628842655975577</v>
      </c>
      <c r="AI1051" s="8">
        <f t="shared" si="274"/>
        <v>0.50833394063957971</v>
      </c>
      <c r="AJ1051" s="8"/>
      <c r="AK1051" s="8"/>
      <c r="AL1051" s="8"/>
      <c r="AN1051" s="8">
        <f t="shared" si="279"/>
        <v>1</v>
      </c>
      <c r="AO1051" s="8">
        <f t="shared" si="280"/>
        <v>3.4682013434777845</v>
      </c>
      <c r="AP1051" s="8">
        <f t="shared" si="281"/>
        <v>1.0375473123987597</v>
      </c>
      <c r="AQ1051" s="8"/>
      <c r="AR1051" s="8">
        <f t="shared" si="282"/>
        <v>198.71329948287902</v>
      </c>
      <c r="AS1051" s="8">
        <f t="shared" si="283"/>
        <v>30.552917954409516</v>
      </c>
    </row>
    <row r="1052" spans="1:45">
      <c r="A1052" s="19">
        <v>43.042999999999999</v>
      </c>
      <c r="B1052" s="19">
        <v>544.81754590000003</v>
      </c>
      <c r="C1052" s="19">
        <v>472.88172589999999</v>
      </c>
      <c r="E1052" s="9">
        <f t="shared" si="269"/>
        <v>-415.18245409999997</v>
      </c>
      <c r="F1052" s="9">
        <f t="shared" si="270"/>
        <v>67.118274100000008</v>
      </c>
      <c r="I1052">
        <v>1</v>
      </c>
      <c r="J1052">
        <f t="shared" si="271"/>
        <v>0.26602082520209164</v>
      </c>
      <c r="K1052">
        <f t="shared" si="275"/>
        <v>2.9813195321494361</v>
      </c>
      <c r="O1052">
        <f t="shared" si="276"/>
        <v>-0.25952499852162036</v>
      </c>
      <c r="P1052">
        <f t="shared" si="277"/>
        <v>4.1954735356857766E-2</v>
      </c>
      <c r="Q1052">
        <f t="shared" si="278"/>
        <v>0.9648246344924496</v>
      </c>
      <c r="R1052">
        <f t="shared" si="284"/>
        <v>1</v>
      </c>
      <c r="AG1052" s="8">
        <f t="shared" si="272"/>
        <v>-0.81575252458085346</v>
      </c>
      <c r="AH1052" s="8">
        <f t="shared" si="273"/>
        <v>-0.27605144430640755</v>
      </c>
      <c r="AI1052" s="8">
        <f t="shared" si="274"/>
        <v>0.50827494403748719</v>
      </c>
      <c r="AJ1052" s="8"/>
      <c r="AK1052" s="8"/>
      <c r="AL1052" s="8"/>
      <c r="AN1052" s="8">
        <f t="shared" si="279"/>
        <v>1.0000000000000002</v>
      </c>
      <c r="AO1052" s="8">
        <f t="shared" si="280"/>
        <v>3.4678971247567456</v>
      </c>
      <c r="AP1052" s="8">
        <f t="shared" si="281"/>
        <v>1.0376158193044787</v>
      </c>
      <c r="AQ1052" s="8"/>
      <c r="AR1052" s="8">
        <f t="shared" si="282"/>
        <v>198.69586903411465</v>
      </c>
      <c r="AS1052" s="8">
        <f t="shared" si="283"/>
        <v>30.548992797844321</v>
      </c>
    </row>
    <row r="1053" spans="1:45">
      <c r="A1053" s="19">
        <v>43.076366669999999</v>
      </c>
      <c r="B1053" s="19">
        <v>544.39804890000005</v>
      </c>
      <c r="C1053" s="19">
        <v>472.91570059999998</v>
      </c>
      <c r="E1053" s="9">
        <f t="shared" si="269"/>
        <v>-415.60195109999995</v>
      </c>
      <c r="F1053" s="9">
        <f t="shared" si="270"/>
        <v>67.08429940000002</v>
      </c>
      <c r="I1053">
        <v>1</v>
      </c>
      <c r="J1053">
        <f t="shared" si="271"/>
        <v>0.26626952084579852</v>
      </c>
      <c r="K1053">
        <f t="shared" si="275"/>
        <v>2.9815582265547671</v>
      </c>
      <c r="O1053">
        <f t="shared" si="276"/>
        <v>-0.25977187904396587</v>
      </c>
      <c r="P1053">
        <f t="shared" si="277"/>
        <v>4.193102189092681E-2</v>
      </c>
      <c r="Q1053">
        <f t="shared" si="278"/>
        <v>0.9647592239834506</v>
      </c>
      <c r="R1053">
        <f t="shared" si="284"/>
        <v>1</v>
      </c>
      <c r="AG1053" s="8">
        <f t="shared" si="272"/>
        <v>-0.81587677149827509</v>
      </c>
      <c r="AH1053" s="8">
        <f t="shared" si="273"/>
        <v>-0.27584467311337657</v>
      </c>
      <c r="AI1053" s="8">
        <f t="shared" si="274"/>
        <v>0.50818777045942976</v>
      </c>
      <c r="AJ1053" s="8"/>
      <c r="AK1053" s="8"/>
      <c r="AL1053" s="8"/>
      <c r="AN1053" s="8">
        <f t="shared" si="279"/>
        <v>1.0000000000000002</v>
      </c>
      <c r="AO1053" s="8">
        <f t="shared" si="280"/>
        <v>3.4676234663715881</v>
      </c>
      <c r="AP1053" s="8">
        <f t="shared" si="281"/>
        <v>1.0377170402694118</v>
      </c>
      <c r="AQ1053" s="8"/>
      <c r="AR1053" s="8">
        <f t="shared" si="282"/>
        <v>198.68018956361675</v>
      </c>
      <c r="AS1053" s="8">
        <f t="shared" si="283"/>
        <v>30.543193263755413</v>
      </c>
    </row>
    <row r="1054" spans="1:45">
      <c r="A1054" s="19">
        <v>43.109733329999997</v>
      </c>
      <c r="B1054" s="19">
        <v>543.86856409999996</v>
      </c>
      <c r="C1054" s="19">
        <v>472.83171160000001</v>
      </c>
      <c r="E1054" s="9">
        <f t="shared" si="269"/>
        <v>-416.13143590000004</v>
      </c>
      <c r="F1054" s="9">
        <f t="shared" si="270"/>
        <v>67.168288399999994</v>
      </c>
      <c r="I1054">
        <v>1</v>
      </c>
      <c r="J1054">
        <f t="shared" si="271"/>
        <v>0.26659568524107347</v>
      </c>
      <c r="K1054">
        <f t="shared" si="275"/>
        <v>2.9815616873674373</v>
      </c>
      <c r="O1054">
        <f t="shared" si="276"/>
        <v>-0.26008265969880001</v>
      </c>
      <c r="P1054">
        <f t="shared" si="277"/>
        <v>4.1980262934728355E-2</v>
      </c>
      <c r="Q1054">
        <f t="shared" si="278"/>
        <v>0.96467334764050017</v>
      </c>
      <c r="R1054">
        <f t="shared" si="284"/>
        <v>1</v>
      </c>
      <c r="AG1054" s="8">
        <f t="shared" si="272"/>
        <v>-0.81600506598967981</v>
      </c>
      <c r="AH1054" s="8">
        <f t="shared" si="273"/>
        <v>-0.27554821902771909</v>
      </c>
      <c r="AI1054" s="8">
        <f t="shared" si="274"/>
        <v>0.50814260918548304</v>
      </c>
      <c r="AJ1054" s="8"/>
      <c r="AK1054" s="8"/>
      <c r="AL1054" s="8"/>
      <c r="AN1054" s="8">
        <f t="shared" si="279"/>
        <v>1.0000000000000002</v>
      </c>
      <c r="AO1054" s="8">
        <f t="shared" si="280"/>
        <v>3.4672496846651075</v>
      </c>
      <c r="AP1054" s="8">
        <f t="shared" si="281"/>
        <v>1.0377694765763061</v>
      </c>
      <c r="AQ1054" s="8"/>
      <c r="AR1054" s="8">
        <f t="shared" si="282"/>
        <v>198.65877344937621</v>
      </c>
      <c r="AS1054" s="8">
        <f t="shared" si="283"/>
        <v>30.540188884677114</v>
      </c>
    </row>
    <row r="1055" spans="1:45">
      <c r="A1055" s="19">
        <v>43.143099999999997</v>
      </c>
      <c r="B1055" s="19">
        <v>543.26630839999996</v>
      </c>
      <c r="C1055" s="19">
        <v>472.77876830000002</v>
      </c>
      <c r="E1055" s="9">
        <f t="shared" si="269"/>
        <v>-416.73369160000004</v>
      </c>
      <c r="F1055" s="9">
        <f t="shared" si="270"/>
        <v>67.221231699999976</v>
      </c>
      <c r="I1055">
        <v>1</v>
      </c>
      <c r="J1055">
        <f t="shared" si="271"/>
        <v>0.26696248427160707</v>
      </c>
      <c r="K1055">
        <f t="shared" si="275"/>
        <v>2.9816652168262578</v>
      </c>
      <c r="O1055">
        <f t="shared" si="276"/>
        <v>-0.26043631281919194</v>
      </c>
      <c r="P1055">
        <f t="shared" si="277"/>
        <v>4.2009681674397566E-2</v>
      </c>
      <c r="Q1055">
        <f t="shared" si="278"/>
        <v>0.96457664994066683</v>
      </c>
      <c r="R1055">
        <f t="shared" si="284"/>
        <v>1</v>
      </c>
      <c r="AG1055" s="8">
        <f t="shared" si="272"/>
        <v>-0.81616040604346951</v>
      </c>
      <c r="AH1055" s="8">
        <f t="shared" si="273"/>
        <v>-0.27522295528295482</v>
      </c>
      <c r="AI1055" s="8">
        <f t="shared" si="274"/>
        <v>0.50806940125565103</v>
      </c>
      <c r="AJ1055" s="8"/>
      <c r="AK1055" s="8"/>
      <c r="AL1055" s="8"/>
      <c r="AN1055" s="8">
        <f t="shared" si="279"/>
        <v>1.0000000000000002</v>
      </c>
      <c r="AO1055" s="8">
        <f t="shared" si="280"/>
        <v>3.4668341969387715</v>
      </c>
      <c r="AP1055" s="8">
        <f t="shared" si="281"/>
        <v>1.037854474130961</v>
      </c>
      <c r="AQ1055" s="8"/>
      <c r="AR1055" s="8">
        <f t="shared" si="282"/>
        <v>198.63496775621766</v>
      </c>
      <c r="AS1055" s="8">
        <f t="shared" si="283"/>
        <v>30.535318883526458</v>
      </c>
    </row>
    <row r="1056" spans="1:45">
      <c r="A1056" s="19">
        <v>43.176466670000003</v>
      </c>
      <c r="B1056" s="19">
        <v>542.52173519999997</v>
      </c>
      <c r="C1056" s="19">
        <v>472.87268260000002</v>
      </c>
      <c r="E1056" s="9">
        <f t="shared" ref="E1056:E1119" si="285">(B1056-($B$15/2))</f>
        <v>-417.47826480000003</v>
      </c>
      <c r="F1056" s="9">
        <f t="shared" ref="F1056:F1119" si="286">(($C$15/2)-C1056)</f>
        <v>67.127317399999981</v>
      </c>
      <c r="I1056">
        <v>1</v>
      </c>
      <c r="J1056">
        <f t="shared" ref="J1056:J1119" si="287">ATAN((SQRT(E1056^2+F1056^2)^$B$16)/($F$24))</f>
        <v>0.26740046645364973</v>
      </c>
      <c r="K1056">
        <f t="shared" si="275"/>
        <v>2.9821649005804525</v>
      </c>
      <c r="O1056">
        <f t="shared" si="276"/>
        <v>-0.26087435664299236</v>
      </c>
      <c r="P1056">
        <f t="shared" si="277"/>
        <v>4.194660468919089E-2</v>
      </c>
      <c r="Q1056">
        <f t="shared" si="278"/>
        <v>0.96446101652744554</v>
      </c>
      <c r="R1056">
        <f t="shared" si="284"/>
        <v>1</v>
      </c>
      <c r="AG1056" s="8">
        <f t="shared" ref="AG1056:AG1119" si="288">$O1056*$Z$27+$P1056*$Z$31+$Q1056*$Z$35</f>
        <v>-0.81638797265543528</v>
      </c>
      <c r="AH1056" s="8">
        <f t="shared" ref="AH1056:AH1119" si="289">$O1056*$AA$27+$P1056*$AA$31+$Q1056*$AA$35</f>
        <v>-0.27486542142612819</v>
      </c>
      <c r="AI1056" s="8">
        <f t="shared" ref="AI1056:AI1119" si="290">$AB$27*$O1056+$P1056*$AB$31+$AB$35*$Q1056</f>
        <v>0.50789731069162525</v>
      </c>
      <c r="AJ1056" s="8"/>
      <c r="AK1056" s="8"/>
      <c r="AL1056" s="8"/>
      <c r="AN1056" s="8">
        <f t="shared" si="279"/>
        <v>1</v>
      </c>
      <c r="AO1056" s="8">
        <f t="shared" si="280"/>
        <v>3.466356489327</v>
      </c>
      <c r="AP1056" s="8">
        <f t="shared" si="281"/>
        <v>1.0380542618958124</v>
      </c>
      <c r="AQ1056" s="8"/>
      <c r="AR1056" s="8">
        <f t="shared" si="282"/>
        <v>198.60759712622189</v>
      </c>
      <c r="AS1056" s="8">
        <f t="shared" si="283"/>
        <v>30.523871887802123</v>
      </c>
    </row>
    <row r="1057" spans="1:45">
      <c r="A1057" s="19">
        <v>43.209833330000002</v>
      </c>
      <c r="B1057" s="19">
        <v>542.35341219999998</v>
      </c>
      <c r="C1057" s="19">
        <v>472.5653858</v>
      </c>
      <c r="E1057" s="9">
        <f t="shared" si="285"/>
        <v>-417.64658780000002</v>
      </c>
      <c r="F1057" s="9">
        <f t="shared" si="286"/>
        <v>67.434614199999999</v>
      </c>
      <c r="I1057">
        <v>1</v>
      </c>
      <c r="J1057">
        <f t="shared" si="287"/>
        <v>0.26753124151379976</v>
      </c>
      <c r="K1057">
        <f t="shared" ref="K1057:K1120" si="291">ATAN2(E1057,F1057)</f>
        <v>2.9815109016648655</v>
      </c>
      <c r="O1057">
        <f t="shared" ref="O1057:O1120" si="292">COS(K1057)*SIN(J1057)</f>
        <v>-0.26097138040434786</v>
      </c>
      <c r="P1057">
        <f t="shared" ref="P1057:P1120" si="293">SIN(K1057)*SIN(J1057)</f>
        <v>4.2137311470712029E-2</v>
      </c>
      <c r="Q1057">
        <f t="shared" ref="Q1057:Q1120" si="294">COS(J1057)</f>
        <v>0.96442645421611561</v>
      </c>
      <c r="R1057">
        <f t="shared" si="284"/>
        <v>1</v>
      </c>
      <c r="AG1057" s="8">
        <f t="shared" si="288"/>
        <v>-0.81636576603375477</v>
      </c>
      <c r="AH1057" s="8">
        <f t="shared" si="289"/>
        <v>-0.27469274361141449</v>
      </c>
      <c r="AI1057" s="8">
        <f t="shared" si="290"/>
        <v>0.50802640940737964</v>
      </c>
      <c r="AJ1057" s="8"/>
      <c r="AK1057" s="8"/>
      <c r="AL1057" s="8"/>
      <c r="AN1057" s="8">
        <f t="shared" ref="AN1057:AN1120" si="295">AG1057^2+AH1057^2+AI1057^2</f>
        <v>1</v>
      </c>
      <c r="AO1057" s="8">
        <f t="shared" ref="AO1057:AO1120" si="296">IF(ATAN2(AG1057,AH1057)&gt;=0,ATAN2(AG1057,AH1057),ATAN2(AG1057,AH1057)+2*PI())</f>
        <v>3.4661747199865922</v>
      </c>
      <c r="AP1057" s="8">
        <f t="shared" ref="AP1057:AP1120" si="297">ACOS(AI1057/AN1057)</f>
        <v>1.0379043875293983</v>
      </c>
      <c r="AQ1057" s="8"/>
      <c r="AR1057" s="8">
        <f t="shared" ref="AR1057:AR1120" si="298">DEGREES(AO1057)</f>
        <v>198.59718251017165</v>
      </c>
      <c r="AS1057" s="8">
        <f t="shared" ref="AS1057:AS1120" si="299">90-DEGREES(AP1057)</f>
        <v>30.532459056454847</v>
      </c>
    </row>
    <row r="1058" spans="1:45">
      <c r="A1058" s="19">
        <v>43.243200000000002</v>
      </c>
      <c r="B1058" s="19">
        <v>541.5</v>
      </c>
      <c r="C1058" s="19">
        <v>472.41666670000001</v>
      </c>
      <c r="E1058" s="9">
        <f t="shared" si="285"/>
        <v>-418.5</v>
      </c>
      <c r="F1058" s="9">
        <f t="shared" si="286"/>
        <v>67.583333299999993</v>
      </c>
      <c r="I1058">
        <v>1</v>
      </c>
      <c r="J1058">
        <f t="shared" si="287"/>
        <v>0.2680578731230579</v>
      </c>
      <c r="K1058">
        <f t="shared" si="291"/>
        <v>2.9814854615107151</v>
      </c>
      <c r="O1058">
        <f t="shared" si="292"/>
        <v>-0.2614716736769036</v>
      </c>
      <c r="P1058">
        <f t="shared" si="293"/>
        <v>4.222491581986864E-2</v>
      </c>
      <c r="Q1058">
        <f t="shared" si="294"/>
        <v>0.96428710473001966</v>
      </c>
      <c r="R1058">
        <f t="shared" si="284"/>
        <v>1</v>
      </c>
      <c r="AG1058" s="8">
        <f t="shared" si="288"/>
        <v>-0.81656882934995889</v>
      </c>
      <c r="AH1058" s="8">
        <f t="shared" si="289"/>
        <v>-0.27421133068042625</v>
      </c>
      <c r="AI1058" s="8">
        <f t="shared" si="290"/>
        <v>0.50796012940043633</v>
      </c>
      <c r="AJ1058" s="8"/>
      <c r="AK1058" s="8"/>
      <c r="AL1058" s="8"/>
      <c r="AN1058" s="8">
        <f t="shared" si="295"/>
        <v>1.0000000000000004</v>
      </c>
      <c r="AO1058" s="8">
        <f t="shared" si="296"/>
        <v>3.4655698363473109</v>
      </c>
      <c r="AP1058" s="8">
        <f t="shared" si="297"/>
        <v>1.0379813355268495</v>
      </c>
      <c r="AQ1058" s="8"/>
      <c r="AR1058" s="8">
        <f t="shared" si="298"/>
        <v>198.56252523054431</v>
      </c>
      <c r="AS1058" s="8">
        <f t="shared" si="299"/>
        <v>30.528050260958913</v>
      </c>
    </row>
    <row r="1059" spans="1:45">
      <c r="A1059" s="19">
        <v>43.276566670000001</v>
      </c>
      <c r="B1059" s="19">
        <v>541.10515290000001</v>
      </c>
      <c r="C1059" s="19">
        <v>472.36973590000002</v>
      </c>
      <c r="E1059" s="9">
        <f t="shared" si="285"/>
        <v>-418.89484709999999</v>
      </c>
      <c r="F1059" s="9">
        <f t="shared" si="286"/>
        <v>67.630264099999977</v>
      </c>
      <c r="I1059">
        <v>1</v>
      </c>
      <c r="J1059">
        <f t="shared" si="287"/>
        <v>0.26829936118703351</v>
      </c>
      <c r="K1059">
        <f t="shared" si="291"/>
        <v>2.9815246243689564</v>
      </c>
      <c r="O1059">
        <f t="shared" si="292"/>
        <v>-0.26170320649644269</v>
      </c>
      <c r="P1059">
        <f t="shared" si="293"/>
        <v>4.2251789664402579E-2</v>
      </c>
      <c r="Q1059">
        <f t="shared" si="294"/>
        <v>0.96422311628566315</v>
      </c>
      <c r="R1059">
        <f t="shared" si="284"/>
        <v>1</v>
      </c>
      <c r="AG1059" s="8">
        <f t="shared" si="288"/>
        <v>-0.81666758935723005</v>
      </c>
      <c r="AH1059" s="8">
        <f t="shared" si="289"/>
        <v>-0.2739947303034177</v>
      </c>
      <c r="AI1059" s="8">
        <f t="shared" si="290"/>
        <v>0.50791823777002565</v>
      </c>
      <c r="AJ1059" s="8"/>
      <c r="AK1059" s="8"/>
      <c r="AL1059" s="8"/>
      <c r="AN1059" s="8">
        <f t="shared" si="295"/>
        <v>1.0000000000000002</v>
      </c>
      <c r="AO1059" s="8">
        <f t="shared" si="296"/>
        <v>3.4652949699851949</v>
      </c>
      <c r="AP1059" s="8">
        <f t="shared" si="297"/>
        <v>1.0380299679555505</v>
      </c>
      <c r="AQ1059" s="8"/>
      <c r="AR1059" s="8">
        <f t="shared" si="298"/>
        <v>198.54677654806494</v>
      </c>
      <c r="AS1059" s="8">
        <f t="shared" si="299"/>
        <v>30.525263828046874</v>
      </c>
    </row>
    <row r="1060" spans="1:45">
      <c r="A1060" s="19">
        <v>43.30993333</v>
      </c>
      <c r="B1060" s="19">
        <v>540.51704619999998</v>
      </c>
      <c r="C1060" s="19">
        <v>472.3160244</v>
      </c>
      <c r="E1060" s="9">
        <f t="shared" si="285"/>
        <v>-419.48295380000002</v>
      </c>
      <c r="F1060" s="9">
        <f t="shared" si="286"/>
        <v>67.683975599999997</v>
      </c>
      <c r="I1060">
        <v>1</v>
      </c>
      <c r="J1060">
        <f t="shared" si="287"/>
        <v>0.26865742428969636</v>
      </c>
      <c r="K1060">
        <f t="shared" si="291"/>
        <v>2.9816204349836339</v>
      </c>
      <c r="O1060">
        <f t="shared" si="292"/>
        <v>-0.26204808111477718</v>
      </c>
      <c r="P1060">
        <f t="shared" si="293"/>
        <v>4.2281708392507722E-2</v>
      </c>
      <c r="Q1060">
        <f t="shared" si="294"/>
        <v>0.96412813480339532</v>
      </c>
      <c r="R1060">
        <f t="shared" si="284"/>
        <v>1</v>
      </c>
      <c r="AG1060" s="8">
        <f t="shared" si="288"/>
        <v>-0.81681820604330035</v>
      </c>
      <c r="AH1060" s="8">
        <f t="shared" si="289"/>
        <v>-0.27367665986772494</v>
      </c>
      <c r="AI1060" s="8">
        <f t="shared" si="290"/>
        <v>0.50784752054120552</v>
      </c>
      <c r="AJ1060" s="8"/>
      <c r="AK1060" s="8"/>
      <c r="AL1060" s="8"/>
      <c r="AN1060" s="8">
        <f t="shared" si="295"/>
        <v>1</v>
      </c>
      <c r="AO1060" s="8">
        <f t="shared" si="296"/>
        <v>3.4648893046220599</v>
      </c>
      <c r="AP1060" s="8">
        <f t="shared" si="297"/>
        <v>1.0381120611568426</v>
      </c>
      <c r="AQ1060" s="8"/>
      <c r="AR1060" s="8">
        <f t="shared" si="298"/>
        <v>198.52353363486267</v>
      </c>
      <c r="AS1060" s="8">
        <f t="shared" si="299"/>
        <v>30.520560234086112</v>
      </c>
    </row>
    <row r="1061" spans="1:45">
      <c r="A1061" s="19">
        <v>43.343299999999999</v>
      </c>
      <c r="B1061" s="19">
        <v>539.72738189999995</v>
      </c>
      <c r="C1061" s="19">
        <v>472.29822840000003</v>
      </c>
      <c r="E1061" s="9">
        <f t="shared" si="285"/>
        <v>-420.27261810000005</v>
      </c>
      <c r="F1061" s="9">
        <f t="shared" si="286"/>
        <v>67.701771599999972</v>
      </c>
      <c r="I1061">
        <v>1</v>
      </c>
      <c r="J1061">
        <f t="shared" si="287"/>
        <v>0.26913285241486762</v>
      </c>
      <c r="K1061">
        <f t="shared" si="291"/>
        <v>2.9818746511518555</v>
      </c>
      <c r="O1061">
        <f t="shared" si="292"/>
        <v>-0.26251133123770726</v>
      </c>
      <c r="P1061">
        <f t="shared" si="293"/>
        <v>4.2287985046978241E-2</v>
      </c>
      <c r="Q1061">
        <f t="shared" si="294"/>
        <v>0.96400182950680824</v>
      </c>
      <c r="R1061">
        <f t="shared" si="284"/>
        <v>1</v>
      </c>
      <c r="AG1061" s="8">
        <f t="shared" si="288"/>
        <v>-0.81703241082866795</v>
      </c>
      <c r="AH1061" s="8">
        <f t="shared" si="289"/>
        <v>-0.27326479961349404</v>
      </c>
      <c r="AI1061" s="8">
        <f t="shared" si="290"/>
        <v>0.50772471768438832</v>
      </c>
      <c r="AJ1061" s="8"/>
      <c r="AK1061" s="8"/>
      <c r="AL1061" s="8"/>
      <c r="AN1061" s="8">
        <f t="shared" si="295"/>
        <v>1.0000000000000002</v>
      </c>
      <c r="AO1061" s="8">
        <f t="shared" si="296"/>
        <v>3.4643570185714467</v>
      </c>
      <c r="AP1061" s="8">
        <f t="shared" si="297"/>
        <v>1.0382546093352505</v>
      </c>
      <c r="AQ1061" s="8"/>
      <c r="AR1061" s="8">
        <f t="shared" si="298"/>
        <v>198.49303589066886</v>
      </c>
      <c r="AS1061" s="8">
        <f t="shared" si="299"/>
        <v>30.512392825086067</v>
      </c>
    </row>
    <row r="1062" spans="1:45">
      <c r="A1062" s="19">
        <v>43.376666669999999</v>
      </c>
      <c r="B1062" s="19">
        <v>539.35042339999995</v>
      </c>
      <c r="C1062" s="19">
        <v>472.31395370000001</v>
      </c>
      <c r="E1062" s="9">
        <f t="shared" si="285"/>
        <v>-420.64957660000005</v>
      </c>
      <c r="F1062" s="9">
        <f t="shared" si="286"/>
        <v>67.686046299999987</v>
      </c>
      <c r="I1062">
        <v>1</v>
      </c>
      <c r="J1062">
        <f t="shared" si="287"/>
        <v>0.26935743222822783</v>
      </c>
      <c r="K1062">
        <f t="shared" si="291"/>
        <v>2.9820518010514712</v>
      </c>
      <c r="O1062">
        <f t="shared" si="292"/>
        <v>-0.26273255774029491</v>
      </c>
      <c r="P1062">
        <f t="shared" si="293"/>
        <v>4.2275872975945969E-2</v>
      </c>
      <c r="Q1062">
        <f t="shared" si="294"/>
        <v>0.96394209041174472</v>
      </c>
      <c r="R1062">
        <f t="shared" si="284"/>
        <v>1</v>
      </c>
      <c r="AG1062" s="8">
        <f t="shared" si="288"/>
        <v>-0.81714000888105631</v>
      </c>
      <c r="AH1062" s="8">
        <f t="shared" si="289"/>
        <v>-0.27307497413251902</v>
      </c>
      <c r="AI1062" s="8">
        <f t="shared" si="290"/>
        <v>0.50765368548685963</v>
      </c>
      <c r="AJ1062" s="8"/>
      <c r="AK1062" s="8"/>
      <c r="AL1062" s="8"/>
      <c r="AN1062" s="8">
        <f t="shared" si="295"/>
        <v>1.0000000000000002</v>
      </c>
      <c r="AO1062" s="8">
        <f t="shared" si="296"/>
        <v>3.464108455531</v>
      </c>
      <c r="AP1062" s="8">
        <f t="shared" si="297"/>
        <v>1.0383370572465509</v>
      </c>
      <c r="AQ1062" s="8"/>
      <c r="AR1062" s="8">
        <f t="shared" si="298"/>
        <v>198.47879427750831</v>
      </c>
      <c r="AS1062" s="8">
        <f t="shared" si="299"/>
        <v>30.507668907738882</v>
      </c>
    </row>
    <row r="1063" spans="1:45">
      <c r="A1063" s="19">
        <v>43.410033329999997</v>
      </c>
      <c r="B1063" s="19">
        <v>538.75677459999997</v>
      </c>
      <c r="C1063" s="19">
        <v>472.23082900000003</v>
      </c>
      <c r="E1063" s="9">
        <f t="shared" si="285"/>
        <v>-421.24322540000003</v>
      </c>
      <c r="F1063" s="9">
        <f t="shared" si="286"/>
        <v>67.769170999999972</v>
      </c>
      <c r="I1063">
        <v>1</v>
      </c>
      <c r="J1063">
        <f t="shared" si="287"/>
        <v>0.2697214730505853</v>
      </c>
      <c r="K1063">
        <f t="shared" si="291"/>
        <v>2.9820804911693863</v>
      </c>
      <c r="O1063">
        <f t="shared" si="292"/>
        <v>-0.26308021248988051</v>
      </c>
      <c r="P1063">
        <f t="shared" si="293"/>
        <v>4.2324070351549059E-2</v>
      </c>
      <c r="Q1063">
        <f t="shared" si="294"/>
        <v>0.96384515087495071</v>
      </c>
      <c r="R1063">
        <f t="shared" si="284"/>
        <v>1</v>
      </c>
      <c r="AG1063" s="8">
        <f t="shared" si="288"/>
        <v>-0.81728516475712121</v>
      </c>
      <c r="AH1063" s="8">
        <f t="shared" si="289"/>
        <v>-0.27274589700816243</v>
      </c>
      <c r="AI1063" s="8">
        <f t="shared" si="290"/>
        <v>0.50759692191062211</v>
      </c>
      <c r="AJ1063" s="8"/>
      <c r="AK1063" s="8"/>
      <c r="AL1063" s="8"/>
      <c r="AN1063" s="8">
        <f t="shared" si="295"/>
        <v>1</v>
      </c>
      <c r="AO1063" s="8">
        <f t="shared" si="296"/>
        <v>3.4636928100352371</v>
      </c>
      <c r="AP1063" s="8">
        <f t="shared" si="297"/>
        <v>1.0384029405212458</v>
      </c>
      <c r="AQ1063" s="8"/>
      <c r="AR1063" s="8">
        <f t="shared" si="298"/>
        <v>198.45497954482747</v>
      </c>
      <c r="AS1063" s="8">
        <f t="shared" si="299"/>
        <v>30.50389407415836</v>
      </c>
    </row>
    <row r="1064" spans="1:45">
      <c r="A1064" s="19">
        <v>43.443399999999997</v>
      </c>
      <c r="B1064" s="19">
        <v>538.49062060000006</v>
      </c>
      <c r="C1064" s="19">
        <v>472.38434239999998</v>
      </c>
      <c r="E1064" s="9">
        <f t="shared" si="285"/>
        <v>-421.50937939999994</v>
      </c>
      <c r="F1064" s="9">
        <f t="shared" si="286"/>
        <v>67.61565760000002</v>
      </c>
      <c r="I1064">
        <v>1</v>
      </c>
      <c r="J1064">
        <f t="shared" si="287"/>
        <v>0.26986628636879528</v>
      </c>
      <c r="K1064">
        <f t="shared" si="291"/>
        <v>2.9825345562109908</v>
      </c>
      <c r="O1064">
        <f t="shared" si="292"/>
        <v>-0.26323721620392176</v>
      </c>
      <c r="P1064">
        <f t="shared" si="293"/>
        <v>4.2226717478404889E-2</v>
      </c>
      <c r="Q1064">
        <f t="shared" si="294"/>
        <v>0.96380655337894894</v>
      </c>
      <c r="R1064">
        <f t="shared" si="284"/>
        <v>1</v>
      </c>
      <c r="AG1064" s="8">
        <f t="shared" si="288"/>
        <v>-0.81739295783676591</v>
      </c>
      <c r="AH1064" s="8">
        <f t="shared" si="289"/>
        <v>-0.27265167667967299</v>
      </c>
      <c r="AI1064" s="8">
        <f t="shared" si="290"/>
        <v>0.50747395566927989</v>
      </c>
      <c r="AJ1064" s="8"/>
      <c r="AK1064" s="8"/>
      <c r="AL1064" s="8"/>
      <c r="AN1064" s="8">
        <f t="shared" si="295"/>
        <v>1</v>
      </c>
      <c r="AO1064" s="8">
        <f t="shared" si="296"/>
        <v>3.4635494858389211</v>
      </c>
      <c r="AP1064" s="8">
        <f t="shared" si="297"/>
        <v>1.0385456538849323</v>
      </c>
      <c r="AQ1064" s="8"/>
      <c r="AR1064" s="8">
        <f t="shared" si="298"/>
        <v>198.44676767327647</v>
      </c>
      <c r="AS1064" s="8">
        <f t="shared" si="299"/>
        <v>30.495717200739016</v>
      </c>
    </row>
    <row r="1065" spans="1:45">
      <c r="A1065" s="19">
        <v>43.476766670000004</v>
      </c>
      <c r="B1065" s="19">
        <v>537.91059919999998</v>
      </c>
      <c r="C1065" s="19">
        <v>472.34017519999998</v>
      </c>
      <c r="E1065" s="9">
        <f t="shared" si="285"/>
        <v>-422.08940080000002</v>
      </c>
      <c r="F1065" s="9">
        <f t="shared" si="286"/>
        <v>67.659824800000024</v>
      </c>
      <c r="I1065">
        <v>1</v>
      </c>
      <c r="J1065">
        <f t="shared" si="287"/>
        <v>0.27021831926748219</v>
      </c>
      <c r="K1065">
        <f t="shared" si="291"/>
        <v>2.98264744839754</v>
      </c>
      <c r="O1065">
        <f t="shared" si="292"/>
        <v>-0.26357698004465868</v>
      </c>
      <c r="P1065">
        <f t="shared" si="293"/>
        <v>4.2250699158363464E-2</v>
      </c>
      <c r="Q1065">
        <f t="shared" si="294"/>
        <v>0.96371264078622887</v>
      </c>
      <c r="R1065">
        <f t="shared" si="284"/>
        <v>1</v>
      </c>
      <c r="AG1065" s="8">
        <f t="shared" si="288"/>
        <v>-0.81754289551768577</v>
      </c>
      <c r="AH1065" s="8">
        <f t="shared" si="289"/>
        <v>-0.27234053640176903</v>
      </c>
      <c r="AI1065" s="8">
        <f t="shared" si="290"/>
        <v>0.50739949371373538</v>
      </c>
      <c r="AJ1065" s="8"/>
      <c r="AK1065" s="8"/>
      <c r="AL1065" s="8"/>
      <c r="AN1065" s="8">
        <f t="shared" si="295"/>
        <v>1</v>
      </c>
      <c r="AO1065" s="8">
        <f t="shared" si="296"/>
        <v>3.463151908098852</v>
      </c>
      <c r="AP1065" s="8">
        <f t="shared" si="297"/>
        <v>1.0386320678390395</v>
      </c>
      <c r="AQ1065" s="8"/>
      <c r="AR1065" s="8">
        <f t="shared" si="298"/>
        <v>198.42398814674215</v>
      </c>
      <c r="AS1065" s="8">
        <f t="shared" si="299"/>
        <v>30.490766045877635</v>
      </c>
    </row>
    <row r="1066" spans="1:45">
      <c r="A1066" s="19">
        <v>43.510133330000002</v>
      </c>
      <c r="B1066" s="19">
        <v>537.14975879999997</v>
      </c>
      <c r="C1066" s="19">
        <v>472.3524018</v>
      </c>
      <c r="E1066" s="9">
        <f t="shared" si="285"/>
        <v>-422.85024120000003</v>
      </c>
      <c r="F1066" s="9">
        <f t="shared" si="286"/>
        <v>67.647598200000004</v>
      </c>
      <c r="I1066">
        <v>1</v>
      </c>
      <c r="J1066">
        <f t="shared" si="287"/>
        <v>0.27067327225355853</v>
      </c>
      <c r="K1066">
        <f t="shared" si="291"/>
        <v>2.9829568539369626</v>
      </c>
      <c r="O1066">
        <f t="shared" si="292"/>
        <v>-0.26402295144716642</v>
      </c>
      <c r="P1066">
        <f t="shared" si="293"/>
        <v>4.2238402145378801E-2</v>
      </c>
      <c r="Q1066">
        <f t="shared" si="294"/>
        <v>0.96359109506747331</v>
      </c>
      <c r="R1066">
        <f t="shared" si="284"/>
        <v>1</v>
      </c>
      <c r="AG1066" s="8">
        <f t="shared" si="288"/>
        <v>-0.81775510152709563</v>
      </c>
      <c r="AH1066" s="8">
        <f t="shared" si="289"/>
        <v>-0.27195203379388472</v>
      </c>
      <c r="AI1066" s="8">
        <f t="shared" si="290"/>
        <v>0.50726589205443284</v>
      </c>
      <c r="AJ1066" s="8"/>
      <c r="AK1066" s="8"/>
      <c r="AL1066" s="8"/>
      <c r="AN1066" s="8">
        <f t="shared" si="295"/>
        <v>1.0000000000000002</v>
      </c>
      <c r="AO1066" s="8">
        <f t="shared" si="296"/>
        <v>3.4626463828887308</v>
      </c>
      <c r="AP1066" s="8">
        <f t="shared" si="297"/>
        <v>1.0387871030774924</v>
      </c>
      <c r="AQ1066" s="8"/>
      <c r="AR1066" s="8">
        <f t="shared" si="298"/>
        <v>198.39502368576476</v>
      </c>
      <c r="AS1066" s="8">
        <f t="shared" si="299"/>
        <v>30.481883181038476</v>
      </c>
    </row>
    <row r="1067" spans="1:45">
      <c r="A1067" s="19">
        <v>43.543500000000002</v>
      </c>
      <c r="B1067" s="19">
        <v>536.91666669999995</v>
      </c>
      <c r="C1067" s="19">
        <v>471.83333329999999</v>
      </c>
      <c r="E1067" s="9">
        <f t="shared" si="285"/>
        <v>-423.08333330000005</v>
      </c>
      <c r="F1067" s="9">
        <f t="shared" si="286"/>
        <v>68.166666700000007</v>
      </c>
      <c r="I1067">
        <v>1</v>
      </c>
      <c r="J1067">
        <f t="shared" si="287"/>
        <v>0.27086292825296421</v>
      </c>
      <c r="K1067">
        <f t="shared" si="291"/>
        <v>2.9818467368160753</v>
      </c>
      <c r="O1067">
        <f t="shared" si="292"/>
        <v>-0.26415631844866633</v>
      </c>
      <c r="P1067">
        <f t="shared" si="293"/>
        <v>4.2560541385403945E-2</v>
      </c>
      <c r="Q1067">
        <f t="shared" si="294"/>
        <v>0.96354036746813476</v>
      </c>
      <c r="R1067">
        <f t="shared" si="284"/>
        <v>1</v>
      </c>
      <c r="AG1067" s="8">
        <f t="shared" si="288"/>
        <v>-0.81770288506789457</v>
      </c>
      <c r="AH1067" s="8">
        <f t="shared" si="289"/>
        <v>-0.27168696950749749</v>
      </c>
      <c r="AI1067" s="8">
        <f t="shared" si="290"/>
        <v>0.50749205151556209</v>
      </c>
      <c r="AJ1067" s="8"/>
      <c r="AK1067" s="8"/>
      <c r="AL1067" s="8"/>
      <c r="AN1067" s="8">
        <f t="shared" si="295"/>
        <v>1.0000000000000002</v>
      </c>
      <c r="AO1067" s="8">
        <f t="shared" si="296"/>
        <v>3.4623736028925691</v>
      </c>
      <c r="AP1067" s="8">
        <f t="shared" si="297"/>
        <v>1.0385246527833729</v>
      </c>
      <c r="AQ1067" s="8"/>
      <c r="AR1067" s="8">
        <f t="shared" si="298"/>
        <v>198.37939454324911</v>
      </c>
      <c r="AS1067" s="8">
        <f t="shared" si="299"/>
        <v>30.49692047522349</v>
      </c>
    </row>
    <row r="1068" spans="1:45">
      <c r="A1068" s="19">
        <v>43.576866670000001</v>
      </c>
      <c r="B1068" s="19">
        <v>536.5</v>
      </c>
      <c r="C1068" s="19">
        <v>471.41666670000001</v>
      </c>
      <c r="E1068" s="9">
        <f t="shared" si="285"/>
        <v>-423.5</v>
      </c>
      <c r="F1068" s="9">
        <f t="shared" si="286"/>
        <v>68.583333299999993</v>
      </c>
      <c r="I1068">
        <v>1</v>
      </c>
      <c r="J1068">
        <f t="shared" si="287"/>
        <v>0.27115292284391967</v>
      </c>
      <c r="K1068">
        <f t="shared" si="291"/>
        <v>2.9810423790947107</v>
      </c>
      <c r="O1068">
        <f t="shared" si="292"/>
        <v>-0.26439781597393314</v>
      </c>
      <c r="P1068">
        <f t="shared" si="293"/>
        <v>4.2817670688860346E-2</v>
      </c>
      <c r="Q1068">
        <f t="shared" si="294"/>
        <v>0.96346273513042247</v>
      </c>
      <c r="R1068">
        <f t="shared" si="284"/>
        <v>1</v>
      </c>
      <c r="AG1068" s="8">
        <f t="shared" si="288"/>
        <v>-0.81772402467773153</v>
      </c>
      <c r="AH1068" s="8">
        <f t="shared" si="289"/>
        <v>-0.27135596567881426</v>
      </c>
      <c r="AI1068" s="8">
        <f t="shared" si="290"/>
        <v>0.50763506513574408</v>
      </c>
      <c r="AJ1068" s="8"/>
      <c r="AK1068" s="8"/>
      <c r="AL1068" s="8"/>
      <c r="AN1068" s="8">
        <f t="shared" si="295"/>
        <v>1.0000000000000002</v>
      </c>
      <c r="AO1068" s="8">
        <f t="shared" si="296"/>
        <v>3.4620012781573508</v>
      </c>
      <c r="AP1068" s="8">
        <f t="shared" si="297"/>
        <v>1.0383586694455775</v>
      </c>
      <c r="AQ1068" s="8"/>
      <c r="AR1068" s="8">
        <f t="shared" si="298"/>
        <v>198.35806190731276</v>
      </c>
      <c r="AS1068" s="8">
        <f t="shared" si="299"/>
        <v>30.506430619948659</v>
      </c>
    </row>
    <row r="1069" spans="1:45">
      <c r="A1069" s="19">
        <v>43.61023333</v>
      </c>
      <c r="B1069" s="19">
        <v>535.94988379999995</v>
      </c>
      <c r="C1069" s="19">
        <v>471.30735499999997</v>
      </c>
      <c r="E1069" s="9">
        <f t="shared" si="285"/>
        <v>-424.05011620000005</v>
      </c>
      <c r="F1069" s="9">
        <f t="shared" si="286"/>
        <v>68.692645000000027</v>
      </c>
      <c r="I1069">
        <v>1</v>
      </c>
      <c r="J1069">
        <f t="shared" si="287"/>
        <v>0.27149308068031208</v>
      </c>
      <c r="K1069">
        <f t="shared" si="291"/>
        <v>2.9809959066596106</v>
      </c>
      <c r="O1069">
        <f t="shared" si="292"/>
        <v>-0.26471932273346344</v>
      </c>
      <c r="P1069">
        <f t="shared" si="293"/>
        <v>4.2882361698478588E-2</v>
      </c>
      <c r="Q1069">
        <f t="shared" si="294"/>
        <v>0.96337157069673651</v>
      </c>
      <c r="R1069">
        <f t="shared" si="284"/>
        <v>1</v>
      </c>
      <c r="AG1069" s="8">
        <f t="shared" si="288"/>
        <v>-0.81785069065665539</v>
      </c>
      <c r="AH1069" s="8">
        <f t="shared" si="289"/>
        <v>-0.27104212848043724</v>
      </c>
      <c r="AI1069" s="8">
        <f t="shared" si="290"/>
        <v>0.50759867255660329</v>
      </c>
      <c r="AJ1069" s="8"/>
      <c r="AK1069" s="8"/>
      <c r="AL1069" s="8"/>
      <c r="AN1069" s="8">
        <f t="shared" si="295"/>
        <v>0.99999999999999978</v>
      </c>
      <c r="AO1069" s="8">
        <f t="shared" si="296"/>
        <v>3.4616092615220739</v>
      </c>
      <c r="AP1069" s="8">
        <f t="shared" si="297"/>
        <v>1.0384009086527786</v>
      </c>
      <c r="AQ1069" s="8"/>
      <c r="AR1069" s="8">
        <f t="shared" si="298"/>
        <v>198.33560100861249</v>
      </c>
      <c r="AS1069" s="8">
        <f t="shared" si="299"/>
        <v>30.504010491646063</v>
      </c>
    </row>
    <row r="1070" spans="1:45">
      <c r="A1070" s="19">
        <v>43.643599999999999</v>
      </c>
      <c r="B1070" s="19">
        <v>535</v>
      </c>
      <c r="C1070" s="19">
        <v>471.25</v>
      </c>
      <c r="E1070" s="9">
        <f t="shared" si="285"/>
        <v>-425</v>
      </c>
      <c r="F1070" s="9">
        <f t="shared" si="286"/>
        <v>68.75</v>
      </c>
      <c r="I1070">
        <v>1</v>
      </c>
      <c r="J1070">
        <f t="shared" si="287"/>
        <v>0.27206754903600505</v>
      </c>
      <c r="K1070">
        <f t="shared" si="291"/>
        <v>2.9812172096138423</v>
      </c>
      <c r="O1070">
        <f t="shared" si="292"/>
        <v>-0.26527508711302644</v>
      </c>
      <c r="P1070">
        <f t="shared" si="293"/>
        <v>4.2912146444754343E-2</v>
      </c>
      <c r="Q1070">
        <f t="shared" si="294"/>
        <v>0.96321735649056917</v>
      </c>
      <c r="R1070">
        <f t="shared" si="284"/>
        <v>1</v>
      </c>
      <c r="AG1070" s="8">
        <f t="shared" si="288"/>
        <v>-0.81809860799190437</v>
      </c>
      <c r="AH1070" s="8">
        <f t="shared" si="289"/>
        <v>-0.27053698683566657</v>
      </c>
      <c r="AI1070" s="8">
        <f t="shared" si="290"/>
        <v>0.50746862598153486</v>
      </c>
      <c r="AJ1070" s="8"/>
      <c r="AK1070" s="8"/>
      <c r="AL1070" s="8"/>
      <c r="AN1070" s="8">
        <f t="shared" si="295"/>
        <v>1</v>
      </c>
      <c r="AO1070" s="8">
        <f t="shared" si="296"/>
        <v>3.4609622783381853</v>
      </c>
      <c r="AP1070" s="8">
        <f t="shared" si="297"/>
        <v>1.0385518391948534</v>
      </c>
      <c r="AQ1070" s="8"/>
      <c r="AR1070" s="8">
        <f t="shared" si="298"/>
        <v>198.29853160275971</v>
      </c>
      <c r="AS1070" s="8">
        <f t="shared" si="299"/>
        <v>30.495362808585554</v>
      </c>
    </row>
    <row r="1071" spans="1:45">
      <c r="A1071" s="19">
        <v>43.676966669999999</v>
      </c>
      <c r="B1071" s="19">
        <v>535.33333330000005</v>
      </c>
      <c r="C1071" s="19">
        <v>470.5</v>
      </c>
      <c r="E1071" s="9">
        <f t="shared" si="285"/>
        <v>-424.66666669999995</v>
      </c>
      <c r="F1071" s="9">
        <f t="shared" si="286"/>
        <v>69.5</v>
      </c>
      <c r="I1071">
        <v>1</v>
      </c>
      <c r="J1071">
        <f t="shared" si="287"/>
        <v>0.27194102796766528</v>
      </c>
      <c r="K1071">
        <f t="shared" si="291"/>
        <v>2.9793729713137558</v>
      </c>
      <c r="O1071">
        <f t="shared" si="292"/>
        <v>-0.26507522636331227</v>
      </c>
      <c r="P1071">
        <f t="shared" si="293"/>
        <v>4.3381620637686462E-2</v>
      </c>
      <c r="Q1071">
        <f t="shared" si="294"/>
        <v>0.9632513479665038</v>
      </c>
      <c r="R1071">
        <f t="shared" si="284"/>
        <v>1</v>
      </c>
      <c r="AG1071" s="8">
        <f t="shared" si="288"/>
        <v>-0.81783878366557361</v>
      </c>
      <c r="AH1071" s="8">
        <f t="shared" si="289"/>
        <v>-0.27049908200301986</v>
      </c>
      <c r="AI1071" s="8">
        <f t="shared" si="290"/>
        <v>0.50790744291449275</v>
      </c>
      <c r="AJ1071" s="8"/>
      <c r="AK1071" s="8"/>
      <c r="AL1071" s="8"/>
      <c r="AN1071" s="8">
        <f t="shared" si="295"/>
        <v>1</v>
      </c>
      <c r="AO1071" s="8">
        <f t="shared" si="296"/>
        <v>3.4610152012785971</v>
      </c>
      <c r="AP1071" s="8">
        <f t="shared" si="297"/>
        <v>1.0380424995894377</v>
      </c>
      <c r="AQ1071" s="8"/>
      <c r="AR1071" s="8">
        <f t="shared" si="298"/>
        <v>198.30156386388472</v>
      </c>
      <c r="AS1071" s="8">
        <f t="shared" si="299"/>
        <v>30.524545818314728</v>
      </c>
    </row>
    <row r="1072" spans="1:45">
      <c r="A1072" s="19">
        <v>43.710333329999997</v>
      </c>
      <c r="B1072" s="19">
        <v>533.90616160000002</v>
      </c>
      <c r="C1072" s="19">
        <v>470.9309715</v>
      </c>
      <c r="E1072" s="9">
        <f t="shared" si="285"/>
        <v>-426.09383839999998</v>
      </c>
      <c r="F1072" s="9">
        <f t="shared" si="286"/>
        <v>69.069028500000002</v>
      </c>
      <c r="I1072">
        <v>1</v>
      </c>
      <c r="J1072">
        <f t="shared" si="287"/>
        <v>0.27275338320037296</v>
      </c>
      <c r="K1072">
        <f t="shared" si="291"/>
        <v>2.9808922728524476</v>
      </c>
      <c r="O1072">
        <f t="shared" si="292"/>
        <v>-0.26591316268591275</v>
      </c>
      <c r="P1072">
        <f t="shared" si="293"/>
        <v>4.3104035207467299E-2</v>
      </c>
      <c r="Q1072">
        <f t="shared" si="294"/>
        <v>0.96303283020840402</v>
      </c>
      <c r="R1072">
        <f t="shared" si="284"/>
        <v>1</v>
      </c>
      <c r="AG1072" s="8">
        <f t="shared" si="288"/>
        <v>-0.81832690593218615</v>
      </c>
      <c r="AH1072" s="8">
        <f t="shared" si="289"/>
        <v>-0.26988471395017188</v>
      </c>
      <c r="AI1072" s="8">
        <f t="shared" si="290"/>
        <v>0.50744784579648083</v>
      </c>
      <c r="AJ1072" s="8"/>
      <c r="AK1072" s="8"/>
      <c r="AL1072" s="8"/>
      <c r="AN1072" s="8">
        <f t="shared" si="295"/>
        <v>1.0000000000000002</v>
      </c>
      <c r="AO1072" s="8">
        <f t="shared" si="296"/>
        <v>3.4601603958391909</v>
      </c>
      <c r="AP1072" s="8">
        <f t="shared" si="297"/>
        <v>1.0385759551926543</v>
      </c>
      <c r="AQ1072" s="8"/>
      <c r="AR1072" s="8">
        <f t="shared" si="298"/>
        <v>198.25258711990193</v>
      </c>
      <c r="AS1072" s="8">
        <f t="shared" si="299"/>
        <v>30.493981063692814</v>
      </c>
    </row>
    <row r="1073" spans="1:45">
      <c r="A1073" s="19">
        <v>43.743699999999997</v>
      </c>
      <c r="B1073" s="19">
        <v>533.85158090000004</v>
      </c>
      <c r="C1073" s="19">
        <v>470.82914060000002</v>
      </c>
      <c r="E1073" s="9">
        <f t="shared" si="285"/>
        <v>-426.14841909999996</v>
      </c>
      <c r="F1073" s="9">
        <f t="shared" si="286"/>
        <v>69.170859399999983</v>
      </c>
      <c r="I1073">
        <v>1</v>
      </c>
      <c r="J1073">
        <f t="shared" si="287"/>
        <v>0.27279594131231005</v>
      </c>
      <c r="K1073">
        <f t="shared" si="291"/>
        <v>2.9806796716119903</v>
      </c>
      <c r="O1073">
        <f t="shared" si="292"/>
        <v>-0.26594444785696814</v>
      </c>
      <c r="P1073">
        <f t="shared" si="293"/>
        <v>4.3167134234066706E-2</v>
      </c>
      <c r="Q1073">
        <f t="shared" si="294"/>
        <v>0.96302136485961221</v>
      </c>
      <c r="R1073">
        <f t="shared" si="284"/>
        <v>1</v>
      </c>
      <c r="AG1073" s="8">
        <f t="shared" si="288"/>
        <v>-0.81831900437656802</v>
      </c>
      <c r="AH1073" s="8">
        <f t="shared" si="289"/>
        <v>-0.26982817408680276</v>
      </c>
      <c r="AI1073" s="8">
        <f t="shared" si="290"/>
        <v>0.50749065365297574</v>
      </c>
      <c r="AJ1073" s="8"/>
      <c r="AK1073" s="8"/>
      <c r="AL1073" s="8"/>
      <c r="AN1073" s="8">
        <f t="shared" si="295"/>
        <v>1</v>
      </c>
      <c r="AO1073" s="8">
        <f t="shared" si="296"/>
        <v>3.4601009519726769</v>
      </c>
      <c r="AP1073" s="8">
        <f t="shared" si="297"/>
        <v>1.0385262750795183</v>
      </c>
      <c r="AQ1073" s="8"/>
      <c r="AR1073" s="8">
        <f t="shared" si="298"/>
        <v>198.24918123723273</v>
      </c>
      <c r="AS1073" s="8">
        <f t="shared" si="299"/>
        <v>30.496827524501235</v>
      </c>
    </row>
    <row r="1074" spans="1:45">
      <c r="A1074" s="19">
        <v>43.777066670000004</v>
      </c>
      <c r="B1074" s="19">
        <v>533.20919230000004</v>
      </c>
      <c r="C1074" s="19">
        <v>470.83306279999999</v>
      </c>
      <c r="E1074" s="9">
        <f t="shared" si="285"/>
        <v>-426.79080769999996</v>
      </c>
      <c r="F1074" s="9">
        <f t="shared" si="286"/>
        <v>69.166937200000007</v>
      </c>
      <c r="I1074">
        <v>1</v>
      </c>
      <c r="J1074">
        <f t="shared" si="287"/>
        <v>0.27318003974232347</v>
      </c>
      <c r="K1074">
        <f t="shared" si="291"/>
        <v>2.980926676168373</v>
      </c>
      <c r="O1074">
        <f t="shared" si="292"/>
        <v>-0.26632021369820097</v>
      </c>
      <c r="P1074">
        <f t="shared" si="293"/>
        <v>4.3160614435965652E-2</v>
      </c>
      <c r="Q1074">
        <f t="shared" si="294"/>
        <v>0.96291780809020999</v>
      </c>
      <c r="R1074">
        <f t="shared" si="284"/>
        <v>1</v>
      </c>
      <c r="AG1074" s="8">
        <f t="shared" si="288"/>
        <v>-0.81849577362498072</v>
      </c>
      <c r="AH1074" s="8">
        <f t="shared" si="289"/>
        <v>-0.26949858177168939</v>
      </c>
      <c r="AI1074" s="8">
        <f t="shared" si="290"/>
        <v>0.50738070812861258</v>
      </c>
      <c r="AJ1074" s="8"/>
      <c r="AK1074" s="8"/>
      <c r="AL1074" s="8"/>
      <c r="AN1074" s="8">
        <f t="shared" si="295"/>
        <v>1</v>
      </c>
      <c r="AO1074" s="8">
        <f t="shared" si="296"/>
        <v>3.4596734703154559</v>
      </c>
      <c r="AP1074" s="8">
        <f t="shared" si="297"/>
        <v>1.0386538680316095</v>
      </c>
      <c r="AQ1074" s="8"/>
      <c r="AR1074" s="8">
        <f t="shared" si="298"/>
        <v>198.22468834245473</v>
      </c>
      <c r="AS1074" s="8">
        <f t="shared" si="299"/>
        <v>30.489516986850795</v>
      </c>
    </row>
    <row r="1075" spans="1:45">
      <c r="A1075" s="19">
        <v>43.810433330000002</v>
      </c>
      <c r="B1075" s="19">
        <v>532.64445660000001</v>
      </c>
      <c r="C1075" s="19">
        <v>470.81816809999998</v>
      </c>
      <c r="E1075" s="9">
        <f t="shared" si="285"/>
        <v>-427.35554339999999</v>
      </c>
      <c r="F1075" s="9">
        <f t="shared" si="286"/>
        <v>69.18183190000002</v>
      </c>
      <c r="I1075">
        <v>1</v>
      </c>
      <c r="J1075">
        <f t="shared" si="287"/>
        <v>0.27351943344876661</v>
      </c>
      <c r="K1075">
        <f t="shared" si="291"/>
        <v>2.9811013995714442</v>
      </c>
      <c r="O1075">
        <f t="shared" si="292"/>
        <v>-0.26665034385535208</v>
      </c>
      <c r="P1075">
        <f t="shared" si="293"/>
        <v>4.316630391152234E-2</v>
      </c>
      <c r="Q1075">
        <f t="shared" si="294"/>
        <v>0.96282618593827229</v>
      </c>
      <c r="R1075">
        <f t="shared" si="284"/>
        <v>1</v>
      </c>
      <c r="AG1075" s="8">
        <f t="shared" si="288"/>
        <v>-0.81864692666962413</v>
      </c>
      <c r="AH1075" s="8">
        <f t="shared" si="289"/>
        <v>-0.26920373040271733</v>
      </c>
      <c r="AI1075" s="8">
        <f t="shared" si="290"/>
        <v>0.50729336777809364</v>
      </c>
      <c r="AJ1075" s="8"/>
      <c r="AK1075" s="8"/>
      <c r="AL1075" s="8"/>
      <c r="AN1075" s="8">
        <f t="shared" si="295"/>
        <v>1</v>
      </c>
      <c r="AO1075" s="8">
        <f t="shared" si="296"/>
        <v>3.4592936336999913</v>
      </c>
      <c r="AP1075" s="8">
        <f t="shared" si="297"/>
        <v>1.038755220607015</v>
      </c>
      <c r="AQ1075" s="8"/>
      <c r="AR1075" s="8">
        <f t="shared" si="298"/>
        <v>198.20292530748407</v>
      </c>
      <c r="AS1075" s="8">
        <f t="shared" si="299"/>
        <v>30.483709912037284</v>
      </c>
    </row>
    <row r="1076" spans="1:45">
      <c r="A1076" s="19">
        <v>43.843800000000002</v>
      </c>
      <c r="B1076" s="19">
        <v>532.08149939999998</v>
      </c>
      <c r="C1076" s="19">
        <v>470.8151264</v>
      </c>
      <c r="E1076" s="9">
        <f t="shared" si="285"/>
        <v>-427.91850060000002</v>
      </c>
      <c r="F1076" s="9">
        <f t="shared" si="286"/>
        <v>69.184873600000003</v>
      </c>
      <c r="I1076">
        <v>1</v>
      </c>
      <c r="J1076">
        <f t="shared" si="287"/>
        <v>0.27385656378402123</v>
      </c>
      <c r="K1076">
        <f t="shared" si="291"/>
        <v>2.9813020101798928</v>
      </c>
      <c r="O1076">
        <f t="shared" si="292"/>
        <v>-0.26697941982198542</v>
      </c>
      <c r="P1076">
        <f t="shared" si="293"/>
        <v>4.316461519725516E-2</v>
      </c>
      <c r="Q1076">
        <f t="shared" si="294"/>
        <v>0.9627350650030303</v>
      </c>
      <c r="R1076">
        <f t="shared" si="284"/>
        <v>1</v>
      </c>
      <c r="AG1076" s="8">
        <f t="shared" si="288"/>
        <v>-0.81880013065165225</v>
      </c>
      <c r="AH1076" s="8">
        <f t="shared" si="289"/>
        <v>-0.26891312503073073</v>
      </c>
      <c r="AI1076" s="8">
        <f t="shared" si="290"/>
        <v>0.507200233863357</v>
      </c>
      <c r="AJ1076" s="8"/>
      <c r="AK1076" s="8"/>
      <c r="AL1076" s="8"/>
      <c r="AN1076" s="8">
        <f t="shared" si="295"/>
        <v>1.0000000000000002</v>
      </c>
      <c r="AO1076" s="8">
        <f t="shared" si="296"/>
        <v>3.458917780691579</v>
      </c>
      <c r="AP1076" s="8">
        <f t="shared" si="297"/>
        <v>1.038863289560775</v>
      </c>
      <c r="AQ1076" s="8"/>
      <c r="AR1076" s="8">
        <f t="shared" si="298"/>
        <v>198.18139051638474</v>
      </c>
      <c r="AS1076" s="8">
        <f t="shared" si="299"/>
        <v>30.477518017090439</v>
      </c>
    </row>
    <row r="1077" spans="1:45">
      <c r="A1077" s="19">
        <v>43.877166670000001</v>
      </c>
      <c r="B1077" s="19">
        <v>531.57114190000004</v>
      </c>
      <c r="C1077" s="19">
        <v>470.64497119999999</v>
      </c>
      <c r="E1077" s="9">
        <f t="shared" si="285"/>
        <v>-428.42885809999996</v>
      </c>
      <c r="F1077" s="9">
        <f t="shared" si="286"/>
        <v>69.355028800000014</v>
      </c>
      <c r="I1077">
        <v>1</v>
      </c>
      <c r="J1077">
        <f t="shared" si="287"/>
        <v>0.27417834238274247</v>
      </c>
      <c r="K1077">
        <f t="shared" si="291"/>
        <v>2.9811026621314411</v>
      </c>
      <c r="O1077">
        <f t="shared" si="292"/>
        <v>-0.26727660240040679</v>
      </c>
      <c r="P1077">
        <f t="shared" si="293"/>
        <v>4.3267338571109135E-2</v>
      </c>
      <c r="Q1077">
        <f t="shared" si="294"/>
        <v>0.96264799133549739</v>
      </c>
      <c r="R1077">
        <f t="shared" si="284"/>
        <v>1</v>
      </c>
      <c r="AG1077" s="8">
        <f t="shared" si="288"/>
        <v>-0.81890134934548342</v>
      </c>
      <c r="AH1077" s="8">
        <f t="shared" si="289"/>
        <v>-0.26860295525577338</v>
      </c>
      <c r="AI1077" s="8">
        <f t="shared" si="290"/>
        <v>0.50720117553887012</v>
      </c>
      <c r="AJ1077" s="8"/>
      <c r="AK1077" s="8"/>
      <c r="AL1077" s="8"/>
      <c r="AN1077" s="8">
        <f t="shared" si="295"/>
        <v>1.0000000000000002</v>
      </c>
      <c r="AO1077" s="8">
        <f t="shared" si="296"/>
        <v>3.4585392050450632</v>
      </c>
      <c r="AP1077" s="8">
        <f t="shared" si="297"/>
        <v>1.0388621969117209</v>
      </c>
      <c r="AQ1077" s="8"/>
      <c r="AR1077" s="8">
        <f t="shared" si="298"/>
        <v>198.15969972961295</v>
      </c>
      <c r="AS1077" s="8">
        <f t="shared" si="299"/>
        <v>30.47758062126973</v>
      </c>
    </row>
    <row r="1078" spans="1:45">
      <c r="A1078" s="19">
        <v>43.91053333</v>
      </c>
      <c r="B1078" s="19">
        <v>530.79086970000003</v>
      </c>
      <c r="C1078" s="19">
        <v>470.51389019999999</v>
      </c>
      <c r="E1078" s="9">
        <f t="shared" si="285"/>
        <v>-429.20913029999997</v>
      </c>
      <c r="F1078" s="9">
        <f t="shared" si="286"/>
        <v>69.486109800000008</v>
      </c>
      <c r="I1078">
        <v>1</v>
      </c>
      <c r="J1078">
        <f t="shared" si="287"/>
        <v>0.27465770897958114</v>
      </c>
      <c r="K1078">
        <f t="shared" si="291"/>
        <v>2.9810918352612834</v>
      </c>
      <c r="O1078">
        <f t="shared" si="292"/>
        <v>-0.26773163350879919</v>
      </c>
      <c r="P1078">
        <f t="shared" si="293"/>
        <v>4.33439746957913E-2</v>
      </c>
      <c r="Q1078">
        <f t="shared" si="294"/>
        <v>0.96251808932418548</v>
      </c>
      <c r="R1078">
        <f t="shared" si="284"/>
        <v>1</v>
      </c>
      <c r="AG1078" s="8">
        <f t="shared" si="288"/>
        <v>-0.81908486876015285</v>
      </c>
      <c r="AH1078" s="8">
        <f t="shared" si="289"/>
        <v>-0.26816482156637511</v>
      </c>
      <c r="AI1078" s="8">
        <f t="shared" si="290"/>
        <v>0.50713667412487284</v>
      </c>
      <c r="AJ1078" s="8"/>
      <c r="AK1078" s="8"/>
      <c r="AL1078" s="8"/>
      <c r="AN1078" s="8">
        <f t="shared" si="295"/>
        <v>1.0000000000000002</v>
      </c>
      <c r="AO1078" s="8">
        <f t="shared" si="296"/>
        <v>3.4579898064035448</v>
      </c>
      <c r="AP1078" s="8">
        <f t="shared" si="297"/>
        <v>1.038937037850733</v>
      </c>
      <c r="AQ1078" s="8"/>
      <c r="AR1078" s="8">
        <f t="shared" si="298"/>
        <v>198.12822150618373</v>
      </c>
      <c r="AS1078" s="8">
        <f t="shared" si="299"/>
        <v>30.473292551329536</v>
      </c>
    </row>
    <row r="1079" spans="1:45">
      <c r="A1079" s="19">
        <v>43.943899999999999</v>
      </c>
      <c r="B1079" s="19">
        <v>530.69067359999997</v>
      </c>
      <c r="C1079" s="19">
        <v>470.46011970000001</v>
      </c>
      <c r="E1079" s="9">
        <f t="shared" si="285"/>
        <v>-429.30932640000003</v>
      </c>
      <c r="F1079" s="9">
        <f t="shared" si="286"/>
        <v>69.539880299999993</v>
      </c>
      <c r="I1079">
        <v>1</v>
      </c>
      <c r="J1079">
        <f t="shared" si="287"/>
        <v>0.27472283346479626</v>
      </c>
      <c r="K1079">
        <f t="shared" si="291"/>
        <v>2.9810066055809092</v>
      </c>
      <c r="O1079">
        <f t="shared" si="292"/>
        <v>-0.26778981476878366</v>
      </c>
      <c r="P1079">
        <f t="shared" si="293"/>
        <v>4.3376816014543441E-2</v>
      </c>
      <c r="Q1079">
        <f t="shared" si="294"/>
        <v>0.96250042438356409</v>
      </c>
      <c r="R1079">
        <f t="shared" si="284"/>
        <v>1</v>
      </c>
      <c r="AG1079" s="8">
        <f t="shared" si="288"/>
        <v>-0.81910012678338406</v>
      </c>
      <c r="AH1079" s="8">
        <f t="shared" si="289"/>
        <v>-0.26809825207288451</v>
      </c>
      <c r="AI1079" s="8">
        <f t="shared" si="290"/>
        <v>0.50714722668955625</v>
      </c>
      <c r="AJ1079" s="8"/>
      <c r="AK1079" s="8"/>
      <c r="AL1079" s="8"/>
      <c r="AN1079" s="8">
        <f t="shared" si="295"/>
        <v>1</v>
      </c>
      <c r="AO1079" s="8">
        <f t="shared" si="296"/>
        <v>3.4579108925986723</v>
      </c>
      <c r="AP1079" s="8">
        <f t="shared" si="297"/>
        <v>1.0389247939438877</v>
      </c>
      <c r="AQ1079" s="8"/>
      <c r="AR1079" s="8">
        <f t="shared" si="298"/>
        <v>198.12370007821923</v>
      </c>
      <c r="AS1079" s="8">
        <f t="shared" si="299"/>
        <v>30.473994075516522</v>
      </c>
    </row>
    <row r="1080" spans="1:45">
      <c r="A1080" s="19">
        <v>43.977266669999999</v>
      </c>
      <c r="B1080" s="19">
        <v>530.19524920000003</v>
      </c>
      <c r="C1080" s="19">
        <v>470.28206219999998</v>
      </c>
      <c r="E1080" s="9">
        <f t="shared" si="285"/>
        <v>-429.80475079999997</v>
      </c>
      <c r="F1080" s="9">
        <f t="shared" si="286"/>
        <v>69.717937800000016</v>
      </c>
      <c r="I1080">
        <v>1</v>
      </c>
      <c r="J1080">
        <f t="shared" si="287"/>
        <v>0.27503631840968573</v>
      </c>
      <c r="K1080">
        <f t="shared" si="291"/>
        <v>2.9807848673146471</v>
      </c>
      <c r="O1080">
        <f t="shared" si="292"/>
        <v>-0.26807801328312703</v>
      </c>
      <c r="P1080">
        <f t="shared" si="293"/>
        <v>4.3484503651560515E-2</v>
      </c>
      <c r="Q1080">
        <f t="shared" si="294"/>
        <v>0.96241533484060249</v>
      </c>
      <c r="R1080">
        <f t="shared" si="284"/>
        <v>1</v>
      </c>
      <c r="AG1080" s="8">
        <f t="shared" si="288"/>
        <v>-0.81919522081732365</v>
      </c>
      <c r="AH1080" s="8">
        <f t="shared" si="289"/>
        <v>-0.26779362388063277</v>
      </c>
      <c r="AI1080" s="8">
        <f t="shared" si="290"/>
        <v>0.50715457722368495</v>
      </c>
      <c r="AJ1080" s="8"/>
      <c r="AK1080" s="8"/>
      <c r="AL1080" s="8"/>
      <c r="AN1080" s="8">
        <f t="shared" si="295"/>
        <v>1</v>
      </c>
      <c r="AO1080" s="8">
        <f t="shared" si="296"/>
        <v>3.4575406498741375</v>
      </c>
      <c r="AP1080" s="8">
        <f t="shared" si="297"/>
        <v>1.0389162652299797</v>
      </c>
      <c r="AQ1080" s="8"/>
      <c r="AR1080" s="8">
        <f t="shared" si="298"/>
        <v>198.10248673270794</v>
      </c>
      <c r="AS1080" s="8">
        <f t="shared" si="299"/>
        <v>30.474482734828129</v>
      </c>
    </row>
    <row r="1081" spans="1:45">
      <c r="A1081" s="19">
        <v>44.010633329999997</v>
      </c>
      <c r="B1081" s="19">
        <v>529.01080779999995</v>
      </c>
      <c r="C1081" s="19">
        <v>470.11150800000001</v>
      </c>
      <c r="E1081" s="9">
        <f t="shared" si="285"/>
        <v>-430.98919220000005</v>
      </c>
      <c r="F1081" s="9">
        <f t="shared" si="286"/>
        <v>69.888491999999985</v>
      </c>
      <c r="I1081">
        <v>1</v>
      </c>
      <c r="J1081">
        <f t="shared" si="287"/>
        <v>0.2757608571451956</v>
      </c>
      <c r="K1081">
        <f t="shared" si="291"/>
        <v>2.9808336371150479</v>
      </c>
      <c r="O1081">
        <f t="shared" si="292"/>
        <v>-0.26876837943181736</v>
      </c>
      <c r="P1081">
        <f t="shared" si="293"/>
        <v>4.3583034274921995E-2</v>
      </c>
      <c r="Q1081">
        <f t="shared" si="294"/>
        <v>0.9622183106452431</v>
      </c>
      <c r="R1081">
        <f t="shared" si="284"/>
        <v>1</v>
      </c>
      <c r="AG1081" s="8">
        <f t="shared" si="288"/>
        <v>-0.81947945847263159</v>
      </c>
      <c r="AH1081" s="8">
        <f t="shared" si="289"/>
        <v>-0.26713663594450338</v>
      </c>
      <c r="AI1081" s="8">
        <f t="shared" si="290"/>
        <v>0.50704184726475621</v>
      </c>
      <c r="AJ1081" s="8"/>
      <c r="AK1081" s="8"/>
      <c r="AL1081" s="8"/>
      <c r="AN1081" s="8">
        <f t="shared" si="295"/>
        <v>1</v>
      </c>
      <c r="AO1081" s="8">
        <f t="shared" si="296"/>
        <v>3.4567136762949784</v>
      </c>
      <c r="AP1081" s="8">
        <f t="shared" si="297"/>
        <v>1.0390470593967143</v>
      </c>
      <c r="AQ1081" s="8"/>
      <c r="AR1081" s="8">
        <f t="shared" si="298"/>
        <v>198.05510463685332</v>
      </c>
      <c r="AS1081" s="8">
        <f t="shared" si="299"/>
        <v>30.466988781089306</v>
      </c>
    </row>
    <row r="1082" spans="1:45">
      <c r="A1082" s="19">
        <v>44.043999999999997</v>
      </c>
      <c r="B1082" s="19">
        <v>528.7749566</v>
      </c>
      <c r="C1082" s="19">
        <v>470.37547139999998</v>
      </c>
      <c r="E1082" s="9">
        <f t="shared" si="285"/>
        <v>-431.2250434</v>
      </c>
      <c r="F1082" s="9">
        <f t="shared" si="286"/>
        <v>69.624528600000019</v>
      </c>
      <c r="I1082">
        <v>1</v>
      </c>
      <c r="J1082">
        <f t="shared" si="287"/>
        <v>0.2758762882798339</v>
      </c>
      <c r="K1082">
        <f t="shared" si="291"/>
        <v>2.9815165708625226</v>
      </c>
      <c r="O1082">
        <f t="shared" si="292"/>
        <v>-0.26890772922653855</v>
      </c>
      <c r="P1082">
        <f t="shared" si="293"/>
        <v>4.3417176647895475E-2</v>
      </c>
      <c r="Q1082">
        <f t="shared" si="294"/>
        <v>0.96218687474635201</v>
      </c>
      <c r="R1082">
        <f t="shared" si="284"/>
        <v>1</v>
      </c>
      <c r="AG1082" s="8">
        <f t="shared" si="288"/>
        <v>-0.81960287061886417</v>
      </c>
      <c r="AH1082" s="8">
        <f t="shared" si="289"/>
        <v>-0.26708896940445753</v>
      </c>
      <c r="AI1082" s="8">
        <f t="shared" si="290"/>
        <v>0.50686745495817975</v>
      </c>
      <c r="AJ1082" s="8"/>
      <c r="AK1082" s="8"/>
      <c r="AL1082" s="8"/>
      <c r="AN1082" s="8">
        <f t="shared" si="295"/>
        <v>1.0000000000000002</v>
      </c>
      <c r="AO1082" s="8">
        <f t="shared" si="296"/>
        <v>3.4566167315440093</v>
      </c>
      <c r="AP1082" s="8">
        <f t="shared" si="297"/>
        <v>1.0392493770591695</v>
      </c>
      <c r="AQ1082" s="8"/>
      <c r="AR1082" s="8">
        <f t="shared" si="298"/>
        <v>198.04955011177682</v>
      </c>
      <c r="AS1082" s="8">
        <f t="shared" si="299"/>
        <v>30.45539683290967</v>
      </c>
    </row>
    <row r="1083" spans="1:45">
      <c r="A1083" s="19">
        <v>44.077366670000004</v>
      </c>
      <c r="B1083" s="19">
        <v>528.08333330000005</v>
      </c>
      <c r="C1083" s="19">
        <v>470</v>
      </c>
      <c r="E1083" s="9">
        <f t="shared" si="285"/>
        <v>-431.91666669999995</v>
      </c>
      <c r="F1083" s="9">
        <f t="shared" si="286"/>
        <v>70</v>
      </c>
      <c r="I1083">
        <v>1</v>
      </c>
      <c r="J1083">
        <f t="shared" si="287"/>
        <v>0.27632587651072027</v>
      </c>
      <c r="K1083">
        <f t="shared" si="291"/>
        <v>2.9809213712785265</v>
      </c>
      <c r="O1083">
        <f t="shared" si="292"/>
        <v>-0.26930882873354173</v>
      </c>
      <c r="P1083">
        <f t="shared" si="293"/>
        <v>4.3646424101623893E-2</v>
      </c>
      <c r="Q1083">
        <f t="shared" si="294"/>
        <v>0.96206431408160498</v>
      </c>
      <c r="R1083">
        <f t="shared" si="284"/>
        <v>1</v>
      </c>
      <c r="AG1083" s="8">
        <f t="shared" si="288"/>
        <v>-0.81970660321454991</v>
      </c>
      <c r="AH1083" s="8">
        <f t="shared" si="289"/>
        <v>-0.26662841318315422</v>
      </c>
      <c r="AI1083" s="8">
        <f t="shared" si="290"/>
        <v>0.50694218006583136</v>
      </c>
      <c r="AJ1083" s="8"/>
      <c r="AK1083" s="8"/>
      <c r="AL1083" s="8"/>
      <c r="AN1083" s="8">
        <f t="shared" si="295"/>
        <v>1</v>
      </c>
      <c r="AO1083" s="8">
        <f t="shared" si="296"/>
        <v>3.4560714379372861</v>
      </c>
      <c r="AP1083" s="8">
        <f t="shared" si="297"/>
        <v>1.0391626892037074</v>
      </c>
      <c r="AQ1083" s="8"/>
      <c r="AR1083" s="8">
        <f t="shared" si="298"/>
        <v>198.01830708951613</v>
      </c>
      <c r="AS1083" s="8">
        <f t="shared" si="299"/>
        <v>30.46036368116269</v>
      </c>
    </row>
    <row r="1084" spans="1:45">
      <c r="A1084" s="19">
        <v>44.110733330000002</v>
      </c>
      <c r="B1084" s="19">
        <v>527.23631739999996</v>
      </c>
      <c r="C1084" s="19">
        <v>469.99044320000002</v>
      </c>
      <c r="E1084" s="9">
        <f t="shared" si="285"/>
        <v>-432.76368260000004</v>
      </c>
      <c r="F1084" s="9">
        <f t="shared" si="286"/>
        <v>70.009556799999984</v>
      </c>
      <c r="I1084">
        <v>1</v>
      </c>
      <c r="J1084">
        <f t="shared" si="287"/>
        <v>0.27683281066660348</v>
      </c>
      <c r="K1084">
        <f t="shared" si="291"/>
        <v>2.9812089523283758</v>
      </c>
      <c r="O1084">
        <f t="shared" si="292"/>
        <v>-0.26980277897188665</v>
      </c>
      <c r="P1084">
        <f t="shared" si="293"/>
        <v>4.3646853325926868E-2</v>
      </c>
      <c r="Q1084">
        <f t="shared" si="294"/>
        <v>0.96192588729786888</v>
      </c>
      <c r="R1084">
        <f t="shared" si="284"/>
        <v>1</v>
      </c>
      <c r="AG1084" s="8">
        <f t="shared" si="288"/>
        <v>-0.81993447289894505</v>
      </c>
      <c r="AH1084" s="8">
        <f t="shared" si="289"/>
        <v>-0.26619008462813998</v>
      </c>
      <c r="AI1084" s="8">
        <f t="shared" si="290"/>
        <v>0.50680400452008345</v>
      </c>
      <c r="AJ1084" s="8"/>
      <c r="AK1084" s="8"/>
      <c r="AL1084" s="8"/>
      <c r="AN1084" s="8">
        <f t="shared" si="295"/>
        <v>1</v>
      </c>
      <c r="AO1084" s="8">
        <f t="shared" si="296"/>
        <v>3.4555061454281031</v>
      </c>
      <c r="AP1084" s="8">
        <f t="shared" si="297"/>
        <v>1.0393229818136276</v>
      </c>
      <c r="AQ1084" s="8"/>
      <c r="AR1084" s="8">
        <f t="shared" si="298"/>
        <v>197.98591821454957</v>
      </c>
      <c r="AS1084" s="8">
        <f t="shared" si="299"/>
        <v>30.451179591127122</v>
      </c>
    </row>
    <row r="1085" spans="1:45">
      <c r="A1085" s="19">
        <v>44.144100000000002</v>
      </c>
      <c r="B1085" s="19">
        <v>527.05163649999997</v>
      </c>
      <c r="C1085" s="19">
        <v>469.94455770000002</v>
      </c>
      <c r="E1085" s="9">
        <f t="shared" si="285"/>
        <v>-432.94836350000003</v>
      </c>
      <c r="F1085" s="9">
        <f t="shared" si="286"/>
        <v>70.055442299999982</v>
      </c>
      <c r="I1085">
        <v>1</v>
      </c>
      <c r="J1085">
        <f t="shared" si="287"/>
        <v>0.27694755790158115</v>
      </c>
      <c r="K1085">
        <f t="shared" si="291"/>
        <v>2.9811729186756817</v>
      </c>
      <c r="O1085">
        <f t="shared" si="292"/>
        <v>-0.26991016537857015</v>
      </c>
      <c r="P1085">
        <f t="shared" si="293"/>
        <v>4.3674206004619472E-2</v>
      </c>
      <c r="Q1085">
        <f t="shared" si="294"/>
        <v>0.96189451934979808</v>
      </c>
      <c r="R1085">
        <f t="shared" si="284"/>
        <v>1</v>
      </c>
      <c r="AG1085" s="8">
        <f t="shared" si="288"/>
        <v>-0.81997428631014169</v>
      </c>
      <c r="AH1085" s="8">
        <f t="shared" si="289"/>
        <v>-0.2660822986698681</v>
      </c>
      <c r="AI1085" s="8">
        <f t="shared" si="290"/>
        <v>0.50679619190038616</v>
      </c>
      <c r="AJ1085" s="8"/>
      <c r="AK1085" s="8"/>
      <c r="AL1085" s="8"/>
      <c r="AN1085" s="8">
        <f t="shared" si="295"/>
        <v>1</v>
      </c>
      <c r="AO1085" s="8">
        <f t="shared" si="296"/>
        <v>3.4553729625296796</v>
      </c>
      <c r="AP1085" s="8">
        <f t="shared" si="297"/>
        <v>1.0393320445088219</v>
      </c>
      <c r="AQ1085" s="8"/>
      <c r="AR1085" s="8">
        <f t="shared" si="298"/>
        <v>197.9782873965666</v>
      </c>
      <c r="AS1085" s="8">
        <f t="shared" si="299"/>
        <v>30.450660336941475</v>
      </c>
    </row>
    <row r="1086" spans="1:45">
      <c r="A1086" s="19">
        <v>44.177466670000001</v>
      </c>
      <c r="B1086" s="19">
        <v>526.7962632</v>
      </c>
      <c r="C1086" s="19">
        <v>469.89521610000003</v>
      </c>
      <c r="E1086" s="9">
        <f t="shared" si="285"/>
        <v>-433.2037368</v>
      </c>
      <c r="F1086" s="9">
        <f t="shared" si="286"/>
        <v>70.104783899999973</v>
      </c>
      <c r="I1086">
        <v>1</v>
      </c>
      <c r="J1086">
        <f t="shared" si="287"/>
        <v>0.27710485351740388</v>
      </c>
      <c r="K1086">
        <f t="shared" si="291"/>
        <v>2.9811548787402322</v>
      </c>
      <c r="O1086">
        <f t="shared" si="292"/>
        <v>-0.27005873280408754</v>
      </c>
      <c r="P1086">
        <f t="shared" si="293"/>
        <v>4.3703245136777397E-2</v>
      </c>
      <c r="Q1086">
        <f t="shared" si="294"/>
        <v>0.96185149955737204</v>
      </c>
      <c r="R1086">
        <f t="shared" si="284"/>
        <v>1</v>
      </c>
      <c r="AG1086" s="8">
        <f t="shared" si="288"/>
        <v>-0.82003248519517546</v>
      </c>
      <c r="AH1086" s="8">
        <f t="shared" si="289"/>
        <v>-0.26593719530365106</v>
      </c>
      <c r="AI1086" s="8">
        <f t="shared" si="290"/>
        <v>0.50677818755215998</v>
      </c>
      <c r="AJ1086" s="8"/>
      <c r="AK1086" s="8"/>
      <c r="AL1086" s="8"/>
      <c r="AN1086" s="8">
        <f t="shared" si="295"/>
        <v>1.0000000000000002</v>
      </c>
      <c r="AO1086" s="8">
        <f t="shared" si="296"/>
        <v>3.4551920250428378</v>
      </c>
      <c r="AP1086" s="8">
        <f t="shared" si="297"/>
        <v>1.0393529294987651</v>
      </c>
      <c r="AQ1086" s="8"/>
      <c r="AR1086" s="8">
        <f t="shared" si="298"/>
        <v>197.96792044221485</v>
      </c>
      <c r="AS1086" s="8">
        <f t="shared" si="299"/>
        <v>30.449463715162558</v>
      </c>
    </row>
    <row r="1087" spans="1:45">
      <c r="A1087" s="19">
        <v>44.21083333</v>
      </c>
      <c r="B1087" s="19">
        <v>526.29517810000004</v>
      </c>
      <c r="C1087" s="19">
        <v>469.86762110000001</v>
      </c>
      <c r="E1087" s="9">
        <f t="shared" si="285"/>
        <v>-433.70482189999996</v>
      </c>
      <c r="F1087" s="9">
        <f t="shared" si="286"/>
        <v>70.132378899999992</v>
      </c>
      <c r="I1087">
        <v>1</v>
      </c>
      <c r="J1087">
        <f t="shared" si="287"/>
        <v>0.27740676810211679</v>
      </c>
      <c r="K1087">
        <f t="shared" si="291"/>
        <v>2.9812750774218424</v>
      </c>
      <c r="O1087">
        <f t="shared" si="292"/>
        <v>-0.27035064474302745</v>
      </c>
      <c r="P1087">
        <f t="shared" si="293"/>
        <v>4.3717138697962218E-2</v>
      </c>
      <c r="Q1087">
        <f t="shared" si="294"/>
        <v>0.96176886031472886</v>
      </c>
      <c r="R1087">
        <f t="shared" si="284"/>
        <v>1</v>
      </c>
      <c r="AG1087" s="8">
        <f t="shared" si="288"/>
        <v>-0.82016215000816495</v>
      </c>
      <c r="AH1087" s="8">
        <f t="shared" si="289"/>
        <v>-0.26567180498908582</v>
      </c>
      <c r="AI1087" s="8">
        <f t="shared" si="290"/>
        <v>0.50670754852066846</v>
      </c>
      <c r="AJ1087" s="8"/>
      <c r="AK1087" s="8"/>
      <c r="AL1087" s="8"/>
      <c r="AN1087" s="8">
        <f t="shared" si="295"/>
        <v>1</v>
      </c>
      <c r="AO1087" s="8">
        <f t="shared" si="296"/>
        <v>3.4548528062266062</v>
      </c>
      <c r="AP1087" s="8">
        <f t="shared" si="297"/>
        <v>1.0394348680870891</v>
      </c>
      <c r="AQ1087" s="8"/>
      <c r="AR1087" s="8">
        <f t="shared" si="298"/>
        <v>197.94848463571336</v>
      </c>
      <c r="AS1087" s="8">
        <f t="shared" si="299"/>
        <v>30.444768979872336</v>
      </c>
    </row>
    <row r="1088" spans="1:45">
      <c r="A1088" s="19">
        <v>44.244199999999999</v>
      </c>
      <c r="B1088" s="19">
        <v>525.68053680000003</v>
      </c>
      <c r="C1088" s="19">
        <v>469.71680789999999</v>
      </c>
      <c r="E1088" s="9">
        <f t="shared" si="285"/>
        <v>-434.31946319999997</v>
      </c>
      <c r="F1088" s="9">
        <f t="shared" si="286"/>
        <v>70.283192100000008</v>
      </c>
      <c r="I1088">
        <v>1</v>
      </c>
      <c r="J1088">
        <f t="shared" si="287"/>
        <v>0.27778833246934992</v>
      </c>
      <c r="K1088">
        <f t="shared" si="291"/>
        <v>2.9811596989107145</v>
      </c>
      <c r="O1088">
        <f t="shared" si="292"/>
        <v>-0.27070784332615982</v>
      </c>
      <c r="P1088">
        <f t="shared" si="293"/>
        <v>4.3806950799043155E-2</v>
      </c>
      <c r="Q1088">
        <f t="shared" si="294"/>
        <v>0.96166429413979471</v>
      </c>
      <c r="R1088">
        <f t="shared" si="284"/>
        <v>1</v>
      </c>
      <c r="AG1088" s="8">
        <f t="shared" si="288"/>
        <v>-0.82029480603547433</v>
      </c>
      <c r="AH1088" s="8">
        <f t="shared" si="289"/>
        <v>-0.26531367145196211</v>
      </c>
      <c r="AI1088" s="8">
        <f t="shared" si="290"/>
        <v>0.50668045840737141</v>
      </c>
      <c r="AJ1088" s="8"/>
      <c r="AK1088" s="8"/>
      <c r="AL1088" s="8"/>
      <c r="AN1088" s="8">
        <f t="shared" si="295"/>
        <v>1.0000000000000002</v>
      </c>
      <c r="AO1088" s="8">
        <f t="shared" si="296"/>
        <v>3.4544102019917666</v>
      </c>
      <c r="AP1088" s="8">
        <f t="shared" si="297"/>
        <v>1.0394662905407277</v>
      </c>
      <c r="AQ1088" s="8"/>
      <c r="AR1088" s="8">
        <f t="shared" si="298"/>
        <v>197.92312528106243</v>
      </c>
      <c r="AS1088" s="8">
        <f t="shared" si="299"/>
        <v>30.442968605896894</v>
      </c>
    </row>
    <row r="1089" spans="1:45">
      <c r="A1089" s="19">
        <v>44.277566669999999</v>
      </c>
      <c r="B1089" s="19">
        <v>525.25754199999994</v>
      </c>
      <c r="C1089" s="19">
        <v>469.48181979999998</v>
      </c>
      <c r="E1089" s="9">
        <f t="shared" si="285"/>
        <v>-434.74245800000006</v>
      </c>
      <c r="F1089" s="9">
        <f t="shared" si="286"/>
        <v>70.518180200000018</v>
      </c>
      <c r="I1089">
        <v>1</v>
      </c>
      <c r="J1089">
        <f t="shared" si="287"/>
        <v>0.27806357231158485</v>
      </c>
      <c r="K1089">
        <f t="shared" si="291"/>
        <v>2.9807864253109706</v>
      </c>
      <c r="O1089">
        <f t="shared" si="292"/>
        <v>-0.27095273568863198</v>
      </c>
      <c r="P1089">
        <f t="shared" si="293"/>
        <v>4.3950374501893971E-2</v>
      </c>
      <c r="Q1089">
        <f t="shared" si="294"/>
        <v>0.96158877884675298</v>
      </c>
      <c r="R1089">
        <f t="shared" si="284"/>
        <v>1</v>
      </c>
      <c r="AG1089" s="8">
        <f t="shared" si="288"/>
        <v>-0.82035654868484698</v>
      </c>
      <c r="AH1089" s="8">
        <f t="shared" si="289"/>
        <v>-0.2650306289251434</v>
      </c>
      <c r="AI1089" s="8">
        <f t="shared" si="290"/>
        <v>0.50672862437544341</v>
      </c>
      <c r="AJ1089" s="8"/>
      <c r="AK1089" s="8"/>
      <c r="AL1089" s="8"/>
      <c r="AN1089" s="8">
        <f t="shared" si="295"/>
        <v>1</v>
      </c>
      <c r="AO1089" s="8">
        <f t="shared" si="296"/>
        <v>3.4540757797666868</v>
      </c>
      <c r="AP1089" s="8">
        <f t="shared" si="297"/>
        <v>1.0394104213106743</v>
      </c>
      <c r="AQ1089" s="8"/>
      <c r="AR1089" s="8">
        <f t="shared" si="298"/>
        <v>197.90396429898999</v>
      </c>
      <c r="AS1089" s="8">
        <f t="shared" si="299"/>
        <v>30.446169676983601</v>
      </c>
    </row>
    <row r="1090" spans="1:45">
      <c r="A1090" s="19">
        <v>44.310933329999997</v>
      </c>
      <c r="B1090" s="19">
        <v>524.82642039999996</v>
      </c>
      <c r="C1090" s="19">
        <v>469.12339930000002</v>
      </c>
      <c r="E1090" s="9">
        <f t="shared" si="285"/>
        <v>-435.17357960000004</v>
      </c>
      <c r="F1090" s="9">
        <f t="shared" si="286"/>
        <v>70.876600699999983</v>
      </c>
      <c r="I1090">
        <v>1</v>
      </c>
      <c r="J1090">
        <f t="shared" si="287"/>
        <v>0.27835564484185388</v>
      </c>
      <c r="K1090">
        <f t="shared" si="291"/>
        <v>2.9801405582307279</v>
      </c>
      <c r="O1090">
        <f t="shared" si="292"/>
        <v>-0.2712014826545886</v>
      </c>
      <c r="P1090">
        <f t="shared" si="293"/>
        <v>4.4170510565061105E-2</v>
      </c>
      <c r="Q1090">
        <f t="shared" si="294"/>
        <v>0.96150856564170795</v>
      </c>
      <c r="R1090">
        <f t="shared" si="284"/>
        <v>1</v>
      </c>
      <c r="AG1090" s="8">
        <f t="shared" si="288"/>
        <v>-0.82039267634945945</v>
      </c>
      <c r="AH1090" s="8">
        <f t="shared" si="289"/>
        <v>-0.2647089959675768</v>
      </c>
      <c r="AI1090" s="8">
        <f t="shared" si="290"/>
        <v>0.50683824248571507</v>
      </c>
      <c r="AJ1090" s="8"/>
      <c r="AK1090" s="8"/>
      <c r="AL1090" s="8"/>
      <c r="AN1090" s="8">
        <f t="shared" si="295"/>
        <v>1</v>
      </c>
      <c r="AO1090" s="8">
        <f t="shared" si="296"/>
        <v>3.453707857964436</v>
      </c>
      <c r="AP1090" s="8">
        <f t="shared" si="297"/>
        <v>1.0392832649570716</v>
      </c>
      <c r="AQ1090" s="8"/>
      <c r="AR1090" s="8">
        <f t="shared" si="298"/>
        <v>197.88288393253018</v>
      </c>
      <c r="AS1090" s="8">
        <f t="shared" si="299"/>
        <v>30.453455199383313</v>
      </c>
    </row>
    <row r="1091" spans="1:45">
      <c r="A1091" s="19">
        <v>44.344299999999997</v>
      </c>
      <c r="B1091" s="19">
        <v>524.15332469999998</v>
      </c>
      <c r="C1091" s="19">
        <v>469.00214310000001</v>
      </c>
      <c r="E1091" s="9">
        <f t="shared" si="285"/>
        <v>-435.84667530000002</v>
      </c>
      <c r="F1091" s="9">
        <f t="shared" si="286"/>
        <v>70.997856899999988</v>
      </c>
      <c r="I1091">
        <v>1</v>
      </c>
      <c r="J1091">
        <f t="shared" si="287"/>
        <v>0.27876905051791961</v>
      </c>
      <c r="K1091">
        <f t="shared" si="291"/>
        <v>2.9801145657690533</v>
      </c>
      <c r="O1091">
        <f t="shared" si="292"/>
        <v>-0.27159263327595673</v>
      </c>
      <c r="P1091">
        <f t="shared" si="293"/>
        <v>4.4241463810979258E-2</v>
      </c>
      <c r="Q1091">
        <f t="shared" si="294"/>
        <v>0.96139488995422351</v>
      </c>
      <c r="R1091">
        <f t="shared" si="284"/>
        <v>1</v>
      </c>
      <c r="AG1091" s="8">
        <f t="shared" si="288"/>
        <v>-0.82054740831011364</v>
      </c>
      <c r="AH1091" s="8">
        <f t="shared" si="289"/>
        <v>-0.26432914821352177</v>
      </c>
      <c r="AI1091" s="8">
        <f t="shared" si="290"/>
        <v>0.50678600229314719</v>
      </c>
      <c r="AJ1091" s="8"/>
      <c r="AK1091" s="8"/>
      <c r="AL1091" s="8"/>
      <c r="AN1091" s="8">
        <f t="shared" si="295"/>
        <v>1</v>
      </c>
      <c r="AO1091" s="8">
        <f t="shared" si="296"/>
        <v>3.4532334082340963</v>
      </c>
      <c r="AP1091" s="8">
        <f t="shared" si="297"/>
        <v>1.0393438644541526</v>
      </c>
      <c r="AQ1091" s="8"/>
      <c r="AR1091" s="8">
        <f t="shared" si="298"/>
        <v>197.85569996539058</v>
      </c>
      <c r="AS1091" s="8">
        <f t="shared" si="299"/>
        <v>30.449983103959951</v>
      </c>
    </row>
    <row r="1092" spans="1:45">
      <c r="A1092" s="19">
        <v>44.377666670000004</v>
      </c>
      <c r="B1092" s="19">
        <v>523.56562480000002</v>
      </c>
      <c r="C1092" s="19">
        <v>468.9055864</v>
      </c>
      <c r="E1092" s="9">
        <f t="shared" si="285"/>
        <v>-436.43437519999998</v>
      </c>
      <c r="F1092" s="9">
        <f t="shared" si="286"/>
        <v>71.094413599999996</v>
      </c>
      <c r="I1092">
        <v>1</v>
      </c>
      <c r="J1092">
        <f t="shared" si="287"/>
        <v>0.27912902695870068</v>
      </c>
      <c r="K1092">
        <f t="shared" si="291"/>
        <v>2.9801127298978241</v>
      </c>
      <c r="O1092">
        <f t="shared" si="292"/>
        <v>-0.2719341116124247</v>
      </c>
      <c r="P1092">
        <f t="shared" si="293"/>
        <v>4.4297601888171168E-2</v>
      </c>
      <c r="Q1092">
        <f t="shared" si="294"/>
        <v>0.96129577207460892</v>
      </c>
      <c r="R1092">
        <f t="shared" si="284"/>
        <v>1</v>
      </c>
      <c r="AG1092" s="8">
        <f t="shared" si="288"/>
        <v>-0.82068446004640294</v>
      </c>
      <c r="AH1092" s="8">
        <f t="shared" si="289"/>
        <v>-0.26400012214377411</v>
      </c>
      <c r="AI1092" s="8">
        <f t="shared" si="290"/>
        <v>0.50673558444855304</v>
      </c>
      <c r="AJ1092" s="8"/>
      <c r="AK1092" s="8"/>
      <c r="AL1092" s="8"/>
      <c r="AN1092" s="8">
        <f t="shared" si="295"/>
        <v>1.0000000000000002</v>
      </c>
      <c r="AO1092" s="8">
        <f t="shared" si="296"/>
        <v>3.4528213913538113</v>
      </c>
      <c r="AP1092" s="8">
        <f t="shared" si="297"/>
        <v>1.0394023479499901</v>
      </c>
      <c r="AQ1092" s="8"/>
      <c r="AR1092" s="8">
        <f t="shared" si="298"/>
        <v>197.83209313706209</v>
      </c>
      <c r="AS1092" s="8">
        <f t="shared" si="299"/>
        <v>30.446632246477293</v>
      </c>
    </row>
    <row r="1093" spans="1:45">
      <c r="A1093" s="19">
        <v>44.411033330000002</v>
      </c>
      <c r="B1093" s="19">
        <v>523.0442438</v>
      </c>
      <c r="C1093" s="19">
        <v>468.96268149999997</v>
      </c>
      <c r="E1093" s="9">
        <f t="shared" si="285"/>
        <v>-436.9557562</v>
      </c>
      <c r="F1093" s="9">
        <f t="shared" si="286"/>
        <v>71.037318500000026</v>
      </c>
      <c r="I1093">
        <v>1</v>
      </c>
      <c r="J1093">
        <f t="shared" si="287"/>
        <v>0.27943446787864773</v>
      </c>
      <c r="K1093">
        <f t="shared" si="291"/>
        <v>2.9804293819040684</v>
      </c>
      <c r="O1093">
        <f t="shared" si="292"/>
        <v>-0.27223792635260841</v>
      </c>
      <c r="P1093">
        <f t="shared" si="293"/>
        <v>4.4258605150948205E-2</v>
      </c>
      <c r="Q1093">
        <f t="shared" si="294"/>
        <v>0.96121157261308721</v>
      </c>
      <c r="R1093">
        <f t="shared" si="284"/>
        <v>1</v>
      </c>
      <c r="AG1093" s="8">
        <f t="shared" si="288"/>
        <v>-0.82083801499043341</v>
      </c>
      <c r="AH1093" s="8">
        <f t="shared" si="289"/>
        <v>-0.26374805981780347</v>
      </c>
      <c r="AI1093" s="8">
        <f t="shared" si="290"/>
        <v>0.50661811464742301</v>
      </c>
      <c r="AJ1093" s="8"/>
      <c r="AK1093" s="8"/>
      <c r="AL1093" s="8"/>
      <c r="AN1093" s="8">
        <f t="shared" si="295"/>
        <v>1</v>
      </c>
      <c r="AO1093" s="8">
        <f t="shared" si="296"/>
        <v>3.4524885388079172</v>
      </c>
      <c r="AP1093" s="8">
        <f t="shared" si="297"/>
        <v>1.0395386023163429</v>
      </c>
      <c r="AQ1093" s="8"/>
      <c r="AR1093" s="8">
        <f t="shared" si="298"/>
        <v>197.81302209098217</v>
      </c>
      <c r="AS1093" s="8">
        <f t="shared" si="299"/>
        <v>30.438825446345049</v>
      </c>
    </row>
    <row r="1094" spans="1:45">
      <c r="A1094" s="19">
        <v>44.444400000000002</v>
      </c>
      <c r="B1094" s="19">
        <v>522.69072300000005</v>
      </c>
      <c r="C1094" s="19">
        <v>468.9813671</v>
      </c>
      <c r="E1094" s="9">
        <f t="shared" si="285"/>
        <v>-437.30927699999995</v>
      </c>
      <c r="F1094" s="9">
        <f t="shared" si="286"/>
        <v>71.0186329</v>
      </c>
      <c r="I1094">
        <v>1</v>
      </c>
      <c r="J1094">
        <f t="shared" si="287"/>
        <v>0.2796434971466023</v>
      </c>
      <c r="K1094">
        <f t="shared" si="291"/>
        <v>2.9805990550153241</v>
      </c>
      <c r="O1094">
        <f t="shared" si="292"/>
        <v>-0.27244374911646252</v>
      </c>
      <c r="P1094">
        <f t="shared" si="293"/>
        <v>4.4244619590820572E-2</v>
      </c>
      <c r="Q1094">
        <f t="shared" si="294"/>
        <v>0.96115389881362367</v>
      </c>
      <c r="R1094">
        <f t="shared" si="284"/>
        <v>1</v>
      </c>
      <c r="AG1094" s="8">
        <f t="shared" si="288"/>
        <v>-0.82093757141893853</v>
      </c>
      <c r="AH1094" s="8">
        <f t="shared" si="289"/>
        <v>-0.26357157385418617</v>
      </c>
      <c r="AI1094" s="8">
        <f t="shared" si="290"/>
        <v>0.50654864454344606</v>
      </c>
      <c r="AJ1094" s="8"/>
      <c r="AK1094" s="8"/>
      <c r="AL1094" s="8"/>
      <c r="AN1094" s="8">
        <f t="shared" si="295"/>
        <v>1</v>
      </c>
      <c r="AO1094" s="8">
        <f t="shared" si="296"/>
        <v>3.4522583392438411</v>
      </c>
      <c r="AP1094" s="8">
        <f t="shared" si="297"/>
        <v>1.039619176233177</v>
      </c>
      <c r="AQ1094" s="8"/>
      <c r="AR1094" s="8">
        <f t="shared" si="298"/>
        <v>197.79983262751486</v>
      </c>
      <c r="AS1094" s="8">
        <f t="shared" si="299"/>
        <v>30.434208900971619</v>
      </c>
    </row>
    <row r="1095" spans="1:45">
      <c r="A1095" s="19">
        <v>44.477766670000001</v>
      </c>
      <c r="B1095" s="19">
        <v>522.36881330000006</v>
      </c>
      <c r="C1095" s="19">
        <v>468.98456520000002</v>
      </c>
      <c r="E1095" s="9">
        <f t="shared" si="285"/>
        <v>-437.63118669999994</v>
      </c>
      <c r="F1095" s="9">
        <f t="shared" si="286"/>
        <v>71.01543479999998</v>
      </c>
      <c r="I1095">
        <v>1</v>
      </c>
      <c r="J1095">
        <f t="shared" si="287"/>
        <v>0.27983515846628654</v>
      </c>
      <c r="K1095">
        <f t="shared" si="291"/>
        <v>2.9807225643383601</v>
      </c>
      <c r="O1095">
        <f t="shared" si="292"/>
        <v>-0.27263104413679035</v>
      </c>
      <c r="P1095">
        <f t="shared" si="293"/>
        <v>4.424047629088259E-2</v>
      </c>
      <c r="Q1095">
        <f t="shared" si="294"/>
        <v>0.96110098014227374</v>
      </c>
      <c r="R1095">
        <f t="shared" si="284"/>
        <v>1</v>
      </c>
      <c r="AG1095" s="8">
        <f t="shared" si="288"/>
        <v>-0.8210250791221726</v>
      </c>
      <c r="AH1095" s="8">
        <f t="shared" si="289"/>
        <v>-0.26340702343277722</v>
      </c>
      <c r="AI1095" s="8">
        <f t="shared" si="290"/>
        <v>0.50649240809583185</v>
      </c>
      <c r="AJ1095" s="8"/>
      <c r="AK1095" s="8"/>
      <c r="AL1095" s="8"/>
      <c r="AN1095" s="8">
        <f t="shared" si="295"/>
        <v>1</v>
      </c>
      <c r="AO1095" s="8">
        <f t="shared" si="296"/>
        <v>3.4520456108255062</v>
      </c>
      <c r="AP1095" s="8">
        <f t="shared" si="297"/>
        <v>1.0396843984875832</v>
      </c>
      <c r="AQ1095" s="8"/>
      <c r="AR1095" s="8">
        <f t="shared" si="298"/>
        <v>197.78764418696178</v>
      </c>
      <c r="AS1095" s="8">
        <f t="shared" si="299"/>
        <v>30.430471941063814</v>
      </c>
    </row>
    <row r="1096" spans="1:45">
      <c r="A1096" s="19">
        <v>44.51113333</v>
      </c>
      <c r="B1096" s="19">
        <v>521.30768809999995</v>
      </c>
      <c r="C1096" s="19">
        <v>468.96465549999999</v>
      </c>
      <c r="E1096" s="9">
        <f t="shared" si="285"/>
        <v>-438.69231190000005</v>
      </c>
      <c r="F1096" s="9">
        <f t="shared" si="286"/>
        <v>71.035344500000008</v>
      </c>
      <c r="I1096">
        <v>1</v>
      </c>
      <c r="J1096">
        <f t="shared" si="287"/>
        <v>0.28046976714451166</v>
      </c>
      <c r="K1096">
        <f t="shared" si="291"/>
        <v>2.9810608029048513</v>
      </c>
      <c r="O1096">
        <f t="shared" si="292"/>
        <v>-0.27324801831769102</v>
      </c>
      <c r="P1096">
        <f t="shared" si="293"/>
        <v>4.4245742605044977E-2</v>
      </c>
      <c r="Q1096">
        <f t="shared" si="294"/>
        <v>0.96092550946823285</v>
      </c>
      <c r="R1096">
        <f t="shared" si="284"/>
        <v>1</v>
      </c>
      <c r="AG1096" s="8">
        <f t="shared" si="288"/>
        <v>-0.82130641008770944</v>
      </c>
      <c r="AH1096" s="8">
        <f t="shared" si="289"/>
        <v>-0.26285617050877808</v>
      </c>
      <c r="AI1096" s="8">
        <f t="shared" si="290"/>
        <v>0.50632244111267632</v>
      </c>
      <c r="AJ1096" s="8"/>
      <c r="AK1096" s="8"/>
      <c r="AL1096" s="8"/>
      <c r="AN1096" s="8">
        <f t="shared" si="295"/>
        <v>1</v>
      </c>
      <c r="AO1096" s="8">
        <f t="shared" si="296"/>
        <v>3.4513376993278206</v>
      </c>
      <c r="AP1096" s="8">
        <f t="shared" si="297"/>
        <v>1.0398815086584396</v>
      </c>
      <c r="AQ1096" s="8"/>
      <c r="AR1096" s="8">
        <f t="shared" si="298"/>
        <v>197.74708384587564</v>
      </c>
      <c r="AS1096" s="8">
        <f t="shared" si="299"/>
        <v>30.419178360174634</v>
      </c>
    </row>
    <row r="1097" spans="1:45">
      <c r="A1097" s="19">
        <v>44.544499999999999</v>
      </c>
      <c r="B1097" s="19">
        <v>520.79949739999995</v>
      </c>
      <c r="C1097" s="19">
        <v>468.83210819999999</v>
      </c>
      <c r="E1097" s="9">
        <f t="shared" si="285"/>
        <v>-439.20050260000005</v>
      </c>
      <c r="F1097" s="9">
        <f t="shared" si="286"/>
        <v>71.167891800000007</v>
      </c>
      <c r="I1097">
        <v>1</v>
      </c>
      <c r="J1097">
        <f t="shared" si="287"/>
        <v>0.28078549622355675</v>
      </c>
      <c r="K1097">
        <f t="shared" si="291"/>
        <v>2.98094929703419</v>
      </c>
      <c r="O1097">
        <f t="shared" si="292"/>
        <v>-0.27354255516013948</v>
      </c>
      <c r="P1097">
        <f t="shared" si="293"/>
        <v>4.4324737456100466E-2</v>
      </c>
      <c r="Q1097">
        <f t="shared" si="294"/>
        <v>0.96083806552712603</v>
      </c>
      <c r="R1097">
        <f t="shared" si="284"/>
        <v>1</v>
      </c>
      <c r="AG1097" s="8">
        <f t="shared" si="288"/>
        <v>-0.82141335544518279</v>
      </c>
      <c r="AH1097" s="8">
        <f t="shared" si="289"/>
        <v>-0.26255809902441718</v>
      </c>
      <c r="AI1097" s="8">
        <f t="shared" si="290"/>
        <v>0.50630360865094592</v>
      </c>
      <c r="AJ1097" s="8"/>
      <c r="AK1097" s="8"/>
      <c r="AL1097" s="8"/>
      <c r="AN1097" s="8">
        <f t="shared" si="295"/>
        <v>1</v>
      </c>
      <c r="AO1097" s="8">
        <f t="shared" si="296"/>
        <v>3.4509706982779624</v>
      </c>
      <c r="AP1097" s="8">
        <f t="shared" si="297"/>
        <v>1.0399033472005828</v>
      </c>
      <c r="AQ1097" s="8"/>
      <c r="AR1097" s="8">
        <f t="shared" si="298"/>
        <v>197.72605623464187</v>
      </c>
      <c r="AS1097" s="8">
        <f t="shared" si="299"/>
        <v>30.417927103879116</v>
      </c>
    </row>
    <row r="1098" spans="1:45">
      <c r="A1098" s="19">
        <v>44.577866669999999</v>
      </c>
      <c r="B1098" s="19">
        <v>520.13443440000003</v>
      </c>
      <c r="C1098" s="19">
        <v>468.60988450000002</v>
      </c>
      <c r="E1098" s="9">
        <f t="shared" si="285"/>
        <v>-439.86556559999997</v>
      </c>
      <c r="F1098" s="9">
        <f t="shared" si="286"/>
        <v>71.390115499999979</v>
      </c>
      <c r="I1098">
        <v>1</v>
      </c>
      <c r="J1098">
        <f t="shared" si="287"/>
        <v>0.28120332439690127</v>
      </c>
      <c r="K1098">
        <f t="shared" si="291"/>
        <v>2.9806957555849398</v>
      </c>
      <c r="O1098">
        <f t="shared" si="292"/>
        <v>-0.27392756420859693</v>
      </c>
      <c r="P1098">
        <f t="shared" si="293"/>
        <v>4.445840269585629E-2</v>
      </c>
      <c r="Q1098">
        <f t="shared" si="294"/>
        <v>0.96072219709782813</v>
      </c>
      <c r="R1098">
        <f t="shared" si="284"/>
        <v>1</v>
      </c>
      <c r="AG1098" s="8">
        <f t="shared" si="288"/>
        <v>-0.8215422036238651</v>
      </c>
      <c r="AH1098" s="8">
        <f t="shared" si="289"/>
        <v>-0.26215446305783746</v>
      </c>
      <c r="AI1098" s="8">
        <f t="shared" si="290"/>
        <v>0.50630370842380856</v>
      </c>
      <c r="AJ1098" s="8"/>
      <c r="AK1098" s="8"/>
      <c r="AL1098" s="8"/>
      <c r="AN1098" s="8">
        <f t="shared" si="295"/>
        <v>1.0000000000000002</v>
      </c>
      <c r="AO1098" s="8">
        <f t="shared" si="296"/>
        <v>3.4504793665011508</v>
      </c>
      <c r="AP1098" s="8">
        <f t="shared" si="297"/>
        <v>1.0399032315024865</v>
      </c>
      <c r="AQ1098" s="8"/>
      <c r="AR1098" s="8">
        <f t="shared" si="298"/>
        <v>197.6979049974899</v>
      </c>
      <c r="AS1098" s="8">
        <f t="shared" si="299"/>
        <v>30.417933732891726</v>
      </c>
    </row>
    <row r="1099" spans="1:45">
      <c r="A1099" s="19">
        <v>44.611233329999997</v>
      </c>
      <c r="B1099" s="19">
        <v>519.76563590000001</v>
      </c>
      <c r="C1099" s="19">
        <v>468.7108025</v>
      </c>
      <c r="E1099" s="9">
        <f t="shared" si="285"/>
        <v>-440.23436409999999</v>
      </c>
      <c r="F1099" s="9">
        <f t="shared" si="286"/>
        <v>71.2891975</v>
      </c>
      <c r="I1099">
        <v>1</v>
      </c>
      <c r="J1099">
        <f t="shared" si="287"/>
        <v>0.2814133292130081</v>
      </c>
      <c r="K1099">
        <f t="shared" si="291"/>
        <v>2.9810516039718045</v>
      </c>
      <c r="O1099">
        <f t="shared" si="292"/>
        <v>-0.2741425231655723</v>
      </c>
      <c r="P1099">
        <f t="shared" si="293"/>
        <v>4.4393173434001884E-2</v>
      </c>
      <c r="Q1099">
        <f t="shared" si="294"/>
        <v>0.96066389707580468</v>
      </c>
      <c r="R1099">
        <f t="shared" si="284"/>
        <v>1</v>
      </c>
      <c r="AG1099" s="8">
        <f t="shared" si="288"/>
        <v>-0.82166394672205967</v>
      </c>
      <c r="AH1099" s="8">
        <f t="shared" si="289"/>
        <v>-0.26199312363471927</v>
      </c>
      <c r="AI1099" s="8">
        <f t="shared" si="290"/>
        <v>0.50618965005741767</v>
      </c>
      <c r="AJ1099" s="8"/>
      <c r="AK1099" s="8"/>
      <c r="AL1099" s="8"/>
      <c r="AN1099" s="8">
        <f t="shared" si="295"/>
        <v>1</v>
      </c>
      <c r="AO1099" s="8">
        <f t="shared" si="296"/>
        <v>3.4502582296420812</v>
      </c>
      <c r="AP1099" s="8">
        <f t="shared" si="297"/>
        <v>1.0400354901513642</v>
      </c>
      <c r="AQ1099" s="8"/>
      <c r="AR1099" s="8">
        <f t="shared" si="298"/>
        <v>197.68523478877043</v>
      </c>
      <c r="AS1099" s="8">
        <f t="shared" si="299"/>
        <v>30.410355870506933</v>
      </c>
    </row>
    <row r="1100" spans="1:45">
      <c r="A1100" s="19">
        <v>44.644599999999997</v>
      </c>
      <c r="B1100" s="19">
        <v>519.41666669999995</v>
      </c>
      <c r="C1100" s="19">
        <v>468.58333329999999</v>
      </c>
      <c r="E1100" s="9">
        <f t="shared" si="285"/>
        <v>-440.58333330000005</v>
      </c>
      <c r="F1100" s="9">
        <f t="shared" si="286"/>
        <v>71.416666700000007</v>
      </c>
      <c r="I1100">
        <v>1</v>
      </c>
      <c r="J1100">
        <f t="shared" si="287"/>
        <v>0.28163355060180478</v>
      </c>
      <c r="K1100">
        <f t="shared" si="291"/>
        <v>2.9808946664907023</v>
      </c>
      <c r="O1100">
        <f t="shared" si="292"/>
        <v>-0.27434437916881421</v>
      </c>
      <c r="P1100">
        <f t="shared" si="293"/>
        <v>4.447004597601658E-2</v>
      </c>
      <c r="Q1100">
        <f t="shared" si="294"/>
        <v>0.96060271529356445</v>
      </c>
      <c r="R1100">
        <f t="shared" si="284"/>
        <v>1</v>
      </c>
      <c r="AG1100" s="8">
        <f t="shared" si="288"/>
        <v>-0.82172899728390369</v>
      </c>
      <c r="AH1100" s="8">
        <f t="shared" si="289"/>
        <v>-0.26177833005718931</v>
      </c>
      <c r="AI1100" s="8">
        <f t="shared" si="290"/>
        <v>0.50619518067170455</v>
      </c>
      <c r="AJ1100" s="8"/>
      <c r="AK1100" s="8"/>
      <c r="AL1100" s="8"/>
      <c r="AN1100" s="8">
        <f t="shared" si="295"/>
        <v>1</v>
      </c>
      <c r="AO1100" s="8">
        <f t="shared" si="296"/>
        <v>3.4499980267045682</v>
      </c>
      <c r="AP1100" s="8">
        <f t="shared" si="297"/>
        <v>1.0400290772543594</v>
      </c>
      <c r="AQ1100" s="8"/>
      <c r="AR1100" s="8">
        <f t="shared" si="298"/>
        <v>197.67032625863405</v>
      </c>
      <c r="AS1100" s="8">
        <f t="shared" si="299"/>
        <v>30.410723302439763</v>
      </c>
    </row>
    <row r="1101" spans="1:45">
      <c r="A1101" s="19">
        <v>44.677966670000004</v>
      </c>
      <c r="B1101" s="19">
        <v>518.9822815</v>
      </c>
      <c r="C1101" s="19">
        <v>468.67234730000001</v>
      </c>
      <c r="E1101" s="9">
        <f t="shared" si="285"/>
        <v>-441.0177185</v>
      </c>
      <c r="F1101" s="9">
        <f t="shared" si="286"/>
        <v>71.327652699999987</v>
      </c>
      <c r="I1101">
        <v>1</v>
      </c>
      <c r="J1101">
        <f t="shared" si="287"/>
        <v>0.28188374335258154</v>
      </c>
      <c r="K1101">
        <f t="shared" si="291"/>
        <v>2.9812469270888098</v>
      </c>
      <c r="O1101">
        <f t="shared" si="292"/>
        <v>-0.27459727144488827</v>
      </c>
      <c r="P1101">
        <f t="shared" si="293"/>
        <v>4.4411773015846839E-2</v>
      </c>
      <c r="Q1101">
        <f t="shared" si="294"/>
        <v>0.96053315035589026</v>
      </c>
      <c r="R1101">
        <f t="shared" si="284"/>
        <v>1</v>
      </c>
      <c r="AG1101" s="8">
        <f t="shared" si="288"/>
        <v>-0.82186555695596908</v>
      </c>
      <c r="AH1101" s="8">
        <f t="shared" si="289"/>
        <v>-0.26157999898967565</v>
      </c>
      <c r="AI1101" s="8">
        <f t="shared" si="290"/>
        <v>0.50607599273035686</v>
      </c>
      <c r="AJ1101" s="8"/>
      <c r="AK1101" s="8"/>
      <c r="AL1101" s="8"/>
      <c r="AN1101" s="8">
        <f t="shared" si="295"/>
        <v>1.0000000000000002</v>
      </c>
      <c r="AO1101" s="8">
        <f t="shared" si="296"/>
        <v>3.4497308640200646</v>
      </c>
      <c r="AP1101" s="8">
        <f t="shared" si="297"/>
        <v>1.0401672735550267</v>
      </c>
      <c r="AQ1101" s="8"/>
      <c r="AR1101" s="8">
        <f t="shared" si="298"/>
        <v>197.65501896436859</v>
      </c>
      <c r="AS1101" s="8">
        <f t="shared" si="299"/>
        <v>30.402805237667202</v>
      </c>
    </row>
    <row r="1102" spans="1:45">
      <c r="A1102" s="19">
        <v>44.711333330000002</v>
      </c>
      <c r="B1102" s="19">
        <v>518.32713249999995</v>
      </c>
      <c r="C1102" s="19">
        <v>468.46174839999998</v>
      </c>
      <c r="E1102" s="9">
        <f t="shared" si="285"/>
        <v>-441.67286750000005</v>
      </c>
      <c r="F1102" s="9">
        <f t="shared" si="286"/>
        <v>71.538251600000024</v>
      </c>
      <c r="I1102">
        <v>1</v>
      </c>
      <c r="J1102">
        <f t="shared" si="287"/>
        <v>0.28229427545313474</v>
      </c>
      <c r="K1102">
        <f t="shared" si="291"/>
        <v>2.9810160600263012</v>
      </c>
      <c r="O1102">
        <f t="shared" si="292"/>
        <v>-0.27497624450341457</v>
      </c>
      <c r="P1102">
        <f t="shared" si="293"/>
        <v>4.4538211900255323E-2</v>
      </c>
      <c r="Q1102">
        <f t="shared" si="294"/>
        <v>0.96041887353358812</v>
      </c>
      <c r="R1102">
        <f t="shared" si="284"/>
        <v>1</v>
      </c>
      <c r="AG1102" s="8">
        <f t="shared" si="288"/>
        <v>-0.82199389804320855</v>
      </c>
      <c r="AH1102" s="8">
        <f t="shared" si="289"/>
        <v>-0.26118480741551464</v>
      </c>
      <c r="AI1102" s="8">
        <f t="shared" si="290"/>
        <v>0.50607166286510441</v>
      </c>
      <c r="AJ1102" s="8"/>
      <c r="AK1102" s="8"/>
      <c r="AL1102" s="8"/>
      <c r="AN1102" s="8">
        <f t="shared" si="295"/>
        <v>1</v>
      </c>
      <c r="AO1102" s="8">
        <f t="shared" si="296"/>
        <v>3.4492491178411928</v>
      </c>
      <c r="AP1102" s="8">
        <f t="shared" si="297"/>
        <v>1.0401722937459104</v>
      </c>
      <c r="AQ1102" s="8"/>
      <c r="AR1102" s="8">
        <f t="shared" si="298"/>
        <v>197.62741694152268</v>
      </c>
      <c r="AS1102" s="8">
        <f t="shared" si="299"/>
        <v>30.402517601917218</v>
      </c>
    </row>
    <row r="1103" spans="1:45">
      <c r="A1103" s="19">
        <v>44.744700000000002</v>
      </c>
      <c r="B1103" s="19">
        <v>517.64029149999999</v>
      </c>
      <c r="C1103" s="19">
        <v>468.42032849999998</v>
      </c>
      <c r="E1103" s="9">
        <f t="shared" si="285"/>
        <v>-442.35970850000001</v>
      </c>
      <c r="F1103" s="9">
        <f t="shared" si="286"/>
        <v>71.579671500000018</v>
      </c>
      <c r="I1103">
        <v>1</v>
      </c>
      <c r="J1103">
        <f t="shared" si="287"/>
        <v>0.28270728010239854</v>
      </c>
      <c r="K1103">
        <f t="shared" si="291"/>
        <v>2.981169883054501</v>
      </c>
      <c r="O1103">
        <f t="shared" si="292"/>
        <v>-0.27537463310418053</v>
      </c>
      <c r="P1103">
        <f t="shared" si="293"/>
        <v>4.455927020087156E-2</v>
      </c>
      <c r="Q1103">
        <f t="shared" si="294"/>
        <v>0.9603037451150046</v>
      </c>
      <c r="R1103">
        <f t="shared" si="284"/>
        <v>1</v>
      </c>
      <c r="AG1103" s="8">
        <f t="shared" si="288"/>
        <v>-0.82216857324633175</v>
      </c>
      <c r="AH1103" s="8">
        <f t="shared" si="289"/>
        <v>-0.26082051700454956</v>
      </c>
      <c r="AI1103" s="8">
        <f t="shared" si="290"/>
        <v>0.50597578506838714</v>
      </c>
      <c r="AJ1103" s="8"/>
      <c r="AK1103" s="8"/>
      <c r="AL1103" s="8"/>
      <c r="AN1103" s="8">
        <f t="shared" si="295"/>
        <v>1</v>
      </c>
      <c r="AO1103" s="8">
        <f t="shared" si="296"/>
        <v>3.4487852806733228</v>
      </c>
      <c r="AP1103" s="8">
        <f t="shared" si="297"/>
        <v>1.0402834538880135</v>
      </c>
      <c r="AQ1103" s="8"/>
      <c r="AR1103" s="8">
        <f t="shared" si="298"/>
        <v>197.60084102942244</v>
      </c>
      <c r="AS1103" s="8">
        <f t="shared" si="299"/>
        <v>30.396148594924639</v>
      </c>
    </row>
    <row r="1104" spans="1:45">
      <c r="A1104" s="19">
        <v>44.778066670000001</v>
      </c>
      <c r="B1104" s="19">
        <v>517.42849269999999</v>
      </c>
      <c r="C1104" s="19">
        <v>468.49277330000001</v>
      </c>
      <c r="E1104" s="9">
        <f t="shared" si="285"/>
        <v>-442.57150730000001</v>
      </c>
      <c r="F1104" s="9">
        <f t="shared" si="286"/>
        <v>71.50722669999999</v>
      </c>
      <c r="I1104">
        <v>1</v>
      </c>
      <c r="J1104">
        <f t="shared" si="287"/>
        <v>0.28282641644485085</v>
      </c>
      <c r="K1104">
        <f t="shared" si="291"/>
        <v>2.9814048680992795</v>
      </c>
      <c r="O1104">
        <f t="shared" si="292"/>
        <v>-0.27549803667066619</v>
      </c>
      <c r="P1104">
        <f t="shared" si="293"/>
        <v>4.4512808074335428E-2</v>
      </c>
      <c r="Q1104">
        <f t="shared" si="294"/>
        <v>0.96027050444546391</v>
      </c>
      <c r="R1104">
        <f t="shared" si="284"/>
        <v>1</v>
      </c>
      <c r="AG1104" s="8">
        <f t="shared" si="288"/>
        <v>-0.82224154818883144</v>
      </c>
      <c r="AH1104" s="8">
        <f t="shared" si="289"/>
        <v>-0.26073192913409671</v>
      </c>
      <c r="AI1104" s="8">
        <f t="shared" si="290"/>
        <v>0.50590285387813949</v>
      </c>
      <c r="AJ1104" s="8"/>
      <c r="AK1104" s="8"/>
      <c r="AL1104" s="8"/>
      <c r="AN1104" s="8">
        <f t="shared" si="295"/>
        <v>1.0000000000000002</v>
      </c>
      <c r="AO1104" s="8">
        <f t="shared" si="296"/>
        <v>3.4486618070322614</v>
      </c>
      <c r="AP1104" s="8">
        <f t="shared" si="297"/>
        <v>1.0403680050185935</v>
      </c>
      <c r="AQ1104" s="8"/>
      <c r="AR1104" s="8">
        <f t="shared" si="298"/>
        <v>197.59376651090849</v>
      </c>
      <c r="AS1104" s="8">
        <f t="shared" si="299"/>
        <v>30.39130417198934</v>
      </c>
    </row>
    <row r="1105" spans="1:45">
      <c r="A1105" s="19">
        <v>44.81143333</v>
      </c>
      <c r="B1105" s="19">
        <v>516.99172299999998</v>
      </c>
      <c r="C1105" s="19">
        <v>468.41510740000001</v>
      </c>
      <c r="E1105" s="9">
        <f t="shared" si="285"/>
        <v>-443.00827700000002</v>
      </c>
      <c r="F1105" s="9">
        <f t="shared" si="286"/>
        <v>71.584892599999989</v>
      </c>
      <c r="I1105">
        <v>1</v>
      </c>
      <c r="J1105">
        <f t="shared" si="287"/>
        <v>0.28309393022342128</v>
      </c>
      <c r="K1105">
        <f t="shared" si="291"/>
        <v>2.9813892577091807</v>
      </c>
      <c r="O1105">
        <f t="shared" si="292"/>
        <v>-0.27575092804867835</v>
      </c>
      <c r="P1105">
        <f t="shared" si="293"/>
        <v>4.4558085240278621E-2</v>
      </c>
      <c r="Q1105">
        <f t="shared" si="294"/>
        <v>0.96019581477947125</v>
      </c>
      <c r="R1105">
        <f t="shared" si="284"/>
        <v>1</v>
      </c>
      <c r="AG1105" s="8">
        <f t="shared" si="288"/>
        <v>-0.82234096402422574</v>
      </c>
      <c r="AH1105" s="8">
        <f t="shared" si="289"/>
        <v>-0.26048600070416766</v>
      </c>
      <c r="AI1105" s="8">
        <f t="shared" si="290"/>
        <v>0.50586794949359604</v>
      </c>
      <c r="AJ1105" s="8"/>
      <c r="AK1105" s="8"/>
      <c r="AL1105" s="8"/>
      <c r="AN1105" s="8">
        <f t="shared" si="295"/>
        <v>1</v>
      </c>
      <c r="AO1105" s="8">
        <f t="shared" si="296"/>
        <v>3.4483552089898435</v>
      </c>
      <c r="AP1105" s="8">
        <f t="shared" si="297"/>
        <v>1.040408469146108</v>
      </c>
      <c r="AQ1105" s="8"/>
      <c r="AR1105" s="8">
        <f t="shared" si="298"/>
        <v>197.57619973707099</v>
      </c>
      <c r="AS1105" s="8">
        <f t="shared" si="299"/>
        <v>30.388985748261085</v>
      </c>
    </row>
    <row r="1106" spans="1:45">
      <c r="A1106" s="19">
        <v>44.844799999999999</v>
      </c>
      <c r="B1106" s="19">
        <v>516.49003259999995</v>
      </c>
      <c r="C1106" s="19">
        <v>468.36091540000001</v>
      </c>
      <c r="E1106" s="9">
        <f t="shared" si="285"/>
        <v>-443.50996740000005</v>
      </c>
      <c r="F1106" s="9">
        <f t="shared" si="286"/>
        <v>71.63908459999999</v>
      </c>
      <c r="I1106">
        <v>1</v>
      </c>
      <c r="J1106">
        <f t="shared" si="287"/>
        <v>0.28339779074557109</v>
      </c>
      <c r="K1106">
        <f t="shared" si="291"/>
        <v>2.9814483129847993</v>
      </c>
      <c r="O1106">
        <f t="shared" si="292"/>
        <v>-0.27604157847290128</v>
      </c>
      <c r="P1106">
        <f t="shared" si="293"/>
        <v>4.4588323706155612E-2</v>
      </c>
      <c r="Q1106">
        <f t="shared" si="294"/>
        <v>0.96011089377387249</v>
      </c>
      <c r="R1106">
        <f t="shared" si="284"/>
        <v>1</v>
      </c>
      <c r="AG1106" s="8">
        <f t="shared" si="288"/>
        <v>-0.82246293456683028</v>
      </c>
      <c r="AH1106" s="8">
        <f t="shared" si="289"/>
        <v>-0.26021329300093821</v>
      </c>
      <c r="AI1106" s="8">
        <f t="shared" si="290"/>
        <v>0.50581000722536706</v>
      </c>
      <c r="AJ1106" s="8"/>
      <c r="AK1106" s="8"/>
      <c r="AL1106" s="8"/>
      <c r="AN1106" s="8">
        <f t="shared" si="295"/>
        <v>1</v>
      </c>
      <c r="AO1106" s="8">
        <f t="shared" si="296"/>
        <v>3.448011140887572</v>
      </c>
      <c r="AP1106" s="8">
        <f t="shared" si="297"/>
        <v>1.0404756386254663</v>
      </c>
      <c r="AQ1106" s="8"/>
      <c r="AR1106" s="8">
        <f t="shared" si="298"/>
        <v>197.55648608694577</v>
      </c>
      <c r="AS1106" s="8">
        <f t="shared" si="299"/>
        <v>30.385137220581761</v>
      </c>
    </row>
    <row r="1107" spans="1:45">
      <c r="A1107" s="19">
        <v>44.878166669999999</v>
      </c>
      <c r="B1107" s="19">
        <v>516.01514559999998</v>
      </c>
      <c r="C1107" s="19">
        <v>468.28715349999999</v>
      </c>
      <c r="E1107" s="9">
        <f t="shared" si="285"/>
        <v>-443.98485440000002</v>
      </c>
      <c r="F1107" s="9">
        <f t="shared" si="286"/>
        <v>71.712846500000012</v>
      </c>
      <c r="I1107">
        <v>1</v>
      </c>
      <c r="J1107">
        <f t="shared" si="287"/>
        <v>0.28368753052568041</v>
      </c>
      <c r="K1107">
        <f t="shared" si="291"/>
        <v>2.9814547784022372</v>
      </c>
      <c r="O1107">
        <f t="shared" si="292"/>
        <v>-0.27631647822081462</v>
      </c>
      <c r="P1107">
        <f t="shared" si="293"/>
        <v>4.4630894481408452E-2</v>
      </c>
      <c r="Q1107">
        <f t="shared" si="294"/>
        <v>0.96002983657875729</v>
      </c>
      <c r="R1107">
        <f t="shared" si="284"/>
        <v>1</v>
      </c>
      <c r="AG1107" s="8">
        <f t="shared" si="288"/>
        <v>-0.82257325206902709</v>
      </c>
      <c r="AH1107" s="8">
        <f t="shared" si="289"/>
        <v>-0.25994891809781706</v>
      </c>
      <c r="AI1107" s="8">
        <f t="shared" si="290"/>
        <v>0.50576655184023311</v>
      </c>
      <c r="AJ1107" s="8"/>
      <c r="AK1107" s="8"/>
      <c r="AL1107" s="8"/>
      <c r="AN1107" s="8">
        <f t="shared" si="295"/>
        <v>1</v>
      </c>
      <c r="AO1107" s="8">
        <f t="shared" si="296"/>
        <v>3.4476803805420881</v>
      </c>
      <c r="AP1107" s="8">
        <f t="shared" si="297"/>
        <v>1.0405260124734046</v>
      </c>
      <c r="AQ1107" s="8"/>
      <c r="AR1107" s="8">
        <f t="shared" si="298"/>
        <v>197.53753491511924</v>
      </c>
      <c r="AS1107" s="8">
        <f t="shared" si="299"/>
        <v>30.382251011697065</v>
      </c>
    </row>
    <row r="1108" spans="1:45">
      <c r="A1108" s="19">
        <v>44.911533329999997</v>
      </c>
      <c r="B1108" s="19">
        <v>515.50348550000001</v>
      </c>
      <c r="C1108" s="19">
        <v>468.37280040000002</v>
      </c>
      <c r="E1108" s="9">
        <f t="shared" si="285"/>
        <v>-444.49651449999999</v>
      </c>
      <c r="F1108" s="9">
        <f t="shared" si="286"/>
        <v>71.627199599999983</v>
      </c>
      <c r="I1108">
        <v>1</v>
      </c>
      <c r="J1108">
        <f t="shared" si="287"/>
        <v>0.28398380317920929</v>
      </c>
      <c r="K1108">
        <f t="shared" si="291"/>
        <v>2.981823783719237</v>
      </c>
      <c r="O1108">
        <f t="shared" si="292"/>
        <v>-0.27661372441550414</v>
      </c>
      <c r="P1108">
        <f t="shared" si="293"/>
        <v>4.4574177309569675E-2</v>
      </c>
      <c r="Q1108">
        <f t="shared" si="294"/>
        <v>0.95994686841624655</v>
      </c>
      <c r="R1108">
        <f t="shared" si="284"/>
        <v>1</v>
      </c>
      <c r="AG1108" s="8">
        <f t="shared" si="288"/>
        <v>-0.82272911462919907</v>
      </c>
      <c r="AH1108" s="8">
        <f t="shared" si="289"/>
        <v>-0.25971007615749098</v>
      </c>
      <c r="AI1108" s="8">
        <f t="shared" si="290"/>
        <v>0.50563571895557824</v>
      </c>
      <c r="AJ1108" s="8"/>
      <c r="AK1108" s="8"/>
      <c r="AL1108" s="8"/>
      <c r="AN1108" s="8">
        <f t="shared" si="295"/>
        <v>1</v>
      </c>
      <c r="AO1108" s="8">
        <f t="shared" si="296"/>
        <v>3.4473619712816608</v>
      </c>
      <c r="AP1108" s="8">
        <f t="shared" si="297"/>
        <v>1.0406776660727979</v>
      </c>
      <c r="AQ1108" s="8"/>
      <c r="AR1108" s="8">
        <f t="shared" si="298"/>
        <v>197.51929140833886</v>
      </c>
      <c r="AS1108" s="8">
        <f t="shared" si="299"/>
        <v>30.373561900503859</v>
      </c>
    </row>
    <row r="1109" spans="1:45">
      <c r="A1109" s="19">
        <v>44.944899999999997</v>
      </c>
      <c r="B1109" s="19">
        <v>515.07724819999999</v>
      </c>
      <c r="C1109" s="19">
        <v>468.07269459999998</v>
      </c>
      <c r="E1109" s="9">
        <f t="shared" si="285"/>
        <v>-444.92275180000001</v>
      </c>
      <c r="F1109" s="9">
        <f t="shared" si="286"/>
        <v>71.927305400000023</v>
      </c>
      <c r="I1109">
        <v>1</v>
      </c>
      <c r="J1109">
        <f t="shared" si="287"/>
        <v>0.28426624043594667</v>
      </c>
      <c r="K1109">
        <f t="shared" si="291"/>
        <v>2.9813168523318354</v>
      </c>
      <c r="O1109">
        <f t="shared" si="292"/>
        <v>-0.27685873162635521</v>
      </c>
      <c r="P1109">
        <f t="shared" si="293"/>
        <v>4.4757662901664934E-2</v>
      </c>
      <c r="Q1109">
        <f t="shared" si="294"/>
        <v>0.95986769626538992</v>
      </c>
      <c r="R1109">
        <f t="shared" si="284"/>
        <v>1</v>
      </c>
      <c r="AG1109" s="8">
        <f t="shared" si="288"/>
        <v>-0.82277541720138903</v>
      </c>
      <c r="AH1109" s="8">
        <f t="shared" si="289"/>
        <v>-0.25940768680197063</v>
      </c>
      <c r="AI1109" s="8">
        <f t="shared" si="290"/>
        <v>0.505715596830008</v>
      </c>
      <c r="AJ1109" s="8"/>
      <c r="AK1109" s="8"/>
      <c r="AL1109" s="8"/>
      <c r="AN1109" s="8">
        <f t="shared" si="295"/>
        <v>1.0000000000000002</v>
      </c>
      <c r="AO1109" s="8">
        <f t="shared" si="296"/>
        <v>3.4470115580938763</v>
      </c>
      <c r="AP1109" s="8">
        <f t="shared" si="297"/>
        <v>1.0405850780549195</v>
      </c>
      <c r="AQ1109" s="8"/>
      <c r="AR1109" s="8">
        <f t="shared" si="298"/>
        <v>197.49921421159308</v>
      </c>
      <c r="AS1109" s="8">
        <f t="shared" si="299"/>
        <v>30.37886680316177</v>
      </c>
    </row>
    <row r="1110" spans="1:45">
      <c r="A1110" s="19">
        <v>44.978266669999996</v>
      </c>
      <c r="B1110" s="19">
        <v>514.47124840000004</v>
      </c>
      <c r="C1110" s="19">
        <v>467.77702720000002</v>
      </c>
      <c r="E1110" s="9">
        <f t="shared" si="285"/>
        <v>-445.52875159999996</v>
      </c>
      <c r="F1110" s="9">
        <f t="shared" si="286"/>
        <v>72.22297279999998</v>
      </c>
      <c r="I1110">
        <v>1</v>
      </c>
      <c r="J1110">
        <f t="shared" si="287"/>
        <v>0.28465519550084617</v>
      </c>
      <c r="K1110">
        <f t="shared" si="291"/>
        <v>2.9808844419486036</v>
      </c>
      <c r="O1110">
        <f t="shared" si="292"/>
        <v>-0.2772078656648902</v>
      </c>
      <c r="P1110">
        <f t="shared" si="293"/>
        <v>4.4937113642973807E-2</v>
      </c>
      <c r="Q1110">
        <f t="shared" si="294"/>
        <v>0.9597585399625026</v>
      </c>
      <c r="R1110">
        <f t="shared" si="284"/>
        <v>1</v>
      </c>
      <c r="AG1110" s="8">
        <f t="shared" si="288"/>
        <v>-0.82287054649839808</v>
      </c>
      <c r="AH1110" s="8">
        <f t="shared" si="289"/>
        <v>-0.25901428294155959</v>
      </c>
      <c r="AI1110" s="8">
        <f t="shared" si="290"/>
        <v>0.50576245900392558</v>
      </c>
      <c r="AJ1110" s="8"/>
      <c r="AK1110" s="8"/>
      <c r="AL1110" s="8"/>
      <c r="AN1110" s="8">
        <f t="shared" si="295"/>
        <v>1.0000000000000002</v>
      </c>
      <c r="AO1110" s="8">
        <f t="shared" si="296"/>
        <v>3.4465434753386806</v>
      </c>
      <c r="AP1110" s="8">
        <f t="shared" si="297"/>
        <v>1.0405307568470166</v>
      </c>
      <c r="AQ1110" s="8"/>
      <c r="AR1110" s="8">
        <f t="shared" si="298"/>
        <v>197.47239504525751</v>
      </c>
      <c r="AS1110" s="8">
        <f t="shared" si="299"/>
        <v>30.381979179112662</v>
      </c>
    </row>
    <row r="1111" spans="1:45">
      <c r="A1111" s="19">
        <v>45.011633330000002</v>
      </c>
      <c r="B1111" s="19">
        <v>514.3087213</v>
      </c>
      <c r="C1111" s="19">
        <v>467.60576259999999</v>
      </c>
      <c r="E1111" s="9">
        <f t="shared" si="285"/>
        <v>-445.6912787</v>
      </c>
      <c r="F1111" s="9">
        <f t="shared" si="286"/>
        <v>72.394237400000009</v>
      </c>
      <c r="I1111">
        <v>1</v>
      </c>
      <c r="J1111">
        <f t="shared" si="287"/>
        <v>0.28476838483326139</v>
      </c>
      <c r="K1111">
        <f t="shared" si="291"/>
        <v>2.9805676307472697</v>
      </c>
      <c r="O1111">
        <f t="shared" si="292"/>
        <v>-0.27730084247146591</v>
      </c>
      <c r="P1111">
        <f t="shared" si="293"/>
        <v>4.504235101852197E-2</v>
      </c>
      <c r="Q1111">
        <f t="shared" si="294"/>
        <v>0.95972674724597495</v>
      </c>
      <c r="R1111">
        <f t="shared" si="284"/>
        <v>1</v>
      </c>
      <c r="AG1111" s="8">
        <f t="shared" si="288"/>
        <v>-0.82287535517162869</v>
      </c>
      <c r="AH1111" s="8">
        <f t="shared" si="289"/>
        <v>-0.25888317035039365</v>
      </c>
      <c r="AI1111" s="8">
        <f t="shared" si="290"/>
        <v>0.50582176105867094</v>
      </c>
      <c r="AJ1111" s="8"/>
      <c r="AK1111" s="8"/>
      <c r="AL1111" s="8"/>
      <c r="AN1111" s="8">
        <f t="shared" si="295"/>
        <v>1.0000000000000002</v>
      </c>
      <c r="AO1111" s="8">
        <f t="shared" si="296"/>
        <v>3.4463968239438025</v>
      </c>
      <c r="AP1111" s="8">
        <f t="shared" si="297"/>
        <v>1.0404620132273994</v>
      </c>
      <c r="AQ1111" s="8"/>
      <c r="AR1111" s="8">
        <f t="shared" si="298"/>
        <v>197.46399253927132</v>
      </c>
      <c r="AS1111" s="8">
        <f t="shared" si="299"/>
        <v>30.385917898385181</v>
      </c>
    </row>
    <row r="1112" spans="1:45">
      <c r="A1112" s="19">
        <v>45.045000000000002</v>
      </c>
      <c r="B1112" s="19">
        <v>513.57033809999996</v>
      </c>
      <c r="C1112" s="19">
        <v>467.57540590000002</v>
      </c>
      <c r="E1112" s="9">
        <f t="shared" si="285"/>
        <v>-446.42966190000004</v>
      </c>
      <c r="F1112" s="9">
        <f t="shared" si="286"/>
        <v>72.424594099999979</v>
      </c>
      <c r="I1112">
        <v>1</v>
      </c>
      <c r="J1112">
        <f t="shared" si="287"/>
        <v>0.28521038793745673</v>
      </c>
      <c r="K1112">
        <f t="shared" si="291"/>
        <v>2.9807631373280752</v>
      </c>
      <c r="O1112">
        <f t="shared" si="292"/>
        <v>-0.27772834392723056</v>
      </c>
      <c r="P1112">
        <f t="shared" si="293"/>
        <v>4.5056062120488065E-2</v>
      </c>
      <c r="Q1112">
        <f t="shared" si="294"/>
        <v>0.95960247928276665</v>
      </c>
      <c r="R1112">
        <f t="shared" si="284"/>
        <v>1</v>
      </c>
      <c r="AG1112" s="8">
        <f t="shared" si="288"/>
        <v>-0.82306518492916858</v>
      </c>
      <c r="AH1112" s="8">
        <f t="shared" si="289"/>
        <v>-0.25849575395925078</v>
      </c>
      <c r="AI1112" s="8">
        <f t="shared" si="290"/>
        <v>0.50571103067122425</v>
      </c>
      <c r="AJ1112" s="8"/>
      <c r="AK1112" s="8"/>
      <c r="AL1112" s="8"/>
      <c r="AN1112" s="8">
        <f t="shared" si="295"/>
        <v>1</v>
      </c>
      <c r="AO1112" s="8">
        <f t="shared" si="296"/>
        <v>3.4459024152189532</v>
      </c>
      <c r="AP1112" s="8">
        <f t="shared" si="297"/>
        <v>1.040590370914934</v>
      </c>
      <c r="AQ1112" s="8"/>
      <c r="AR1112" s="8">
        <f t="shared" si="298"/>
        <v>197.435665005983</v>
      </c>
      <c r="AS1112" s="8">
        <f t="shared" si="299"/>
        <v>30.378563544621386</v>
      </c>
    </row>
    <row r="1113" spans="1:45">
      <c r="A1113" s="19">
        <v>45.078366670000001</v>
      </c>
      <c r="B1113" s="19">
        <v>513.47583810000003</v>
      </c>
      <c r="C1113" s="19">
        <v>467.54756959999997</v>
      </c>
      <c r="E1113" s="9">
        <f t="shared" si="285"/>
        <v>-446.52416189999997</v>
      </c>
      <c r="F1113" s="9">
        <f t="shared" si="286"/>
        <v>72.452430400000026</v>
      </c>
      <c r="I1113">
        <v>1</v>
      </c>
      <c r="J1113">
        <f t="shared" si="287"/>
        <v>0.28526925971796169</v>
      </c>
      <c r="K1113">
        <f t="shared" si="291"/>
        <v>2.9807358493179006</v>
      </c>
      <c r="O1113">
        <f t="shared" si="292"/>
        <v>-0.27778287805112117</v>
      </c>
      <c r="P1113">
        <f t="shared" si="293"/>
        <v>4.5072688905954124E-2</v>
      </c>
      <c r="Q1113">
        <f t="shared" si="294"/>
        <v>0.95958591349416078</v>
      </c>
      <c r="R1113">
        <f t="shared" si="284"/>
        <v>1</v>
      </c>
      <c r="AG1113" s="8">
        <f t="shared" si="288"/>
        <v>-0.82308407944582829</v>
      </c>
      <c r="AH1113" s="8">
        <f t="shared" si="289"/>
        <v>-0.25843950604265481</v>
      </c>
      <c r="AI1113" s="8">
        <f t="shared" si="290"/>
        <v>0.50570902689119757</v>
      </c>
      <c r="AJ1113" s="8"/>
      <c r="AK1113" s="8"/>
      <c r="AL1113" s="8"/>
      <c r="AN1113" s="8">
        <f t="shared" si="295"/>
        <v>1</v>
      </c>
      <c r="AO1113" s="8">
        <f t="shared" si="296"/>
        <v>3.4458336488801455</v>
      </c>
      <c r="AP1113" s="8">
        <f t="shared" si="297"/>
        <v>1.0405926935900776</v>
      </c>
      <c r="AQ1113" s="8"/>
      <c r="AR1113" s="8">
        <f t="shared" si="298"/>
        <v>197.43172498499675</v>
      </c>
      <c r="AS1113" s="8">
        <f t="shared" si="299"/>
        <v>30.378430465138486</v>
      </c>
    </row>
    <row r="1114" spans="1:45">
      <c r="A1114" s="19">
        <v>45.11173333</v>
      </c>
      <c r="B1114" s="19">
        <v>512.40002019999997</v>
      </c>
      <c r="C1114" s="19">
        <v>467.51584329999997</v>
      </c>
      <c r="E1114" s="9">
        <f t="shared" si="285"/>
        <v>-447.59997980000003</v>
      </c>
      <c r="F1114" s="9">
        <f t="shared" si="286"/>
        <v>72.484156700000028</v>
      </c>
      <c r="I1114">
        <v>1</v>
      </c>
      <c r="J1114">
        <f t="shared" si="287"/>
        <v>0.28591185278077147</v>
      </c>
      <c r="K1114">
        <f t="shared" si="291"/>
        <v>2.9810467909496658</v>
      </c>
      <c r="O1114">
        <f t="shared" si="292"/>
        <v>-0.27840551578228084</v>
      </c>
      <c r="P1114">
        <f t="shared" si="293"/>
        <v>4.5084874760548801E-2</v>
      </c>
      <c r="Q1114">
        <f t="shared" si="294"/>
        <v>0.95940487952158537</v>
      </c>
      <c r="R1114">
        <f t="shared" si="284"/>
        <v>1</v>
      </c>
      <c r="AG1114" s="8">
        <f t="shared" si="288"/>
        <v>-0.82336305763120199</v>
      </c>
      <c r="AH1114" s="8">
        <f t="shared" si="289"/>
        <v>-0.25787861196811768</v>
      </c>
      <c r="AI1114" s="8">
        <f t="shared" si="290"/>
        <v>0.50554119200871761</v>
      </c>
      <c r="AJ1114" s="8"/>
      <c r="AK1114" s="8"/>
      <c r="AL1114" s="8"/>
      <c r="AN1114" s="8">
        <f t="shared" si="295"/>
        <v>1</v>
      </c>
      <c r="AO1114" s="8">
        <f t="shared" si="296"/>
        <v>3.4451165576421547</v>
      </c>
      <c r="AP1114" s="8">
        <f t="shared" si="297"/>
        <v>1.0407872276288526</v>
      </c>
      <c r="AQ1114" s="8"/>
      <c r="AR1114" s="8">
        <f t="shared" si="298"/>
        <v>197.39063868353406</v>
      </c>
      <c r="AS1114" s="8">
        <f t="shared" si="299"/>
        <v>30.367284485745039</v>
      </c>
    </row>
    <row r="1115" spans="1:45">
      <c r="A1115" s="19">
        <v>45.145099999999999</v>
      </c>
      <c r="B1115" s="19">
        <v>512.09218699999997</v>
      </c>
      <c r="C1115" s="19">
        <v>467.54220520000001</v>
      </c>
      <c r="E1115" s="9">
        <f t="shared" si="285"/>
        <v>-447.90781300000003</v>
      </c>
      <c r="F1115" s="9">
        <f t="shared" si="286"/>
        <v>72.457794799999988</v>
      </c>
      <c r="I1115">
        <v>1</v>
      </c>
      <c r="J1115">
        <f t="shared" si="287"/>
        <v>0.28609227810098226</v>
      </c>
      <c r="K1115">
        <f t="shared" si="291"/>
        <v>2.9812125990083667</v>
      </c>
      <c r="O1115">
        <f t="shared" si="292"/>
        <v>-0.27858386232814814</v>
      </c>
      <c r="P1115">
        <f t="shared" si="293"/>
        <v>4.5066354605349149E-2</v>
      </c>
      <c r="Q1115">
        <f t="shared" si="294"/>
        <v>0.95935397811908629</v>
      </c>
      <c r="R1115">
        <f t="shared" ref="R1115:R1178" si="300">SQRT(O1115^2+P1115^2+Q1115^2)</f>
        <v>1</v>
      </c>
      <c r="AG1115" s="8">
        <f t="shared" si="288"/>
        <v>-0.8234507695890021</v>
      </c>
      <c r="AH1115" s="8">
        <f t="shared" si="289"/>
        <v>-0.2577279998606723</v>
      </c>
      <c r="AI1115" s="8">
        <f t="shared" si="290"/>
        <v>0.50547513109063791</v>
      </c>
      <c r="AJ1115" s="8"/>
      <c r="AK1115" s="8"/>
      <c r="AL1115" s="8"/>
      <c r="AN1115" s="8">
        <f t="shared" si="295"/>
        <v>1</v>
      </c>
      <c r="AO1115" s="8">
        <f t="shared" si="296"/>
        <v>3.4449195998615068</v>
      </c>
      <c r="AP1115" s="8">
        <f t="shared" si="297"/>
        <v>1.0408637914295533</v>
      </c>
      <c r="AQ1115" s="8"/>
      <c r="AR1115" s="8">
        <f t="shared" si="298"/>
        <v>197.37935383396066</v>
      </c>
      <c r="AS1115" s="8">
        <f t="shared" si="299"/>
        <v>30.36289770310141</v>
      </c>
    </row>
    <row r="1116" spans="1:45">
      <c r="A1116" s="19">
        <v>45.178466669999999</v>
      </c>
      <c r="B1116" s="19">
        <v>511.31672809999998</v>
      </c>
      <c r="C1116" s="19">
        <v>467.50742200000002</v>
      </c>
      <c r="E1116" s="9">
        <f t="shared" si="285"/>
        <v>-448.68327190000002</v>
      </c>
      <c r="F1116" s="9">
        <f t="shared" si="286"/>
        <v>72.49257799999998</v>
      </c>
      <c r="I1116">
        <v>1</v>
      </c>
      <c r="J1116">
        <f t="shared" si="287"/>
        <v>0.28655644643854417</v>
      </c>
      <c r="K1116">
        <f t="shared" si="291"/>
        <v>2.9814095154059581</v>
      </c>
      <c r="O1116">
        <f t="shared" si="292"/>
        <v>-0.2790323022317529</v>
      </c>
      <c r="P1116">
        <f t="shared" si="293"/>
        <v>4.5082516333622473E-2</v>
      </c>
      <c r="Q1116">
        <f t="shared" si="294"/>
        <v>0.95922288391816235</v>
      </c>
      <c r="R1116">
        <f t="shared" si="300"/>
        <v>1</v>
      </c>
      <c r="AG1116" s="8">
        <f t="shared" si="288"/>
        <v>-0.82364881309605797</v>
      </c>
      <c r="AH1116" s="8">
        <f t="shared" si="289"/>
        <v>-0.25732046111740597</v>
      </c>
      <c r="AI1116" s="8">
        <f t="shared" si="290"/>
        <v>0.50536008249146513</v>
      </c>
      <c r="AJ1116" s="8"/>
      <c r="AK1116" s="8"/>
      <c r="AL1116" s="8"/>
      <c r="AN1116" s="8">
        <f t="shared" si="295"/>
        <v>0.99999999999999989</v>
      </c>
      <c r="AO1116" s="8">
        <f t="shared" si="296"/>
        <v>3.4444003225947237</v>
      </c>
      <c r="AP1116" s="8">
        <f t="shared" si="297"/>
        <v>1.0409971231596016</v>
      </c>
      <c r="AQ1116" s="8"/>
      <c r="AR1116" s="8">
        <f t="shared" si="298"/>
        <v>197.3496014381769</v>
      </c>
      <c r="AS1116" s="8">
        <f t="shared" si="299"/>
        <v>30.355258357694467</v>
      </c>
    </row>
    <row r="1117" spans="1:45">
      <c r="A1117" s="19">
        <v>45.211833329999997</v>
      </c>
      <c r="B1117" s="19">
        <v>510.5544238</v>
      </c>
      <c r="C1117" s="19">
        <v>467.2689436</v>
      </c>
      <c r="E1117" s="9">
        <f t="shared" si="285"/>
        <v>-449.4455762</v>
      </c>
      <c r="F1117" s="9">
        <f t="shared" si="286"/>
        <v>72.7310564</v>
      </c>
      <c r="I1117">
        <v>1</v>
      </c>
      <c r="J1117">
        <f t="shared" si="287"/>
        <v>0.28703224458024557</v>
      </c>
      <c r="K1117">
        <f t="shared" si="291"/>
        <v>2.981159481237972</v>
      </c>
      <c r="O1117">
        <f t="shared" si="292"/>
        <v>-0.27947152524404456</v>
      </c>
      <c r="P1117">
        <f t="shared" si="293"/>
        <v>4.5225184852356007E-2</v>
      </c>
      <c r="Q1117">
        <f t="shared" si="294"/>
        <v>0.9590882906348287</v>
      </c>
      <c r="R1117">
        <f t="shared" si="300"/>
        <v>1</v>
      </c>
      <c r="AG1117" s="8">
        <f t="shared" si="288"/>
        <v>-0.82379734656786863</v>
      </c>
      <c r="AH1117" s="8">
        <f t="shared" si="289"/>
        <v>-0.25686303795883814</v>
      </c>
      <c r="AI1117" s="8">
        <f t="shared" si="290"/>
        <v>0.50535068172339048</v>
      </c>
      <c r="AJ1117" s="8"/>
      <c r="AK1117" s="8"/>
      <c r="AL1117" s="8"/>
      <c r="AN1117" s="8">
        <f t="shared" si="295"/>
        <v>1</v>
      </c>
      <c r="AO1117" s="8">
        <f t="shared" si="296"/>
        <v>3.4438430195025598</v>
      </c>
      <c r="AP1117" s="8">
        <f t="shared" si="297"/>
        <v>1.0410080174055223</v>
      </c>
      <c r="AQ1117" s="8"/>
      <c r="AR1117" s="8">
        <f t="shared" si="298"/>
        <v>197.31767032308633</v>
      </c>
      <c r="AS1117" s="8">
        <f t="shared" si="299"/>
        <v>30.354634163382229</v>
      </c>
    </row>
    <row r="1118" spans="1:45">
      <c r="A1118" s="19">
        <v>45.245199999999997</v>
      </c>
      <c r="B1118" s="19">
        <v>510.01039950000001</v>
      </c>
      <c r="C1118" s="19">
        <v>467.06168550000001</v>
      </c>
      <c r="E1118" s="9">
        <f t="shared" si="285"/>
        <v>-449.98960049999999</v>
      </c>
      <c r="F1118" s="9">
        <f t="shared" si="286"/>
        <v>72.93831449999999</v>
      </c>
      <c r="I1118">
        <v>1</v>
      </c>
      <c r="J1118">
        <f t="shared" si="287"/>
        <v>0.28737530199527883</v>
      </c>
      <c r="K1118">
        <f t="shared" si="291"/>
        <v>2.9809013092885501</v>
      </c>
      <c r="O1118">
        <f t="shared" si="292"/>
        <v>-0.27978460712846948</v>
      </c>
      <c r="P1118">
        <f t="shared" si="293"/>
        <v>4.5349976186827977E-2</v>
      </c>
      <c r="Q1118">
        <f t="shared" si="294"/>
        <v>0.95899111219751254</v>
      </c>
      <c r="R1118">
        <f t="shared" si="300"/>
        <v>1</v>
      </c>
      <c r="AG1118" s="8">
        <f t="shared" si="288"/>
        <v>-0.8238948722132009</v>
      </c>
      <c r="AH1118" s="8">
        <f t="shared" si="289"/>
        <v>-0.2565263178881757</v>
      </c>
      <c r="AI1118" s="8">
        <f t="shared" si="290"/>
        <v>0.50536272891016432</v>
      </c>
      <c r="AJ1118" s="8"/>
      <c r="AK1118" s="8"/>
      <c r="AL1118" s="8"/>
      <c r="AN1118" s="8">
        <f t="shared" si="295"/>
        <v>1.0000000000000002</v>
      </c>
      <c r="AO1118" s="8">
        <f t="shared" si="296"/>
        <v>3.4434368498646446</v>
      </c>
      <c r="AP1118" s="8">
        <f t="shared" si="297"/>
        <v>1.0409940562980693</v>
      </c>
      <c r="AQ1118" s="8"/>
      <c r="AR1118" s="8">
        <f t="shared" si="298"/>
        <v>197.29439851706744</v>
      </c>
      <c r="AS1118" s="8">
        <f t="shared" si="299"/>
        <v>30.355434075916612</v>
      </c>
    </row>
    <row r="1119" spans="1:45">
      <c r="A1119" s="19">
        <v>45.278566669999996</v>
      </c>
      <c r="B1119" s="19">
        <v>509.61371350000002</v>
      </c>
      <c r="C1119" s="19">
        <v>466.68001609999999</v>
      </c>
      <c r="E1119" s="9">
        <f t="shared" si="285"/>
        <v>-450.38628649999998</v>
      </c>
      <c r="F1119" s="9">
        <f t="shared" si="286"/>
        <v>73.319983900000011</v>
      </c>
      <c r="I1119">
        <v>1</v>
      </c>
      <c r="J1119">
        <f t="shared" si="287"/>
        <v>0.28764766797643693</v>
      </c>
      <c r="K1119">
        <f t="shared" si="291"/>
        <v>2.980214761347336</v>
      </c>
      <c r="O1119">
        <f t="shared" si="292"/>
        <v>-0.28001119866258262</v>
      </c>
      <c r="P1119">
        <f t="shared" si="293"/>
        <v>4.558401797111622E-2</v>
      </c>
      <c r="Q1119">
        <f t="shared" si="294"/>
        <v>0.95891387826496322</v>
      </c>
      <c r="R1119">
        <f t="shared" si="300"/>
        <v>1</v>
      </c>
      <c r="AG1119" s="8">
        <f t="shared" si="288"/>
        <v>-0.82391404678904023</v>
      </c>
      <c r="AH1119" s="8">
        <f t="shared" si="289"/>
        <v>-0.25621666051119574</v>
      </c>
      <c r="AI1119" s="8">
        <f t="shared" si="290"/>
        <v>0.50548854228379714</v>
      </c>
      <c r="AJ1119" s="8"/>
      <c r="AK1119" s="8"/>
      <c r="AL1119" s="8"/>
      <c r="AN1119" s="8">
        <f t="shared" si="295"/>
        <v>1.0000000000000002</v>
      </c>
      <c r="AO1119" s="8">
        <f t="shared" si="296"/>
        <v>3.4430875842842847</v>
      </c>
      <c r="AP1119" s="8">
        <f t="shared" si="297"/>
        <v>1.0408482482976078</v>
      </c>
      <c r="AQ1119" s="8"/>
      <c r="AR1119" s="8">
        <f t="shared" si="298"/>
        <v>197.27438707338362</v>
      </c>
      <c r="AS1119" s="8">
        <f t="shared" si="299"/>
        <v>30.363788258962302</v>
      </c>
    </row>
    <row r="1120" spans="1:45">
      <c r="A1120" s="19">
        <v>45.311933330000002</v>
      </c>
      <c r="B1120" s="19">
        <v>509.14067260000002</v>
      </c>
      <c r="C1120" s="19">
        <v>466.65238779999999</v>
      </c>
      <c r="E1120" s="9">
        <f t="shared" ref="E1120:E1183" si="301">(B1120-($B$15/2))</f>
        <v>-450.85932739999998</v>
      </c>
      <c r="F1120" s="9">
        <f t="shared" ref="F1120:F1183" si="302">(($C$15/2)-C1120)</f>
        <v>73.347612200000015</v>
      </c>
      <c r="I1120">
        <v>1</v>
      </c>
      <c r="J1120">
        <f t="shared" ref="J1120:J1183" si="303">ATAN((SQRT(E1120^2+F1120^2)^$B$16)/($F$24))</f>
        <v>0.28793117095867354</v>
      </c>
      <c r="K1120">
        <f t="shared" si="291"/>
        <v>2.9803214591113654</v>
      </c>
      <c r="O1120">
        <f t="shared" si="292"/>
        <v>-0.28028437686882862</v>
      </c>
      <c r="P1120">
        <f t="shared" si="293"/>
        <v>4.5597791885215698E-2</v>
      </c>
      <c r="Q1120">
        <f t="shared" si="294"/>
        <v>0.95883341069157835</v>
      </c>
      <c r="R1120">
        <f t="shared" si="300"/>
        <v>1</v>
      </c>
      <c r="AG1120" s="8">
        <f t="shared" ref="AG1120:AG1183" si="304">$O1120*$Z$27+$P1120*$Z$31+$Q1120*$Z$35</f>
        <v>-0.82403299762788085</v>
      </c>
      <c r="AH1120" s="8">
        <f t="shared" ref="AH1120:AH1183" si="305">$O1120*$AA$27+$P1120*$AA$31+$Q1120*$AA$35</f>
        <v>-0.2559663832049669</v>
      </c>
      <c r="AI1120" s="8">
        <f t="shared" ref="AI1120:AI1183" si="306">$AB$27*$O1120+$P1120*$AB$31+$AB$35*$Q1120</f>
        <v>0.50542143750475887</v>
      </c>
      <c r="AJ1120" s="8"/>
      <c r="AK1120" s="8"/>
      <c r="AL1120" s="8"/>
      <c r="AN1120" s="8">
        <f t="shared" si="295"/>
        <v>1</v>
      </c>
      <c r="AO1120" s="8">
        <f t="shared" si="296"/>
        <v>3.4427696805496559</v>
      </c>
      <c r="AP1120" s="8">
        <f t="shared" si="297"/>
        <v>1.0409260191127574</v>
      </c>
      <c r="AQ1120" s="8"/>
      <c r="AR1120" s="8">
        <f t="shared" si="298"/>
        <v>197.25617253109795</v>
      </c>
      <c r="AS1120" s="8">
        <f t="shared" si="299"/>
        <v>30.359332319484935</v>
      </c>
    </row>
    <row r="1121" spans="1:45">
      <c r="A1121" s="19">
        <v>45.345300000000002</v>
      </c>
      <c r="B1121" s="19">
        <v>508.50930740000001</v>
      </c>
      <c r="C1121" s="19">
        <v>466.5896851</v>
      </c>
      <c r="E1121" s="9">
        <f t="shared" si="301"/>
        <v>-451.49069259999999</v>
      </c>
      <c r="F1121" s="9">
        <f t="shared" si="302"/>
        <v>73.410314900000003</v>
      </c>
      <c r="I1121">
        <v>1</v>
      </c>
      <c r="J1121">
        <f t="shared" si="303"/>
        <v>0.288311987686104</v>
      </c>
      <c r="K1121">
        <f t="shared" ref="K1121:K1184" si="307">ATAN2(E1121,F1121)</f>
        <v>2.9804077937102456</v>
      </c>
      <c r="O1121">
        <f t="shared" ref="O1121:O1184" si="308">COS(K1121)*SIN(J1121)</f>
        <v>-0.28064869895274164</v>
      </c>
      <c r="P1121">
        <f t="shared" ref="P1121:P1184" si="309">SIN(K1121)*SIN(J1121)</f>
        <v>4.5632190661013171E-2</v>
      </c>
      <c r="Q1121">
        <f t="shared" ref="Q1121:Q1184" si="310">COS(J1121)</f>
        <v>0.95872520095781899</v>
      </c>
      <c r="R1121">
        <f t="shared" si="300"/>
        <v>1</v>
      </c>
      <c r="AG1121" s="8">
        <f t="shared" si="304"/>
        <v>-0.82418581646167977</v>
      </c>
      <c r="AH1121" s="8">
        <f t="shared" si="305"/>
        <v>-0.25562518339371931</v>
      </c>
      <c r="AI1121" s="8">
        <f t="shared" si="306"/>
        <v>0.50534493720460061</v>
      </c>
      <c r="AJ1121" s="8"/>
      <c r="AK1121" s="8"/>
      <c r="AL1121" s="8"/>
      <c r="AN1121" s="8">
        <f t="shared" ref="AN1121:AN1184" si="311">AG1121^2+AH1121^2+AI1121^2</f>
        <v>1</v>
      </c>
      <c r="AO1121" s="8">
        <f t="shared" ref="AO1121:AO1184" si="312">IF(ATAN2(AG1121,AH1121)&gt;=0,ATAN2(AG1121,AH1121),ATAN2(AG1121,AH1121)+2*PI())</f>
        <v>3.4423395413722959</v>
      </c>
      <c r="AP1121" s="8">
        <f t="shared" ref="AP1121:AP1184" si="313">ACOS(AI1121/AN1121)</f>
        <v>1.0410146745082467</v>
      </c>
      <c r="AQ1121" s="8"/>
      <c r="AR1121" s="8">
        <f t="shared" ref="AR1121:AR1184" si="314">DEGREES(AO1121)</f>
        <v>197.23152737163198</v>
      </c>
      <c r="AS1121" s="8">
        <f t="shared" ref="AS1121:AS1184" si="315">90-DEGREES(AP1121)</f>
        <v>30.354252739492338</v>
      </c>
    </row>
    <row r="1122" spans="1:45">
      <c r="A1122" s="19">
        <v>45.378666670000001</v>
      </c>
      <c r="B1122" s="19">
        <v>507.5</v>
      </c>
      <c r="C1122" s="19">
        <v>465.91666670000001</v>
      </c>
      <c r="E1122" s="9">
        <f t="shared" si="301"/>
        <v>-452.5</v>
      </c>
      <c r="F1122" s="9">
        <f t="shared" si="302"/>
        <v>74.083333299999993</v>
      </c>
      <c r="I1122">
        <v>1</v>
      </c>
      <c r="J1122">
        <f t="shared" si="303"/>
        <v>0.28897601920094734</v>
      </c>
      <c r="K1122">
        <f t="shared" si="307"/>
        <v>2.9793122942942927</v>
      </c>
      <c r="O1122">
        <f t="shared" si="308"/>
        <v>-0.28122673802093456</v>
      </c>
      <c r="P1122">
        <f t="shared" si="309"/>
        <v>4.6042462244589299E-2</v>
      </c>
      <c r="Q1122">
        <f t="shared" si="310"/>
        <v>0.9585361826726001</v>
      </c>
      <c r="R1122">
        <f t="shared" si="300"/>
        <v>1</v>
      </c>
      <c r="AG1122" s="8">
        <f t="shared" si="304"/>
        <v>-0.82430088066008478</v>
      </c>
      <c r="AH1122" s="8">
        <f t="shared" si="305"/>
        <v>-0.25492046925914724</v>
      </c>
      <c r="AI1122" s="8">
        <f t="shared" si="306"/>
        <v>0.50551321693473539</v>
      </c>
      <c r="AJ1122" s="8"/>
      <c r="AK1122" s="8"/>
      <c r="AL1122" s="8"/>
      <c r="AN1122" s="8">
        <f t="shared" si="311"/>
        <v>1</v>
      </c>
      <c r="AO1122" s="8">
        <f t="shared" si="312"/>
        <v>3.4415199378688319</v>
      </c>
      <c r="AP1122" s="8">
        <f t="shared" si="313"/>
        <v>1.0408196508186482</v>
      </c>
      <c r="AQ1122" s="8"/>
      <c r="AR1122" s="8">
        <f t="shared" si="314"/>
        <v>197.18456755000938</v>
      </c>
      <c r="AS1122" s="8">
        <f t="shared" si="315"/>
        <v>30.3654267738114</v>
      </c>
    </row>
    <row r="1123" spans="1:45">
      <c r="A1123" s="19">
        <v>45.41203333</v>
      </c>
      <c r="B1123" s="19">
        <v>507.4887167</v>
      </c>
      <c r="C1123" s="19">
        <v>466.05908540000001</v>
      </c>
      <c r="E1123" s="9">
        <f t="shared" si="301"/>
        <v>-452.5112833</v>
      </c>
      <c r="F1123" s="9">
        <f t="shared" si="302"/>
        <v>73.940914599999985</v>
      </c>
      <c r="I1123">
        <v>1</v>
      </c>
      <c r="J1123">
        <f t="shared" si="303"/>
        <v>0.28896889432003714</v>
      </c>
      <c r="K1123">
        <f t="shared" si="307"/>
        <v>2.9796227995719429</v>
      </c>
      <c r="O1123">
        <f t="shared" si="308"/>
        <v>-0.28123428081500945</v>
      </c>
      <c r="P1123">
        <f t="shared" si="309"/>
        <v>4.595403630310993E-2</v>
      </c>
      <c r="Q1123">
        <f t="shared" si="310"/>
        <v>0.95853821303165421</v>
      </c>
      <c r="R1123">
        <f t="shared" si="300"/>
        <v>1</v>
      </c>
      <c r="AG1123" s="8">
        <f t="shared" si="304"/>
        <v>-0.82433592197677608</v>
      </c>
      <c r="AH1123" s="8">
        <f t="shared" si="305"/>
        <v>-0.25495430740031944</v>
      </c>
      <c r="AI1123" s="8">
        <f t="shared" si="306"/>
        <v>0.50543900608948067</v>
      </c>
      <c r="AJ1123" s="8"/>
      <c r="AK1123" s="8"/>
      <c r="AL1123" s="8"/>
      <c r="AN1123" s="8">
        <f t="shared" si="311"/>
        <v>1</v>
      </c>
      <c r="AO1123" s="8">
        <f t="shared" si="312"/>
        <v>3.441545404915261</v>
      </c>
      <c r="AP1123" s="8">
        <f t="shared" si="313"/>
        <v>1.0409056584141612</v>
      </c>
      <c r="AQ1123" s="8"/>
      <c r="AR1123" s="8">
        <f t="shared" si="314"/>
        <v>197.18602670428641</v>
      </c>
      <c r="AS1123" s="8">
        <f t="shared" si="315"/>
        <v>30.360498901582439</v>
      </c>
    </row>
    <row r="1124" spans="1:45">
      <c r="A1124" s="19">
        <v>45.445399999999999</v>
      </c>
      <c r="B1124" s="19">
        <v>506.63534950000002</v>
      </c>
      <c r="C1124" s="19">
        <v>466.03484909999997</v>
      </c>
      <c r="E1124" s="9">
        <f t="shared" si="301"/>
        <v>-453.36465049999998</v>
      </c>
      <c r="F1124" s="9">
        <f t="shared" si="302"/>
        <v>73.965150900000026</v>
      </c>
      <c r="I1124">
        <v>1</v>
      </c>
      <c r="J1124">
        <f t="shared" si="303"/>
        <v>0.28947741605524213</v>
      </c>
      <c r="K1124">
        <f t="shared" si="307"/>
        <v>2.9798703123316828</v>
      </c>
      <c r="O1124">
        <f t="shared" si="308"/>
        <v>-0.28172668717307564</v>
      </c>
      <c r="P1124">
        <f t="shared" si="309"/>
        <v>4.5962906252907464E-2</v>
      </c>
      <c r="Q1124">
        <f t="shared" si="310"/>
        <v>0.9583931787023896</v>
      </c>
      <c r="R1124">
        <f t="shared" si="300"/>
        <v>1</v>
      </c>
      <c r="AG1124" s="8">
        <f t="shared" si="304"/>
        <v>-0.8245555222160369</v>
      </c>
      <c r="AH1124" s="8">
        <f t="shared" si="305"/>
        <v>-0.2545101207164186</v>
      </c>
      <c r="AI1124" s="8">
        <f t="shared" si="306"/>
        <v>0.50530464992512492</v>
      </c>
      <c r="AJ1124" s="8"/>
      <c r="AK1124" s="8"/>
      <c r="AL1124" s="8"/>
      <c r="AN1124" s="8">
        <f t="shared" si="311"/>
        <v>1.0000000000000004</v>
      </c>
      <c r="AO1124" s="8">
        <f t="shared" si="312"/>
        <v>3.4409784596002781</v>
      </c>
      <c r="AP1124" s="8">
        <f t="shared" si="313"/>
        <v>1.0410613611636101</v>
      </c>
      <c r="AQ1124" s="8"/>
      <c r="AR1124" s="8">
        <f t="shared" si="314"/>
        <v>197.15354313052319</v>
      </c>
      <c r="AS1124" s="8">
        <f t="shared" si="315"/>
        <v>30.351577791180432</v>
      </c>
    </row>
    <row r="1125" spans="1:45">
      <c r="A1125" s="19">
        <v>45.478766669999999</v>
      </c>
      <c r="B1125" s="19">
        <v>506.31028939999999</v>
      </c>
      <c r="C1125" s="19">
        <v>465.9471393</v>
      </c>
      <c r="E1125" s="9">
        <f t="shared" si="301"/>
        <v>-453.68971060000001</v>
      </c>
      <c r="F1125" s="9">
        <f t="shared" si="302"/>
        <v>74.052860699999997</v>
      </c>
      <c r="I1125">
        <v>1</v>
      </c>
      <c r="J1125">
        <f t="shared" si="303"/>
        <v>0.28967867773628292</v>
      </c>
      <c r="K1125">
        <f t="shared" si="307"/>
        <v>2.9797958612512327</v>
      </c>
      <c r="O1125">
        <f t="shared" si="308"/>
        <v>-0.28191362729417241</v>
      </c>
      <c r="P1125">
        <f t="shared" si="309"/>
        <v>4.6014952694955515E-2</v>
      </c>
      <c r="Q1125">
        <f t="shared" si="310"/>
        <v>0.95833570885902164</v>
      </c>
      <c r="R1125">
        <f t="shared" si="300"/>
        <v>1</v>
      </c>
      <c r="AG1125" s="8">
        <f t="shared" si="304"/>
        <v>-0.8246214321895351</v>
      </c>
      <c r="AH1125" s="8">
        <f t="shared" si="305"/>
        <v>-0.25431911163623405</v>
      </c>
      <c r="AI1125" s="8">
        <f t="shared" si="306"/>
        <v>0.50529326438241473</v>
      </c>
      <c r="AJ1125" s="8"/>
      <c r="AK1125" s="8"/>
      <c r="AL1125" s="8"/>
      <c r="AN1125" s="8">
        <f t="shared" si="311"/>
        <v>1.0000000000000002</v>
      </c>
      <c r="AO1125" s="8">
        <f t="shared" si="312"/>
        <v>3.4407444342532827</v>
      </c>
      <c r="AP1125" s="8">
        <f t="shared" si="313"/>
        <v>1.0410745549954177</v>
      </c>
      <c r="AQ1125" s="8"/>
      <c r="AR1125" s="8">
        <f t="shared" si="314"/>
        <v>197.14013446584127</v>
      </c>
      <c r="AS1125" s="8">
        <f t="shared" si="315"/>
        <v>30.350821840302252</v>
      </c>
    </row>
    <row r="1126" spans="1:45">
      <c r="A1126" s="19">
        <v>45.512133329999997</v>
      </c>
      <c r="B1126" s="19">
        <v>505.64571760000001</v>
      </c>
      <c r="C1126" s="19">
        <v>465.88647589999999</v>
      </c>
      <c r="E1126" s="9">
        <f t="shared" si="301"/>
        <v>-454.35428239999999</v>
      </c>
      <c r="F1126" s="9">
        <f t="shared" si="302"/>
        <v>74.113524100000006</v>
      </c>
      <c r="I1126">
        <v>1</v>
      </c>
      <c r="J1126">
        <f t="shared" si="303"/>
        <v>0.29007859852205281</v>
      </c>
      <c r="K1126">
        <f t="shared" si="307"/>
        <v>2.9798983593793968</v>
      </c>
      <c r="O1126">
        <f t="shared" si="308"/>
        <v>-0.2822965788276724</v>
      </c>
      <c r="P1126">
        <f t="shared" si="309"/>
        <v>4.6047754161747265E-2</v>
      </c>
      <c r="Q1126">
        <f t="shared" si="310"/>
        <v>0.95822139713056453</v>
      </c>
      <c r="R1126">
        <f t="shared" si="300"/>
        <v>1</v>
      </c>
      <c r="AG1126" s="8">
        <f t="shared" si="304"/>
        <v>-0.82478276667974493</v>
      </c>
      <c r="AH1126" s="8">
        <f t="shared" si="305"/>
        <v>-0.25396163600802374</v>
      </c>
      <c r="AI1126" s="8">
        <f t="shared" si="306"/>
        <v>0.50520973389695667</v>
      </c>
      <c r="AJ1126" s="8"/>
      <c r="AK1126" s="8"/>
      <c r="AL1126" s="8"/>
      <c r="AN1126" s="8">
        <f t="shared" si="311"/>
        <v>1.0000000000000002</v>
      </c>
      <c r="AO1126" s="8">
        <f t="shared" si="312"/>
        <v>3.4402935102745928</v>
      </c>
      <c r="AP1126" s="8">
        <f t="shared" si="313"/>
        <v>1.0411713489487708</v>
      </c>
      <c r="AQ1126" s="8"/>
      <c r="AR1126" s="8">
        <f t="shared" si="314"/>
        <v>197.11429842498109</v>
      </c>
      <c r="AS1126" s="8">
        <f t="shared" si="315"/>
        <v>30.345275955292728</v>
      </c>
    </row>
    <row r="1127" spans="1:45">
      <c r="A1127" s="19">
        <v>45.545499999999997</v>
      </c>
      <c r="B1127" s="19">
        <v>505.388848</v>
      </c>
      <c r="C1127" s="19">
        <v>465.9154633</v>
      </c>
      <c r="E1127" s="9">
        <f t="shared" si="301"/>
        <v>-454.611152</v>
      </c>
      <c r="F1127" s="9">
        <f t="shared" si="302"/>
        <v>74.084536700000001</v>
      </c>
      <c r="I1127">
        <v>1</v>
      </c>
      <c r="J1127">
        <f t="shared" si="303"/>
        <v>0.29022808454380405</v>
      </c>
      <c r="K1127">
        <f t="shared" si="307"/>
        <v>2.9800502518151242</v>
      </c>
      <c r="O1127">
        <f t="shared" si="308"/>
        <v>-0.28244494248656166</v>
      </c>
      <c r="P1127">
        <f t="shared" si="309"/>
        <v>4.6027913339387383E-2</v>
      </c>
      <c r="Q1127">
        <f t="shared" si="310"/>
        <v>0.95817862930530062</v>
      </c>
      <c r="R1127">
        <f t="shared" si="300"/>
        <v>1</v>
      </c>
      <c r="AG1127" s="8">
        <f t="shared" si="304"/>
        <v>-0.82485688351470787</v>
      </c>
      <c r="AH1127" s="8">
        <f t="shared" si="305"/>
        <v>-0.25383805727518655</v>
      </c>
      <c r="AI1127" s="8">
        <f t="shared" si="306"/>
        <v>0.50515083133373428</v>
      </c>
      <c r="AJ1127" s="8"/>
      <c r="AK1127" s="8"/>
      <c r="AL1127" s="8"/>
      <c r="AN1127" s="8">
        <f t="shared" si="311"/>
        <v>1</v>
      </c>
      <c r="AO1127" s="8">
        <f t="shared" si="312"/>
        <v>3.4401313867560814</v>
      </c>
      <c r="AP1127" s="8">
        <f t="shared" si="313"/>
        <v>1.0412396011143232</v>
      </c>
      <c r="AQ1127" s="8"/>
      <c r="AR1127" s="8">
        <f t="shared" si="314"/>
        <v>197.10500943161057</v>
      </c>
      <c r="AS1127" s="8">
        <f t="shared" si="315"/>
        <v>30.341365394263946</v>
      </c>
    </row>
    <row r="1128" spans="1:45">
      <c r="A1128" s="19">
        <v>45.578866669999996</v>
      </c>
      <c r="B1128" s="19">
        <v>504.74004450000001</v>
      </c>
      <c r="C1128" s="19">
        <v>465.7499353</v>
      </c>
      <c r="E1128" s="9">
        <f t="shared" si="301"/>
        <v>-455.25995549999999</v>
      </c>
      <c r="F1128" s="9">
        <f t="shared" si="302"/>
        <v>74.250064699999996</v>
      </c>
      <c r="I1128">
        <v>1</v>
      </c>
      <c r="J1128">
        <f t="shared" si="303"/>
        <v>0.2906286721000873</v>
      </c>
      <c r="K1128">
        <f t="shared" si="307"/>
        <v>2.9799223045880141</v>
      </c>
      <c r="O1128">
        <f t="shared" si="308"/>
        <v>-0.28281785751280453</v>
      </c>
      <c r="P1128">
        <f t="shared" si="309"/>
        <v>4.6125831988842937E-2</v>
      </c>
      <c r="Q1128">
        <f t="shared" si="310"/>
        <v>0.95806391597596663</v>
      </c>
      <c r="R1128">
        <f t="shared" si="300"/>
        <v>1</v>
      </c>
      <c r="AG1128" s="8">
        <f t="shared" si="304"/>
        <v>-0.82499023343951083</v>
      </c>
      <c r="AH1128" s="8">
        <f t="shared" si="305"/>
        <v>-0.25345955655956359</v>
      </c>
      <c r="AI1128" s="8">
        <f t="shared" si="306"/>
        <v>0.50512312154369943</v>
      </c>
      <c r="AJ1128" s="8"/>
      <c r="AK1128" s="8"/>
      <c r="AL1128" s="8"/>
      <c r="AN1128" s="8">
        <f t="shared" si="311"/>
        <v>1.0000000000000002</v>
      </c>
      <c r="AO1128" s="8">
        <f t="shared" si="312"/>
        <v>3.4396667771989389</v>
      </c>
      <c r="AP1128" s="8">
        <f t="shared" si="313"/>
        <v>1.0412717083355427</v>
      </c>
      <c r="AQ1128" s="8"/>
      <c r="AR1128" s="8">
        <f t="shared" si="314"/>
        <v>197.07838926486485</v>
      </c>
      <c r="AS1128" s="8">
        <f t="shared" si="315"/>
        <v>30.33952578599618</v>
      </c>
    </row>
    <row r="1129" spans="1:45">
      <c r="A1129" s="19">
        <v>45.612233330000002</v>
      </c>
      <c r="B1129" s="19">
        <v>504.38438919999999</v>
      </c>
      <c r="C1129" s="19">
        <v>465.70623970000003</v>
      </c>
      <c r="E1129" s="9">
        <f t="shared" si="301"/>
        <v>-455.61561080000001</v>
      </c>
      <c r="F1129" s="9">
        <f t="shared" si="302"/>
        <v>74.293760299999974</v>
      </c>
      <c r="I1129">
        <v>1</v>
      </c>
      <c r="J1129">
        <f t="shared" si="303"/>
        <v>0.29084367870191774</v>
      </c>
      <c r="K1129">
        <f t="shared" si="307"/>
        <v>2.9799528980717636</v>
      </c>
      <c r="O1129">
        <f t="shared" si="308"/>
        <v>-0.28302256691905686</v>
      </c>
      <c r="P1129">
        <f t="shared" si="309"/>
        <v>4.6150329900362476E-2</v>
      </c>
      <c r="Q1129">
        <f t="shared" si="310"/>
        <v>0.95800228270324894</v>
      </c>
      <c r="R1129">
        <f t="shared" si="300"/>
        <v>1</v>
      </c>
      <c r="AG1129" s="8">
        <f t="shared" si="304"/>
        <v>-0.82507385324295834</v>
      </c>
      <c r="AH1129" s="8">
        <f t="shared" si="305"/>
        <v>-0.25326517228844603</v>
      </c>
      <c r="AI1129" s="8">
        <f t="shared" si="306"/>
        <v>0.50508404172030719</v>
      </c>
      <c r="AJ1129" s="8"/>
      <c r="AK1129" s="8"/>
      <c r="AL1129" s="8"/>
      <c r="AN1129" s="8">
        <f t="shared" si="311"/>
        <v>1</v>
      </c>
      <c r="AO1129" s="8">
        <f t="shared" si="312"/>
        <v>3.4394230309414282</v>
      </c>
      <c r="AP1129" s="8">
        <f t="shared" si="313"/>
        <v>1.0413169889427949</v>
      </c>
      <c r="AQ1129" s="8"/>
      <c r="AR1129" s="8">
        <f t="shared" si="314"/>
        <v>197.06442363303739</v>
      </c>
      <c r="AS1129" s="8">
        <f t="shared" si="315"/>
        <v>30.336931398306838</v>
      </c>
    </row>
    <row r="1130" spans="1:45">
      <c r="A1130" s="19">
        <v>45.645600000000002</v>
      </c>
      <c r="B1130" s="19">
        <v>503.67257489999997</v>
      </c>
      <c r="C1130" s="19">
        <v>465.6053546</v>
      </c>
      <c r="E1130" s="9">
        <f t="shared" si="301"/>
        <v>-456.32742510000003</v>
      </c>
      <c r="F1130" s="9">
        <f t="shared" si="302"/>
        <v>74.394645400000002</v>
      </c>
      <c r="I1130">
        <v>1</v>
      </c>
      <c r="J1130">
        <f t="shared" si="303"/>
        <v>0.29127521588366218</v>
      </c>
      <c r="K1130">
        <f t="shared" si="307"/>
        <v>2.9799853129573455</v>
      </c>
      <c r="O1130">
        <f t="shared" si="308"/>
        <v>-0.2834320631591794</v>
      </c>
      <c r="P1130">
        <f t="shared" si="309"/>
        <v>4.6207671671490771E-2</v>
      </c>
      <c r="Q1130">
        <f t="shared" si="310"/>
        <v>0.95787844565583091</v>
      </c>
      <c r="R1130">
        <f t="shared" si="300"/>
        <v>1</v>
      </c>
      <c r="AG1130" s="8">
        <f t="shared" si="304"/>
        <v>-0.82523804206756557</v>
      </c>
      <c r="AH1130" s="8">
        <f t="shared" si="305"/>
        <v>-0.25287243012627847</v>
      </c>
      <c r="AI1130" s="8">
        <f t="shared" si="306"/>
        <v>0.50501258202793453</v>
      </c>
      <c r="AJ1130" s="8"/>
      <c r="AK1130" s="8"/>
      <c r="AL1130" s="8"/>
      <c r="AN1130" s="8">
        <f t="shared" si="311"/>
        <v>1</v>
      </c>
      <c r="AO1130" s="8">
        <f t="shared" si="312"/>
        <v>3.4389322110260507</v>
      </c>
      <c r="AP1130" s="8">
        <f t="shared" si="313"/>
        <v>1.0413997840203195</v>
      </c>
      <c r="AQ1130" s="8"/>
      <c r="AR1130" s="8">
        <f t="shared" si="314"/>
        <v>197.03630172338529</v>
      </c>
      <c r="AS1130" s="8">
        <f t="shared" si="315"/>
        <v>30.33218758980022</v>
      </c>
    </row>
    <row r="1131" spans="1:45">
      <c r="A1131" s="19">
        <v>45.678966670000001</v>
      </c>
      <c r="B1131" s="19">
        <v>503.18591709999998</v>
      </c>
      <c r="C1131" s="19">
        <v>465.49430599999999</v>
      </c>
      <c r="E1131" s="9">
        <f t="shared" si="301"/>
        <v>-456.81408290000002</v>
      </c>
      <c r="F1131" s="9">
        <f t="shared" si="302"/>
        <v>74.505694000000005</v>
      </c>
      <c r="I1131">
        <v>1</v>
      </c>
      <c r="J1131">
        <f t="shared" si="303"/>
        <v>0.29157425540179466</v>
      </c>
      <c r="K1131">
        <f t="shared" si="307"/>
        <v>2.9799176970088213</v>
      </c>
      <c r="O1131">
        <f t="shared" si="308"/>
        <v>-0.28371163347139522</v>
      </c>
      <c r="P1131">
        <f t="shared" si="309"/>
        <v>4.6272943280269291E-2</v>
      </c>
      <c r="Q1131">
        <f t="shared" si="310"/>
        <v>0.95779252646550428</v>
      </c>
      <c r="R1131">
        <f t="shared" si="300"/>
        <v>1</v>
      </c>
      <c r="AG1131" s="8">
        <f t="shared" si="304"/>
        <v>-0.82534071114847896</v>
      </c>
      <c r="AH1131" s="8">
        <f t="shared" si="305"/>
        <v>-0.25259224946249514</v>
      </c>
      <c r="AI1131" s="8">
        <f t="shared" si="306"/>
        <v>0.50498501565135567</v>
      </c>
      <c r="AJ1131" s="8"/>
      <c r="AK1131" s="8"/>
      <c r="AL1131" s="8"/>
      <c r="AN1131" s="8">
        <f t="shared" si="311"/>
        <v>1.0000000000000004</v>
      </c>
      <c r="AO1131" s="8">
        <f t="shared" si="312"/>
        <v>3.4385869947318026</v>
      </c>
      <c r="AP1131" s="8">
        <f t="shared" si="313"/>
        <v>1.0414317220765852</v>
      </c>
      <c r="AQ1131" s="8"/>
      <c r="AR1131" s="8">
        <f t="shared" si="314"/>
        <v>197.01652228670574</v>
      </c>
      <c r="AS1131" s="8">
        <f t="shared" si="315"/>
        <v>30.330357673970347</v>
      </c>
    </row>
    <row r="1132" spans="1:45">
      <c r="A1132" s="19">
        <v>45.71233333</v>
      </c>
      <c r="B1132" s="19">
        <v>503.06830889999998</v>
      </c>
      <c r="C1132" s="19">
        <v>465.50899520000002</v>
      </c>
      <c r="E1132" s="9">
        <f t="shared" si="301"/>
        <v>-456.93169110000002</v>
      </c>
      <c r="F1132" s="9">
        <f t="shared" si="302"/>
        <v>74.491004799999985</v>
      </c>
      <c r="I1132">
        <v>1</v>
      </c>
      <c r="J1132">
        <f t="shared" si="303"/>
        <v>0.29164250417830756</v>
      </c>
      <c r="K1132">
        <f t="shared" si="307"/>
        <v>2.9799899039773816</v>
      </c>
      <c r="O1132">
        <f t="shared" si="308"/>
        <v>-0.28377948976447059</v>
      </c>
      <c r="P1132">
        <f t="shared" si="309"/>
        <v>4.6262974851443268E-2</v>
      </c>
      <c r="Q1132">
        <f t="shared" si="310"/>
        <v>0.95777290541490656</v>
      </c>
      <c r="R1132">
        <f t="shared" si="300"/>
        <v>1</v>
      </c>
      <c r="AG1132" s="8">
        <f t="shared" si="304"/>
        <v>-0.82537485854985759</v>
      </c>
      <c r="AH1132" s="8">
        <f t="shared" si="305"/>
        <v>-0.25253608685041712</v>
      </c>
      <c r="AI1132" s="8">
        <f t="shared" si="306"/>
        <v>0.50495729295860392</v>
      </c>
      <c r="AJ1132" s="8"/>
      <c r="AK1132" s="8"/>
      <c r="AL1132" s="8"/>
      <c r="AN1132" s="8">
        <f t="shared" si="311"/>
        <v>1.0000000000000002</v>
      </c>
      <c r="AO1132" s="8">
        <f t="shared" si="312"/>
        <v>3.4385131982832533</v>
      </c>
      <c r="AP1132" s="8">
        <f t="shared" si="313"/>
        <v>1.0414638406369345</v>
      </c>
      <c r="AQ1132" s="8"/>
      <c r="AR1132" s="8">
        <f t="shared" si="314"/>
        <v>197.01229406166081</v>
      </c>
      <c r="AS1132" s="8">
        <f t="shared" si="315"/>
        <v>30.328517416018293</v>
      </c>
    </row>
    <row r="1133" spans="1:45">
      <c r="A1133" s="19">
        <v>45.745699999999999</v>
      </c>
      <c r="B1133" s="19">
        <v>502.33615479999997</v>
      </c>
      <c r="C1133" s="19">
        <v>465.3127106</v>
      </c>
      <c r="E1133" s="9">
        <f t="shared" si="301"/>
        <v>-457.66384520000003</v>
      </c>
      <c r="F1133" s="9">
        <f t="shared" si="302"/>
        <v>74.687289399999997</v>
      </c>
      <c r="I1133">
        <v>1</v>
      </c>
      <c r="J1133">
        <f t="shared" si="303"/>
        <v>0.29209510556507623</v>
      </c>
      <c r="K1133">
        <f t="shared" si="307"/>
        <v>2.9798261765754352</v>
      </c>
      <c r="O1133">
        <f t="shared" si="308"/>
        <v>-0.28419971220781853</v>
      </c>
      <c r="P1133">
        <f t="shared" si="309"/>
        <v>4.6379250569347975E-2</v>
      </c>
      <c r="Q1133">
        <f t="shared" si="310"/>
        <v>0.95764267276349935</v>
      </c>
      <c r="R1133">
        <f t="shared" si="300"/>
        <v>1</v>
      </c>
      <c r="AG1133" s="8">
        <f t="shared" si="304"/>
        <v>-0.82552253564716782</v>
      </c>
      <c r="AH1133" s="8">
        <f t="shared" si="305"/>
        <v>-0.25210650159139503</v>
      </c>
      <c r="AI1133" s="8">
        <f t="shared" si="306"/>
        <v>0.50493054472275534</v>
      </c>
      <c r="AJ1133" s="8"/>
      <c r="AK1133" s="8"/>
      <c r="AL1133" s="8"/>
      <c r="AN1133" s="8">
        <f t="shared" si="311"/>
        <v>1</v>
      </c>
      <c r="AO1133" s="8">
        <f t="shared" si="312"/>
        <v>3.4379872304364159</v>
      </c>
      <c r="AP1133" s="8">
        <f t="shared" si="313"/>
        <v>1.0414948296529092</v>
      </c>
      <c r="AQ1133" s="8"/>
      <c r="AR1133" s="8">
        <f t="shared" si="314"/>
        <v>196.98215832387743</v>
      </c>
      <c r="AS1133" s="8">
        <f t="shared" si="315"/>
        <v>30.326741876191683</v>
      </c>
    </row>
    <row r="1134" spans="1:45">
      <c r="A1134" s="19">
        <v>45.779066669999999</v>
      </c>
      <c r="B1134" s="19">
        <v>501.7076849</v>
      </c>
      <c r="C1134" s="19">
        <v>465.15195690000002</v>
      </c>
      <c r="E1134" s="9">
        <f t="shared" si="301"/>
        <v>-458.2923151</v>
      </c>
      <c r="F1134" s="9">
        <f t="shared" si="302"/>
        <v>74.848043099999984</v>
      </c>
      <c r="I1134">
        <v>1</v>
      </c>
      <c r="J1134">
        <f t="shared" si="303"/>
        <v>0.29248277680317875</v>
      </c>
      <c r="K1134">
        <f t="shared" si="307"/>
        <v>2.9797024968941646</v>
      </c>
      <c r="O1134">
        <f t="shared" si="308"/>
        <v>-0.28456034868969482</v>
      </c>
      <c r="P1134">
        <f t="shared" si="309"/>
        <v>4.6474236074916291E-2</v>
      </c>
      <c r="Q1134">
        <f t="shared" si="310"/>
        <v>0.95753096729810894</v>
      </c>
      <c r="R1134">
        <f t="shared" si="300"/>
        <v>1</v>
      </c>
      <c r="AG1134" s="8">
        <f t="shared" si="304"/>
        <v>-0.82565087437395646</v>
      </c>
      <c r="AH1134" s="8">
        <f t="shared" si="305"/>
        <v>-0.25173994807135203</v>
      </c>
      <c r="AI1134" s="8">
        <f t="shared" si="306"/>
        <v>0.50490358702484406</v>
      </c>
      <c r="AJ1134" s="8"/>
      <c r="AK1134" s="8"/>
      <c r="AL1134" s="8"/>
      <c r="AN1134" s="8">
        <f t="shared" si="311"/>
        <v>1</v>
      </c>
      <c r="AO1134" s="8">
        <f t="shared" si="312"/>
        <v>3.4375376642415305</v>
      </c>
      <c r="AP1134" s="8">
        <f t="shared" si="313"/>
        <v>1.041526060771589</v>
      </c>
      <c r="AQ1134" s="8"/>
      <c r="AR1134" s="8">
        <f t="shared" si="314"/>
        <v>196.95640007829874</v>
      </c>
      <c r="AS1134" s="8">
        <f t="shared" si="315"/>
        <v>30.324952464901855</v>
      </c>
    </row>
    <row r="1135" spans="1:45">
      <c r="A1135" s="19">
        <v>45.812433329999998</v>
      </c>
      <c r="B1135" s="19">
        <v>501.2160164</v>
      </c>
      <c r="C1135" s="19">
        <v>465.05928499999999</v>
      </c>
      <c r="E1135" s="9">
        <f t="shared" si="301"/>
        <v>-458.7839836</v>
      </c>
      <c r="F1135" s="9">
        <f t="shared" si="302"/>
        <v>74.940715000000012</v>
      </c>
      <c r="I1135">
        <v>1</v>
      </c>
      <c r="J1135">
        <f t="shared" si="303"/>
        <v>0.29278280521730954</v>
      </c>
      <c r="K1135">
        <f t="shared" si="307"/>
        <v>2.9796762288130934</v>
      </c>
      <c r="O1135">
        <f t="shared" si="308"/>
        <v>-0.28484264382378677</v>
      </c>
      <c r="P1135">
        <f t="shared" si="309"/>
        <v>4.6528022236399888E-2</v>
      </c>
      <c r="Q1135">
        <f t="shared" si="310"/>
        <v>0.95744441687559312</v>
      </c>
      <c r="R1135">
        <f t="shared" si="300"/>
        <v>1</v>
      </c>
      <c r="AG1135" s="8">
        <f t="shared" si="304"/>
        <v>-0.82575862284786605</v>
      </c>
      <c r="AH1135" s="8">
        <f t="shared" si="305"/>
        <v>-0.25146240944860343</v>
      </c>
      <c r="AI1135" s="8">
        <f t="shared" si="306"/>
        <v>0.50486567859847509</v>
      </c>
      <c r="AJ1135" s="8"/>
      <c r="AK1135" s="8"/>
      <c r="AL1135" s="8"/>
      <c r="AN1135" s="8">
        <f t="shared" si="311"/>
        <v>1.0000000000000002</v>
      </c>
      <c r="AO1135" s="8">
        <f t="shared" si="312"/>
        <v>3.4371937137274853</v>
      </c>
      <c r="AP1135" s="8">
        <f t="shared" si="313"/>
        <v>1.0415699775981142</v>
      </c>
      <c r="AQ1135" s="8"/>
      <c r="AR1135" s="8">
        <f t="shared" si="314"/>
        <v>196.93669316548261</v>
      </c>
      <c r="AS1135" s="8">
        <f t="shared" si="315"/>
        <v>30.322436216092356</v>
      </c>
    </row>
    <row r="1136" spans="1:45">
      <c r="A1136" s="19">
        <v>45.845799999999997</v>
      </c>
      <c r="B1136" s="19">
        <v>500.52514029999998</v>
      </c>
      <c r="C1136" s="19">
        <v>464.97063070000002</v>
      </c>
      <c r="E1136" s="9">
        <f t="shared" si="301"/>
        <v>-459.47485970000002</v>
      </c>
      <c r="F1136" s="9">
        <f t="shared" si="302"/>
        <v>75.029369299999985</v>
      </c>
      <c r="I1136">
        <v>1</v>
      </c>
      <c r="J1136">
        <f t="shared" si="303"/>
        <v>0.29320029072156834</v>
      </c>
      <c r="K1136">
        <f t="shared" si="307"/>
        <v>2.9797275246717954</v>
      </c>
      <c r="O1136">
        <f t="shared" si="308"/>
        <v>-0.28523949951212341</v>
      </c>
      <c r="P1136">
        <f t="shared" si="309"/>
        <v>4.65778253065154E-2</v>
      </c>
      <c r="Q1136">
        <f t="shared" si="310"/>
        <v>0.95732383972602975</v>
      </c>
      <c r="R1136">
        <f t="shared" si="300"/>
        <v>1</v>
      </c>
      <c r="AG1136" s="8">
        <f t="shared" si="304"/>
        <v>-0.82591923247822852</v>
      </c>
      <c r="AH1136" s="8">
        <f t="shared" si="305"/>
        <v>-0.25108401348760101</v>
      </c>
      <c r="AI1136" s="8">
        <f t="shared" si="306"/>
        <v>0.50479128319884081</v>
      </c>
      <c r="AJ1136" s="8"/>
      <c r="AK1136" s="8"/>
      <c r="AL1136" s="8"/>
      <c r="AN1136" s="8">
        <f t="shared" si="311"/>
        <v>1.0000000000000002</v>
      </c>
      <c r="AO1136" s="8">
        <f t="shared" si="312"/>
        <v>3.4367201823893399</v>
      </c>
      <c r="AP1136" s="8">
        <f t="shared" si="313"/>
        <v>1.0416561612220017</v>
      </c>
      <c r="AQ1136" s="8"/>
      <c r="AR1136" s="8">
        <f t="shared" si="314"/>
        <v>196.90956181833968</v>
      </c>
      <c r="AS1136" s="8">
        <f t="shared" si="315"/>
        <v>30.317498258180457</v>
      </c>
    </row>
    <row r="1137" spans="1:45">
      <c r="A1137" s="19">
        <v>45.879166669999996</v>
      </c>
      <c r="B1137" s="19">
        <v>500.2295575</v>
      </c>
      <c r="C1137" s="19">
        <v>465.00291549999997</v>
      </c>
      <c r="E1137" s="9">
        <f t="shared" si="301"/>
        <v>-459.7704425</v>
      </c>
      <c r="F1137" s="9">
        <f t="shared" si="302"/>
        <v>74.997084500000028</v>
      </c>
      <c r="I1137">
        <v>1</v>
      </c>
      <c r="J1137">
        <f t="shared" si="303"/>
        <v>0.29337209575896578</v>
      </c>
      <c r="K1137">
        <f t="shared" si="307"/>
        <v>2.9798981787399024</v>
      </c>
      <c r="O1137">
        <f t="shared" si="308"/>
        <v>-0.2854097674993275</v>
      </c>
      <c r="P1137">
        <f t="shared" si="309"/>
        <v>4.6555625311369281E-2</v>
      </c>
      <c r="Q1137">
        <f t="shared" si="310"/>
        <v>0.95727417094991507</v>
      </c>
      <c r="R1137">
        <f t="shared" si="300"/>
        <v>1</v>
      </c>
      <c r="AG1137" s="8">
        <f t="shared" si="304"/>
        <v>-0.82600370541199419</v>
      </c>
      <c r="AH1137" s="8">
        <f t="shared" si="305"/>
        <v>-0.25094164526528417</v>
      </c>
      <c r="AI1137" s="8">
        <f t="shared" si="306"/>
        <v>0.5047238545157221</v>
      </c>
      <c r="AJ1137" s="8"/>
      <c r="AK1137" s="8"/>
      <c r="AL1137" s="8"/>
      <c r="AN1137" s="8">
        <f t="shared" si="311"/>
        <v>1</v>
      </c>
      <c r="AO1137" s="8">
        <f t="shared" si="312"/>
        <v>3.4365339360524563</v>
      </c>
      <c r="AP1137" s="8">
        <f t="shared" si="313"/>
        <v>1.0417342704753789</v>
      </c>
      <c r="AQ1137" s="8"/>
      <c r="AR1137" s="8">
        <f t="shared" si="314"/>
        <v>196.89889068928647</v>
      </c>
      <c r="AS1137" s="8">
        <f t="shared" si="315"/>
        <v>30.313022927621027</v>
      </c>
    </row>
    <row r="1138" spans="1:45">
      <c r="A1138" s="19">
        <v>45.912533330000002</v>
      </c>
      <c r="B1138" s="19">
        <v>499.62660519999997</v>
      </c>
      <c r="C1138" s="19">
        <v>464.87924520000001</v>
      </c>
      <c r="E1138" s="9">
        <f t="shared" si="301"/>
        <v>-460.37339480000003</v>
      </c>
      <c r="F1138" s="9">
        <f t="shared" si="302"/>
        <v>75.120754799999986</v>
      </c>
      <c r="I1138">
        <v>1</v>
      </c>
      <c r="J1138">
        <f t="shared" si="303"/>
        <v>0.2937408041535321</v>
      </c>
      <c r="K1138">
        <f t="shared" si="307"/>
        <v>2.9798446109147969</v>
      </c>
      <c r="O1138">
        <f t="shared" si="308"/>
        <v>-0.28575560179808751</v>
      </c>
      <c r="P1138">
        <f t="shared" si="309"/>
        <v>4.6627752033164521E-2</v>
      </c>
      <c r="Q1138">
        <f t="shared" si="310"/>
        <v>0.95716748209566049</v>
      </c>
      <c r="R1138">
        <f t="shared" si="300"/>
        <v>1</v>
      </c>
      <c r="AG1138" s="8">
        <f t="shared" si="304"/>
        <v>-0.82613323100493474</v>
      </c>
      <c r="AH1138" s="8">
        <f t="shared" si="305"/>
        <v>-0.25059859593342149</v>
      </c>
      <c r="AI1138" s="8">
        <f t="shared" si="306"/>
        <v>0.50468230437131933</v>
      </c>
      <c r="AJ1138" s="8"/>
      <c r="AK1138" s="8"/>
      <c r="AL1138" s="8"/>
      <c r="AN1138" s="8">
        <f t="shared" si="311"/>
        <v>1.0000000000000002</v>
      </c>
      <c r="AO1138" s="8">
        <f t="shared" si="312"/>
        <v>3.4361101146730939</v>
      </c>
      <c r="AP1138" s="8">
        <f t="shared" si="313"/>
        <v>1.0417824003043867</v>
      </c>
      <c r="AQ1138" s="8"/>
      <c r="AR1138" s="8">
        <f t="shared" si="314"/>
        <v>196.87460751298161</v>
      </c>
      <c r="AS1138" s="8">
        <f t="shared" si="315"/>
        <v>30.310265291550188</v>
      </c>
    </row>
    <row r="1139" spans="1:45">
      <c r="A1139" s="19">
        <v>45.945900000000002</v>
      </c>
      <c r="B1139" s="19">
        <v>498.73059869999997</v>
      </c>
      <c r="C1139" s="19">
        <v>464.68920980000001</v>
      </c>
      <c r="E1139" s="9">
        <f t="shared" si="301"/>
        <v>-461.26940130000003</v>
      </c>
      <c r="F1139" s="9">
        <f t="shared" si="302"/>
        <v>75.310790199999985</v>
      </c>
      <c r="I1139">
        <v>1</v>
      </c>
      <c r="J1139">
        <f t="shared" si="303"/>
        <v>0.29428917853943826</v>
      </c>
      <c r="K1139">
        <f t="shared" si="307"/>
        <v>2.9797520544827387</v>
      </c>
      <c r="O1139">
        <f t="shared" si="308"/>
        <v>-0.28626926899763877</v>
      </c>
      <c r="P1139">
        <f t="shared" si="309"/>
        <v>4.6738770873221099E-2</v>
      </c>
      <c r="Q1139">
        <f t="shared" si="310"/>
        <v>0.95700856470818385</v>
      </c>
      <c r="R1139">
        <f t="shared" si="300"/>
        <v>1</v>
      </c>
      <c r="AG1139" s="8">
        <f t="shared" si="304"/>
        <v>-0.82632404227792366</v>
      </c>
      <c r="AH1139" s="8">
        <f t="shared" si="305"/>
        <v>-0.2500871460751134</v>
      </c>
      <c r="AI1139" s="8">
        <f t="shared" si="306"/>
        <v>0.50462361867185446</v>
      </c>
      <c r="AJ1139" s="8"/>
      <c r="AK1139" s="8"/>
      <c r="AL1139" s="8"/>
      <c r="AN1139" s="8">
        <f t="shared" si="311"/>
        <v>1</v>
      </c>
      <c r="AO1139" s="8">
        <f t="shared" si="312"/>
        <v>3.4354790576871443</v>
      </c>
      <c r="AP1139" s="8">
        <f t="shared" si="313"/>
        <v>1.041850376887054</v>
      </c>
      <c r="AQ1139" s="8"/>
      <c r="AR1139" s="8">
        <f t="shared" si="314"/>
        <v>196.83845061105444</v>
      </c>
      <c r="AS1139" s="8">
        <f t="shared" si="315"/>
        <v>30.306370520257637</v>
      </c>
    </row>
    <row r="1140" spans="1:45">
      <c r="A1140" s="19">
        <v>45.979266670000001</v>
      </c>
      <c r="B1140" s="19">
        <v>498.55630050000002</v>
      </c>
      <c r="C1140" s="19">
        <v>464.33923299999998</v>
      </c>
      <c r="E1140" s="9">
        <f t="shared" si="301"/>
        <v>-461.44369949999998</v>
      </c>
      <c r="F1140" s="9">
        <f t="shared" si="302"/>
        <v>75.660767000000021</v>
      </c>
      <c r="I1140">
        <v>1</v>
      </c>
      <c r="J1140">
        <f t="shared" si="303"/>
        <v>0.29442612079882141</v>
      </c>
      <c r="K1140">
        <f t="shared" si="307"/>
        <v>2.9790734526296552</v>
      </c>
      <c r="O1140">
        <f t="shared" si="308"/>
        <v>-0.28636681136346981</v>
      </c>
      <c r="P1140">
        <f t="shared" si="309"/>
        <v>4.6954227817134743E-2</v>
      </c>
      <c r="Q1140">
        <f t="shared" si="310"/>
        <v>0.95696883430946467</v>
      </c>
      <c r="R1140">
        <f t="shared" si="300"/>
        <v>1</v>
      </c>
      <c r="AG1140" s="8">
        <f t="shared" si="304"/>
        <v>-0.82629059985029774</v>
      </c>
      <c r="AH1140" s="8">
        <f t="shared" si="305"/>
        <v>-0.24990071170875167</v>
      </c>
      <c r="AI1140" s="8">
        <f t="shared" si="306"/>
        <v>0.50477071912552018</v>
      </c>
      <c r="AJ1140" s="8"/>
      <c r="AK1140" s="8"/>
      <c r="AL1140" s="8"/>
      <c r="AN1140" s="8">
        <f t="shared" si="311"/>
        <v>1.0000000000000002</v>
      </c>
      <c r="AO1140" s="8">
        <f t="shared" si="312"/>
        <v>3.435283572056802</v>
      </c>
      <c r="AP1140" s="8">
        <f t="shared" si="313"/>
        <v>1.0416799829820134</v>
      </c>
      <c r="AQ1140" s="8"/>
      <c r="AR1140" s="8">
        <f t="shared" si="314"/>
        <v>196.82725010948039</v>
      </c>
      <c r="AS1140" s="8">
        <f t="shared" si="315"/>
        <v>30.316133371871217</v>
      </c>
    </row>
    <row r="1141" spans="1:45">
      <c r="A1141" s="19">
        <v>46.01263333</v>
      </c>
      <c r="B1141" s="19">
        <v>497.73649649999999</v>
      </c>
      <c r="C1141" s="19">
        <v>464.18159200000002</v>
      </c>
      <c r="E1141" s="9">
        <f t="shared" si="301"/>
        <v>-462.26350350000001</v>
      </c>
      <c r="F1141" s="9">
        <f t="shared" si="302"/>
        <v>75.818407999999977</v>
      </c>
      <c r="I1141">
        <v>1</v>
      </c>
      <c r="J1141">
        <f t="shared" si="303"/>
        <v>0.2949261109986418</v>
      </c>
      <c r="K1141">
        <f t="shared" si="307"/>
        <v>2.9790245337141146</v>
      </c>
      <c r="O1141">
        <f t="shared" si="308"/>
        <v>-0.28683664454500768</v>
      </c>
      <c r="P1141">
        <f t="shared" si="309"/>
        <v>4.7045673259525217E-2</v>
      </c>
      <c r="Q1141">
        <f t="shared" si="310"/>
        <v>0.9568236221863039</v>
      </c>
      <c r="R1141">
        <f t="shared" si="300"/>
        <v>1</v>
      </c>
      <c r="AG1141" s="8">
        <f t="shared" si="304"/>
        <v>-0.82646850748497314</v>
      </c>
      <c r="AH1141" s="8">
        <f t="shared" si="305"/>
        <v>-0.24943736914520095</v>
      </c>
      <c r="AI1141" s="8">
        <f t="shared" si="306"/>
        <v>0.50470863377743158</v>
      </c>
      <c r="AJ1141" s="8"/>
      <c r="AK1141" s="8"/>
      <c r="AL1141" s="8"/>
      <c r="AN1141" s="8">
        <f t="shared" si="311"/>
        <v>0.99999999999999989</v>
      </c>
      <c r="AO1141" s="8">
        <f t="shared" si="312"/>
        <v>3.4347101781148912</v>
      </c>
      <c r="AP1141" s="8">
        <f t="shared" si="313"/>
        <v>1.0417519016550747</v>
      </c>
      <c r="AQ1141" s="8"/>
      <c r="AR1141" s="8">
        <f t="shared" si="314"/>
        <v>196.79439705661051</v>
      </c>
      <c r="AS1141" s="8">
        <f t="shared" si="315"/>
        <v>30.312012735436618</v>
      </c>
    </row>
    <row r="1142" spans="1:45">
      <c r="A1142" s="19">
        <v>46.045999999999999</v>
      </c>
      <c r="B1142" s="19">
        <v>497.36548900000003</v>
      </c>
      <c r="C1142" s="19">
        <v>463.99958299999997</v>
      </c>
      <c r="E1142" s="9">
        <f t="shared" si="301"/>
        <v>-462.63451099999997</v>
      </c>
      <c r="F1142" s="9">
        <f t="shared" si="302"/>
        <v>76.000417000000027</v>
      </c>
      <c r="I1142">
        <v>1</v>
      </c>
      <c r="J1142">
        <f t="shared" si="303"/>
        <v>0.2951630755594572</v>
      </c>
      <c r="K1142">
        <f t="shared" si="307"/>
        <v>2.9787695178128506</v>
      </c>
      <c r="O1142">
        <f t="shared" si="308"/>
        <v>-0.28704836418650531</v>
      </c>
      <c r="P1142">
        <f t="shared" si="309"/>
        <v>4.7155572830454656E-2</v>
      </c>
      <c r="Q1142">
        <f t="shared" si="310"/>
        <v>0.95675471703508375</v>
      </c>
      <c r="R1142">
        <f t="shared" si="300"/>
        <v>1</v>
      </c>
      <c r="AG1142" s="8">
        <f t="shared" si="304"/>
        <v>-0.82652399068922722</v>
      </c>
      <c r="AH1142" s="8">
        <f t="shared" si="305"/>
        <v>-0.24919696448187229</v>
      </c>
      <c r="AI1142" s="8">
        <f t="shared" si="306"/>
        <v>0.50473653098242732</v>
      </c>
      <c r="AJ1142" s="8"/>
      <c r="AK1142" s="8"/>
      <c r="AL1142" s="8"/>
      <c r="AN1142" s="8">
        <f t="shared" si="311"/>
        <v>1</v>
      </c>
      <c r="AO1142" s="8">
        <f t="shared" si="312"/>
        <v>3.4344250053377605</v>
      </c>
      <c r="AP1142" s="8">
        <f t="shared" si="313"/>
        <v>1.0417195863536579</v>
      </c>
      <c r="AQ1142" s="8"/>
      <c r="AR1142" s="8">
        <f t="shared" si="314"/>
        <v>196.7780578600489</v>
      </c>
      <c r="AS1142" s="8">
        <f t="shared" si="315"/>
        <v>30.313864265821493</v>
      </c>
    </row>
    <row r="1143" spans="1:45">
      <c r="A1143" s="19">
        <v>46.079366669999999</v>
      </c>
      <c r="B1143" s="19">
        <v>496.5052958</v>
      </c>
      <c r="C1143" s="19">
        <v>464.04079339999998</v>
      </c>
      <c r="E1143" s="9">
        <f t="shared" si="301"/>
        <v>-463.4947042</v>
      </c>
      <c r="F1143" s="9">
        <f t="shared" si="302"/>
        <v>75.959206600000016</v>
      </c>
      <c r="I1143">
        <v>1</v>
      </c>
      <c r="J1143">
        <f t="shared" si="303"/>
        <v>0.295667441196173</v>
      </c>
      <c r="K1143">
        <f t="shared" si="307"/>
        <v>2.9791529864150532</v>
      </c>
      <c r="O1143">
        <f t="shared" si="308"/>
        <v>-0.28754259092545809</v>
      </c>
      <c r="P1143">
        <f t="shared" si="309"/>
        <v>4.7123531018774006E-2</v>
      </c>
      <c r="Q1143">
        <f t="shared" si="310"/>
        <v>0.95660787746505482</v>
      </c>
      <c r="R1143">
        <f t="shared" si="300"/>
        <v>1</v>
      </c>
      <c r="AG1143" s="8">
        <f t="shared" si="304"/>
        <v>-0.82675683577151315</v>
      </c>
      <c r="AH1143" s="8">
        <f t="shared" si="305"/>
        <v>-0.24876829047204291</v>
      </c>
      <c r="AI1143" s="8">
        <f t="shared" si="306"/>
        <v>0.50456661815927983</v>
      </c>
      <c r="AJ1143" s="8"/>
      <c r="AK1143" s="8"/>
      <c r="AL1143" s="8"/>
      <c r="AN1143" s="8">
        <f t="shared" si="311"/>
        <v>1</v>
      </c>
      <c r="AO1143" s="8">
        <f t="shared" si="312"/>
        <v>3.4338717799938632</v>
      </c>
      <c r="AP1143" s="8">
        <f t="shared" si="313"/>
        <v>1.0419163989052831</v>
      </c>
      <c r="AQ1143" s="8"/>
      <c r="AR1143" s="8">
        <f t="shared" si="314"/>
        <v>196.74636038272391</v>
      </c>
      <c r="AS1143" s="8">
        <f t="shared" si="315"/>
        <v>30.302587737258172</v>
      </c>
    </row>
    <row r="1144" spans="1:45">
      <c r="A1144" s="19">
        <v>46.112733329999998</v>
      </c>
      <c r="B1144" s="19">
        <v>496.32021900000001</v>
      </c>
      <c r="C1144" s="19">
        <v>464.0710479</v>
      </c>
      <c r="E1144" s="9">
        <f t="shared" si="301"/>
        <v>-463.67978099999999</v>
      </c>
      <c r="F1144" s="9">
        <f t="shared" si="302"/>
        <v>75.928952100000004</v>
      </c>
      <c r="I1144">
        <v>1</v>
      </c>
      <c r="J1144">
        <f t="shared" si="303"/>
        <v>0.29577387555088813</v>
      </c>
      <c r="K1144">
        <f t="shared" si="307"/>
        <v>2.9792802340479185</v>
      </c>
      <c r="O1144">
        <f t="shared" si="308"/>
        <v>-0.28764906102357518</v>
      </c>
      <c r="P1144">
        <f t="shared" si="309"/>
        <v>4.7103394780263354E-2</v>
      </c>
      <c r="Q1144">
        <f t="shared" si="310"/>
        <v>0.95657685937536152</v>
      </c>
      <c r="R1144">
        <f t="shared" si="300"/>
        <v>1</v>
      </c>
      <c r="AG1144" s="8">
        <f t="shared" si="304"/>
        <v>-0.82681171672244824</v>
      </c>
      <c r="AH1144" s="8">
        <f t="shared" si="305"/>
        <v>-0.24868200511963093</v>
      </c>
      <c r="AI1144" s="8">
        <f t="shared" si="306"/>
        <v>0.50451922205220068</v>
      </c>
      <c r="AJ1144" s="8"/>
      <c r="AK1144" s="8"/>
      <c r="AL1144" s="8"/>
      <c r="AN1144" s="8">
        <f t="shared" si="311"/>
        <v>1</v>
      </c>
      <c r="AO1144" s="8">
        <f t="shared" si="312"/>
        <v>3.4337577667248484</v>
      </c>
      <c r="AP1144" s="8">
        <f t="shared" si="313"/>
        <v>1.0419712944832695</v>
      </c>
      <c r="AQ1144" s="8"/>
      <c r="AR1144" s="8">
        <f t="shared" si="314"/>
        <v>196.73982790360088</v>
      </c>
      <c r="AS1144" s="8">
        <f t="shared" si="315"/>
        <v>30.299442452325614</v>
      </c>
    </row>
    <row r="1145" spans="1:45">
      <c r="A1145" s="19">
        <v>46.146099999999997</v>
      </c>
      <c r="B1145" s="19">
        <v>495.66666670000001</v>
      </c>
      <c r="C1145" s="19">
        <v>464.33333329999999</v>
      </c>
      <c r="E1145" s="9">
        <f t="shared" si="301"/>
        <v>-464.33333329999999</v>
      </c>
      <c r="F1145" s="9">
        <f t="shared" si="302"/>
        <v>75.666666700000007</v>
      </c>
      <c r="I1145">
        <v>1</v>
      </c>
      <c r="J1145">
        <f t="shared" si="303"/>
        <v>0.29613472380807365</v>
      </c>
      <c r="K1145">
        <f t="shared" si="307"/>
        <v>2.9800549097298545</v>
      </c>
      <c r="O1145">
        <f t="shared" si="308"/>
        <v>-0.28802613107404812</v>
      </c>
      <c r="P1145">
        <f t="shared" si="309"/>
        <v>4.6936060148819271E-2</v>
      </c>
      <c r="Q1145">
        <f t="shared" si="310"/>
        <v>0.95647161697366723</v>
      </c>
      <c r="R1145">
        <f t="shared" si="300"/>
        <v>1</v>
      </c>
      <c r="AG1145" s="8">
        <f t="shared" si="304"/>
        <v>-0.8270404261508465</v>
      </c>
      <c r="AH1145" s="8">
        <f t="shared" si="305"/>
        <v>-0.24842048583583945</v>
      </c>
      <c r="AI1145" s="8">
        <f t="shared" si="306"/>
        <v>0.50427313603771484</v>
      </c>
      <c r="AJ1145" s="8"/>
      <c r="AK1145" s="8"/>
      <c r="AL1145" s="8"/>
      <c r="AN1145" s="8">
        <f t="shared" si="311"/>
        <v>1</v>
      </c>
      <c r="AO1145" s="8">
        <f t="shared" si="312"/>
        <v>3.4333914727036348</v>
      </c>
      <c r="AP1145" s="8">
        <f t="shared" si="313"/>
        <v>1.0422562903108008</v>
      </c>
      <c r="AQ1145" s="8"/>
      <c r="AR1145" s="8">
        <f t="shared" si="314"/>
        <v>196.71884080212448</v>
      </c>
      <c r="AS1145" s="8">
        <f t="shared" si="315"/>
        <v>30.28311339422924</v>
      </c>
    </row>
    <row r="1146" spans="1:45">
      <c r="A1146" s="19">
        <v>46.179466669999996</v>
      </c>
      <c r="B1146" s="19">
        <v>495.28436670000002</v>
      </c>
      <c r="C1146" s="19">
        <v>463.95267689999997</v>
      </c>
      <c r="E1146" s="9">
        <f t="shared" si="301"/>
        <v>-464.71563329999998</v>
      </c>
      <c r="F1146" s="9">
        <f t="shared" si="302"/>
        <v>76.047323100000028</v>
      </c>
      <c r="I1146">
        <v>1</v>
      </c>
      <c r="J1146">
        <f t="shared" si="303"/>
        <v>0.29639729763760519</v>
      </c>
      <c r="K1146">
        <f t="shared" si="307"/>
        <v>2.9793876445387264</v>
      </c>
      <c r="O1146">
        <f t="shared" si="308"/>
        <v>-0.28824258601532926</v>
      </c>
      <c r="P1146">
        <f t="shared" si="309"/>
        <v>4.7168796354515347E-2</v>
      </c>
      <c r="Q1146">
        <f t="shared" si="310"/>
        <v>0.95639495829791044</v>
      </c>
      <c r="R1146">
        <f t="shared" si="300"/>
        <v>1</v>
      </c>
      <c r="AG1146" s="8">
        <f t="shared" si="304"/>
        <v>-0.82705379640769872</v>
      </c>
      <c r="AH1146" s="8">
        <f t="shared" si="305"/>
        <v>-0.24811924203994673</v>
      </c>
      <c r="AI1146" s="8">
        <f t="shared" si="306"/>
        <v>0.50439950394219801</v>
      </c>
      <c r="AJ1146" s="8"/>
      <c r="AK1146" s="8"/>
      <c r="AL1146" s="8"/>
      <c r="AN1146" s="8">
        <f t="shared" si="311"/>
        <v>1.0000000000000002</v>
      </c>
      <c r="AO1146" s="8">
        <f t="shared" si="312"/>
        <v>3.4330528902790221</v>
      </c>
      <c r="AP1146" s="8">
        <f t="shared" si="313"/>
        <v>1.0421099477111662</v>
      </c>
      <c r="AQ1146" s="8"/>
      <c r="AR1146" s="8">
        <f t="shared" si="314"/>
        <v>196.69944145817684</v>
      </c>
      <c r="AS1146" s="8">
        <f t="shared" si="315"/>
        <v>30.291498207551278</v>
      </c>
    </row>
    <row r="1147" spans="1:45">
      <c r="A1147" s="19">
        <v>46.212833330000002</v>
      </c>
      <c r="B1147" s="19">
        <v>495.09089669999997</v>
      </c>
      <c r="C1147" s="19">
        <v>463.90277250000003</v>
      </c>
      <c r="E1147" s="9">
        <f t="shared" si="301"/>
        <v>-464.90910330000003</v>
      </c>
      <c r="F1147" s="9">
        <f t="shared" si="302"/>
        <v>76.097227499999974</v>
      </c>
      <c r="I1147">
        <v>1</v>
      </c>
      <c r="J1147">
        <f t="shared" si="303"/>
        <v>0.29651639872890329</v>
      </c>
      <c r="K1147">
        <f t="shared" si="307"/>
        <v>2.9793494252181558</v>
      </c>
      <c r="O1147">
        <f t="shared" si="308"/>
        <v>-0.28835319278148269</v>
      </c>
      <c r="P1147">
        <f t="shared" si="309"/>
        <v>4.7198212200384455E-2</v>
      </c>
      <c r="Q1147">
        <f t="shared" si="310"/>
        <v>0.95636016488445008</v>
      </c>
      <c r="R1147">
        <f t="shared" si="300"/>
        <v>1</v>
      </c>
      <c r="AG1147" s="8">
        <f t="shared" si="304"/>
        <v>-0.82709270065958762</v>
      </c>
      <c r="AH1147" s="8">
        <f t="shared" si="305"/>
        <v>-0.24800642744724832</v>
      </c>
      <c r="AI1147" s="8">
        <f t="shared" si="306"/>
        <v>0.50439119387681908</v>
      </c>
      <c r="AJ1147" s="8"/>
      <c r="AK1147" s="8"/>
      <c r="AL1147" s="8"/>
      <c r="AN1147" s="8">
        <f t="shared" si="311"/>
        <v>1.0000000000000004</v>
      </c>
      <c r="AO1147" s="8">
        <f t="shared" si="312"/>
        <v>3.4329148019521938</v>
      </c>
      <c r="AP1147" s="8">
        <f t="shared" si="313"/>
        <v>1.0421195717144571</v>
      </c>
      <c r="AQ1147" s="8"/>
      <c r="AR1147" s="8">
        <f t="shared" si="314"/>
        <v>196.69152957984957</v>
      </c>
      <c r="AS1147" s="8">
        <f t="shared" si="315"/>
        <v>30.29094679278068</v>
      </c>
    </row>
    <row r="1148" spans="1:45">
      <c r="A1148" s="19">
        <v>46.246200000000002</v>
      </c>
      <c r="B1148" s="19">
        <v>494.42729129999998</v>
      </c>
      <c r="C1148" s="19">
        <v>463.8046382</v>
      </c>
      <c r="E1148" s="9">
        <f t="shared" si="301"/>
        <v>-465.57270870000002</v>
      </c>
      <c r="F1148" s="9">
        <f t="shared" si="302"/>
        <v>76.195361800000001</v>
      </c>
      <c r="I1148">
        <v>1</v>
      </c>
      <c r="J1148">
        <f t="shared" si="303"/>
        <v>0.2969177962576911</v>
      </c>
      <c r="K1148">
        <f t="shared" si="307"/>
        <v>2.9793713602556346</v>
      </c>
      <c r="O1148">
        <f t="shared" si="308"/>
        <v>-0.28873304538797878</v>
      </c>
      <c r="P1148">
        <f t="shared" si="309"/>
        <v>4.7253884185743923E-2</v>
      </c>
      <c r="Q1148">
        <f t="shared" si="310"/>
        <v>0.95624280333519041</v>
      </c>
      <c r="R1148">
        <f t="shared" si="300"/>
        <v>1</v>
      </c>
      <c r="AG1148" s="8">
        <f t="shared" si="304"/>
        <v>-0.82724249543430961</v>
      </c>
      <c r="AH1148" s="8">
        <f t="shared" si="305"/>
        <v>-0.24763977937101925</v>
      </c>
      <c r="AI1148" s="8">
        <f t="shared" si="306"/>
        <v>0.5043256818968167</v>
      </c>
      <c r="AJ1148" s="8"/>
      <c r="AK1148" s="8"/>
      <c r="AL1148" s="8"/>
      <c r="AN1148" s="8">
        <f t="shared" si="311"/>
        <v>1</v>
      </c>
      <c r="AO1148" s="8">
        <f t="shared" si="312"/>
        <v>3.4324582679863518</v>
      </c>
      <c r="AP1148" s="8">
        <f t="shared" si="313"/>
        <v>1.0421954401631603</v>
      </c>
      <c r="AQ1148" s="8"/>
      <c r="AR1148" s="8">
        <f t="shared" si="314"/>
        <v>196.66537211040244</v>
      </c>
      <c r="AS1148" s="8">
        <f t="shared" si="315"/>
        <v>30.286599850871781</v>
      </c>
    </row>
    <row r="1149" spans="1:45">
      <c r="A1149" s="19">
        <v>46.279566670000001</v>
      </c>
      <c r="B1149" s="19">
        <v>493.75</v>
      </c>
      <c r="C1149" s="19">
        <v>463.66666670000001</v>
      </c>
      <c r="E1149" s="9">
        <f t="shared" si="301"/>
        <v>-466.25</v>
      </c>
      <c r="F1149" s="9">
        <f t="shared" si="302"/>
        <v>76.333333299999993</v>
      </c>
      <c r="I1149">
        <v>1</v>
      </c>
      <c r="J1149">
        <f t="shared" si="303"/>
        <v>0.29733102972061004</v>
      </c>
      <c r="K1149">
        <f t="shared" si="307"/>
        <v>2.9793146985102137</v>
      </c>
      <c r="O1149">
        <f t="shared" si="308"/>
        <v>-0.28912030272002154</v>
      </c>
      <c r="P1149">
        <f t="shared" si="309"/>
        <v>4.7334083498818964E-2</v>
      </c>
      <c r="Q1149">
        <f t="shared" si="310"/>
        <v>0.95612182021665515</v>
      </c>
      <c r="R1149">
        <f t="shared" si="300"/>
        <v>1</v>
      </c>
      <c r="AG1149" s="8">
        <f t="shared" si="304"/>
        <v>-0.82738668290035933</v>
      </c>
      <c r="AH1149" s="8">
        <f t="shared" si="305"/>
        <v>-0.24725512079039111</v>
      </c>
      <c r="AI1149" s="8">
        <f t="shared" si="306"/>
        <v>0.50427788192827705</v>
      </c>
      <c r="AJ1149" s="8"/>
      <c r="AK1149" s="8"/>
      <c r="AL1149" s="8"/>
      <c r="AN1149" s="8">
        <f t="shared" si="311"/>
        <v>1</v>
      </c>
      <c r="AO1149" s="8">
        <f t="shared" si="312"/>
        <v>3.4319836506887418</v>
      </c>
      <c r="AP1149" s="8">
        <f t="shared" si="313"/>
        <v>1.0422507944738562</v>
      </c>
      <c r="AQ1149" s="8"/>
      <c r="AR1149" s="8">
        <f t="shared" si="314"/>
        <v>196.63817854236549</v>
      </c>
      <c r="AS1149" s="8">
        <f t="shared" si="315"/>
        <v>30.283428282491059</v>
      </c>
    </row>
    <row r="1150" spans="1:45">
      <c r="A1150" s="19">
        <v>47.080366669999997</v>
      </c>
      <c r="B1150" s="19">
        <v>480.41666670000001</v>
      </c>
      <c r="C1150" s="19">
        <v>460.5</v>
      </c>
      <c r="E1150" s="9">
        <f t="shared" si="301"/>
        <v>-479.58333329999999</v>
      </c>
      <c r="F1150" s="9">
        <f t="shared" si="302"/>
        <v>79.5</v>
      </c>
      <c r="I1150">
        <v>1</v>
      </c>
      <c r="J1150">
        <f t="shared" si="303"/>
        <v>0.30548963495580977</v>
      </c>
      <c r="K1150">
        <f t="shared" si="307"/>
        <v>2.9773176091284785</v>
      </c>
      <c r="O1150">
        <f t="shared" si="308"/>
        <v>-0.29671109341411167</v>
      </c>
      <c r="P1150">
        <f t="shared" si="309"/>
        <v>4.918547057110987E-2</v>
      </c>
      <c r="Q1150">
        <f t="shared" si="310"/>
        <v>0.95369980419925682</v>
      </c>
      <c r="R1150">
        <f t="shared" si="300"/>
        <v>1</v>
      </c>
      <c r="AG1150" s="8">
        <f t="shared" si="304"/>
        <v>-0.83008761899275618</v>
      </c>
      <c r="AH1150" s="8">
        <f t="shared" si="305"/>
        <v>-0.23956827750822315</v>
      </c>
      <c r="AI1150" s="8">
        <f t="shared" si="306"/>
        <v>0.50354898987752916</v>
      </c>
      <c r="AJ1150" s="8"/>
      <c r="AK1150" s="8"/>
      <c r="AL1150" s="8"/>
      <c r="AN1150" s="8">
        <f t="shared" si="311"/>
        <v>1</v>
      </c>
      <c r="AO1150" s="8">
        <f t="shared" si="312"/>
        <v>3.4225637486456368</v>
      </c>
      <c r="AP1150" s="8">
        <f t="shared" si="313"/>
        <v>1.043094659693979</v>
      </c>
      <c r="AQ1150" s="8"/>
      <c r="AR1150" s="8">
        <f t="shared" si="314"/>
        <v>196.09845791186891</v>
      </c>
      <c r="AS1150" s="8">
        <f t="shared" si="315"/>
        <v>30.23507836690014</v>
      </c>
    </row>
    <row r="1151" spans="1:45">
      <c r="A1151" s="19">
        <v>47.147100000000002</v>
      </c>
      <c r="B1151" s="19">
        <v>479.5</v>
      </c>
      <c r="C1151" s="19">
        <v>460.58333329999999</v>
      </c>
      <c r="E1151" s="9">
        <f t="shared" si="301"/>
        <v>-480.5</v>
      </c>
      <c r="F1151" s="9">
        <f t="shared" si="302"/>
        <v>79.416666700000007</v>
      </c>
      <c r="I1151">
        <v>1</v>
      </c>
      <c r="J1151">
        <f t="shared" si="303"/>
        <v>0.30601986064649683</v>
      </c>
      <c r="K1151">
        <f t="shared" si="307"/>
        <v>2.9777942242392115</v>
      </c>
      <c r="O1151">
        <f t="shared" si="308"/>
        <v>-0.29723336818006352</v>
      </c>
      <c r="P1151">
        <f t="shared" si="309"/>
        <v>4.9126500172475537E-2</v>
      </c>
      <c r="Q1151">
        <f t="shared" si="310"/>
        <v>0.95354019937343937</v>
      </c>
      <c r="R1151">
        <f t="shared" si="300"/>
        <v>1</v>
      </c>
      <c r="AG1151" s="8">
        <f t="shared" si="304"/>
        <v>-0.83033880444291208</v>
      </c>
      <c r="AH1151" s="8">
        <f t="shared" si="305"/>
        <v>-0.23912394930768099</v>
      </c>
      <c r="AI1151" s="8">
        <f t="shared" si="306"/>
        <v>0.50334601091477127</v>
      </c>
      <c r="AJ1151" s="8"/>
      <c r="AK1151" s="8"/>
      <c r="AL1151" s="8"/>
      <c r="AN1151" s="8">
        <f t="shared" si="311"/>
        <v>1</v>
      </c>
      <c r="AO1151" s="8">
        <f t="shared" si="312"/>
        <v>3.4219890880994117</v>
      </c>
      <c r="AP1151" s="8">
        <f t="shared" si="313"/>
        <v>1.0433295820301498</v>
      </c>
      <c r="AQ1151" s="8"/>
      <c r="AR1151" s="8">
        <f t="shared" si="314"/>
        <v>196.06553228791753</v>
      </c>
      <c r="AS1151" s="8">
        <f t="shared" si="315"/>
        <v>30.221618308524199</v>
      </c>
    </row>
    <row r="1152" spans="1:45">
      <c r="A1152" s="19">
        <v>48.048000000000002</v>
      </c>
      <c r="B1152" s="19">
        <v>465</v>
      </c>
      <c r="C1152" s="19">
        <v>458.66666670000001</v>
      </c>
      <c r="E1152" s="9">
        <f t="shared" si="301"/>
        <v>-495</v>
      </c>
      <c r="F1152" s="9">
        <f t="shared" si="302"/>
        <v>81.333333299999993</v>
      </c>
      <c r="I1152">
        <v>1</v>
      </c>
      <c r="J1152">
        <f t="shared" si="303"/>
        <v>0.31469741868463308</v>
      </c>
      <c r="K1152">
        <f t="shared" si="307"/>
        <v>2.9787380513074311</v>
      </c>
      <c r="O1152">
        <f t="shared" si="308"/>
        <v>-0.30543322518361571</v>
      </c>
      <c r="P1152">
        <f t="shared" si="309"/>
        <v>5.018566122172316E-2</v>
      </c>
      <c r="Q1152">
        <f t="shared" si="310"/>
        <v>0.95089008006271314</v>
      </c>
      <c r="R1152">
        <f t="shared" si="300"/>
        <v>1</v>
      </c>
      <c r="AG1152" s="8">
        <f t="shared" si="304"/>
        <v>-0.83353897697802493</v>
      </c>
      <c r="AH1152" s="8">
        <f t="shared" si="305"/>
        <v>-0.23121216652268983</v>
      </c>
      <c r="AI1152" s="8">
        <f t="shared" si="306"/>
        <v>0.50175064315884199</v>
      </c>
      <c r="AJ1152" s="8"/>
      <c r="AK1152" s="8"/>
      <c r="AL1152" s="8"/>
      <c r="AN1152" s="8">
        <f t="shared" si="311"/>
        <v>1</v>
      </c>
      <c r="AO1152" s="8">
        <f t="shared" si="312"/>
        <v>3.4121758916998477</v>
      </c>
      <c r="AP1152" s="8">
        <f t="shared" si="313"/>
        <v>1.045174900216078</v>
      </c>
      <c r="AQ1152" s="8"/>
      <c r="AR1152" s="8">
        <f t="shared" si="314"/>
        <v>195.50327755068955</v>
      </c>
      <c r="AS1152" s="8">
        <f t="shared" si="315"/>
        <v>30.115889364611782</v>
      </c>
    </row>
    <row r="1153" spans="1:45">
      <c r="A1153" s="19">
        <v>48.081366670000001</v>
      </c>
      <c r="B1153" s="19">
        <v>465.29926890000002</v>
      </c>
      <c r="C1153" s="19">
        <v>458.27513499999998</v>
      </c>
      <c r="E1153" s="9">
        <f t="shared" si="301"/>
        <v>-494.70073109999998</v>
      </c>
      <c r="F1153" s="9">
        <f t="shared" si="302"/>
        <v>81.724865000000023</v>
      </c>
      <c r="I1153">
        <v>1</v>
      </c>
      <c r="J1153">
        <f t="shared" si="303"/>
        <v>0.3145602789754624</v>
      </c>
      <c r="K1153">
        <f t="shared" si="307"/>
        <v>2.9778707430894999</v>
      </c>
      <c r="O1153">
        <f t="shared" si="308"/>
        <v>-0.30526092005604705</v>
      </c>
      <c r="P1153">
        <f t="shared" si="309"/>
        <v>5.0429291717204526E-2</v>
      </c>
      <c r="Q1153">
        <f t="shared" si="310"/>
        <v>0.95093251980539439</v>
      </c>
      <c r="R1153">
        <f t="shared" si="300"/>
        <v>1</v>
      </c>
      <c r="AG1153" s="8">
        <f t="shared" si="304"/>
        <v>-0.83337629721699025</v>
      </c>
      <c r="AH1153" s="8">
        <f t="shared" si="305"/>
        <v>-0.23125615534923333</v>
      </c>
      <c r="AI1153" s="8">
        <f t="shared" si="306"/>
        <v>0.50200053570687575</v>
      </c>
      <c r="AJ1153" s="8"/>
      <c r="AK1153" s="8"/>
      <c r="AL1153" s="8"/>
      <c r="AN1153" s="8">
        <f t="shared" si="311"/>
        <v>1.0000000000000002</v>
      </c>
      <c r="AO1153" s="8">
        <f t="shared" si="312"/>
        <v>3.4122751803909019</v>
      </c>
      <c r="AP1153" s="8">
        <f t="shared" si="313"/>
        <v>1.0448859869946987</v>
      </c>
      <c r="AQ1153" s="8"/>
      <c r="AR1153" s="8">
        <f t="shared" si="314"/>
        <v>195.50896637364033</v>
      </c>
      <c r="AS1153" s="8">
        <f t="shared" si="315"/>
        <v>30.13244287284234</v>
      </c>
    </row>
    <row r="1154" spans="1:45">
      <c r="A1154" s="19">
        <v>48.11473333</v>
      </c>
      <c r="B1154" s="19">
        <v>464.34247210000001</v>
      </c>
      <c r="C1154" s="19">
        <v>458.0782155</v>
      </c>
      <c r="E1154" s="9">
        <f t="shared" si="301"/>
        <v>-495.65752789999999</v>
      </c>
      <c r="F1154" s="9">
        <f t="shared" si="302"/>
        <v>81.921784500000001</v>
      </c>
      <c r="I1154">
        <v>1</v>
      </c>
      <c r="J1154">
        <f t="shared" si="303"/>
        <v>0.31513808995516746</v>
      </c>
      <c r="K1154">
        <f t="shared" si="307"/>
        <v>2.9777944336578424</v>
      </c>
      <c r="O1154">
        <f t="shared" si="308"/>
        <v>-0.30579912470889259</v>
      </c>
      <c r="P1154">
        <f t="shared" si="309"/>
        <v>5.0542175967404644E-2</v>
      </c>
      <c r="Q1154">
        <f t="shared" si="310"/>
        <v>0.95075358730627735</v>
      </c>
      <c r="R1154">
        <f t="shared" si="300"/>
        <v>1</v>
      </c>
      <c r="AG1154" s="8">
        <f t="shared" si="304"/>
        <v>-0.83356884357190175</v>
      </c>
      <c r="AH1154" s="8">
        <f t="shared" si="305"/>
        <v>-0.23071548792777466</v>
      </c>
      <c r="AI1154" s="8">
        <f t="shared" si="306"/>
        <v>0.5019296232107161</v>
      </c>
      <c r="AJ1154" s="8"/>
      <c r="AK1154" s="8"/>
      <c r="AL1154" s="8"/>
      <c r="AN1154" s="8">
        <f t="shared" si="311"/>
        <v>1.0000000000000002</v>
      </c>
      <c r="AO1154" s="8">
        <f t="shared" si="312"/>
        <v>3.4116133001453326</v>
      </c>
      <c r="AP1154" s="8">
        <f t="shared" si="313"/>
        <v>1.0449679773857936</v>
      </c>
      <c r="AQ1154" s="8"/>
      <c r="AR1154" s="8">
        <f t="shared" si="314"/>
        <v>195.47104342902611</v>
      </c>
      <c r="AS1154" s="8">
        <f t="shared" si="315"/>
        <v>30.127745169471972</v>
      </c>
    </row>
    <row r="1155" spans="1:45">
      <c r="A1155" s="19">
        <v>48.148099999999999</v>
      </c>
      <c r="B1155" s="19">
        <v>464.0463828</v>
      </c>
      <c r="C1155" s="19">
        <v>458.06806920000002</v>
      </c>
      <c r="E1155" s="9">
        <f t="shared" si="301"/>
        <v>-495.9536172</v>
      </c>
      <c r="F1155" s="9">
        <f t="shared" si="302"/>
        <v>81.931930799999975</v>
      </c>
      <c r="I1155">
        <v>1</v>
      </c>
      <c r="J1155">
        <f t="shared" si="303"/>
        <v>0.31531195632145359</v>
      </c>
      <c r="K1155">
        <f t="shared" si="307"/>
        <v>2.9778705698849106</v>
      </c>
      <c r="O1155">
        <f t="shared" si="308"/>
        <v>-0.30596606082479155</v>
      </c>
      <c r="P1155">
        <f t="shared" si="309"/>
        <v>5.0545835846855514E-2</v>
      </c>
      <c r="Q1155">
        <f t="shared" si="310"/>
        <v>0.95069968344472622</v>
      </c>
      <c r="R1155">
        <f t="shared" si="300"/>
        <v>1</v>
      </c>
      <c r="AG1155" s="8">
        <f t="shared" si="304"/>
        <v>-0.83363984291605076</v>
      </c>
      <c r="AH1155" s="8">
        <f t="shared" si="305"/>
        <v>-0.23056222241900459</v>
      </c>
      <c r="AI1155" s="8">
        <f t="shared" si="306"/>
        <v>0.50188213147721417</v>
      </c>
      <c r="AJ1155" s="8"/>
      <c r="AK1155" s="8"/>
      <c r="AL1155" s="8"/>
      <c r="AN1155" s="8">
        <f t="shared" si="311"/>
        <v>1</v>
      </c>
      <c r="AO1155" s="8">
        <f t="shared" si="312"/>
        <v>3.4114206255903454</v>
      </c>
      <c r="AP1155" s="8">
        <f t="shared" si="313"/>
        <v>1.0450228860596957</v>
      </c>
      <c r="AQ1155" s="8"/>
      <c r="AR1155" s="8">
        <f t="shared" si="314"/>
        <v>195.46000399020579</v>
      </c>
      <c r="AS1155" s="8">
        <f t="shared" si="315"/>
        <v>30.124599134198725</v>
      </c>
    </row>
    <row r="1156" spans="1:45">
      <c r="A1156" s="19">
        <v>49.6496</v>
      </c>
      <c r="B1156" s="19">
        <v>440</v>
      </c>
      <c r="C1156" s="19">
        <v>454.16666670000001</v>
      </c>
      <c r="E1156" s="9">
        <f t="shared" si="301"/>
        <v>-520</v>
      </c>
      <c r="F1156" s="9">
        <f t="shared" si="302"/>
        <v>85.833333299999993</v>
      </c>
      <c r="I1156">
        <v>1</v>
      </c>
      <c r="J1156">
        <f t="shared" si="303"/>
        <v>0.32966296169047876</v>
      </c>
      <c r="K1156">
        <f t="shared" si="307"/>
        <v>2.9780036318484209</v>
      </c>
      <c r="O1156">
        <f t="shared" si="308"/>
        <v>-0.31940215828557367</v>
      </c>
      <c r="P1156">
        <f t="shared" si="309"/>
        <v>5.2721830593971133E-2</v>
      </c>
      <c r="Q1156">
        <f t="shared" si="310"/>
        <v>0.9461515047080663</v>
      </c>
      <c r="R1156">
        <f t="shared" si="300"/>
        <v>1</v>
      </c>
      <c r="AG1156" s="8">
        <f t="shared" si="304"/>
        <v>-0.83859976694591054</v>
      </c>
      <c r="AH1156" s="8">
        <f t="shared" si="305"/>
        <v>-0.2173026958806577</v>
      </c>
      <c r="AI1156" s="8">
        <f t="shared" si="306"/>
        <v>0.49952974810441769</v>
      </c>
      <c r="AJ1156" s="8"/>
      <c r="AK1156" s="8"/>
      <c r="AL1156" s="8"/>
      <c r="AN1156" s="8">
        <f t="shared" si="311"/>
        <v>1</v>
      </c>
      <c r="AO1156" s="8">
        <f t="shared" si="312"/>
        <v>3.3951415359433659</v>
      </c>
      <c r="AP1156" s="8">
        <f t="shared" si="313"/>
        <v>1.0477404662513274</v>
      </c>
      <c r="AQ1156" s="8"/>
      <c r="AR1156" s="8">
        <f t="shared" si="314"/>
        <v>194.52728085911875</v>
      </c>
      <c r="AS1156" s="8">
        <f t="shared" si="315"/>
        <v>29.968893258729871</v>
      </c>
    </row>
    <row r="1157" spans="1:45">
      <c r="A1157" s="19">
        <v>49.682966669999999</v>
      </c>
      <c r="B1157" s="19">
        <v>440.16666670000001</v>
      </c>
      <c r="C1157" s="19">
        <v>454.16666670000001</v>
      </c>
      <c r="E1157" s="9">
        <f t="shared" si="301"/>
        <v>-519.83333330000005</v>
      </c>
      <c r="F1157" s="9">
        <f t="shared" si="302"/>
        <v>85.833333299999993</v>
      </c>
      <c r="I1157">
        <v>1</v>
      </c>
      <c r="J1157">
        <f t="shared" si="303"/>
        <v>0.32956653221645965</v>
      </c>
      <c r="K1157">
        <f t="shared" si="307"/>
        <v>2.9779521138326355</v>
      </c>
      <c r="O1157">
        <f t="shared" si="308"/>
        <v>-0.31930942221833619</v>
      </c>
      <c r="P1157">
        <f t="shared" si="309"/>
        <v>5.2723421734250098E-2</v>
      </c>
      <c r="Q1157">
        <f t="shared" si="310"/>
        <v>0.94618271685928856</v>
      </c>
      <c r="R1157">
        <f t="shared" si="300"/>
        <v>1</v>
      </c>
      <c r="AG1157" s="8">
        <f t="shared" si="304"/>
        <v>-0.83856001505115119</v>
      </c>
      <c r="AH1157" s="8">
        <f t="shared" si="305"/>
        <v>-0.21738690317113557</v>
      </c>
      <c r="AI1157" s="8">
        <f t="shared" si="306"/>
        <v>0.49955984174778961</v>
      </c>
      <c r="AJ1157" s="8"/>
      <c r="AK1157" s="8"/>
      <c r="AL1157" s="8"/>
      <c r="AN1157" s="8">
        <f t="shared" si="311"/>
        <v>1.0000000000000002</v>
      </c>
      <c r="AO1157" s="8">
        <f t="shared" si="312"/>
        <v>3.3952471444188648</v>
      </c>
      <c r="AP1157" s="8">
        <f t="shared" si="313"/>
        <v>1.0477057276408521</v>
      </c>
      <c r="AQ1157" s="8"/>
      <c r="AR1157" s="8">
        <f t="shared" si="314"/>
        <v>194.53333177904565</v>
      </c>
      <c r="AS1157" s="8">
        <f t="shared" si="315"/>
        <v>29.970883634496253</v>
      </c>
    </row>
    <row r="1158" spans="1:45">
      <c r="A1158" s="19">
        <v>50.05</v>
      </c>
      <c r="B1158" s="19">
        <v>433</v>
      </c>
      <c r="C1158" s="19">
        <v>452.83333329999999</v>
      </c>
      <c r="E1158" s="9">
        <f t="shared" si="301"/>
        <v>-527</v>
      </c>
      <c r="F1158" s="9">
        <f t="shared" si="302"/>
        <v>87.166666700000007</v>
      </c>
      <c r="I1158">
        <v>1</v>
      </c>
      <c r="J1158">
        <f t="shared" si="303"/>
        <v>0.33383450404611492</v>
      </c>
      <c r="K1158">
        <f t="shared" si="307"/>
        <v>2.9776750603852307</v>
      </c>
      <c r="O1158">
        <f t="shared" si="308"/>
        <v>-0.3232760329010308</v>
      </c>
      <c r="P1158">
        <f t="shared" si="309"/>
        <v>5.3470387499017877E-2</v>
      </c>
      <c r="Q1158">
        <f t="shared" si="310"/>
        <v>0.94479284724879053</v>
      </c>
      <c r="R1158">
        <f t="shared" si="300"/>
        <v>1</v>
      </c>
      <c r="AG1158" s="8">
        <f t="shared" si="304"/>
        <v>-0.8399580682513661</v>
      </c>
      <c r="AH1158" s="8">
        <f t="shared" si="305"/>
        <v>-0.21340313339631384</v>
      </c>
      <c r="AI1158" s="8">
        <f t="shared" si="306"/>
        <v>0.49892839790501864</v>
      </c>
      <c r="AJ1158" s="8"/>
      <c r="AK1158" s="8"/>
      <c r="AL1158" s="8"/>
      <c r="AN1158" s="8">
        <f t="shared" si="311"/>
        <v>1</v>
      </c>
      <c r="AO1158" s="8">
        <f t="shared" si="312"/>
        <v>3.3903926151531003</v>
      </c>
      <c r="AP1158" s="8">
        <f t="shared" si="313"/>
        <v>1.0484344893505062</v>
      </c>
      <c r="AQ1158" s="8"/>
      <c r="AR1158" s="8">
        <f t="shared" si="314"/>
        <v>194.25518774059461</v>
      </c>
      <c r="AS1158" s="8">
        <f t="shared" si="315"/>
        <v>29.929128664262343</v>
      </c>
    </row>
    <row r="1159" spans="1:45">
      <c r="A1159" s="19">
        <v>50.083366669999997</v>
      </c>
      <c r="B1159" s="19">
        <v>432.58333329999999</v>
      </c>
      <c r="C1159" s="19">
        <v>452.75</v>
      </c>
      <c r="E1159" s="9">
        <f t="shared" si="301"/>
        <v>-527.41666669999995</v>
      </c>
      <c r="F1159" s="9">
        <f t="shared" si="302"/>
        <v>87.25</v>
      </c>
      <c r="I1159">
        <v>1</v>
      </c>
      <c r="J1159">
        <f t="shared" si="303"/>
        <v>0.33408282709232645</v>
      </c>
      <c r="K1159">
        <f t="shared" si="307"/>
        <v>2.9776484552420373</v>
      </c>
      <c r="O1159">
        <f t="shared" si="308"/>
        <v>-0.3235060681829966</v>
      </c>
      <c r="P1159">
        <f t="shared" si="309"/>
        <v>5.3517278142864784E-2</v>
      </c>
      <c r="Q1159">
        <f t="shared" si="310"/>
        <v>0.94471145054400474</v>
      </c>
      <c r="R1159">
        <f t="shared" si="300"/>
        <v>1</v>
      </c>
      <c r="AG1159" s="8">
        <f t="shared" si="304"/>
        <v>-0.84003744196909169</v>
      </c>
      <c r="AH1159" s="8">
        <f t="shared" si="305"/>
        <v>-0.21317014905579851</v>
      </c>
      <c r="AI1159" s="8">
        <f t="shared" si="306"/>
        <v>0.49889436120440722</v>
      </c>
      <c r="AJ1159" s="8"/>
      <c r="AK1159" s="8"/>
      <c r="AL1159" s="8"/>
      <c r="AN1159" s="8">
        <f t="shared" si="311"/>
        <v>1</v>
      </c>
      <c r="AO1159" s="8">
        <f t="shared" si="312"/>
        <v>3.3901095113896331</v>
      </c>
      <c r="AP1159" s="8">
        <f t="shared" si="313"/>
        <v>1.0484737630855796</v>
      </c>
      <c r="AQ1159" s="8"/>
      <c r="AR1159" s="8">
        <f t="shared" si="314"/>
        <v>194.23896708978367</v>
      </c>
      <c r="AS1159" s="8">
        <f t="shared" si="315"/>
        <v>29.926878444996916</v>
      </c>
    </row>
    <row r="1160" spans="1:45">
      <c r="A1160" s="19">
        <v>50.116733330000002</v>
      </c>
      <c r="B1160" s="19">
        <v>431.75</v>
      </c>
      <c r="C1160" s="19">
        <v>452.5</v>
      </c>
      <c r="E1160" s="9">
        <f t="shared" si="301"/>
        <v>-528.25</v>
      </c>
      <c r="F1160" s="9">
        <f t="shared" si="302"/>
        <v>87.5</v>
      </c>
      <c r="I1160">
        <v>1</v>
      </c>
      <c r="J1160">
        <f t="shared" si="303"/>
        <v>0.33458730647664237</v>
      </c>
      <c r="K1160">
        <f t="shared" si="307"/>
        <v>2.9774418266269067</v>
      </c>
      <c r="O1160">
        <f t="shared" si="308"/>
        <v>-0.32396514280509625</v>
      </c>
      <c r="P1160">
        <f t="shared" si="309"/>
        <v>5.3661997151814411E-2</v>
      </c>
      <c r="Q1160">
        <f t="shared" si="310"/>
        <v>0.94454591011181255</v>
      </c>
      <c r="R1160">
        <f t="shared" si="300"/>
        <v>1</v>
      </c>
      <c r="AG1160" s="8">
        <f t="shared" si="304"/>
        <v>-0.8401771128920994</v>
      </c>
      <c r="AH1160" s="8">
        <f t="shared" si="305"/>
        <v>-0.21268139428533028</v>
      </c>
      <c r="AI1160" s="8">
        <f t="shared" si="306"/>
        <v>0.49886776153319862</v>
      </c>
      <c r="AJ1160" s="8"/>
      <c r="AK1160" s="8"/>
      <c r="AL1160" s="8"/>
      <c r="AN1160" s="8">
        <f t="shared" si="311"/>
        <v>1</v>
      </c>
      <c r="AO1160" s="8">
        <f t="shared" si="312"/>
        <v>3.3895232570491234</v>
      </c>
      <c r="AP1160" s="8">
        <f t="shared" si="313"/>
        <v>1.0485044548795561</v>
      </c>
      <c r="AQ1160" s="8"/>
      <c r="AR1160" s="8">
        <f t="shared" si="314"/>
        <v>194.20537719035124</v>
      </c>
      <c r="AS1160" s="8">
        <f t="shared" si="315"/>
        <v>29.925119934736379</v>
      </c>
    </row>
    <row r="1161" spans="1:45">
      <c r="A1161" s="19">
        <v>50.150100000000002</v>
      </c>
      <c r="B1161" s="19">
        <v>431.75</v>
      </c>
      <c r="C1161" s="19">
        <v>452.41666670000001</v>
      </c>
      <c r="E1161" s="9">
        <f t="shared" si="301"/>
        <v>-528.25</v>
      </c>
      <c r="F1161" s="9">
        <f t="shared" si="302"/>
        <v>87.583333299999993</v>
      </c>
      <c r="I1161">
        <v>1</v>
      </c>
      <c r="J1161">
        <f t="shared" si="303"/>
        <v>0.33459526958485131</v>
      </c>
      <c r="K1161">
        <f t="shared" si="307"/>
        <v>2.9772882897112751</v>
      </c>
      <c r="O1161">
        <f t="shared" si="308"/>
        <v>-0.32396432010309201</v>
      </c>
      <c r="P1161">
        <f t="shared" si="309"/>
        <v>5.3712967392138267E-2</v>
      </c>
      <c r="Q1161">
        <f t="shared" si="310"/>
        <v>0.94454329516125013</v>
      </c>
      <c r="R1161">
        <f t="shared" si="300"/>
        <v>1</v>
      </c>
      <c r="AG1161" s="8">
        <f t="shared" si="304"/>
        <v>-0.84015822931096218</v>
      </c>
      <c r="AH1161" s="8">
        <f t="shared" si="305"/>
        <v>-0.21265853170027388</v>
      </c>
      <c r="AI1161" s="8">
        <f t="shared" si="306"/>
        <v>0.49890930900931535</v>
      </c>
      <c r="AJ1161" s="8"/>
      <c r="AK1161" s="8"/>
      <c r="AL1161" s="8"/>
      <c r="AN1161" s="8">
        <f t="shared" si="311"/>
        <v>1.0000000000000002</v>
      </c>
      <c r="AO1161" s="8">
        <f t="shared" si="312"/>
        <v>3.3895030304115914</v>
      </c>
      <c r="AP1161" s="8">
        <f t="shared" si="313"/>
        <v>1.0484565154558898</v>
      </c>
      <c r="AQ1161" s="8"/>
      <c r="AR1161" s="8">
        <f t="shared" si="314"/>
        <v>194.20421828938692</v>
      </c>
      <c r="AS1161" s="8">
        <f t="shared" si="315"/>
        <v>29.927866661384748</v>
      </c>
    </row>
    <row r="1162" spans="1:45">
      <c r="A1162" s="19">
        <v>50.183466670000001</v>
      </c>
      <c r="B1162" s="19">
        <v>431.25</v>
      </c>
      <c r="C1162" s="19">
        <v>453</v>
      </c>
      <c r="E1162" s="9">
        <f t="shared" si="301"/>
        <v>-528.75</v>
      </c>
      <c r="F1162" s="9">
        <f t="shared" si="302"/>
        <v>87</v>
      </c>
      <c r="I1162">
        <v>1</v>
      </c>
      <c r="J1162">
        <f t="shared" si="303"/>
        <v>0.33482802459050787</v>
      </c>
      <c r="K1162">
        <f t="shared" si="307"/>
        <v>2.9785148429801658</v>
      </c>
      <c r="O1162">
        <f t="shared" si="308"/>
        <v>-0.3242468797360511</v>
      </c>
      <c r="P1162">
        <f t="shared" si="309"/>
        <v>5.3351259644513448E-2</v>
      </c>
      <c r="Q1162">
        <f t="shared" si="310"/>
        <v>0.94446683587925861</v>
      </c>
      <c r="R1162">
        <f t="shared" si="300"/>
        <v>1</v>
      </c>
      <c r="AG1162" s="8">
        <f t="shared" si="304"/>
        <v>-0.84040802586051844</v>
      </c>
      <c r="AH1162" s="8">
        <f t="shared" si="305"/>
        <v>-0.2125664890446235</v>
      </c>
      <c r="AI1162" s="8">
        <f t="shared" si="306"/>
        <v>0.49852767004898363</v>
      </c>
      <c r="AJ1162" s="8"/>
      <c r="AK1162" s="8"/>
      <c r="AL1162" s="8"/>
      <c r="AN1162" s="8">
        <f t="shared" si="311"/>
        <v>1.0000000000000002</v>
      </c>
      <c r="AO1162" s="8">
        <f t="shared" si="312"/>
        <v>3.3893293910280136</v>
      </c>
      <c r="AP1162" s="8">
        <f t="shared" si="313"/>
        <v>1.0488968186493817</v>
      </c>
      <c r="AQ1162" s="8"/>
      <c r="AR1162" s="8">
        <f t="shared" si="314"/>
        <v>194.19426948555065</v>
      </c>
      <c r="AS1162" s="8">
        <f t="shared" si="315"/>
        <v>29.902639146691534</v>
      </c>
    </row>
    <row r="1163" spans="1:45">
      <c r="A1163" s="19">
        <v>50.21683333</v>
      </c>
      <c r="B1163" s="19">
        <v>431.25</v>
      </c>
      <c r="C1163" s="19">
        <v>452.25</v>
      </c>
      <c r="E1163" s="9">
        <f t="shared" si="301"/>
        <v>-528.75</v>
      </c>
      <c r="F1163" s="9">
        <f t="shared" si="302"/>
        <v>87.75</v>
      </c>
      <c r="I1163">
        <v>1</v>
      </c>
      <c r="J1163">
        <f t="shared" si="303"/>
        <v>0.33489948093601823</v>
      </c>
      <c r="K1163">
        <f t="shared" si="307"/>
        <v>2.9771341071905146</v>
      </c>
      <c r="O1163">
        <f t="shared" si="308"/>
        <v>-0.32423948340181336</v>
      </c>
      <c r="P1163">
        <f t="shared" si="309"/>
        <v>5.3809956819875431E-2</v>
      </c>
      <c r="Q1163">
        <f t="shared" si="310"/>
        <v>0.9444433524306094</v>
      </c>
      <c r="R1163">
        <f t="shared" si="300"/>
        <v>1</v>
      </c>
      <c r="AG1163" s="8">
        <f t="shared" si="304"/>
        <v>-0.8402381251632498</v>
      </c>
      <c r="AH1163" s="8">
        <f t="shared" si="305"/>
        <v>-0.21236076087008476</v>
      </c>
      <c r="AI1163" s="8">
        <f t="shared" si="306"/>
        <v>0.49890159376857668</v>
      </c>
      <c r="AJ1163" s="8"/>
      <c r="AK1163" s="8"/>
      <c r="AL1163" s="8"/>
      <c r="AN1163" s="8">
        <f t="shared" si="311"/>
        <v>1.0000000000000004</v>
      </c>
      <c r="AO1163" s="8">
        <f t="shared" si="312"/>
        <v>3.3891473287487996</v>
      </c>
      <c r="AP1163" s="8">
        <f t="shared" si="313"/>
        <v>1.0484654177619932</v>
      </c>
      <c r="AQ1163" s="8"/>
      <c r="AR1163" s="8">
        <f t="shared" si="314"/>
        <v>194.18383808534315</v>
      </c>
      <c r="AS1163" s="8">
        <f t="shared" si="315"/>
        <v>29.927356596817091</v>
      </c>
    </row>
    <row r="1164" spans="1:45">
      <c r="A1164" s="19">
        <v>50.2502</v>
      </c>
      <c r="B1164" s="19">
        <v>430.25</v>
      </c>
      <c r="C1164" s="19">
        <v>452.5</v>
      </c>
      <c r="E1164" s="9">
        <f t="shared" si="301"/>
        <v>-529.75</v>
      </c>
      <c r="F1164" s="9">
        <f t="shared" si="302"/>
        <v>87.5</v>
      </c>
      <c r="I1164">
        <v>1</v>
      </c>
      <c r="J1164">
        <f t="shared" si="303"/>
        <v>0.33545203104142568</v>
      </c>
      <c r="K1164">
        <f t="shared" si="307"/>
        <v>2.9778983535943064</v>
      </c>
      <c r="O1164">
        <f t="shared" si="308"/>
        <v>-0.32479533938623306</v>
      </c>
      <c r="P1164">
        <f t="shared" si="309"/>
        <v>5.3647177340812431E-2</v>
      </c>
      <c r="Q1164">
        <f t="shared" si="310"/>
        <v>0.94426159928080577</v>
      </c>
      <c r="R1164">
        <f t="shared" si="300"/>
        <v>1</v>
      </c>
      <c r="AG1164" s="8">
        <f t="shared" si="304"/>
        <v>-0.84052982329626291</v>
      </c>
      <c r="AH1164" s="8">
        <f t="shared" si="305"/>
        <v>-0.21192532676895687</v>
      </c>
      <c r="AI1164" s="8">
        <f t="shared" si="306"/>
        <v>0.49859529883806963</v>
      </c>
      <c r="AJ1164" s="8"/>
      <c r="AK1164" s="8"/>
      <c r="AL1164" s="8"/>
      <c r="AN1164" s="8">
        <f t="shared" si="311"/>
        <v>1</v>
      </c>
      <c r="AO1164" s="8">
        <f t="shared" si="312"/>
        <v>3.3885778597001663</v>
      </c>
      <c r="AP1164" s="8">
        <f t="shared" si="313"/>
        <v>1.0488188023252727</v>
      </c>
      <c r="AQ1164" s="8"/>
      <c r="AR1164" s="8">
        <f t="shared" si="314"/>
        <v>194.15120991229313</v>
      </c>
      <c r="AS1164" s="8">
        <f t="shared" si="315"/>
        <v>29.907109152796103</v>
      </c>
    </row>
    <row r="1165" spans="1:45">
      <c r="A1165" s="19">
        <v>50.283566669999999</v>
      </c>
      <c r="B1165" s="19">
        <v>429.66666670000001</v>
      </c>
      <c r="C1165" s="19">
        <v>452.75</v>
      </c>
      <c r="E1165" s="9">
        <f t="shared" si="301"/>
        <v>-530.33333330000005</v>
      </c>
      <c r="F1165" s="9">
        <f t="shared" si="302"/>
        <v>87.25</v>
      </c>
      <c r="I1165">
        <v>1</v>
      </c>
      <c r="J1165">
        <f t="shared" si="303"/>
        <v>0.33576446042202385</v>
      </c>
      <c r="K1165">
        <f t="shared" si="307"/>
        <v>2.9785341569044261</v>
      </c>
      <c r="O1165">
        <f t="shared" si="308"/>
        <v>-0.32512046873742018</v>
      </c>
      <c r="P1165">
        <f t="shared" si="309"/>
        <v>5.3488549778358721E-2</v>
      </c>
      <c r="Q1165">
        <f t="shared" si="310"/>
        <v>0.94415870268221769</v>
      </c>
      <c r="R1165">
        <f t="shared" si="300"/>
        <v>1</v>
      </c>
      <c r="AG1165" s="8">
        <f t="shared" si="304"/>
        <v>-0.84072337759727445</v>
      </c>
      <c r="AH1165" s="8">
        <f t="shared" si="305"/>
        <v>-0.2116999228976022</v>
      </c>
      <c r="AI1165" s="8">
        <f t="shared" si="306"/>
        <v>0.49836467070467599</v>
      </c>
      <c r="AJ1165" s="8"/>
      <c r="AK1165" s="8"/>
      <c r="AL1165" s="8"/>
      <c r="AN1165" s="8">
        <f t="shared" si="311"/>
        <v>1.0000000000000002</v>
      </c>
      <c r="AO1165" s="8">
        <f t="shared" si="312"/>
        <v>3.3882711766459011</v>
      </c>
      <c r="AP1165" s="8">
        <f t="shared" si="313"/>
        <v>1.0490848397151926</v>
      </c>
      <c r="AQ1165" s="8"/>
      <c r="AR1165" s="8">
        <f t="shared" si="314"/>
        <v>194.13363826763555</v>
      </c>
      <c r="AS1165" s="8">
        <f t="shared" si="315"/>
        <v>29.891866333161012</v>
      </c>
    </row>
    <row r="1166" spans="1:45">
      <c r="A1166" s="19">
        <v>50.316933329999998</v>
      </c>
      <c r="B1166" s="19">
        <v>428.75</v>
      </c>
      <c r="C1166" s="19">
        <v>452.66666670000001</v>
      </c>
      <c r="E1166" s="9">
        <f t="shared" si="301"/>
        <v>-531.25</v>
      </c>
      <c r="F1166" s="9">
        <f t="shared" si="302"/>
        <v>87.333333299999993</v>
      </c>
      <c r="I1166">
        <v>1</v>
      </c>
      <c r="J1166">
        <f t="shared" si="303"/>
        <v>0.33630052244422692</v>
      </c>
      <c r="K1166">
        <f t="shared" si="307"/>
        <v>2.9786578257417617</v>
      </c>
      <c r="O1166">
        <f t="shared" si="308"/>
        <v>-0.32562645857575234</v>
      </c>
      <c r="P1166">
        <f t="shared" si="309"/>
        <v>5.3530435836413821E-2</v>
      </c>
      <c r="Q1166">
        <f t="shared" si="310"/>
        <v>0.94398193940063146</v>
      </c>
      <c r="R1166">
        <f t="shared" si="300"/>
        <v>1</v>
      </c>
      <c r="AG1166" s="8">
        <f t="shared" si="304"/>
        <v>-0.84091942664015462</v>
      </c>
      <c r="AH1166" s="8">
        <f t="shared" si="305"/>
        <v>-0.21121522233110657</v>
      </c>
      <c r="AI1166" s="8">
        <f t="shared" si="306"/>
        <v>0.49823954856556207</v>
      </c>
      <c r="AJ1166" s="8"/>
      <c r="AK1166" s="8"/>
      <c r="AL1166" s="8"/>
      <c r="AN1166" s="8">
        <f t="shared" si="311"/>
        <v>1.0000000000000002</v>
      </c>
      <c r="AO1166" s="8">
        <f t="shared" si="312"/>
        <v>3.3876738563354931</v>
      </c>
      <c r="AP1166" s="8">
        <f t="shared" si="313"/>
        <v>1.0492291553315041</v>
      </c>
      <c r="AQ1166" s="8"/>
      <c r="AR1166" s="8">
        <f t="shared" si="314"/>
        <v>194.09941433483172</v>
      </c>
      <c r="AS1166" s="8">
        <f t="shared" si="315"/>
        <v>29.883597657428538</v>
      </c>
    </row>
    <row r="1167" spans="1:45">
      <c r="A1167" s="19">
        <v>50.350299999999997</v>
      </c>
      <c r="B1167" s="19">
        <v>428.86001169999997</v>
      </c>
      <c r="C1167" s="19">
        <v>451.836951</v>
      </c>
      <c r="E1167" s="9">
        <f t="shared" si="301"/>
        <v>-531.13998830000003</v>
      </c>
      <c r="F1167" s="9">
        <f t="shared" si="302"/>
        <v>88.163049000000001</v>
      </c>
      <c r="I1167">
        <v>1</v>
      </c>
      <c r="J1167">
        <f t="shared" si="303"/>
        <v>0.33631610293701431</v>
      </c>
      <c r="K1167">
        <f t="shared" si="307"/>
        <v>2.977104034807192</v>
      </c>
      <c r="O1167">
        <f t="shared" si="308"/>
        <v>-0.3255573995718482</v>
      </c>
      <c r="P1167">
        <f t="shared" si="309"/>
        <v>5.4038734802535328E-2</v>
      </c>
      <c r="Q1167">
        <f t="shared" si="310"/>
        <v>0.94397679776833354</v>
      </c>
      <c r="R1167">
        <f t="shared" si="300"/>
        <v>1</v>
      </c>
      <c r="AG1167" s="8">
        <f t="shared" si="304"/>
        <v>-0.84070567476534497</v>
      </c>
      <c r="AH1167" s="8">
        <f t="shared" si="305"/>
        <v>-0.2110431672751456</v>
      </c>
      <c r="AI1167" s="8">
        <f t="shared" si="306"/>
        <v>0.49867298900564205</v>
      </c>
      <c r="AJ1167" s="8"/>
      <c r="AK1167" s="8"/>
      <c r="AL1167" s="8"/>
      <c r="AN1167" s="8">
        <f t="shared" si="311"/>
        <v>1.0000000000000002</v>
      </c>
      <c r="AO1167" s="8">
        <f t="shared" si="312"/>
        <v>3.3875414127911387</v>
      </c>
      <c r="AP1167" s="8">
        <f t="shared" si="313"/>
        <v>1.0487291749104979</v>
      </c>
      <c r="AQ1167" s="8"/>
      <c r="AR1167" s="8">
        <f t="shared" si="314"/>
        <v>194.09182587871646</v>
      </c>
      <c r="AS1167" s="8">
        <f t="shared" si="315"/>
        <v>29.912244425391364</v>
      </c>
    </row>
    <row r="1168" spans="1:45">
      <c r="A1168" s="19">
        <v>50.383666669999997</v>
      </c>
      <c r="B1168" s="19">
        <v>428.24052660000001</v>
      </c>
      <c r="C1168" s="19">
        <v>452.10196719999999</v>
      </c>
      <c r="E1168" s="9">
        <f t="shared" si="301"/>
        <v>-531.75947339999993</v>
      </c>
      <c r="F1168" s="9">
        <f t="shared" si="302"/>
        <v>87.89803280000001</v>
      </c>
      <c r="I1168">
        <v>1</v>
      </c>
      <c r="J1168">
        <f t="shared" si="303"/>
        <v>0.33664758208009732</v>
      </c>
      <c r="K1168">
        <f t="shared" si="307"/>
        <v>2.9777773097663482</v>
      </c>
      <c r="O1168">
        <f t="shared" si="308"/>
        <v>-0.32590241029138506</v>
      </c>
      <c r="P1168">
        <f t="shared" si="309"/>
        <v>5.3870560248285522E-2</v>
      </c>
      <c r="Q1168">
        <f t="shared" si="310"/>
        <v>0.94386735387171938</v>
      </c>
      <c r="R1168">
        <f t="shared" si="300"/>
        <v>1</v>
      </c>
      <c r="AG1168" s="8">
        <f t="shared" si="304"/>
        <v>-0.84091084048047193</v>
      </c>
      <c r="AH1168" s="8">
        <f t="shared" si="305"/>
        <v>-0.21080378464705096</v>
      </c>
      <c r="AI1168" s="8">
        <f t="shared" si="306"/>
        <v>0.49842825235023164</v>
      </c>
      <c r="AJ1168" s="8"/>
      <c r="AK1168" s="8"/>
      <c r="AL1168" s="8"/>
      <c r="AN1168" s="8">
        <f t="shared" si="311"/>
        <v>1.0000000000000002</v>
      </c>
      <c r="AO1168" s="8">
        <f t="shared" si="312"/>
        <v>3.3872159752313968</v>
      </c>
      <c r="AP1168" s="8">
        <f t="shared" si="313"/>
        <v>1.0490115001891915</v>
      </c>
      <c r="AQ1168" s="8"/>
      <c r="AR1168" s="8">
        <f t="shared" si="314"/>
        <v>194.07317968004824</v>
      </c>
      <c r="AS1168" s="8">
        <f t="shared" si="315"/>
        <v>29.896068378472364</v>
      </c>
    </row>
    <row r="1169" spans="1:45">
      <c r="A1169" s="19">
        <v>50.417033330000002</v>
      </c>
      <c r="B1169" s="19">
        <v>428.06423710000001</v>
      </c>
      <c r="C1169" s="19">
        <v>452.1298468</v>
      </c>
      <c r="E1169" s="9">
        <f t="shared" si="301"/>
        <v>-531.93576289999999</v>
      </c>
      <c r="F1169" s="9">
        <f t="shared" si="302"/>
        <v>87.870153200000004</v>
      </c>
      <c r="I1169">
        <v>1</v>
      </c>
      <c r="J1169">
        <f t="shared" si="303"/>
        <v>0.33674644571191692</v>
      </c>
      <c r="K1169">
        <f t="shared" si="307"/>
        <v>2.9778816533832995</v>
      </c>
      <c r="O1169">
        <f t="shared" si="308"/>
        <v>-0.32600009444845068</v>
      </c>
      <c r="P1169">
        <f t="shared" si="309"/>
        <v>5.3851762262100505E-2</v>
      </c>
      <c r="Q1169">
        <f t="shared" si="310"/>
        <v>0.94383469215793681</v>
      </c>
      <c r="R1169">
        <f t="shared" si="300"/>
        <v>1</v>
      </c>
      <c r="AG1169" s="8">
        <f t="shared" si="304"/>
        <v>-0.84095842309659352</v>
      </c>
      <c r="AH1169" s="8">
        <f t="shared" si="305"/>
        <v>-0.21072263538352831</v>
      </c>
      <c r="AI1169" s="8">
        <f t="shared" si="306"/>
        <v>0.49838228455665595</v>
      </c>
      <c r="AJ1169" s="8"/>
      <c r="AK1169" s="8"/>
      <c r="AL1169" s="8"/>
      <c r="AN1169" s="8">
        <f t="shared" si="311"/>
        <v>1.0000000000000002</v>
      </c>
      <c r="AO1169" s="8">
        <f t="shared" si="312"/>
        <v>3.3871118364545465</v>
      </c>
      <c r="AP1169" s="8">
        <f t="shared" si="313"/>
        <v>1.0490645229735254</v>
      </c>
      <c r="AQ1169" s="8"/>
      <c r="AR1169" s="8">
        <f t="shared" si="314"/>
        <v>194.06721296765105</v>
      </c>
      <c r="AS1169" s="8">
        <f t="shared" si="315"/>
        <v>29.893030396712007</v>
      </c>
    </row>
    <row r="1170" spans="1:45">
      <c r="A1170" s="19">
        <v>50.450400000000002</v>
      </c>
      <c r="B1170" s="19">
        <v>427.41245099999998</v>
      </c>
      <c r="C1170" s="19">
        <v>452.14989050000003</v>
      </c>
      <c r="E1170" s="9">
        <f t="shared" si="301"/>
        <v>-532.58754900000008</v>
      </c>
      <c r="F1170" s="9">
        <f t="shared" si="302"/>
        <v>87.850109499999974</v>
      </c>
      <c r="I1170">
        <v>1</v>
      </c>
      <c r="J1170">
        <f t="shared" si="303"/>
        <v>0.33711982346552466</v>
      </c>
      <c r="K1170">
        <f t="shared" si="307"/>
        <v>2.9781150878264748</v>
      </c>
      <c r="O1170">
        <f t="shared" si="308"/>
        <v>-0.32636034202270486</v>
      </c>
      <c r="P1170">
        <f t="shared" si="309"/>
        <v>5.3833011749871137E-2</v>
      </c>
      <c r="Q1170">
        <f t="shared" si="310"/>
        <v>0.94371125562894576</v>
      </c>
      <c r="R1170">
        <f t="shared" si="300"/>
        <v>1</v>
      </c>
      <c r="AG1170" s="8">
        <f t="shared" si="304"/>
        <v>-0.84111543224298968</v>
      </c>
      <c r="AH1170" s="8">
        <f t="shared" si="305"/>
        <v>-0.21039987631082591</v>
      </c>
      <c r="AI1170" s="8">
        <f t="shared" si="306"/>
        <v>0.49825367202969822</v>
      </c>
      <c r="AJ1170" s="8"/>
      <c r="AK1170" s="8"/>
      <c r="AL1170" s="8"/>
      <c r="AN1170" s="8">
        <f t="shared" si="311"/>
        <v>1.0000000000000002</v>
      </c>
      <c r="AO1170" s="8">
        <f t="shared" si="312"/>
        <v>3.3867067269928595</v>
      </c>
      <c r="AP1170" s="8">
        <f t="shared" si="313"/>
        <v>1.0492128659564801</v>
      </c>
      <c r="AQ1170" s="8"/>
      <c r="AR1170" s="8">
        <f t="shared" si="314"/>
        <v>194.04400190525556</v>
      </c>
      <c r="AS1170" s="8">
        <f t="shared" si="315"/>
        <v>29.884530969868315</v>
      </c>
    </row>
    <row r="1171" spans="1:45">
      <c r="A1171" s="19">
        <v>50.483766670000001</v>
      </c>
      <c r="B1171" s="19">
        <v>427.088685</v>
      </c>
      <c r="C1171" s="19">
        <v>451.712357</v>
      </c>
      <c r="E1171" s="9">
        <f t="shared" si="301"/>
        <v>-532.91131500000006</v>
      </c>
      <c r="F1171" s="9">
        <f t="shared" si="302"/>
        <v>88.287643000000003</v>
      </c>
      <c r="I1171">
        <v>1</v>
      </c>
      <c r="J1171">
        <f t="shared" si="303"/>
        <v>0.33734783034511612</v>
      </c>
      <c r="K1171">
        <f t="shared" si="307"/>
        <v>2.9774134506141574</v>
      </c>
      <c r="O1171">
        <f t="shared" si="308"/>
        <v>-0.32653476116229285</v>
      </c>
      <c r="P1171">
        <f t="shared" si="309"/>
        <v>5.4097152019725411E-2</v>
      </c>
      <c r="Q1171">
        <f t="shared" si="310"/>
        <v>0.94363581316948708</v>
      </c>
      <c r="R1171">
        <f t="shared" si="300"/>
        <v>1</v>
      </c>
      <c r="AG1171" s="8">
        <f t="shared" si="304"/>
        <v>-0.8410919721864567</v>
      </c>
      <c r="AH1171" s="8">
        <f t="shared" si="305"/>
        <v>-0.21011692917033881</v>
      </c>
      <c r="AI1171" s="8">
        <f t="shared" si="306"/>
        <v>0.4984126507217928</v>
      </c>
      <c r="AJ1171" s="8"/>
      <c r="AK1171" s="8"/>
      <c r="AL1171" s="8"/>
      <c r="AN1171" s="8">
        <f t="shared" si="311"/>
        <v>1.0000000000000002</v>
      </c>
      <c r="AO1171" s="8">
        <f t="shared" si="312"/>
        <v>3.3863966746268024</v>
      </c>
      <c r="AP1171" s="8">
        <f t="shared" si="313"/>
        <v>1.0490294964871363</v>
      </c>
      <c r="AQ1171" s="8"/>
      <c r="AR1171" s="8">
        <f t="shared" si="314"/>
        <v>194.02623721325244</v>
      </c>
      <c r="AS1171" s="8">
        <f t="shared" si="315"/>
        <v>29.895037266553274</v>
      </c>
    </row>
    <row r="1172" spans="1:45">
      <c r="A1172" s="19">
        <v>50.51713333</v>
      </c>
      <c r="B1172" s="19">
        <v>426.30654440000001</v>
      </c>
      <c r="C1172" s="19">
        <v>451.33196279999999</v>
      </c>
      <c r="E1172" s="9">
        <f t="shared" si="301"/>
        <v>-533.69345559999999</v>
      </c>
      <c r="F1172" s="9">
        <f t="shared" si="302"/>
        <v>88.668037200000015</v>
      </c>
      <c r="I1172">
        <v>1</v>
      </c>
      <c r="J1172">
        <f t="shared" si="303"/>
        <v>0.33783422416126446</v>
      </c>
      <c r="K1172">
        <f t="shared" si="307"/>
        <v>2.9769560758224158</v>
      </c>
      <c r="O1172">
        <f t="shared" si="308"/>
        <v>-0.32696271800232324</v>
      </c>
      <c r="P1172">
        <f t="shared" si="309"/>
        <v>5.4321712471160195E-2</v>
      </c>
      <c r="Q1172">
        <f t="shared" si="310"/>
        <v>0.94347471221582502</v>
      </c>
      <c r="R1172">
        <f t="shared" si="300"/>
        <v>1</v>
      </c>
      <c r="AG1172" s="8">
        <f t="shared" si="304"/>
        <v>-0.84118841454794202</v>
      </c>
      <c r="AH1172" s="8">
        <f t="shared" si="305"/>
        <v>-0.2096189096491739</v>
      </c>
      <c r="AI1172" s="8">
        <f t="shared" si="306"/>
        <v>0.49845959108819554</v>
      </c>
      <c r="AJ1172" s="8"/>
      <c r="AK1172" s="8"/>
      <c r="AL1172" s="8"/>
      <c r="AN1172" s="8">
        <f t="shared" si="311"/>
        <v>1</v>
      </c>
      <c r="AO1172" s="8">
        <f t="shared" si="312"/>
        <v>3.3858123652142891</v>
      </c>
      <c r="AP1172" s="8">
        <f t="shared" si="313"/>
        <v>1.0489753507547632</v>
      </c>
      <c r="AQ1172" s="8"/>
      <c r="AR1172" s="8">
        <f t="shared" si="314"/>
        <v>193.99275874998565</v>
      </c>
      <c r="AS1172" s="8">
        <f t="shared" si="315"/>
        <v>29.898139588496896</v>
      </c>
    </row>
    <row r="1173" spans="1:45">
      <c r="A1173" s="19">
        <v>50.5505</v>
      </c>
      <c r="B1173" s="19">
        <v>425.89237200000002</v>
      </c>
      <c r="C1173" s="19">
        <v>451.13861780000002</v>
      </c>
      <c r="E1173" s="9">
        <f t="shared" si="301"/>
        <v>-534.10762799999998</v>
      </c>
      <c r="F1173" s="9">
        <f t="shared" si="302"/>
        <v>88.86138219999998</v>
      </c>
      <c r="I1173">
        <v>1</v>
      </c>
      <c r="J1173">
        <f t="shared" si="303"/>
        <v>0.33809097577314468</v>
      </c>
      <c r="K1173">
        <f t="shared" si="307"/>
        <v>2.9767291842320165</v>
      </c>
      <c r="O1173">
        <f t="shared" si="308"/>
        <v>-0.32718932775148085</v>
      </c>
      <c r="P1173">
        <f t="shared" si="309"/>
        <v>5.4435650009262558E-2</v>
      </c>
      <c r="Q1173">
        <f t="shared" si="310"/>
        <v>0.94338958220535973</v>
      </c>
      <c r="R1173">
        <f t="shared" si="300"/>
        <v>1</v>
      </c>
      <c r="AG1173" s="8">
        <f t="shared" si="304"/>
        <v>-0.84124121697898868</v>
      </c>
      <c r="AH1173" s="8">
        <f t="shared" si="305"/>
        <v>-0.20935744978940513</v>
      </c>
      <c r="AI1173" s="8">
        <f t="shared" si="306"/>
        <v>0.49848036377914329</v>
      </c>
      <c r="AJ1173" s="8"/>
      <c r="AK1173" s="8"/>
      <c r="AL1173" s="8"/>
      <c r="AN1173" s="8">
        <f t="shared" si="311"/>
        <v>1.0000000000000002</v>
      </c>
      <c r="AO1173" s="8">
        <f t="shared" si="312"/>
        <v>3.385504984126035</v>
      </c>
      <c r="AP1173" s="8">
        <f t="shared" si="313"/>
        <v>1.0489513889089739</v>
      </c>
      <c r="AQ1173" s="8"/>
      <c r="AR1173" s="8">
        <f t="shared" si="314"/>
        <v>193.97514711092657</v>
      </c>
      <c r="AS1173" s="8">
        <f t="shared" si="315"/>
        <v>29.899512501129969</v>
      </c>
    </row>
    <row r="1174" spans="1:45">
      <c r="A1174" s="19">
        <v>50.583866669999999</v>
      </c>
      <c r="B1174" s="19">
        <v>425.32379529999997</v>
      </c>
      <c r="C1174" s="19">
        <v>451.30686279999998</v>
      </c>
      <c r="E1174" s="9">
        <f t="shared" si="301"/>
        <v>-534.67620469999997</v>
      </c>
      <c r="F1174" s="9">
        <f t="shared" si="302"/>
        <v>88.693137200000024</v>
      </c>
      <c r="I1174">
        <v>1</v>
      </c>
      <c r="J1174">
        <f t="shared" si="303"/>
        <v>0.33840192728685148</v>
      </c>
      <c r="K1174">
        <f t="shared" si="307"/>
        <v>2.9772075708461929</v>
      </c>
      <c r="O1174">
        <f t="shared" si="308"/>
        <v>-0.32750470961207601</v>
      </c>
      <c r="P1174">
        <f t="shared" si="309"/>
        <v>5.4327123384082826E-2</v>
      </c>
      <c r="Q1174">
        <f t="shared" si="310"/>
        <v>0.94328639810331216</v>
      </c>
      <c r="R1174">
        <f t="shared" si="300"/>
        <v>1</v>
      </c>
      <c r="AG1174" s="8">
        <f t="shared" si="304"/>
        <v>-0.84141193160439232</v>
      </c>
      <c r="AH1174" s="8">
        <f t="shared" si="305"/>
        <v>-0.20911738981131045</v>
      </c>
      <c r="AI1174" s="8">
        <f t="shared" si="306"/>
        <v>0.49829296466262679</v>
      </c>
      <c r="AJ1174" s="8"/>
      <c r="AK1174" s="8"/>
      <c r="AL1174" s="8"/>
      <c r="AN1174" s="8">
        <f t="shared" si="311"/>
        <v>1</v>
      </c>
      <c r="AO1174" s="8">
        <f t="shared" si="312"/>
        <v>3.3851887449813591</v>
      </c>
      <c r="AP1174" s="8">
        <f t="shared" si="313"/>
        <v>1.0491675467799708</v>
      </c>
      <c r="AQ1174" s="8"/>
      <c r="AR1174" s="8">
        <f t="shared" si="314"/>
        <v>193.95702794261982</v>
      </c>
      <c r="AS1174" s="8">
        <f t="shared" si="315"/>
        <v>29.887127567413309</v>
      </c>
    </row>
    <row r="1175" spans="1:45">
      <c r="A1175" s="19">
        <v>50.617233329999998</v>
      </c>
      <c r="B1175" s="19">
        <v>425.00338340000002</v>
      </c>
      <c r="C1175" s="19">
        <v>451.24058029999998</v>
      </c>
      <c r="E1175" s="9">
        <f t="shared" si="301"/>
        <v>-534.99661659999992</v>
      </c>
      <c r="F1175" s="9">
        <f t="shared" si="302"/>
        <v>88.759419700000024</v>
      </c>
      <c r="I1175">
        <v>1</v>
      </c>
      <c r="J1175">
        <f t="shared" si="303"/>
        <v>0.33859251761024239</v>
      </c>
      <c r="K1175">
        <f t="shared" si="307"/>
        <v>2.9771836824285884</v>
      </c>
      <c r="O1175">
        <f t="shared" si="308"/>
        <v>-0.32768076273660518</v>
      </c>
      <c r="P1175">
        <f t="shared" si="309"/>
        <v>5.4364370623861749E-2</v>
      </c>
      <c r="Q1175">
        <f t="shared" si="310"/>
        <v>0.94322310878128302</v>
      </c>
      <c r="R1175">
        <f t="shared" si="300"/>
        <v>1</v>
      </c>
      <c r="AG1175" s="8">
        <f t="shared" si="304"/>
        <v>-0.84147155711659438</v>
      </c>
      <c r="AH1175" s="8">
        <f t="shared" si="305"/>
        <v>-0.20893798597705304</v>
      </c>
      <c r="AI1175" s="8">
        <f t="shared" si="306"/>
        <v>0.49826753514515371</v>
      </c>
      <c r="AJ1175" s="8"/>
      <c r="AK1175" s="8"/>
      <c r="AL1175" s="8"/>
      <c r="AN1175" s="8">
        <f t="shared" si="311"/>
        <v>1.0000000000000002</v>
      </c>
      <c r="AO1175" s="8">
        <f t="shared" si="312"/>
        <v>3.3849713476035679</v>
      </c>
      <c r="AP1175" s="8">
        <f t="shared" si="313"/>
        <v>1.049196876707744</v>
      </c>
      <c r="AQ1175" s="8"/>
      <c r="AR1175" s="8">
        <f t="shared" si="314"/>
        <v>193.94457199039516</v>
      </c>
      <c r="AS1175" s="8">
        <f t="shared" si="315"/>
        <v>29.88544708633848</v>
      </c>
    </row>
    <row r="1176" spans="1:45">
      <c r="A1176" s="19">
        <v>50.650599999999997</v>
      </c>
      <c r="B1176" s="19">
        <v>424.34225099999998</v>
      </c>
      <c r="C1176" s="19">
        <v>451.1795108</v>
      </c>
      <c r="E1176" s="9">
        <f t="shared" si="301"/>
        <v>-535.65774899999997</v>
      </c>
      <c r="F1176" s="9">
        <f t="shared" si="302"/>
        <v>88.820489199999997</v>
      </c>
      <c r="I1176">
        <v>1</v>
      </c>
      <c r="J1176">
        <f t="shared" si="303"/>
        <v>0.33897848226977195</v>
      </c>
      <c r="K1176">
        <f t="shared" si="307"/>
        <v>2.9772720131480663</v>
      </c>
      <c r="O1176">
        <f t="shared" si="308"/>
        <v>-0.32804468600374032</v>
      </c>
      <c r="P1176">
        <f t="shared" si="309"/>
        <v>5.4394974299741897E-2</v>
      </c>
      <c r="Q1176">
        <f t="shared" si="310"/>
        <v>0.94309483656503912</v>
      </c>
      <c r="R1176">
        <f t="shared" si="300"/>
        <v>1</v>
      </c>
      <c r="AG1176" s="8">
        <f t="shared" si="304"/>
        <v>-0.84161162753043806</v>
      </c>
      <c r="AH1176" s="8">
        <f t="shared" si="305"/>
        <v>-0.20858859124743273</v>
      </c>
      <c r="AI1176" s="8">
        <f t="shared" si="306"/>
        <v>0.49817734593915319</v>
      </c>
      <c r="AJ1176" s="8"/>
      <c r="AK1176" s="8"/>
      <c r="AL1176" s="8"/>
      <c r="AN1176" s="8">
        <f t="shared" si="311"/>
        <v>1</v>
      </c>
      <c r="AO1176" s="8">
        <f t="shared" si="312"/>
        <v>3.3845413359286933</v>
      </c>
      <c r="AP1176" s="8">
        <f t="shared" si="313"/>
        <v>1.0493008952582614</v>
      </c>
      <c r="AQ1176" s="8"/>
      <c r="AR1176" s="8">
        <f t="shared" si="314"/>
        <v>193.9199341362835</v>
      </c>
      <c r="AS1176" s="8">
        <f t="shared" si="315"/>
        <v>29.879487262402762</v>
      </c>
    </row>
    <row r="1177" spans="1:45">
      <c r="A1177" s="19">
        <v>50.683966669999997</v>
      </c>
      <c r="B1177" s="19">
        <v>424.02924669999999</v>
      </c>
      <c r="C1177" s="19">
        <v>451.31931950000001</v>
      </c>
      <c r="E1177" s="9">
        <f t="shared" si="301"/>
        <v>-535.97075330000007</v>
      </c>
      <c r="F1177" s="9">
        <f t="shared" si="302"/>
        <v>88.680680499999994</v>
      </c>
      <c r="I1177">
        <v>1</v>
      </c>
      <c r="J1177">
        <f t="shared" si="303"/>
        <v>0.33914511446025708</v>
      </c>
      <c r="K1177">
        <f t="shared" si="307"/>
        <v>2.9776201487856366</v>
      </c>
      <c r="O1177">
        <f t="shared" si="308"/>
        <v>-0.32821864044158128</v>
      </c>
      <c r="P1177">
        <f t="shared" si="309"/>
        <v>5.4306419161741747E-2</v>
      </c>
      <c r="Q1177">
        <f t="shared" si="310"/>
        <v>0.94303941429004401</v>
      </c>
      <c r="R1177">
        <f t="shared" si="300"/>
        <v>1</v>
      </c>
      <c r="AG1177" s="8">
        <f t="shared" si="304"/>
        <v>-0.84171612945579133</v>
      </c>
      <c r="AH1177" s="8">
        <f t="shared" si="305"/>
        <v>-0.20846940777151074</v>
      </c>
      <c r="AI1177" s="8">
        <f t="shared" si="306"/>
        <v>0.4980506635246631</v>
      </c>
      <c r="AJ1177" s="8"/>
      <c r="AK1177" s="8"/>
      <c r="AL1177" s="8"/>
      <c r="AN1177" s="8">
        <f t="shared" si="311"/>
        <v>1</v>
      </c>
      <c r="AO1177" s="8">
        <f t="shared" si="312"/>
        <v>3.3843789380537896</v>
      </c>
      <c r="AP1177" s="8">
        <f t="shared" si="313"/>
        <v>1.049446992279885</v>
      </c>
      <c r="AQ1177" s="8"/>
      <c r="AR1177" s="8">
        <f t="shared" si="314"/>
        <v>193.91062942344962</v>
      </c>
      <c r="AS1177" s="8">
        <f t="shared" si="315"/>
        <v>29.871116519664298</v>
      </c>
    </row>
    <row r="1178" spans="1:45">
      <c r="A1178" s="19">
        <v>50.717333330000002</v>
      </c>
      <c r="B1178" s="19">
        <v>422.98304819999998</v>
      </c>
      <c r="C1178" s="19">
        <v>450.8529054</v>
      </c>
      <c r="E1178" s="9">
        <f t="shared" si="301"/>
        <v>-537.01695180000002</v>
      </c>
      <c r="F1178" s="9">
        <f t="shared" si="302"/>
        <v>89.147094600000003</v>
      </c>
      <c r="I1178">
        <v>1</v>
      </c>
      <c r="J1178">
        <f t="shared" si="303"/>
        <v>0.33979082295862995</v>
      </c>
      <c r="K1178">
        <f t="shared" si="307"/>
        <v>2.9770885619583045</v>
      </c>
      <c r="O1178">
        <f t="shared" si="308"/>
        <v>-0.32879036487035324</v>
      </c>
      <c r="P1178">
        <f t="shared" si="309"/>
        <v>5.458059687393637E-2</v>
      </c>
      <c r="Q1178">
        <f t="shared" si="310"/>
        <v>0.94282440274597523</v>
      </c>
      <c r="R1178">
        <f t="shared" si="300"/>
        <v>1</v>
      </c>
      <c r="AG1178" s="8">
        <f t="shared" si="304"/>
        <v>-0.84185350208841525</v>
      </c>
      <c r="AH1178" s="8">
        <f t="shared" si="305"/>
        <v>-0.20781541292844724</v>
      </c>
      <c r="AI1178" s="8">
        <f t="shared" si="306"/>
        <v>0.49809179392040775</v>
      </c>
      <c r="AJ1178" s="8"/>
      <c r="AK1178" s="8"/>
      <c r="AL1178" s="8"/>
      <c r="AN1178" s="8">
        <f t="shared" si="311"/>
        <v>1.0000000000000004</v>
      </c>
      <c r="AO1178" s="8">
        <f t="shared" si="312"/>
        <v>3.3836087601533644</v>
      </c>
      <c r="AP1178" s="8">
        <f t="shared" si="313"/>
        <v>1.0493995598240233</v>
      </c>
      <c r="AQ1178" s="8"/>
      <c r="AR1178" s="8">
        <f t="shared" si="314"/>
        <v>193.86650148028102</v>
      </c>
      <c r="AS1178" s="8">
        <f t="shared" si="315"/>
        <v>29.87383419919712</v>
      </c>
    </row>
    <row r="1179" spans="1:45">
      <c r="A1179" s="19">
        <v>50.750700000000002</v>
      </c>
      <c r="B1179" s="19">
        <v>422.16666670000001</v>
      </c>
      <c r="C1179" s="19">
        <v>450.5</v>
      </c>
      <c r="E1179" s="9">
        <f t="shared" si="301"/>
        <v>-537.83333330000005</v>
      </c>
      <c r="F1179" s="9">
        <f t="shared" si="302"/>
        <v>89.5</v>
      </c>
      <c r="I1179">
        <v>1</v>
      </c>
      <c r="J1179">
        <f t="shared" si="303"/>
        <v>0.34029349872369719</v>
      </c>
      <c r="K1179">
        <f t="shared" si="307"/>
        <v>2.9766952450678281</v>
      </c>
      <c r="O1179">
        <f t="shared" si="308"/>
        <v>-0.32923633655708195</v>
      </c>
      <c r="P1179">
        <f t="shared" si="309"/>
        <v>5.4787701500499074E-2</v>
      </c>
      <c r="Q1179">
        <f t="shared" si="310"/>
        <v>0.94265674688868806</v>
      </c>
      <c r="R1179">
        <f t="shared" ref="R1179:R1242" si="316">SQRT(O1179^2+P1179^2+Q1179^2)</f>
        <v>1</v>
      </c>
      <c r="AG1179" s="8">
        <f t="shared" si="304"/>
        <v>-0.84196290053270462</v>
      </c>
      <c r="AH1179" s="8">
        <f t="shared" si="305"/>
        <v>-0.2073082395481784</v>
      </c>
      <c r="AI1179" s="8">
        <f t="shared" si="306"/>
        <v>0.49811822687188451</v>
      </c>
      <c r="AJ1179" s="8"/>
      <c r="AK1179" s="8"/>
      <c r="AL1179" s="8"/>
      <c r="AN1179" s="8">
        <f t="shared" si="311"/>
        <v>1.0000000000000002</v>
      </c>
      <c r="AO1179" s="8">
        <f t="shared" si="312"/>
        <v>3.383010667932826</v>
      </c>
      <c r="AP1179" s="8">
        <f t="shared" si="313"/>
        <v>1.049369076094439</v>
      </c>
      <c r="AQ1179" s="8"/>
      <c r="AR1179" s="8">
        <f t="shared" si="314"/>
        <v>193.83223332028456</v>
      </c>
      <c r="AS1179" s="8">
        <f t="shared" si="315"/>
        <v>29.875580788246118</v>
      </c>
    </row>
    <row r="1180" spans="1:45">
      <c r="A1180" s="19">
        <v>50.784066670000001</v>
      </c>
      <c r="B1180" s="19">
        <v>421.66666670000001</v>
      </c>
      <c r="C1180" s="19">
        <v>450.33333329999999</v>
      </c>
      <c r="E1180" s="9">
        <f t="shared" si="301"/>
        <v>-538.33333330000005</v>
      </c>
      <c r="F1180" s="9">
        <f t="shared" si="302"/>
        <v>89.666666700000007</v>
      </c>
      <c r="I1180">
        <v>1</v>
      </c>
      <c r="J1180">
        <f t="shared" si="303"/>
        <v>0.34059657327278847</v>
      </c>
      <c r="K1180">
        <f t="shared" si="307"/>
        <v>2.9765443877924662</v>
      </c>
      <c r="O1180">
        <f t="shared" si="308"/>
        <v>-0.32950986535421373</v>
      </c>
      <c r="P1180">
        <f t="shared" si="309"/>
        <v>5.4884305770107077E-2</v>
      </c>
      <c r="Q1180">
        <f t="shared" si="310"/>
        <v>0.94255554829112398</v>
      </c>
      <c r="R1180">
        <f t="shared" si="316"/>
        <v>1</v>
      </c>
      <c r="AG1180" s="8">
        <f t="shared" si="304"/>
        <v>-0.84204099485812955</v>
      </c>
      <c r="AH1180" s="8">
        <f t="shared" si="305"/>
        <v>-0.20701121955512436</v>
      </c>
      <c r="AI1180" s="8">
        <f t="shared" si="306"/>
        <v>0.4981097448922594</v>
      </c>
      <c r="AJ1180" s="8"/>
      <c r="AK1180" s="8"/>
      <c r="AL1180" s="8"/>
      <c r="AN1180" s="8">
        <f t="shared" si="311"/>
        <v>1.0000000000000002</v>
      </c>
      <c r="AO1180" s="8">
        <f t="shared" si="312"/>
        <v>3.3826565309064018</v>
      </c>
      <c r="AP1180" s="8">
        <f t="shared" si="313"/>
        <v>1.0493788579725949</v>
      </c>
      <c r="AQ1180" s="8"/>
      <c r="AR1180" s="8">
        <f t="shared" si="314"/>
        <v>193.81194276330115</v>
      </c>
      <c r="AS1180" s="8">
        <f t="shared" si="315"/>
        <v>29.875020327912075</v>
      </c>
    </row>
    <row r="1181" spans="1:45">
      <c r="A1181" s="19">
        <v>50.81743333</v>
      </c>
      <c r="B1181" s="19">
        <v>421.80536430000001</v>
      </c>
      <c r="C1181" s="19">
        <v>451.05889230000002</v>
      </c>
      <c r="E1181" s="9">
        <f t="shared" si="301"/>
        <v>-538.19463569999994</v>
      </c>
      <c r="F1181" s="9">
        <f t="shared" si="302"/>
        <v>88.941107699999975</v>
      </c>
      <c r="I1181">
        <v>1</v>
      </c>
      <c r="J1181">
        <f t="shared" si="303"/>
        <v>0.34044778542000648</v>
      </c>
      <c r="K1181">
        <f t="shared" si="307"/>
        <v>2.9778146324010311</v>
      </c>
      <c r="O1181">
        <f t="shared" si="308"/>
        <v>-0.32944094818575004</v>
      </c>
      <c r="P1181">
        <f t="shared" si="309"/>
        <v>5.4442837051448742E-2</v>
      </c>
      <c r="Q1181">
        <f t="shared" si="310"/>
        <v>0.94260524035900806</v>
      </c>
      <c r="R1181">
        <f t="shared" si="316"/>
        <v>1</v>
      </c>
      <c r="AG1181" s="8">
        <f t="shared" si="304"/>
        <v>-0.84217337018074123</v>
      </c>
      <c r="AH1181" s="8">
        <f t="shared" si="305"/>
        <v>-0.20727958845832378</v>
      </c>
      <c r="AI1181" s="8">
        <f t="shared" si="306"/>
        <v>0.49777423272700677</v>
      </c>
      <c r="AJ1181" s="8"/>
      <c r="AK1181" s="8"/>
      <c r="AL1181" s="8"/>
      <c r="AN1181" s="8">
        <f t="shared" si="311"/>
        <v>1.0000000000000002</v>
      </c>
      <c r="AO1181" s="8">
        <f t="shared" si="312"/>
        <v>3.382920573801071</v>
      </c>
      <c r="AP1181" s="8">
        <f t="shared" si="313"/>
        <v>1.0497657446983386</v>
      </c>
      <c r="AQ1181" s="8"/>
      <c r="AR1181" s="8">
        <f t="shared" si="314"/>
        <v>193.82707130677611</v>
      </c>
      <c r="AS1181" s="8">
        <f t="shared" si="315"/>
        <v>29.85285335137732</v>
      </c>
    </row>
    <row r="1182" spans="1:45">
      <c r="A1182" s="19">
        <v>50.8508</v>
      </c>
      <c r="B1182" s="19">
        <v>421.32819940000002</v>
      </c>
      <c r="C1182" s="19">
        <v>451.2973063</v>
      </c>
      <c r="E1182" s="9">
        <f t="shared" si="301"/>
        <v>-538.67180059999998</v>
      </c>
      <c r="F1182" s="9">
        <f t="shared" si="302"/>
        <v>88.702693699999998</v>
      </c>
      <c r="I1182">
        <v>1</v>
      </c>
      <c r="J1182">
        <f t="shared" si="303"/>
        <v>0.34069926489220115</v>
      </c>
      <c r="K1182">
        <f t="shared" si="307"/>
        <v>2.9783880136213172</v>
      </c>
      <c r="O1182">
        <f t="shared" si="308"/>
        <v>-0.32970599603084377</v>
      </c>
      <c r="P1182">
        <f t="shared" si="309"/>
        <v>5.429244661480688E-2</v>
      </c>
      <c r="Q1182">
        <f t="shared" si="310"/>
        <v>0.94252123924179432</v>
      </c>
      <c r="R1182">
        <f t="shared" si="316"/>
        <v>1</v>
      </c>
      <c r="AG1182" s="8">
        <f t="shared" si="304"/>
        <v>-0.84233792225785609</v>
      </c>
      <c r="AH1182" s="8">
        <f t="shared" si="305"/>
        <v>-0.2071049379722133</v>
      </c>
      <c r="AI1182" s="8">
        <f t="shared" si="306"/>
        <v>0.49756845699244645</v>
      </c>
      <c r="AJ1182" s="8"/>
      <c r="AK1182" s="8"/>
      <c r="AL1182" s="8"/>
      <c r="AN1182" s="8">
        <f t="shared" si="311"/>
        <v>1.0000000000000004</v>
      </c>
      <c r="AO1182" s="8">
        <f t="shared" si="312"/>
        <v>3.3826797274820066</v>
      </c>
      <c r="AP1182" s="8">
        <f t="shared" si="313"/>
        <v>1.0500029868891962</v>
      </c>
      <c r="AQ1182" s="8"/>
      <c r="AR1182" s="8">
        <f t="shared" si="314"/>
        <v>193.81327182918244</v>
      </c>
      <c r="AS1182" s="8">
        <f t="shared" si="315"/>
        <v>29.839260375118741</v>
      </c>
    </row>
    <row r="1183" spans="1:45">
      <c r="A1183" s="19">
        <v>50.884166669999999</v>
      </c>
      <c r="B1183" s="19">
        <v>420.56983709999997</v>
      </c>
      <c r="C1183" s="19">
        <v>451.04033270000002</v>
      </c>
      <c r="E1183" s="9">
        <f t="shared" si="301"/>
        <v>-539.43016290000003</v>
      </c>
      <c r="F1183" s="9">
        <f t="shared" si="302"/>
        <v>88.959667299999978</v>
      </c>
      <c r="I1183">
        <v>1</v>
      </c>
      <c r="J1183">
        <f t="shared" si="303"/>
        <v>0.34115906977962446</v>
      </c>
      <c r="K1183">
        <f t="shared" si="307"/>
        <v>2.9781496096963154</v>
      </c>
      <c r="O1183">
        <f t="shared" si="308"/>
        <v>-0.33012060848775332</v>
      </c>
      <c r="P1183">
        <f t="shared" si="309"/>
        <v>5.4441559852833582E-2</v>
      </c>
      <c r="Q1183">
        <f t="shared" si="310"/>
        <v>0.9423674975361076</v>
      </c>
      <c r="R1183">
        <f t="shared" si="316"/>
        <v>1</v>
      </c>
      <c r="AG1183" s="8">
        <f t="shared" si="304"/>
        <v>-0.84245518938876707</v>
      </c>
      <c r="AH1183" s="8">
        <f t="shared" si="305"/>
        <v>-0.20665337753350471</v>
      </c>
      <c r="AI1183" s="8">
        <f t="shared" si="306"/>
        <v>0.49755767045231181</v>
      </c>
      <c r="AJ1183" s="8"/>
      <c r="AK1183" s="8"/>
      <c r="AL1183" s="8"/>
      <c r="AN1183" s="8">
        <f t="shared" si="311"/>
        <v>0.99999999999999989</v>
      </c>
      <c r="AO1183" s="8">
        <f t="shared" si="312"/>
        <v>3.3821419331800691</v>
      </c>
      <c r="AP1183" s="8">
        <f t="shared" si="313"/>
        <v>1.0500154219760902</v>
      </c>
      <c r="AQ1183" s="8"/>
      <c r="AR1183" s="8">
        <f t="shared" si="314"/>
        <v>193.78245848543526</v>
      </c>
      <c r="AS1183" s="8">
        <f t="shared" si="315"/>
        <v>29.838547897121842</v>
      </c>
    </row>
    <row r="1184" spans="1:45">
      <c r="A1184" s="19">
        <v>50.917533329999998</v>
      </c>
      <c r="B1184" s="19">
        <v>419.41666670000001</v>
      </c>
      <c r="C1184" s="19">
        <v>450.5</v>
      </c>
      <c r="E1184" s="9">
        <f t="shared" ref="E1184:E1247" si="317">(B1184-($B$15/2))</f>
        <v>-540.58333330000005</v>
      </c>
      <c r="F1184" s="9">
        <f t="shared" ref="F1184:F1247" si="318">(($C$15/2)-C1184)</f>
        <v>89.5</v>
      </c>
      <c r="I1184">
        <v>1</v>
      </c>
      <c r="J1184">
        <f t="shared" ref="J1184:J1247" si="319">ATAN((SQRT(E1184^2+F1184^2)^$B$16)/($F$24))</f>
        <v>0.3418722086440229</v>
      </c>
      <c r="K1184">
        <f t="shared" si="307"/>
        <v>2.977519083261758</v>
      </c>
      <c r="O1184">
        <f t="shared" si="308"/>
        <v>-0.33074914550591683</v>
      </c>
      <c r="P1184">
        <f t="shared" si="309"/>
        <v>5.4759454647026154E-2</v>
      </c>
      <c r="Q1184">
        <f t="shared" si="310"/>
        <v>0.9421286562215726</v>
      </c>
      <c r="R1184">
        <f t="shared" si="316"/>
        <v>1</v>
      </c>
      <c r="AG1184" s="8">
        <f t="shared" ref="AG1184:AG1247" si="320">$O1184*$Z$27+$P1184*$Z$31+$Q1184*$Z$35</f>
        <v>-0.84259917680423213</v>
      </c>
      <c r="AH1184" s="8">
        <f t="shared" ref="AH1184:AH1247" si="321">$O1184*$AA$27+$P1184*$AA$31+$Q1184*$AA$35</f>
        <v>-0.20592598989564348</v>
      </c>
      <c r="AI1184" s="8">
        <f t="shared" ref="AI1184:AI1247" si="322">$AB$27*$O1184+$P1184*$AB$31+$AB$35*$Q1184</f>
        <v>0.49761542774951195</v>
      </c>
      <c r="AJ1184" s="8"/>
      <c r="AK1184" s="8"/>
      <c r="AL1184" s="8"/>
      <c r="AN1184" s="8">
        <f t="shared" si="311"/>
        <v>1.0000000000000002</v>
      </c>
      <c r="AO1184" s="8">
        <f t="shared" si="312"/>
        <v>3.3812879452181073</v>
      </c>
      <c r="AP1184" s="8">
        <f t="shared" si="313"/>
        <v>1.0499488363837346</v>
      </c>
      <c r="AQ1184" s="8"/>
      <c r="AR1184" s="8">
        <f t="shared" si="314"/>
        <v>193.73352857945986</v>
      </c>
      <c r="AS1184" s="8">
        <f t="shared" si="315"/>
        <v>29.842362970540194</v>
      </c>
    </row>
    <row r="1185" spans="1:45">
      <c r="A1185" s="19">
        <v>50.950899999999997</v>
      </c>
      <c r="B1185" s="19">
        <v>419.45083740000001</v>
      </c>
      <c r="C1185" s="19">
        <v>450.54492019999998</v>
      </c>
      <c r="E1185" s="9">
        <f t="shared" si="317"/>
        <v>-540.54916260000005</v>
      </c>
      <c r="F1185" s="9">
        <f t="shared" si="318"/>
        <v>89.455079800000021</v>
      </c>
      <c r="I1185">
        <v>1</v>
      </c>
      <c r="J1185">
        <f t="shared" si="319"/>
        <v>0.3418483344378882</v>
      </c>
      <c r="K1185">
        <f t="shared" ref="K1185:K1248" si="323">ATAN2(E1185,F1185)</f>
        <v>2.9775897813106784</v>
      </c>
      <c r="O1185">
        <f t="shared" ref="O1185:O1248" si="324">COS(K1185)*SIN(J1185)</f>
        <v>-0.33073082521126501</v>
      </c>
      <c r="P1185">
        <f t="shared" ref="P1185:P1248" si="325">SIN(K1185)*SIN(J1185)</f>
        <v>5.4732398842853323E-2</v>
      </c>
      <c r="Q1185">
        <f t="shared" ref="Q1185:Q1248" si="326">COS(J1185)</f>
        <v>0.94213665981745054</v>
      </c>
      <c r="R1185">
        <f t="shared" si="316"/>
        <v>1</v>
      </c>
      <c r="AG1185" s="8">
        <f t="shared" si="320"/>
        <v>-0.84260147162859311</v>
      </c>
      <c r="AH1185" s="8">
        <f t="shared" si="321"/>
        <v>-0.20595545046055369</v>
      </c>
      <c r="AI1185" s="8">
        <f t="shared" si="322"/>
        <v>0.49759934931119004</v>
      </c>
      <c r="AJ1185" s="8"/>
      <c r="AK1185" s="8"/>
      <c r="AL1185" s="8"/>
      <c r="AN1185" s="8">
        <f t="shared" ref="AN1185:AN1248" si="327">AG1185^2+AH1185^2+AI1185^2</f>
        <v>1</v>
      </c>
      <c r="AO1185" s="8">
        <f t="shared" ref="AO1185:AO1248" si="328">IF(ATAN2(AG1185,AH1185)&gt;=0,ATAN2(AG1185,AH1185),ATAN2(AG1185,AH1185)+2*PI())</f>
        <v>3.3813203100615086</v>
      </c>
      <c r="AP1185" s="8">
        <f t="shared" ref="AP1185:AP1248" si="329">ACOS(AI1185/AN1185)</f>
        <v>1.0499673726925041</v>
      </c>
      <c r="AQ1185" s="8"/>
      <c r="AR1185" s="8">
        <f t="shared" ref="AR1185:AR1248" si="330">DEGREES(AO1185)</f>
        <v>193.73538294839136</v>
      </c>
      <c r="AS1185" s="8">
        <f t="shared" ref="AS1185:AS1248" si="331">90-DEGREES(AP1185)</f>
        <v>29.841300918279956</v>
      </c>
    </row>
    <row r="1186" spans="1:45">
      <c r="A1186" s="19">
        <v>50.984266669999997</v>
      </c>
      <c r="B1186" s="19">
        <v>418.16666670000001</v>
      </c>
      <c r="C1186" s="19">
        <v>450.5</v>
      </c>
      <c r="E1186" s="9">
        <f t="shared" si="317"/>
        <v>-541.83333330000005</v>
      </c>
      <c r="F1186" s="9">
        <f t="shared" si="318"/>
        <v>89.5</v>
      </c>
      <c r="I1186">
        <v>1</v>
      </c>
      <c r="J1186">
        <f t="shared" si="319"/>
        <v>0.34258931285276112</v>
      </c>
      <c r="K1186">
        <f t="shared" si="323"/>
        <v>2.9778908643438391</v>
      </c>
      <c r="O1186">
        <f t="shared" si="324"/>
        <v>-0.33143596817780091</v>
      </c>
      <c r="P1186">
        <f t="shared" si="325"/>
        <v>5.4746574876169941E-2</v>
      </c>
      <c r="Q1186">
        <f t="shared" si="326"/>
        <v>0.94188800371242209</v>
      </c>
      <c r="R1186">
        <f t="shared" si="316"/>
        <v>1</v>
      </c>
      <c r="AG1186" s="8">
        <f t="shared" si="320"/>
        <v>-0.84288745410266974</v>
      </c>
      <c r="AH1186" s="8">
        <f t="shared" si="321"/>
        <v>-0.20529801261593295</v>
      </c>
      <c r="AI1186" s="8">
        <f t="shared" si="322"/>
        <v>0.49738663606119149</v>
      </c>
      <c r="AJ1186" s="8"/>
      <c r="AK1186" s="8"/>
      <c r="AL1186" s="8"/>
      <c r="AN1186" s="8">
        <f t="shared" si="327"/>
        <v>1</v>
      </c>
      <c r="AO1186" s="8">
        <f t="shared" si="328"/>
        <v>3.3805058818362932</v>
      </c>
      <c r="AP1186" s="8">
        <f t="shared" si="329"/>
        <v>1.0502125843340868</v>
      </c>
      <c r="AQ1186" s="8"/>
      <c r="AR1186" s="8">
        <f t="shared" si="330"/>
        <v>193.68871964837018</v>
      </c>
      <c r="AS1186" s="8">
        <f t="shared" si="331"/>
        <v>29.82725132612979</v>
      </c>
    </row>
    <row r="1187" spans="1:45">
      <c r="A1187" s="19">
        <v>51.017633330000002</v>
      </c>
      <c r="B1187" s="19">
        <v>417.91666670000001</v>
      </c>
      <c r="C1187" s="19">
        <v>450.5</v>
      </c>
      <c r="E1187" s="9">
        <f t="shared" si="317"/>
        <v>-542.08333330000005</v>
      </c>
      <c r="F1187" s="9">
        <f t="shared" si="318"/>
        <v>89.5</v>
      </c>
      <c r="I1187">
        <v>1</v>
      </c>
      <c r="J1187">
        <f t="shared" si="319"/>
        <v>0.34273269673463375</v>
      </c>
      <c r="K1187">
        <f t="shared" si="323"/>
        <v>2.9779650202745316</v>
      </c>
      <c r="O1187">
        <f t="shared" si="324"/>
        <v>-0.3315732712953226</v>
      </c>
      <c r="P1187">
        <f t="shared" si="325"/>
        <v>5.4743995909773163E-2</v>
      </c>
      <c r="Q1187">
        <f t="shared" si="326"/>
        <v>0.9418398275048413</v>
      </c>
      <c r="R1187">
        <f t="shared" si="316"/>
        <v>1</v>
      </c>
      <c r="AG1187" s="8">
        <f t="shared" si="320"/>
        <v>-0.84294503916138552</v>
      </c>
      <c r="AH1187" s="8">
        <f t="shared" si="321"/>
        <v>-0.20517244114186778</v>
      </c>
      <c r="AI1187" s="8">
        <f t="shared" si="322"/>
        <v>0.49734085931994088</v>
      </c>
      <c r="AJ1187" s="8"/>
      <c r="AK1187" s="8"/>
      <c r="AL1187" s="8"/>
      <c r="AN1187" s="8">
        <f t="shared" si="327"/>
        <v>1.0000000000000002</v>
      </c>
      <c r="AO1187" s="8">
        <f t="shared" si="328"/>
        <v>3.3803495436251443</v>
      </c>
      <c r="AP1187" s="8">
        <f t="shared" si="329"/>
        <v>1.0502653503509083</v>
      </c>
      <c r="AQ1187" s="8"/>
      <c r="AR1187" s="8">
        <f t="shared" si="330"/>
        <v>193.67976212869473</v>
      </c>
      <c r="AS1187" s="8">
        <f t="shared" si="331"/>
        <v>29.8242280560642</v>
      </c>
    </row>
    <row r="1188" spans="1:45">
      <c r="A1188" s="19">
        <v>51.051000000000002</v>
      </c>
      <c r="B1188" s="19">
        <v>417.5</v>
      </c>
      <c r="C1188" s="19">
        <v>450.08333329999999</v>
      </c>
      <c r="E1188" s="9">
        <f t="shared" si="317"/>
        <v>-542.5</v>
      </c>
      <c r="F1188" s="9">
        <f t="shared" si="318"/>
        <v>89.916666700000007</v>
      </c>
      <c r="I1188">
        <v>1</v>
      </c>
      <c r="J1188">
        <f t="shared" si="319"/>
        <v>0.34301114896256946</v>
      </c>
      <c r="K1188">
        <f t="shared" si="323"/>
        <v>2.9773408592053077</v>
      </c>
      <c r="O1188">
        <f t="shared" si="324"/>
        <v>-0.3317977524525843</v>
      </c>
      <c r="P1188">
        <f t="shared" si="325"/>
        <v>5.4993821049010481E-2</v>
      </c>
      <c r="Q1188">
        <f t="shared" si="326"/>
        <v>0.94174621375073386</v>
      </c>
      <c r="R1188">
        <f t="shared" si="316"/>
        <v>1</v>
      </c>
      <c r="AG1188" s="8">
        <f t="shared" si="320"/>
        <v>-0.84294650569427221</v>
      </c>
      <c r="AH1188" s="8">
        <f t="shared" si="321"/>
        <v>-0.20484921650518045</v>
      </c>
      <c r="AI1188" s="8">
        <f t="shared" si="322"/>
        <v>0.49747159419913611</v>
      </c>
      <c r="AJ1188" s="8"/>
      <c r="AK1188" s="8"/>
      <c r="AL1188" s="8"/>
      <c r="AN1188" s="8">
        <f t="shared" si="327"/>
        <v>1</v>
      </c>
      <c r="AO1188" s="8">
        <f t="shared" si="328"/>
        <v>3.3799871117891156</v>
      </c>
      <c r="AP1188" s="8">
        <f t="shared" si="329"/>
        <v>1.0501146504032399</v>
      </c>
      <c r="AQ1188" s="8"/>
      <c r="AR1188" s="8">
        <f t="shared" si="330"/>
        <v>193.6589963141291</v>
      </c>
      <c r="AS1188" s="8">
        <f t="shared" si="331"/>
        <v>29.832862527038444</v>
      </c>
    </row>
    <row r="1189" spans="1:45">
      <c r="A1189" s="19">
        <v>51.084366670000001</v>
      </c>
      <c r="B1189" s="19">
        <v>416.66666670000001</v>
      </c>
      <c r="C1189" s="19">
        <v>449.08333329999999</v>
      </c>
      <c r="E1189" s="9">
        <f t="shared" si="317"/>
        <v>-543.33333330000005</v>
      </c>
      <c r="F1189" s="9">
        <f t="shared" si="318"/>
        <v>90.916666700000007</v>
      </c>
      <c r="I1189">
        <v>1</v>
      </c>
      <c r="J1189">
        <f t="shared" si="319"/>
        <v>0.34358423127389337</v>
      </c>
      <c r="K1189">
        <f t="shared" si="323"/>
        <v>2.9757973869538596</v>
      </c>
      <c r="O1189">
        <f t="shared" si="324"/>
        <v>-0.3322447187703999</v>
      </c>
      <c r="P1189">
        <f t="shared" si="325"/>
        <v>5.5594936860988167E-2</v>
      </c>
      <c r="Q1189">
        <f t="shared" si="326"/>
        <v>0.94155331757930771</v>
      </c>
      <c r="R1189">
        <f t="shared" si="316"/>
        <v>1</v>
      </c>
      <c r="AG1189" s="8">
        <f t="shared" si="320"/>
        <v>-0.84291129678671206</v>
      </c>
      <c r="AH1189" s="8">
        <f t="shared" si="321"/>
        <v>-0.20415728801279309</v>
      </c>
      <c r="AI1189" s="8">
        <f t="shared" si="322"/>
        <v>0.49781557579148239</v>
      </c>
      <c r="AJ1189" s="8"/>
      <c r="AK1189" s="8"/>
      <c r="AL1189" s="8"/>
      <c r="AN1189" s="8">
        <f t="shared" si="327"/>
        <v>1.0000000000000004</v>
      </c>
      <c r="AO1189" s="8">
        <f t="shared" si="328"/>
        <v>3.3792214500341835</v>
      </c>
      <c r="AP1189" s="8">
        <f t="shared" si="329"/>
        <v>1.0497180757102447</v>
      </c>
      <c r="AQ1189" s="8"/>
      <c r="AR1189" s="8">
        <f t="shared" si="330"/>
        <v>193.61512712703691</v>
      </c>
      <c r="AS1189" s="8">
        <f t="shared" si="331"/>
        <v>29.855584583208767</v>
      </c>
    </row>
    <row r="1190" spans="1:45">
      <c r="A1190" s="19">
        <v>51.11773333</v>
      </c>
      <c r="B1190" s="19">
        <v>416.33333329999999</v>
      </c>
      <c r="C1190" s="19">
        <v>449.08333329999999</v>
      </c>
      <c r="E1190" s="9">
        <f t="shared" si="317"/>
        <v>-543.66666669999995</v>
      </c>
      <c r="F1190" s="9">
        <f t="shared" si="318"/>
        <v>90.916666700000007</v>
      </c>
      <c r="I1190">
        <v>1</v>
      </c>
      <c r="J1190">
        <f t="shared" si="319"/>
        <v>0.34377521011702056</v>
      </c>
      <c r="K1190">
        <f t="shared" si="323"/>
        <v>2.9758971885572723</v>
      </c>
      <c r="O1190">
        <f t="shared" si="324"/>
        <v>-0.33242761349171968</v>
      </c>
      <c r="P1190">
        <f t="shared" si="325"/>
        <v>5.5591435688258813E-2</v>
      </c>
      <c r="Q1190">
        <f t="shared" si="326"/>
        <v>0.94148896651331926</v>
      </c>
      <c r="R1190">
        <f t="shared" si="316"/>
        <v>1</v>
      </c>
      <c r="AG1190" s="8">
        <f t="shared" si="320"/>
        <v>-0.8429879027276721</v>
      </c>
      <c r="AH1190" s="8">
        <f t="shared" si="321"/>
        <v>-0.20398995912539081</v>
      </c>
      <c r="AI1190" s="8">
        <f t="shared" si="322"/>
        <v>0.49775444993573126</v>
      </c>
      <c r="AJ1190" s="8"/>
      <c r="AK1190" s="8"/>
      <c r="AL1190" s="8"/>
      <c r="AN1190" s="8">
        <f t="shared" si="327"/>
        <v>1</v>
      </c>
      <c r="AO1190" s="8">
        <f t="shared" si="328"/>
        <v>3.3790131530756047</v>
      </c>
      <c r="AP1190" s="8">
        <f t="shared" si="329"/>
        <v>1.0497885540033827</v>
      </c>
      <c r="AQ1190" s="8"/>
      <c r="AR1190" s="8">
        <f t="shared" si="330"/>
        <v>193.60319259042492</v>
      </c>
      <c r="AS1190" s="8">
        <f t="shared" si="331"/>
        <v>29.851546474464669</v>
      </c>
    </row>
    <row r="1191" spans="1:45">
      <c r="A1191" s="19">
        <v>51.1511</v>
      </c>
      <c r="B1191" s="19">
        <v>414.91666670000001</v>
      </c>
      <c r="C1191" s="19">
        <v>448.83333329999999</v>
      </c>
      <c r="E1191" s="9">
        <f t="shared" si="317"/>
        <v>-545.08333330000005</v>
      </c>
      <c r="F1191" s="9">
        <f t="shared" si="318"/>
        <v>91.166666700000007</v>
      </c>
      <c r="I1191">
        <v>1</v>
      </c>
      <c r="J1191">
        <f t="shared" si="319"/>
        <v>0.34461053478076908</v>
      </c>
      <c r="K1191">
        <f t="shared" si="323"/>
        <v>2.9758738224739045</v>
      </c>
      <c r="O1191">
        <f t="shared" si="324"/>
        <v>-0.33320187300648468</v>
      </c>
      <c r="P1191">
        <f t="shared" si="325"/>
        <v>5.5728917478163428E-2</v>
      </c>
      <c r="Q1191">
        <f t="shared" si="326"/>
        <v>0.94120709707358374</v>
      </c>
      <c r="R1191">
        <f t="shared" si="316"/>
        <v>1</v>
      </c>
      <c r="AG1191" s="8">
        <f t="shared" si="320"/>
        <v>-0.84325626575365176</v>
      </c>
      <c r="AH1191" s="8">
        <f t="shared" si="321"/>
        <v>-0.20321062152047847</v>
      </c>
      <c r="AI1191" s="8">
        <f t="shared" si="322"/>
        <v>0.4976186427059055</v>
      </c>
      <c r="AJ1191" s="8"/>
      <c r="AK1191" s="8"/>
      <c r="AL1191" s="8"/>
      <c r="AN1191" s="8">
        <f t="shared" si="327"/>
        <v>1.0000000000000002</v>
      </c>
      <c r="AO1191" s="8">
        <f t="shared" si="328"/>
        <v>3.378067110293856</v>
      </c>
      <c r="AP1191" s="8">
        <f t="shared" si="329"/>
        <v>1.0499451299413916</v>
      </c>
      <c r="AQ1191" s="8"/>
      <c r="AR1191" s="8">
        <f t="shared" si="330"/>
        <v>193.54898833179192</v>
      </c>
      <c r="AS1191" s="8">
        <f t="shared" si="331"/>
        <v>29.84257533404346</v>
      </c>
    </row>
    <row r="1192" spans="1:45">
      <c r="A1192" s="19">
        <v>51.518133329999998</v>
      </c>
      <c r="B1192" s="19">
        <v>410</v>
      </c>
      <c r="C1192" s="19">
        <v>448.5</v>
      </c>
      <c r="E1192" s="9">
        <f t="shared" si="317"/>
        <v>-550</v>
      </c>
      <c r="F1192" s="9">
        <f t="shared" si="318"/>
        <v>91.5</v>
      </c>
      <c r="I1192">
        <v>1</v>
      </c>
      <c r="J1192">
        <f t="shared" si="319"/>
        <v>0.34745492061460415</v>
      </c>
      <c r="K1192">
        <f t="shared" si="323"/>
        <v>2.9767388309506404</v>
      </c>
      <c r="O1192">
        <f t="shared" si="324"/>
        <v>-0.33588946288504395</v>
      </c>
      <c r="P1192">
        <f t="shared" si="325"/>
        <v>5.5879792461784594E-2</v>
      </c>
      <c r="Q1192">
        <f t="shared" si="326"/>
        <v>0.94024237168786673</v>
      </c>
      <c r="R1192">
        <f t="shared" si="316"/>
        <v>1</v>
      </c>
      <c r="AG1192" s="8">
        <f t="shared" si="320"/>
        <v>-0.84430317987269143</v>
      </c>
      <c r="AH1192" s="8">
        <f t="shared" si="321"/>
        <v>-0.20065417177073103</v>
      </c>
      <c r="AI1192" s="8">
        <f t="shared" si="322"/>
        <v>0.49688031135059457</v>
      </c>
      <c r="AJ1192" s="8"/>
      <c r="AK1192" s="8"/>
      <c r="AL1192" s="8"/>
      <c r="AN1192" s="8">
        <f t="shared" si="327"/>
        <v>1.0000000000000002</v>
      </c>
      <c r="AO1192" s="8">
        <f t="shared" si="328"/>
        <v>3.3749206299008727</v>
      </c>
      <c r="AP1192" s="8">
        <f t="shared" si="329"/>
        <v>1.0507961268605417</v>
      </c>
      <c r="AQ1192" s="8"/>
      <c r="AR1192" s="8">
        <f t="shared" si="330"/>
        <v>193.3687082849533</v>
      </c>
      <c r="AS1192" s="8">
        <f t="shared" si="331"/>
        <v>29.793816802197519</v>
      </c>
    </row>
    <row r="1193" spans="1:45">
      <c r="A1193" s="19">
        <v>51.785066669999999</v>
      </c>
      <c r="B1193" s="19">
        <v>406.08333329999999</v>
      </c>
      <c r="C1193" s="19">
        <v>447.58333329999999</v>
      </c>
      <c r="E1193" s="9">
        <f t="shared" si="317"/>
        <v>-553.91666669999995</v>
      </c>
      <c r="F1193" s="9">
        <f t="shared" si="318"/>
        <v>92.416666700000007</v>
      </c>
      <c r="I1193">
        <v>1</v>
      </c>
      <c r="J1193">
        <f t="shared" si="319"/>
        <v>0.34977870631014202</v>
      </c>
      <c r="K1193">
        <f t="shared" si="323"/>
        <v>2.9762732069348092</v>
      </c>
      <c r="O1193">
        <f t="shared" si="324"/>
        <v>-0.33801763092423887</v>
      </c>
      <c r="P1193">
        <f t="shared" si="325"/>
        <v>5.6395599940970348E-2</v>
      </c>
      <c r="Q1193">
        <f t="shared" si="326"/>
        <v>0.93944857096685341</v>
      </c>
      <c r="R1193">
        <f t="shared" si="316"/>
        <v>1</v>
      </c>
      <c r="AG1193" s="8">
        <f t="shared" si="320"/>
        <v>-0.84498299104010832</v>
      </c>
      <c r="AH1193" s="8">
        <f t="shared" si="321"/>
        <v>-0.19844247545833971</v>
      </c>
      <c r="AI1193" s="8">
        <f t="shared" si="322"/>
        <v>0.4966128560426909</v>
      </c>
      <c r="AJ1193" s="8"/>
      <c r="AK1193" s="8"/>
      <c r="AL1193" s="8"/>
      <c r="AN1193" s="8">
        <f t="shared" si="327"/>
        <v>1</v>
      </c>
      <c r="AO1193" s="8">
        <f t="shared" si="328"/>
        <v>3.3722604630407398</v>
      </c>
      <c r="AP1193" s="8">
        <f t="shared" si="329"/>
        <v>1.051104292150828</v>
      </c>
      <c r="AQ1193" s="8"/>
      <c r="AR1193" s="8">
        <f t="shared" si="330"/>
        <v>193.21629195106712</v>
      </c>
      <c r="AS1193" s="8">
        <f t="shared" si="331"/>
        <v>29.776160231671689</v>
      </c>
    </row>
    <row r="1194" spans="1:45">
      <c r="A1194" s="19">
        <v>51.818433329999998</v>
      </c>
      <c r="B1194" s="19">
        <v>405.49178139999998</v>
      </c>
      <c r="C1194" s="19">
        <v>447.36691580000002</v>
      </c>
      <c r="E1194" s="9">
        <f t="shared" si="317"/>
        <v>-554.50821859999996</v>
      </c>
      <c r="F1194" s="9">
        <f t="shared" si="318"/>
        <v>92.633084199999985</v>
      </c>
      <c r="I1194">
        <v>1</v>
      </c>
      <c r="J1194">
        <f t="shared" si="319"/>
        <v>0.35013678215038729</v>
      </c>
      <c r="K1194">
        <f t="shared" si="323"/>
        <v>2.9760666643697324</v>
      </c>
      <c r="O1194">
        <f t="shared" si="324"/>
        <v>-0.33833774989243109</v>
      </c>
      <c r="P1194">
        <f t="shared" si="325"/>
        <v>5.6520838145471125E-2</v>
      </c>
      <c r="Q1194">
        <f t="shared" si="326"/>
        <v>0.93932580176052882</v>
      </c>
      <c r="R1194">
        <f t="shared" si="316"/>
        <v>1</v>
      </c>
      <c r="AG1194" s="8">
        <f t="shared" si="320"/>
        <v>-0.84506746705382363</v>
      </c>
      <c r="AH1194" s="8">
        <f t="shared" si="321"/>
        <v>-0.19808737978404889</v>
      </c>
      <c r="AI1194" s="8">
        <f t="shared" si="322"/>
        <v>0.49661087996289904</v>
      </c>
      <c r="AJ1194" s="8"/>
      <c r="AK1194" s="8"/>
      <c r="AL1194" s="8"/>
      <c r="AN1194" s="8">
        <f t="shared" si="327"/>
        <v>1.0000000000000002</v>
      </c>
      <c r="AO1194" s="8">
        <f t="shared" si="328"/>
        <v>3.3718399384034177</v>
      </c>
      <c r="AP1194" s="8">
        <f t="shared" si="329"/>
        <v>1.0511065688119872</v>
      </c>
      <c r="AQ1194" s="8"/>
      <c r="AR1194" s="8">
        <f t="shared" si="330"/>
        <v>193.19219766416731</v>
      </c>
      <c r="AS1194" s="8">
        <f t="shared" si="331"/>
        <v>29.776029788595892</v>
      </c>
    </row>
    <row r="1195" spans="1:45">
      <c r="A1195" s="19">
        <v>51.851799999999997</v>
      </c>
      <c r="B1195" s="19">
        <v>405.12560109999998</v>
      </c>
      <c r="C1195" s="19">
        <v>447.1971739</v>
      </c>
      <c r="E1195" s="9">
        <f t="shared" si="317"/>
        <v>-554.87439889999996</v>
      </c>
      <c r="F1195" s="9">
        <f t="shared" si="318"/>
        <v>92.802826100000004</v>
      </c>
      <c r="I1195">
        <v>1</v>
      </c>
      <c r="J1195">
        <f t="shared" si="319"/>
        <v>0.35036181042473108</v>
      </c>
      <c r="K1195">
        <f t="shared" si="323"/>
        <v>2.975876317042657</v>
      </c>
      <c r="O1195">
        <f t="shared" si="324"/>
        <v>-0.3385354557269461</v>
      </c>
      <c r="P1195">
        <f t="shared" si="325"/>
        <v>5.6620105538828555E-2</v>
      </c>
      <c r="Q1195">
        <f t="shared" si="326"/>
        <v>0.93924858736360139</v>
      </c>
      <c r="R1195">
        <f t="shared" si="316"/>
        <v>1</v>
      </c>
      <c r="AG1195" s="8">
        <f t="shared" si="320"/>
        <v>-0.84511156675111843</v>
      </c>
      <c r="AH1195" s="8">
        <f t="shared" si="321"/>
        <v>-0.19785784117546212</v>
      </c>
      <c r="AI1195" s="8">
        <f t="shared" si="322"/>
        <v>0.49662733959061867</v>
      </c>
      <c r="AJ1195" s="8"/>
      <c r="AK1195" s="8"/>
      <c r="AL1195" s="8"/>
      <c r="AN1195" s="8">
        <f t="shared" si="327"/>
        <v>1.0000000000000002</v>
      </c>
      <c r="AO1195" s="8">
        <f t="shared" si="328"/>
        <v>3.3715708656345735</v>
      </c>
      <c r="AP1195" s="8">
        <f t="shared" si="329"/>
        <v>1.0510876054208502</v>
      </c>
      <c r="AQ1195" s="8"/>
      <c r="AR1195" s="8">
        <f t="shared" si="330"/>
        <v>193.17678093013063</v>
      </c>
      <c r="AS1195" s="8">
        <f t="shared" si="331"/>
        <v>29.777116310873296</v>
      </c>
    </row>
    <row r="1196" spans="1:45">
      <c r="A1196" s="19">
        <v>51.885166669999997</v>
      </c>
      <c r="B1196" s="19">
        <v>404.28193299999998</v>
      </c>
      <c r="C1196" s="19">
        <v>447.23983550000003</v>
      </c>
      <c r="E1196" s="9">
        <f t="shared" si="317"/>
        <v>-555.71806700000002</v>
      </c>
      <c r="F1196" s="9">
        <f t="shared" si="318"/>
        <v>92.760164499999973</v>
      </c>
      <c r="I1196">
        <v>1</v>
      </c>
      <c r="J1196">
        <f t="shared" si="319"/>
        <v>0.35083880773718779</v>
      </c>
      <c r="K1196">
        <f t="shared" si="323"/>
        <v>2.9761980167008675</v>
      </c>
      <c r="O1196">
        <f t="shared" si="324"/>
        <v>-0.33899551948721135</v>
      </c>
      <c r="P1196">
        <f t="shared" si="325"/>
        <v>5.6584952010201084E-2</v>
      </c>
      <c r="Q1196">
        <f t="shared" si="326"/>
        <v>0.93908475707659045</v>
      </c>
      <c r="R1196">
        <f t="shared" si="316"/>
        <v>1</v>
      </c>
      <c r="AG1196" s="8">
        <f t="shared" si="320"/>
        <v>-0.84531148533249678</v>
      </c>
      <c r="AH1196" s="8">
        <f t="shared" si="321"/>
        <v>-0.19744739417821017</v>
      </c>
      <c r="AI1196" s="8">
        <f t="shared" si="322"/>
        <v>0.49645041977744614</v>
      </c>
      <c r="AJ1196" s="8"/>
      <c r="AK1196" s="8"/>
      <c r="AL1196" s="8"/>
      <c r="AN1196" s="8">
        <f t="shared" si="327"/>
        <v>0.99999999999999989</v>
      </c>
      <c r="AO1196" s="8">
        <f t="shared" si="328"/>
        <v>3.3710579856451877</v>
      </c>
      <c r="AP1196" s="8">
        <f t="shared" si="329"/>
        <v>1.0512914266904811</v>
      </c>
      <c r="AQ1196" s="8"/>
      <c r="AR1196" s="8">
        <f t="shared" si="330"/>
        <v>193.14739507134212</v>
      </c>
      <c r="AS1196" s="8">
        <f t="shared" si="331"/>
        <v>29.765438212348442</v>
      </c>
    </row>
    <row r="1197" spans="1:45">
      <c r="A1197" s="19">
        <v>51.918533330000002</v>
      </c>
      <c r="B1197" s="19">
        <v>403.6531018</v>
      </c>
      <c r="C1197" s="19">
        <v>447.08074620000002</v>
      </c>
      <c r="E1197" s="9">
        <f t="shared" si="317"/>
        <v>-556.34689819999994</v>
      </c>
      <c r="F1197" s="9">
        <f t="shared" si="318"/>
        <v>92.919253799999979</v>
      </c>
      <c r="I1197">
        <v>1</v>
      </c>
      <c r="J1197">
        <f t="shared" si="319"/>
        <v>0.35121241031473049</v>
      </c>
      <c r="K1197">
        <f t="shared" si="323"/>
        <v>2.9761033686742051</v>
      </c>
      <c r="O1197">
        <f t="shared" si="324"/>
        <v>-0.33933618985196717</v>
      </c>
      <c r="P1197">
        <f t="shared" si="325"/>
        <v>5.667482941020191E-2</v>
      </c>
      <c r="Q1197">
        <f t="shared" si="326"/>
        <v>0.93895628970047074</v>
      </c>
      <c r="R1197">
        <f t="shared" si="316"/>
        <v>1</v>
      </c>
      <c r="AG1197" s="8">
        <f t="shared" si="320"/>
        <v>-0.84541697684783501</v>
      </c>
      <c r="AH1197" s="8">
        <f t="shared" si="321"/>
        <v>-0.19708946940162236</v>
      </c>
      <c r="AI1197" s="8">
        <f t="shared" si="322"/>
        <v>0.49641300980983005</v>
      </c>
      <c r="AJ1197" s="8"/>
      <c r="AK1197" s="8"/>
      <c r="AL1197" s="8"/>
      <c r="AN1197" s="8">
        <f t="shared" si="327"/>
        <v>1.0000000000000002</v>
      </c>
      <c r="AO1197" s="8">
        <f t="shared" si="328"/>
        <v>3.3706288375108162</v>
      </c>
      <c r="AP1197" s="8">
        <f t="shared" si="329"/>
        <v>1.0513345219693317</v>
      </c>
      <c r="AQ1197" s="8"/>
      <c r="AR1197" s="8">
        <f t="shared" si="330"/>
        <v>193.1228066944567</v>
      </c>
      <c r="AS1197" s="8">
        <f t="shared" si="331"/>
        <v>29.762969034753368</v>
      </c>
    </row>
    <row r="1198" spans="1:45">
      <c r="A1198" s="19">
        <v>51.951900000000002</v>
      </c>
      <c r="B1198" s="19">
        <v>402.75</v>
      </c>
      <c r="C1198" s="19">
        <v>446.33333329999999</v>
      </c>
      <c r="E1198" s="9">
        <f t="shared" si="317"/>
        <v>-557.25</v>
      </c>
      <c r="F1198" s="9">
        <f t="shared" si="318"/>
        <v>93.666666700000007</v>
      </c>
      <c r="I1198">
        <v>1</v>
      </c>
      <c r="J1198">
        <f t="shared" si="319"/>
        <v>0.3517983496999601</v>
      </c>
      <c r="K1198">
        <f t="shared" si="323"/>
        <v>2.9750620248074351</v>
      </c>
      <c r="O1198">
        <f t="shared" si="324"/>
        <v>-0.33981948990069361</v>
      </c>
      <c r="P1198">
        <f t="shared" si="325"/>
        <v>5.7119351994064274E-2</v>
      </c>
      <c r="Q1198">
        <f t="shared" si="326"/>
        <v>0.93875454401638481</v>
      </c>
      <c r="R1198">
        <f t="shared" si="316"/>
        <v>1</v>
      </c>
      <c r="AG1198" s="8">
        <f t="shared" si="320"/>
        <v>-0.84545032082138194</v>
      </c>
      <c r="AH1198" s="8">
        <f t="shared" si="321"/>
        <v>-0.19643404836116801</v>
      </c>
      <c r="AI1198" s="8">
        <f t="shared" si="322"/>
        <v>0.49661596799485297</v>
      </c>
      <c r="AJ1198" s="8"/>
      <c r="AK1198" s="8"/>
      <c r="AL1198" s="8"/>
      <c r="AN1198" s="8">
        <f t="shared" si="327"/>
        <v>1</v>
      </c>
      <c r="AO1198" s="8">
        <f t="shared" si="328"/>
        <v>3.3698847158031309</v>
      </c>
      <c r="AP1198" s="8">
        <f t="shared" si="329"/>
        <v>1.0511007068338145</v>
      </c>
      <c r="AQ1198" s="8"/>
      <c r="AR1198" s="8">
        <f t="shared" si="330"/>
        <v>193.08017166116227</v>
      </c>
      <c r="AS1198" s="8">
        <f t="shared" si="331"/>
        <v>29.776365655204785</v>
      </c>
    </row>
    <row r="1199" spans="1:45">
      <c r="A1199" s="19">
        <v>51.985266670000001</v>
      </c>
      <c r="B1199" s="19">
        <v>402.22203489999998</v>
      </c>
      <c r="C1199" s="19">
        <v>446.34650390000002</v>
      </c>
      <c r="E1199" s="9">
        <f t="shared" si="317"/>
        <v>-557.77796510000007</v>
      </c>
      <c r="F1199" s="9">
        <f t="shared" si="318"/>
        <v>93.653496099999984</v>
      </c>
      <c r="I1199">
        <v>1</v>
      </c>
      <c r="J1199">
        <f t="shared" si="319"/>
        <v>0.3520978058405993</v>
      </c>
      <c r="K1199">
        <f t="shared" si="323"/>
        <v>2.975239725422989</v>
      </c>
      <c r="O1199">
        <f t="shared" si="324"/>
        <v>-0.34010685451215206</v>
      </c>
      <c r="P1199">
        <f t="shared" si="325"/>
        <v>5.7105511450109975E-2</v>
      </c>
      <c r="Q1199">
        <f t="shared" si="326"/>
        <v>0.93865131336182084</v>
      </c>
      <c r="R1199">
        <f t="shared" si="316"/>
        <v>1</v>
      </c>
      <c r="AG1199" s="8">
        <f t="shared" si="320"/>
        <v>-0.84557194204241393</v>
      </c>
      <c r="AH1199" s="8">
        <f t="shared" si="321"/>
        <v>-0.19617369279760172</v>
      </c>
      <c r="AI1199" s="8">
        <f t="shared" si="322"/>
        <v>0.49651180558449259</v>
      </c>
      <c r="AJ1199" s="8"/>
      <c r="AK1199" s="8"/>
      <c r="AL1199" s="8"/>
      <c r="AN1199" s="8">
        <f t="shared" si="327"/>
        <v>1.0000000000000002</v>
      </c>
      <c r="AO1199" s="8">
        <f t="shared" si="328"/>
        <v>3.3695608501576695</v>
      </c>
      <c r="AP1199" s="8">
        <f t="shared" si="329"/>
        <v>1.0512207095864738</v>
      </c>
      <c r="AQ1199" s="8"/>
      <c r="AR1199" s="8">
        <f t="shared" si="330"/>
        <v>193.06161552654805</v>
      </c>
      <c r="AS1199" s="8">
        <f t="shared" si="331"/>
        <v>29.769490003947446</v>
      </c>
    </row>
    <row r="1200" spans="1:45">
      <c r="A1200" s="19">
        <v>52.01863333</v>
      </c>
      <c r="B1200" s="19">
        <v>401.39645849999999</v>
      </c>
      <c r="C1200" s="19">
        <v>446.54926460000001</v>
      </c>
      <c r="E1200" s="9">
        <f t="shared" si="317"/>
        <v>-558.60354150000001</v>
      </c>
      <c r="F1200" s="9">
        <f t="shared" si="318"/>
        <v>93.450735399999985</v>
      </c>
      <c r="I1200">
        <v>1</v>
      </c>
      <c r="J1200">
        <f t="shared" si="319"/>
        <v>0.35254858853253573</v>
      </c>
      <c r="K1200">
        <f t="shared" si="323"/>
        <v>2.9758341570918234</v>
      </c>
      <c r="O1200">
        <f t="shared" si="324"/>
        <v>-0.34055803333264151</v>
      </c>
      <c r="P1200">
        <f t="shared" si="325"/>
        <v>5.6973141587776908E-2</v>
      </c>
      <c r="Q1200">
        <f t="shared" si="326"/>
        <v>0.93849575761972548</v>
      </c>
      <c r="R1200">
        <f t="shared" si="316"/>
        <v>1</v>
      </c>
      <c r="AG1200" s="8">
        <f t="shared" si="320"/>
        <v>-0.84580329629086703</v>
      </c>
      <c r="AH1200" s="8">
        <f t="shared" si="321"/>
        <v>-0.19581630553828089</v>
      </c>
      <c r="AI1200" s="8">
        <f t="shared" si="322"/>
        <v>0.49625876160410759</v>
      </c>
      <c r="AJ1200" s="8"/>
      <c r="AK1200" s="8"/>
      <c r="AL1200" s="8"/>
      <c r="AN1200" s="8">
        <f t="shared" si="327"/>
        <v>1</v>
      </c>
      <c r="AO1200" s="8">
        <f t="shared" si="328"/>
        <v>3.3690996220265781</v>
      </c>
      <c r="AP1200" s="8">
        <f t="shared" si="329"/>
        <v>1.0515122005481663</v>
      </c>
      <c r="AQ1200" s="8"/>
      <c r="AR1200" s="8">
        <f t="shared" si="330"/>
        <v>193.03518910124382</v>
      </c>
      <c r="AS1200" s="8">
        <f t="shared" si="331"/>
        <v>29.75278880207626</v>
      </c>
    </row>
    <row r="1201" spans="1:45">
      <c r="A1201" s="19">
        <v>52.052</v>
      </c>
      <c r="B1201" s="19">
        <v>400.73737149999999</v>
      </c>
      <c r="C1201" s="19">
        <v>446.4181001</v>
      </c>
      <c r="E1201" s="9">
        <f t="shared" si="317"/>
        <v>-559.26262850000001</v>
      </c>
      <c r="F1201" s="9">
        <f t="shared" si="318"/>
        <v>93.581899899999996</v>
      </c>
      <c r="I1201">
        <v>1</v>
      </c>
      <c r="J1201">
        <f t="shared" si="319"/>
        <v>0.35293631361061023</v>
      </c>
      <c r="K1201">
        <f t="shared" si="323"/>
        <v>2.9757977979477692</v>
      </c>
      <c r="O1201">
        <f t="shared" si="324"/>
        <v>-0.34091482466023221</v>
      </c>
      <c r="P1201">
        <f t="shared" si="325"/>
        <v>5.7045572813167029E-2</v>
      </c>
      <c r="Q1201">
        <f t="shared" si="326"/>
        <v>0.93836180919158296</v>
      </c>
      <c r="R1201">
        <f t="shared" si="316"/>
        <v>1</v>
      </c>
      <c r="AG1201" s="8">
        <f t="shared" si="320"/>
        <v>-0.84592123795783236</v>
      </c>
      <c r="AH1201" s="8">
        <f t="shared" si="321"/>
        <v>-0.19545117715500337</v>
      </c>
      <c r="AI1201" s="8">
        <f t="shared" si="322"/>
        <v>0.49620166920377434</v>
      </c>
      <c r="AJ1201" s="8"/>
      <c r="AK1201" s="8"/>
      <c r="AL1201" s="8"/>
      <c r="AN1201" s="8">
        <f t="shared" si="327"/>
        <v>1</v>
      </c>
      <c r="AO1201" s="8">
        <f t="shared" si="328"/>
        <v>3.3686592648143607</v>
      </c>
      <c r="AP1201" s="8">
        <f t="shared" si="329"/>
        <v>1.0515779607343889</v>
      </c>
      <c r="AQ1201" s="8"/>
      <c r="AR1201" s="8">
        <f t="shared" si="330"/>
        <v>193.00995849150561</v>
      </c>
      <c r="AS1201" s="8">
        <f t="shared" si="331"/>
        <v>29.749021020945712</v>
      </c>
    </row>
    <row r="1202" spans="1:45">
      <c r="A1202" s="19">
        <v>52.085366669999999</v>
      </c>
      <c r="B1202" s="19">
        <v>400.60470379999998</v>
      </c>
      <c r="C1202" s="19">
        <v>446.40614110000001</v>
      </c>
      <c r="E1202" s="9">
        <f t="shared" si="317"/>
        <v>-559.39529620000008</v>
      </c>
      <c r="F1202" s="9">
        <f t="shared" si="318"/>
        <v>93.593858899999987</v>
      </c>
      <c r="I1202">
        <v>1</v>
      </c>
      <c r="J1202">
        <f t="shared" si="319"/>
        <v>0.35301297039724483</v>
      </c>
      <c r="K1202">
        <f t="shared" si="323"/>
        <v>2.9758156055931555</v>
      </c>
      <c r="O1202">
        <f t="shared" si="324"/>
        <v>-0.3409867850984013</v>
      </c>
      <c r="P1202">
        <f t="shared" si="325"/>
        <v>5.7051371843952897E-2</v>
      </c>
      <c r="Q1202">
        <f t="shared" si="326"/>
        <v>0.93833530966226553</v>
      </c>
      <c r="R1202">
        <f t="shared" si="316"/>
        <v>1</v>
      </c>
      <c r="AG1202" s="8">
        <f t="shared" si="320"/>
        <v>-0.84594824016346348</v>
      </c>
      <c r="AH1202" s="8">
        <f t="shared" si="321"/>
        <v>-0.19538162517034946</v>
      </c>
      <c r="AI1202" s="8">
        <f t="shared" si="322"/>
        <v>0.49618302622130511</v>
      </c>
      <c r="AJ1202" s="8"/>
      <c r="AK1202" s="8"/>
      <c r="AL1202" s="8"/>
      <c r="AN1202" s="8">
        <f t="shared" si="327"/>
        <v>1.0000000000000002</v>
      </c>
      <c r="AO1202" s="8">
        <f t="shared" si="328"/>
        <v>3.3685742108263002</v>
      </c>
      <c r="AP1202" s="8">
        <f t="shared" si="329"/>
        <v>1.0515994335649306</v>
      </c>
      <c r="AQ1202" s="8"/>
      <c r="AR1202" s="8">
        <f t="shared" si="330"/>
        <v>193.00508525695898</v>
      </c>
      <c r="AS1202" s="8">
        <f t="shared" si="331"/>
        <v>29.747790718381474</v>
      </c>
    </row>
    <row r="1203" spans="1:45">
      <c r="A1203" s="19">
        <v>52.118733329999998</v>
      </c>
      <c r="B1203" s="19">
        <v>399.73326709999998</v>
      </c>
      <c r="C1203" s="19">
        <v>446.92159700000002</v>
      </c>
      <c r="E1203" s="9">
        <f t="shared" si="317"/>
        <v>-560.26673290000008</v>
      </c>
      <c r="F1203" s="9">
        <f t="shared" si="318"/>
        <v>93.07840299999998</v>
      </c>
      <c r="I1203">
        <v>1</v>
      </c>
      <c r="J1203">
        <f t="shared" si="319"/>
        <v>0.35346005637188649</v>
      </c>
      <c r="K1203">
        <f t="shared" si="323"/>
        <v>2.9769639419496707</v>
      </c>
      <c r="O1203">
        <f t="shared" si="324"/>
        <v>-0.34146588471071132</v>
      </c>
      <c r="P1203">
        <f t="shared" si="325"/>
        <v>5.6728514047840073E-2</v>
      </c>
      <c r="Q1203">
        <f t="shared" si="326"/>
        <v>0.93818064639634047</v>
      </c>
      <c r="R1203">
        <f t="shared" si="316"/>
        <v>1</v>
      </c>
      <c r="AG1203" s="8">
        <f t="shared" si="320"/>
        <v>-0.84626032473870905</v>
      </c>
      <c r="AH1203" s="8">
        <f t="shared" si="321"/>
        <v>-0.19508667272211833</v>
      </c>
      <c r="AI1203" s="8">
        <f t="shared" si="322"/>
        <v>0.49576673234430318</v>
      </c>
      <c r="AJ1203" s="8"/>
      <c r="AK1203" s="8"/>
      <c r="AL1203" s="8"/>
      <c r="AN1203" s="8">
        <f t="shared" si="327"/>
        <v>1.0000000000000002</v>
      </c>
      <c r="AO1203" s="8">
        <f t="shared" si="328"/>
        <v>3.3681624250683364</v>
      </c>
      <c r="AP1203" s="8">
        <f t="shared" si="329"/>
        <v>1.0520788487544277</v>
      </c>
      <c r="AQ1203" s="8"/>
      <c r="AR1203" s="8">
        <f t="shared" si="330"/>
        <v>192.98149167096406</v>
      </c>
      <c r="AS1203" s="8">
        <f t="shared" si="331"/>
        <v>29.720322251388829</v>
      </c>
    </row>
    <row r="1204" spans="1:45">
      <c r="A1204" s="19">
        <v>52.152099999999997</v>
      </c>
      <c r="B1204" s="19">
        <v>399.42754489999999</v>
      </c>
      <c r="C1204" s="19">
        <v>447.1043871</v>
      </c>
      <c r="E1204" s="9">
        <f t="shared" si="317"/>
        <v>-560.57245510000007</v>
      </c>
      <c r="F1204" s="9">
        <f t="shared" si="318"/>
        <v>92.895612900000003</v>
      </c>
      <c r="I1204">
        <v>1</v>
      </c>
      <c r="J1204">
        <f t="shared" si="319"/>
        <v>0.3536167896936655</v>
      </c>
      <c r="K1204">
        <f t="shared" si="323"/>
        <v>2.9773694596992581</v>
      </c>
      <c r="O1204">
        <f t="shared" si="324"/>
        <v>-0.34163392264374065</v>
      </c>
      <c r="P1204">
        <f t="shared" si="325"/>
        <v>5.6614077881796891E-2</v>
      </c>
      <c r="Q1204">
        <f t="shared" si="326"/>
        <v>0.93812638225595413</v>
      </c>
      <c r="R1204">
        <f t="shared" si="316"/>
        <v>1</v>
      </c>
      <c r="AG1204" s="8">
        <f t="shared" si="320"/>
        <v>-0.84637016118055008</v>
      </c>
      <c r="AH1204" s="8">
        <f t="shared" si="321"/>
        <v>-0.19498373360136062</v>
      </c>
      <c r="AI1204" s="8">
        <f t="shared" si="322"/>
        <v>0.49561970692667534</v>
      </c>
      <c r="AJ1204" s="8"/>
      <c r="AK1204" s="8"/>
      <c r="AL1204" s="8"/>
      <c r="AN1204" s="8">
        <f t="shared" si="327"/>
        <v>1.0000000000000002</v>
      </c>
      <c r="AO1204" s="8">
        <f t="shared" si="328"/>
        <v>3.3680185265998248</v>
      </c>
      <c r="AP1204" s="8">
        <f t="shared" si="329"/>
        <v>1.0522481358120752</v>
      </c>
      <c r="AQ1204" s="8"/>
      <c r="AR1204" s="8">
        <f t="shared" si="330"/>
        <v>192.97324689603997</v>
      </c>
      <c r="AS1204" s="8">
        <f t="shared" si="331"/>
        <v>29.710622817459438</v>
      </c>
    </row>
    <row r="1205" spans="1:45">
      <c r="A1205" s="19">
        <v>52.185466669999997</v>
      </c>
      <c r="B1205" s="19">
        <v>398.65435819999999</v>
      </c>
      <c r="C1205" s="19">
        <v>446.96963349999999</v>
      </c>
      <c r="E1205" s="9">
        <f t="shared" si="317"/>
        <v>-561.34564180000007</v>
      </c>
      <c r="F1205" s="9">
        <f t="shared" si="318"/>
        <v>93.030366500000014</v>
      </c>
      <c r="I1205">
        <v>1</v>
      </c>
      <c r="J1205">
        <f t="shared" si="319"/>
        <v>0.35406945663141248</v>
      </c>
      <c r="K1205">
        <f t="shared" si="323"/>
        <v>2.9773579740557508</v>
      </c>
      <c r="O1205">
        <f t="shared" si="324"/>
        <v>-0.34205218184733616</v>
      </c>
      <c r="P1205">
        <f t="shared" si="325"/>
        <v>5.668742655121544E-2</v>
      </c>
      <c r="Q1205">
        <f t="shared" si="326"/>
        <v>0.93796953072286815</v>
      </c>
      <c r="R1205">
        <f t="shared" si="316"/>
        <v>1</v>
      </c>
      <c r="AG1205" s="8">
        <f t="shared" si="320"/>
        <v>-0.84651229604221279</v>
      </c>
      <c r="AH1205" s="8">
        <f t="shared" si="321"/>
        <v>-0.19456081364445305</v>
      </c>
      <c r="AI1205" s="8">
        <f t="shared" si="322"/>
        <v>0.49554315901175516</v>
      </c>
      <c r="AJ1205" s="8"/>
      <c r="AK1205" s="8"/>
      <c r="AL1205" s="8"/>
      <c r="AN1205" s="8">
        <f t="shared" si="327"/>
        <v>1.0000000000000002</v>
      </c>
      <c r="AO1205" s="8">
        <f t="shared" si="328"/>
        <v>3.3675073106332114</v>
      </c>
      <c r="AP1205" s="8">
        <f t="shared" si="329"/>
        <v>1.0523362676447605</v>
      </c>
      <c r="AQ1205" s="8"/>
      <c r="AR1205" s="8">
        <f t="shared" si="330"/>
        <v>192.9439563787333</v>
      </c>
      <c r="AS1205" s="8">
        <f t="shared" si="331"/>
        <v>29.705573235405815</v>
      </c>
    </row>
    <row r="1206" spans="1:45">
      <c r="A1206" s="19">
        <v>52.218833330000002</v>
      </c>
      <c r="B1206" s="19">
        <v>398.6412631</v>
      </c>
      <c r="C1206" s="19">
        <v>446.1892929</v>
      </c>
      <c r="E1206" s="9">
        <f t="shared" si="317"/>
        <v>-561.35873689999994</v>
      </c>
      <c r="F1206" s="9">
        <f t="shared" si="318"/>
        <v>93.810707100000002</v>
      </c>
      <c r="I1206">
        <v>1</v>
      </c>
      <c r="J1206">
        <f t="shared" si="319"/>
        <v>0.35415077916486087</v>
      </c>
      <c r="K1206">
        <f t="shared" si="323"/>
        <v>2.976009105684287</v>
      </c>
      <c r="O1206">
        <f t="shared" si="324"/>
        <v>-0.34205064044328914</v>
      </c>
      <c r="P1206">
        <f t="shared" si="325"/>
        <v>5.7161330776096864E-2</v>
      </c>
      <c r="Q1206">
        <f t="shared" si="326"/>
        <v>0.93794133166005722</v>
      </c>
      <c r="R1206">
        <f t="shared" si="316"/>
        <v>1</v>
      </c>
      <c r="AG1206" s="8">
        <f t="shared" si="320"/>
        <v>-0.84633805510502946</v>
      </c>
      <c r="AH1206" s="8">
        <f t="shared" si="321"/>
        <v>-0.19434172806607442</v>
      </c>
      <c r="AI1206" s="8">
        <f t="shared" si="322"/>
        <v>0.49592659659805338</v>
      </c>
      <c r="AJ1206" s="8"/>
      <c r="AK1206" s="8"/>
      <c r="AL1206" s="8"/>
      <c r="AN1206" s="8">
        <f t="shared" si="327"/>
        <v>1.0000000000000002</v>
      </c>
      <c r="AO1206" s="8">
        <f t="shared" si="328"/>
        <v>3.3673063708819462</v>
      </c>
      <c r="AP1206" s="8">
        <f t="shared" si="329"/>
        <v>1.0518947603197812</v>
      </c>
      <c r="AQ1206" s="8"/>
      <c r="AR1206" s="8">
        <f t="shared" si="330"/>
        <v>192.9324433790494</v>
      </c>
      <c r="AS1206" s="8">
        <f t="shared" si="331"/>
        <v>29.730869741751235</v>
      </c>
    </row>
    <row r="1207" spans="1:45">
      <c r="A1207" s="19">
        <v>52.252200000000002</v>
      </c>
      <c r="B1207" s="19">
        <v>397.79546199999999</v>
      </c>
      <c r="C1207" s="19">
        <v>445.74021390000001</v>
      </c>
      <c r="E1207" s="9">
        <f t="shared" si="317"/>
        <v>-562.20453799999996</v>
      </c>
      <c r="F1207" s="9">
        <f t="shared" si="318"/>
        <v>94.259786099999985</v>
      </c>
      <c r="I1207">
        <v>1</v>
      </c>
      <c r="J1207">
        <f t="shared" si="319"/>
        <v>0.35467447768813604</v>
      </c>
      <c r="K1207">
        <f t="shared" si="323"/>
        <v>2.9754766538635966</v>
      </c>
      <c r="O1207">
        <f t="shared" si="324"/>
        <v>-0.34250454624600607</v>
      </c>
      <c r="P1207">
        <f t="shared" si="325"/>
        <v>5.7424661462668732E-2</v>
      </c>
      <c r="Q1207">
        <f t="shared" si="326"/>
        <v>0.93775958755787481</v>
      </c>
      <c r="R1207">
        <f t="shared" si="316"/>
        <v>1</v>
      </c>
      <c r="AG1207" s="8">
        <f t="shared" si="320"/>
        <v>-0.84642473652029526</v>
      </c>
      <c r="AH1207" s="8">
        <f t="shared" si="321"/>
        <v>-0.19379708096997017</v>
      </c>
      <c r="AI1207" s="8">
        <f t="shared" si="322"/>
        <v>0.49599179107528346</v>
      </c>
      <c r="AJ1207" s="8"/>
      <c r="AK1207" s="8"/>
      <c r="AL1207" s="8"/>
      <c r="AN1207" s="8">
        <f t="shared" si="327"/>
        <v>1</v>
      </c>
      <c r="AO1207" s="8">
        <f t="shared" si="328"/>
        <v>3.3666727025766492</v>
      </c>
      <c r="AP1207" s="8">
        <f t="shared" si="329"/>
        <v>1.0518196813879628</v>
      </c>
      <c r="AQ1207" s="8"/>
      <c r="AR1207" s="8">
        <f t="shared" si="330"/>
        <v>192.89613685954467</v>
      </c>
      <c r="AS1207" s="8">
        <f t="shared" si="331"/>
        <v>29.735171447674787</v>
      </c>
    </row>
    <row r="1208" spans="1:45">
      <c r="A1208" s="19">
        <v>52.285566670000001</v>
      </c>
      <c r="B1208" s="19">
        <v>397.64296039999999</v>
      </c>
      <c r="C1208" s="19">
        <v>446.24055700000002</v>
      </c>
      <c r="E1208" s="9">
        <f t="shared" si="317"/>
        <v>-562.35703960000001</v>
      </c>
      <c r="F1208" s="9">
        <f t="shared" si="318"/>
        <v>93.759442999999976</v>
      </c>
      <c r="I1208">
        <v>1</v>
      </c>
      <c r="J1208">
        <f t="shared" si="319"/>
        <v>0.35471362034777731</v>
      </c>
      <c r="K1208">
        <f t="shared" si="323"/>
        <v>2.9763864144510563</v>
      </c>
      <c r="O1208">
        <f t="shared" si="324"/>
        <v>-0.34259285355753755</v>
      </c>
      <c r="P1208">
        <f t="shared" si="325"/>
        <v>5.7119077140357161E-2</v>
      </c>
      <c r="Q1208">
        <f t="shared" si="326"/>
        <v>0.93774599317615726</v>
      </c>
      <c r="R1208">
        <f t="shared" si="316"/>
        <v>1</v>
      </c>
      <c r="AG1208" s="8">
        <f t="shared" si="320"/>
        <v>-0.84657239680991014</v>
      </c>
      <c r="AH1208" s="8">
        <f t="shared" si="321"/>
        <v>-0.19385720938713169</v>
      </c>
      <c r="AI1208" s="8">
        <f t="shared" si="322"/>
        <v>0.49571620845818415</v>
      </c>
      <c r="AJ1208" s="8"/>
      <c r="AK1208" s="8"/>
      <c r="AL1208" s="8"/>
      <c r="AN1208" s="8">
        <f t="shared" si="327"/>
        <v>1</v>
      </c>
      <c r="AO1208" s="8">
        <f t="shared" si="328"/>
        <v>3.3667022440119561</v>
      </c>
      <c r="AP1208" s="8">
        <f t="shared" si="329"/>
        <v>1.0521370244860457</v>
      </c>
      <c r="AQ1208" s="8"/>
      <c r="AR1208" s="8">
        <f t="shared" si="330"/>
        <v>192.89782945910852</v>
      </c>
      <c r="AS1208" s="8">
        <f t="shared" si="331"/>
        <v>29.716989027497029</v>
      </c>
    </row>
    <row r="1209" spans="1:45">
      <c r="A1209" s="19">
        <v>52.31893333</v>
      </c>
      <c r="B1209" s="19">
        <v>396.45017150000001</v>
      </c>
      <c r="C1209" s="19">
        <v>446.60328929999997</v>
      </c>
      <c r="E1209" s="9">
        <f t="shared" si="317"/>
        <v>-563.54982849999999</v>
      </c>
      <c r="F1209" s="9">
        <f t="shared" si="318"/>
        <v>93.396710700000028</v>
      </c>
      <c r="I1209">
        <v>1</v>
      </c>
      <c r="J1209">
        <f t="shared" si="319"/>
        <v>0.35535743302475253</v>
      </c>
      <c r="K1209">
        <f t="shared" si="323"/>
        <v>2.9773561606400047</v>
      </c>
      <c r="O1209">
        <f t="shared" si="324"/>
        <v>-0.34324362102732453</v>
      </c>
      <c r="P1209">
        <f t="shared" si="325"/>
        <v>5.6885520235252014E-2</v>
      </c>
      <c r="Q1209">
        <f t="shared" si="326"/>
        <v>0.93752218865028214</v>
      </c>
      <c r="R1209">
        <f t="shared" si="316"/>
        <v>1</v>
      </c>
      <c r="AG1209" s="8">
        <f t="shared" si="320"/>
        <v>-0.84692033030192893</v>
      </c>
      <c r="AH1209" s="8">
        <f t="shared" si="321"/>
        <v>-0.1933605386693647</v>
      </c>
      <c r="AI1209" s="8">
        <f t="shared" si="322"/>
        <v>0.49531571366832788</v>
      </c>
      <c r="AJ1209" s="8"/>
      <c r="AK1209" s="8"/>
      <c r="AL1209" s="8"/>
      <c r="AN1209" s="8">
        <f t="shared" si="327"/>
        <v>1.0000000000000002</v>
      </c>
      <c r="AO1209" s="8">
        <f t="shared" si="328"/>
        <v>3.3660555368710403</v>
      </c>
      <c r="AP1209" s="8">
        <f t="shared" si="329"/>
        <v>1.0525981059217409</v>
      </c>
      <c r="AQ1209" s="8"/>
      <c r="AR1209" s="8">
        <f t="shared" si="330"/>
        <v>192.86077586935306</v>
      </c>
      <c r="AS1209" s="8">
        <f t="shared" si="331"/>
        <v>29.690571007219866</v>
      </c>
    </row>
    <row r="1210" spans="1:45">
      <c r="A1210" s="19">
        <v>52.3523</v>
      </c>
      <c r="B1210" s="19">
        <v>396.00342000000001</v>
      </c>
      <c r="C1210" s="19">
        <v>445.69538849999998</v>
      </c>
      <c r="E1210" s="9">
        <f t="shared" si="317"/>
        <v>-563.99657999999999</v>
      </c>
      <c r="F1210" s="9">
        <f t="shared" si="318"/>
        <v>94.304611500000021</v>
      </c>
      <c r="I1210">
        <v>1</v>
      </c>
      <c r="J1210">
        <f t="shared" si="319"/>
        <v>0.35569719489696494</v>
      </c>
      <c r="K1210">
        <f t="shared" si="323"/>
        <v>2.9759175416509356</v>
      </c>
      <c r="O1210">
        <f t="shared" si="324"/>
        <v>-0.3434755821412856</v>
      </c>
      <c r="P1210">
        <f t="shared" si="325"/>
        <v>5.7431786791278583E-2</v>
      </c>
      <c r="Q1210">
        <f t="shared" si="326"/>
        <v>0.93740392272417239</v>
      </c>
      <c r="R1210">
        <f t="shared" si="316"/>
        <v>1</v>
      </c>
      <c r="AG1210" s="8">
        <f t="shared" si="320"/>
        <v>-0.84681352405182864</v>
      </c>
      <c r="AH1210" s="8">
        <f t="shared" si="321"/>
        <v>-0.19289043050947335</v>
      </c>
      <c r="AI1210" s="8">
        <f t="shared" si="322"/>
        <v>0.49568148775276377</v>
      </c>
      <c r="AJ1210" s="8"/>
      <c r="AK1210" s="8"/>
      <c r="AL1210" s="8"/>
      <c r="AN1210" s="8">
        <f t="shared" si="327"/>
        <v>1.0000000000000002</v>
      </c>
      <c r="AO1210" s="8">
        <f t="shared" si="328"/>
        <v>3.3655552035041509</v>
      </c>
      <c r="AP1210" s="8">
        <f t="shared" si="329"/>
        <v>1.0521770025244217</v>
      </c>
      <c r="AQ1210" s="8"/>
      <c r="AR1210" s="8">
        <f t="shared" si="330"/>
        <v>192.83210887908075</v>
      </c>
      <c r="AS1210" s="8">
        <f t="shared" si="331"/>
        <v>29.714698454624873</v>
      </c>
    </row>
    <row r="1211" spans="1:45">
      <c r="A1211" s="19">
        <v>52.385666669999999</v>
      </c>
      <c r="B1211" s="19">
        <v>395.2764684</v>
      </c>
      <c r="C1211" s="19">
        <v>444.60946059999998</v>
      </c>
      <c r="E1211" s="9">
        <f t="shared" si="317"/>
        <v>-564.7235316</v>
      </c>
      <c r="F1211" s="9">
        <f t="shared" si="318"/>
        <v>95.390539400000023</v>
      </c>
      <c r="I1211">
        <v>1</v>
      </c>
      <c r="J1211">
        <f t="shared" si="319"/>
        <v>0.35621371805316482</v>
      </c>
      <c r="K1211">
        <f t="shared" si="323"/>
        <v>2.9742567547580188</v>
      </c>
      <c r="O1211">
        <f t="shared" si="324"/>
        <v>-0.3438571083589464</v>
      </c>
      <c r="P1211">
        <f t="shared" si="325"/>
        <v>5.808278424302897E-2</v>
      </c>
      <c r="Q1211">
        <f t="shared" si="326"/>
        <v>0.93722392159270107</v>
      </c>
      <c r="R1211">
        <f t="shared" si="316"/>
        <v>1</v>
      </c>
      <c r="AG1211" s="8">
        <f t="shared" si="320"/>
        <v>-0.84672818035257391</v>
      </c>
      <c r="AH1211" s="8">
        <f t="shared" si="321"/>
        <v>-0.19223211563867559</v>
      </c>
      <c r="AI1211" s="8">
        <f t="shared" si="322"/>
        <v>0.49608285831491689</v>
      </c>
      <c r="AJ1211" s="8"/>
      <c r="AK1211" s="8"/>
      <c r="AL1211" s="8"/>
      <c r="AN1211" s="8">
        <f t="shared" si="327"/>
        <v>0.99999999999999989</v>
      </c>
      <c r="AO1211" s="8">
        <f t="shared" si="328"/>
        <v>3.3648377821774837</v>
      </c>
      <c r="AP1211" s="8">
        <f t="shared" si="329"/>
        <v>1.0517148016068436</v>
      </c>
      <c r="AQ1211" s="8"/>
      <c r="AR1211" s="8">
        <f t="shared" si="330"/>
        <v>192.79100366493003</v>
      </c>
      <c r="AS1211" s="8">
        <f t="shared" si="331"/>
        <v>29.741180616489167</v>
      </c>
    </row>
    <row r="1212" spans="1:45">
      <c r="A1212" s="19">
        <v>52.419033329999998</v>
      </c>
      <c r="B1212" s="19">
        <v>395.41315550000002</v>
      </c>
      <c r="C1212" s="19">
        <v>444.88844540000002</v>
      </c>
      <c r="E1212" s="9">
        <f t="shared" si="317"/>
        <v>-564.58684449999998</v>
      </c>
      <c r="F1212" s="9">
        <f t="shared" si="318"/>
        <v>95.111554599999977</v>
      </c>
      <c r="I1212">
        <v>1</v>
      </c>
      <c r="J1212">
        <f t="shared" si="319"/>
        <v>0.3561093844065692</v>
      </c>
      <c r="K1212">
        <f t="shared" si="323"/>
        <v>2.9746974592219382</v>
      </c>
      <c r="O1212">
        <f t="shared" si="324"/>
        <v>-0.34378624512725309</v>
      </c>
      <c r="P1212">
        <f t="shared" si="325"/>
        <v>5.7914994907660777E-2</v>
      </c>
      <c r="Q1212">
        <f t="shared" si="326"/>
        <v>0.93726030057084453</v>
      </c>
      <c r="R1212">
        <f t="shared" si="316"/>
        <v>1</v>
      </c>
      <c r="AG1212" s="8">
        <f t="shared" si="320"/>
        <v>-0.84676127431345705</v>
      </c>
      <c r="AH1212" s="8">
        <f t="shared" si="321"/>
        <v>-0.19237625206801895</v>
      </c>
      <c r="AI1212" s="8">
        <f t="shared" si="322"/>
        <v>0.49597048497195112</v>
      </c>
      <c r="AJ1212" s="8"/>
      <c r="AK1212" s="8"/>
      <c r="AL1212" s="8"/>
      <c r="AN1212" s="8">
        <f t="shared" si="327"/>
        <v>1</v>
      </c>
      <c r="AO1212" s="8">
        <f t="shared" si="328"/>
        <v>3.3649912160903841</v>
      </c>
      <c r="AP1212" s="8">
        <f t="shared" si="329"/>
        <v>1.0518442181683243</v>
      </c>
      <c r="AQ1212" s="8"/>
      <c r="AR1212" s="8">
        <f t="shared" si="330"/>
        <v>192.79979478057339</v>
      </c>
      <c r="AS1212" s="8">
        <f t="shared" si="331"/>
        <v>29.73376559371723</v>
      </c>
    </row>
    <row r="1213" spans="1:45">
      <c r="A1213" s="19">
        <v>52.452399999999997</v>
      </c>
      <c r="B1213" s="19">
        <v>394.4969772</v>
      </c>
      <c r="C1213" s="19">
        <v>445.97038070000002</v>
      </c>
      <c r="E1213" s="9">
        <f t="shared" si="317"/>
        <v>-565.50302280000005</v>
      </c>
      <c r="F1213" s="9">
        <f t="shared" si="318"/>
        <v>94.029619299999979</v>
      </c>
      <c r="I1213">
        <v>1</v>
      </c>
      <c r="J1213">
        <f t="shared" si="319"/>
        <v>0.35652681976288941</v>
      </c>
      <c r="K1213">
        <f t="shared" si="323"/>
        <v>2.9768240417862173</v>
      </c>
      <c r="O1213">
        <f t="shared" si="324"/>
        <v>-0.34429454540537002</v>
      </c>
      <c r="P1213">
        <f t="shared" si="325"/>
        <v>5.7247943381874972E-2</v>
      </c>
      <c r="Q1213">
        <f t="shared" si="326"/>
        <v>0.93711468827601629</v>
      </c>
      <c r="R1213">
        <f t="shared" si="316"/>
        <v>1</v>
      </c>
      <c r="AG1213" s="8">
        <f t="shared" si="320"/>
        <v>-0.84721043651356798</v>
      </c>
      <c r="AH1213" s="8">
        <f t="shared" si="321"/>
        <v>-0.19221371195945741</v>
      </c>
      <c r="AI1213" s="8">
        <f t="shared" si="322"/>
        <v>0.49526595400578105</v>
      </c>
      <c r="AJ1213" s="8"/>
      <c r="AK1213" s="8"/>
      <c r="AL1213" s="8"/>
      <c r="AN1213" s="8">
        <f t="shared" si="327"/>
        <v>1</v>
      </c>
      <c r="AO1213" s="8">
        <f t="shared" si="328"/>
        <v>3.3646942224695211</v>
      </c>
      <c r="AP1213" s="8">
        <f t="shared" si="329"/>
        <v>1.0526553847328324</v>
      </c>
      <c r="AQ1213" s="8"/>
      <c r="AR1213" s="8">
        <f t="shared" si="330"/>
        <v>192.78277829955564</v>
      </c>
      <c r="AS1213" s="8">
        <f t="shared" si="331"/>
        <v>29.687289173088793</v>
      </c>
    </row>
    <row r="1214" spans="1:45">
      <c r="A1214" s="19">
        <v>52.485766669999997</v>
      </c>
      <c r="B1214" s="19">
        <v>393.5</v>
      </c>
      <c r="C1214" s="19">
        <v>445.83333329999999</v>
      </c>
      <c r="E1214" s="9">
        <f t="shared" si="317"/>
        <v>-566.5</v>
      </c>
      <c r="F1214" s="9">
        <f t="shared" si="318"/>
        <v>94.166666700000007</v>
      </c>
      <c r="I1214">
        <v>1</v>
      </c>
      <c r="J1214">
        <f t="shared" si="319"/>
        <v>0.35710580443941042</v>
      </c>
      <c r="K1214">
        <f t="shared" si="323"/>
        <v>2.9768733858915999</v>
      </c>
      <c r="O1214">
        <f t="shared" si="324"/>
        <v>-0.34483254307737665</v>
      </c>
      <c r="P1214">
        <f t="shared" si="325"/>
        <v>5.7319913771016376E-2</v>
      </c>
      <c r="Q1214">
        <f t="shared" si="326"/>
        <v>0.93691245307129545</v>
      </c>
      <c r="R1214">
        <f t="shared" si="316"/>
        <v>1</v>
      </c>
      <c r="AG1214" s="8">
        <f t="shared" si="320"/>
        <v>-0.84740020187645881</v>
      </c>
      <c r="AH1214" s="8">
        <f t="shared" si="321"/>
        <v>-0.19167920213519529</v>
      </c>
      <c r="AI1214" s="8">
        <f t="shared" si="322"/>
        <v>0.4951484437303138</v>
      </c>
      <c r="AJ1214" s="8"/>
      <c r="AK1214" s="8"/>
      <c r="AL1214" s="8"/>
      <c r="AN1214" s="8">
        <f t="shared" si="327"/>
        <v>1</v>
      </c>
      <c r="AO1214" s="8">
        <f t="shared" si="328"/>
        <v>3.3640459217230774</v>
      </c>
      <c r="AP1214" s="8">
        <f t="shared" si="329"/>
        <v>1.0527906444823782</v>
      </c>
      <c r="AQ1214" s="8"/>
      <c r="AR1214" s="8">
        <f t="shared" si="330"/>
        <v>192.74563340292923</v>
      </c>
      <c r="AS1214" s="8">
        <f t="shared" si="331"/>
        <v>29.679539360301817</v>
      </c>
    </row>
    <row r="1215" spans="1:45">
      <c r="A1215" s="19">
        <v>52.519133330000003</v>
      </c>
      <c r="B1215" s="19">
        <v>393.23624239999998</v>
      </c>
      <c r="C1215" s="19">
        <v>445.0810687</v>
      </c>
      <c r="E1215" s="9">
        <f t="shared" si="317"/>
        <v>-566.76375759999996</v>
      </c>
      <c r="F1215" s="9">
        <f t="shared" si="318"/>
        <v>94.918931299999997</v>
      </c>
      <c r="I1215">
        <v>1</v>
      </c>
      <c r="J1215">
        <f t="shared" si="319"/>
        <v>0.35732673509864549</v>
      </c>
      <c r="K1215">
        <f t="shared" si="323"/>
        <v>2.9756572994562696</v>
      </c>
      <c r="O1215">
        <f t="shared" si="324"/>
        <v>-0.34496672322307459</v>
      </c>
      <c r="P1215">
        <f t="shared" si="325"/>
        <v>5.7773406050262155E-2</v>
      </c>
      <c r="Q1215">
        <f t="shared" si="326"/>
        <v>0.93683520078084503</v>
      </c>
      <c r="R1215">
        <f t="shared" si="316"/>
        <v>1</v>
      </c>
      <c r="AG1215" s="8">
        <f t="shared" si="320"/>
        <v>-0.84728770610082205</v>
      </c>
      <c r="AH1215" s="8">
        <f t="shared" si="321"/>
        <v>-0.19134303156762938</v>
      </c>
      <c r="AI1215" s="8">
        <f t="shared" si="322"/>
        <v>0.49547087438205328</v>
      </c>
      <c r="AJ1215" s="8"/>
      <c r="AK1215" s="8"/>
      <c r="AL1215" s="8"/>
      <c r="AN1215" s="8">
        <f t="shared" si="327"/>
        <v>1.0000000000000002</v>
      </c>
      <c r="AO1215" s="8">
        <f t="shared" si="328"/>
        <v>3.3636970162342967</v>
      </c>
      <c r="AP1215" s="8">
        <f t="shared" si="329"/>
        <v>1.0524194869657952</v>
      </c>
      <c r="AQ1215" s="8"/>
      <c r="AR1215" s="8">
        <f t="shared" si="330"/>
        <v>192.72564259097317</v>
      </c>
      <c r="AS1215" s="8">
        <f t="shared" si="331"/>
        <v>29.700805119536582</v>
      </c>
    </row>
    <row r="1216" spans="1:45">
      <c r="A1216" s="19">
        <v>52.552500000000002</v>
      </c>
      <c r="B1216" s="19">
        <v>392.64076929999999</v>
      </c>
      <c r="C1216" s="19">
        <v>444.66899669999998</v>
      </c>
      <c r="E1216" s="9">
        <f t="shared" si="317"/>
        <v>-567.35923070000001</v>
      </c>
      <c r="F1216" s="9">
        <f t="shared" si="318"/>
        <v>95.33100330000002</v>
      </c>
      <c r="I1216">
        <v>1</v>
      </c>
      <c r="J1216">
        <f t="shared" si="319"/>
        <v>0.35770378922262469</v>
      </c>
      <c r="K1216">
        <f t="shared" si="323"/>
        <v>2.9751218431842807</v>
      </c>
      <c r="O1216">
        <f t="shared" si="324"/>
        <v>-0.34528406842594961</v>
      </c>
      <c r="P1216">
        <f t="shared" si="325"/>
        <v>5.8016640754993944E-2</v>
      </c>
      <c r="Q1216">
        <f t="shared" si="326"/>
        <v>0.93670325156195022</v>
      </c>
      <c r="R1216">
        <f t="shared" si="316"/>
        <v>1</v>
      </c>
      <c r="AG1216" s="8">
        <f t="shared" si="320"/>
        <v>-0.84732576052723529</v>
      </c>
      <c r="AH1216" s="8">
        <f t="shared" si="321"/>
        <v>-0.19093407629139003</v>
      </c>
      <c r="AI1216" s="8">
        <f t="shared" si="322"/>
        <v>0.4955635519867217</v>
      </c>
      <c r="AJ1216" s="8"/>
      <c r="AK1216" s="8"/>
      <c r="AL1216" s="8"/>
      <c r="AN1216" s="8">
        <f t="shared" si="327"/>
        <v>1.0000000000000002</v>
      </c>
      <c r="AO1216" s="8">
        <f t="shared" si="328"/>
        <v>3.3632280941181207</v>
      </c>
      <c r="AP1216" s="8">
        <f t="shared" si="329"/>
        <v>1.052312789054779</v>
      </c>
      <c r="AQ1216" s="8"/>
      <c r="AR1216" s="8">
        <f t="shared" si="330"/>
        <v>192.69877533279592</v>
      </c>
      <c r="AS1216" s="8">
        <f t="shared" si="331"/>
        <v>29.706918459520672</v>
      </c>
    </row>
    <row r="1217" spans="1:45">
      <c r="A1217" s="19">
        <v>52.585866670000001</v>
      </c>
      <c r="B1217" s="19">
        <v>391.79842769999999</v>
      </c>
      <c r="C1217" s="19">
        <v>444.76651349999997</v>
      </c>
      <c r="E1217" s="9">
        <f t="shared" si="317"/>
        <v>-568.20157229999995</v>
      </c>
      <c r="F1217" s="9">
        <f t="shared" si="318"/>
        <v>95.233486500000026</v>
      </c>
      <c r="I1217">
        <v>1</v>
      </c>
      <c r="J1217">
        <f t="shared" si="319"/>
        <v>0.35817225228569388</v>
      </c>
      <c r="K1217">
        <f t="shared" si="323"/>
        <v>2.9755310362631975</v>
      </c>
      <c r="O1217">
        <f t="shared" si="324"/>
        <v>-0.34574051596041877</v>
      </c>
      <c r="P1217">
        <f t="shared" si="325"/>
        <v>5.7947876888019667E-2</v>
      </c>
      <c r="Q1217">
        <f t="shared" si="326"/>
        <v>0.9365391284872161</v>
      </c>
      <c r="R1217">
        <f t="shared" si="316"/>
        <v>1</v>
      </c>
      <c r="AG1217" s="8">
        <f t="shared" si="320"/>
        <v>-0.8475340349060192</v>
      </c>
      <c r="AH1217" s="8">
        <f t="shared" si="321"/>
        <v>-0.1905407851832277</v>
      </c>
      <c r="AI1217" s="8">
        <f t="shared" si="322"/>
        <v>0.49535872744676845</v>
      </c>
      <c r="AJ1217" s="8"/>
      <c r="AK1217" s="8"/>
      <c r="AL1217" s="8"/>
      <c r="AN1217" s="8">
        <f t="shared" si="327"/>
        <v>1</v>
      </c>
      <c r="AO1217" s="8">
        <f t="shared" si="328"/>
        <v>3.3627337225336702</v>
      </c>
      <c r="AP1217" s="8">
        <f t="shared" si="329"/>
        <v>1.0525485908532084</v>
      </c>
      <c r="AQ1217" s="8"/>
      <c r="AR1217" s="8">
        <f t="shared" si="330"/>
        <v>192.67044992749572</v>
      </c>
      <c r="AS1217" s="8">
        <f t="shared" si="331"/>
        <v>29.693408011669071</v>
      </c>
    </row>
    <row r="1218" spans="1:45">
      <c r="A1218" s="19">
        <v>52.61923333</v>
      </c>
      <c r="B1218" s="19">
        <v>391.6675247</v>
      </c>
      <c r="C1218" s="19">
        <v>445.27870480000001</v>
      </c>
      <c r="E1218" s="9">
        <f t="shared" si="317"/>
        <v>-568.33247529999994</v>
      </c>
      <c r="F1218" s="9">
        <f t="shared" si="318"/>
        <v>94.721295199999986</v>
      </c>
      <c r="I1218">
        <v>1</v>
      </c>
      <c r="J1218">
        <f t="shared" si="319"/>
        <v>0.3581979417855084</v>
      </c>
      <c r="K1218">
        <f t="shared" si="323"/>
        <v>2.9764453183951356</v>
      </c>
      <c r="O1218">
        <f t="shared" si="324"/>
        <v>-0.34581708391854538</v>
      </c>
      <c r="P1218">
        <f t="shared" si="325"/>
        <v>5.7635703597196448E-2</v>
      </c>
      <c r="Q1218">
        <f t="shared" si="326"/>
        <v>0.93653012238845257</v>
      </c>
      <c r="R1218">
        <f t="shared" si="316"/>
        <v>1</v>
      </c>
      <c r="AG1218" s="8">
        <f t="shared" si="320"/>
        <v>-0.8476793046808766</v>
      </c>
      <c r="AH1218" s="8">
        <f t="shared" si="321"/>
        <v>-0.19061484680238955</v>
      </c>
      <c r="AI1218" s="8">
        <f t="shared" si="322"/>
        <v>0.49508158579596501</v>
      </c>
      <c r="AJ1218" s="8"/>
      <c r="AK1218" s="8"/>
      <c r="AL1218" s="8"/>
      <c r="AN1218" s="8">
        <f t="shared" si="327"/>
        <v>1.0000000000000002</v>
      </c>
      <c r="AO1218" s="8">
        <f t="shared" si="328"/>
        <v>3.3627802142225245</v>
      </c>
      <c r="AP1218" s="8">
        <f t="shared" si="329"/>
        <v>1.0528675963962222</v>
      </c>
      <c r="AQ1218" s="8"/>
      <c r="AR1218" s="8">
        <f t="shared" si="330"/>
        <v>192.6731137050495</v>
      </c>
      <c r="AS1218" s="8">
        <f t="shared" si="331"/>
        <v>29.675130340413105</v>
      </c>
    </row>
    <row r="1219" spans="1:45">
      <c r="A1219" s="19">
        <v>52.6526</v>
      </c>
      <c r="B1219" s="19">
        <v>390.7908903</v>
      </c>
      <c r="C1219" s="19">
        <v>445.29615209999997</v>
      </c>
      <c r="E1219" s="9">
        <f t="shared" si="317"/>
        <v>-569.2091097</v>
      </c>
      <c r="F1219" s="9">
        <f t="shared" si="318"/>
        <v>94.703847900000028</v>
      </c>
      <c r="I1219">
        <v>1</v>
      </c>
      <c r="J1219">
        <f t="shared" si="319"/>
        <v>0.35869341090628076</v>
      </c>
      <c r="K1219">
        <f t="shared" si="323"/>
        <v>2.976724897522911</v>
      </c>
      <c r="O1219">
        <f t="shared" si="324"/>
        <v>-0.34629087132770603</v>
      </c>
      <c r="P1219">
        <f t="shared" si="325"/>
        <v>5.7615167165300879E-2</v>
      </c>
      <c r="Q1219">
        <f t="shared" si="326"/>
        <v>0.93635630234842371</v>
      </c>
      <c r="R1219">
        <f t="shared" si="316"/>
        <v>1</v>
      </c>
      <c r="AG1219" s="8">
        <f t="shared" si="320"/>
        <v>-0.8478766080251332</v>
      </c>
      <c r="AH1219" s="8">
        <f t="shared" si="321"/>
        <v>-0.19018276775427273</v>
      </c>
      <c r="AI1219" s="8">
        <f t="shared" si="322"/>
        <v>0.49490986291760153</v>
      </c>
      <c r="AJ1219" s="8"/>
      <c r="AK1219" s="8"/>
      <c r="AL1219" s="8"/>
      <c r="AN1219" s="8">
        <f t="shared" si="327"/>
        <v>1</v>
      </c>
      <c r="AO1219" s="8">
        <f t="shared" si="328"/>
        <v>3.3622452678001631</v>
      </c>
      <c r="AP1219" s="8">
        <f t="shared" si="329"/>
        <v>1.053065229939929</v>
      </c>
      <c r="AQ1219" s="8"/>
      <c r="AR1219" s="8">
        <f t="shared" si="330"/>
        <v>192.64246353278259</v>
      </c>
      <c r="AS1219" s="8">
        <f t="shared" si="331"/>
        <v>29.66380677246849</v>
      </c>
    </row>
    <row r="1220" spans="1:45">
      <c r="A1220" s="19">
        <v>52.685966669999999</v>
      </c>
      <c r="B1220" s="19">
        <v>389.98494090000003</v>
      </c>
      <c r="C1220" s="19">
        <v>445.09837570000002</v>
      </c>
      <c r="E1220" s="9">
        <f t="shared" si="317"/>
        <v>-570.01505909999992</v>
      </c>
      <c r="F1220" s="9">
        <f t="shared" si="318"/>
        <v>94.90162429999998</v>
      </c>
      <c r="I1220">
        <v>1</v>
      </c>
      <c r="J1220">
        <f t="shared" si="319"/>
        <v>0.35916895002641425</v>
      </c>
      <c r="K1220">
        <f t="shared" si="323"/>
        <v>2.9766161851866375</v>
      </c>
      <c r="O1220">
        <f t="shared" si="324"/>
        <v>-0.3467237948505969</v>
      </c>
      <c r="P1220">
        <f t="shared" si="325"/>
        <v>5.7725933358208158E-2</v>
      </c>
      <c r="Q1220">
        <f t="shared" si="326"/>
        <v>0.93618925795072272</v>
      </c>
      <c r="R1220">
        <f t="shared" si="316"/>
        <v>1</v>
      </c>
      <c r="AG1220" s="8">
        <f t="shared" si="320"/>
        <v>-0.84800919648604767</v>
      </c>
      <c r="AH1220" s="8">
        <f t="shared" si="321"/>
        <v>-0.18972750187104093</v>
      </c>
      <c r="AI1220" s="8">
        <f t="shared" si="322"/>
        <v>0.49485743170014324</v>
      </c>
      <c r="AJ1220" s="8"/>
      <c r="AK1220" s="8"/>
      <c r="AL1220" s="8"/>
      <c r="AN1220" s="8">
        <f t="shared" si="327"/>
        <v>0.99999999999999989</v>
      </c>
      <c r="AO1220" s="8">
        <f t="shared" si="328"/>
        <v>3.3617006635032038</v>
      </c>
      <c r="AP1220" s="8">
        <f t="shared" si="329"/>
        <v>1.0531255678873781</v>
      </c>
      <c r="AQ1220" s="8"/>
      <c r="AR1220" s="8">
        <f t="shared" si="330"/>
        <v>192.61126000506212</v>
      </c>
      <c r="AS1220" s="8">
        <f t="shared" si="331"/>
        <v>29.660349662735172</v>
      </c>
    </row>
    <row r="1221" spans="1:45">
      <c r="A1221" s="19">
        <v>52.719333329999998</v>
      </c>
      <c r="B1221" s="19">
        <v>389.67941150000001</v>
      </c>
      <c r="C1221" s="19">
        <v>444.67214269999999</v>
      </c>
      <c r="E1221" s="9">
        <f t="shared" si="317"/>
        <v>-570.32058849999999</v>
      </c>
      <c r="F1221" s="9">
        <f t="shared" si="318"/>
        <v>95.327857300000005</v>
      </c>
      <c r="I1221">
        <v>1</v>
      </c>
      <c r="J1221">
        <f t="shared" si="319"/>
        <v>0.35938239046778403</v>
      </c>
      <c r="K1221">
        <f t="shared" si="323"/>
        <v>2.9759758392699696</v>
      </c>
      <c r="O1221">
        <f t="shared" si="324"/>
        <v>-0.34688383777654958</v>
      </c>
      <c r="P1221">
        <f t="shared" si="325"/>
        <v>5.7980885933314449E-2</v>
      </c>
      <c r="Q1221">
        <f t="shared" si="326"/>
        <v>0.93611421309357357</v>
      </c>
      <c r="R1221">
        <f t="shared" si="316"/>
        <v>1</v>
      </c>
      <c r="AG1221" s="8">
        <f t="shared" si="320"/>
        <v>-0.84797960154686969</v>
      </c>
      <c r="AH1221" s="8">
        <f t="shared" si="321"/>
        <v>-0.18945946442903527</v>
      </c>
      <c r="AI1221" s="8">
        <f t="shared" si="322"/>
        <v>0.49501081472900704</v>
      </c>
      <c r="AJ1221" s="8"/>
      <c r="AK1221" s="8"/>
      <c r="AL1221" s="8"/>
      <c r="AN1221" s="8">
        <f t="shared" si="327"/>
        <v>1</v>
      </c>
      <c r="AO1221" s="8">
        <f t="shared" si="328"/>
        <v>3.3614070589455105</v>
      </c>
      <c r="AP1221" s="8">
        <f t="shared" si="329"/>
        <v>1.0529490485578434</v>
      </c>
      <c r="AQ1221" s="8"/>
      <c r="AR1221" s="8">
        <f t="shared" si="330"/>
        <v>192.59443770306049</v>
      </c>
      <c r="AS1221" s="8">
        <f t="shared" si="331"/>
        <v>29.670463475319991</v>
      </c>
    </row>
    <row r="1222" spans="1:45">
      <c r="A1222" s="19">
        <v>52.752699999999997</v>
      </c>
      <c r="B1222" s="19">
        <v>389.32128660000001</v>
      </c>
      <c r="C1222" s="19">
        <v>444.67393090000002</v>
      </c>
      <c r="E1222" s="9">
        <f t="shared" si="317"/>
        <v>-570.67871339999999</v>
      </c>
      <c r="F1222" s="9">
        <f t="shared" si="318"/>
        <v>95.326069099999984</v>
      </c>
      <c r="I1222">
        <v>1</v>
      </c>
      <c r="J1222">
        <f t="shared" si="319"/>
        <v>0.35958513325539671</v>
      </c>
      <c r="K1222">
        <f t="shared" si="323"/>
        <v>2.976080930842703</v>
      </c>
      <c r="O1222">
        <f t="shared" si="324"/>
        <v>-0.34707711879535802</v>
      </c>
      <c r="P1222">
        <f t="shared" si="325"/>
        <v>5.7975699167396366E-2</v>
      </c>
      <c r="Q1222">
        <f t="shared" si="326"/>
        <v>0.93604288999744267</v>
      </c>
      <c r="R1222">
        <f t="shared" si="316"/>
        <v>1</v>
      </c>
      <c r="AG1222" s="8">
        <f t="shared" si="320"/>
        <v>-0.84805877186345491</v>
      </c>
      <c r="AH1222" s="8">
        <f t="shared" si="321"/>
        <v>-0.18928160233406571</v>
      </c>
      <c r="AI1222" s="8">
        <f t="shared" si="322"/>
        <v>0.49494322349467262</v>
      </c>
      <c r="AJ1222" s="8"/>
      <c r="AK1222" s="8"/>
      <c r="AL1222" s="8"/>
      <c r="AN1222" s="8">
        <f t="shared" si="327"/>
        <v>1.0000000000000002</v>
      </c>
      <c r="AO1222" s="8">
        <f t="shared" si="328"/>
        <v>3.3611874251839167</v>
      </c>
      <c r="AP1222" s="8">
        <f t="shared" si="329"/>
        <v>1.0530268374432672</v>
      </c>
      <c r="AQ1222" s="8"/>
      <c r="AR1222" s="8">
        <f t="shared" si="330"/>
        <v>192.58185361548257</v>
      </c>
      <c r="AS1222" s="8">
        <f t="shared" si="331"/>
        <v>29.66600650049218</v>
      </c>
    </row>
    <row r="1223" spans="1:45">
      <c r="A1223" s="19">
        <v>52.786066669999997</v>
      </c>
      <c r="B1223" s="19">
        <v>388.61145320000003</v>
      </c>
      <c r="C1223" s="19">
        <v>444.47402290000002</v>
      </c>
      <c r="E1223" s="9">
        <f t="shared" si="317"/>
        <v>-571.38854679999997</v>
      </c>
      <c r="F1223" s="9">
        <f t="shared" si="318"/>
        <v>95.525977099999977</v>
      </c>
      <c r="I1223">
        <v>1</v>
      </c>
      <c r="J1223">
        <f t="shared" si="319"/>
        <v>0.36000615370940642</v>
      </c>
      <c r="K1223">
        <f t="shared" si="323"/>
        <v>2.9759424474461409</v>
      </c>
      <c r="O1223">
        <f t="shared" si="324"/>
        <v>-0.34745775462187051</v>
      </c>
      <c r="P1223">
        <f t="shared" si="325"/>
        <v>5.8088741360165869E-2</v>
      </c>
      <c r="Q1223">
        <f t="shared" si="326"/>
        <v>0.93589465586695164</v>
      </c>
      <c r="R1223">
        <f t="shared" si="316"/>
        <v>1</v>
      </c>
      <c r="AG1223" s="8">
        <f t="shared" si="320"/>
        <v>-0.84816932770938125</v>
      </c>
      <c r="AH1223" s="8">
        <f t="shared" si="321"/>
        <v>-0.18887382860128743</v>
      </c>
      <c r="AI1223" s="8">
        <f t="shared" si="322"/>
        <v>0.49490955578015267</v>
      </c>
      <c r="AJ1223" s="8"/>
      <c r="AK1223" s="8"/>
      <c r="AL1223" s="8"/>
      <c r="AN1223" s="8">
        <f t="shared" si="327"/>
        <v>1.0000000000000004</v>
      </c>
      <c r="AO1223" s="8">
        <f t="shared" si="328"/>
        <v>3.3607017045978917</v>
      </c>
      <c r="AP1223" s="8">
        <f t="shared" si="329"/>
        <v>1.0530655834003426</v>
      </c>
      <c r="AQ1223" s="8"/>
      <c r="AR1223" s="8">
        <f t="shared" si="330"/>
        <v>192.55402387588072</v>
      </c>
      <c r="AS1223" s="8">
        <f t="shared" si="331"/>
        <v>29.663786520678563</v>
      </c>
    </row>
    <row r="1224" spans="1:45">
      <c r="A1224" s="19">
        <v>52.819433330000003</v>
      </c>
      <c r="B1224" s="19">
        <v>388.0189077</v>
      </c>
      <c r="C1224" s="19">
        <v>444.29185869999998</v>
      </c>
      <c r="E1224" s="9">
        <f t="shared" si="317"/>
        <v>-571.9810923</v>
      </c>
      <c r="F1224" s="9">
        <f t="shared" si="318"/>
        <v>95.708141300000023</v>
      </c>
      <c r="I1224">
        <v>1</v>
      </c>
      <c r="J1224">
        <f t="shared" si="319"/>
        <v>0.36035896236555337</v>
      </c>
      <c r="K1224">
        <f t="shared" si="323"/>
        <v>2.9758011145701326</v>
      </c>
      <c r="O1224">
        <f t="shared" si="324"/>
        <v>-0.34777518382987116</v>
      </c>
      <c r="P1224">
        <f t="shared" si="325"/>
        <v>5.8192336919355846E-2</v>
      </c>
      <c r="Q1224">
        <f t="shared" si="326"/>
        <v>0.935770310191536</v>
      </c>
      <c r="R1224">
        <f t="shared" si="316"/>
        <v>1</v>
      </c>
      <c r="AG1224" s="8">
        <f t="shared" si="320"/>
        <v>-0.84825799910905475</v>
      </c>
      <c r="AH1224" s="8">
        <f t="shared" si="321"/>
        <v>-0.18852934767827245</v>
      </c>
      <c r="AI1224" s="8">
        <f t="shared" si="322"/>
        <v>0.49488892896437681</v>
      </c>
      <c r="AJ1224" s="8"/>
      <c r="AK1224" s="8"/>
      <c r="AL1224" s="8"/>
      <c r="AN1224" s="8">
        <f t="shared" si="327"/>
        <v>1</v>
      </c>
      <c r="AO1224" s="8">
        <f t="shared" si="328"/>
        <v>3.3602925717637602</v>
      </c>
      <c r="AP1224" s="8">
        <f t="shared" si="329"/>
        <v>1.0530893210228416</v>
      </c>
      <c r="AQ1224" s="8"/>
      <c r="AR1224" s="8">
        <f t="shared" si="330"/>
        <v>192.53058229122476</v>
      </c>
      <c r="AS1224" s="8">
        <f t="shared" si="331"/>
        <v>29.662426455093701</v>
      </c>
    </row>
    <row r="1225" spans="1:45">
      <c r="A1225" s="19">
        <v>52.852800000000002</v>
      </c>
      <c r="B1225" s="19">
        <v>387.76000859999999</v>
      </c>
      <c r="C1225" s="19">
        <v>444.45321339999998</v>
      </c>
      <c r="E1225" s="9">
        <f t="shared" si="317"/>
        <v>-572.23999140000001</v>
      </c>
      <c r="F1225" s="9">
        <f t="shared" si="318"/>
        <v>95.546786600000019</v>
      </c>
      <c r="I1225">
        <v>1</v>
      </c>
      <c r="J1225">
        <f t="shared" si="319"/>
        <v>0.36049028145716483</v>
      </c>
      <c r="K1225">
        <f t="shared" si="323"/>
        <v>2.9761490676793345</v>
      </c>
      <c r="O1225">
        <f t="shared" si="324"/>
        <v>-0.34791661455014405</v>
      </c>
      <c r="P1225">
        <f t="shared" si="325"/>
        <v>5.8091561276045943E-2</v>
      </c>
      <c r="Q1225">
        <f t="shared" si="326"/>
        <v>0.93572399767692072</v>
      </c>
      <c r="R1225">
        <f t="shared" si="316"/>
        <v>1</v>
      </c>
      <c r="AG1225" s="8">
        <f t="shared" si="320"/>
        <v>-0.84835145452612148</v>
      </c>
      <c r="AH1225" s="8">
        <f t="shared" si="321"/>
        <v>-0.18844432240507381</v>
      </c>
      <c r="AI1225" s="8">
        <f t="shared" si="322"/>
        <v>0.4947611008928518</v>
      </c>
      <c r="AJ1225" s="8"/>
      <c r="AK1225" s="8"/>
      <c r="AL1225" s="8"/>
      <c r="AN1225" s="8">
        <f t="shared" si="327"/>
        <v>1</v>
      </c>
      <c r="AO1225" s="8">
        <f t="shared" si="328"/>
        <v>3.3601737309092119</v>
      </c>
      <c r="AP1225" s="8">
        <f t="shared" si="329"/>
        <v>1.0532364201652138</v>
      </c>
      <c r="AQ1225" s="8"/>
      <c r="AR1225" s="8">
        <f t="shared" si="330"/>
        <v>192.52377321182541</v>
      </c>
      <c r="AS1225" s="8">
        <f t="shared" si="331"/>
        <v>29.653998295065776</v>
      </c>
    </row>
    <row r="1226" spans="1:45">
      <c r="A1226" s="19">
        <v>52.886166670000001</v>
      </c>
      <c r="B1226" s="19">
        <v>386.90361369999999</v>
      </c>
      <c r="C1226" s="19">
        <v>444.28140500000001</v>
      </c>
      <c r="E1226" s="9">
        <f t="shared" si="317"/>
        <v>-573.09638629999995</v>
      </c>
      <c r="F1226" s="9">
        <f t="shared" si="318"/>
        <v>95.718594999999993</v>
      </c>
      <c r="I1226">
        <v>1</v>
      </c>
      <c r="J1226">
        <f t="shared" si="319"/>
        <v>0.36099131811469348</v>
      </c>
      <c r="K1226">
        <f t="shared" si="323"/>
        <v>2.9761001500388522</v>
      </c>
      <c r="O1226">
        <f t="shared" si="324"/>
        <v>-0.34837615527470123</v>
      </c>
      <c r="P1226">
        <f t="shared" si="325"/>
        <v>5.8185807678327428E-2</v>
      </c>
      <c r="Q1226">
        <f t="shared" si="326"/>
        <v>0.93554714804804895</v>
      </c>
      <c r="R1226">
        <f t="shared" si="316"/>
        <v>1</v>
      </c>
      <c r="AG1226" s="8">
        <f t="shared" si="320"/>
        <v>-0.8485000916947496</v>
      </c>
      <c r="AH1226" s="8">
        <f t="shared" si="321"/>
        <v>-0.18797144098532326</v>
      </c>
      <c r="AI1226" s="8">
        <f t="shared" si="322"/>
        <v>0.49468609417276205</v>
      </c>
      <c r="AJ1226" s="8"/>
      <c r="AK1226" s="8"/>
      <c r="AL1226" s="8"/>
      <c r="AN1226" s="8">
        <f t="shared" si="327"/>
        <v>1</v>
      </c>
      <c r="AO1226" s="8">
        <f t="shared" si="328"/>
        <v>3.3596054683308041</v>
      </c>
      <c r="AP1226" s="8">
        <f t="shared" si="329"/>
        <v>1.0533227289936871</v>
      </c>
      <c r="AQ1226" s="8"/>
      <c r="AR1226" s="8">
        <f t="shared" si="330"/>
        <v>192.49121416442742</v>
      </c>
      <c r="AS1226" s="8">
        <f t="shared" si="331"/>
        <v>29.649053163459541</v>
      </c>
    </row>
    <row r="1227" spans="1:45">
      <c r="A1227" s="19">
        <v>52.91953333</v>
      </c>
      <c r="B1227" s="19">
        <v>386.73212990000002</v>
      </c>
      <c r="C1227" s="19">
        <v>443.9496456</v>
      </c>
      <c r="E1227" s="9">
        <f t="shared" si="317"/>
        <v>-573.26787009999998</v>
      </c>
      <c r="F1227" s="9">
        <f t="shared" si="318"/>
        <v>96.050354400000003</v>
      </c>
      <c r="I1227">
        <v>1</v>
      </c>
      <c r="J1227">
        <f t="shared" si="319"/>
        <v>0.36111977443856857</v>
      </c>
      <c r="K1227">
        <f t="shared" si="323"/>
        <v>2.9755857891220536</v>
      </c>
      <c r="O1227">
        <f t="shared" si="324"/>
        <v>-0.34846470262376006</v>
      </c>
      <c r="P1227">
        <f t="shared" si="325"/>
        <v>5.8384849262639246E-2</v>
      </c>
      <c r="Q1227">
        <f t="shared" si="326"/>
        <v>0.93550176932056806</v>
      </c>
      <c r="R1227">
        <f t="shared" si="316"/>
        <v>1</v>
      </c>
      <c r="AG1227" s="8">
        <f t="shared" si="320"/>
        <v>-0.8484622428265155</v>
      </c>
      <c r="AH1227" s="8">
        <f t="shared" si="321"/>
        <v>-0.18779599064561214</v>
      </c>
      <c r="AI1227" s="8">
        <f t="shared" si="322"/>
        <v>0.49481763145145946</v>
      </c>
      <c r="AJ1227" s="8"/>
      <c r="AK1227" s="8"/>
      <c r="AL1227" s="8"/>
      <c r="AN1227" s="8">
        <f t="shared" si="327"/>
        <v>1.0000000000000002</v>
      </c>
      <c r="AO1227" s="8">
        <f t="shared" si="328"/>
        <v>3.359417768039946</v>
      </c>
      <c r="AP1227" s="8">
        <f t="shared" si="329"/>
        <v>1.0531713687070843</v>
      </c>
      <c r="AQ1227" s="8"/>
      <c r="AR1227" s="8">
        <f t="shared" si="330"/>
        <v>192.48045972994788</v>
      </c>
      <c r="AS1227" s="8">
        <f t="shared" si="331"/>
        <v>29.657725469067771</v>
      </c>
    </row>
    <row r="1228" spans="1:45">
      <c r="A1228" s="19">
        <v>52.9529</v>
      </c>
      <c r="B1228" s="19">
        <v>386.14083010000002</v>
      </c>
      <c r="C1228" s="19">
        <v>443.51251459999997</v>
      </c>
      <c r="E1228" s="9">
        <f t="shared" si="317"/>
        <v>-573.85916989999998</v>
      </c>
      <c r="F1228" s="9">
        <f t="shared" si="318"/>
        <v>96.487485400000025</v>
      </c>
      <c r="I1228">
        <v>1</v>
      </c>
      <c r="J1228">
        <f t="shared" si="319"/>
        <v>0.36149582857365448</v>
      </c>
      <c r="K1228">
        <f t="shared" si="323"/>
        <v>2.9750128319184728</v>
      </c>
      <c r="O1228">
        <f t="shared" si="324"/>
        <v>-0.34877809833779211</v>
      </c>
      <c r="P1228">
        <f t="shared" si="325"/>
        <v>5.8642822902127384E-2</v>
      </c>
      <c r="Q1228">
        <f t="shared" si="326"/>
        <v>0.93536883497470835</v>
      </c>
      <c r="R1228">
        <f t="shared" si="316"/>
        <v>1</v>
      </c>
      <c r="AG1228" s="8">
        <f t="shared" si="320"/>
        <v>-0.84849225550135221</v>
      </c>
      <c r="AH1228" s="8">
        <f t="shared" si="321"/>
        <v>-0.18738307494795431</v>
      </c>
      <c r="AI1228" s="8">
        <f t="shared" si="322"/>
        <v>0.49492269656712806</v>
      </c>
      <c r="AJ1228" s="8"/>
      <c r="AK1228" s="8"/>
      <c r="AL1228" s="8"/>
      <c r="AN1228" s="8">
        <f t="shared" si="327"/>
        <v>1</v>
      </c>
      <c r="AO1228" s="8">
        <f t="shared" si="328"/>
        <v>3.358946336448815</v>
      </c>
      <c r="AP1228" s="8">
        <f t="shared" si="329"/>
        <v>1.0530504606351059</v>
      </c>
      <c r="AQ1228" s="8"/>
      <c r="AR1228" s="8">
        <f t="shared" si="330"/>
        <v>192.45344868944693</v>
      </c>
      <c r="AS1228" s="8">
        <f t="shared" si="331"/>
        <v>29.664652991301196</v>
      </c>
    </row>
    <row r="1229" spans="1:45">
      <c r="A1229" s="19">
        <v>52.986266669999999</v>
      </c>
      <c r="B1229" s="19">
        <v>385.70467930000001</v>
      </c>
      <c r="C1229" s="19">
        <v>443.52165359999998</v>
      </c>
      <c r="E1229" s="9">
        <f t="shared" si="317"/>
        <v>-574.29532070000005</v>
      </c>
      <c r="F1229" s="9">
        <f t="shared" si="318"/>
        <v>96.478346400000021</v>
      </c>
      <c r="I1229">
        <v>1</v>
      </c>
      <c r="J1229">
        <f t="shared" si="319"/>
        <v>0.3617416586395929</v>
      </c>
      <c r="K1229">
        <f t="shared" si="323"/>
        <v>2.9751524934150364</v>
      </c>
      <c r="O1229">
        <f t="shared" si="324"/>
        <v>-0.34901303870632272</v>
      </c>
      <c r="P1229">
        <f t="shared" si="325"/>
        <v>5.8632204778166615E-2</v>
      </c>
      <c r="Q1229">
        <f t="shared" si="326"/>
        <v>0.93528186306365957</v>
      </c>
      <c r="R1229">
        <f t="shared" si="316"/>
        <v>1</v>
      </c>
      <c r="AG1229" s="8">
        <f t="shared" si="320"/>
        <v>-0.84858970247311827</v>
      </c>
      <c r="AH1229" s="8">
        <f t="shared" si="321"/>
        <v>-0.18716861214484087</v>
      </c>
      <c r="AI1229" s="8">
        <f t="shared" si="322"/>
        <v>0.49483676852509539</v>
      </c>
      <c r="AJ1229" s="8"/>
      <c r="AK1229" s="8"/>
      <c r="AL1229" s="8"/>
      <c r="AN1229" s="8">
        <f t="shared" si="327"/>
        <v>1</v>
      </c>
      <c r="AO1229" s="8">
        <f t="shared" si="328"/>
        <v>3.3586811642575909</v>
      </c>
      <c r="AP1229" s="8">
        <f t="shared" si="329"/>
        <v>1.0531493465400321</v>
      </c>
      <c r="AQ1229" s="8"/>
      <c r="AR1229" s="8">
        <f t="shared" si="330"/>
        <v>192.43825544204557</v>
      </c>
      <c r="AS1229" s="8">
        <f t="shared" si="331"/>
        <v>29.658987246295595</v>
      </c>
    </row>
    <row r="1230" spans="1:45">
      <c r="A1230" s="19">
        <v>53.019633329999998</v>
      </c>
      <c r="B1230" s="19">
        <v>384.8678979</v>
      </c>
      <c r="C1230" s="19">
        <v>443.22081459999998</v>
      </c>
      <c r="E1230" s="9">
        <f t="shared" si="317"/>
        <v>-575.1321021</v>
      </c>
      <c r="F1230" s="9">
        <f t="shared" si="318"/>
        <v>96.779185400000017</v>
      </c>
      <c r="I1230">
        <v>1</v>
      </c>
      <c r="J1230">
        <f t="shared" si="319"/>
        <v>0.36224343273128329</v>
      </c>
      <c r="K1230">
        <f t="shared" si="323"/>
        <v>2.9748814973573072</v>
      </c>
      <c r="O1230">
        <f t="shared" si="324"/>
        <v>-0.34945988659923483</v>
      </c>
      <c r="P1230">
        <f t="shared" si="325"/>
        <v>5.8804652064387695E-2</v>
      </c>
      <c r="Q1230">
        <f t="shared" si="326"/>
        <v>0.93510416561666343</v>
      </c>
      <c r="R1230">
        <f t="shared" si="316"/>
        <v>1</v>
      </c>
      <c r="AG1230" s="8">
        <f t="shared" si="320"/>
        <v>-0.84870406436672052</v>
      </c>
      <c r="AH1230" s="8">
        <f t="shared" si="321"/>
        <v>-0.18667077321365161</v>
      </c>
      <c r="AI1230" s="8">
        <f t="shared" si="322"/>
        <v>0.49482869111969174</v>
      </c>
      <c r="AJ1230" s="8"/>
      <c r="AK1230" s="8"/>
      <c r="AL1230" s="8"/>
      <c r="AN1230" s="8">
        <f t="shared" si="327"/>
        <v>1.0000000000000002</v>
      </c>
      <c r="AO1230" s="8">
        <f t="shared" si="328"/>
        <v>3.358093371744634</v>
      </c>
      <c r="AP1230" s="8">
        <f t="shared" si="329"/>
        <v>1.0531586417237735</v>
      </c>
      <c r="AQ1230" s="8"/>
      <c r="AR1230" s="8">
        <f t="shared" si="330"/>
        <v>192.40457741182374</v>
      </c>
      <c r="AS1230" s="8">
        <f t="shared" si="331"/>
        <v>29.65845467149741</v>
      </c>
    </row>
    <row r="1231" spans="1:45">
      <c r="A1231" s="19">
        <v>53.052999999999997</v>
      </c>
      <c r="B1231" s="19">
        <v>384.4847254</v>
      </c>
      <c r="C1231" s="19">
        <v>443.22079109999999</v>
      </c>
      <c r="E1231" s="9">
        <f t="shared" si="317"/>
        <v>-575.5152746</v>
      </c>
      <c r="F1231" s="9">
        <f t="shared" si="318"/>
        <v>96.779208900000015</v>
      </c>
      <c r="I1231">
        <v>1</v>
      </c>
      <c r="J1231">
        <f t="shared" si="319"/>
        <v>0.36246004648437419</v>
      </c>
      <c r="K1231">
        <f t="shared" si="323"/>
        <v>2.9749904091654109</v>
      </c>
      <c r="O1231">
        <f t="shared" si="324"/>
        <v>-0.34966603265707402</v>
      </c>
      <c r="P1231">
        <f t="shared" si="325"/>
        <v>5.8800180487430666E-2</v>
      </c>
      <c r="Q1231">
        <f t="shared" si="326"/>
        <v>0.9350273816207243</v>
      </c>
      <c r="R1231">
        <f t="shared" si="316"/>
        <v>1</v>
      </c>
      <c r="AG1231" s="8">
        <f t="shared" si="320"/>
        <v>-0.84878767189166959</v>
      </c>
      <c r="AH1231" s="8">
        <f t="shared" si="321"/>
        <v>-0.18648025077648012</v>
      </c>
      <c r="AI1231" s="8">
        <f t="shared" si="322"/>
        <v>0.49475711628541597</v>
      </c>
      <c r="AJ1231" s="8"/>
      <c r="AK1231" s="8"/>
      <c r="AL1231" s="8"/>
      <c r="AN1231" s="8">
        <f t="shared" si="327"/>
        <v>1</v>
      </c>
      <c r="AO1231" s="8">
        <f t="shared" si="328"/>
        <v>3.3578585876476565</v>
      </c>
      <c r="AP1231" s="8">
        <f t="shared" si="329"/>
        <v>1.0532410052850461</v>
      </c>
      <c r="AQ1231" s="8"/>
      <c r="AR1231" s="8">
        <f t="shared" si="330"/>
        <v>192.39112527397015</v>
      </c>
      <c r="AS1231" s="8">
        <f t="shared" si="331"/>
        <v>29.653735587050825</v>
      </c>
    </row>
    <row r="1232" spans="1:45">
      <c r="A1232" s="19">
        <v>53.086366669999997</v>
      </c>
      <c r="B1232" s="19">
        <v>383.80517889999999</v>
      </c>
      <c r="C1232" s="19">
        <v>443.22586669999998</v>
      </c>
      <c r="E1232" s="9">
        <f t="shared" si="317"/>
        <v>-576.19482110000001</v>
      </c>
      <c r="F1232" s="9">
        <f t="shared" si="318"/>
        <v>96.774133300000017</v>
      </c>
      <c r="I1232">
        <v>1</v>
      </c>
      <c r="J1232">
        <f t="shared" si="319"/>
        <v>0.36284364496732557</v>
      </c>
      <c r="K1232">
        <f t="shared" si="323"/>
        <v>2.9751918524637229</v>
      </c>
      <c r="O1232">
        <f t="shared" si="324"/>
        <v>-0.35003156554358966</v>
      </c>
      <c r="P1232">
        <f t="shared" si="325"/>
        <v>5.8789145862947902E-2</v>
      </c>
      <c r="Q1232">
        <f t="shared" si="326"/>
        <v>0.93489129820092387</v>
      </c>
      <c r="R1232">
        <f t="shared" si="316"/>
        <v>1</v>
      </c>
      <c r="AG1232" s="8">
        <f t="shared" si="320"/>
        <v>-0.84893697800508916</v>
      </c>
      <c r="AH1232" s="8">
        <f t="shared" si="321"/>
        <v>-0.18614380555105126</v>
      </c>
      <c r="AI1232" s="8">
        <f t="shared" si="322"/>
        <v>0.49462762865670912</v>
      </c>
      <c r="AJ1232" s="8"/>
      <c r="AK1232" s="8"/>
      <c r="AL1232" s="8"/>
      <c r="AN1232" s="8">
        <f t="shared" si="327"/>
        <v>1.0000000000000002</v>
      </c>
      <c r="AO1232" s="8">
        <f t="shared" si="328"/>
        <v>3.3574436244043184</v>
      </c>
      <c r="AP1232" s="8">
        <f t="shared" si="329"/>
        <v>1.0533900012277917</v>
      </c>
      <c r="AQ1232" s="8"/>
      <c r="AR1232" s="8">
        <f t="shared" si="330"/>
        <v>192.36734963147381</v>
      </c>
      <c r="AS1232" s="8">
        <f t="shared" si="331"/>
        <v>29.64519874836693</v>
      </c>
    </row>
    <row r="1233" spans="1:45">
      <c r="A1233" s="19">
        <v>53.119733330000003</v>
      </c>
      <c r="B1233" s="19">
        <v>382.84705300000002</v>
      </c>
      <c r="C1233" s="19">
        <v>442.58819349999999</v>
      </c>
      <c r="E1233" s="9">
        <f t="shared" si="317"/>
        <v>-577.15294700000004</v>
      </c>
      <c r="F1233" s="9">
        <f t="shared" si="318"/>
        <v>97.411806500000012</v>
      </c>
      <c r="I1233">
        <v>1</v>
      </c>
      <c r="J1233">
        <f t="shared" si="319"/>
        <v>0.36344561294036498</v>
      </c>
      <c r="K1233">
        <f t="shared" si="323"/>
        <v>2.9743885816622524</v>
      </c>
      <c r="O1233">
        <f t="shared" si="324"/>
        <v>-0.35053909170063435</v>
      </c>
      <c r="P1233">
        <f t="shared" si="325"/>
        <v>5.9163946660793887E-2</v>
      </c>
      <c r="Q1233">
        <f t="shared" si="326"/>
        <v>0.93467746982861044</v>
      </c>
      <c r="R1233">
        <f t="shared" si="316"/>
        <v>1</v>
      </c>
      <c r="AG1233" s="8">
        <f t="shared" si="320"/>
        <v>-0.84900053388709784</v>
      </c>
      <c r="AH1233" s="8">
        <f t="shared" si="321"/>
        <v>-0.18549452384631726</v>
      </c>
      <c r="AI1233" s="8">
        <f t="shared" si="322"/>
        <v>0.49476244307996048</v>
      </c>
      <c r="AJ1233" s="8"/>
      <c r="AK1233" s="8"/>
      <c r="AL1233" s="8"/>
      <c r="AN1233" s="8">
        <f t="shared" si="327"/>
        <v>1.0000000000000002</v>
      </c>
      <c r="AO1233" s="8">
        <f t="shared" si="328"/>
        <v>3.3566981628414259</v>
      </c>
      <c r="AP1233" s="8">
        <f t="shared" si="329"/>
        <v>1.0532348756970153</v>
      </c>
      <c r="AQ1233" s="8"/>
      <c r="AR1233" s="8">
        <f t="shared" si="330"/>
        <v>192.32463783013083</v>
      </c>
      <c r="AS1233" s="8">
        <f t="shared" si="331"/>
        <v>29.654086786575142</v>
      </c>
    </row>
    <row r="1234" spans="1:45">
      <c r="A1234" s="19">
        <v>53.153100000000002</v>
      </c>
      <c r="B1234" s="19">
        <v>382.13073530000003</v>
      </c>
      <c r="C1234" s="19">
        <v>442.45974389999998</v>
      </c>
      <c r="E1234" s="9">
        <f t="shared" si="317"/>
        <v>-577.86926470000003</v>
      </c>
      <c r="F1234" s="9">
        <f t="shared" si="318"/>
        <v>97.540256100000022</v>
      </c>
      <c r="I1234">
        <v>1</v>
      </c>
      <c r="J1234">
        <f t="shared" si="319"/>
        <v>0.36386237442177061</v>
      </c>
      <c r="K1234">
        <f t="shared" si="323"/>
        <v>2.9743758790286758</v>
      </c>
      <c r="O1234">
        <f t="shared" si="324"/>
        <v>-0.35092241390825191</v>
      </c>
      <c r="P1234">
        <f t="shared" si="325"/>
        <v>5.9233228369761332E-2</v>
      </c>
      <c r="Q1234">
        <f t="shared" si="326"/>
        <v>0.93452923125694742</v>
      </c>
      <c r="R1234">
        <f t="shared" si="316"/>
        <v>1</v>
      </c>
      <c r="AG1234" s="8">
        <f t="shared" si="320"/>
        <v>-0.84912705728119731</v>
      </c>
      <c r="AH1234" s="8">
        <f t="shared" si="321"/>
        <v>-0.18510376580761911</v>
      </c>
      <c r="AI1234" s="8">
        <f t="shared" si="322"/>
        <v>0.4946916579818304</v>
      </c>
      <c r="AJ1234" s="8"/>
      <c r="AK1234" s="8"/>
      <c r="AL1234" s="8"/>
      <c r="AN1234" s="8">
        <f t="shared" si="327"/>
        <v>0.99999999999999989</v>
      </c>
      <c r="AO1234" s="8">
        <f t="shared" si="328"/>
        <v>3.3562278212623813</v>
      </c>
      <c r="AP1234" s="8">
        <f t="shared" si="329"/>
        <v>1.0533163269683681</v>
      </c>
      <c r="AQ1234" s="8"/>
      <c r="AR1234" s="8">
        <f t="shared" si="330"/>
        <v>192.29768924272207</v>
      </c>
      <c r="AS1234" s="8">
        <f t="shared" si="331"/>
        <v>29.649419972490655</v>
      </c>
    </row>
    <row r="1235" spans="1:45">
      <c r="A1235" s="19">
        <v>53.186466670000001</v>
      </c>
      <c r="B1235" s="19">
        <v>381.76984299999998</v>
      </c>
      <c r="C1235" s="19">
        <v>442.45153169999998</v>
      </c>
      <c r="E1235" s="9">
        <f t="shared" si="317"/>
        <v>-578.23015699999996</v>
      </c>
      <c r="F1235" s="9">
        <f t="shared" si="318"/>
        <v>97.548468300000025</v>
      </c>
      <c r="I1235">
        <v>1</v>
      </c>
      <c r="J1235">
        <f t="shared" si="319"/>
        <v>0.36406691429282162</v>
      </c>
      <c r="K1235">
        <f t="shared" si="323"/>
        <v>2.9744645023011809</v>
      </c>
      <c r="O1235">
        <f t="shared" si="324"/>
        <v>-0.35111613976457712</v>
      </c>
      <c r="P1235">
        <f t="shared" si="325"/>
        <v>5.9233924787224869E-2</v>
      </c>
      <c r="Q1235">
        <f t="shared" si="326"/>
        <v>0.93445641875430629</v>
      </c>
      <c r="R1235">
        <f t="shared" si="316"/>
        <v>1</v>
      </c>
      <c r="AG1235" s="8">
        <f t="shared" si="320"/>
        <v>-0.84920358842538946</v>
      </c>
      <c r="AH1235" s="8">
        <f t="shared" si="321"/>
        <v>-0.1849222621581631</v>
      </c>
      <c r="AI1235" s="8">
        <f t="shared" si="322"/>
        <v>0.49462816576065449</v>
      </c>
      <c r="AJ1235" s="8"/>
      <c r="AK1235" s="8"/>
      <c r="AL1235" s="8"/>
      <c r="AN1235" s="8">
        <f t="shared" si="327"/>
        <v>1.0000000000000002</v>
      </c>
      <c r="AO1235" s="8">
        <f t="shared" si="328"/>
        <v>3.3560050180235161</v>
      </c>
      <c r="AP1235" s="8">
        <f t="shared" si="329"/>
        <v>1.0533893832310746</v>
      </c>
      <c r="AQ1235" s="8"/>
      <c r="AR1235" s="8">
        <f t="shared" si="330"/>
        <v>192.28492355747323</v>
      </c>
      <c r="AS1235" s="8">
        <f t="shared" si="331"/>
        <v>29.645234156970574</v>
      </c>
    </row>
    <row r="1236" spans="1:45">
      <c r="A1236" s="19">
        <v>53.21983333</v>
      </c>
      <c r="B1236" s="19">
        <v>380.91482159999998</v>
      </c>
      <c r="C1236" s="19">
        <v>442.42275139999998</v>
      </c>
      <c r="E1236" s="9">
        <f t="shared" si="317"/>
        <v>-579.08517840000002</v>
      </c>
      <c r="F1236" s="9">
        <f t="shared" si="318"/>
        <v>97.577248600000019</v>
      </c>
      <c r="I1236">
        <v>1</v>
      </c>
      <c r="J1236">
        <f t="shared" si="319"/>
        <v>0.36455228190765848</v>
      </c>
      <c r="K1236">
        <f t="shared" si="323"/>
        <v>2.9746583802291475</v>
      </c>
      <c r="O1236">
        <f t="shared" si="324"/>
        <v>-0.35157482586553801</v>
      </c>
      <c r="P1236">
        <f t="shared" si="325"/>
        <v>5.9241205723429592E-2</v>
      </c>
      <c r="Q1236">
        <f t="shared" si="326"/>
        <v>0.93428348019327145</v>
      </c>
      <c r="R1236">
        <f t="shared" si="316"/>
        <v>1</v>
      </c>
      <c r="AG1236" s="8">
        <f t="shared" si="320"/>
        <v>-0.84938259297076202</v>
      </c>
      <c r="AH1236" s="8">
        <f t="shared" si="321"/>
        <v>-0.18448979382807801</v>
      </c>
      <c r="AI1236" s="8">
        <f t="shared" si="322"/>
        <v>0.49448228151425033</v>
      </c>
      <c r="AJ1236" s="8"/>
      <c r="AK1236" s="8"/>
      <c r="AL1236" s="8"/>
      <c r="AN1236" s="8">
        <f t="shared" si="327"/>
        <v>1.0000000000000002</v>
      </c>
      <c r="AO1236" s="8">
        <f t="shared" si="328"/>
        <v>3.35547503710265</v>
      </c>
      <c r="AP1236" s="8">
        <f t="shared" si="329"/>
        <v>1.0535572309940968</v>
      </c>
      <c r="AQ1236" s="8"/>
      <c r="AR1236" s="8">
        <f t="shared" si="330"/>
        <v>192.25455788748516</v>
      </c>
      <c r="AS1236" s="8">
        <f t="shared" si="331"/>
        <v>29.635617188548686</v>
      </c>
    </row>
    <row r="1237" spans="1:45">
      <c r="A1237" s="19">
        <v>53.2532</v>
      </c>
      <c r="B1237" s="19">
        <v>379.86095879999999</v>
      </c>
      <c r="C1237" s="19">
        <v>442.39677080000001</v>
      </c>
      <c r="E1237" s="9">
        <f t="shared" si="317"/>
        <v>-580.13904120000007</v>
      </c>
      <c r="F1237" s="9">
        <f t="shared" si="318"/>
        <v>97.603229199999987</v>
      </c>
      <c r="I1237">
        <v>1</v>
      </c>
      <c r="J1237">
        <f t="shared" si="319"/>
        <v>0.36514940292272002</v>
      </c>
      <c r="K1237">
        <f t="shared" si="323"/>
        <v>2.9749124893875605</v>
      </c>
      <c r="O1237">
        <f t="shared" si="324"/>
        <v>-0.35213995416712918</v>
      </c>
      <c r="P1237">
        <f t="shared" si="325"/>
        <v>5.9244412487665987E-2</v>
      </c>
      <c r="Q1237">
        <f t="shared" si="326"/>
        <v>0.93407042147161656</v>
      </c>
      <c r="R1237">
        <f t="shared" si="316"/>
        <v>1</v>
      </c>
      <c r="AG1237" s="8">
        <f t="shared" si="320"/>
        <v>-0.84960501754409345</v>
      </c>
      <c r="AH1237" s="8">
        <f t="shared" si="321"/>
        <v>-0.18395947850946853</v>
      </c>
      <c r="AI1237" s="8">
        <f t="shared" si="322"/>
        <v>0.49429770829979086</v>
      </c>
      <c r="AJ1237" s="8"/>
      <c r="AK1237" s="8"/>
      <c r="AL1237" s="8"/>
      <c r="AN1237" s="8">
        <f t="shared" si="327"/>
        <v>1.0000000000000002</v>
      </c>
      <c r="AO1237" s="8">
        <f t="shared" si="328"/>
        <v>3.3548245743294944</v>
      </c>
      <c r="AP1237" s="8">
        <f t="shared" si="329"/>
        <v>1.0537695695562221</v>
      </c>
      <c r="AQ1237" s="8"/>
      <c r="AR1237" s="8">
        <f t="shared" si="330"/>
        <v>192.21728911585296</v>
      </c>
      <c r="AS1237" s="8">
        <f t="shared" si="331"/>
        <v>29.623451085111029</v>
      </c>
    </row>
    <row r="1238" spans="1:45">
      <c r="A1238" s="19">
        <v>53.286566669999999</v>
      </c>
      <c r="B1238" s="19">
        <v>379.83855949999997</v>
      </c>
      <c r="C1238" s="19">
        <v>442.27213999999998</v>
      </c>
      <c r="E1238" s="9">
        <f t="shared" si="317"/>
        <v>-580.16144050000003</v>
      </c>
      <c r="F1238" s="9">
        <f t="shared" si="318"/>
        <v>97.727860000000021</v>
      </c>
      <c r="I1238">
        <v>1</v>
      </c>
      <c r="J1238">
        <f t="shared" si="319"/>
        <v>0.36517387519411953</v>
      </c>
      <c r="K1238">
        <f t="shared" si="323"/>
        <v>2.9747099053271371</v>
      </c>
      <c r="O1238">
        <f t="shared" si="324"/>
        <v>-0.35215048611763045</v>
      </c>
      <c r="P1238">
        <f t="shared" si="325"/>
        <v>5.9319546256945341E-2</v>
      </c>
      <c r="Q1238">
        <f t="shared" si="326"/>
        <v>0.93406168241663068</v>
      </c>
      <c r="R1238">
        <f t="shared" si="316"/>
        <v>1</v>
      </c>
      <c r="AG1238" s="8">
        <f t="shared" si="320"/>
        <v>-0.84958151369048929</v>
      </c>
      <c r="AH1238" s="8">
        <f t="shared" si="321"/>
        <v>-0.18391455441421656</v>
      </c>
      <c r="AI1238" s="8">
        <f t="shared" si="322"/>
        <v>0.49435482021519445</v>
      </c>
      <c r="AJ1238" s="8"/>
      <c r="AK1238" s="8"/>
      <c r="AL1238" s="8"/>
      <c r="AN1238" s="8">
        <f t="shared" si="327"/>
        <v>1</v>
      </c>
      <c r="AO1238" s="8">
        <f t="shared" si="328"/>
        <v>3.3547797859236659</v>
      </c>
      <c r="AP1238" s="8">
        <f t="shared" si="329"/>
        <v>1.0537038690354019</v>
      </c>
      <c r="AQ1238" s="8"/>
      <c r="AR1238" s="8">
        <f t="shared" si="330"/>
        <v>192.21472292922789</v>
      </c>
      <c r="AS1238" s="8">
        <f t="shared" si="331"/>
        <v>29.62721544766584</v>
      </c>
    </row>
    <row r="1239" spans="1:45">
      <c r="A1239" s="19">
        <v>53.319933329999998</v>
      </c>
      <c r="B1239" s="19">
        <v>379.61552080000001</v>
      </c>
      <c r="C1239" s="19">
        <v>442.13964900000002</v>
      </c>
      <c r="E1239" s="9">
        <f t="shared" si="317"/>
        <v>-580.38447919999999</v>
      </c>
      <c r="F1239" s="9">
        <f t="shared" si="318"/>
        <v>97.86035099999998</v>
      </c>
      <c r="I1239">
        <v>1</v>
      </c>
      <c r="J1239">
        <f t="shared" si="319"/>
        <v>0.36531228265870824</v>
      </c>
      <c r="K1239">
        <f t="shared" si="323"/>
        <v>2.9745508750223002</v>
      </c>
      <c r="O1239">
        <f t="shared" si="324"/>
        <v>-0.35226852632252281</v>
      </c>
      <c r="P1239">
        <f t="shared" si="325"/>
        <v>5.93970425944065E-2</v>
      </c>
      <c r="Q1239">
        <f t="shared" si="326"/>
        <v>0.93401224654369297</v>
      </c>
      <c r="R1239">
        <f t="shared" si="316"/>
        <v>1</v>
      </c>
      <c r="AG1239" s="8">
        <f t="shared" si="320"/>
        <v>-0.84959964091506568</v>
      </c>
      <c r="AH1239" s="8">
        <f t="shared" si="321"/>
        <v>-0.1837678995510808</v>
      </c>
      <c r="AI1239" s="8">
        <f t="shared" si="322"/>
        <v>0.49437820466882976</v>
      </c>
      <c r="AJ1239" s="8"/>
      <c r="AK1239" s="8"/>
      <c r="AL1239" s="8"/>
      <c r="AN1239" s="8">
        <f t="shared" si="327"/>
        <v>1</v>
      </c>
      <c r="AO1239" s="8">
        <f t="shared" si="328"/>
        <v>3.3546104783202098</v>
      </c>
      <c r="AP1239" s="8">
        <f t="shared" si="329"/>
        <v>1.0536769672719628</v>
      </c>
      <c r="AQ1239" s="8"/>
      <c r="AR1239" s="8">
        <f t="shared" si="330"/>
        <v>192.20502231811037</v>
      </c>
      <c r="AS1239" s="8">
        <f t="shared" si="331"/>
        <v>29.628756805172358</v>
      </c>
    </row>
    <row r="1240" spans="1:45">
      <c r="A1240" s="19">
        <v>53.353299999999997</v>
      </c>
      <c r="B1240" s="19">
        <v>378.86517149999997</v>
      </c>
      <c r="C1240" s="19">
        <v>441.72893290000002</v>
      </c>
      <c r="E1240" s="9">
        <f t="shared" si="317"/>
        <v>-581.13482850000003</v>
      </c>
      <c r="F1240" s="9">
        <f t="shared" si="318"/>
        <v>98.271067099999982</v>
      </c>
      <c r="I1240">
        <v>1</v>
      </c>
      <c r="J1240">
        <f t="shared" si="319"/>
        <v>0.36577453453526165</v>
      </c>
      <c r="K1240">
        <f t="shared" si="323"/>
        <v>2.9740753935689237</v>
      </c>
      <c r="O1240">
        <f t="shared" si="324"/>
        <v>-0.3526659118534109</v>
      </c>
      <c r="P1240">
        <f t="shared" si="325"/>
        <v>5.9636514261387566E-2</v>
      </c>
      <c r="Q1240">
        <f t="shared" si="326"/>
        <v>0.93384701144424809</v>
      </c>
      <c r="R1240">
        <f t="shared" si="316"/>
        <v>1</v>
      </c>
      <c r="AG1240" s="8">
        <f t="shared" si="320"/>
        <v>-0.84966844090618743</v>
      </c>
      <c r="AH1240" s="8">
        <f t="shared" si="321"/>
        <v>-0.18328409549217578</v>
      </c>
      <c r="AI1240" s="8">
        <f t="shared" si="322"/>
        <v>0.49443956240137565</v>
      </c>
      <c r="AJ1240" s="8"/>
      <c r="AK1240" s="8"/>
      <c r="AL1240" s="8"/>
      <c r="AN1240" s="8">
        <f t="shared" si="327"/>
        <v>1.0000000000000002</v>
      </c>
      <c r="AO1240" s="8">
        <f t="shared" si="328"/>
        <v>3.3540497245899101</v>
      </c>
      <c r="AP1240" s="8">
        <f t="shared" si="329"/>
        <v>1.0536063786238286</v>
      </c>
      <c r="AQ1240" s="8"/>
      <c r="AR1240" s="8">
        <f t="shared" si="330"/>
        <v>192.17289349601799</v>
      </c>
      <c r="AS1240" s="8">
        <f t="shared" si="331"/>
        <v>29.632801236791984</v>
      </c>
    </row>
    <row r="1241" spans="1:45">
      <c r="A1241" s="19">
        <v>53.386666669999997</v>
      </c>
      <c r="B1241" s="19">
        <v>378.29700079999998</v>
      </c>
      <c r="C1241" s="19">
        <v>442.08155149999999</v>
      </c>
      <c r="E1241" s="9">
        <f t="shared" si="317"/>
        <v>-581.70299920000002</v>
      </c>
      <c r="F1241" s="9">
        <f t="shared" si="318"/>
        <v>97.918448500000011</v>
      </c>
      <c r="I1241">
        <v>1</v>
      </c>
      <c r="J1241">
        <f t="shared" si="319"/>
        <v>0.36606131910007988</v>
      </c>
      <c r="K1241">
        <f t="shared" si="323"/>
        <v>2.9748253959401452</v>
      </c>
      <c r="O1241">
        <f t="shared" si="324"/>
        <v>-0.35297462309720423</v>
      </c>
      <c r="P1241">
        <f t="shared" si="325"/>
        <v>5.9416450492921123E-2</v>
      </c>
      <c r="Q1241">
        <f t="shared" si="326"/>
        <v>0.93374439803417775</v>
      </c>
      <c r="R1241">
        <f t="shared" si="316"/>
        <v>1</v>
      </c>
      <c r="AG1241" s="8">
        <f t="shared" si="320"/>
        <v>-0.84987142120868708</v>
      </c>
      <c r="AH1241" s="8">
        <f t="shared" si="321"/>
        <v>-0.18309777491910062</v>
      </c>
      <c r="AI1241" s="8">
        <f t="shared" si="322"/>
        <v>0.49415966269253608</v>
      </c>
      <c r="AJ1241" s="8"/>
      <c r="AK1241" s="8"/>
      <c r="AL1241" s="8"/>
      <c r="AN1241" s="8">
        <f t="shared" si="327"/>
        <v>1.0000000000000002</v>
      </c>
      <c r="AO1241" s="8">
        <f t="shared" si="328"/>
        <v>3.3537909948168085</v>
      </c>
      <c r="AP1241" s="8">
        <f t="shared" si="329"/>
        <v>1.053928364606308</v>
      </c>
      <c r="AQ1241" s="8"/>
      <c r="AR1241" s="8">
        <f t="shared" si="330"/>
        <v>192.15806937198488</v>
      </c>
      <c r="AS1241" s="8">
        <f t="shared" si="331"/>
        <v>29.614352798933538</v>
      </c>
    </row>
    <row r="1242" spans="1:45">
      <c r="A1242" s="19">
        <v>53.420033330000003</v>
      </c>
      <c r="B1242" s="19">
        <v>377.69781130000001</v>
      </c>
      <c r="C1242" s="19">
        <v>442.32056399999999</v>
      </c>
      <c r="E1242" s="9">
        <f t="shared" si="317"/>
        <v>-582.30218869999999</v>
      </c>
      <c r="F1242" s="9">
        <f t="shared" si="318"/>
        <v>97.67943600000001</v>
      </c>
      <c r="I1242">
        <v>1</v>
      </c>
      <c r="J1242">
        <f t="shared" si="319"/>
        <v>0.36637645378000006</v>
      </c>
      <c r="K1242">
        <f t="shared" si="323"/>
        <v>2.9753930409890974</v>
      </c>
      <c r="O1242">
        <f t="shared" si="324"/>
        <v>-0.35329847673125853</v>
      </c>
      <c r="P1242">
        <f t="shared" si="325"/>
        <v>5.9264753965312549E-2</v>
      </c>
      <c r="Q1242">
        <f t="shared" si="326"/>
        <v>0.93363155220718808</v>
      </c>
      <c r="R1242">
        <f t="shared" si="316"/>
        <v>1</v>
      </c>
      <c r="AG1242" s="8">
        <f t="shared" si="320"/>
        <v>-0.85005508629415472</v>
      </c>
      <c r="AH1242" s="8">
        <f t="shared" si="321"/>
        <v>-0.18286527998223906</v>
      </c>
      <c r="AI1242" s="8">
        <f t="shared" si="322"/>
        <v>0.49392979221996181</v>
      </c>
      <c r="AJ1242" s="8"/>
      <c r="AK1242" s="8"/>
      <c r="AL1242" s="8"/>
      <c r="AN1242" s="8">
        <f t="shared" si="327"/>
        <v>1.0000000000000002</v>
      </c>
      <c r="AO1242" s="8">
        <f t="shared" si="328"/>
        <v>3.3534851164962181</v>
      </c>
      <c r="AP1242" s="8">
        <f t="shared" si="329"/>
        <v>1.0541927547911838</v>
      </c>
      <c r="AQ1242" s="8"/>
      <c r="AR1242" s="8">
        <f t="shared" si="330"/>
        <v>192.14054383517049</v>
      </c>
      <c r="AS1242" s="8">
        <f t="shared" si="331"/>
        <v>29.599204357195475</v>
      </c>
    </row>
    <row r="1243" spans="1:45">
      <c r="A1243" s="19">
        <v>53.453400000000002</v>
      </c>
      <c r="B1243" s="19">
        <v>377.44985179999998</v>
      </c>
      <c r="C1243" s="19">
        <v>441.8313258</v>
      </c>
      <c r="E1243" s="9">
        <f t="shared" si="317"/>
        <v>-582.55014819999997</v>
      </c>
      <c r="F1243" s="9">
        <f t="shared" si="318"/>
        <v>98.168674199999998</v>
      </c>
      <c r="I1243">
        <v>1</v>
      </c>
      <c r="J1243">
        <f t="shared" si="319"/>
        <v>0.3665625658948482</v>
      </c>
      <c r="K1243">
        <f t="shared" si="323"/>
        <v>2.9746457447108812</v>
      </c>
      <c r="O1243">
        <f t="shared" si="324"/>
        <v>-0.35342542793987919</v>
      </c>
      <c r="P1243">
        <f t="shared" si="325"/>
        <v>5.9557629152836612E-2</v>
      </c>
      <c r="Q1243">
        <f t="shared" si="326"/>
        <v>0.93356486421416185</v>
      </c>
      <c r="R1243">
        <f t="shared" ref="R1243:R1272" si="332">SQRT(O1243^2+P1243^2+Q1243^2)</f>
        <v>1</v>
      </c>
      <c r="AG1243" s="8">
        <f t="shared" si="320"/>
        <v>-0.84999726980434021</v>
      </c>
      <c r="AH1243" s="8">
        <f t="shared" si="321"/>
        <v>-0.1826096490978642</v>
      </c>
      <c r="AI1243" s="8">
        <f t="shared" si="322"/>
        <v>0.49412382798396071</v>
      </c>
      <c r="AJ1243" s="8"/>
      <c r="AK1243" s="8"/>
      <c r="AL1243" s="8"/>
      <c r="AN1243" s="8">
        <f t="shared" si="327"/>
        <v>1.0000000000000002</v>
      </c>
      <c r="AO1243" s="8">
        <f t="shared" si="328"/>
        <v>3.353211644537609</v>
      </c>
      <c r="AP1243" s="8">
        <f t="shared" si="329"/>
        <v>1.0539695832366487</v>
      </c>
      <c r="AQ1243" s="8"/>
      <c r="AR1243" s="8">
        <f t="shared" si="330"/>
        <v>192.12487504612702</v>
      </c>
      <c r="AS1243" s="8">
        <f t="shared" si="331"/>
        <v>29.611991145377708</v>
      </c>
    </row>
    <row r="1244" spans="1:45">
      <c r="A1244" s="19">
        <v>53.486766670000002</v>
      </c>
      <c r="B1244" s="19">
        <v>376.66794609999999</v>
      </c>
      <c r="C1244" s="19">
        <v>441.76258419999999</v>
      </c>
      <c r="E1244" s="9">
        <f t="shared" si="317"/>
        <v>-583.33205390000001</v>
      </c>
      <c r="F1244" s="9">
        <f t="shared" si="318"/>
        <v>98.237415800000008</v>
      </c>
      <c r="I1244">
        <v>1</v>
      </c>
      <c r="J1244">
        <f t="shared" si="319"/>
        <v>0.36700965158580756</v>
      </c>
      <c r="K1244">
        <f t="shared" si="323"/>
        <v>2.9747508004972487</v>
      </c>
      <c r="O1244">
        <f t="shared" si="324"/>
        <v>-0.35384323529577927</v>
      </c>
      <c r="P1244">
        <f t="shared" si="325"/>
        <v>5.9589807899923332E-2</v>
      </c>
      <c r="Q1244">
        <f t="shared" si="326"/>
        <v>0.93340453160988346</v>
      </c>
      <c r="R1244">
        <f t="shared" si="332"/>
        <v>1</v>
      </c>
      <c r="AG1244" s="8">
        <f t="shared" si="320"/>
        <v>-0.85015010291062332</v>
      </c>
      <c r="AH1244" s="8">
        <f t="shared" si="321"/>
        <v>-0.18220320049039085</v>
      </c>
      <c r="AI1244" s="8">
        <f t="shared" si="322"/>
        <v>0.49401092725982781</v>
      </c>
      <c r="AJ1244" s="8"/>
      <c r="AK1244" s="8"/>
      <c r="AL1244" s="8"/>
      <c r="AN1244" s="8">
        <f t="shared" si="327"/>
        <v>0.99999999999999989</v>
      </c>
      <c r="AO1244" s="8">
        <f t="shared" si="328"/>
        <v>3.352717676690482</v>
      </c>
      <c r="AP1244" s="8">
        <f t="shared" si="329"/>
        <v>1.0540994402155004</v>
      </c>
      <c r="AQ1244" s="8"/>
      <c r="AR1244" s="8">
        <f t="shared" si="330"/>
        <v>192.09657277327148</v>
      </c>
      <c r="AS1244" s="8">
        <f t="shared" si="331"/>
        <v>29.604550888549191</v>
      </c>
    </row>
    <row r="1245" spans="1:45">
      <c r="A1245" s="19">
        <v>53.52013333</v>
      </c>
      <c r="B1245" s="19">
        <v>376.17916129999998</v>
      </c>
      <c r="C1245" s="19">
        <v>441.59491120000001</v>
      </c>
      <c r="E1245" s="9">
        <f t="shared" si="317"/>
        <v>-583.82083869999997</v>
      </c>
      <c r="F1245" s="9">
        <f t="shared" si="318"/>
        <v>98.405088799999987</v>
      </c>
      <c r="I1245">
        <v>1</v>
      </c>
      <c r="J1245">
        <f t="shared" si="319"/>
        <v>0.36730089132015126</v>
      </c>
      <c r="K1245">
        <f t="shared" si="323"/>
        <v>2.9746086302178814</v>
      </c>
      <c r="O1245">
        <f t="shared" si="324"/>
        <v>-0.35410280808620459</v>
      </c>
      <c r="P1245">
        <f t="shared" si="325"/>
        <v>5.9685293782324178E-2</v>
      </c>
      <c r="Q1245">
        <f t="shared" si="326"/>
        <v>0.93329998768433631</v>
      </c>
      <c r="R1245">
        <f t="shared" si="332"/>
        <v>1</v>
      </c>
      <c r="AG1245" s="8">
        <f t="shared" si="320"/>
        <v>-0.85021715573927847</v>
      </c>
      <c r="AH1245" s="8">
        <f t="shared" si="321"/>
        <v>-0.18191537764513543</v>
      </c>
      <c r="AI1245" s="8">
        <f t="shared" si="322"/>
        <v>0.49400160269258186</v>
      </c>
      <c r="AJ1245" s="8"/>
      <c r="AK1245" s="8"/>
      <c r="AL1245" s="8"/>
      <c r="AN1245" s="8">
        <f t="shared" si="327"/>
        <v>1.0000000000000002</v>
      </c>
      <c r="AO1245" s="8">
        <f t="shared" si="328"/>
        <v>3.3523778298590852</v>
      </c>
      <c r="AP1245" s="8">
        <f t="shared" si="329"/>
        <v>1.0541101647859432</v>
      </c>
      <c r="AQ1245" s="8"/>
      <c r="AR1245" s="8">
        <f t="shared" si="330"/>
        <v>192.07710098415154</v>
      </c>
      <c r="AS1245" s="8">
        <f t="shared" si="331"/>
        <v>29.603936415925723</v>
      </c>
    </row>
    <row r="1246" spans="1:45">
      <c r="A1246" s="19">
        <v>53.5535</v>
      </c>
      <c r="B1246" s="19">
        <v>375.5832077</v>
      </c>
      <c r="C1246" s="19">
        <v>441.3998856</v>
      </c>
      <c r="E1246" s="9">
        <f t="shared" si="317"/>
        <v>-584.4167923</v>
      </c>
      <c r="F1246" s="9">
        <f t="shared" si="318"/>
        <v>98.600114399999995</v>
      </c>
      <c r="I1246">
        <v>1</v>
      </c>
      <c r="J1246">
        <f t="shared" si="319"/>
        <v>0.36765501696443148</v>
      </c>
      <c r="K1246">
        <f t="shared" si="323"/>
        <v>2.9744512761498672</v>
      </c>
      <c r="O1246">
        <f t="shared" si="324"/>
        <v>-0.354419289426184</v>
      </c>
      <c r="P1246">
        <f t="shared" si="325"/>
        <v>5.9795993105293453E-2</v>
      </c>
      <c r="Q1246">
        <f t="shared" si="326"/>
        <v>0.93317276347479761</v>
      </c>
      <c r="R1246">
        <f t="shared" si="332"/>
        <v>1</v>
      </c>
      <c r="AG1246" s="8">
        <f t="shared" si="320"/>
        <v>-0.85030093163191478</v>
      </c>
      <c r="AH1246" s="8">
        <f t="shared" si="321"/>
        <v>-0.18156706049292637</v>
      </c>
      <c r="AI1246" s="8">
        <f t="shared" si="322"/>
        <v>0.493985554657073</v>
      </c>
      <c r="AJ1246" s="8"/>
      <c r="AK1246" s="8"/>
      <c r="AL1246" s="8"/>
      <c r="AN1246" s="8">
        <f t="shared" si="327"/>
        <v>1.0000000000000002</v>
      </c>
      <c r="AO1246" s="8">
        <f t="shared" si="328"/>
        <v>3.3519659283171541</v>
      </c>
      <c r="AP1246" s="8">
        <f t="shared" si="329"/>
        <v>1.0541286221422954</v>
      </c>
      <c r="AQ1246" s="8"/>
      <c r="AR1246" s="8">
        <f t="shared" si="330"/>
        <v>192.05350076422397</v>
      </c>
      <c r="AS1246" s="8">
        <f t="shared" si="331"/>
        <v>29.602878887305771</v>
      </c>
    </row>
    <row r="1247" spans="1:45">
      <c r="A1247" s="19">
        <v>53.586866669999999</v>
      </c>
      <c r="B1247" s="19">
        <v>374.84605770000002</v>
      </c>
      <c r="C1247" s="19">
        <v>441.33632510000001</v>
      </c>
      <c r="E1247" s="9">
        <f t="shared" si="317"/>
        <v>-585.15394229999993</v>
      </c>
      <c r="F1247" s="9">
        <f t="shared" si="318"/>
        <v>98.66367489999999</v>
      </c>
      <c r="I1247">
        <v>1</v>
      </c>
      <c r="J1247">
        <f t="shared" si="319"/>
        <v>0.36807604898729368</v>
      </c>
      <c r="K1247">
        <f t="shared" si="323"/>
        <v>2.9745523197796491</v>
      </c>
      <c r="O1247">
        <f t="shared" si="324"/>
        <v>-0.35481272516560031</v>
      </c>
      <c r="P1247">
        <f t="shared" si="325"/>
        <v>5.9825500326500691E-2</v>
      </c>
      <c r="Q1247">
        <f t="shared" si="326"/>
        <v>0.93302135000826436</v>
      </c>
      <c r="R1247">
        <f t="shared" si="332"/>
        <v>1</v>
      </c>
      <c r="AG1247" s="8">
        <f t="shared" si="320"/>
        <v>-0.85044481132218452</v>
      </c>
      <c r="AH1247" s="8">
        <f t="shared" si="321"/>
        <v>-0.18118444713973864</v>
      </c>
      <c r="AI1247" s="8">
        <f t="shared" si="322"/>
        <v>0.49387834434184458</v>
      </c>
      <c r="AJ1247" s="8"/>
      <c r="AK1247" s="8"/>
      <c r="AL1247" s="8"/>
      <c r="AN1247" s="8">
        <f t="shared" si="327"/>
        <v>1.0000000000000004</v>
      </c>
      <c r="AO1247" s="8">
        <f t="shared" si="328"/>
        <v>3.351501052920014</v>
      </c>
      <c r="AP1247" s="8">
        <f t="shared" si="329"/>
        <v>1.0542519231726912</v>
      </c>
      <c r="AQ1247" s="8"/>
      <c r="AR1247" s="8">
        <f t="shared" si="330"/>
        <v>192.02686536596838</v>
      </c>
      <c r="AS1247" s="8">
        <f t="shared" si="331"/>
        <v>29.595814258654478</v>
      </c>
    </row>
    <row r="1248" spans="1:45">
      <c r="A1248" s="19">
        <v>53.620233329999998</v>
      </c>
      <c r="B1248" s="19">
        <v>374.51954460000002</v>
      </c>
      <c r="C1248" s="19">
        <v>441.26092060000002</v>
      </c>
      <c r="E1248" s="9">
        <f t="shared" ref="E1248:E1272" si="333">(B1248-($B$15/2))</f>
        <v>-585.48045539999998</v>
      </c>
      <c r="F1248" s="9">
        <f t="shared" ref="F1248:F1272" si="334">(($C$15/2)-C1248)</f>
        <v>98.73907939999998</v>
      </c>
      <c r="I1248">
        <v>1</v>
      </c>
      <c r="J1248">
        <f t="shared" ref="J1248:J1272" si="335">ATAN((SQRT(E1248^2+F1248^2)^$B$16)/($F$24))</f>
        <v>0.36826698359159898</v>
      </c>
      <c r="K1248">
        <f t="shared" si="323"/>
        <v>2.9745185219696459</v>
      </c>
      <c r="O1248">
        <f t="shared" si="324"/>
        <v>-0.35498636200033806</v>
      </c>
      <c r="P1248">
        <f t="shared" si="325"/>
        <v>5.9867116417270855E-2</v>
      </c>
      <c r="Q1248">
        <f t="shared" si="326"/>
        <v>0.93295263071907664</v>
      </c>
      <c r="R1248">
        <f t="shared" si="332"/>
        <v>1</v>
      </c>
      <c r="AG1248" s="8">
        <f t="shared" ref="AG1248:AG1272" si="336">$O1248*$Z$27+$P1248*$Z$31+$Q1248*$Z$35</f>
        <v>-0.85049772557857284</v>
      </c>
      <c r="AH1248" s="8">
        <f t="shared" ref="AH1248:AH1272" si="337">$O1248*$AA$27+$P1248*$AA$31+$Q1248*$AA$35</f>
        <v>-0.18100220051687349</v>
      </c>
      <c r="AI1248" s="8">
        <f t="shared" ref="AI1248:AI1272" si="338">$AB$27*$O1248+$P1248*$AB$31+$AB$35*$Q1248</f>
        <v>0.4938540494860037</v>
      </c>
      <c r="AJ1248" s="8"/>
      <c r="AK1248" s="8"/>
      <c r="AL1248" s="8"/>
      <c r="AN1248" s="8">
        <f t="shared" si="327"/>
        <v>1</v>
      </c>
      <c r="AO1248" s="8">
        <f t="shared" si="328"/>
        <v>3.3512833849289687</v>
      </c>
      <c r="AP1248" s="8">
        <f t="shared" si="329"/>
        <v>1.054279863134274</v>
      </c>
      <c r="AQ1248" s="8"/>
      <c r="AR1248" s="8">
        <f t="shared" si="330"/>
        <v>192.0143939087464</v>
      </c>
      <c r="AS1248" s="8">
        <f t="shared" si="331"/>
        <v>29.594213416776029</v>
      </c>
    </row>
    <row r="1249" spans="1:45">
      <c r="A1249" s="19">
        <v>53.653599999999997</v>
      </c>
      <c r="B1249" s="19">
        <v>373.8552565</v>
      </c>
      <c r="C1249" s="19">
        <v>441.21274649999998</v>
      </c>
      <c r="E1249" s="9">
        <f t="shared" si="333"/>
        <v>-586.1447435</v>
      </c>
      <c r="F1249" s="9">
        <f t="shared" si="334"/>
        <v>98.78725350000002</v>
      </c>
      <c r="I1249">
        <v>1</v>
      </c>
      <c r="J1249">
        <f t="shared" si="335"/>
        <v>0.3686453712074747</v>
      </c>
      <c r="K1249">
        <f t="shared" ref="K1249:K1272" si="339">ATAN2(E1249,F1249)</f>
        <v>2.9746244527582735</v>
      </c>
      <c r="O1249">
        <f t="shared" ref="O1249:O1272" si="340">COS(K1249)*SIN(J1249)</f>
        <v>-0.35534078471962011</v>
      </c>
      <c r="P1249">
        <f t="shared" ref="P1249:P1272" si="341">SIN(K1249)*SIN(J1249)</f>
        <v>5.9888177055683334E-2</v>
      </c>
      <c r="Q1249">
        <f t="shared" ref="Q1249:Q1272" si="342">COS(J1249)</f>
        <v>0.93281634471303709</v>
      </c>
      <c r="R1249">
        <f t="shared" si="332"/>
        <v>1</v>
      </c>
      <c r="AG1249" s="8">
        <f t="shared" si="336"/>
        <v>-0.85062920908189987</v>
      </c>
      <c r="AH1249" s="8">
        <f t="shared" si="337"/>
        <v>-0.18065998384426557</v>
      </c>
      <c r="AI1249" s="8">
        <f t="shared" si="338"/>
        <v>0.49375289254250576</v>
      </c>
      <c r="AJ1249" s="8"/>
      <c r="AK1249" s="8"/>
      <c r="AL1249" s="8"/>
      <c r="AN1249" s="8">
        <f t="shared" ref="AN1249:AN1272" si="343">AG1249^2+AH1249^2+AI1249^2</f>
        <v>1</v>
      </c>
      <c r="AO1249" s="8">
        <f t="shared" ref="AO1249:AO1272" si="344">IF(ATAN2(AG1249,AH1249)&gt;=0,ATAN2(AG1249,AH1249),ATAN2(AG1249,AH1249)+2*PI())</f>
        <v>3.3508669993838534</v>
      </c>
      <c r="AP1249" s="8">
        <f t="shared" ref="AP1249:AP1272" si="345">ACOS(AI1249/AN1249)</f>
        <v>1.0543961925067644</v>
      </c>
      <c r="AQ1249" s="8"/>
      <c r="AR1249" s="8">
        <f t="shared" ref="AR1249:AR1272" si="346">DEGREES(AO1249)</f>
        <v>191.99053677436103</v>
      </c>
      <c r="AS1249" s="8">
        <f t="shared" ref="AS1249:AS1272" si="347">90-DEGREES(AP1249)</f>
        <v>29.587548234698922</v>
      </c>
    </row>
    <row r="1250" spans="1:45">
      <c r="A1250" s="19">
        <v>53.686966669999997</v>
      </c>
      <c r="B1250" s="19">
        <v>373.34705120000001</v>
      </c>
      <c r="C1250" s="19">
        <v>441.18832420000001</v>
      </c>
      <c r="E1250" s="9">
        <f t="shared" si="333"/>
        <v>-586.65294879999999</v>
      </c>
      <c r="F1250" s="9">
        <f t="shared" si="334"/>
        <v>98.811675799999989</v>
      </c>
      <c r="I1250">
        <v>1</v>
      </c>
      <c r="J1250">
        <f t="shared" si="335"/>
        <v>0.36893360429688948</v>
      </c>
      <c r="K1250">
        <f t="shared" si="339"/>
        <v>2.9747259422329053</v>
      </c>
      <c r="O1250">
        <f t="shared" si="340"/>
        <v>-0.3556119801044193</v>
      </c>
      <c r="P1250">
        <f t="shared" si="341"/>
        <v>5.989676820094416E-2</v>
      </c>
      <c r="Q1250">
        <f t="shared" si="342"/>
        <v>0.93271244055458835</v>
      </c>
      <c r="R1250">
        <f t="shared" si="332"/>
        <v>1</v>
      </c>
      <c r="AG1250" s="8">
        <f t="shared" si="336"/>
        <v>-0.85073251996763843</v>
      </c>
      <c r="AH1250" s="8">
        <f t="shared" si="337"/>
        <v>-0.18040158977453447</v>
      </c>
      <c r="AI1250" s="8">
        <f t="shared" si="338"/>
        <v>0.49366936898731367</v>
      </c>
      <c r="AJ1250" s="8"/>
      <c r="AK1250" s="8"/>
      <c r="AL1250" s="8"/>
      <c r="AN1250" s="8">
        <f t="shared" si="343"/>
        <v>1.0000000000000002</v>
      </c>
      <c r="AO1250" s="8">
        <f t="shared" si="344"/>
        <v>3.3505516778557975</v>
      </c>
      <c r="AP1250" s="8">
        <f t="shared" si="345"/>
        <v>1.0544922378855794</v>
      </c>
      <c r="AQ1250" s="8"/>
      <c r="AR1250" s="8">
        <f t="shared" si="346"/>
        <v>191.9724701816138</v>
      </c>
      <c r="AS1250" s="8">
        <f t="shared" si="347"/>
        <v>29.582045239851084</v>
      </c>
    </row>
    <row r="1251" spans="1:45">
      <c r="A1251" s="19">
        <v>53.720333330000003</v>
      </c>
      <c r="B1251" s="19">
        <v>372.75724750000001</v>
      </c>
      <c r="C1251" s="19">
        <v>441.26515339999997</v>
      </c>
      <c r="E1251" s="9">
        <f t="shared" si="333"/>
        <v>-587.24275250000005</v>
      </c>
      <c r="F1251" s="9">
        <f t="shared" si="334"/>
        <v>98.734846600000026</v>
      </c>
      <c r="I1251">
        <v>1</v>
      </c>
      <c r="J1251">
        <f t="shared" si="335"/>
        <v>0.36925809251216546</v>
      </c>
      <c r="K1251">
        <f t="shared" si="339"/>
        <v>2.9750176783678666</v>
      </c>
      <c r="O1251">
        <f t="shared" si="340"/>
        <v>-0.35592788528354596</v>
      </c>
      <c r="P1251">
        <f t="shared" si="341"/>
        <v>5.9843199434178415E-2</v>
      </c>
      <c r="Q1251">
        <f t="shared" si="342"/>
        <v>0.93259537418918403</v>
      </c>
      <c r="R1251">
        <f t="shared" si="332"/>
        <v>1</v>
      </c>
      <c r="AG1251" s="8">
        <f t="shared" si="336"/>
        <v>-0.85087622921578288</v>
      </c>
      <c r="AH1251" s="8">
        <f t="shared" si="337"/>
        <v>-0.18013023506996018</v>
      </c>
      <c r="AI1251" s="8">
        <f t="shared" si="338"/>
        <v>0.49352076042368431</v>
      </c>
      <c r="AJ1251" s="8"/>
      <c r="AK1251" s="8"/>
      <c r="AL1251" s="8"/>
      <c r="AN1251" s="8">
        <f t="shared" si="343"/>
        <v>1.0000000000000002</v>
      </c>
      <c r="AO1251" s="8">
        <f t="shared" si="344"/>
        <v>3.3502121909337421</v>
      </c>
      <c r="AP1251" s="8">
        <f t="shared" si="345"/>
        <v>1.0546631128502779</v>
      </c>
      <c r="AQ1251" s="8"/>
      <c r="AR1251" s="8">
        <f t="shared" si="346"/>
        <v>191.95301901378014</v>
      </c>
      <c r="AS1251" s="8">
        <f t="shared" si="347"/>
        <v>29.572254825549415</v>
      </c>
    </row>
    <row r="1252" spans="1:45">
      <c r="A1252" s="19">
        <v>53.753700000000002</v>
      </c>
      <c r="B1252" s="19">
        <v>372.6294054</v>
      </c>
      <c r="C1252" s="19">
        <v>441.27055589999998</v>
      </c>
      <c r="E1252" s="9">
        <f t="shared" si="333"/>
        <v>-587.3705946</v>
      </c>
      <c r="F1252" s="9">
        <f t="shared" si="334"/>
        <v>98.729444100000023</v>
      </c>
      <c r="I1252">
        <v>1</v>
      </c>
      <c r="J1252">
        <f t="shared" si="335"/>
        <v>0.36932948344852695</v>
      </c>
      <c r="K1252">
        <f t="shared" si="339"/>
        <v>2.9750622119629755</v>
      </c>
      <c r="O1252">
        <f t="shared" si="340"/>
        <v>-0.35599620684955352</v>
      </c>
      <c r="P1252">
        <f t="shared" si="341"/>
        <v>5.983838470480534E-2</v>
      </c>
      <c r="Q1252">
        <f t="shared" si="342"/>
        <v>0.93256960513660836</v>
      </c>
      <c r="R1252">
        <f t="shared" si="332"/>
        <v>1</v>
      </c>
      <c r="AG1252" s="8">
        <f t="shared" si="336"/>
        <v>-0.85090480175491645</v>
      </c>
      <c r="AH1252" s="8">
        <f t="shared" si="337"/>
        <v>-0.1800683777921836</v>
      </c>
      <c r="AI1252" s="8">
        <f t="shared" si="338"/>
        <v>0.493494070551732</v>
      </c>
      <c r="AJ1252" s="8"/>
      <c r="AK1252" s="8"/>
      <c r="AL1252" s="8"/>
      <c r="AN1252" s="8">
        <f t="shared" si="343"/>
        <v>1</v>
      </c>
      <c r="AO1252" s="8">
        <f t="shared" si="344"/>
        <v>3.3501358083141066</v>
      </c>
      <c r="AP1252" s="8">
        <f t="shared" si="345"/>
        <v>1.0546937999788522</v>
      </c>
      <c r="AQ1252" s="8"/>
      <c r="AR1252" s="8">
        <f t="shared" si="346"/>
        <v>191.94864261204688</v>
      </c>
      <c r="AS1252" s="8">
        <f t="shared" si="347"/>
        <v>29.570496582596739</v>
      </c>
    </row>
    <row r="1253" spans="1:45">
      <c r="A1253" s="19">
        <v>53.787066670000002</v>
      </c>
      <c r="B1253" s="19">
        <v>371.97134019999999</v>
      </c>
      <c r="C1253" s="19">
        <v>441.24602090000002</v>
      </c>
      <c r="E1253" s="9">
        <f t="shared" si="333"/>
        <v>-588.02865980000001</v>
      </c>
      <c r="F1253" s="9">
        <f t="shared" si="334"/>
        <v>98.753979099999981</v>
      </c>
      <c r="I1253">
        <v>1</v>
      </c>
      <c r="J1253">
        <f t="shared" si="335"/>
        <v>0.36970185901731245</v>
      </c>
      <c r="K1253">
        <f t="shared" si="339"/>
        <v>2.975204576039832</v>
      </c>
      <c r="O1253">
        <f t="shared" si="340"/>
        <v>-0.356347167574942</v>
      </c>
      <c r="P1253">
        <f t="shared" si="341"/>
        <v>5.9845213583652655E-2</v>
      </c>
      <c r="Q1253">
        <f t="shared" si="342"/>
        <v>0.9324351165483008</v>
      </c>
      <c r="R1253">
        <f t="shared" si="332"/>
        <v>1</v>
      </c>
      <c r="AG1253" s="8">
        <f t="shared" si="336"/>
        <v>-0.85103987613443799</v>
      </c>
      <c r="AH1253" s="8">
        <f t="shared" si="337"/>
        <v>-0.17973583587668063</v>
      </c>
      <c r="AI1253" s="8">
        <f t="shared" si="338"/>
        <v>0.49338236544367053</v>
      </c>
      <c r="AJ1253" s="8"/>
      <c r="AK1253" s="8"/>
      <c r="AL1253" s="8"/>
      <c r="AN1253" s="8">
        <f t="shared" si="343"/>
        <v>1.0000000000000002</v>
      </c>
      <c r="AO1253" s="8">
        <f t="shared" si="344"/>
        <v>3.3497296265006793</v>
      </c>
      <c r="AP1253" s="8">
        <f t="shared" si="345"/>
        <v>1.0548222290059579</v>
      </c>
      <c r="AQ1253" s="8"/>
      <c r="AR1253" s="8">
        <f t="shared" si="346"/>
        <v>191.92537010842253</v>
      </c>
      <c r="AS1253" s="8">
        <f t="shared" si="347"/>
        <v>29.563138141376605</v>
      </c>
    </row>
    <row r="1254" spans="1:45">
      <c r="A1254" s="19">
        <v>53.82043333</v>
      </c>
      <c r="B1254" s="19">
        <v>370.8945124</v>
      </c>
      <c r="C1254" s="19">
        <v>441.0219348</v>
      </c>
      <c r="E1254" s="9">
        <f t="shared" si="333"/>
        <v>-589.10548760000006</v>
      </c>
      <c r="F1254" s="9">
        <f t="shared" si="334"/>
        <v>98.978065200000003</v>
      </c>
      <c r="I1254">
        <v>1</v>
      </c>
      <c r="J1254">
        <f t="shared" si="335"/>
        <v>0.37032834088721578</v>
      </c>
      <c r="K1254">
        <f t="shared" si="339"/>
        <v>2.9751331861967585</v>
      </c>
      <c r="O1254">
        <f t="shared" si="340"/>
        <v>-0.35691890364011397</v>
      </c>
      <c r="P1254">
        <f t="shared" si="341"/>
        <v>5.9967430722001204E-2</v>
      </c>
      <c r="Q1254">
        <f t="shared" si="342"/>
        <v>0.93220856222035475</v>
      </c>
      <c r="R1254">
        <f t="shared" si="332"/>
        <v>1</v>
      </c>
      <c r="AG1254" s="8">
        <f t="shared" si="336"/>
        <v>-0.85121872692859302</v>
      </c>
      <c r="AH1254" s="8">
        <f t="shared" si="337"/>
        <v>-0.17914204618990442</v>
      </c>
      <c r="AI1254" s="8">
        <f t="shared" si="338"/>
        <v>0.49328977914909167</v>
      </c>
      <c r="AJ1254" s="8"/>
      <c r="AK1254" s="8"/>
      <c r="AL1254" s="8"/>
      <c r="AN1254" s="8">
        <f t="shared" si="343"/>
        <v>1</v>
      </c>
      <c r="AO1254" s="8">
        <f t="shared" si="344"/>
        <v>3.3490192501065592</v>
      </c>
      <c r="AP1254" s="8">
        <f t="shared" si="345"/>
        <v>1.0549286697577145</v>
      </c>
      <c r="AQ1254" s="8"/>
      <c r="AR1254" s="8">
        <f t="shared" si="346"/>
        <v>191.88466853917373</v>
      </c>
      <c r="AS1254" s="8">
        <f t="shared" si="347"/>
        <v>29.557039535532752</v>
      </c>
    </row>
    <row r="1255" spans="1:45">
      <c r="A1255" s="19">
        <v>53.8538</v>
      </c>
      <c r="B1255" s="19">
        <v>370.14198160000001</v>
      </c>
      <c r="C1255" s="19">
        <v>440.84234379999998</v>
      </c>
      <c r="E1255" s="9">
        <f t="shared" si="333"/>
        <v>-589.85801839999999</v>
      </c>
      <c r="F1255" s="9">
        <f t="shared" si="334"/>
        <v>99.157656200000019</v>
      </c>
      <c r="I1255">
        <v>1</v>
      </c>
      <c r="J1255">
        <f t="shared" si="335"/>
        <v>0.37076814915779255</v>
      </c>
      <c r="K1255">
        <f t="shared" si="339"/>
        <v>2.9750455462988068</v>
      </c>
      <c r="O1255">
        <f t="shared" si="340"/>
        <v>-0.357317932183841</v>
      </c>
      <c r="P1255">
        <f t="shared" si="341"/>
        <v>6.0066672942222468E-2</v>
      </c>
      <c r="Q1255">
        <f t="shared" si="342"/>
        <v>0.93204929598252262</v>
      </c>
      <c r="R1255">
        <f t="shared" si="332"/>
        <v>1</v>
      </c>
      <c r="AG1255" s="8">
        <f t="shared" si="336"/>
        <v>-0.85133823613576864</v>
      </c>
      <c r="AH1255" s="8">
        <f t="shared" si="337"/>
        <v>-0.17872098470596537</v>
      </c>
      <c r="AI1255" s="8">
        <f t="shared" si="338"/>
        <v>0.49323626926551989</v>
      </c>
      <c r="AJ1255" s="8"/>
      <c r="AK1255" s="8"/>
      <c r="AL1255" s="8"/>
      <c r="AN1255" s="8">
        <f t="shared" si="343"/>
        <v>1</v>
      </c>
      <c r="AO1255" s="8">
        <f t="shared" si="344"/>
        <v>3.3485172958542373</v>
      </c>
      <c r="AP1255" s="8">
        <f t="shared" si="345"/>
        <v>1.0549901838405131</v>
      </c>
      <c r="AQ1255" s="8"/>
      <c r="AR1255" s="8">
        <f t="shared" si="346"/>
        <v>191.85590867900703</v>
      </c>
      <c r="AS1255" s="8">
        <f t="shared" si="347"/>
        <v>29.553515038207777</v>
      </c>
    </row>
    <row r="1256" spans="1:45">
      <c r="A1256" s="19">
        <v>53.920533329999998</v>
      </c>
      <c r="B1256" s="19">
        <v>369.6566919</v>
      </c>
      <c r="C1256" s="19">
        <v>440.8452628</v>
      </c>
      <c r="E1256" s="9">
        <f t="shared" si="333"/>
        <v>-590.34330810000006</v>
      </c>
      <c r="F1256" s="9">
        <f t="shared" si="334"/>
        <v>99.1547372</v>
      </c>
      <c r="I1256">
        <v>1</v>
      </c>
      <c r="J1256">
        <f t="shared" si="335"/>
        <v>0.37104048741892515</v>
      </c>
      <c r="K1256">
        <f t="shared" si="339"/>
        <v>2.9751847500107931</v>
      </c>
      <c r="O1256">
        <f t="shared" si="340"/>
        <v>-0.35757660324337692</v>
      </c>
      <c r="P1256">
        <f t="shared" si="341"/>
        <v>6.0058975238624794E-2</v>
      </c>
      <c r="Q1256">
        <f t="shared" si="342"/>
        <v>0.93195058469117065</v>
      </c>
      <c r="R1256">
        <f t="shared" si="332"/>
        <v>1</v>
      </c>
      <c r="AG1256" s="8">
        <f t="shared" si="336"/>
        <v>-0.85144220821302818</v>
      </c>
      <c r="AH1256" s="8">
        <f t="shared" si="337"/>
        <v>-0.17848163053466515</v>
      </c>
      <c r="AI1256" s="8">
        <f t="shared" si="338"/>
        <v>0.4931434615150137</v>
      </c>
      <c r="AJ1256" s="8"/>
      <c r="AK1256" s="8"/>
      <c r="AL1256" s="8"/>
      <c r="AN1256" s="8">
        <f t="shared" si="343"/>
        <v>1.0000000000000002</v>
      </c>
      <c r="AO1256" s="8">
        <f t="shared" si="344"/>
        <v>3.3482234744967618</v>
      </c>
      <c r="AP1256" s="8">
        <f t="shared" si="345"/>
        <v>1.0550968690180986</v>
      </c>
      <c r="AQ1256" s="8"/>
      <c r="AR1256" s="8">
        <f t="shared" si="346"/>
        <v>191.83907395529289</v>
      </c>
      <c r="AS1256" s="8">
        <f t="shared" si="347"/>
        <v>29.547402427795525</v>
      </c>
    </row>
    <row r="1257" spans="1:45">
      <c r="A1257" s="19">
        <v>53.953899999999997</v>
      </c>
      <c r="B1257" s="19">
        <v>369.61552310000002</v>
      </c>
      <c r="C1257" s="19">
        <v>441.25041959999999</v>
      </c>
      <c r="E1257" s="9">
        <f t="shared" si="333"/>
        <v>-590.38447689999998</v>
      </c>
      <c r="F1257" s="9">
        <f t="shared" si="334"/>
        <v>98.749580400000013</v>
      </c>
      <c r="I1257">
        <v>1</v>
      </c>
      <c r="J1257">
        <f t="shared" si="335"/>
        <v>0.37102546629389727</v>
      </c>
      <c r="K1257">
        <f t="shared" si="339"/>
        <v>2.9758636486530392</v>
      </c>
      <c r="O1257">
        <f t="shared" si="340"/>
        <v>-0.35760348761489191</v>
      </c>
      <c r="P1257">
        <f t="shared" si="341"/>
        <v>5.9813893713754646E-2</v>
      </c>
      <c r="Q1257">
        <f t="shared" si="342"/>
        <v>0.9319560310253191</v>
      </c>
      <c r="R1257">
        <f t="shared" si="332"/>
        <v>1</v>
      </c>
      <c r="AG1257" s="8">
        <f t="shared" si="336"/>
        <v>-0.85154311069696142</v>
      </c>
      <c r="AH1257" s="8">
        <f t="shared" si="337"/>
        <v>-0.17857086862664695</v>
      </c>
      <c r="AI1257" s="8">
        <f t="shared" si="338"/>
        <v>0.49293688795064583</v>
      </c>
      <c r="AJ1257" s="8"/>
      <c r="AK1257" s="8"/>
      <c r="AL1257" s="8"/>
      <c r="AN1257" s="8">
        <f t="shared" si="343"/>
        <v>1.0000000000000002</v>
      </c>
      <c r="AO1257" s="8">
        <f t="shared" si="344"/>
        <v>3.3483000644922347</v>
      </c>
      <c r="AP1257" s="8">
        <f t="shared" si="345"/>
        <v>1.0553343081118778</v>
      </c>
      <c r="AQ1257" s="8"/>
      <c r="AR1257" s="8">
        <f t="shared" si="346"/>
        <v>191.8434622387864</v>
      </c>
      <c r="AS1257" s="8">
        <f t="shared" si="347"/>
        <v>29.533798169830568</v>
      </c>
    </row>
    <row r="1258" spans="1:45">
      <c r="A1258" s="19">
        <v>53.987266669999997</v>
      </c>
      <c r="B1258" s="19">
        <v>368.59992510000001</v>
      </c>
      <c r="C1258" s="19">
        <v>441.11093399999999</v>
      </c>
      <c r="E1258" s="9">
        <f t="shared" si="333"/>
        <v>-591.40007489999994</v>
      </c>
      <c r="F1258" s="9">
        <f t="shared" si="334"/>
        <v>98.889066000000014</v>
      </c>
      <c r="I1258">
        <v>1</v>
      </c>
      <c r="J1258">
        <f t="shared" si="335"/>
        <v>0.37160898194608571</v>
      </c>
      <c r="K1258">
        <f t="shared" si="339"/>
        <v>2.9759136314053092</v>
      </c>
      <c r="O1258">
        <f t="shared" si="340"/>
        <v>-0.35814278022898632</v>
      </c>
      <c r="P1258">
        <f t="shared" si="341"/>
        <v>5.9885695884425272E-2</v>
      </c>
      <c r="Q1258">
        <f t="shared" si="342"/>
        <v>0.93174430634068817</v>
      </c>
      <c r="R1258">
        <f t="shared" si="332"/>
        <v>1</v>
      </c>
      <c r="AG1258" s="8">
        <f t="shared" si="336"/>
        <v>-0.85172728678722598</v>
      </c>
      <c r="AH1258" s="8">
        <f t="shared" si="337"/>
        <v>-0.17803066974655146</v>
      </c>
      <c r="AI1258" s="8">
        <f t="shared" si="338"/>
        <v>0.49281407201059602</v>
      </c>
      <c r="AJ1258" s="8"/>
      <c r="AK1258" s="8"/>
      <c r="AL1258" s="8"/>
      <c r="AN1258" s="8">
        <f t="shared" si="343"/>
        <v>1</v>
      </c>
      <c r="AO1258" s="8">
        <f t="shared" si="344"/>
        <v>3.3476490167565194</v>
      </c>
      <c r="AP1258" s="8">
        <f t="shared" si="345"/>
        <v>1.0554754596581688</v>
      </c>
      <c r="AQ1258" s="8"/>
      <c r="AR1258" s="8">
        <f t="shared" si="346"/>
        <v>191.80615995126837</v>
      </c>
      <c r="AS1258" s="8">
        <f t="shared" si="347"/>
        <v>29.525710781956342</v>
      </c>
    </row>
    <row r="1259" spans="1:45">
      <c r="A1259" s="19">
        <v>54.020633330000003</v>
      </c>
      <c r="B1259" s="19">
        <v>367.8948383</v>
      </c>
      <c r="C1259" s="19">
        <v>441.15177799999998</v>
      </c>
      <c r="E1259" s="9">
        <f t="shared" si="333"/>
        <v>-592.10516170000005</v>
      </c>
      <c r="F1259" s="9">
        <f t="shared" si="334"/>
        <v>98.848222000000021</v>
      </c>
      <c r="I1259">
        <v>1</v>
      </c>
      <c r="J1259">
        <f t="shared" si="335"/>
        <v>0.37200102958106873</v>
      </c>
      <c r="K1259">
        <f t="shared" si="339"/>
        <v>2.9761744497108582</v>
      </c>
      <c r="O1259">
        <f t="shared" si="340"/>
        <v>-0.35851866161338314</v>
      </c>
      <c r="P1259">
        <f t="shared" si="341"/>
        <v>5.985242917415793E-2</v>
      </c>
      <c r="Q1259">
        <f t="shared" si="342"/>
        <v>0.93160187633822467</v>
      </c>
      <c r="R1259">
        <f t="shared" si="332"/>
        <v>1</v>
      </c>
      <c r="AG1259" s="8">
        <f t="shared" si="336"/>
        <v>-0.85188623489249549</v>
      </c>
      <c r="AH1259" s="8">
        <f t="shared" si="337"/>
        <v>-0.17769296606688562</v>
      </c>
      <c r="AI1259" s="8">
        <f t="shared" si="338"/>
        <v>0.49266119454554236</v>
      </c>
      <c r="AJ1259" s="8"/>
      <c r="AK1259" s="8"/>
      <c r="AL1259" s="8"/>
      <c r="AN1259" s="8">
        <f t="shared" si="343"/>
        <v>1</v>
      </c>
      <c r="AO1259" s="8">
        <f t="shared" si="344"/>
        <v>3.3472317887138532</v>
      </c>
      <c r="AP1259" s="8">
        <f t="shared" si="345"/>
        <v>1.0556511449527326</v>
      </c>
      <c r="AQ1259" s="8"/>
      <c r="AR1259" s="8">
        <f t="shared" si="346"/>
        <v>191.7822545453291</v>
      </c>
      <c r="AS1259" s="8">
        <f t="shared" si="347"/>
        <v>29.515644756055323</v>
      </c>
    </row>
    <row r="1260" spans="1:45">
      <c r="A1260" s="19">
        <v>54.054000000000002</v>
      </c>
      <c r="B1260" s="19">
        <v>367.08333329999999</v>
      </c>
      <c r="C1260" s="19">
        <v>441.33333329999999</v>
      </c>
      <c r="E1260" s="9">
        <f t="shared" si="333"/>
        <v>-592.91666669999995</v>
      </c>
      <c r="F1260" s="9">
        <f t="shared" si="334"/>
        <v>98.666666700000007</v>
      </c>
      <c r="I1260">
        <v>1</v>
      </c>
      <c r="J1260">
        <f t="shared" si="335"/>
        <v>0.37243955930862921</v>
      </c>
      <c r="K1260">
        <f t="shared" si="339"/>
        <v>2.9766946940893937</v>
      </c>
      <c r="O1260">
        <f t="shared" si="340"/>
        <v>-0.35895270987888683</v>
      </c>
      <c r="P1260">
        <f t="shared" si="341"/>
        <v>5.9732959749302914E-2</v>
      </c>
      <c r="Q1260">
        <f t="shared" si="342"/>
        <v>0.93144238983964645</v>
      </c>
      <c r="R1260">
        <f t="shared" si="332"/>
        <v>1</v>
      </c>
      <c r="AG1260" s="8">
        <f t="shared" si="336"/>
        <v>-0.8520995194151505</v>
      </c>
      <c r="AH1260" s="8">
        <f t="shared" si="337"/>
        <v>-0.17734075297229218</v>
      </c>
      <c r="AI1260" s="8">
        <f t="shared" si="338"/>
        <v>0.49241919778547438</v>
      </c>
      <c r="AJ1260" s="8"/>
      <c r="AK1260" s="8"/>
      <c r="AL1260" s="8"/>
      <c r="AN1260" s="8">
        <f t="shared" si="343"/>
        <v>1</v>
      </c>
      <c r="AO1260" s="8">
        <f t="shared" si="344"/>
        <v>3.3467856006831864</v>
      </c>
      <c r="AP1260" s="8">
        <f t="shared" si="345"/>
        <v>1.0559292095588948</v>
      </c>
      <c r="AQ1260" s="8"/>
      <c r="AR1260" s="8">
        <f t="shared" si="346"/>
        <v>191.75668985430264</v>
      </c>
      <c r="AS1260" s="8">
        <f t="shared" si="347"/>
        <v>29.499712827690267</v>
      </c>
    </row>
    <row r="1261" spans="1:45">
      <c r="A1261" s="19">
        <v>54.1541</v>
      </c>
      <c r="B1261" s="19">
        <v>365.83333329999999</v>
      </c>
      <c r="C1261" s="19">
        <v>441.08333329999999</v>
      </c>
      <c r="E1261" s="9">
        <f t="shared" si="333"/>
        <v>-594.16666669999995</v>
      </c>
      <c r="F1261" s="9">
        <f t="shared" si="334"/>
        <v>98.916666700000007</v>
      </c>
      <c r="I1261">
        <v>1</v>
      </c>
      <c r="J1261">
        <f t="shared" si="335"/>
        <v>0.37316427827645554</v>
      </c>
      <c r="K1261">
        <f t="shared" si="339"/>
        <v>2.9766259307754619</v>
      </c>
      <c r="O1261">
        <f t="shared" si="340"/>
        <v>-0.35961437685779979</v>
      </c>
      <c r="P1261">
        <f t="shared" si="341"/>
        <v>5.9868480427785066E-2</v>
      </c>
      <c r="Q1261">
        <f t="shared" si="342"/>
        <v>0.93117842812666374</v>
      </c>
      <c r="R1261">
        <f t="shared" si="332"/>
        <v>1</v>
      </c>
      <c r="AG1261" s="8">
        <f t="shared" si="336"/>
        <v>-0.85230721411728039</v>
      </c>
      <c r="AH1261" s="8">
        <f t="shared" si="337"/>
        <v>-0.17665524121016918</v>
      </c>
      <c r="AI1261" s="8">
        <f t="shared" si="338"/>
        <v>0.49230614308234799</v>
      </c>
      <c r="AJ1261" s="8"/>
      <c r="AK1261" s="8"/>
      <c r="AL1261" s="8"/>
      <c r="AN1261" s="8">
        <f t="shared" si="343"/>
        <v>1</v>
      </c>
      <c r="AO1261" s="8">
        <f t="shared" si="344"/>
        <v>3.3459659408838482</v>
      </c>
      <c r="AP1261" s="8">
        <f t="shared" si="345"/>
        <v>1.0560590992459638</v>
      </c>
      <c r="AQ1261" s="8"/>
      <c r="AR1261" s="8">
        <f t="shared" si="346"/>
        <v>191.709726807164</v>
      </c>
      <c r="AS1261" s="8">
        <f t="shared" si="347"/>
        <v>29.492270696818942</v>
      </c>
    </row>
    <row r="1262" spans="1:45">
      <c r="A1262" s="19">
        <v>54.187466669999999</v>
      </c>
      <c r="B1262" s="19">
        <v>365.41666670000001</v>
      </c>
      <c r="C1262" s="19">
        <v>440.75</v>
      </c>
      <c r="E1262" s="9">
        <f t="shared" si="333"/>
        <v>-594.58333330000005</v>
      </c>
      <c r="F1262" s="9">
        <f t="shared" si="334"/>
        <v>99.25</v>
      </c>
      <c r="I1262">
        <v>1</v>
      </c>
      <c r="J1262">
        <f t="shared" si="335"/>
        <v>0.37342913701609198</v>
      </c>
      <c r="K1262">
        <f t="shared" si="339"/>
        <v>2.9761939818529588</v>
      </c>
      <c r="O1262">
        <f t="shared" si="340"/>
        <v>-0.35983173549346986</v>
      </c>
      <c r="P1262">
        <f t="shared" si="341"/>
        <v>6.0064414435423846E-2</v>
      </c>
      <c r="Q1262">
        <f t="shared" si="342"/>
        <v>0.93108183756868934</v>
      </c>
      <c r="R1262">
        <f t="shared" si="332"/>
        <v>1</v>
      </c>
      <c r="AG1262" s="8">
        <f t="shared" si="336"/>
        <v>-0.85231949856974665</v>
      </c>
      <c r="AH1262" s="8">
        <f t="shared" si="337"/>
        <v>-0.17635924402769759</v>
      </c>
      <c r="AI1262" s="8">
        <f t="shared" si="338"/>
        <v>0.49239099240724832</v>
      </c>
      <c r="AJ1262" s="8"/>
      <c r="AK1262" s="8"/>
      <c r="AL1262" s="8"/>
      <c r="AN1262" s="8">
        <f t="shared" si="343"/>
        <v>1.0000000000000002</v>
      </c>
      <c r="AO1262" s="8">
        <f t="shared" si="344"/>
        <v>3.34563007361694</v>
      </c>
      <c r="AP1262" s="8">
        <f t="shared" si="345"/>
        <v>1.0559616158955449</v>
      </c>
      <c r="AQ1262" s="8"/>
      <c r="AR1262" s="8">
        <f t="shared" si="346"/>
        <v>191.69048303029356</v>
      </c>
      <c r="AS1262" s="8">
        <f t="shared" si="347"/>
        <v>29.497856081370735</v>
      </c>
    </row>
    <row r="1263" spans="1:45">
      <c r="A1263" s="19">
        <v>54.220833329999998</v>
      </c>
      <c r="B1263" s="19">
        <v>364.58333329999999</v>
      </c>
      <c r="C1263" s="19">
        <v>441.25</v>
      </c>
      <c r="E1263" s="9">
        <f t="shared" si="333"/>
        <v>-595.41666669999995</v>
      </c>
      <c r="F1263" s="9">
        <f t="shared" si="334"/>
        <v>98.75</v>
      </c>
      <c r="I1263">
        <v>1</v>
      </c>
      <c r="J1263">
        <f t="shared" si="335"/>
        <v>0.37384977547612974</v>
      </c>
      <c r="K1263">
        <f t="shared" si="339"/>
        <v>2.9772384374856751</v>
      </c>
      <c r="O1263">
        <f t="shared" si="340"/>
        <v>-0.3602806130367372</v>
      </c>
      <c r="P1263">
        <f t="shared" si="341"/>
        <v>5.9752627911075211E-2</v>
      </c>
      <c r="Q1263">
        <f t="shared" si="342"/>
        <v>0.93092830192641229</v>
      </c>
      <c r="R1263">
        <f t="shared" si="332"/>
        <v>1</v>
      </c>
      <c r="AG1263" s="8">
        <f t="shared" si="336"/>
        <v>-0.85260901485732554</v>
      </c>
      <c r="AH1263" s="8">
        <f t="shared" si="337"/>
        <v>-0.17608257559741436</v>
      </c>
      <c r="AI1263" s="8">
        <f t="shared" si="338"/>
        <v>0.4919886120175973</v>
      </c>
      <c r="AJ1263" s="8"/>
      <c r="AK1263" s="8"/>
      <c r="AL1263" s="8"/>
      <c r="AN1263" s="8">
        <f t="shared" si="343"/>
        <v>1.0000000000000002</v>
      </c>
      <c r="AO1263" s="8">
        <f t="shared" si="344"/>
        <v>3.3452514934694642</v>
      </c>
      <c r="AP1263" s="8">
        <f t="shared" si="345"/>
        <v>1.0564238628639471</v>
      </c>
      <c r="AQ1263" s="8"/>
      <c r="AR1263" s="8">
        <f t="shared" si="346"/>
        <v>191.66879198563578</v>
      </c>
      <c r="AS1263" s="8">
        <f t="shared" si="347"/>
        <v>29.471371280988571</v>
      </c>
    </row>
    <row r="1264" spans="1:45">
      <c r="A1264" s="19">
        <v>54.254199999999997</v>
      </c>
      <c r="B1264" s="19">
        <v>364.47447599999998</v>
      </c>
      <c r="C1264" s="19">
        <v>441.24330900000001</v>
      </c>
      <c r="E1264" s="9">
        <f t="shared" si="333"/>
        <v>-595.52552400000002</v>
      </c>
      <c r="F1264" s="9">
        <f t="shared" si="334"/>
        <v>98.756690999999989</v>
      </c>
      <c r="I1264">
        <v>1</v>
      </c>
      <c r="J1264">
        <f t="shared" si="335"/>
        <v>0.37391143323202142</v>
      </c>
      <c r="K1264">
        <f t="shared" si="339"/>
        <v>2.9772570073977049</v>
      </c>
      <c r="O1264">
        <f t="shared" si="340"/>
        <v>-0.36033834751961147</v>
      </c>
      <c r="P1264">
        <f t="shared" si="341"/>
        <v>5.9755327701865105E-2</v>
      </c>
      <c r="Q1264">
        <f t="shared" si="342"/>
        <v>0.93090578262146295</v>
      </c>
      <c r="R1264">
        <f t="shared" si="332"/>
        <v>1</v>
      </c>
      <c r="AG1264" s="8">
        <f t="shared" si="336"/>
        <v>-0.85263045264824433</v>
      </c>
      <c r="AH1264" s="8">
        <f t="shared" si="337"/>
        <v>-0.17602698604000661</v>
      </c>
      <c r="AI1264" s="8">
        <f t="shared" si="338"/>
        <v>0.49197135221730293</v>
      </c>
      <c r="AJ1264" s="8"/>
      <c r="AK1264" s="8"/>
      <c r="AL1264" s="8"/>
      <c r="AN1264" s="8">
        <f t="shared" si="343"/>
        <v>1.0000000000000002</v>
      </c>
      <c r="AO1264" s="8">
        <f t="shared" si="344"/>
        <v>3.3451839816353894</v>
      </c>
      <c r="AP1264" s="8">
        <f t="shared" si="345"/>
        <v>1.0564436878940549</v>
      </c>
      <c r="AQ1264" s="8"/>
      <c r="AR1264" s="8">
        <f t="shared" si="346"/>
        <v>191.6649238424761</v>
      </c>
      <c r="AS1264" s="8">
        <f t="shared" si="347"/>
        <v>29.470235390434674</v>
      </c>
    </row>
    <row r="1265" spans="1:45">
      <c r="A1265" s="19">
        <v>54.287566669999997</v>
      </c>
      <c r="B1265" s="19">
        <v>363.7479687</v>
      </c>
      <c r="C1265" s="19">
        <v>441.12083890000002</v>
      </c>
      <c r="E1265" s="9">
        <f t="shared" si="333"/>
        <v>-596.2520313</v>
      </c>
      <c r="F1265" s="9">
        <f t="shared" si="334"/>
        <v>98.879161099999976</v>
      </c>
      <c r="I1265">
        <v>1</v>
      </c>
      <c r="J1265">
        <f t="shared" si="335"/>
        <v>0.37433009287405267</v>
      </c>
      <c r="K1265">
        <f t="shared" si="339"/>
        <v>2.9772537550498126</v>
      </c>
      <c r="O1265">
        <f t="shared" si="340"/>
        <v>-0.36072260328905476</v>
      </c>
      <c r="P1265">
        <f t="shared" si="341"/>
        <v>5.9820254742383873E-2</v>
      </c>
      <c r="Q1265">
        <f t="shared" si="342"/>
        <v>0.93075278167670472</v>
      </c>
      <c r="R1265">
        <f t="shared" si="332"/>
        <v>1</v>
      </c>
      <c r="AG1265" s="8">
        <f t="shared" si="336"/>
        <v>-0.85275574353810224</v>
      </c>
      <c r="AH1265" s="8">
        <f t="shared" si="337"/>
        <v>-0.17563501749503541</v>
      </c>
      <c r="AI1265" s="8">
        <f t="shared" si="338"/>
        <v>0.49189427979221018</v>
      </c>
      <c r="AJ1265" s="8"/>
      <c r="AK1265" s="8"/>
      <c r="AL1265" s="8"/>
      <c r="AN1265" s="8">
        <f t="shared" si="343"/>
        <v>1.0000000000000002</v>
      </c>
      <c r="AO1265" s="8">
        <f t="shared" si="344"/>
        <v>3.3447139843784299</v>
      </c>
      <c r="AP1265" s="8">
        <f t="shared" si="345"/>
        <v>1.0565322124626291</v>
      </c>
      <c r="AQ1265" s="8"/>
      <c r="AR1265" s="8">
        <f t="shared" si="346"/>
        <v>191.63799498326961</v>
      </c>
      <c r="AS1265" s="8">
        <f t="shared" si="347"/>
        <v>29.46516330627216</v>
      </c>
    </row>
    <row r="1266" spans="1:45">
      <c r="A1266" s="19">
        <v>54.320933330000003</v>
      </c>
      <c r="B1266" s="19">
        <v>363.46612219999997</v>
      </c>
      <c r="C1266" s="19">
        <v>441.21873140000002</v>
      </c>
      <c r="E1266" s="9">
        <f t="shared" si="333"/>
        <v>-596.53387780000003</v>
      </c>
      <c r="F1266" s="9">
        <f t="shared" si="334"/>
        <v>98.781268599999976</v>
      </c>
      <c r="I1266">
        <v>1</v>
      </c>
      <c r="J1266">
        <f t="shared" si="335"/>
        <v>0.3744789706175698</v>
      </c>
      <c r="K1266">
        <f t="shared" si="339"/>
        <v>2.9774897295656135</v>
      </c>
      <c r="O1266">
        <f t="shared" si="340"/>
        <v>-0.3608734120531451</v>
      </c>
      <c r="P1266">
        <f t="shared" si="341"/>
        <v>5.9757768625123768E-2</v>
      </c>
      <c r="Q1266">
        <f t="shared" si="342"/>
        <v>0.93069833435010896</v>
      </c>
      <c r="R1266">
        <f t="shared" si="332"/>
        <v>1</v>
      </c>
      <c r="AG1266" s="8">
        <f t="shared" si="336"/>
        <v>-0.85283732345918628</v>
      </c>
      <c r="AH1266" s="8">
        <f t="shared" si="337"/>
        <v>-0.17552224777439485</v>
      </c>
      <c r="AI1266" s="8">
        <f t="shared" si="338"/>
        <v>0.49179308682737227</v>
      </c>
      <c r="AJ1266" s="8"/>
      <c r="AK1266" s="8"/>
      <c r="AL1266" s="8"/>
      <c r="AN1266" s="8">
        <f t="shared" si="343"/>
        <v>1</v>
      </c>
      <c r="AO1266" s="8">
        <f t="shared" si="344"/>
        <v>3.3445682320940344</v>
      </c>
      <c r="AP1266" s="8">
        <f t="shared" si="345"/>
        <v>1.0566484349047438</v>
      </c>
      <c r="AQ1266" s="8"/>
      <c r="AR1266" s="8">
        <f t="shared" si="346"/>
        <v>191.62964399251933</v>
      </c>
      <c r="AS1266" s="8">
        <f t="shared" si="347"/>
        <v>29.458504250854283</v>
      </c>
    </row>
    <row r="1267" spans="1:45">
      <c r="A1267" s="19">
        <v>54.354300000000002</v>
      </c>
      <c r="B1267" s="19">
        <v>362.25</v>
      </c>
      <c r="C1267" s="19">
        <v>440.41666670000001</v>
      </c>
      <c r="E1267" s="9">
        <f t="shared" si="333"/>
        <v>-597.75</v>
      </c>
      <c r="F1267" s="9">
        <f t="shared" si="334"/>
        <v>99.583333299999993</v>
      </c>
      <c r="I1267">
        <v>1</v>
      </c>
      <c r="J1267">
        <f t="shared" si="335"/>
        <v>0.37523494544104979</v>
      </c>
      <c r="K1267">
        <f t="shared" si="339"/>
        <v>2.9765117988956562</v>
      </c>
      <c r="O1267">
        <f t="shared" si="340"/>
        <v>-0.36150871670682067</v>
      </c>
      <c r="P1267">
        <f t="shared" si="341"/>
        <v>6.0226253495057482E-2</v>
      </c>
      <c r="Q1267">
        <f t="shared" si="342"/>
        <v>0.93042154217050288</v>
      </c>
      <c r="R1267">
        <f t="shared" si="332"/>
        <v>1</v>
      </c>
      <c r="AG1267" s="8">
        <f t="shared" si="336"/>
        <v>-0.85291085785693599</v>
      </c>
      <c r="AH1267" s="8">
        <f t="shared" si="337"/>
        <v>-0.17470517840857075</v>
      </c>
      <c r="AI1267" s="8">
        <f t="shared" si="338"/>
        <v>0.49195647082539262</v>
      </c>
      <c r="AJ1267" s="8"/>
      <c r="AK1267" s="8"/>
      <c r="AL1267" s="8"/>
      <c r="AN1267" s="8">
        <f t="shared" si="343"/>
        <v>1.0000000000000004</v>
      </c>
      <c r="AO1267" s="8">
        <f t="shared" si="344"/>
        <v>3.3436319803001027</v>
      </c>
      <c r="AP1267" s="8">
        <f t="shared" si="345"/>
        <v>1.0564607808476389</v>
      </c>
      <c r="AQ1267" s="8"/>
      <c r="AR1267" s="8">
        <f t="shared" si="346"/>
        <v>191.57600071616551</v>
      </c>
      <c r="AS1267" s="8">
        <f t="shared" si="347"/>
        <v>29.469256036334897</v>
      </c>
    </row>
    <row r="1268" spans="1:45">
      <c r="A1268" s="19">
        <v>54.554499999999997</v>
      </c>
      <c r="B1268" s="19">
        <v>359.5</v>
      </c>
      <c r="C1268" s="19">
        <v>439.66666670000001</v>
      </c>
      <c r="E1268" s="9">
        <f t="shared" si="333"/>
        <v>-600.5</v>
      </c>
      <c r="F1268" s="9">
        <f t="shared" si="334"/>
        <v>100.33333329999999</v>
      </c>
      <c r="I1268">
        <v>1</v>
      </c>
      <c r="J1268">
        <f t="shared" si="335"/>
        <v>0.37684410525446238</v>
      </c>
      <c r="K1268">
        <f t="shared" si="339"/>
        <v>2.9760389357472676</v>
      </c>
      <c r="O1268">
        <f t="shared" si="340"/>
        <v>-0.36295645503321755</v>
      </c>
      <c r="P1268">
        <f t="shared" si="341"/>
        <v>6.0643848420040482E-2</v>
      </c>
      <c r="Q1268">
        <f t="shared" si="342"/>
        <v>0.92983059500025433</v>
      </c>
      <c r="R1268">
        <f t="shared" si="332"/>
        <v>1</v>
      </c>
      <c r="AG1268" s="8">
        <f t="shared" si="336"/>
        <v>-0.85331680584192615</v>
      </c>
      <c r="AH1268" s="8">
        <f t="shared" si="337"/>
        <v>-0.17314587242022111</v>
      </c>
      <c r="AI1268" s="8">
        <f t="shared" si="338"/>
        <v>0.4918037573377953</v>
      </c>
      <c r="AJ1268" s="8"/>
      <c r="AK1268" s="8"/>
      <c r="AL1268" s="8"/>
      <c r="AN1268" s="8">
        <f t="shared" si="343"/>
        <v>1</v>
      </c>
      <c r="AO1268" s="8">
        <f t="shared" si="344"/>
        <v>3.34178399701067</v>
      </c>
      <c r="AP1268" s="8">
        <f t="shared" si="345"/>
        <v>1.0566361799385358</v>
      </c>
      <c r="AQ1268" s="8"/>
      <c r="AR1268" s="8">
        <f t="shared" si="346"/>
        <v>191.47011907307029</v>
      </c>
      <c r="AS1268" s="8">
        <f t="shared" si="347"/>
        <v>29.459206408696076</v>
      </c>
    </row>
    <row r="1269" spans="1:45">
      <c r="A1269" s="19">
        <v>54.587866669999997</v>
      </c>
      <c r="B1269" s="19">
        <v>359.41666670000001</v>
      </c>
      <c r="C1269" s="19">
        <v>439.5</v>
      </c>
      <c r="E1269" s="9">
        <f t="shared" si="333"/>
        <v>-600.58333330000005</v>
      </c>
      <c r="F1269" s="9">
        <f t="shared" si="334"/>
        <v>100.5</v>
      </c>
      <c r="I1269">
        <v>1</v>
      </c>
      <c r="J1269">
        <f t="shared" si="335"/>
        <v>0.37690629940111126</v>
      </c>
      <c r="K1269">
        <f t="shared" si="339"/>
        <v>2.9757915284545358</v>
      </c>
      <c r="O1269">
        <f t="shared" si="340"/>
        <v>-0.36299847645830946</v>
      </c>
      <c r="P1269">
        <f t="shared" si="341"/>
        <v>6.0743188932013185E-2</v>
      </c>
      <c r="Q1269">
        <f t="shared" si="342"/>
        <v>0.92980770651103761</v>
      </c>
      <c r="R1269">
        <f t="shared" si="332"/>
        <v>1</v>
      </c>
      <c r="AG1269" s="8">
        <f t="shared" si="336"/>
        <v>-0.85329633247996295</v>
      </c>
      <c r="AH1269" s="8">
        <f t="shared" si="337"/>
        <v>-0.17305980366631812</v>
      </c>
      <c r="AI1269" s="8">
        <f t="shared" si="338"/>
        <v>0.49186956942996596</v>
      </c>
      <c r="AJ1269" s="8"/>
      <c r="AK1269" s="8"/>
      <c r="AL1269" s="8"/>
      <c r="AN1269" s="8">
        <f t="shared" si="343"/>
        <v>1.0000000000000002</v>
      </c>
      <c r="AO1269" s="8">
        <f t="shared" si="344"/>
        <v>3.341691793685388</v>
      </c>
      <c r="AP1269" s="8">
        <f t="shared" si="345"/>
        <v>1.0565605935848388</v>
      </c>
      <c r="AQ1269" s="8"/>
      <c r="AR1269" s="8">
        <f t="shared" si="346"/>
        <v>191.46483621167457</v>
      </c>
      <c r="AS1269" s="8">
        <f t="shared" si="347"/>
        <v>29.463537187751697</v>
      </c>
    </row>
    <row r="1270" spans="1:45">
      <c r="A1270" s="19">
        <v>54.621233330000003</v>
      </c>
      <c r="B1270" s="19">
        <v>358.5600968</v>
      </c>
      <c r="C1270" s="19">
        <v>439.31132300000002</v>
      </c>
      <c r="E1270" s="9">
        <f t="shared" si="333"/>
        <v>-601.4399032</v>
      </c>
      <c r="F1270" s="9">
        <f t="shared" si="334"/>
        <v>100.68867699999998</v>
      </c>
      <c r="I1270">
        <v>1</v>
      </c>
      <c r="J1270">
        <f t="shared" si="335"/>
        <v>0.37740291437635037</v>
      </c>
      <c r="K1270">
        <f t="shared" si="339"/>
        <v>2.9757181955870182</v>
      </c>
      <c r="O1270">
        <f t="shared" si="340"/>
        <v>-0.36344939475170701</v>
      </c>
      <c r="P1270">
        <f t="shared" si="341"/>
        <v>6.0846043834625455E-2</v>
      </c>
      <c r="Q1270">
        <f t="shared" si="342"/>
        <v>0.92962481486043214</v>
      </c>
      <c r="R1270">
        <f t="shared" si="332"/>
        <v>1</v>
      </c>
      <c r="AG1270" s="8">
        <f t="shared" si="336"/>
        <v>-0.85343240831087441</v>
      </c>
      <c r="AH1270" s="8">
        <f t="shared" si="337"/>
        <v>-0.17258655307845755</v>
      </c>
      <c r="AI1270" s="8">
        <f t="shared" si="338"/>
        <v>0.49179976224190858</v>
      </c>
      <c r="AJ1270" s="8"/>
      <c r="AK1270" s="8"/>
      <c r="AL1270" s="8"/>
      <c r="AN1270" s="8">
        <f t="shared" si="343"/>
        <v>1</v>
      </c>
      <c r="AO1270" s="8">
        <f t="shared" si="344"/>
        <v>3.3411280514008768</v>
      </c>
      <c r="AP1270" s="8">
        <f t="shared" si="345"/>
        <v>1.0566407682730345</v>
      </c>
      <c r="AQ1270" s="8"/>
      <c r="AR1270" s="8">
        <f t="shared" si="346"/>
        <v>191.43253615803903</v>
      </c>
      <c r="AS1270" s="8">
        <f t="shared" si="347"/>
        <v>29.458943516494301</v>
      </c>
    </row>
    <row r="1271" spans="1:45">
      <c r="A1271" s="19">
        <v>55.02163333</v>
      </c>
      <c r="B1271" s="19">
        <v>353.12331019999999</v>
      </c>
      <c r="C1271" s="19">
        <v>439.18514590000001</v>
      </c>
      <c r="E1271" s="9">
        <f t="shared" si="333"/>
        <v>-606.87668980000001</v>
      </c>
      <c r="F1271" s="9">
        <f t="shared" si="334"/>
        <v>100.81485409999999</v>
      </c>
      <c r="I1271">
        <v>1</v>
      </c>
      <c r="J1271">
        <f t="shared" si="335"/>
        <v>0.38045084260461115</v>
      </c>
      <c r="K1271">
        <f t="shared" si="339"/>
        <v>2.9769751159884699</v>
      </c>
      <c r="O1271">
        <f t="shared" si="340"/>
        <v>-0.36631901826135671</v>
      </c>
      <c r="P1271">
        <f t="shared" si="341"/>
        <v>6.0853216148810299E-2</v>
      </c>
      <c r="Q1271">
        <f t="shared" si="342"/>
        <v>0.92849731445189543</v>
      </c>
      <c r="R1271">
        <f t="shared" si="332"/>
        <v>1</v>
      </c>
      <c r="AG1271" s="8">
        <f t="shared" si="336"/>
        <v>-0.85453359841538012</v>
      </c>
      <c r="AH1271" s="8">
        <f t="shared" si="337"/>
        <v>-0.16987460016264</v>
      </c>
      <c r="AI1271" s="8">
        <f t="shared" si="338"/>
        <v>0.49083087657445212</v>
      </c>
      <c r="AJ1271" s="8"/>
      <c r="AK1271" s="8"/>
      <c r="AL1271" s="8"/>
      <c r="AN1271" s="8">
        <f t="shared" si="343"/>
        <v>1</v>
      </c>
      <c r="AO1271" s="8">
        <f t="shared" si="344"/>
        <v>3.3378265824200906</v>
      </c>
      <c r="AP1271" s="8">
        <f t="shared" si="345"/>
        <v>1.0577531747435445</v>
      </c>
      <c r="AQ1271" s="8"/>
      <c r="AR1271" s="8">
        <f t="shared" si="346"/>
        <v>191.2433759192466</v>
      </c>
      <c r="AS1271" s="8">
        <f t="shared" si="347"/>
        <v>29.395207320631037</v>
      </c>
    </row>
    <row r="1272" spans="1:45">
      <c r="A1272" s="19">
        <v>55.055</v>
      </c>
      <c r="B1272" s="19">
        <v>352.35061380000002</v>
      </c>
      <c r="C1272" s="19">
        <v>439.2206238</v>
      </c>
      <c r="E1272" s="9">
        <f t="shared" si="333"/>
        <v>-607.64938619999998</v>
      </c>
      <c r="F1272" s="9">
        <f t="shared" si="334"/>
        <v>100.7793762</v>
      </c>
      <c r="I1272">
        <v>1</v>
      </c>
      <c r="J1272">
        <f t="shared" si="335"/>
        <v>0.38087854682372574</v>
      </c>
      <c r="K1272">
        <f t="shared" si="339"/>
        <v>2.9772375138654379</v>
      </c>
      <c r="O1272">
        <f t="shared" si="340"/>
        <v>-0.36672671051356653</v>
      </c>
      <c r="P1272">
        <f t="shared" si="341"/>
        <v>6.0822062789463394E-2</v>
      </c>
      <c r="Q1272">
        <f t="shared" si="342"/>
        <v>0.9283384062258403</v>
      </c>
      <c r="R1272">
        <f t="shared" si="332"/>
        <v>1</v>
      </c>
      <c r="AG1272" s="8">
        <f t="shared" si="336"/>
        <v>-0.85470137138601632</v>
      </c>
      <c r="AH1272" s="8">
        <f t="shared" si="337"/>
        <v>-0.169503937820493</v>
      </c>
      <c r="AI1272" s="8">
        <f t="shared" si="338"/>
        <v>0.49066687356516087</v>
      </c>
      <c r="AJ1272" s="8"/>
      <c r="AK1272" s="8"/>
      <c r="AL1272" s="8"/>
      <c r="AN1272" s="8">
        <f t="shared" si="343"/>
        <v>1</v>
      </c>
      <c r="AO1272" s="8">
        <f t="shared" si="344"/>
        <v>3.337371814929591</v>
      </c>
      <c r="AP1272" s="8">
        <f t="shared" si="345"/>
        <v>1.0579414024604741</v>
      </c>
      <c r="AQ1272" s="8"/>
      <c r="AR1272" s="8">
        <f t="shared" si="346"/>
        <v>191.21731966138123</v>
      </c>
      <c r="AS1272" s="8">
        <f t="shared" si="347"/>
        <v>29.384422666863586</v>
      </c>
    </row>
  </sheetData>
  <conditionalFormatting sqref="AX32:AY38 N32 AQ11:AR11 AT3:AU8 BI11:BI13 AH9:AI18 T9:T18 W11 W3:W8 BJ7:BJ13 AQ3:AR8">
    <cfRule type="colorScale" priority="8">
      <colorScale>
        <cfvo type="num" val="-0.5"/>
        <cfvo type="num" val="0"/>
        <cfvo type="num" val="0.5"/>
        <color rgb="FFFF0000"/>
        <color rgb="FFFFFFFF"/>
        <color rgb="FF00FFFF"/>
      </colorScale>
    </cfRule>
  </conditionalFormatting>
  <pageMargins left="0.7" right="0.7" top="0.75" bottom="0.75" header="0.3" footer="0.3"/>
  <pageSetup paperSize="9" orientation="portrait" horizontalDpi="0" verticalDpi="0" r:id="rId1"/>
  <legacyDrawing r:id="rId2"/>
  <controls>
    <control shapeId="1034" r:id="rId3" name="SpinButton4"/>
    <control shapeId="1033" r:id="rId4" name="SpinButton5"/>
    <control shapeId="1031" r:id="rId5" name="SpinButton3"/>
    <control shapeId="1030" r:id="rId6" name="SpinButton2"/>
    <control shapeId="1029" r:id="rId7" name="Spin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2019-12-29T23:17:07Z</dcterms:modified>
</cp:coreProperties>
</file>