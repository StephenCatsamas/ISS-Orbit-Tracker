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Data" sheetId="1" r:id="rId1"/>
  </sheets>
  <calcPr calcId="125725"/>
</workbook>
</file>

<file path=xl/calcChain.xml><?xml version="1.0" encoding="utf-8"?>
<calcChain xmlns="http://schemas.openxmlformats.org/spreadsheetml/2006/main">
  <c r="F33" i="1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32"/>
  <c r="E1273"/>
  <c r="K1273"/>
  <c r="E1274"/>
  <c r="K1274"/>
  <c r="E1275"/>
  <c r="K1275"/>
  <c r="E1276"/>
  <c r="K1276"/>
  <c r="E1277"/>
  <c r="K1277"/>
  <c r="E1278"/>
  <c r="K1278"/>
  <c r="E1279"/>
  <c r="K1279"/>
  <c r="E1280"/>
  <c r="K1280"/>
  <c r="E1281"/>
  <c r="K1281"/>
  <c r="E1282"/>
  <c r="K1282"/>
  <c r="E1283"/>
  <c r="K1283"/>
  <c r="E1284"/>
  <c r="K1284"/>
  <c r="E1285"/>
  <c r="K1285"/>
  <c r="E1286"/>
  <c r="K1286"/>
  <c r="E1287"/>
  <c r="K1287"/>
  <c r="E1288"/>
  <c r="K1288"/>
  <c r="E1289"/>
  <c r="K1289"/>
  <c r="E1290"/>
  <c r="K1290"/>
  <c r="E1291"/>
  <c r="K1291"/>
  <c r="E1292"/>
  <c r="K1292"/>
  <c r="E1293"/>
  <c r="K1293"/>
  <c r="E1294"/>
  <c r="K1294"/>
  <c r="E1295"/>
  <c r="K1295"/>
  <c r="E1296"/>
  <c r="K1296"/>
  <c r="E1297"/>
  <c r="K1297"/>
  <c r="E1298"/>
  <c r="K1298"/>
  <c r="E1299"/>
  <c r="K1299"/>
  <c r="E1300"/>
  <c r="K1300"/>
  <c r="E1301"/>
  <c r="K1301"/>
  <c r="E1302"/>
  <c r="K1302"/>
  <c r="E1303"/>
  <c r="K1303"/>
  <c r="E1304"/>
  <c r="K1304"/>
  <c r="E1305"/>
  <c r="K1305"/>
  <c r="E1306"/>
  <c r="K1306"/>
  <c r="E1307"/>
  <c r="K1307"/>
  <c r="E1308"/>
  <c r="K1308"/>
  <c r="E1309"/>
  <c r="K1309"/>
  <c r="E1310"/>
  <c r="K1310"/>
  <c r="E1311"/>
  <c r="K1311"/>
  <c r="E1312"/>
  <c r="K1312"/>
  <c r="E1313"/>
  <c r="K1313"/>
  <c r="E1314"/>
  <c r="K1314"/>
  <c r="E1315"/>
  <c r="K1315"/>
  <c r="E1316"/>
  <c r="K1316"/>
  <c r="E1317"/>
  <c r="K1317"/>
  <c r="E1318"/>
  <c r="K1318"/>
  <c r="E1319"/>
  <c r="K1319"/>
  <c r="E1320"/>
  <c r="K1320"/>
  <c r="E1321"/>
  <c r="K1321"/>
  <c r="E1322"/>
  <c r="K1322"/>
  <c r="E1323"/>
  <c r="E1324"/>
  <c r="K1324"/>
  <c r="E1325"/>
  <c r="K1325"/>
  <c r="E1326"/>
  <c r="K1326"/>
  <c r="E1327"/>
  <c r="E1328"/>
  <c r="K1328"/>
  <c r="E1329"/>
  <c r="K1329"/>
  <c r="E1330"/>
  <c r="K1330"/>
  <c r="E1331"/>
  <c r="E1332"/>
  <c r="K1332"/>
  <c r="E1333"/>
  <c r="K1333"/>
  <c r="E1334"/>
  <c r="K1334"/>
  <c r="E1335"/>
  <c r="E1336"/>
  <c r="K1336"/>
  <c r="E1337"/>
  <c r="K1337"/>
  <c r="E1338"/>
  <c r="K1338"/>
  <c r="E1339"/>
  <c r="E1340"/>
  <c r="K1340"/>
  <c r="E1341"/>
  <c r="K1341"/>
  <c r="E1342"/>
  <c r="K1342"/>
  <c r="E1343"/>
  <c r="E1344"/>
  <c r="K1344"/>
  <c r="E1345"/>
  <c r="K1345"/>
  <c r="E1346"/>
  <c r="K1346"/>
  <c r="E1347"/>
  <c r="E1348"/>
  <c r="K1348"/>
  <c r="E1349"/>
  <c r="K1349"/>
  <c r="E1350"/>
  <c r="K1350"/>
  <c r="E1351"/>
  <c r="E1352"/>
  <c r="K1352"/>
  <c r="E1353"/>
  <c r="K1353"/>
  <c r="E1354"/>
  <c r="K1354"/>
  <c r="E1355"/>
  <c r="E1356"/>
  <c r="K1356"/>
  <c r="E1357"/>
  <c r="K1357"/>
  <c r="E1358"/>
  <c r="K1358"/>
  <c r="E1359"/>
  <c r="K1359"/>
  <c r="E1360"/>
  <c r="K1360"/>
  <c r="E1361"/>
  <c r="K1361"/>
  <c r="E1362"/>
  <c r="K1362"/>
  <c r="E1363"/>
  <c r="K1363"/>
  <c r="E1364"/>
  <c r="K1364"/>
  <c r="E1365"/>
  <c r="K1365"/>
  <c r="E1366"/>
  <c r="K1366"/>
  <c r="E1367"/>
  <c r="K1367"/>
  <c r="E1368"/>
  <c r="K1368"/>
  <c r="E1369"/>
  <c r="K1369"/>
  <c r="E1370"/>
  <c r="K1370"/>
  <c r="E1371"/>
  <c r="K1371"/>
  <c r="E1372"/>
  <c r="K1372"/>
  <c r="E1373"/>
  <c r="K1373"/>
  <c r="E1374"/>
  <c r="K1374"/>
  <c r="E1375"/>
  <c r="K1375"/>
  <c r="E1376"/>
  <c r="K1376"/>
  <c r="E1377"/>
  <c r="K1377"/>
  <c r="E1378"/>
  <c r="K1378"/>
  <c r="E1379"/>
  <c r="K1379"/>
  <c r="E1380"/>
  <c r="K1380"/>
  <c r="E1381"/>
  <c r="K1381"/>
  <c r="E1382"/>
  <c r="K1382"/>
  <c r="E1383"/>
  <c r="K1383"/>
  <c r="E1384"/>
  <c r="K1384"/>
  <c r="E1385"/>
  <c r="K1385"/>
  <c r="E1386"/>
  <c r="K1386"/>
  <c r="E1387"/>
  <c r="K1387"/>
  <c r="E1388"/>
  <c r="K1388"/>
  <c r="E1389"/>
  <c r="K1389"/>
  <c r="E1390"/>
  <c r="K1390"/>
  <c r="E1391"/>
  <c r="K1391"/>
  <c r="E1392"/>
  <c r="K1392"/>
  <c r="E1393"/>
  <c r="K1393"/>
  <c r="E1394"/>
  <c r="K1394"/>
  <c r="E1395"/>
  <c r="K1395"/>
  <c r="E1396"/>
  <c r="K1396"/>
  <c r="E1397"/>
  <c r="K1397"/>
  <c r="E1398"/>
  <c r="K1398" s="1"/>
  <c r="E1399"/>
  <c r="K1399"/>
  <c r="E1400"/>
  <c r="K1400"/>
  <c r="E1401"/>
  <c r="E1402"/>
  <c r="K1402" s="1"/>
  <c r="E1403"/>
  <c r="K1403"/>
  <c r="E1404"/>
  <c r="K1404"/>
  <c r="E1405"/>
  <c r="E1406"/>
  <c r="K1406" s="1"/>
  <c r="E1407"/>
  <c r="K1407"/>
  <c r="E1408"/>
  <c r="K1408"/>
  <c r="E1409"/>
  <c r="E1410"/>
  <c r="K1410" s="1"/>
  <c r="E1411"/>
  <c r="K1411"/>
  <c r="E1412"/>
  <c r="K1412"/>
  <c r="E1413"/>
  <c r="E1414"/>
  <c r="K1414" s="1"/>
  <c r="E1415"/>
  <c r="K1415"/>
  <c r="E1416"/>
  <c r="K1416"/>
  <c r="E1417"/>
  <c r="E1418"/>
  <c r="K1418" s="1"/>
  <c r="E1419"/>
  <c r="K1419"/>
  <c r="E1420"/>
  <c r="K1420"/>
  <c r="E1421"/>
  <c r="E1422"/>
  <c r="K1422" s="1"/>
  <c r="E1423"/>
  <c r="K1423"/>
  <c r="E1424"/>
  <c r="K1424"/>
  <c r="E1425"/>
  <c r="E1426"/>
  <c r="K1426" s="1"/>
  <c r="E1427"/>
  <c r="K1427"/>
  <c r="E1428"/>
  <c r="K1428"/>
  <c r="E1429"/>
  <c r="E1430"/>
  <c r="K1430" s="1"/>
  <c r="E1431"/>
  <c r="K1431"/>
  <c r="E1432"/>
  <c r="K1432"/>
  <c r="E1433"/>
  <c r="E1434"/>
  <c r="K1434" s="1"/>
  <c r="E1435"/>
  <c r="K1435"/>
  <c r="E1436"/>
  <c r="K1436"/>
  <c r="E1437"/>
  <c r="E1438"/>
  <c r="K1438" s="1"/>
  <c r="E1439"/>
  <c r="K1439"/>
  <c r="E1440"/>
  <c r="K1440"/>
  <c r="E1441"/>
  <c r="E1442"/>
  <c r="K1442" s="1"/>
  <c r="E1443"/>
  <c r="K1443"/>
  <c r="E1444"/>
  <c r="K1444"/>
  <c r="E1445"/>
  <c r="E1446"/>
  <c r="K1446" s="1"/>
  <c r="E1447"/>
  <c r="K1447"/>
  <c r="E1448"/>
  <c r="K1448"/>
  <c r="E1449"/>
  <c r="E1450"/>
  <c r="E1451"/>
  <c r="K1451"/>
  <c r="E1452"/>
  <c r="K1452"/>
  <c r="E1453"/>
  <c r="E1454"/>
  <c r="E1455"/>
  <c r="K1455"/>
  <c r="E1456"/>
  <c r="K1456"/>
  <c r="E1457"/>
  <c r="E1458"/>
  <c r="E1459"/>
  <c r="K1459"/>
  <c r="E1460"/>
  <c r="K1460"/>
  <c r="E1461"/>
  <c r="E1462"/>
  <c r="E1463"/>
  <c r="K1463"/>
  <c r="E1464"/>
  <c r="K1464"/>
  <c r="E1465"/>
  <c r="K1465"/>
  <c r="E1466"/>
  <c r="K1466"/>
  <c r="E1467"/>
  <c r="K1467"/>
  <c r="E1468"/>
  <c r="K1468"/>
  <c r="E1469"/>
  <c r="K1469"/>
  <c r="E1470"/>
  <c r="K1470"/>
  <c r="E1471"/>
  <c r="K1471"/>
  <c r="E1472"/>
  <c r="K1472"/>
  <c r="E1473"/>
  <c r="K1473"/>
  <c r="E1474"/>
  <c r="K1474"/>
  <c r="E1475"/>
  <c r="K1475"/>
  <c r="E1476"/>
  <c r="K1476"/>
  <c r="E1477"/>
  <c r="K1477"/>
  <c r="E1478"/>
  <c r="K1478"/>
  <c r="E1479"/>
  <c r="K1479" s="1"/>
  <c r="E1480"/>
  <c r="K1480" s="1"/>
  <c r="E1481"/>
  <c r="K1481"/>
  <c r="E1482"/>
  <c r="K1482"/>
  <c r="E1483"/>
  <c r="K1483" s="1"/>
  <c r="E1484"/>
  <c r="K1484" s="1"/>
  <c r="E1485"/>
  <c r="K1485"/>
  <c r="E1486"/>
  <c r="K1486"/>
  <c r="E1487"/>
  <c r="K1487" s="1"/>
  <c r="E1488"/>
  <c r="K1488" s="1"/>
  <c r="E1489"/>
  <c r="K1489"/>
  <c r="E1490"/>
  <c r="K1490"/>
  <c r="E1491"/>
  <c r="K1491" s="1"/>
  <c r="E1492"/>
  <c r="K1492" s="1"/>
  <c r="E1493"/>
  <c r="K1493"/>
  <c r="E1494"/>
  <c r="K1494"/>
  <c r="E1495"/>
  <c r="K1495" s="1"/>
  <c r="E1496"/>
  <c r="K1496" s="1"/>
  <c r="E1497"/>
  <c r="K1497"/>
  <c r="E1498"/>
  <c r="K1498"/>
  <c r="E1499"/>
  <c r="K1499" s="1"/>
  <c r="E1500"/>
  <c r="K1500" s="1"/>
  <c r="E1501"/>
  <c r="K1501"/>
  <c r="E1502"/>
  <c r="K1502"/>
  <c r="E1503"/>
  <c r="K1503" s="1"/>
  <c r="E1504"/>
  <c r="K1504" s="1"/>
  <c r="E1505"/>
  <c r="K1505"/>
  <c r="E1506"/>
  <c r="K1506"/>
  <c r="E1507"/>
  <c r="K1507" s="1"/>
  <c r="E1508"/>
  <c r="K1508" s="1"/>
  <c r="E1509"/>
  <c r="K1509"/>
  <c r="E1510"/>
  <c r="K1510"/>
  <c r="E1511"/>
  <c r="K1511" s="1"/>
  <c r="E1512"/>
  <c r="K1512" s="1"/>
  <c r="E1513"/>
  <c r="K1513"/>
  <c r="E1514"/>
  <c r="K1514"/>
  <c r="E1515"/>
  <c r="K1515" s="1"/>
  <c r="E1516"/>
  <c r="K1516" s="1"/>
  <c r="E1517"/>
  <c r="K1517"/>
  <c r="E1518"/>
  <c r="K1518"/>
  <c r="E1519"/>
  <c r="K1519" s="1"/>
  <c r="E1520"/>
  <c r="K1520" s="1"/>
  <c r="E1521"/>
  <c r="K1521"/>
  <c r="E1522"/>
  <c r="K1522"/>
  <c r="E1523"/>
  <c r="K1523" s="1"/>
  <c r="E1524"/>
  <c r="E1525"/>
  <c r="K1525"/>
  <c r="E1526"/>
  <c r="K1526"/>
  <c r="E1527"/>
  <c r="K1527" s="1"/>
  <c r="E1528"/>
  <c r="E1529"/>
  <c r="K1529"/>
  <c r="E1530"/>
  <c r="K1530"/>
  <c r="E1531"/>
  <c r="K1531" s="1"/>
  <c r="E1532"/>
  <c r="E1533"/>
  <c r="K1533"/>
  <c r="E1534"/>
  <c r="K1534"/>
  <c r="E1535"/>
  <c r="K1535" s="1"/>
  <c r="E1536"/>
  <c r="E1537"/>
  <c r="E1538"/>
  <c r="K1538"/>
  <c r="E1539"/>
  <c r="K1539" s="1"/>
  <c r="E1540"/>
  <c r="E1541"/>
  <c r="K1541"/>
  <c r="E1542"/>
  <c r="K1542"/>
  <c r="E1543"/>
  <c r="K1543" s="1"/>
  <c r="E1544"/>
  <c r="E1545"/>
  <c r="E1546"/>
  <c r="K1546"/>
  <c r="E1547"/>
  <c r="K1547" s="1"/>
  <c r="E1548"/>
  <c r="E1549"/>
  <c r="K1549"/>
  <c r="E1550"/>
  <c r="K1550"/>
  <c r="E1551"/>
  <c r="K1551" s="1"/>
  <c r="E1552"/>
  <c r="E1553"/>
  <c r="E1554"/>
  <c r="K1554"/>
  <c r="E1555"/>
  <c r="K1555" s="1"/>
  <c r="E1556"/>
  <c r="E1557"/>
  <c r="K1557"/>
  <c r="E1558"/>
  <c r="K1558"/>
  <c r="E1559"/>
  <c r="K1559" s="1"/>
  <c r="E1560"/>
  <c r="E1561"/>
  <c r="K1561" s="1"/>
  <c r="E1562"/>
  <c r="K1562" s="1"/>
  <c r="E1563"/>
  <c r="K1563" s="1"/>
  <c r="E1564"/>
  <c r="K1564" s="1"/>
  <c r="E1565"/>
  <c r="K1565" s="1"/>
  <c r="E1566"/>
  <c r="K1566" s="1"/>
  <c r="E1567"/>
  <c r="K1567" s="1"/>
  <c r="E1568"/>
  <c r="K1568" s="1"/>
  <c r="E1569"/>
  <c r="K1569" s="1"/>
  <c r="E1570"/>
  <c r="K1570" s="1"/>
  <c r="E1571"/>
  <c r="K1571" s="1"/>
  <c r="E1572"/>
  <c r="K1572" s="1"/>
  <c r="E1573"/>
  <c r="K1573" s="1"/>
  <c r="E1574"/>
  <c r="K1574" s="1"/>
  <c r="E1575"/>
  <c r="K1575" s="1"/>
  <c r="E1576"/>
  <c r="K1576" s="1"/>
  <c r="E1577"/>
  <c r="K1577" s="1"/>
  <c r="E1578"/>
  <c r="K1578" s="1"/>
  <c r="E1579"/>
  <c r="K1579" s="1"/>
  <c r="E1580"/>
  <c r="K1580" s="1"/>
  <c r="E1581"/>
  <c r="K1581" s="1"/>
  <c r="E1582"/>
  <c r="K1582" s="1"/>
  <c r="E1583"/>
  <c r="K1583" s="1"/>
  <c r="E1584"/>
  <c r="K1584" s="1"/>
  <c r="E1585"/>
  <c r="K1585" s="1"/>
  <c r="E1586"/>
  <c r="K1586" s="1"/>
  <c r="E1587"/>
  <c r="K1587" s="1"/>
  <c r="E1588"/>
  <c r="K1588" s="1"/>
  <c r="E1589"/>
  <c r="K1589" s="1"/>
  <c r="E1590"/>
  <c r="K1590" s="1"/>
  <c r="E1591"/>
  <c r="K1591" s="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K1649"/>
  <c r="E1650"/>
  <c r="K1650"/>
  <c r="E1651"/>
  <c r="E1652"/>
  <c r="K1652"/>
  <c r="E1653"/>
  <c r="E1654"/>
  <c r="K1654"/>
  <c r="E1655"/>
  <c r="K1655"/>
  <c r="E1656"/>
  <c r="K1656"/>
  <c r="E1657"/>
  <c r="E1658"/>
  <c r="K1658"/>
  <c r="E1659"/>
  <c r="K1659"/>
  <c r="E1660"/>
  <c r="K1660"/>
  <c r="E1661"/>
  <c r="E1662"/>
  <c r="K1662"/>
  <c r="E1663"/>
  <c r="K1663"/>
  <c r="E1664"/>
  <c r="K1664"/>
  <c r="E1665"/>
  <c r="E1666"/>
  <c r="K1666"/>
  <c r="E1667"/>
  <c r="K1667"/>
  <c r="E1668"/>
  <c r="K1668"/>
  <c r="E1669"/>
  <c r="E1670"/>
  <c r="K1670"/>
  <c r="E1671"/>
  <c r="K1671"/>
  <c r="E1672"/>
  <c r="K1672"/>
  <c r="E1673"/>
  <c r="E1674"/>
  <c r="K1674"/>
  <c r="E1675"/>
  <c r="K1675"/>
  <c r="E1676"/>
  <c r="K1676"/>
  <c r="E1677"/>
  <c r="E1678"/>
  <c r="K1678"/>
  <c r="E1679"/>
  <c r="K1679"/>
  <c r="E1680"/>
  <c r="K1680"/>
  <c r="E1681"/>
  <c r="E1682"/>
  <c r="K1682"/>
  <c r="E1683"/>
  <c r="K1683"/>
  <c r="E1684"/>
  <c r="K1684"/>
  <c r="E1685"/>
  <c r="E1686"/>
  <c r="K1686"/>
  <c r="E1687"/>
  <c r="K1687"/>
  <c r="E1688"/>
  <c r="K1688"/>
  <c r="E1689"/>
  <c r="E1690"/>
  <c r="K1690"/>
  <c r="E1691"/>
  <c r="K1691"/>
  <c r="E1692"/>
  <c r="K1692"/>
  <c r="E1693"/>
  <c r="E1694"/>
  <c r="K1694"/>
  <c r="E1695"/>
  <c r="K1695"/>
  <c r="E1696"/>
  <c r="K1696"/>
  <c r="E1697"/>
  <c r="E1698"/>
  <c r="K1698"/>
  <c r="E1699"/>
  <c r="K1699"/>
  <c r="E1700"/>
  <c r="K1700"/>
  <c r="E1701"/>
  <c r="E1702"/>
  <c r="K1702"/>
  <c r="E1703"/>
  <c r="K1703"/>
  <c r="E1704"/>
  <c r="K1704"/>
  <c r="E1705"/>
  <c r="E1706"/>
  <c r="K1706"/>
  <c r="E1707"/>
  <c r="K1707"/>
  <c r="E1708"/>
  <c r="K1708"/>
  <c r="E1709"/>
  <c r="E1710"/>
  <c r="K1710"/>
  <c r="E1711"/>
  <c r="K1711"/>
  <c r="E1712"/>
  <c r="K1712"/>
  <c r="E1713"/>
  <c r="E1714"/>
  <c r="K1714"/>
  <c r="E1715"/>
  <c r="K1715"/>
  <c r="E1716"/>
  <c r="K1716"/>
  <c r="E1717"/>
  <c r="E1718"/>
  <c r="K1718"/>
  <c r="E1719"/>
  <c r="K1719"/>
  <c r="E1720"/>
  <c r="K1720"/>
  <c r="E1721"/>
  <c r="E1722"/>
  <c r="K1722"/>
  <c r="E1723"/>
  <c r="K1723"/>
  <c r="E1724"/>
  <c r="K1724"/>
  <c r="E1725"/>
  <c r="E1726"/>
  <c r="K1726"/>
  <c r="E1727"/>
  <c r="K1727" s="1"/>
  <c r="E1728"/>
  <c r="K1728" s="1"/>
  <c r="E1729"/>
  <c r="K1729" s="1"/>
  <c r="E1730"/>
  <c r="K1730" s="1"/>
  <c r="E1731"/>
  <c r="K1731" s="1"/>
  <c r="E1732"/>
  <c r="K1732" s="1"/>
  <c r="E1733"/>
  <c r="K1733" s="1"/>
  <c r="E1734"/>
  <c r="K1734" s="1"/>
  <c r="E1735"/>
  <c r="K1735" s="1"/>
  <c r="E1736"/>
  <c r="K1736" s="1"/>
  <c r="E1737"/>
  <c r="K1737" s="1"/>
  <c r="E1738"/>
  <c r="K1738" s="1"/>
  <c r="E1739"/>
  <c r="K1739" s="1"/>
  <c r="E1740"/>
  <c r="K1740" s="1"/>
  <c r="E1741"/>
  <c r="K1741" s="1"/>
  <c r="E1742"/>
  <c r="K1742" s="1"/>
  <c r="E1743"/>
  <c r="K1743" s="1"/>
  <c r="E1744"/>
  <c r="K1744" s="1"/>
  <c r="E1745"/>
  <c r="K1745" s="1"/>
  <c r="E1746"/>
  <c r="K1746" s="1"/>
  <c r="E1747"/>
  <c r="K1747" s="1"/>
  <c r="E1748"/>
  <c r="K1748" s="1"/>
  <c r="E1749"/>
  <c r="K1749" s="1"/>
  <c r="E1750"/>
  <c r="K1750" s="1"/>
  <c r="E1751"/>
  <c r="K1751" s="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K1795"/>
  <c r="E1796"/>
  <c r="K1796"/>
  <c r="E1797"/>
  <c r="E1798"/>
  <c r="E1799"/>
  <c r="K1799"/>
  <c r="E1800"/>
  <c r="K1800"/>
  <c r="E1801"/>
  <c r="K1801"/>
  <c r="E1802"/>
  <c r="K1802"/>
  <c r="E1803"/>
  <c r="K1803"/>
  <c r="E1804"/>
  <c r="K1804"/>
  <c r="E1805"/>
  <c r="K1805"/>
  <c r="E1806"/>
  <c r="K1806"/>
  <c r="E1807"/>
  <c r="K1807"/>
  <c r="E1808"/>
  <c r="K1808"/>
  <c r="E1809"/>
  <c r="K1809"/>
  <c r="E1810"/>
  <c r="K1810"/>
  <c r="E1811"/>
  <c r="K1811"/>
  <c r="E1812"/>
  <c r="K1812"/>
  <c r="E1813"/>
  <c r="K1813"/>
  <c r="E1814"/>
  <c r="K1814"/>
  <c r="E1815"/>
  <c r="K1815"/>
  <c r="E1816"/>
  <c r="K1816"/>
  <c r="E1817"/>
  <c r="K1817"/>
  <c r="E1818"/>
  <c r="K1818"/>
  <c r="E1819"/>
  <c r="K1819"/>
  <c r="E1820"/>
  <c r="K1820"/>
  <c r="E1821"/>
  <c r="K1821"/>
  <c r="E1822"/>
  <c r="K1822"/>
  <c r="E1823"/>
  <c r="K1823"/>
  <c r="E1824"/>
  <c r="K1824"/>
  <c r="E1825"/>
  <c r="K1825"/>
  <c r="E1826"/>
  <c r="K1826"/>
  <c r="E1827"/>
  <c r="K1827"/>
  <c r="E1828"/>
  <c r="K1828"/>
  <c r="E1829"/>
  <c r="K1829"/>
  <c r="E1830"/>
  <c r="K1830"/>
  <c r="E1831"/>
  <c r="K1831"/>
  <c r="E1832"/>
  <c r="K1832"/>
  <c r="E1833"/>
  <c r="K1833"/>
  <c r="E1834"/>
  <c r="K1834"/>
  <c r="E1835"/>
  <c r="K1835"/>
  <c r="E1836"/>
  <c r="K1836"/>
  <c r="E1837"/>
  <c r="K1837"/>
  <c r="E1838"/>
  <c r="K1838"/>
  <c r="E1839"/>
  <c r="K1839"/>
  <c r="E1840"/>
  <c r="K1840"/>
  <c r="E1841"/>
  <c r="K1841"/>
  <c r="E1842"/>
  <c r="K1842"/>
  <c r="E1843"/>
  <c r="K1843"/>
  <c r="E1844"/>
  <c r="K1844"/>
  <c r="E1845"/>
  <c r="K1845"/>
  <c r="E1846"/>
  <c r="K1846"/>
  <c r="E1847"/>
  <c r="K1847"/>
  <c r="E1848"/>
  <c r="K1848"/>
  <c r="E1849"/>
  <c r="K1849"/>
  <c r="E1850"/>
  <c r="K1850"/>
  <c r="E1851"/>
  <c r="K1851"/>
  <c r="E1852"/>
  <c r="K1852"/>
  <c r="E1853"/>
  <c r="K1853"/>
  <c r="E1854"/>
  <c r="K1854"/>
  <c r="E1855"/>
  <c r="K1855"/>
  <c r="E1856"/>
  <c r="K1856"/>
  <c r="E1857"/>
  <c r="K1857"/>
  <c r="E1858"/>
  <c r="K1858"/>
  <c r="AI4"/>
  <c r="AI5"/>
  <c r="AI6"/>
  <c r="AI7"/>
  <c r="AI8"/>
  <c r="G16"/>
  <c r="B16" s="1"/>
  <c r="G14"/>
  <c r="B14" s="1"/>
  <c r="F21" s="1"/>
  <c r="G10"/>
  <c r="B10" s="1"/>
  <c r="G9"/>
  <c r="B9" s="1"/>
  <c r="AM4"/>
  <c r="AM8"/>
  <c r="AM7"/>
  <c r="AM6"/>
  <c r="AM5"/>
  <c r="AM3"/>
  <c r="AI3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K468" s="1"/>
  <c r="E469"/>
  <c r="E470"/>
  <c r="K470" s="1"/>
  <c r="E471"/>
  <c r="E472"/>
  <c r="K472" s="1"/>
  <c r="E473"/>
  <c r="E474"/>
  <c r="K474" s="1"/>
  <c r="E475"/>
  <c r="E476"/>
  <c r="K476" s="1"/>
  <c r="E477"/>
  <c r="E478"/>
  <c r="K478" s="1"/>
  <c r="E479"/>
  <c r="E480"/>
  <c r="K480" s="1"/>
  <c r="E481"/>
  <c r="E482"/>
  <c r="K482" s="1"/>
  <c r="E483"/>
  <c r="E484"/>
  <c r="K484" s="1"/>
  <c r="E485"/>
  <c r="E486"/>
  <c r="E487"/>
  <c r="E488"/>
  <c r="K488" s="1"/>
  <c r="E489"/>
  <c r="E490"/>
  <c r="K490" s="1"/>
  <c r="E491"/>
  <c r="E492"/>
  <c r="K492" s="1"/>
  <c r="E493"/>
  <c r="E494"/>
  <c r="K494" s="1"/>
  <c r="E495"/>
  <c r="E496"/>
  <c r="K496" s="1"/>
  <c r="E497"/>
  <c r="E498"/>
  <c r="K498" s="1"/>
  <c r="E499"/>
  <c r="E500"/>
  <c r="K500" s="1"/>
  <c r="E501"/>
  <c r="E502"/>
  <c r="K502" s="1"/>
  <c r="E503"/>
  <c r="E504"/>
  <c r="K504" s="1"/>
  <c r="E505"/>
  <c r="E506"/>
  <c r="K506" s="1"/>
  <c r="E507"/>
  <c r="E508"/>
  <c r="K508" s="1"/>
  <c r="E509"/>
  <c r="E510"/>
  <c r="K510" s="1"/>
  <c r="E511"/>
  <c r="E512"/>
  <c r="K512" s="1"/>
  <c r="E513"/>
  <c r="E514"/>
  <c r="K514" s="1"/>
  <c r="E515"/>
  <c r="E516"/>
  <c r="K516" s="1"/>
  <c r="E517"/>
  <c r="E518"/>
  <c r="E519"/>
  <c r="E520"/>
  <c r="K520" s="1"/>
  <c r="E521"/>
  <c r="E522"/>
  <c r="K522" s="1"/>
  <c r="E523"/>
  <c r="E524"/>
  <c r="K524" s="1"/>
  <c r="E525"/>
  <c r="E526"/>
  <c r="K526" s="1"/>
  <c r="E527"/>
  <c r="E528"/>
  <c r="K528" s="1"/>
  <c r="E529"/>
  <c r="E530"/>
  <c r="K530" s="1"/>
  <c r="E531"/>
  <c r="E532"/>
  <c r="K532" s="1"/>
  <c r="E533"/>
  <c r="E534"/>
  <c r="K534" s="1"/>
  <c r="E535"/>
  <c r="E536"/>
  <c r="K536" s="1"/>
  <c r="E537"/>
  <c r="E538"/>
  <c r="K538" s="1"/>
  <c r="E539"/>
  <c r="E540"/>
  <c r="K540" s="1"/>
  <c r="E541"/>
  <c r="E542"/>
  <c r="K542" s="1"/>
  <c r="E543"/>
  <c r="E544"/>
  <c r="K544" s="1"/>
  <c r="E545"/>
  <c r="E546"/>
  <c r="K546" s="1"/>
  <c r="E547"/>
  <c r="E548"/>
  <c r="K548" s="1"/>
  <c r="E549"/>
  <c r="E550"/>
  <c r="E551"/>
  <c r="E552"/>
  <c r="E553"/>
  <c r="E554"/>
  <c r="K554" s="1"/>
  <c r="E555"/>
  <c r="E556"/>
  <c r="K556" s="1"/>
  <c r="E557"/>
  <c r="E558"/>
  <c r="K558" s="1"/>
  <c r="E559"/>
  <c r="E560"/>
  <c r="E561"/>
  <c r="E562"/>
  <c r="K562" s="1"/>
  <c r="E563"/>
  <c r="E564"/>
  <c r="E565"/>
  <c r="E566"/>
  <c r="K566" s="1"/>
  <c r="E567"/>
  <c r="E568"/>
  <c r="E569"/>
  <c r="E570"/>
  <c r="K570" s="1"/>
  <c r="E571"/>
  <c r="E572"/>
  <c r="K572" s="1"/>
  <c r="E573"/>
  <c r="E574"/>
  <c r="K574" s="1"/>
  <c r="E575"/>
  <c r="E576"/>
  <c r="E577"/>
  <c r="E578"/>
  <c r="K578" s="1"/>
  <c r="E579"/>
  <c r="E580"/>
  <c r="K580" s="1"/>
  <c r="E581"/>
  <c r="E582"/>
  <c r="K582" s="1"/>
  <c r="E583"/>
  <c r="E584"/>
  <c r="E585"/>
  <c r="E586"/>
  <c r="K586" s="1"/>
  <c r="E587"/>
  <c r="E588"/>
  <c r="K588" s="1"/>
  <c r="E589"/>
  <c r="E590"/>
  <c r="K590" s="1"/>
  <c r="E591"/>
  <c r="E592"/>
  <c r="E593"/>
  <c r="E594"/>
  <c r="K594" s="1"/>
  <c r="E595"/>
  <c r="E596"/>
  <c r="K596" s="1"/>
  <c r="E597"/>
  <c r="E598"/>
  <c r="K598" s="1"/>
  <c r="E599"/>
  <c r="E600"/>
  <c r="E601"/>
  <c r="E602"/>
  <c r="K602" s="1"/>
  <c r="E603"/>
  <c r="E604"/>
  <c r="K604" s="1"/>
  <c r="E605"/>
  <c r="E606"/>
  <c r="K606" s="1"/>
  <c r="E607"/>
  <c r="E608"/>
  <c r="E609"/>
  <c r="E610"/>
  <c r="E611"/>
  <c r="E612"/>
  <c r="K612" s="1"/>
  <c r="E613"/>
  <c r="E614"/>
  <c r="K614" s="1"/>
  <c r="E615"/>
  <c r="E616"/>
  <c r="E617"/>
  <c r="E618"/>
  <c r="K618" s="1"/>
  <c r="E619"/>
  <c r="E620"/>
  <c r="K620" s="1"/>
  <c r="E621"/>
  <c r="E622"/>
  <c r="K622" s="1"/>
  <c r="E623"/>
  <c r="E624"/>
  <c r="E625"/>
  <c r="E626"/>
  <c r="K626" s="1"/>
  <c r="E627"/>
  <c r="E628"/>
  <c r="K628" s="1"/>
  <c r="E629"/>
  <c r="E630"/>
  <c r="K630" s="1"/>
  <c r="E631"/>
  <c r="E632"/>
  <c r="E633"/>
  <c r="E634"/>
  <c r="E635"/>
  <c r="E636"/>
  <c r="K636" s="1"/>
  <c r="E637"/>
  <c r="E638"/>
  <c r="E639"/>
  <c r="E640"/>
  <c r="E641"/>
  <c r="E642"/>
  <c r="K642" s="1"/>
  <c r="E643"/>
  <c r="E644"/>
  <c r="E645"/>
  <c r="E646"/>
  <c r="K646" s="1"/>
  <c r="E647"/>
  <c r="E648"/>
  <c r="E649"/>
  <c r="E650"/>
  <c r="E651"/>
  <c r="E652"/>
  <c r="K652" s="1"/>
  <c r="E653"/>
  <c r="E654"/>
  <c r="E655"/>
  <c r="E656"/>
  <c r="E657"/>
  <c r="E658"/>
  <c r="K658" s="1"/>
  <c r="E659"/>
  <c r="E660"/>
  <c r="E661"/>
  <c r="E662"/>
  <c r="K662" s="1"/>
  <c r="E663"/>
  <c r="E664"/>
  <c r="E665"/>
  <c r="E666"/>
  <c r="E667"/>
  <c r="E668"/>
  <c r="K668" s="1"/>
  <c r="E669"/>
  <c r="E670"/>
  <c r="E671"/>
  <c r="E672"/>
  <c r="E673"/>
  <c r="E674"/>
  <c r="K674" s="1"/>
  <c r="E675"/>
  <c r="E676"/>
  <c r="E677"/>
  <c r="E678"/>
  <c r="K678" s="1"/>
  <c r="E679"/>
  <c r="E680"/>
  <c r="E681"/>
  <c r="E682"/>
  <c r="E683"/>
  <c r="E684"/>
  <c r="E685"/>
  <c r="E686"/>
  <c r="K686" s="1"/>
  <c r="E687"/>
  <c r="E688"/>
  <c r="E689"/>
  <c r="E690"/>
  <c r="K690" s="1"/>
  <c r="E691"/>
  <c r="E692"/>
  <c r="K692" s="1"/>
  <c r="E693"/>
  <c r="E694"/>
  <c r="K694" s="1"/>
  <c r="E695"/>
  <c r="E696"/>
  <c r="E697"/>
  <c r="E698"/>
  <c r="E699"/>
  <c r="E700"/>
  <c r="K700" s="1"/>
  <c r="E701"/>
  <c r="E702"/>
  <c r="K702" s="1"/>
  <c r="E703"/>
  <c r="E704"/>
  <c r="E705"/>
  <c r="E706"/>
  <c r="K706" s="1"/>
  <c r="E707"/>
  <c r="E708"/>
  <c r="K708" s="1"/>
  <c r="E709"/>
  <c r="E710"/>
  <c r="K710" s="1"/>
  <c r="E711"/>
  <c r="E712"/>
  <c r="E713"/>
  <c r="E714"/>
  <c r="K714" s="1"/>
  <c r="E715"/>
  <c r="E716"/>
  <c r="K716" s="1"/>
  <c r="E717"/>
  <c r="E718"/>
  <c r="E719"/>
  <c r="E720"/>
  <c r="E721"/>
  <c r="E722"/>
  <c r="K722" s="1"/>
  <c r="E723"/>
  <c r="E724"/>
  <c r="K724" s="1"/>
  <c r="E725"/>
  <c r="E726"/>
  <c r="K726" s="1"/>
  <c r="E727"/>
  <c r="E728"/>
  <c r="E729"/>
  <c r="E730"/>
  <c r="E731"/>
  <c r="E732"/>
  <c r="K732" s="1"/>
  <c r="E733"/>
  <c r="E734"/>
  <c r="E735"/>
  <c r="E736"/>
  <c r="E737"/>
  <c r="E738"/>
  <c r="K738" s="1"/>
  <c r="E739"/>
  <c r="E740"/>
  <c r="E741"/>
  <c r="E742"/>
  <c r="K742" s="1"/>
  <c r="E743"/>
  <c r="E744"/>
  <c r="E745"/>
  <c r="E746"/>
  <c r="E747"/>
  <c r="E748"/>
  <c r="K748" s="1"/>
  <c r="E749"/>
  <c r="E750"/>
  <c r="E751"/>
  <c r="E752"/>
  <c r="E753"/>
  <c r="E754"/>
  <c r="K754" s="1"/>
  <c r="E755"/>
  <c r="E756"/>
  <c r="E757"/>
  <c r="E758"/>
  <c r="K758" s="1"/>
  <c r="E759"/>
  <c r="E760"/>
  <c r="E761"/>
  <c r="E762"/>
  <c r="E763"/>
  <c r="E764"/>
  <c r="K764" s="1"/>
  <c r="E765"/>
  <c r="E766"/>
  <c r="E767"/>
  <c r="E768"/>
  <c r="E769"/>
  <c r="E770"/>
  <c r="E771"/>
  <c r="E772"/>
  <c r="K772" s="1"/>
  <c r="E773"/>
  <c r="E774"/>
  <c r="K774" s="1"/>
  <c r="E775"/>
  <c r="E776"/>
  <c r="E777"/>
  <c r="E778"/>
  <c r="K778" s="1"/>
  <c r="E779"/>
  <c r="E780"/>
  <c r="K780" s="1"/>
  <c r="E781"/>
  <c r="E782"/>
  <c r="E783"/>
  <c r="E784"/>
  <c r="E785"/>
  <c r="E786"/>
  <c r="K786" s="1"/>
  <c r="E787"/>
  <c r="E788"/>
  <c r="K788" s="1"/>
  <c r="E789"/>
  <c r="E790"/>
  <c r="K790" s="1"/>
  <c r="E791"/>
  <c r="E792"/>
  <c r="E793"/>
  <c r="E794"/>
  <c r="E795"/>
  <c r="E796"/>
  <c r="K796" s="1"/>
  <c r="E797"/>
  <c r="E798"/>
  <c r="E799"/>
  <c r="E800"/>
  <c r="E801"/>
  <c r="E802"/>
  <c r="K802" s="1"/>
  <c r="E803"/>
  <c r="E804"/>
  <c r="E805"/>
  <c r="E806"/>
  <c r="K806" s="1"/>
  <c r="E807"/>
  <c r="E808"/>
  <c r="E809"/>
  <c r="E810"/>
  <c r="E811"/>
  <c r="E812"/>
  <c r="K812" s="1"/>
  <c r="E813"/>
  <c r="E814"/>
  <c r="E815"/>
  <c r="E816"/>
  <c r="E817"/>
  <c r="E818"/>
  <c r="K818" s="1"/>
  <c r="E819"/>
  <c r="E820"/>
  <c r="E821"/>
  <c r="E822"/>
  <c r="K822" s="1"/>
  <c r="E823"/>
  <c r="E824"/>
  <c r="E825"/>
  <c r="E826"/>
  <c r="E827"/>
  <c r="E828"/>
  <c r="K828" s="1"/>
  <c r="E829"/>
  <c r="E830"/>
  <c r="E831"/>
  <c r="E832"/>
  <c r="E833"/>
  <c r="E834"/>
  <c r="E835"/>
  <c r="E836"/>
  <c r="K836" s="1"/>
  <c r="E837"/>
  <c r="E838"/>
  <c r="K838" s="1"/>
  <c r="E839"/>
  <c r="E840"/>
  <c r="E841"/>
  <c r="E842"/>
  <c r="E843"/>
  <c r="E844"/>
  <c r="E845"/>
  <c r="E846"/>
  <c r="K846" s="1"/>
  <c r="E847"/>
  <c r="E848"/>
  <c r="E849"/>
  <c r="E850"/>
  <c r="K850" s="1"/>
  <c r="E851"/>
  <c r="E852"/>
  <c r="K852" s="1"/>
  <c r="E853"/>
  <c r="E854"/>
  <c r="E855"/>
  <c r="E856"/>
  <c r="E857"/>
  <c r="E858"/>
  <c r="K858" s="1"/>
  <c r="E859"/>
  <c r="E860"/>
  <c r="K860" s="1"/>
  <c r="E861"/>
  <c r="E862"/>
  <c r="E863"/>
  <c r="E864"/>
  <c r="E865"/>
  <c r="E866"/>
  <c r="E867"/>
  <c r="E868"/>
  <c r="K868" s="1"/>
  <c r="E869"/>
  <c r="E870"/>
  <c r="K870" s="1"/>
  <c r="E871"/>
  <c r="E872"/>
  <c r="E873"/>
  <c r="E874"/>
  <c r="E875"/>
  <c r="E876"/>
  <c r="E877"/>
  <c r="E878"/>
  <c r="E879"/>
  <c r="E880"/>
  <c r="E881"/>
  <c r="E882"/>
  <c r="K882" s="1"/>
  <c r="E883"/>
  <c r="E884"/>
  <c r="K884" s="1"/>
  <c r="E885"/>
  <c r="E886"/>
  <c r="E887"/>
  <c r="E888"/>
  <c r="E889"/>
  <c r="E890"/>
  <c r="E891"/>
  <c r="E892"/>
  <c r="E893"/>
  <c r="E894"/>
  <c r="K894" s="1"/>
  <c r="E895"/>
  <c r="E896"/>
  <c r="E897"/>
  <c r="E898"/>
  <c r="E899"/>
  <c r="E900"/>
  <c r="K900" s="1"/>
  <c r="E901"/>
  <c r="E902"/>
  <c r="K902" s="1"/>
  <c r="E903"/>
  <c r="E904"/>
  <c r="E905"/>
  <c r="E906"/>
  <c r="K906" s="1"/>
  <c r="E907"/>
  <c r="E908"/>
  <c r="E909"/>
  <c r="E910"/>
  <c r="E911"/>
  <c r="E912"/>
  <c r="E913"/>
  <c r="E914"/>
  <c r="K914" s="1"/>
  <c r="E915"/>
  <c r="E916"/>
  <c r="K916" s="1"/>
  <c r="E917"/>
  <c r="E918"/>
  <c r="E919"/>
  <c r="E920"/>
  <c r="E921"/>
  <c r="E922"/>
  <c r="E923"/>
  <c r="E924"/>
  <c r="K924" s="1"/>
  <c r="E925"/>
  <c r="E926"/>
  <c r="E927"/>
  <c r="E928"/>
  <c r="E929"/>
  <c r="E930"/>
  <c r="E931"/>
  <c r="E932"/>
  <c r="E933"/>
  <c r="E934"/>
  <c r="K934" s="1"/>
  <c r="E935"/>
  <c r="E936"/>
  <c r="E937"/>
  <c r="E938"/>
  <c r="K938" s="1"/>
  <c r="E939"/>
  <c r="E940"/>
  <c r="E941"/>
  <c r="E942"/>
  <c r="E943"/>
  <c r="E944"/>
  <c r="E945"/>
  <c r="E946"/>
  <c r="K946" s="1"/>
  <c r="E947"/>
  <c r="E948"/>
  <c r="E949"/>
  <c r="E950"/>
  <c r="E951"/>
  <c r="E952"/>
  <c r="E953"/>
  <c r="E954"/>
  <c r="E955"/>
  <c r="E956"/>
  <c r="K956" s="1"/>
  <c r="E957"/>
  <c r="E958"/>
  <c r="E959"/>
  <c r="E960"/>
  <c r="E961"/>
  <c r="E962"/>
  <c r="E963"/>
  <c r="E964"/>
  <c r="E965"/>
  <c r="E966"/>
  <c r="K966" s="1"/>
  <c r="E967"/>
  <c r="E968"/>
  <c r="E969"/>
  <c r="E970"/>
  <c r="E971"/>
  <c r="E972"/>
  <c r="E973"/>
  <c r="E974"/>
  <c r="E975"/>
  <c r="E976"/>
  <c r="E977"/>
  <c r="E978"/>
  <c r="K978" s="1"/>
  <c r="E979"/>
  <c r="E980"/>
  <c r="K980" s="1"/>
  <c r="E981"/>
  <c r="E982"/>
  <c r="E983"/>
  <c r="E984"/>
  <c r="E985"/>
  <c r="E986"/>
  <c r="K986" s="1"/>
  <c r="E987"/>
  <c r="E988"/>
  <c r="K988" s="1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K1012" s="1"/>
  <c r="E1013"/>
  <c r="K1013" s="1"/>
  <c r="E1014"/>
  <c r="E1015"/>
  <c r="E1016"/>
  <c r="E1017"/>
  <c r="K1017" s="1"/>
  <c r="E1018"/>
  <c r="K1018" s="1"/>
  <c r="E1019"/>
  <c r="E1020"/>
  <c r="E1021"/>
  <c r="K1021" s="1"/>
  <c r="E1022"/>
  <c r="E1023"/>
  <c r="E1024"/>
  <c r="E1025"/>
  <c r="E1026"/>
  <c r="K1026" s="1"/>
  <c r="E1027"/>
  <c r="E1028"/>
  <c r="K1028" s="1"/>
  <c r="E1029"/>
  <c r="E1030"/>
  <c r="E1031"/>
  <c r="E1032"/>
  <c r="E1033"/>
  <c r="E1034"/>
  <c r="E1035"/>
  <c r="E1036"/>
  <c r="E1037"/>
  <c r="E1038"/>
  <c r="E1039"/>
  <c r="E1040"/>
  <c r="K1040" s="1"/>
  <c r="E1041"/>
  <c r="E1042"/>
  <c r="E1043"/>
  <c r="E1044"/>
  <c r="E1045"/>
  <c r="E1046"/>
  <c r="E1047"/>
  <c r="E1048"/>
  <c r="K1048" s="1"/>
  <c r="E1049"/>
  <c r="E1050"/>
  <c r="E1051"/>
  <c r="E1052"/>
  <c r="E1053"/>
  <c r="K1053" s="1"/>
  <c r="E1054"/>
  <c r="K1054" s="1"/>
  <c r="E1055"/>
  <c r="E1056"/>
  <c r="E1057"/>
  <c r="E1058"/>
  <c r="E1059"/>
  <c r="E1060"/>
  <c r="E1061"/>
  <c r="K1061" s="1"/>
  <c r="E1062"/>
  <c r="E1063"/>
  <c r="E1064"/>
  <c r="E1065"/>
  <c r="E1066"/>
  <c r="E1067"/>
  <c r="E1068"/>
  <c r="E1069"/>
  <c r="E1070"/>
  <c r="E1071"/>
  <c r="E1072"/>
  <c r="K1072" s="1"/>
  <c r="E1073"/>
  <c r="E1074"/>
  <c r="E1075"/>
  <c r="E1076"/>
  <c r="K1076" s="1"/>
  <c r="E1077"/>
  <c r="E1078"/>
  <c r="E1079"/>
  <c r="E1080"/>
  <c r="E1081"/>
  <c r="E1082"/>
  <c r="E1083"/>
  <c r="E1084"/>
  <c r="E1085"/>
  <c r="E1086"/>
  <c r="E1087"/>
  <c r="E1088"/>
  <c r="E1089"/>
  <c r="E1090"/>
  <c r="K1090" s="1"/>
  <c r="E1091"/>
  <c r="E1092"/>
  <c r="E1093"/>
  <c r="K1093" s="1"/>
  <c r="E1094"/>
  <c r="E1095"/>
  <c r="E1096"/>
  <c r="E1097"/>
  <c r="K1097" s="1"/>
  <c r="E1098"/>
  <c r="K1098" s="1"/>
  <c r="E1099"/>
  <c r="E1100"/>
  <c r="E1101"/>
  <c r="K1101" s="1"/>
  <c r="E1102"/>
  <c r="K1102" s="1"/>
  <c r="E1103"/>
  <c r="E1104"/>
  <c r="K1104" s="1"/>
  <c r="E1105"/>
  <c r="E1106"/>
  <c r="E1107"/>
  <c r="E1108"/>
  <c r="E1109"/>
  <c r="E1110"/>
  <c r="E1111"/>
  <c r="E1112"/>
  <c r="E1113"/>
  <c r="E1114"/>
  <c r="E1115"/>
  <c r="E1116"/>
  <c r="E1117"/>
  <c r="E1118"/>
  <c r="K1118" s="1"/>
  <c r="E1119"/>
  <c r="E1120"/>
  <c r="E1121"/>
  <c r="E1122"/>
  <c r="E1123"/>
  <c r="E1124"/>
  <c r="E1125"/>
  <c r="E1126"/>
  <c r="E1127"/>
  <c r="E1128"/>
  <c r="E1129"/>
  <c r="K1129" s="1"/>
  <c r="E1130"/>
  <c r="E1131"/>
  <c r="E1132"/>
  <c r="E1133"/>
  <c r="K1133" s="1"/>
  <c r="E1134"/>
  <c r="E1135"/>
  <c r="E1136"/>
  <c r="E1137"/>
  <c r="E1138"/>
  <c r="E1139"/>
  <c r="E1140"/>
  <c r="K1140" s="1"/>
  <c r="E1141"/>
  <c r="E1142"/>
  <c r="E1143"/>
  <c r="E1144"/>
  <c r="E1145"/>
  <c r="E1146"/>
  <c r="E1147"/>
  <c r="E1148"/>
  <c r="E1149"/>
  <c r="E1150"/>
  <c r="K1150" s="1"/>
  <c r="E1151"/>
  <c r="E1152"/>
  <c r="E1153"/>
  <c r="E1154"/>
  <c r="K1154" s="1"/>
  <c r="E1155"/>
  <c r="E1156"/>
  <c r="K1156" s="1"/>
  <c r="E1157"/>
  <c r="E1158"/>
  <c r="E1159"/>
  <c r="E1160"/>
  <c r="E1161"/>
  <c r="E1162"/>
  <c r="E1163"/>
  <c r="E1164"/>
  <c r="E1165"/>
  <c r="E1166"/>
  <c r="K1166" s="1"/>
  <c r="E1167"/>
  <c r="E1168"/>
  <c r="K1168" s="1"/>
  <c r="E1169"/>
  <c r="E1170"/>
  <c r="E1171"/>
  <c r="E1172"/>
  <c r="E1173"/>
  <c r="E1174"/>
  <c r="E1175"/>
  <c r="E1176"/>
  <c r="E1177"/>
  <c r="E1178"/>
  <c r="K1178" s="1"/>
  <c r="E1179"/>
  <c r="E1180"/>
  <c r="E1181"/>
  <c r="E1182"/>
  <c r="K1182" s="1"/>
  <c r="E1183"/>
  <c r="E1184"/>
  <c r="E1185"/>
  <c r="E1186"/>
  <c r="K1186" s="1"/>
  <c r="E1187"/>
  <c r="E1188"/>
  <c r="E1189"/>
  <c r="E1190"/>
  <c r="E1191"/>
  <c r="E1192"/>
  <c r="K1192" s="1"/>
  <c r="E1193"/>
  <c r="E1194"/>
  <c r="E1195"/>
  <c r="E1196"/>
  <c r="E1197"/>
  <c r="E1198"/>
  <c r="E1199"/>
  <c r="E1200"/>
  <c r="K1200" s="1"/>
  <c r="E1201"/>
  <c r="E1202"/>
  <c r="E1203"/>
  <c r="E1204"/>
  <c r="K1204" s="1"/>
  <c r="E1205"/>
  <c r="E1206"/>
  <c r="E1207"/>
  <c r="E1208"/>
  <c r="E1209"/>
  <c r="E1210"/>
  <c r="E1211"/>
  <c r="E1212"/>
  <c r="E1213"/>
  <c r="E1214"/>
  <c r="E1215"/>
  <c r="E1216"/>
  <c r="E1217"/>
  <c r="E1218"/>
  <c r="K1218" s="1"/>
  <c r="E1219"/>
  <c r="E1220"/>
  <c r="K1220" s="1"/>
  <c r="E1221"/>
  <c r="E1222"/>
  <c r="E1223"/>
  <c r="E1224"/>
  <c r="E1225"/>
  <c r="E1226"/>
  <c r="K1226" s="1"/>
  <c r="E1227"/>
  <c r="E1228"/>
  <c r="E1229"/>
  <c r="K1229" s="1"/>
  <c r="E1230"/>
  <c r="E1231"/>
  <c r="E1232"/>
  <c r="E1233"/>
  <c r="E1234"/>
  <c r="K1234" s="1"/>
  <c r="E1235"/>
  <c r="E1236"/>
  <c r="E1237"/>
  <c r="E1238"/>
  <c r="E1239"/>
  <c r="E1240"/>
  <c r="E1241"/>
  <c r="E1242"/>
  <c r="E1243"/>
  <c r="E1244"/>
  <c r="E1245"/>
  <c r="E1246"/>
  <c r="E1247"/>
  <c r="E1248"/>
  <c r="K1248" s="1"/>
  <c r="E1249"/>
  <c r="E1250"/>
  <c r="E1251"/>
  <c r="E1252"/>
  <c r="E1253"/>
  <c r="E1254"/>
  <c r="E1255"/>
  <c r="E1256"/>
  <c r="K1256" s="1"/>
  <c r="E1257"/>
  <c r="E1258"/>
  <c r="K1258" s="1"/>
  <c r="E1259"/>
  <c r="E1260"/>
  <c r="K1260" s="1"/>
  <c r="E1261"/>
  <c r="E1262"/>
  <c r="E1263"/>
  <c r="E1264"/>
  <c r="K1264" s="1"/>
  <c r="E1265"/>
  <c r="E1266"/>
  <c r="E1267"/>
  <c r="E1268"/>
  <c r="E1269"/>
  <c r="E1270"/>
  <c r="E1271"/>
  <c r="E1272"/>
  <c r="K1005"/>
  <c r="K1065"/>
  <c r="K996"/>
  <c r="N4"/>
  <c r="O4"/>
  <c r="N5"/>
  <c r="O5"/>
  <c r="N6"/>
  <c r="O6"/>
  <c r="N7"/>
  <c r="O7"/>
  <c r="N8"/>
  <c r="O8"/>
  <c r="O3"/>
  <c r="N3"/>
  <c r="S4"/>
  <c r="S5"/>
  <c r="S6"/>
  <c r="S7"/>
  <c r="S8"/>
  <c r="S3"/>
  <c r="K682"/>
  <c r="K876"/>
  <c r="G8"/>
  <c r="K262"/>
  <c r="K294"/>
  <c r="K326"/>
  <c r="K358"/>
  <c r="K390"/>
  <c r="K422"/>
  <c r="K454"/>
  <c r="K486"/>
  <c r="K518"/>
  <c r="K550"/>
  <c r="K610"/>
  <c r="K684"/>
  <c r="K770"/>
  <c r="K892"/>
  <c r="K1165"/>
  <c r="F22"/>
  <c r="B8" l="1"/>
  <c r="V22" s="1"/>
  <c r="AB35" s="1"/>
  <c r="K1791"/>
  <c r="K1787"/>
  <c r="K1783"/>
  <c r="K1779"/>
  <c r="K1775"/>
  <c r="K1771"/>
  <c r="K1767"/>
  <c r="K1763"/>
  <c r="K1759"/>
  <c r="K1755"/>
  <c r="K1797"/>
  <c r="K1793"/>
  <c r="K1792"/>
  <c r="K1788"/>
  <c r="K1784"/>
  <c r="K1780"/>
  <c r="K1776"/>
  <c r="K1772"/>
  <c r="K1768"/>
  <c r="K1764"/>
  <c r="K1760"/>
  <c r="K1756"/>
  <c r="K1752"/>
  <c r="K1798"/>
  <c r="K1794"/>
  <c r="K1789"/>
  <c r="K1785"/>
  <c r="K1781"/>
  <c r="K1777"/>
  <c r="K1773"/>
  <c r="K1769"/>
  <c r="K1765"/>
  <c r="K1761"/>
  <c r="K1757"/>
  <c r="K1753"/>
  <c r="K1790"/>
  <c r="K1786"/>
  <c r="K1782"/>
  <c r="K1778"/>
  <c r="K1774"/>
  <c r="K1770"/>
  <c r="K1766"/>
  <c r="K1762"/>
  <c r="K1758"/>
  <c r="K1754"/>
  <c r="K1644"/>
  <c r="K1640"/>
  <c r="K1725"/>
  <c r="K1721"/>
  <c r="K1717"/>
  <c r="K1713"/>
  <c r="K1709"/>
  <c r="K1705"/>
  <c r="K1701"/>
  <c r="K1697"/>
  <c r="K1693"/>
  <c r="K1689"/>
  <c r="K1685"/>
  <c r="K1681"/>
  <c r="K1677"/>
  <c r="K1673"/>
  <c r="K1669"/>
  <c r="K1665"/>
  <c r="K1661"/>
  <c r="K1657"/>
  <c r="K1653"/>
  <c r="K1648"/>
  <c r="K1645"/>
  <c r="K1641"/>
  <c r="K1637"/>
  <c r="K1646"/>
  <c r="K1642"/>
  <c r="K1638"/>
  <c r="K1643"/>
  <c r="K1639"/>
  <c r="K1636"/>
  <c r="K1635"/>
  <c r="K1634"/>
  <c r="K1633"/>
  <c r="K1632"/>
  <c r="K1631"/>
  <c r="K1630"/>
  <c r="K1629"/>
  <c r="K1628"/>
  <c r="K1627"/>
  <c r="K1626"/>
  <c r="K1625"/>
  <c r="K1624"/>
  <c r="K1623"/>
  <c r="K1622"/>
  <c r="K1621"/>
  <c r="K1620"/>
  <c r="K1619"/>
  <c r="K1618"/>
  <c r="K1617"/>
  <c r="K1616"/>
  <c r="K1615"/>
  <c r="K1614"/>
  <c r="K1613"/>
  <c r="K1612"/>
  <c r="K1611"/>
  <c r="K1610"/>
  <c r="K1609"/>
  <c r="K1608"/>
  <c r="K1607"/>
  <c r="K1606"/>
  <c r="K1605"/>
  <c r="K1604"/>
  <c r="K1603"/>
  <c r="K1602"/>
  <c r="K1601"/>
  <c r="K1600"/>
  <c r="K1599"/>
  <c r="K1598"/>
  <c r="K1597"/>
  <c r="K1596"/>
  <c r="K1595"/>
  <c r="K1594"/>
  <c r="K1593"/>
  <c r="K1592"/>
  <c r="K1651"/>
  <c r="K1647"/>
  <c r="K1556"/>
  <c r="K1548"/>
  <c r="K1540"/>
  <c r="K1532"/>
  <c r="K1528"/>
  <c r="K1560"/>
  <c r="K1552"/>
  <c r="K1544"/>
  <c r="K1536"/>
  <c r="K1524"/>
  <c r="K1553"/>
  <c r="K1545"/>
  <c r="K1537"/>
  <c r="K1458"/>
  <c r="K1462"/>
  <c r="K1450"/>
  <c r="K1454"/>
  <c r="K1461"/>
  <c r="K1457"/>
  <c r="K1453"/>
  <c r="K1449"/>
  <c r="K1445"/>
  <c r="K1441"/>
  <c r="K1437"/>
  <c r="K1433"/>
  <c r="K1429"/>
  <c r="K1425"/>
  <c r="K1421"/>
  <c r="K1417"/>
  <c r="K1413"/>
  <c r="K1409"/>
  <c r="K1405"/>
  <c r="K1401"/>
  <c r="K1355"/>
  <c r="K1351"/>
  <c r="K1347"/>
  <c r="K1343"/>
  <c r="K1339"/>
  <c r="K1335"/>
  <c r="K1331"/>
  <c r="K1327"/>
  <c r="K1323"/>
  <c r="K466"/>
  <c r="K464"/>
  <c r="K462"/>
  <c r="K460"/>
  <c r="K458"/>
  <c r="K456"/>
  <c r="K452"/>
  <c r="K450"/>
  <c r="K448"/>
  <c r="K446"/>
  <c r="K444"/>
  <c r="K442"/>
  <c r="K440"/>
  <c r="K438"/>
  <c r="K436"/>
  <c r="K434"/>
  <c r="K432"/>
  <c r="K430"/>
  <c r="K428"/>
  <c r="K426"/>
  <c r="K424"/>
  <c r="K420"/>
  <c r="K418"/>
  <c r="K416"/>
  <c r="K414"/>
  <c r="K412"/>
  <c r="K410"/>
  <c r="K408"/>
  <c r="K406"/>
  <c r="K404"/>
  <c r="K402"/>
  <c r="K400"/>
  <c r="K398"/>
  <c r="K396"/>
  <c r="K394"/>
  <c r="K392"/>
  <c r="K388"/>
  <c r="K386"/>
  <c r="K384"/>
  <c r="K382"/>
  <c r="K380"/>
  <c r="K378"/>
  <c r="K376"/>
  <c r="K374"/>
  <c r="K372"/>
  <c r="K370"/>
  <c r="K368"/>
  <c r="K366"/>
  <c r="K364"/>
  <c r="K362"/>
  <c r="K360"/>
  <c r="K356"/>
  <c r="K354"/>
  <c r="K352"/>
  <c r="K350"/>
  <c r="K348"/>
  <c r="K346"/>
  <c r="K344"/>
  <c r="K342"/>
  <c r="K340"/>
  <c r="K338"/>
  <c r="K336"/>
  <c r="K334"/>
  <c r="K332"/>
  <c r="K330"/>
  <c r="K328"/>
  <c r="K324"/>
  <c r="K322"/>
  <c r="K320"/>
  <c r="K318"/>
  <c r="K316"/>
  <c r="K314"/>
  <c r="K312"/>
  <c r="K310"/>
  <c r="K308"/>
  <c r="K306"/>
  <c r="K304"/>
  <c r="K302"/>
  <c r="K300"/>
  <c r="K298"/>
  <c r="K296"/>
  <c r="K292"/>
  <c r="K290"/>
  <c r="K288"/>
  <c r="K286"/>
  <c r="K284"/>
  <c r="K282"/>
  <c r="K280"/>
  <c r="K278"/>
  <c r="K276"/>
  <c r="K274"/>
  <c r="K272"/>
  <c r="K270"/>
  <c r="K268"/>
  <c r="K266"/>
  <c r="K264"/>
  <c r="K260"/>
  <c r="K258"/>
  <c r="K256"/>
  <c r="K254"/>
  <c r="K252"/>
  <c r="K250"/>
  <c r="K248"/>
  <c r="K246"/>
  <c r="K244"/>
  <c r="K242"/>
  <c r="K1038"/>
  <c r="K1000"/>
  <c r="K926"/>
  <c r="K1189"/>
  <c r="Q6"/>
  <c r="K1237"/>
  <c r="K1173"/>
  <c r="K1125"/>
  <c r="K1109"/>
  <c r="K1069"/>
  <c r="K1045"/>
  <c r="K1037"/>
  <c r="K1033"/>
  <c r="K1106"/>
  <c r="K1092"/>
  <c r="K1064"/>
  <c r="K1058"/>
  <c r="K1042"/>
  <c r="K1008"/>
  <c r="K990"/>
  <c r="K970"/>
  <c r="K932"/>
  <c r="Q8"/>
  <c r="K1269"/>
  <c r="K1261"/>
  <c r="K1241"/>
  <c r="K1221"/>
  <c r="K1197"/>
  <c r="K1161"/>
  <c r="K1117"/>
  <c r="K1170"/>
  <c r="K1245"/>
  <c r="K1225"/>
  <c r="K1001"/>
  <c r="K997"/>
  <c r="K1244"/>
  <c r="K1181"/>
  <c r="K1081"/>
  <c r="K1029"/>
  <c r="K1198"/>
  <c r="K1134"/>
  <c r="K1122"/>
  <c r="K1080"/>
  <c r="K1268"/>
  <c r="K1242"/>
  <c r="K1240"/>
  <c r="K1232"/>
  <c r="K1210"/>
  <c r="K1184"/>
  <c r="K1176"/>
  <c r="K1162"/>
  <c r="K1257"/>
  <c r="K1253"/>
  <c r="K1209"/>
  <c r="K1193"/>
  <c r="K1157"/>
  <c r="K1145"/>
  <c r="K1146"/>
  <c r="K1112"/>
  <c r="K1086"/>
  <c r="K1082"/>
  <c r="K1070"/>
  <c r="K1056"/>
  <c r="K1016"/>
  <c r="K1006"/>
  <c r="K948"/>
  <c r="K910"/>
  <c r="K890"/>
  <c r="K862"/>
  <c r="K842"/>
  <c r="K782"/>
  <c r="K718"/>
  <c r="K698"/>
  <c r="Q4"/>
  <c r="Q5"/>
  <c r="Q7"/>
  <c r="Q3"/>
  <c r="K1265"/>
  <c r="K1249"/>
  <c r="K1233"/>
  <c r="K1213"/>
  <c r="K1205"/>
  <c r="K1177"/>
  <c r="K1149"/>
  <c r="K1141"/>
  <c r="K1113"/>
  <c r="K1085"/>
  <c r="K1077"/>
  <c r="K1049"/>
  <c r="K1228"/>
  <c r="K1222"/>
  <c r="K1190"/>
  <c r="K1174"/>
  <c r="K1164"/>
  <c r="K1116"/>
  <c r="K1110"/>
  <c r="K1100"/>
  <c r="K1062"/>
  <c r="K1030"/>
  <c r="K992"/>
  <c r="K952"/>
  <c r="K936"/>
  <c r="K928"/>
  <c r="K912"/>
  <c r="K896"/>
  <c r="K864"/>
  <c r="K848"/>
  <c r="K824"/>
  <c r="K808"/>
  <c r="K784"/>
  <c r="K760"/>
  <c r="K744"/>
  <c r="K720"/>
  <c r="K704"/>
  <c r="K688"/>
  <c r="K672"/>
  <c r="K664"/>
  <c r="K648"/>
  <c r="K624"/>
  <c r="K608"/>
  <c r="K592"/>
  <c r="K576"/>
  <c r="K552"/>
  <c r="K1270"/>
  <c r="K1254"/>
  <c r="K1238"/>
  <c r="K1128"/>
  <c r="K1120"/>
  <c r="K1034"/>
  <c r="K958"/>
  <c r="K874"/>
  <c r="K830"/>
  <c r="K820"/>
  <c r="K810"/>
  <c r="K798"/>
  <c r="K766"/>
  <c r="K756"/>
  <c r="K746"/>
  <c r="K734"/>
  <c r="K670"/>
  <c r="K660"/>
  <c r="K650"/>
  <c r="K638"/>
  <c r="K564"/>
  <c r="K1180"/>
  <c r="K1158"/>
  <c r="K1148"/>
  <c r="K1132"/>
  <c r="K1084"/>
  <c r="K1052"/>
  <c r="K1020"/>
  <c r="K998"/>
  <c r="K984"/>
  <c r="K1271"/>
  <c r="K1267"/>
  <c r="K1263"/>
  <c r="K1259"/>
  <c r="K1255"/>
  <c r="K1251"/>
  <c r="K1247"/>
  <c r="K1243"/>
  <c r="K1239"/>
  <c r="K1235"/>
  <c r="K1231"/>
  <c r="K1227"/>
  <c r="K1223"/>
  <c r="K1219"/>
  <c r="K1217"/>
  <c r="K1215"/>
  <c r="K1211"/>
  <c r="K1207"/>
  <c r="K1203"/>
  <c r="K1201"/>
  <c r="K1199"/>
  <c r="K1195"/>
  <c r="K1191"/>
  <c r="K1187"/>
  <c r="K1185"/>
  <c r="K1183"/>
  <c r="K1179"/>
  <c r="K1175"/>
  <c r="K1171"/>
  <c r="K1169"/>
  <c r="K1167"/>
  <c r="K1163"/>
  <c r="K1159"/>
  <c r="K1155"/>
  <c r="K1153"/>
  <c r="K1151"/>
  <c r="K1147"/>
  <c r="K1143"/>
  <c r="K1139"/>
  <c r="K1137"/>
  <c r="K1135"/>
  <c r="K1131"/>
  <c r="K1127"/>
  <c r="K1123"/>
  <c r="K1121"/>
  <c r="K1119"/>
  <c r="K1115"/>
  <c r="K1111"/>
  <c r="K1107"/>
  <c r="K1105"/>
  <c r="K1103"/>
  <c r="K1099"/>
  <c r="K1095"/>
  <c r="K1091"/>
  <c r="K1089"/>
  <c r="K1087"/>
  <c r="K1083"/>
  <c r="K1079"/>
  <c r="K1075"/>
  <c r="K1073"/>
  <c r="K1071"/>
  <c r="K1067"/>
  <c r="K1063"/>
  <c r="K1059"/>
  <c r="K1057"/>
  <c r="K1055"/>
  <c r="K1051"/>
  <c r="K1047"/>
  <c r="K1043"/>
  <c r="K1041"/>
  <c r="K1039"/>
  <c r="K1035"/>
  <c r="K1031"/>
  <c r="K1027"/>
  <c r="K1025"/>
  <c r="K1023"/>
  <c r="K1019"/>
  <c r="K1015"/>
  <c r="K1011"/>
  <c r="K1009"/>
  <c r="K1007"/>
  <c r="K1003"/>
  <c r="K999"/>
  <c r="K995"/>
  <c r="K993"/>
  <c r="K991"/>
  <c r="K989"/>
  <c r="K987"/>
  <c r="K985"/>
  <c r="K983"/>
  <c r="K981"/>
  <c r="K979"/>
  <c r="K977"/>
  <c r="K975"/>
  <c r="K973"/>
  <c r="K971"/>
  <c r="K969"/>
  <c r="K967"/>
  <c r="K965"/>
  <c r="K963"/>
  <c r="K961"/>
  <c r="K959"/>
  <c r="K957"/>
  <c r="K955"/>
  <c r="K953"/>
  <c r="K951"/>
  <c r="K949"/>
  <c r="K947"/>
  <c r="K945"/>
  <c r="K943"/>
  <c r="K941"/>
  <c r="K939"/>
  <c r="K937"/>
  <c r="K935"/>
  <c r="K933"/>
  <c r="K931"/>
  <c r="K929"/>
  <c r="K927"/>
  <c r="K925"/>
  <c r="K923"/>
  <c r="K921"/>
  <c r="K919"/>
  <c r="K917"/>
  <c r="K915"/>
  <c r="K913"/>
  <c r="K911"/>
  <c r="K909"/>
  <c r="K907"/>
  <c r="K905"/>
  <c r="K903"/>
  <c r="K901"/>
  <c r="K899"/>
  <c r="K897"/>
  <c r="K895"/>
  <c r="K893"/>
  <c r="K891"/>
  <c r="K889"/>
  <c r="K887"/>
  <c r="K885"/>
  <c r="K883"/>
  <c r="K881"/>
  <c r="K879"/>
  <c r="K877"/>
  <c r="K875"/>
  <c r="K873"/>
  <c r="K871"/>
  <c r="K869"/>
  <c r="K867"/>
  <c r="K865"/>
  <c r="K863"/>
  <c r="K861"/>
  <c r="K859"/>
  <c r="K857"/>
  <c r="K855"/>
  <c r="K853"/>
  <c r="K851"/>
  <c r="K849"/>
  <c r="K847"/>
  <c r="K845"/>
  <c r="K843"/>
  <c r="K841"/>
  <c r="K839"/>
  <c r="K837"/>
  <c r="K835"/>
  <c r="K833"/>
  <c r="K831"/>
  <c r="K829"/>
  <c r="K827"/>
  <c r="K825"/>
  <c r="K823"/>
  <c r="K821"/>
  <c r="K819"/>
  <c r="K817"/>
  <c r="K815"/>
  <c r="K813"/>
  <c r="K811"/>
  <c r="K809"/>
  <c r="K807"/>
  <c r="K805"/>
  <c r="K803"/>
  <c r="K801"/>
  <c r="K799"/>
  <c r="K797"/>
  <c r="K795"/>
  <c r="K1114"/>
  <c r="K1022"/>
  <c r="K994"/>
  <c r="K962"/>
  <c r="K940"/>
  <c r="K918"/>
  <c r="K898"/>
  <c r="K866"/>
  <c r="K844"/>
  <c r="K1212"/>
  <c r="K1126"/>
  <c r="K1094"/>
  <c r="K1078"/>
  <c r="K1036"/>
  <c r="K1014"/>
  <c r="K1004"/>
  <c r="K968"/>
  <c r="K960"/>
  <c r="K880"/>
  <c r="K1272"/>
  <c r="K1266"/>
  <c r="K1250"/>
  <c r="K1214"/>
  <c r="K1208"/>
  <c r="K1172"/>
  <c r="K1144"/>
  <c r="K1136"/>
  <c r="K1108"/>
  <c r="K1050"/>
  <c r="K1044"/>
  <c r="K982"/>
  <c r="K972"/>
  <c r="K950"/>
  <c r="K930"/>
  <c r="K908"/>
  <c r="K886"/>
  <c r="K854"/>
  <c r="K834"/>
  <c r="K1262"/>
  <c r="K1252"/>
  <c r="K1246"/>
  <c r="K1236"/>
  <c r="K1230"/>
  <c r="K1224"/>
  <c r="K1216"/>
  <c r="K1202"/>
  <c r="K1194"/>
  <c r="K1188"/>
  <c r="K1160"/>
  <c r="K1152"/>
  <c r="K1138"/>
  <c r="K1130"/>
  <c r="K1124"/>
  <c r="K1096"/>
  <c r="K1088"/>
  <c r="K1074"/>
  <c r="K1066"/>
  <c r="K1060"/>
  <c r="K1032"/>
  <c r="K1024"/>
  <c r="K1010"/>
  <c r="K1002"/>
  <c r="K974"/>
  <c r="K964"/>
  <c r="K954"/>
  <c r="K942"/>
  <c r="K922"/>
  <c r="K878"/>
  <c r="K826"/>
  <c r="K814"/>
  <c r="K804"/>
  <c r="K794"/>
  <c r="K762"/>
  <c r="K750"/>
  <c r="K740"/>
  <c r="K730"/>
  <c r="K676"/>
  <c r="K666"/>
  <c r="K654"/>
  <c r="K644"/>
  <c r="K634"/>
  <c r="K1206"/>
  <c r="K1196"/>
  <c r="K1142"/>
  <c r="K1068"/>
  <c r="K1046"/>
  <c r="K976"/>
  <c r="K944"/>
  <c r="K920"/>
  <c r="K904"/>
  <c r="K888"/>
  <c r="K872"/>
  <c r="K856"/>
  <c r="K840"/>
  <c r="K832"/>
  <c r="K816"/>
  <c r="K800"/>
  <c r="K792"/>
  <c r="K776"/>
  <c r="K768"/>
  <c r="K752"/>
  <c r="K736"/>
  <c r="K728"/>
  <c r="K712"/>
  <c r="K696"/>
  <c r="K680"/>
  <c r="K656"/>
  <c r="K640"/>
  <c r="K632"/>
  <c r="K616"/>
  <c r="K600"/>
  <c r="K584"/>
  <c r="K568"/>
  <c r="K560"/>
  <c r="K793"/>
  <c r="K791"/>
  <c r="K789"/>
  <c r="K787"/>
  <c r="K785"/>
  <c r="K783"/>
  <c r="K781"/>
  <c r="K779"/>
  <c r="K777"/>
  <c r="K775"/>
  <c r="K773"/>
  <c r="K771"/>
  <c r="K769"/>
  <c r="K767"/>
  <c r="K765"/>
  <c r="K763"/>
  <c r="K761"/>
  <c r="K759"/>
  <c r="K757"/>
  <c r="K755"/>
  <c r="K753"/>
  <c r="K751"/>
  <c r="K749"/>
  <c r="K747"/>
  <c r="K745"/>
  <c r="K743"/>
  <c r="K741"/>
  <c r="K739"/>
  <c r="K737"/>
  <c r="K735"/>
  <c r="K733"/>
  <c r="K731"/>
  <c r="K729"/>
  <c r="K727"/>
  <c r="K725"/>
  <c r="K723"/>
  <c r="K721"/>
  <c r="K719"/>
  <c r="K717"/>
  <c r="K715"/>
  <c r="K713"/>
  <c r="K711"/>
  <c r="K709"/>
  <c r="K707"/>
  <c r="K705"/>
  <c r="K703"/>
  <c r="K701"/>
  <c r="K699"/>
  <c r="K697"/>
  <c r="K695"/>
  <c r="K693"/>
  <c r="K691"/>
  <c r="K689"/>
  <c r="K687"/>
  <c r="K685"/>
  <c r="K683"/>
  <c r="K681"/>
  <c r="K679"/>
  <c r="K677"/>
  <c r="K675"/>
  <c r="K673"/>
  <c r="K671"/>
  <c r="K669"/>
  <c r="K667"/>
  <c r="K665"/>
  <c r="K663"/>
  <c r="K661"/>
  <c r="K659"/>
  <c r="K657"/>
  <c r="K655"/>
  <c r="K653"/>
  <c r="K651"/>
  <c r="K649"/>
  <c r="K647"/>
  <c r="K645"/>
  <c r="K643"/>
  <c r="K641"/>
  <c r="K639"/>
  <c r="K637"/>
  <c r="K635"/>
  <c r="K633"/>
  <c r="K631"/>
  <c r="K629"/>
  <c r="K627"/>
  <c r="K625"/>
  <c r="K623"/>
  <c r="K621"/>
  <c r="K619"/>
  <c r="K617"/>
  <c r="K615"/>
  <c r="K613"/>
  <c r="K611"/>
  <c r="K609"/>
  <c r="K607"/>
  <c r="K605"/>
  <c r="K603"/>
  <c r="K601"/>
  <c r="K599"/>
  <c r="K597"/>
  <c r="K595"/>
  <c r="K593"/>
  <c r="K591"/>
  <c r="K589"/>
  <c r="K587"/>
  <c r="K585"/>
  <c r="K583"/>
  <c r="K581"/>
  <c r="K579"/>
  <c r="K577"/>
  <c r="K575"/>
  <c r="K573"/>
  <c r="K571"/>
  <c r="K569"/>
  <c r="K567"/>
  <c r="K565"/>
  <c r="K563"/>
  <c r="K561"/>
  <c r="K559"/>
  <c r="K557"/>
  <c r="K555"/>
  <c r="K553"/>
  <c r="K551"/>
  <c r="K549"/>
  <c r="K547"/>
  <c r="K545"/>
  <c r="K543"/>
  <c r="K541"/>
  <c r="K539"/>
  <c r="K537"/>
  <c r="K535"/>
  <c r="K533"/>
  <c r="K531"/>
  <c r="K529"/>
  <c r="K527"/>
  <c r="K525"/>
  <c r="K523"/>
  <c r="K521"/>
  <c r="K519"/>
  <c r="K517"/>
  <c r="K515"/>
  <c r="K513"/>
  <c r="K511"/>
  <c r="K509"/>
  <c r="K507"/>
  <c r="K505"/>
  <c r="K503"/>
  <c r="K501"/>
  <c r="K499"/>
  <c r="K497"/>
  <c r="K495"/>
  <c r="K493"/>
  <c r="K491"/>
  <c r="K489"/>
  <c r="K487"/>
  <c r="K485"/>
  <c r="K483"/>
  <c r="K481"/>
  <c r="K479"/>
  <c r="K477"/>
  <c r="K475"/>
  <c r="K473"/>
  <c r="K471"/>
  <c r="K469"/>
  <c r="K467"/>
  <c r="K465"/>
  <c r="K463"/>
  <c r="K461"/>
  <c r="K459"/>
  <c r="K457"/>
  <c r="K455"/>
  <c r="K453"/>
  <c r="K451"/>
  <c r="K449"/>
  <c r="K447"/>
  <c r="K445"/>
  <c r="K443"/>
  <c r="K441"/>
  <c r="K439"/>
  <c r="K437"/>
  <c r="K435"/>
  <c r="K433"/>
  <c r="K431"/>
  <c r="K429"/>
  <c r="K427"/>
  <c r="K425"/>
  <c r="K423"/>
  <c r="K421"/>
  <c r="K419"/>
  <c r="K417"/>
  <c r="K415"/>
  <c r="K413"/>
  <c r="K411"/>
  <c r="K409"/>
  <c r="K407"/>
  <c r="K405"/>
  <c r="K403"/>
  <c r="K401"/>
  <c r="K399"/>
  <c r="K397"/>
  <c r="K395"/>
  <c r="K393"/>
  <c r="K391"/>
  <c r="K389"/>
  <c r="K387"/>
  <c r="K385"/>
  <c r="K383"/>
  <c r="K381"/>
  <c r="K379"/>
  <c r="K377"/>
  <c r="K375"/>
  <c r="K373"/>
  <c r="K371"/>
  <c r="K369"/>
  <c r="K367"/>
  <c r="K365"/>
  <c r="K363"/>
  <c r="K361"/>
  <c r="K359"/>
  <c r="K357"/>
  <c r="K355"/>
  <c r="K353"/>
  <c r="K351"/>
  <c r="K349"/>
  <c r="K347"/>
  <c r="K345"/>
  <c r="K343"/>
  <c r="K341"/>
  <c r="K339"/>
  <c r="K337"/>
  <c r="K335"/>
  <c r="K333"/>
  <c r="K331"/>
  <c r="K329"/>
  <c r="K327"/>
  <c r="K325"/>
  <c r="K323"/>
  <c r="K321"/>
  <c r="K319"/>
  <c r="K317"/>
  <c r="K315"/>
  <c r="K313"/>
  <c r="K311"/>
  <c r="K309"/>
  <c r="K307"/>
  <c r="K305"/>
  <c r="K303"/>
  <c r="K301"/>
  <c r="K299"/>
  <c r="K297"/>
  <c r="K295"/>
  <c r="K293"/>
  <c r="K291"/>
  <c r="K289"/>
  <c r="K287"/>
  <c r="K285"/>
  <c r="K283"/>
  <c r="F24"/>
  <c r="J1800" s="1"/>
  <c r="K240"/>
  <c r="K281"/>
  <c r="K279"/>
  <c r="K277"/>
  <c r="K275"/>
  <c r="K273"/>
  <c r="K271"/>
  <c r="K269"/>
  <c r="K267"/>
  <c r="K265"/>
  <c r="K263"/>
  <c r="K261"/>
  <c r="K259"/>
  <c r="K257"/>
  <c r="K255"/>
  <c r="K253"/>
  <c r="K251"/>
  <c r="K249"/>
  <c r="K247"/>
  <c r="K245"/>
  <c r="K243"/>
  <c r="K241"/>
  <c r="K239"/>
  <c r="K237"/>
  <c r="K235"/>
  <c r="K233"/>
  <c r="K231"/>
  <c r="K229"/>
  <c r="K227"/>
  <c r="K225"/>
  <c r="K223"/>
  <c r="K221"/>
  <c r="K219"/>
  <c r="K217"/>
  <c r="K215"/>
  <c r="K213"/>
  <c r="K211"/>
  <c r="K209"/>
  <c r="K207"/>
  <c r="K205"/>
  <c r="K203"/>
  <c r="K201"/>
  <c r="K199"/>
  <c r="K197"/>
  <c r="K195"/>
  <c r="K193"/>
  <c r="K191"/>
  <c r="K189"/>
  <c r="K187"/>
  <c r="K185"/>
  <c r="K183"/>
  <c r="K181"/>
  <c r="K179"/>
  <c r="K177"/>
  <c r="K175"/>
  <c r="K173"/>
  <c r="K171"/>
  <c r="K169"/>
  <c r="K167"/>
  <c r="K165"/>
  <c r="K163"/>
  <c r="K161"/>
  <c r="K159"/>
  <c r="K157"/>
  <c r="K155"/>
  <c r="K153"/>
  <c r="K151"/>
  <c r="K149"/>
  <c r="K147"/>
  <c r="K145"/>
  <c r="K143"/>
  <c r="K141"/>
  <c r="K139"/>
  <c r="K137"/>
  <c r="K135"/>
  <c r="K133"/>
  <c r="K131"/>
  <c r="K129"/>
  <c r="K127"/>
  <c r="K125"/>
  <c r="K123"/>
  <c r="K121"/>
  <c r="K119"/>
  <c r="K117"/>
  <c r="K115"/>
  <c r="K113"/>
  <c r="K111"/>
  <c r="K109"/>
  <c r="K107"/>
  <c r="K105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9"/>
  <c r="K37"/>
  <c r="K35"/>
  <c r="K33"/>
  <c r="K238"/>
  <c r="K236"/>
  <c r="K234"/>
  <c r="K232"/>
  <c r="K230"/>
  <c r="K228"/>
  <c r="K226"/>
  <c r="K224"/>
  <c r="K222"/>
  <c r="K220"/>
  <c r="K218"/>
  <c r="K216"/>
  <c r="K214"/>
  <c r="K212"/>
  <c r="K210"/>
  <c r="K208"/>
  <c r="K206"/>
  <c r="K204"/>
  <c r="K202"/>
  <c r="K200"/>
  <c r="K198"/>
  <c r="K196"/>
  <c r="K194"/>
  <c r="K192"/>
  <c r="K190"/>
  <c r="K188"/>
  <c r="K186"/>
  <c r="K184"/>
  <c r="K182"/>
  <c r="K180"/>
  <c r="K178"/>
  <c r="K176"/>
  <c r="K174"/>
  <c r="K172"/>
  <c r="K170"/>
  <c r="K168"/>
  <c r="K166"/>
  <c r="K164"/>
  <c r="K162"/>
  <c r="K160"/>
  <c r="K158"/>
  <c r="K156"/>
  <c r="K154"/>
  <c r="K152"/>
  <c r="K150"/>
  <c r="K148"/>
  <c r="K146"/>
  <c r="K144"/>
  <c r="K142"/>
  <c r="K140"/>
  <c r="K138"/>
  <c r="K136"/>
  <c r="K134"/>
  <c r="K132"/>
  <c r="K130"/>
  <c r="K128"/>
  <c r="K126"/>
  <c r="K124"/>
  <c r="K122"/>
  <c r="K120"/>
  <c r="K118"/>
  <c r="K116"/>
  <c r="K114"/>
  <c r="K112"/>
  <c r="K110"/>
  <c r="K108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Q1800" l="1"/>
  <c r="O1800"/>
  <c r="P1800"/>
  <c r="J1402"/>
  <c r="P1402" s="1"/>
  <c r="J1410"/>
  <c r="P1410" s="1"/>
  <c r="J1418"/>
  <c r="J1426"/>
  <c r="J1434"/>
  <c r="P1434" s="1"/>
  <c r="J1442"/>
  <c r="P1442" s="1"/>
  <c r="J1454"/>
  <c r="Q1454" s="1"/>
  <c r="J1450"/>
  <c r="Q1450" s="1"/>
  <c r="J1462"/>
  <c r="Q1462" s="1"/>
  <c r="J1492"/>
  <c r="Q1492" s="1"/>
  <c r="J1508"/>
  <c r="Q1508" s="1"/>
  <c r="J1458"/>
  <c r="Q1458" s="1"/>
  <c r="J1564"/>
  <c r="Q1564" s="1"/>
  <c r="J1568"/>
  <c r="O1568" s="1"/>
  <c r="J1572"/>
  <c r="Q1572" s="1"/>
  <c r="J1576"/>
  <c r="O1576" s="1"/>
  <c r="J1580"/>
  <c r="P1580" s="1"/>
  <c r="J1584"/>
  <c r="O1584" s="1"/>
  <c r="J1588"/>
  <c r="Q1588" s="1"/>
  <c r="J1528"/>
  <c r="Q1528" s="1"/>
  <c r="J1593"/>
  <c r="Q1593" s="1"/>
  <c r="J1595"/>
  <c r="Q1595" s="1"/>
  <c r="J1597"/>
  <c r="Q1597" s="1"/>
  <c r="J1599"/>
  <c r="Q1599" s="1"/>
  <c r="J1601"/>
  <c r="Q1601" s="1"/>
  <c r="J1603"/>
  <c r="Q1603" s="1"/>
  <c r="J1605"/>
  <c r="Q1605" s="1"/>
  <c r="J1607"/>
  <c r="Q1607" s="1"/>
  <c r="J1609"/>
  <c r="Q1609" s="1"/>
  <c r="J1611"/>
  <c r="Q1611" s="1"/>
  <c r="J1613"/>
  <c r="Q1613" s="1"/>
  <c r="J1615"/>
  <c r="Q1615" s="1"/>
  <c r="J1617"/>
  <c r="Q1617" s="1"/>
  <c r="J1619"/>
  <c r="Q1619" s="1"/>
  <c r="J1621"/>
  <c r="Q1621" s="1"/>
  <c r="J1623"/>
  <c r="Q1623" s="1"/>
  <c r="J1625"/>
  <c r="Q1625" s="1"/>
  <c r="J1627"/>
  <c r="Q1627" s="1"/>
  <c r="J1629"/>
  <c r="Q1629" s="1"/>
  <c r="J1631"/>
  <c r="Q1631" s="1"/>
  <c r="J1633"/>
  <c r="Q1633" s="1"/>
  <c r="J1635"/>
  <c r="Q1635" s="1"/>
  <c r="J1639"/>
  <c r="Q1639" s="1"/>
  <c r="J1638"/>
  <c r="Q1638" s="1"/>
  <c r="J1646"/>
  <c r="Q1646" s="1"/>
  <c r="J1641"/>
  <c r="Q1641" s="1"/>
  <c r="J1728"/>
  <c r="Q1728" s="1"/>
  <c r="J1732"/>
  <c r="Q1732" s="1"/>
  <c r="J1736"/>
  <c r="P1736" s="1"/>
  <c r="J1740"/>
  <c r="P1740" s="1"/>
  <c r="J1744"/>
  <c r="J1748"/>
  <c r="J1640"/>
  <c r="Q1640" s="1"/>
  <c r="J1802"/>
  <c r="Q1802" s="1"/>
  <c r="J1806"/>
  <c r="Q1806" s="1"/>
  <c r="J1810"/>
  <c r="Q1810" s="1"/>
  <c r="J1814"/>
  <c r="Q1814" s="1"/>
  <c r="J1818"/>
  <c r="Q1818" s="1"/>
  <c r="J1822"/>
  <c r="Q1822" s="1"/>
  <c r="J1825"/>
  <c r="J1830"/>
  <c r="Q1830" s="1"/>
  <c r="J1833"/>
  <c r="O1833" s="1"/>
  <c r="J1838"/>
  <c r="Q1838" s="1"/>
  <c r="J1841"/>
  <c r="J1846"/>
  <c r="Q1846" s="1"/>
  <c r="J1849"/>
  <c r="O1849" s="1"/>
  <c r="J1854"/>
  <c r="Q1854" s="1"/>
  <c r="J1857"/>
  <c r="J1324"/>
  <c r="J1340"/>
  <c r="J1356"/>
  <c r="J1405"/>
  <c r="Q1405" s="1"/>
  <c r="J1421"/>
  <c r="Q1421" s="1"/>
  <c r="J1437"/>
  <c r="Q1437" s="1"/>
  <c r="J1453"/>
  <c r="Q1453" s="1"/>
  <c r="J1485"/>
  <c r="J1517"/>
  <c r="J1701"/>
  <c r="Q1701" s="1"/>
  <c r="J1717"/>
  <c r="Q1717" s="1"/>
  <c r="J1795"/>
  <c r="J1481"/>
  <c r="J1513"/>
  <c r="J1537"/>
  <c r="Q1537" s="1"/>
  <c r="J1648"/>
  <c r="Q1648" s="1"/>
  <c r="J1323"/>
  <c r="Q1323" s="1"/>
  <c r="J1339"/>
  <c r="Q1339" s="1"/>
  <c r="J1355"/>
  <c r="Q1355" s="1"/>
  <c r="J1493"/>
  <c r="J1525"/>
  <c r="J1661"/>
  <c r="Q1661" s="1"/>
  <c r="J1677"/>
  <c r="Q1677" s="1"/>
  <c r="J1698"/>
  <c r="J1714"/>
  <c r="J1794"/>
  <c r="Q1794" s="1"/>
  <c r="J1461"/>
  <c r="Q1461" s="1"/>
  <c r="J1505"/>
  <c r="J1649"/>
  <c r="J1246"/>
  <c r="P1246" s="1"/>
  <c r="J1274"/>
  <c r="J1278"/>
  <c r="J1282"/>
  <c r="J1286"/>
  <c r="J1290"/>
  <c r="J1291"/>
  <c r="J1292"/>
  <c r="J1293"/>
  <c r="J1299"/>
  <c r="J1300"/>
  <c r="J1301"/>
  <c r="J1307"/>
  <c r="J1308"/>
  <c r="J1315"/>
  <c r="J1316"/>
  <c r="J1321"/>
  <c r="J1322"/>
  <c r="J1325"/>
  <c r="J1326"/>
  <c r="J1329"/>
  <c r="J1330"/>
  <c r="J1333"/>
  <c r="J1334"/>
  <c r="J1337"/>
  <c r="J1338"/>
  <c r="J1341"/>
  <c r="J1342"/>
  <c r="J1345"/>
  <c r="J1346"/>
  <c r="J1349"/>
  <c r="J1350"/>
  <c r="J1353"/>
  <c r="J1354"/>
  <c r="J1357"/>
  <c r="J1358"/>
  <c r="J1360"/>
  <c r="J1364"/>
  <c r="J1368"/>
  <c r="J1374"/>
  <c r="J1375"/>
  <c r="J1382"/>
  <c r="J1383"/>
  <c r="J1390"/>
  <c r="J1391"/>
  <c r="J1463"/>
  <c r="J1467"/>
  <c r="J1472"/>
  <c r="J1473"/>
  <c r="J1482"/>
  <c r="J1483"/>
  <c r="J1498"/>
  <c r="J1499"/>
  <c r="J1514"/>
  <c r="J1515"/>
  <c r="J1530"/>
  <c r="J1531"/>
  <c r="J1534"/>
  <c r="J1535"/>
  <c r="J1273"/>
  <c r="J1277"/>
  <c r="J1281"/>
  <c r="J1285"/>
  <c r="J1289"/>
  <c r="J1298"/>
  <c r="J1306"/>
  <c r="J1313"/>
  <c r="J1314"/>
  <c r="J1359"/>
  <c r="J1363"/>
  <c r="J1367"/>
  <c r="J1372"/>
  <c r="J1373"/>
  <c r="J1380"/>
  <c r="J1381"/>
  <c r="J1388"/>
  <c r="J1389"/>
  <c r="J1396"/>
  <c r="J1397"/>
  <c r="J1459"/>
  <c r="J1460"/>
  <c r="J1466"/>
  <c r="J1470"/>
  <c r="J1471"/>
  <c r="J1478"/>
  <c r="J1479"/>
  <c r="J1494"/>
  <c r="J1495"/>
  <c r="J1510"/>
  <c r="J1511"/>
  <c r="J1526"/>
  <c r="J1527"/>
  <c r="J1538"/>
  <c r="J1539"/>
  <c r="J1542"/>
  <c r="J1543"/>
  <c r="J1652"/>
  <c r="J1655"/>
  <c r="J1656"/>
  <c r="J1659"/>
  <c r="J1660"/>
  <c r="J1663"/>
  <c r="J1664"/>
  <c r="J1667"/>
  <c r="J1668"/>
  <c r="J1671"/>
  <c r="J1672"/>
  <c r="J1675"/>
  <c r="J1676"/>
  <c r="J1679"/>
  <c r="J1680"/>
  <c r="J1683"/>
  <c r="J1684"/>
  <c r="J1687"/>
  <c r="J1688"/>
  <c r="J1276"/>
  <c r="J1280"/>
  <c r="J1284"/>
  <c r="J1288"/>
  <c r="J1295"/>
  <c r="J1296"/>
  <c r="J1297"/>
  <c r="J1303"/>
  <c r="J1304"/>
  <c r="J1305"/>
  <c r="J1311"/>
  <c r="J1312"/>
  <c r="J1319"/>
  <c r="J1320"/>
  <c r="J1362"/>
  <c r="J1366"/>
  <c r="J1370"/>
  <c r="J1371"/>
  <c r="J1378"/>
  <c r="J1379"/>
  <c r="J1386"/>
  <c r="J1387"/>
  <c r="J1394"/>
  <c r="J1395"/>
  <c r="J1399"/>
  <c r="J1400"/>
  <c r="J1403"/>
  <c r="J1404"/>
  <c r="J1407"/>
  <c r="J1408"/>
  <c r="J1411"/>
  <c r="J1412"/>
  <c r="J1415"/>
  <c r="J1416"/>
  <c r="J1419"/>
  <c r="J1420"/>
  <c r="J1423"/>
  <c r="J1424"/>
  <c r="J1427"/>
  <c r="J1428"/>
  <c r="J1431"/>
  <c r="J1432"/>
  <c r="J1435"/>
  <c r="J1436"/>
  <c r="J1439"/>
  <c r="J1440"/>
  <c r="J1443"/>
  <c r="J1444"/>
  <c r="J1447"/>
  <c r="J1448"/>
  <c r="J1451"/>
  <c r="J1452"/>
  <c r="J1455"/>
  <c r="J1456"/>
  <c r="J1465"/>
  <c r="J1469"/>
  <c r="J1476"/>
  <c r="J1477"/>
  <c r="J1490"/>
  <c r="J1491"/>
  <c r="J1506"/>
  <c r="J1507"/>
  <c r="J1522"/>
  <c r="J1523"/>
  <c r="J1546"/>
  <c r="J1547"/>
  <c r="J1550"/>
  <c r="J1551"/>
  <c r="J1691"/>
  <c r="J1692"/>
  <c r="J1695"/>
  <c r="J1696"/>
  <c r="J1699"/>
  <c r="J1700"/>
  <c r="J1703"/>
  <c r="J1704"/>
  <c r="J1707"/>
  <c r="J1708"/>
  <c r="J1711"/>
  <c r="J1712"/>
  <c r="J1715"/>
  <c r="J1716"/>
  <c r="J1719"/>
  <c r="J1720"/>
  <c r="J1723"/>
  <c r="J1724"/>
  <c r="J1275"/>
  <c r="J1279"/>
  <c r="J1283"/>
  <c r="J1287"/>
  <c r="J1294"/>
  <c r="J1302"/>
  <c r="J1309"/>
  <c r="J1310"/>
  <c r="J1317"/>
  <c r="J1318"/>
  <c r="J1361"/>
  <c r="J1365"/>
  <c r="J1369"/>
  <c r="J1376"/>
  <c r="J1377"/>
  <c r="J1384"/>
  <c r="J1385"/>
  <c r="J1392"/>
  <c r="J1393"/>
  <c r="J1464"/>
  <c r="J1468"/>
  <c r="J1474"/>
  <c r="J1475"/>
  <c r="J1486"/>
  <c r="J1487"/>
  <c r="J1502"/>
  <c r="J1503"/>
  <c r="J1518"/>
  <c r="J1519"/>
  <c r="J1554"/>
  <c r="J1555"/>
  <c r="J1558"/>
  <c r="J1559"/>
  <c r="J1488"/>
  <c r="J1504"/>
  <c r="P1504" s="1"/>
  <c r="J1520"/>
  <c r="P1520" s="1"/>
  <c r="J1563"/>
  <c r="O1563" s="1"/>
  <c r="J1567"/>
  <c r="J1571"/>
  <c r="O1571" s="1"/>
  <c r="J1575"/>
  <c r="Q1575" s="1"/>
  <c r="J1579"/>
  <c r="O1579" s="1"/>
  <c r="J1583"/>
  <c r="J1587"/>
  <c r="O1587" s="1"/>
  <c r="J1591"/>
  <c r="Q1591" s="1"/>
  <c r="J1654"/>
  <c r="Q1654" s="1"/>
  <c r="J1662"/>
  <c r="Q1662" s="1"/>
  <c r="J1670"/>
  <c r="Q1670" s="1"/>
  <c r="J1678"/>
  <c r="J1686"/>
  <c r="Q1686" s="1"/>
  <c r="J1727"/>
  <c r="Q1727" s="1"/>
  <c r="J1731"/>
  <c r="Q1731" s="1"/>
  <c r="J1735"/>
  <c r="Q1735" s="1"/>
  <c r="J1739"/>
  <c r="Q1739" s="1"/>
  <c r="J1743"/>
  <c r="Q1743" s="1"/>
  <c r="J1747"/>
  <c r="Q1747" s="1"/>
  <c r="J1751"/>
  <c r="P1751" s="1"/>
  <c r="J1754"/>
  <c r="Q1754" s="1"/>
  <c r="J1762"/>
  <c r="Q1762" s="1"/>
  <c r="J1770"/>
  <c r="Q1770" s="1"/>
  <c r="J1778"/>
  <c r="Q1778" s="1"/>
  <c r="J1786"/>
  <c r="Q1786" s="1"/>
  <c r="J1757"/>
  <c r="Q1757" s="1"/>
  <c r="J1765"/>
  <c r="Q1765" s="1"/>
  <c r="J1773"/>
  <c r="Q1773" s="1"/>
  <c r="J1781"/>
  <c r="Q1781" s="1"/>
  <c r="J1789"/>
  <c r="Q1789" s="1"/>
  <c r="J1756"/>
  <c r="Q1756" s="1"/>
  <c r="J1764"/>
  <c r="Q1764" s="1"/>
  <c r="J1772"/>
  <c r="Q1772" s="1"/>
  <c r="J1780"/>
  <c r="Q1780" s="1"/>
  <c r="J1788"/>
  <c r="Q1788" s="1"/>
  <c r="J1801"/>
  <c r="Q1801" s="1"/>
  <c r="J1805"/>
  <c r="Q1805" s="1"/>
  <c r="J1809"/>
  <c r="Q1809" s="1"/>
  <c r="J1813"/>
  <c r="Q1813" s="1"/>
  <c r="J1817"/>
  <c r="Q1817" s="1"/>
  <c r="J1821"/>
  <c r="Q1821" s="1"/>
  <c r="J1824"/>
  <c r="Q1824" s="1"/>
  <c r="J1827"/>
  <c r="O1827" s="1"/>
  <c r="J1832"/>
  <c r="Q1832" s="1"/>
  <c r="J1835"/>
  <c r="O1835" s="1"/>
  <c r="J1840"/>
  <c r="Q1840" s="1"/>
  <c r="J1843"/>
  <c r="O1843" s="1"/>
  <c r="J1848"/>
  <c r="Q1848" s="1"/>
  <c r="J1851"/>
  <c r="J1856"/>
  <c r="Q1856" s="1"/>
  <c r="J1755"/>
  <c r="Q1755" s="1"/>
  <c r="J1763"/>
  <c r="Q1763" s="1"/>
  <c r="J1771"/>
  <c r="Q1771" s="1"/>
  <c r="J1779"/>
  <c r="Q1779" s="1"/>
  <c r="J1787"/>
  <c r="Q1787" s="1"/>
  <c r="J1336"/>
  <c r="J1352"/>
  <c r="J1401"/>
  <c r="Q1401" s="1"/>
  <c r="J1417"/>
  <c r="Q1417" s="1"/>
  <c r="J1433"/>
  <c r="Q1433" s="1"/>
  <c r="J1449"/>
  <c r="Q1449" s="1"/>
  <c r="J1651"/>
  <c r="Q1651" s="1"/>
  <c r="J1697"/>
  <c r="Q1697" s="1"/>
  <c r="J1713"/>
  <c r="Q1713" s="1"/>
  <c r="J1793"/>
  <c r="Q1793" s="1"/>
  <c r="J1533"/>
  <c r="J1560"/>
  <c r="Q1560" s="1"/>
  <c r="J1335"/>
  <c r="Q1335" s="1"/>
  <c r="J1351"/>
  <c r="Q1351" s="1"/>
  <c r="J1657"/>
  <c r="Q1657" s="1"/>
  <c r="J1673"/>
  <c r="Q1673" s="1"/>
  <c r="J1694"/>
  <c r="J1710"/>
  <c r="J1726"/>
  <c r="J1799"/>
  <c r="J1647"/>
  <c r="J1398"/>
  <c r="J1406"/>
  <c r="P1406" s="1"/>
  <c r="J1414"/>
  <c r="P1414" s="1"/>
  <c r="J1422"/>
  <c r="P1422" s="1"/>
  <c r="J1430"/>
  <c r="P1430" s="1"/>
  <c r="J1438"/>
  <c r="P1438" s="1"/>
  <c r="J1446"/>
  <c r="P1446" s="1"/>
  <c r="J1484"/>
  <c r="Q1484" s="1"/>
  <c r="J1500"/>
  <c r="Q1500" s="1"/>
  <c r="J1516"/>
  <c r="Q1516" s="1"/>
  <c r="J1562"/>
  <c r="P1562" s="1"/>
  <c r="J1566"/>
  <c r="O1566" s="1"/>
  <c r="J1570"/>
  <c r="O1570" s="1"/>
  <c r="J1574"/>
  <c r="O1574" s="1"/>
  <c r="J1578"/>
  <c r="P1578" s="1"/>
  <c r="J1582"/>
  <c r="O1582" s="1"/>
  <c r="J1586"/>
  <c r="P1586" s="1"/>
  <c r="J1590"/>
  <c r="O1590" s="1"/>
  <c r="J1536"/>
  <c r="Q1536" s="1"/>
  <c r="J1544"/>
  <c r="Q1544" s="1"/>
  <c r="J1552"/>
  <c r="Q1552" s="1"/>
  <c r="J1532"/>
  <c r="Q1532" s="1"/>
  <c r="J1540"/>
  <c r="Q1540" s="1"/>
  <c r="J1548"/>
  <c r="Q1548" s="1"/>
  <c r="J1556"/>
  <c r="Q1556" s="1"/>
  <c r="J1592"/>
  <c r="Q1592" s="1"/>
  <c r="J1594"/>
  <c r="Q1594" s="1"/>
  <c r="J1596"/>
  <c r="Q1596" s="1"/>
  <c r="J1598"/>
  <c r="Q1598" s="1"/>
  <c r="J1600"/>
  <c r="Q1600" s="1"/>
  <c r="J1602"/>
  <c r="Q1602" s="1"/>
  <c r="J1604"/>
  <c r="Q1604" s="1"/>
  <c r="J1606"/>
  <c r="Q1606" s="1"/>
  <c r="J1608"/>
  <c r="Q1608" s="1"/>
  <c r="J1610"/>
  <c r="Q1610" s="1"/>
  <c r="J1612"/>
  <c r="Q1612" s="1"/>
  <c r="J1614"/>
  <c r="Q1614" s="1"/>
  <c r="J1616"/>
  <c r="Q1616" s="1"/>
  <c r="J1618"/>
  <c r="Q1618" s="1"/>
  <c r="J1620"/>
  <c r="Q1620" s="1"/>
  <c r="J1622"/>
  <c r="Q1622" s="1"/>
  <c r="J1624"/>
  <c r="Q1624" s="1"/>
  <c r="J1626"/>
  <c r="Q1626" s="1"/>
  <c r="J1628"/>
  <c r="Q1628" s="1"/>
  <c r="J1630"/>
  <c r="Q1630" s="1"/>
  <c r="J1632"/>
  <c r="Q1632" s="1"/>
  <c r="J1634"/>
  <c r="Q1634" s="1"/>
  <c r="J1636"/>
  <c r="Q1636" s="1"/>
  <c r="J1643"/>
  <c r="Q1643" s="1"/>
  <c r="J1642"/>
  <c r="Q1642" s="1"/>
  <c r="J1637"/>
  <c r="Q1637" s="1"/>
  <c r="J1645"/>
  <c r="Q1645" s="1"/>
  <c r="J1730"/>
  <c r="P1730" s="1"/>
  <c r="J1734"/>
  <c r="J1738"/>
  <c r="P1738" s="1"/>
  <c r="J1742"/>
  <c r="P1742" s="1"/>
  <c r="J1746"/>
  <c r="P1746" s="1"/>
  <c r="J1750"/>
  <c r="P1750" s="1"/>
  <c r="J1644"/>
  <c r="Q1644" s="1"/>
  <c r="J1804"/>
  <c r="Q1804" s="1"/>
  <c r="J1808"/>
  <c r="Q1808" s="1"/>
  <c r="J1812"/>
  <c r="Q1812" s="1"/>
  <c r="J1816"/>
  <c r="Q1816" s="1"/>
  <c r="J1820"/>
  <c r="Q1820" s="1"/>
  <c r="J1826"/>
  <c r="Q1826" s="1"/>
  <c r="J1829"/>
  <c r="O1829" s="1"/>
  <c r="J1834"/>
  <c r="Q1834" s="1"/>
  <c r="J1837"/>
  <c r="O1837" s="1"/>
  <c r="J1842"/>
  <c r="Q1842" s="1"/>
  <c r="J1845"/>
  <c r="O1845" s="1"/>
  <c r="J1850"/>
  <c r="Q1850" s="1"/>
  <c r="J1853"/>
  <c r="O1853" s="1"/>
  <c r="J1858"/>
  <c r="Q1858" s="1"/>
  <c r="J1332"/>
  <c r="J1348"/>
  <c r="J1413"/>
  <c r="Q1413" s="1"/>
  <c r="J1429"/>
  <c r="Q1429" s="1"/>
  <c r="J1445"/>
  <c r="Q1445" s="1"/>
  <c r="J1501"/>
  <c r="J1557"/>
  <c r="J1693"/>
  <c r="Q1693" s="1"/>
  <c r="J1709"/>
  <c r="Q1709" s="1"/>
  <c r="J1725"/>
  <c r="Q1725" s="1"/>
  <c r="J1497"/>
  <c r="J1529"/>
  <c r="J1796"/>
  <c r="J1331"/>
  <c r="Q1331" s="1"/>
  <c r="J1347"/>
  <c r="Q1347" s="1"/>
  <c r="J1509"/>
  <c r="J1545"/>
  <c r="Q1545" s="1"/>
  <c r="J1653"/>
  <c r="Q1653" s="1"/>
  <c r="J1669"/>
  <c r="Q1669" s="1"/>
  <c r="J1685"/>
  <c r="Q1685" s="1"/>
  <c r="J1706"/>
  <c r="J1722"/>
  <c r="J1797"/>
  <c r="Q1797" s="1"/>
  <c r="J1489"/>
  <c r="J1521"/>
  <c r="J1553"/>
  <c r="Q1553" s="1"/>
  <c r="J1689"/>
  <c r="Q1689" s="1"/>
  <c r="J1480"/>
  <c r="P1480" s="1"/>
  <c r="J1496"/>
  <c r="P1496" s="1"/>
  <c r="J1512"/>
  <c r="P1512" s="1"/>
  <c r="J1561"/>
  <c r="Q1561" s="1"/>
  <c r="J1565"/>
  <c r="P1565" s="1"/>
  <c r="J1569"/>
  <c r="P1569" s="1"/>
  <c r="J1573"/>
  <c r="Q1573" s="1"/>
  <c r="J1577"/>
  <c r="Q1577" s="1"/>
  <c r="J1581"/>
  <c r="P1581" s="1"/>
  <c r="J1585"/>
  <c r="P1585" s="1"/>
  <c r="J1589"/>
  <c r="Q1589" s="1"/>
  <c r="J1524"/>
  <c r="Q1524" s="1"/>
  <c r="J1658"/>
  <c r="Q1658" s="1"/>
  <c r="J1666"/>
  <c r="Q1666" s="1"/>
  <c r="J1674"/>
  <c r="Q1674" s="1"/>
  <c r="J1682"/>
  <c r="Q1682" s="1"/>
  <c r="J1690"/>
  <c r="Q1690" s="1"/>
  <c r="J1729"/>
  <c r="Q1729" s="1"/>
  <c r="J1733"/>
  <c r="Q1733" s="1"/>
  <c r="J1737"/>
  <c r="J1741"/>
  <c r="Q1741" s="1"/>
  <c r="J1745"/>
  <c r="Q1745" s="1"/>
  <c r="J1749"/>
  <c r="Q1749" s="1"/>
  <c r="J1758"/>
  <c r="Q1758" s="1"/>
  <c r="J1766"/>
  <c r="Q1766" s="1"/>
  <c r="J1774"/>
  <c r="Q1774" s="1"/>
  <c r="J1782"/>
  <c r="Q1782" s="1"/>
  <c r="J1790"/>
  <c r="Q1790" s="1"/>
  <c r="J1753"/>
  <c r="Q1753" s="1"/>
  <c r="J1761"/>
  <c r="Q1761" s="1"/>
  <c r="J1769"/>
  <c r="Q1769" s="1"/>
  <c r="J1777"/>
  <c r="Q1777" s="1"/>
  <c r="J1785"/>
  <c r="Q1785" s="1"/>
  <c r="J1752"/>
  <c r="Q1752" s="1"/>
  <c r="J1760"/>
  <c r="Q1760" s="1"/>
  <c r="J1768"/>
  <c r="Q1768" s="1"/>
  <c r="J1776"/>
  <c r="Q1776" s="1"/>
  <c r="J1784"/>
  <c r="Q1784" s="1"/>
  <c r="J1792"/>
  <c r="Q1792" s="1"/>
  <c r="J1803"/>
  <c r="Q1803" s="1"/>
  <c r="J1807"/>
  <c r="Q1807" s="1"/>
  <c r="J1811"/>
  <c r="Q1811" s="1"/>
  <c r="J1815"/>
  <c r="Q1815" s="1"/>
  <c r="J1819"/>
  <c r="Q1819" s="1"/>
  <c r="J1823"/>
  <c r="O1823" s="1"/>
  <c r="J1828"/>
  <c r="Q1828" s="1"/>
  <c r="J1831"/>
  <c r="O1831" s="1"/>
  <c r="J1836"/>
  <c r="Q1836" s="1"/>
  <c r="J1839"/>
  <c r="O1839" s="1"/>
  <c r="J1844"/>
  <c r="Q1844" s="1"/>
  <c r="J1847"/>
  <c r="O1847" s="1"/>
  <c r="J1852"/>
  <c r="Q1852" s="1"/>
  <c r="J1855"/>
  <c r="O1855" s="1"/>
  <c r="J1759"/>
  <c r="Q1759" s="1"/>
  <c r="J1767"/>
  <c r="Q1767" s="1"/>
  <c r="J1775"/>
  <c r="Q1775" s="1"/>
  <c r="J1783"/>
  <c r="Q1783" s="1"/>
  <c r="J1791"/>
  <c r="Q1791" s="1"/>
  <c r="J1328"/>
  <c r="J1344"/>
  <c r="J1409"/>
  <c r="Q1409" s="1"/>
  <c r="J1425"/>
  <c r="Q1425" s="1"/>
  <c r="J1441"/>
  <c r="Q1441" s="1"/>
  <c r="J1457"/>
  <c r="Q1457" s="1"/>
  <c r="J1705"/>
  <c r="Q1705" s="1"/>
  <c r="J1721"/>
  <c r="Q1721" s="1"/>
  <c r="J1798"/>
  <c r="Q1798" s="1"/>
  <c r="J1327"/>
  <c r="Q1327" s="1"/>
  <c r="J1343"/>
  <c r="Q1343" s="1"/>
  <c r="J1541"/>
  <c r="J1665"/>
  <c r="Q1665" s="1"/>
  <c r="J1681"/>
  <c r="Q1681" s="1"/>
  <c r="J1702"/>
  <c r="J1718"/>
  <c r="J1549"/>
  <c r="J1650"/>
  <c r="U22"/>
  <c r="AA35" s="1"/>
  <c r="T22"/>
  <c r="Z35" s="1"/>
  <c r="O1331"/>
  <c r="P1461"/>
  <c r="O1461"/>
  <c r="O1462"/>
  <c r="P1458"/>
  <c r="O1458"/>
  <c r="P1537"/>
  <c r="O1592"/>
  <c r="O1616"/>
  <c r="O1677"/>
  <c r="P1757"/>
  <c r="O1757"/>
  <c r="P1789"/>
  <c r="O1789"/>
  <c r="P1780"/>
  <c r="O1780"/>
  <c r="P1788"/>
  <c r="O1771"/>
  <c r="P1398"/>
  <c r="O1508"/>
  <c r="P1734"/>
  <c r="P1810"/>
  <c r="P1814"/>
  <c r="P1838"/>
  <c r="P1856"/>
  <c r="P1727"/>
  <c r="P1743"/>
  <c r="O1840"/>
  <c r="P1405"/>
  <c r="O1405"/>
  <c r="P1564"/>
  <c r="P1572"/>
  <c r="Q1576"/>
  <c r="P1576"/>
  <c r="P1588"/>
  <c r="P1528"/>
  <c r="O1528"/>
  <c r="O1638"/>
  <c r="P1638"/>
  <c r="O1640"/>
  <c r="O1727"/>
  <c r="O1743"/>
  <c r="O1809"/>
  <c r="O1825"/>
  <c r="O1830"/>
  <c r="P1323"/>
  <c r="P1355"/>
  <c r="P1450"/>
  <c r="O1450"/>
  <c r="Q1567"/>
  <c r="P1567"/>
  <c r="Q1583"/>
  <c r="P1583"/>
  <c r="P1593"/>
  <c r="O1597"/>
  <c r="O1599"/>
  <c r="P1599"/>
  <c r="O1605"/>
  <c r="O1607"/>
  <c r="P1607"/>
  <c r="P1609"/>
  <c r="O1615"/>
  <c r="P1615"/>
  <c r="O1623"/>
  <c r="P1623"/>
  <c r="P1625"/>
  <c r="P1629"/>
  <c r="O1631"/>
  <c r="P1631"/>
  <c r="P1639"/>
  <c r="O1648"/>
  <c r="P1648"/>
  <c r="O1657"/>
  <c r="P1418"/>
  <c r="P1426"/>
  <c r="P1488"/>
  <c r="O1564"/>
  <c r="P1732"/>
  <c r="P1744"/>
  <c r="P1748"/>
  <c r="P1809"/>
  <c r="O1662"/>
  <c r="O1810"/>
  <c r="P1574"/>
  <c r="P1532"/>
  <c r="O1642"/>
  <c r="O1697"/>
  <c r="P1762"/>
  <c r="O1762"/>
  <c r="O1786"/>
  <c r="O1567"/>
  <c r="O1583"/>
  <c r="O1732"/>
  <c r="P1654"/>
  <c r="P1662"/>
  <c r="O1812"/>
  <c r="O1806"/>
  <c r="O1854"/>
  <c r="P7"/>
  <c r="Y7" s="1"/>
  <c r="J43"/>
  <c r="J59"/>
  <c r="Q59" s="1"/>
  <c r="J75"/>
  <c r="Q75" s="1"/>
  <c r="J91"/>
  <c r="Q91" s="1"/>
  <c r="J107"/>
  <c r="J123"/>
  <c r="Q123" s="1"/>
  <c r="J139"/>
  <c r="Q139" s="1"/>
  <c r="J147"/>
  <c r="O147" s="1"/>
  <c r="J155"/>
  <c r="J163"/>
  <c r="O163" s="1"/>
  <c r="J171"/>
  <c r="Q171" s="1"/>
  <c r="J179"/>
  <c r="O179" s="1"/>
  <c r="J187"/>
  <c r="J195"/>
  <c r="O195" s="1"/>
  <c r="J213"/>
  <c r="O213" s="1"/>
  <c r="J221"/>
  <c r="Q221" s="1"/>
  <c r="J229"/>
  <c r="O229" s="1"/>
  <c r="J237"/>
  <c r="Q237" s="1"/>
  <c r="J245"/>
  <c r="P245" s="1"/>
  <c r="J38"/>
  <c r="P38" s="1"/>
  <c r="J46"/>
  <c r="J54"/>
  <c r="P54" s="1"/>
  <c r="J62"/>
  <c r="Q62" s="1"/>
  <c r="J70"/>
  <c r="Q70" s="1"/>
  <c r="J78"/>
  <c r="O78" s="1"/>
  <c r="J86"/>
  <c r="Q86" s="1"/>
  <c r="J94"/>
  <c r="O94" s="1"/>
  <c r="J102"/>
  <c r="Q102" s="1"/>
  <c r="J110"/>
  <c r="J118"/>
  <c r="P118" s="1"/>
  <c r="J126"/>
  <c r="P126" s="1"/>
  <c r="J134"/>
  <c r="P134" s="1"/>
  <c r="J142"/>
  <c r="J150"/>
  <c r="Q150" s="1"/>
  <c r="J158"/>
  <c r="P158" s="1"/>
  <c r="J166"/>
  <c r="O166" s="1"/>
  <c r="J174"/>
  <c r="J182"/>
  <c r="P182" s="1"/>
  <c r="J190"/>
  <c r="Q190" s="1"/>
  <c r="J198"/>
  <c r="P198" s="1"/>
  <c r="J206"/>
  <c r="O206" s="1"/>
  <c r="J214"/>
  <c r="O214" s="1"/>
  <c r="J222"/>
  <c r="O222" s="1"/>
  <c r="J230"/>
  <c r="P230" s="1"/>
  <c r="J238"/>
  <c r="J246"/>
  <c r="P246" s="1"/>
  <c r="J254"/>
  <c r="P254" s="1"/>
  <c r="J262"/>
  <c r="O262" s="1"/>
  <c r="J270"/>
  <c r="J278"/>
  <c r="Q278" s="1"/>
  <c r="J286"/>
  <c r="P286" s="1"/>
  <c r="J294"/>
  <c r="Q294" s="1"/>
  <c r="J302"/>
  <c r="J310"/>
  <c r="P310" s="1"/>
  <c r="J318"/>
  <c r="Q318" s="1"/>
  <c r="J326"/>
  <c r="P326" s="1"/>
  <c r="J334"/>
  <c r="O334" s="1"/>
  <c r="J342"/>
  <c r="Q342" s="1"/>
  <c r="J350"/>
  <c r="Q350" s="1"/>
  <c r="J358"/>
  <c r="O358" s="1"/>
  <c r="J366"/>
  <c r="J374"/>
  <c r="P374" s="1"/>
  <c r="J382"/>
  <c r="O382" s="1"/>
  <c r="J390"/>
  <c r="Q390" s="1"/>
  <c r="J398"/>
  <c r="J406"/>
  <c r="O406" s="1"/>
  <c r="J414"/>
  <c r="P414" s="1"/>
  <c r="J422"/>
  <c r="Q422" s="1"/>
  <c r="J430"/>
  <c r="J438"/>
  <c r="P438" s="1"/>
  <c r="J446"/>
  <c r="P446" s="1"/>
  <c r="J454"/>
  <c r="O454" s="1"/>
  <c r="J462"/>
  <c r="J470"/>
  <c r="Q470" s="1"/>
  <c r="J478"/>
  <c r="Q478" s="1"/>
  <c r="J486"/>
  <c r="P486" s="1"/>
  <c r="J494"/>
  <c r="J502"/>
  <c r="O502" s="1"/>
  <c r="J510"/>
  <c r="P510" s="1"/>
  <c r="J518"/>
  <c r="Q518" s="1"/>
  <c r="J526"/>
  <c r="O526" s="1"/>
  <c r="J534"/>
  <c r="Q534" s="1"/>
  <c r="J542"/>
  <c r="P542" s="1"/>
  <c r="J207"/>
  <c r="Q207" s="1"/>
  <c r="J257"/>
  <c r="J265"/>
  <c r="Q265" s="1"/>
  <c r="J273"/>
  <c r="Q273" s="1"/>
  <c r="J281"/>
  <c r="Q281" s="1"/>
  <c r="J285"/>
  <c r="Q285" s="1"/>
  <c r="J289"/>
  <c r="Q289" s="1"/>
  <c r="J293"/>
  <c r="P293" s="1"/>
  <c r="J297"/>
  <c r="Q297" s="1"/>
  <c r="J301"/>
  <c r="J305"/>
  <c r="Q305" s="1"/>
  <c r="J309"/>
  <c r="O309" s="1"/>
  <c r="J313"/>
  <c r="Q313" s="1"/>
  <c r="J317"/>
  <c r="J321"/>
  <c r="Q321" s="1"/>
  <c r="J325"/>
  <c r="P325" s="1"/>
  <c r="J329"/>
  <c r="Q329" s="1"/>
  <c r="J333"/>
  <c r="Q333" s="1"/>
  <c r="J337"/>
  <c r="Q337" s="1"/>
  <c r="J341"/>
  <c r="P341" s="1"/>
  <c r="J345"/>
  <c r="Q345" s="1"/>
  <c r="J349"/>
  <c r="Q349" s="1"/>
  <c r="J353"/>
  <c r="Q353" s="1"/>
  <c r="J357"/>
  <c r="P357" s="1"/>
  <c r="J361"/>
  <c r="Q361" s="1"/>
  <c r="J365"/>
  <c r="J369"/>
  <c r="Q369" s="1"/>
  <c r="J373"/>
  <c r="Q373" s="1"/>
  <c r="J377"/>
  <c r="Q377" s="1"/>
  <c r="J381"/>
  <c r="J385"/>
  <c r="Q385" s="1"/>
  <c r="J389"/>
  <c r="P389" s="1"/>
  <c r="J393"/>
  <c r="Q393" s="1"/>
  <c r="J397"/>
  <c r="Q397" s="1"/>
  <c r="J401"/>
  <c r="Q401" s="1"/>
  <c r="J405"/>
  <c r="P405" s="1"/>
  <c r="J409"/>
  <c r="Q409" s="1"/>
  <c r="J413"/>
  <c r="J417"/>
  <c r="Q417" s="1"/>
  <c r="J421"/>
  <c r="O421" s="1"/>
  <c r="J425"/>
  <c r="Q425" s="1"/>
  <c r="J429"/>
  <c r="O429" s="1"/>
  <c r="J433"/>
  <c r="Q433" s="1"/>
  <c r="J437"/>
  <c r="Q437" s="1"/>
  <c r="J441"/>
  <c r="Q441" s="1"/>
  <c r="J445"/>
  <c r="J449"/>
  <c r="Q449" s="1"/>
  <c r="J453"/>
  <c r="Q453" s="1"/>
  <c r="J457"/>
  <c r="Q457" s="1"/>
  <c r="J461"/>
  <c r="Q461" s="1"/>
  <c r="J465"/>
  <c r="Q465" s="1"/>
  <c r="J469"/>
  <c r="P469" s="1"/>
  <c r="J473"/>
  <c r="Q473" s="1"/>
  <c r="J477"/>
  <c r="J481"/>
  <c r="Q481" s="1"/>
  <c r="J485"/>
  <c r="Q485" s="1"/>
  <c r="J489"/>
  <c r="P489" s="1"/>
  <c r="J493"/>
  <c r="J497"/>
  <c r="Q497" s="1"/>
  <c r="J501"/>
  <c r="P501" s="1"/>
  <c r="J505"/>
  <c r="P505" s="1"/>
  <c r="J509"/>
  <c r="J513"/>
  <c r="Q513" s="1"/>
  <c r="J517"/>
  <c r="O517" s="1"/>
  <c r="J521"/>
  <c r="P521" s="1"/>
  <c r="J525"/>
  <c r="O525" s="1"/>
  <c r="J529"/>
  <c r="Q529" s="1"/>
  <c r="J533"/>
  <c r="O533" s="1"/>
  <c r="J537"/>
  <c r="Q537" s="1"/>
  <c r="J541"/>
  <c r="P541" s="1"/>
  <c r="J545"/>
  <c r="Q545" s="1"/>
  <c r="J549"/>
  <c r="O549" s="1"/>
  <c r="J553"/>
  <c r="P553" s="1"/>
  <c r="J557"/>
  <c r="J561"/>
  <c r="Q561" s="1"/>
  <c r="J565"/>
  <c r="O565" s="1"/>
  <c r="J569"/>
  <c r="P569" s="1"/>
  <c r="J573"/>
  <c r="O573" s="1"/>
  <c r="J577"/>
  <c r="Q577" s="1"/>
  <c r="J581"/>
  <c r="O581" s="1"/>
  <c r="J585"/>
  <c r="P585" s="1"/>
  <c r="J589"/>
  <c r="J593"/>
  <c r="Q593" s="1"/>
  <c r="J597"/>
  <c r="O597" s="1"/>
  <c r="J601"/>
  <c r="Q601" s="1"/>
  <c r="J605"/>
  <c r="P605" s="1"/>
  <c r="J609"/>
  <c r="Q609" s="1"/>
  <c r="J613"/>
  <c r="Q613" s="1"/>
  <c r="J617"/>
  <c r="P617" s="1"/>
  <c r="J621"/>
  <c r="J625"/>
  <c r="Q625" s="1"/>
  <c r="J629"/>
  <c r="O629" s="1"/>
  <c r="J633"/>
  <c r="P633" s="1"/>
  <c r="J637"/>
  <c r="P637" s="1"/>
  <c r="J641"/>
  <c r="Q641" s="1"/>
  <c r="J645"/>
  <c r="Q645" s="1"/>
  <c r="J649"/>
  <c r="P649" s="1"/>
  <c r="J653"/>
  <c r="J657"/>
  <c r="Q657" s="1"/>
  <c r="J661"/>
  <c r="Q661" s="1"/>
  <c r="J665"/>
  <c r="Q665" s="1"/>
  <c r="J669"/>
  <c r="P669" s="1"/>
  <c r="J673"/>
  <c r="Q673" s="1"/>
  <c r="J677"/>
  <c r="Q677" s="1"/>
  <c r="J681"/>
  <c r="P681" s="1"/>
  <c r="J685"/>
  <c r="J689"/>
  <c r="Q689" s="1"/>
  <c r="J693"/>
  <c r="O693" s="1"/>
  <c r="J697"/>
  <c r="P697" s="1"/>
  <c r="J701"/>
  <c r="P701" s="1"/>
  <c r="J705"/>
  <c r="Q705" s="1"/>
  <c r="J709"/>
  <c r="P709" s="1"/>
  <c r="J713"/>
  <c r="P713" s="1"/>
  <c r="J717"/>
  <c r="P717" s="1"/>
  <c r="J721"/>
  <c r="Q721" s="1"/>
  <c r="J725"/>
  <c r="P725" s="1"/>
  <c r="J729"/>
  <c r="Q729" s="1"/>
  <c r="J733"/>
  <c r="P733" s="1"/>
  <c r="J737"/>
  <c r="Q737" s="1"/>
  <c r="J741"/>
  <c r="O741" s="1"/>
  <c r="J745"/>
  <c r="P745" s="1"/>
  <c r="J749"/>
  <c r="J753"/>
  <c r="Q753" s="1"/>
  <c r="J757"/>
  <c r="P757" s="1"/>
  <c r="J761"/>
  <c r="P761" s="1"/>
  <c r="J765"/>
  <c r="P765" s="1"/>
  <c r="J769"/>
  <c r="Q769" s="1"/>
  <c r="J773"/>
  <c r="O773" s="1"/>
  <c r="J777"/>
  <c r="P777" s="1"/>
  <c r="J781"/>
  <c r="J785"/>
  <c r="Q785" s="1"/>
  <c r="J789"/>
  <c r="P789" s="1"/>
  <c r="J793"/>
  <c r="Q793" s="1"/>
  <c r="J556"/>
  <c r="J570"/>
  <c r="O570" s="1"/>
  <c r="J590"/>
  <c r="P590" s="1"/>
  <c r="J612"/>
  <c r="P612" s="1"/>
  <c r="J636"/>
  <c r="J658"/>
  <c r="P658" s="1"/>
  <c r="J682"/>
  <c r="O682" s="1"/>
  <c r="J702"/>
  <c r="O702" s="1"/>
  <c r="J724"/>
  <c r="J748"/>
  <c r="O748" s="1"/>
  <c r="J772"/>
  <c r="P772" s="1"/>
  <c r="J796"/>
  <c r="O796" s="1"/>
  <c r="J818"/>
  <c r="J842"/>
  <c r="P842" s="1"/>
  <c r="J862"/>
  <c r="Q862" s="1"/>
  <c r="J890"/>
  <c r="O890" s="1"/>
  <c r="J910"/>
  <c r="J938"/>
  <c r="O938" s="1"/>
  <c r="J978"/>
  <c r="P978" s="1"/>
  <c r="J1016"/>
  <c r="P1016" s="1"/>
  <c r="J1058"/>
  <c r="O1058" s="1"/>
  <c r="J1102"/>
  <c r="Q1102" s="1"/>
  <c r="J1146"/>
  <c r="O1146" s="1"/>
  <c r="J1186"/>
  <c r="Q1186" s="1"/>
  <c r="J1232"/>
  <c r="J1268"/>
  <c r="O1268" s="1"/>
  <c r="J568"/>
  <c r="P568" s="1"/>
  <c r="J600"/>
  <c r="P600" s="1"/>
  <c r="J632"/>
  <c r="Q632" s="1"/>
  <c r="J656"/>
  <c r="P656" s="1"/>
  <c r="J696"/>
  <c r="Q696" s="1"/>
  <c r="J728"/>
  <c r="P728" s="1"/>
  <c r="J752"/>
  <c r="P752" s="1"/>
  <c r="J776"/>
  <c r="O776" s="1"/>
  <c r="J800"/>
  <c r="O800" s="1"/>
  <c r="J832"/>
  <c r="Q832" s="1"/>
  <c r="J856"/>
  <c r="J888"/>
  <c r="P888" s="1"/>
  <c r="J920"/>
  <c r="P920" s="1"/>
  <c r="J976"/>
  <c r="O976" s="1"/>
  <c r="J1068"/>
  <c r="P1068" s="1"/>
  <c r="J1196"/>
  <c r="O1196" s="1"/>
  <c r="J1018"/>
  <c r="Q1018" s="1"/>
  <c r="J1060"/>
  <c r="P1060" s="1"/>
  <c r="J1108"/>
  <c r="J1150"/>
  <c r="O1150" s="1"/>
  <c r="J1188"/>
  <c r="O1188" s="1"/>
  <c r="J1224"/>
  <c r="P1224" s="1"/>
  <c r="J1260"/>
  <c r="J1005"/>
  <c r="P1005" s="1"/>
  <c r="J1029"/>
  <c r="Q1029" s="1"/>
  <c r="J1049"/>
  <c r="Q1049" s="1"/>
  <c r="J1069"/>
  <c r="P1069" s="1"/>
  <c r="J1093"/>
  <c r="P1093" s="1"/>
  <c r="J1113"/>
  <c r="Q1113" s="1"/>
  <c r="J1133"/>
  <c r="O1133" s="1"/>
  <c r="J1157"/>
  <c r="O1157" s="1"/>
  <c r="J1177"/>
  <c r="P1177" s="1"/>
  <c r="J1197"/>
  <c r="Q1197" s="1"/>
  <c r="J1221"/>
  <c r="P1221" s="1"/>
  <c r="J1237"/>
  <c r="P1237" s="1"/>
  <c r="J1253"/>
  <c r="O1253" s="1"/>
  <c r="J1269"/>
  <c r="P1269" s="1"/>
  <c r="J934"/>
  <c r="P934" s="1"/>
  <c r="J962"/>
  <c r="P962" s="1"/>
  <c r="J1000"/>
  <c r="P1000" s="1"/>
  <c r="J1042"/>
  <c r="P1042" s="1"/>
  <c r="J1088"/>
  <c r="Q1088" s="1"/>
  <c r="J1124"/>
  <c r="Q1124" s="1"/>
  <c r="J1172"/>
  <c r="Q1172" s="1"/>
  <c r="J1208"/>
  <c r="P1208" s="1"/>
  <c r="J1244"/>
  <c r="P1244" s="1"/>
  <c r="J1272"/>
  <c r="P1272" s="1"/>
  <c r="J797"/>
  <c r="P797" s="1"/>
  <c r="J801"/>
  <c r="Q801" s="1"/>
  <c r="J805"/>
  <c r="O805" s="1"/>
  <c r="J809"/>
  <c r="J813"/>
  <c r="O813" s="1"/>
  <c r="J817"/>
  <c r="Q817" s="1"/>
  <c r="J821"/>
  <c r="P821" s="1"/>
  <c r="J825"/>
  <c r="Q825" s="1"/>
  <c r="J829"/>
  <c r="P829" s="1"/>
  <c r="J833"/>
  <c r="Q833" s="1"/>
  <c r="J837"/>
  <c r="P837" s="1"/>
  <c r="J841"/>
  <c r="P841" s="1"/>
  <c r="J845"/>
  <c r="O845" s="1"/>
  <c r="J849"/>
  <c r="Q849" s="1"/>
  <c r="J853"/>
  <c r="P853" s="1"/>
  <c r="J857"/>
  <c r="J861"/>
  <c r="P861" s="1"/>
  <c r="J865"/>
  <c r="Q865" s="1"/>
  <c r="J869"/>
  <c r="P869" s="1"/>
  <c r="J873"/>
  <c r="J877"/>
  <c r="P877" s="1"/>
  <c r="J881"/>
  <c r="Q881" s="1"/>
  <c r="J885"/>
  <c r="P885" s="1"/>
  <c r="J889"/>
  <c r="Q889" s="1"/>
  <c r="J893"/>
  <c r="P893" s="1"/>
  <c r="J897"/>
  <c r="Q897" s="1"/>
  <c r="J901"/>
  <c r="P901" s="1"/>
  <c r="J905"/>
  <c r="P905" s="1"/>
  <c r="J909"/>
  <c r="P909" s="1"/>
  <c r="J913"/>
  <c r="Q913" s="1"/>
  <c r="J917"/>
  <c r="Q917" s="1"/>
  <c r="J921"/>
  <c r="J925"/>
  <c r="P925" s="1"/>
  <c r="J929"/>
  <c r="Q929" s="1"/>
  <c r="J933"/>
  <c r="Q933" s="1"/>
  <c r="J937"/>
  <c r="J941"/>
  <c r="P941" s="1"/>
  <c r="J945"/>
  <c r="Q945" s="1"/>
  <c r="J949"/>
  <c r="Q949" s="1"/>
  <c r="J953"/>
  <c r="Q953" s="1"/>
  <c r="J957"/>
  <c r="P957" s="1"/>
  <c r="J961"/>
  <c r="Q961" s="1"/>
  <c r="J965"/>
  <c r="O965" s="1"/>
  <c r="J969"/>
  <c r="J973"/>
  <c r="O973" s="1"/>
  <c r="J977"/>
  <c r="Q977" s="1"/>
  <c r="J981"/>
  <c r="O981" s="1"/>
  <c r="J985"/>
  <c r="J989"/>
  <c r="P989" s="1"/>
  <c r="J993"/>
  <c r="Q993" s="1"/>
  <c r="J999"/>
  <c r="P999" s="1"/>
  <c r="J1007"/>
  <c r="O1007" s="1"/>
  <c r="J1011"/>
  <c r="O1011" s="1"/>
  <c r="J1019"/>
  <c r="P1019" s="1"/>
  <c r="J1025"/>
  <c r="Q1025" s="1"/>
  <c r="J1031"/>
  <c r="J1039"/>
  <c r="Q1039" s="1"/>
  <c r="J1043"/>
  <c r="Q1043" s="1"/>
  <c r="J1051"/>
  <c r="P1051" s="1"/>
  <c r="J1057"/>
  <c r="Q1057" s="1"/>
  <c r="J1063"/>
  <c r="Q1063" s="1"/>
  <c r="J1071"/>
  <c r="Q1071" s="1"/>
  <c r="J1075"/>
  <c r="P1075" s="1"/>
  <c r="J1083"/>
  <c r="J1089"/>
  <c r="Q1089" s="1"/>
  <c r="J1095"/>
  <c r="O1095" s="1"/>
  <c r="J1103"/>
  <c r="Q1103" s="1"/>
  <c r="J1107"/>
  <c r="Q1107" s="1"/>
  <c r="J1115"/>
  <c r="P1115" s="1"/>
  <c r="J1121"/>
  <c r="Q1121" s="1"/>
  <c r="J1127"/>
  <c r="Q1127" s="1"/>
  <c r="J1135"/>
  <c r="J1139"/>
  <c r="O1139" s="1"/>
  <c r="J1147"/>
  <c r="P1147" s="1"/>
  <c r="J1153"/>
  <c r="Q1153" s="1"/>
  <c r="J1159"/>
  <c r="J1167"/>
  <c r="O1167" s="1"/>
  <c r="J1171"/>
  <c r="P1171" s="1"/>
  <c r="J1179"/>
  <c r="P1179" s="1"/>
  <c r="J1185"/>
  <c r="J1191"/>
  <c r="P1191" s="1"/>
  <c r="J1199"/>
  <c r="Q1199" s="1"/>
  <c r="J1203"/>
  <c r="O1203" s="1"/>
  <c r="J1211"/>
  <c r="J1217"/>
  <c r="O1217" s="1"/>
  <c r="J1223"/>
  <c r="O1223" s="1"/>
  <c r="J1231"/>
  <c r="O1231" s="1"/>
  <c r="J1239"/>
  <c r="Q1239" s="1"/>
  <c r="J1247"/>
  <c r="O1247" s="1"/>
  <c r="J1255"/>
  <c r="Q1255" s="1"/>
  <c r="J1263"/>
  <c r="O1263" s="1"/>
  <c r="J1271"/>
  <c r="J998"/>
  <c r="O998" s="1"/>
  <c r="J1052"/>
  <c r="O1052" s="1"/>
  <c r="J1132"/>
  <c r="P1132" s="1"/>
  <c r="J1158"/>
  <c r="O1158" s="1"/>
  <c r="J564"/>
  <c r="P564" s="1"/>
  <c r="J588"/>
  <c r="Q588" s="1"/>
  <c r="J610"/>
  <c r="P610" s="1"/>
  <c r="J630"/>
  <c r="J650"/>
  <c r="O650" s="1"/>
  <c r="J670"/>
  <c r="P670" s="1"/>
  <c r="J690"/>
  <c r="O690" s="1"/>
  <c r="J710"/>
  <c r="Q710" s="1"/>
  <c r="J730"/>
  <c r="P730" s="1"/>
  <c r="J750"/>
  <c r="P750" s="1"/>
  <c r="J770"/>
  <c r="Q770" s="1"/>
  <c r="J790"/>
  <c r="J810"/>
  <c r="P810" s="1"/>
  <c r="J830"/>
  <c r="P830" s="1"/>
  <c r="J850"/>
  <c r="P850" s="1"/>
  <c r="J870"/>
  <c r="J892"/>
  <c r="Q892" s="1"/>
  <c r="J914"/>
  <c r="O914" s="1"/>
  <c r="J940"/>
  <c r="P940" s="1"/>
  <c r="J974"/>
  <c r="J1012"/>
  <c r="P1012" s="1"/>
  <c r="J1054"/>
  <c r="P1054" s="1"/>
  <c r="J1090"/>
  <c r="Q1090" s="1"/>
  <c r="J1136"/>
  <c r="Q1136" s="1"/>
  <c r="J1182"/>
  <c r="O1182" s="1"/>
  <c r="J1238"/>
  <c r="O1238" s="1"/>
  <c r="J1270"/>
  <c r="O1270" s="1"/>
  <c r="J576"/>
  <c r="J608"/>
  <c r="O608" s="1"/>
  <c r="J648"/>
  <c r="P648" s="1"/>
  <c r="J672"/>
  <c r="Q672" s="1"/>
  <c r="J704"/>
  <c r="J744"/>
  <c r="P744" s="1"/>
  <c r="J784"/>
  <c r="P784" s="1"/>
  <c r="J824"/>
  <c r="P824" s="1"/>
  <c r="J864"/>
  <c r="Q864" s="1"/>
  <c r="J912"/>
  <c r="Q912" s="1"/>
  <c r="J936"/>
  <c r="P936" s="1"/>
  <c r="J992"/>
  <c r="O992" s="1"/>
  <c r="J1062"/>
  <c r="J1110"/>
  <c r="O1110" s="1"/>
  <c r="J1164"/>
  <c r="P1164" s="1"/>
  <c r="J1190"/>
  <c r="P1190" s="1"/>
  <c r="J1228"/>
  <c r="O1228" s="1"/>
  <c r="P3"/>
  <c r="X3" s="1"/>
  <c r="J35"/>
  <c r="O35" s="1"/>
  <c r="J51"/>
  <c r="O51" s="1"/>
  <c r="J67"/>
  <c r="J83"/>
  <c r="P83" s="1"/>
  <c r="J99"/>
  <c r="O99" s="1"/>
  <c r="J115"/>
  <c r="O115" s="1"/>
  <c r="J131"/>
  <c r="J203"/>
  <c r="Q203" s="1"/>
  <c r="P8"/>
  <c r="Y8" s="1"/>
  <c r="P4"/>
  <c r="Z4" s="1"/>
  <c r="J33"/>
  <c r="Q33" s="1"/>
  <c r="J41"/>
  <c r="O41" s="1"/>
  <c r="J49"/>
  <c r="Q49" s="1"/>
  <c r="J57"/>
  <c r="Q57" s="1"/>
  <c r="J65"/>
  <c r="J73"/>
  <c r="Q73" s="1"/>
  <c r="J81"/>
  <c r="Q81" s="1"/>
  <c r="J89"/>
  <c r="Q89" s="1"/>
  <c r="J97"/>
  <c r="Q97" s="1"/>
  <c r="J105"/>
  <c r="Q105" s="1"/>
  <c r="J113"/>
  <c r="Q113" s="1"/>
  <c r="J121"/>
  <c r="Q121" s="1"/>
  <c r="J129"/>
  <c r="J137"/>
  <c r="Q137" s="1"/>
  <c r="J145"/>
  <c r="Q145" s="1"/>
  <c r="J153"/>
  <c r="Q153" s="1"/>
  <c r="J161"/>
  <c r="O161" s="1"/>
  <c r="J169"/>
  <c r="Q169" s="1"/>
  <c r="J177"/>
  <c r="Q177" s="1"/>
  <c r="J185"/>
  <c r="Q185" s="1"/>
  <c r="J193"/>
  <c r="J201"/>
  <c r="Q201" s="1"/>
  <c r="J211"/>
  <c r="O211" s="1"/>
  <c r="J219"/>
  <c r="Q219" s="1"/>
  <c r="J227"/>
  <c r="J235"/>
  <c r="Q235" s="1"/>
  <c r="J243"/>
  <c r="O243" s="1"/>
  <c r="J36"/>
  <c r="P36" s="1"/>
  <c r="J44"/>
  <c r="P44" s="1"/>
  <c r="J52"/>
  <c r="P52" s="1"/>
  <c r="J60"/>
  <c r="Q60" s="1"/>
  <c r="J68"/>
  <c r="O68" s="1"/>
  <c r="J76"/>
  <c r="Q76" s="1"/>
  <c r="J84"/>
  <c r="Q84" s="1"/>
  <c r="J92"/>
  <c r="O92" s="1"/>
  <c r="J100"/>
  <c r="Q100" s="1"/>
  <c r="J108"/>
  <c r="P108" s="1"/>
  <c r="J116"/>
  <c r="P116" s="1"/>
  <c r="J124"/>
  <c r="P124" s="1"/>
  <c r="J132"/>
  <c r="O132" s="1"/>
  <c r="J140"/>
  <c r="J148"/>
  <c r="O148" s="1"/>
  <c r="J156"/>
  <c r="P156" s="1"/>
  <c r="J164"/>
  <c r="P164" s="1"/>
  <c r="J172"/>
  <c r="P172" s="1"/>
  <c r="J180"/>
  <c r="Q180" s="1"/>
  <c r="J188"/>
  <c r="Q188" s="1"/>
  <c r="J196"/>
  <c r="O196" s="1"/>
  <c r="J204"/>
  <c r="J212"/>
  <c r="P212" s="1"/>
  <c r="J220"/>
  <c r="O220" s="1"/>
  <c r="J228"/>
  <c r="P228" s="1"/>
  <c r="J236"/>
  <c r="P236" s="1"/>
  <c r="J244"/>
  <c r="P244" s="1"/>
  <c r="J252"/>
  <c r="P252" s="1"/>
  <c r="J260"/>
  <c r="O260" s="1"/>
  <c r="J268"/>
  <c r="Q268" s="1"/>
  <c r="J276"/>
  <c r="O276" s="1"/>
  <c r="J284"/>
  <c r="P284" s="1"/>
  <c r="J292"/>
  <c r="P292" s="1"/>
  <c r="J300"/>
  <c r="J308"/>
  <c r="P308" s="1"/>
  <c r="J316"/>
  <c r="P316" s="1"/>
  <c r="J324"/>
  <c r="P324" s="1"/>
  <c r="J332"/>
  <c r="P332" s="1"/>
  <c r="J340"/>
  <c r="Q340" s="1"/>
  <c r="J348"/>
  <c r="Q348" s="1"/>
  <c r="J356"/>
  <c r="O356" s="1"/>
  <c r="J364"/>
  <c r="J372"/>
  <c r="P372" s="1"/>
  <c r="J380"/>
  <c r="Q380" s="1"/>
  <c r="J388"/>
  <c r="Q388" s="1"/>
  <c r="J396"/>
  <c r="P396" s="1"/>
  <c r="J404"/>
  <c r="P404" s="1"/>
  <c r="J412"/>
  <c r="O412" s="1"/>
  <c r="J420"/>
  <c r="Q420" s="1"/>
  <c r="J428"/>
  <c r="Q428" s="1"/>
  <c r="J436"/>
  <c r="O436" s="1"/>
  <c r="J444"/>
  <c r="O444" s="1"/>
  <c r="J452"/>
  <c r="P452" s="1"/>
  <c r="J460"/>
  <c r="P460" s="1"/>
  <c r="J468"/>
  <c r="Q468" s="1"/>
  <c r="J476"/>
  <c r="P476" s="1"/>
  <c r="J484"/>
  <c r="P484" s="1"/>
  <c r="J492"/>
  <c r="J500"/>
  <c r="Q500" s="1"/>
  <c r="J508"/>
  <c r="O508" s="1"/>
  <c r="J516"/>
  <c r="P516" s="1"/>
  <c r="J524"/>
  <c r="O524" s="1"/>
  <c r="J532"/>
  <c r="P532" s="1"/>
  <c r="J540"/>
  <c r="P540" s="1"/>
  <c r="J255"/>
  <c r="P255" s="1"/>
  <c r="J263"/>
  <c r="Q263" s="1"/>
  <c r="J271"/>
  <c r="P271" s="1"/>
  <c r="J279"/>
  <c r="O279" s="1"/>
  <c r="J554"/>
  <c r="Q554" s="1"/>
  <c r="J566"/>
  <c r="O566" s="1"/>
  <c r="J586"/>
  <c r="O586" s="1"/>
  <c r="J606"/>
  <c r="O606" s="1"/>
  <c r="J628"/>
  <c r="P628" s="1"/>
  <c r="J652"/>
  <c r="J674"/>
  <c r="O674" s="1"/>
  <c r="J698"/>
  <c r="Q698" s="1"/>
  <c r="J718"/>
  <c r="O718" s="1"/>
  <c r="J742"/>
  <c r="O742" s="1"/>
  <c r="J764"/>
  <c r="O764" s="1"/>
  <c r="J788"/>
  <c r="Q788" s="1"/>
  <c r="J812"/>
  <c r="P812" s="1"/>
  <c r="J836"/>
  <c r="O836" s="1"/>
  <c r="J858"/>
  <c r="P858" s="1"/>
  <c r="J884"/>
  <c r="P884" s="1"/>
  <c r="J906"/>
  <c r="P906" s="1"/>
  <c r="J932"/>
  <c r="P932" s="1"/>
  <c r="J966"/>
  <c r="P966" s="1"/>
  <c r="J1008"/>
  <c r="Q1008" s="1"/>
  <c r="J1048"/>
  <c r="P1048" s="1"/>
  <c r="J1092"/>
  <c r="J1134"/>
  <c r="Q1134" s="1"/>
  <c r="J1176"/>
  <c r="P1176" s="1"/>
  <c r="J1220"/>
  <c r="O1220" s="1"/>
  <c r="J1256"/>
  <c r="J1006"/>
  <c r="P1006" s="1"/>
  <c r="J1050"/>
  <c r="P1050" s="1"/>
  <c r="J1098"/>
  <c r="O1098" s="1"/>
  <c r="J1140"/>
  <c r="Q1140" s="1"/>
  <c r="J1178"/>
  <c r="O1178" s="1"/>
  <c r="J1216"/>
  <c r="P1216" s="1"/>
  <c r="J1250"/>
  <c r="P1250" s="1"/>
  <c r="J880"/>
  <c r="J968"/>
  <c r="P968" s="1"/>
  <c r="J1014"/>
  <c r="P1014" s="1"/>
  <c r="J1078"/>
  <c r="O1078" s="1"/>
  <c r="J1126"/>
  <c r="J1001"/>
  <c r="Q1001" s="1"/>
  <c r="J1021"/>
  <c r="P1021" s="1"/>
  <c r="J1045"/>
  <c r="P1045" s="1"/>
  <c r="J1065"/>
  <c r="Q1065" s="1"/>
  <c r="J1085"/>
  <c r="P1085" s="1"/>
  <c r="J1109"/>
  <c r="P1109" s="1"/>
  <c r="J1129"/>
  <c r="Q1129" s="1"/>
  <c r="J1149"/>
  <c r="J1173"/>
  <c r="O1173" s="1"/>
  <c r="J1193"/>
  <c r="O1193" s="1"/>
  <c r="J1213"/>
  <c r="P1213" s="1"/>
  <c r="J1233"/>
  <c r="P1233" s="1"/>
  <c r="J1249"/>
  <c r="O1249" s="1"/>
  <c r="J1265"/>
  <c r="P1265" s="1"/>
  <c r="J926"/>
  <c r="O926" s="1"/>
  <c r="J954"/>
  <c r="J990"/>
  <c r="O990" s="1"/>
  <c r="J1032"/>
  <c r="P1032" s="1"/>
  <c r="J1074"/>
  <c r="O1074" s="1"/>
  <c r="J1114"/>
  <c r="J1162"/>
  <c r="Q1162" s="1"/>
  <c r="J1202"/>
  <c r="O1202" s="1"/>
  <c r="J1236"/>
  <c r="Q1236" s="1"/>
  <c r="J1264"/>
  <c r="J582"/>
  <c r="O582" s="1"/>
  <c r="J604"/>
  <c r="O604" s="1"/>
  <c r="J626"/>
  <c r="O626" s="1"/>
  <c r="J644"/>
  <c r="J666"/>
  <c r="Q666" s="1"/>
  <c r="J684"/>
  <c r="Q684" s="1"/>
  <c r="J706"/>
  <c r="Q706" s="1"/>
  <c r="J726"/>
  <c r="J746"/>
  <c r="O746" s="1"/>
  <c r="J766"/>
  <c r="O766" s="1"/>
  <c r="J786"/>
  <c r="P786" s="1"/>
  <c r="J804"/>
  <c r="J826"/>
  <c r="P826" s="1"/>
  <c r="J844"/>
  <c r="Q844" s="1"/>
  <c r="J866"/>
  <c r="O866" s="1"/>
  <c r="J886"/>
  <c r="J908"/>
  <c r="P908" s="1"/>
  <c r="J930"/>
  <c r="Q930" s="1"/>
  <c r="J964"/>
  <c r="O964" s="1"/>
  <c r="J1002"/>
  <c r="J1044"/>
  <c r="O1044" s="1"/>
  <c r="J1082"/>
  <c r="Q1082" s="1"/>
  <c r="J1128"/>
  <c r="P1128" s="1"/>
  <c r="J1168"/>
  <c r="O1168" s="1"/>
  <c r="J1230"/>
  <c r="Q1230" s="1"/>
  <c r="J1262"/>
  <c r="P1262" s="1"/>
  <c r="J39"/>
  <c r="O39" s="1"/>
  <c r="J55"/>
  <c r="J71"/>
  <c r="Q71" s="1"/>
  <c r="J87"/>
  <c r="P87" s="1"/>
  <c r="J103"/>
  <c r="O103" s="1"/>
  <c r="J119"/>
  <c r="P119" s="1"/>
  <c r="J135"/>
  <c r="O135" s="1"/>
  <c r="J151"/>
  <c r="O151" s="1"/>
  <c r="J167"/>
  <c r="Q167" s="1"/>
  <c r="J183"/>
  <c r="O183" s="1"/>
  <c r="J199"/>
  <c r="Q199" s="1"/>
  <c r="J217"/>
  <c r="Q217" s="1"/>
  <c r="J233"/>
  <c r="Q233" s="1"/>
  <c r="J249"/>
  <c r="J50"/>
  <c r="Q50" s="1"/>
  <c r="J66"/>
  <c r="O66" s="1"/>
  <c r="J82"/>
  <c r="P82" s="1"/>
  <c r="J98"/>
  <c r="J114"/>
  <c r="Q114" s="1"/>
  <c r="J130"/>
  <c r="P130" s="1"/>
  <c r="J138"/>
  <c r="P138" s="1"/>
  <c r="J146"/>
  <c r="J154"/>
  <c r="O154" s="1"/>
  <c r="J162"/>
  <c r="P162" s="1"/>
  <c r="J170"/>
  <c r="P170" s="1"/>
  <c r="J178"/>
  <c r="Q178" s="1"/>
  <c r="J186"/>
  <c r="O186" s="1"/>
  <c r="J194"/>
  <c r="P194" s="1"/>
  <c r="J202"/>
  <c r="O202" s="1"/>
  <c r="J210"/>
  <c r="J226"/>
  <c r="P226" s="1"/>
  <c r="J234"/>
  <c r="Q234" s="1"/>
  <c r="J242"/>
  <c r="O242" s="1"/>
  <c r="J250"/>
  <c r="P250" s="1"/>
  <c r="J258"/>
  <c r="P258" s="1"/>
  <c r="J266"/>
  <c r="Q266" s="1"/>
  <c r="J274"/>
  <c r="O274" s="1"/>
  <c r="J282"/>
  <c r="J290"/>
  <c r="P290" s="1"/>
  <c r="J298"/>
  <c r="Q298" s="1"/>
  <c r="J306"/>
  <c r="O306" s="1"/>
  <c r="J314"/>
  <c r="O314" s="1"/>
  <c r="J322"/>
  <c r="P322" s="1"/>
  <c r="J330"/>
  <c r="Q330" s="1"/>
  <c r="J338"/>
  <c r="O338" s="1"/>
  <c r="J346"/>
  <c r="J354"/>
  <c r="P354" s="1"/>
  <c r="J362"/>
  <c r="Q362" s="1"/>
  <c r="J370"/>
  <c r="O370" s="1"/>
  <c r="J378"/>
  <c r="O378" s="1"/>
  <c r="J386"/>
  <c r="O386" s="1"/>
  <c r="J394"/>
  <c r="Q394" s="1"/>
  <c r="J402"/>
  <c r="P402" s="1"/>
  <c r="J410"/>
  <c r="J418"/>
  <c r="O418" s="1"/>
  <c r="J426"/>
  <c r="Q426" s="1"/>
  <c r="J434"/>
  <c r="P434" s="1"/>
  <c r="J442"/>
  <c r="Q442" s="1"/>
  <c r="J450"/>
  <c r="O450" s="1"/>
  <c r="J458"/>
  <c r="Q458" s="1"/>
  <c r="J466"/>
  <c r="P466" s="1"/>
  <c r="J474"/>
  <c r="J482"/>
  <c r="P482" s="1"/>
  <c r="J490"/>
  <c r="Q490" s="1"/>
  <c r="J498"/>
  <c r="O498" s="1"/>
  <c r="J506"/>
  <c r="J514"/>
  <c r="P514" s="1"/>
  <c r="J522"/>
  <c r="O522" s="1"/>
  <c r="J530"/>
  <c r="O530" s="1"/>
  <c r="J538"/>
  <c r="J546"/>
  <c r="P546" s="1"/>
  <c r="J253"/>
  <c r="Q253" s="1"/>
  <c r="J261"/>
  <c r="P261" s="1"/>
  <c r="J269"/>
  <c r="Q269" s="1"/>
  <c r="J277"/>
  <c r="O277" s="1"/>
  <c r="J283"/>
  <c r="Q283" s="1"/>
  <c r="J287"/>
  <c r="P287" s="1"/>
  <c r="J291"/>
  <c r="J295"/>
  <c r="Q295" s="1"/>
  <c r="J299"/>
  <c r="Q299" s="1"/>
  <c r="J303"/>
  <c r="P303" s="1"/>
  <c r="J307"/>
  <c r="J311"/>
  <c r="Q311" s="1"/>
  <c r="J315"/>
  <c r="Q315" s="1"/>
  <c r="J319"/>
  <c r="O319" s="1"/>
  <c r="J323"/>
  <c r="J327"/>
  <c r="P327" s="1"/>
  <c r="J331"/>
  <c r="Q331" s="1"/>
  <c r="J335"/>
  <c r="P335" s="1"/>
  <c r="J339"/>
  <c r="J343"/>
  <c r="O343" s="1"/>
  <c r="J347"/>
  <c r="Q347" s="1"/>
  <c r="J351"/>
  <c r="P351" s="1"/>
  <c r="J355"/>
  <c r="J359"/>
  <c r="O359" s="1"/>
  <c r="J363"/>
  <c r="Q363" s="1"/>
  <c r="J367"/>
  <c r="O367" s="1"/>
  <c r="J371"/>
  <c r="O371" s="1"/>
  <c r="J375"/>
  <c r="O375" s="1"/>
  <c r="J379"/>
  <c r="Q379" s="1"/>
  <c r="J383"/>
  <c r="P383" s="1"/>
  <c r="J387"/>
  <c r="Q387" s="1"/>
  <c r="J391"/>
  <c r="Q391" s="1"/>
  <c r="J395"/>
  <c r="Q395" s="1"/>
  <c r="J399"/>
  <c r="P399" s="1"/>
  <c r="J403"/>
  <c r="J407"/>
  <c r="O407" s="1"/>
  <c r="J411"/>
  <c r="Q411" s="1"/>
  <c r="J415"/>
  <c r="P415" s="1"/>
  <c r="J419"/>
  <c r="J423"/>
  <c r="O423" s="1"/>
  <c r="J427"/>
  <c r="Q427" s="1"/>
  <c r="J431"/>
  <c r="Q431" s="1"/>
  <c r="J435"/>
  <c r="J439"/>
  <c r="O439" s="1"/>
  <c r="J443"/>
  <c r="Q443" s="1"/>
  <c r="J447"/>
  <c r="O447" s="1"/>
  <c r="J451"/>
  <c r="J455"/>
  <c r="O455" s="1"/>
  <c r="J459"/>
  <c r="Q459" s="1"/>
  <c r="J463"/>
  <c r="P463" s="1"/>
  <c r="J467"/>
  <c r="Q467" s="1"/>
  <c r="J471"/>
  <c r="Q471" s="1"/>
  <c r="J475"/>
  <c r="Q475" s="1"/>
  <c r="J479"/>
  <c r="O479" s="1"/>
  <c r="J483"/>
  <c r="J487"/>
  <c r="P487" s="1"/>
  <c r="J491"/>
  <c r="Q491" s="1"/>
  <c r="J495"/>
  <c r="O495" s="1"/>
  <c r="J499"/>
  <c r="P499" s="1"/>
  <c r="J503"/>
  <c r="O503" s="1"/>
  <c r="J507"/>
  <c r="Q507" s="1"/>
  <c r="J511"/>
  <c r="O511" s="1"/>
  <c r="J515"/>
  <c r="J519"/>
  <c r="O519" s="1"/>
  <c r="J523"/>
  <c r="P523" s="1"/>
  <c r="J527"/>
  <c r="O527" s="1"/>
  <c r="J531"/>
  <c r="J535"/>
  <c r="Q535" s="1"/>
  <c r="J539"/>
  <c r="P539" s="1"/>
  <c r="J543"/>
  <c r="P543" s="1"/>
  <c r="J547"/>
  <c r="J551"/>
  <c r="O551" s="1"/>
  <c r="J555"/>
  <c r="O555" s="1"/>
  <c r="J559"/>
  <c r="O559" s="1"/>
  <c r="J563"/>
  <c r="J567"/>
  <c r="Q567" s="1"/>
  <c r="J571"/>
  <c r="O571" s="1"/>
  <c r="J575"/>
  <c r="P575" s="1"/>
  <c r="J579"/>
  <c r="P579" s="1"/>
  <c r="J583"/>
  <c r="O583" s="1"/>
  <c r="J587"/>
  <c r="Q587" s="1"/>
  <c r="J591"/>
  <c r="P591" s="1"/>
  <c r="J595"/>
  <c r="J599"/>
  <c r="Q599" s="1"/>
  <c r="J603"/>
  <c r="O603" s="1"/>
  <c r="J607"/>
  <c r="Q607" s="1"/>
  <c r="J611"/>
  <c r="Q611" s="1"/>
  <c r="J615"/>
  <c r="P615" s="1"/>
  <c r="J619"/>
  <c r="P619" s="1"/>
  <c r="J623"/>
  <c r="P623" s="1"/>
  <c r="J627"/>
  <c r="J631"/>
  <c r="Q631" s="1"/>
  <c r="J635"/>
  <c r="P635" s="1"/>
  <c r="J639"/>
  <c r="O639" s="1"/>
  <c r="J643"/>
  <c r="J647"/>
  <c r="P647" s="1"/>
  <c r="J651"/>
  <c r="O651" s="1"/>
  <c r="J655"/>
  <c r="O655" s="1"/>
  <c r="J659"/>
  <c r="O659" s="1"/>
  <c r="J663"/>
  <c r="P663" s="1"/>
  <c r="J667"/>
  <c r="P667" s="1"/>
  <c r="J671"/>
  <c r="P671" s="1"/>
  <c r="J675"/>
  <c r="Q675" s="1"/>
  <c r="J679"/>
  <c r="O679" s="1"/>
  <c r="J683"/>
  <c r="Q683" s="1"/>
  <c r="J687"/>
  <c r="P687" s="1"/>
  <c r="J691"/>
  <c r="P691" s="1"/>
  <c r="J695"/>
  <c r="P695" s="1"/>
  <c r="J699"/>
  <c r="O699" s="1"/>
  <c r="J703"/>
  <c r="P703" s="1"/>
  <c r="J707"/>
  <c r="J711"/>
  <c r="O711" s="1"/>
  <c r="J715"/>
  <c r="P715" s="1"/>
  <c r="J719"/>
  <c r="P719" s="1"/>
  <c r="J723"/>
  <c r="O723" s="1"/>
  <c r="J727"/>
  <c r="P727" s="1"/>
  <c r="J731"/>
  <c r="Q731" s="1"/>
  <c r="J735"/>
  <c r="Q735" s="1"/>
  <c r="J739"/>
  <c r="J743"/>
  <c r="O743" s="1"/>
  <c r="J747"/>
  <c r="P747" s="1"/>
  <c r="J751"/>
  <c r="O751" s="1"/>
  <c r="J755"/>
  <c r="J759"/>
  <c r="O759" s="1"/>
  <c r="J763"/>
  <c r="P763" s="1"/>
  <c r="J767"/>
  <c r="O767" s="1"/>
  <c r="J771"/>
  <c r="J775"/>
  <c r="P775" s="1"/>
  <c r="J779"/>
  <c r="O779" s="1"/>
  <c r="J783"/>
  <c r="Q783" s="1"/>
  <c r="J787"/>
  <c r="Q787" s="1"/>
  <c r="J791"/>
  <c r="O791" s="1"/>
  <c r="J550"/>
  <c r="P550" s="1"/>
  <c r="J562"/>
  <c r="Q562" s="1"/>
  <c r="J580"/>
  <c r="J602"/>
  <c r="O602" s="1"/>
  <c r="J622"/>
  <c r="O622" s="1"/>
  <c r="J646"/>
  <c r="O646" s="1"/>
  <c r="J668"/>
  <c r="J692"/>
  <c r="Q692" s="1"/>
  <c r="J714"/>
  <c r="O714" s="1"/>
  <c r="J738"/>
  <c r="Q738" s="1"/>
  <c r="J758"/>
  <c r="J782"/>
  <c r="Q782" s="1"/>
  <c r="J806"/>
  <c r="P806" s="1"/>
  <c r="J828"/>
  <c r="Q828" s="1"/>
  <c r="J852"/>
  <c r="P852" s="1"/>
  <c r="J876"/>
  <c r="P876" s="1"/>
  <c r="J900"/>
  <c r="O900" s="1"/>
  <c r="J924"/>
  <c r="P924" s="1"/>
  <c r="J956"/>
  <c r="P956" s="1"/>
  <c r="J996"/>
  <c r="O996" s="1"/>
  <c r="J1038"/>
  <c r="Q1038" s="1"/>
  <c r="J1080"/>
  <c r="P1080" s="1"/>
  <c r="J1122"/>
  <c r="Q1122" s="1"/>
  <c r="J1166"/>
  <c r="P1166" s="1"/>
  <c r="J1210"/>
  <c r="Q1210" s="1"/>
  <c r="J1248"/>
  <c r="O1248" s="1"/>
  <c r="J560"/>
  <c r="J584"/>
  <c r="O584" s="1"/>
  <c r="J616"/>
  <c r="P616" s="1"/>
  <c r="J640"/>
  <c r="Q640" s="1"/>
  <c r="J680"/>
  <c r="Q680" s="1"/>
  <c r="J712"/>
  <c r="P712" s="1"/>
  <c r="J736"/>
  <c r="P736" s="1"/>
  <c r="J768"/>
  <c r="P768" s="1"/>
  <c r="J792"/>
  <c r="J816"/>
  <c r="O816" s="1"/>
  <c r="J840"/>
  <c r="P840" s="1"/>
  <c r="J872"/>
  <c r="P872" s="1"/>
  <c r="J904"/>
  <c r="O904" s="1"/>
  <c r="J944"/>
  <c r="O944" s="1"/>
  <c r="J1046"/>
  <c r="P1046" s="1"/>
  <c r="J1142"/>
  <c r="P1142" s="1"/>
  <c r="J1206"/>
  <c r="O1206" s="1"/>
  <c r="J988"/>
  <c r="P988" s="1"/>
  <c r="J1040"/>
  <c r="O1040" s="1"/>
  <c r="J1086"/>
  <c r="P1086" s="1"/>
  <c r="J1130"/>
  <c r="J1170"/>
  <c r="P1170" s="1"/>
  <c r="J1204"/>
  <c r="P1204" s="1"/>
  <c r="J1242"/>
  <c r="P1242" s="1"/>
  <c r="J997"/>
  <c r="J1017"/>
  <c r="Q1017" s="1"/>
  <c r="J1037"/>
  <c r="O1037" s="1"/>
  <c r="J1061"/>
  <c r="O1061" s="1"/>
  <c r="J1081"/>
  <c r="P1081" s="1"/>
  <c r="J1101"/>
  <c r="O1101" s="1"/>
  <c r="J1125"/>
  <c r="P1125" s="1"/>
  <c r="J1145"/>
  <c r="Q1145" s="1"/>
  <c r="J1165"/>
  <c r="P1165" s="1"/>
  <c r="J1189"/>
  <c r="P1189" s="1"/>
  <c r="J1209"/>
  <c r="O1209" s="1"/>
  <c r="J1229"/>
  <c r="Q1229" s="1"/>
  <c r="J1245"/>
  <c r="J1261"/>
  <c r="P1261" s="1"/>
  <c r="J878"/>
  <c r="Q878" s="1"/>
  <c r="J950"/>
  <c r="O950" s="1"/>
  <c r="J980"/>
  <c r="J1024"/>
  <c r="O1024" s="1"/>
  <c r="J1064"/>
  <c r="P1064" s="1"/>
  <c r="J1106"/>
  <c r="P1106" s="1"/>
  <c r="J1152"/>
  <c r="J1192"/>
  <c r="P1192" s="1"/>
  <c r="J1226"/>
  <c r="O1226" s="1"/>
  <c r="J1258"/>
  <c r="P1258" s="1"/>
  <c r="J795"/>
  <c r="O795" s="1"/>
  <c r="J799"/>
  <c r="P799" s="1"/>
  <c r="J803"/>
  <c r="O803" s="1"/>
  <c r="J807"/>
  <c r="O807" s="1"/>
  <c r="J811"/>
  <c r="J815"/>
  <c r="Q815" s="1"/>
  <c r="J819"/>
  <c r="O819" s="1"/>
  <c r="J823"/>
  <c r="O823" s="1"/>
  <c r="J827"/>
  <c r="J831"/>
  <c r="O831" s="1"/>
  <c r="J835"/>
  <c r="P835" s="1"/>
  <c r="J839"/>
  <c r="Q839" s="1"/>
  <c r="J843"/>
  <c r="J847"/>
  <c r="Q847" s="1"/>
  <c r="J851"/>
  <c r="P851" s="1"/>
  <c r="J855"/>
  <c r="P855" s="1"/>
  <c r="J859"/>
  <c r="Q859" s="1"/>
  <c r="J863"/>
  <c r="O863" s="1"/>
  <c r="J867"/>
  <c r="P867" s="1"/>
  <c r="J871"/>
  <c r="O871" s="1"/>
  <c r="J875"/>
  <c r="J879"/>
  <c r="Q879" s="1"/>
  <c r="J883"/>
  <c r="P883" s="1"/>
  <c r="J887"/>
  <c r="O887" s="1"/>
  <c r="J891"/>
  <c r="J895"/>
  <c r="P895" s="1"/>
  <c r="J899"/>
  <c r="Q899" s="1"/>
  <c r="J903"/>
  <c r="Q903" s="1"/>
  <c r="J907"/>
  <c r="J911"/>
  <c r="Q911" s="1"/>
  <c r="J915"/>
  <c r="P915" s="1"/>
  <c r="J919"/>
  <c r="P919" s="1"/>
  <c r="J923"/>
  <c r="Q923" s="1"/>
  <c r="J927"/>
  <c r="P927" s="1"/>
  <c r="J931"/>
  <c r="P931" s="1"/>
  <c r="J935"/>
  <c r="Q935" s="1"/>
  <c r="J939"/>
  <c r="J943"/>
  <c r="O943" s="1"/>
  <c r="J947"/>
  <c r="P947" s="1"/>
  <c r="J951"/>
  <c r="P951" s="1"/>
  <c r="J955"/>
  <c r="J959"/>
  <c r="O959" s="1"/>
  <c r="J963"/>
  <c r="O963" s="1"/>
  <c r="J967"/>
  <c r="O967" s="1"/>
  <c r="J971"/>
  <c r="Q971" s="1"/>
  <c r="J975"/>
  <c r="Q975" s="1"/>
  <c r="J979"/>
  <c r="P979" s="1"/>
  <c r="J983"/>
  <c r="O983" s="1"/>
  <c r="J987"/>
  <c r="J991"/>
  <c r="O991" s="1"/>
  <c r="J995"/>
  <c r="P995" s="1"/>
  <c r="J1003"/>
  <c r="P1003" s="1"/>
  <c r="J1009"/>
  <c r="O1009" s="1"/>
  <c r="J1015"/>
  <c r="Q1015" s="1"/>
  <c r="J1023"/>
  <c r="O1023" s="1"/>
  <c r="J1027"/>
  <c r="P1027" s="1"/>
  <c r="J1035"/>
  <c r="O1035" s="1"/>
  <c r="J1041"/>
  <c r="Q1041" s="1"/>
  <c r="J1047"/>
  <c r="Q1047" s="1"/>
  <c r="J1055"/>
  <c r="P1055" s="1"/>
  <c r="J1059"/>
  <c r="J1067"/>
  <c r="P1067" s="1"/>
  <c r="J1073"/>
  <c r="Q1073" s="1"/>
  <c r="J1079"/>
  <c r="P1079" s="1"/>
  <c r="J1087"/>
  <c r="O1087" s="1"/>
  <c r="J1091"/>
  <c r="P1091" s="1"/>
  <c r="J1099"/>
  <c r="O1099" s="1"/>
  <c r="J1105"/>
  <c r="Q1105" s="1"/>
  <c r="J1111"/>
  <c r="O1111" s="1"/>
  <c r="J1119"/>
  <c r="O1119" s="1"/>
  <c r="J1123"/>
  <c r="Q1123" s="1"/>
  <c r="J1131"/>
  <c r="P1131" s="1"/>
  <c r="J1137"/>
  <c r="J1143"/>
  <c r="P1143" s="1"/>
  <c r="J1151"/>
  <c r="P1151" s="1"/>
  <c r="J1155"/>
  <c r="P1155" s="1"/>
  <c r="J1163"/>
  <c r="O1163" s="1"/>
  <c r="J1169"/>
  <c r="Q1169" s="1"/>
  <c r="J1175"/>
  <c r="P1175" s="1"/>
  <c r="J1183"/>
  <c r="P1183" s="1"/>
  <c r="J1187"/>
  <c r="J1195"/>
  <c r="P1195" s="1"/>
  <c r="J1201"/>
  <c r="P1201" s="1"/>
  <c r="J1207"/>
  <c r="O1207" s="1"/>
  <c r="J1215"/>
  <c r="Q1215" s="1"/>
  <c r="J1219"/>
  <c r="Q1219" s="1"/>
  <c r="J1227"/>
  <c r="P1227" s="1"/>
  <c r="J1235"/>
  <c r="O1235" s="1"/>
  <c r="J1243"/>
  <c r="J1251"/>
  <c r="Q1251" s="1"/>
  <c r="J1259"/>
  <c r="P1259" s="1"/>
  <c r="J1267"/>
  <c r="Q1267" s="1"/>
  <c r="J984"/>
  <c r="J1020"/>
  <c r="P1020" s="1"/>
  <c r="J1084"/>
  <c r="P1084" s="1"/>
  <c r="J1148"/>
  <c r="P1148" s="1"/>
  <c r="J1180"/>
  <c r="J578"/>
  <c r="P578" s="1"/>
  <c r="J598"/>
  <c r="O598" s="1"/>
  <c r="J620"/>
  <c r="O620" s="1"/>
  <c r="J638"/>
  <c r="Q638" s="1"/>
  <c r="J660"/>
  <c r="Q660" s="1"/>
  <c r="J678"/>
  <c r="Q678" s="1"/>
  <c r="J700"/>
  <c r="P700" s="1"/>
  <c r="J722"/>
  <c r="Q722" s="1"/>
  <c r="J740"/>
  <c r="P740" s="1"/>
  <c r="J762"/>
  <c r="O762" s="1"/>
  <c r="J780"/>
  <c r="O780" s="1"/>
  <c r="J798"/>
  <c r="J820"/>
  <c r="P820" s="1"/>
  <c r="J838"/>
  <c r="P838" s="1"/>
  <c r="J860"/>
  <c r="P860" s="1"/>
  <c r="J882"/>
  <c r="Q882" s="1"/>
  <c r="J902"/>
  <c r="O902" s="1"/>
  <c r="J922"/>
  <c r="P922" s="1"/>
  <c r="J958"/>
  <c r="O958" s="1"/>
  <c r="J994"/>
  <c r="Q994" s="1"/>
  <c r="J1034"/>
  <c r="P1034" s="1"/>
  <c r="J1076"/>
  <c r="P1076" s="1"/>
  <c r="J1120"/>
  <c r="O1120" s="1"/>
  <c r="J1154"/>
  <c r="J1214"/>
  <c r="Q1214" s="1"/>
  <c r="J1254"/>
  <c r="O1254" s="1"/>
  <c r="J552"/>
  <c r="P552" s="1"/>
  <c r="J592"/>
  <c r="J624"/>
  <c r="P624" s="1"/>
  <c r="J664"/>
  <c r="P664" s="1"/>
  <c r="J688"/>
  <c r="Q688" s="1"/>
  <c r="J720"/>
  <c r="P720" s="1"/>
  <c r="J760"/>
  <c r="P760" s="1"/>
  <c r="J808"/>
  <c r="P808" s="1"/>
  <c r="J848"/>
  <c r="Q848" s="1"/>
  <c r="J896"/>
  <c r="J928"/>
  <c r="O928" s="1"/>
  <c r="J952"/>
  <c r="P952" s="1"/>
  <c r="J1030"/>
  <c r="Q1030" s="1"/>
  <c r="J1100"/>
  <c r="Q1100" s="1"/>
  <c r="J1116"/>
  <c r="P1116" s="1"/>
  <c r="J1174"/>
  <c r="P1174" s="1"/>
  <c r="J1222"/>
  <c r="O1222" s="1"/>
  <c r="P5"/>
  <c r="J47"/>
  <c r="O47" s="1"/>
  <c r="J63"/>
  <c r="O63" s="1"/>
  <c r="J79"/>
  <c r="Q79" s="1"/>
  <c r="J95"/>
  <c r="J111"/>
  <c r="O111" s="1"/>
  <c r="J127"/>
  <c r="O127" s="1"/>
  <c r="J143"/>
  <c r="Q143" s="1"/>
  <c r="J159"/>
  <c r="J175"/>
  <c r="Q175" s="1"/>
  <c r="J191"/>
  <c r="Q191" s="1"/>
  <c r="J209"/>
  <c r="Q209" s="1"/>
  <c r="J225"/>
  <c r="P225" s="1"/>
  <c r="J241"/>
  <c r="Q241" s="1"/>
  <c r="J34"/>
  <c r="O34" s="1"/>
  <c r="J42"/>
  <c r="P42" s="1"/>
  <c r="J58"/>
  <c r="P58" s="1"/>
  <c r="J74"/>
  <c r="P74" s="1"/>
  <c r="J90"/>
  <c r="O90" s="1"/>
  <c r="J106"/>
  <c r="P106" s="1"/>
  <c r="J122"/>
  <c r="Q122" s="1"/>
  <c r="J218"/>
  <c r="O218" s="1"/>
  <c r="P6"/>
  <c r="X6" s="1"/>
  <c r="J37"/>
  <c r="Q37" s="1"/>
  <c r="J45"/>
  <c r="J53"/>
  <c r="Q53" s="1"/>
  <c r="J61"/>
  <c r="Q61" s="1"/>
  <c r="J69"/>
  <c r="Q69" s="1"/>
  <c r="J77"/>
  <c r="J85"/>
  <c r="P85" s="1"/>
  <c r="J93"/>
  <c r="Q93" s="1"/>
  <c r="J101"/>
  <c r="Q101" s="1"/>
  <c r="J109"/>
  <c r="Q109" s="1"/>
  <c r="J117"/>
  <c r="Q117" s="1"/>
  <c r="J125"/>
  <c r="Q125" s="1"/>
  <c r="J133"/>
  <c r="P133" s="1"/>
  <c r="J141"/>
  <c r="Q141" s="1"/>
  <c r="J149"/>
  <c r="O149" s="1"/>
  <c r="J157"/>
  <c r="Q157" s="1"/>
  <c r="J165"/>
  <c r="O165" s="1"/>
  <c r="J173"/>
  <c r="J181"/>
  <c r="P181" s="1"/>
  <c r="J189"/>
  <c r="Q189" s="1"/>
  <c r="J197"/>
  <c r="Q197" s="1"/>
  <c r="J205"/>
  <c r="J215"/>
  <c r="P215" s="1"/>
  <c r="J223"/>
  <c r="O223" s="1"/>
  <c r="J231"/>
  <c r="Q231" s="1"/>
  <c r="J239"/>
  <c r="P239" s="1"/>
  <c r="J247"/>
  <c r="Q247" s="1"/>
  <c r="J32"/>
  <c r="P32" s="1"/>
  <c r="J40"/>
  <c r="Q40" s="1"/>
  <c r="J48"/>
  <c r="J56"/>
  <c r="P56" s="1"/>
  <c r="J64"/>
  <c r="P64" s="1"/>
  <c r="J72"/>
  <c r="O72" s="1"/>
  <c r="J80"/>
  <c r="J88"/>
  <c r="Q88" s="1"/>
  <c r="J96"/>
  <c r="P96" s="1"/>
  <c r="J104"/>
  <c r="P104" s="1"/>
  <c r="J112"/>
  <c r="O112" s="1"/>
  <c r="J120"/>
  <c r="P120" s="1"/>
  <c r="J128"/>
  <c r="P128" s="1"/>
  <c r="J136"/>
  <c r="P136" s="1"/>
  <c r="J144"/>
  <c r="O144" s="1"/>
  <c r="J152"/>
  <c r="O152" s="1"/>
  <c r="J160"/>
  <c r="P160" s="1"/>
  <c r="J168"/>
  <c r="P168" s="1"/>
  <c r="J176"/>
  <c r="J184"/>
  <c r="P184" s="1"/>
  <c r="J192"/>
  <c r="P192" s="1"/>
  <c r="J200"/>
  <c r="Q200" s="1"/>
  <c r="J208"/>
  <c r="J216"/>
  <c r="O216" s="1"/>
  <c r="J224"/>
  <c r="P224" s="1"/>
  <c r="J232"/>
  <c r="O232" s="1"/>
  <c r="J240"/>
  <c r="O240" s="1"/>
  <c r="J248"/>
  <c r="Q248" s="1"/>
  <c r="J256"/>
  <c r="P256" s="1"/>
  <c r="J264"/>
  <c r="P264" s="1"/>
  <c r="J272"/>
  <c r="O272" s="1"/>
  <c r="J280"/>
  <c r="P280" s="1"/>
  <c r="J288"/>
  <c r="P288" s="1"/>
  <c r="J296"/>
  <c r="O296" s="1"/>
  <c r="J304"/>
  <c r="J312"/>
  <c r="P312" s="1"/>
  <c r="J320"/>
  <c r="P320" s="1"/>
  <c r="J328"/>
  <c r="P328" s="1"/>
  <c r="J336"/>
  <c r="J344"/>
  <c r="P344" s="1"/>
  <c r="J352"/>
  <c r="P352" s="1"/>
  <c r="J360"/>
  <c r="O360" s="1"/>
  <c r="J368"/>
  <c r="O368" s="1"/>
  <c r="J376"/>
  <c r="P376" s="1"/>
  <c r="J384"/>
  <c r="P384" s="1"/>
  <c r="J392"/>
  <c r="O392" s="1"/>
  <c r="J400"/>
  <c r="O400" s="1"/>
  <c r="J408"/>
  <c r="P408" s="1"/>
  <c r="J416"/>
  <c r="P416" s="1"/>
  <c r="J424"/>
  <c r="O424" s="1"/>
  <c r="J432"/>
  <c r="J440"/>
  <c r="P440" s="1"/>
  <c r="J448"/>
  <c r="P448" s="1"/>
  <c r="J456"/>
  <c r="P456" s="1"/>
  <c r="J464"/>
  <c r="J472"/>
  <c r="P472" s="1"/>
  <c r="J480"/>
  <c r="P480" s="1"/>
  <c r="J488"/>
  <c r="O488" s="1"/>
  <c r="J496"/>
  <c r="O496" s="1"/>
  <c r="J504"/>
  <c r="Q504" s="1"/>
  <c r="J512"/>
  <c r="P512" s="1"/>
  <c r="J520"/>
  <c r="O520" s="1"/>
  <c r="J528"/>
  <c r="O528" s="1"/>
  <c r="J536"/>
  <c r="P536" s="1"/>
  <c r="J544"/>
  <c r="O544" s="1"/>
  <c r="J251"/>
  <c r="Q251" s="1"/>
  <c r="J259"/>
  <c r="P259" s="1"/>
  <c r="J267"/>
  <c r="Q267" s="1"/>
  <c r="J275"/>
  <c r="O275" s="1"/>
  <c r="J548"/>
  <c r="O548" s="1"/>
  <c r="J558"/>
  <c r="J574"/>
  <c r="O574" s="1"/>
  <c r="J596"/>
  <c r="P596" s="1"/>
  <c r="J618"/>
  <c r="O618" s="1"/>
  <c r="J642"/>
  <c r="O642" s="1"/>
  <c r="J662"/>
  <c r="Q662" s="1"/>
  <c r="J686"/>
  <c r="P686" s="1"/>
  <c r="J708"/>
  <c r="Q708" s="1"/>
  <c r="J732"/>
  <c r="P732" s="1"/>
  <c r="J754"/>
  <c r="P754" s="1"/>
  <c r="J778"/>
  <c r="O778" s="1"/>
  <c r="J802"/>
  <c r="P802" s="1"/>
  <c r="J822"/>
  <c r="P822" s="1"/>
  <c r="J846"/>
  <c r="O846" s="1"/>
  <c r="J868"/>
  <c r="P868" s="1"/>
  <c r="J894"/>
  <c r="P894" s="1"/>
  <c r="J916"/>
  <c r="Q916" s="1"/>
  <c r="J948"/>
  <c r="Q948" s="1"/>
  <c r="J986"/>
  <c r="O986" s="1"/>
  <c r="J1026"/>
  <c r="O1026" s="1"/>
  <c r="J1072"/>
  <c r="J1112"/>
  <c r="P1112" s="1"/>
  <c r="J1156"/>
  <c r="O1156" s="1"/>
  <c r="J1200"/>
  <c r="Q1200" s="1"/>
  <c r="J1240"/>
  <c r="J970"/>
  <c r="Q970" s="1"/>
  <c r="J1028"/>
  <c r="P1028" s="1"/>
  <c r="J1070"/>
  <c r="Q1070" s="1"/>
  <c r="J1118"/>
  <c r="P1118" s="1"/>
  <c r="J1160"/>
  <c r="P1160" s="1"/>
  <c r="J1198"/>
  <c r="O1198" s="1"/>
  <c r="J1234"/>
  <c r="P1234" s="1"/>
  <c r="J1266"/>
  <c r="J960"/>
  <c r="P960" s="1"/>
  <c r="J1004"/>
  <c r="P1004" s="1"/>
  <c r="J1036"/>
  <c r="O1036" s="1"/>
  <c r="J1094"/>
  <c r="P1094" s="1"/>
  <c r="J1212"/>
  <c r="O1212" s="1"/>
  <c r="J1013"/>
  <c r="O1013" s="1"/>
  <c r="J1033"/>
  <c r="Q1033" s="1"/>
  <c r="J1053"/>
  <c r="J1077"/>
  <c r="Q1077" s="1"/>
  <c r="J1097"/>
  <c r="Q1097" s="1"/>
  <c r="J1117"/>
  <c r="P1117" s="1"/>
  <c r="J1141"/>
  <c r="P1141" s="1"/>
  <c r="J1161"/>
  <c r="Q1161" s="1"/>
  <c r="J1181"/>
  <c r="P1181" s="1"/>
  <c r="J1205"/>
  <c r="O1205" s="1"/>
  <c r="J1225"/>
  <c r="Q1225" s="1"/>
  <c r="J1241"/>
  <c r="O1241" s="1"/>
  <c r="J1257"/>
  <c r="O1257" s="1"/>
  <c r="J942"/>
  <c r="O942" s="1"/>
  <c r="J972"/>
  <c r="P972" s="1"/>
  <c r="J1010"/>
  <c r="O1010" s="1"/>
  <c r="J1056"/>
  <c r="O1056" s="1"/>
  <c r="J1096"/>
  <c r="P1096" s="1"/>
  <c r="J1138"/>
  <c r="J1184"/>
  <c r="P1184" s="1"/>
  <c r="J1218"/>
  <c r="P1218" s="1"/>
  <c r="J1252"/>
  <c r="Q1252" s="1"/>
  <c r="J572"/>
  <c r="J594"/>
  <c r="P594" s="1"/>
  <c r="J614"/>
  <c r="Q614" s="1"/>
  <c r="J634"/>
  <c r="P634" s="1"/>
  <c r="J654"/>
  <c r="J676"/>
  <c r="Q676" s="1"/>
  <c r="J694"/>
  <c r="O694" s="1"/>
  <c r="J716"/>
  <c r="Q716" s="1"/>
  <c r="J734"/>
  <c r="J756"/>
  <c r="P756" s="1"/>
  <c r="J774"/>
  <c r="O774" s="1"/>
  <c r="J794"/>
  <c r="O794" s="1"/>
  <c r="J814"/>
  <c r="O814" s="1"/>
  <c r="J834"/>
  <c r="O834" s="1"/>
  <c r="J854"/>
  <c r="P854" s="1"/>
  <c r="J874"/>
  <c r="P874" s="1"/>
  <c r="J898"/>
  <c r="P898" s="1"/>
  <c r="J918"/>
  <c r="P918" s="1"/>
  <c r="J946"/>
  <c r="Q946" s="1"/>
  <c r="J982"/>
  <c r="O982" s="1"/>
  <c r="J1022"/>
  <c r="O1022" s="1"/>
  <c r="J1066"/>
  <c r="P1066" s="1"/>
  <c r="J1104"/>
  <c r="P1104" s="1"/>
  <c r="J1144"/>
  <c r="P1144" s="1"/>
  <c r="J1194"/>
  <c r="P213"/>
  <c r="O341"/>
  <c r="P1197"/>
  <c r="P825"/>
  <c r="Q314"/>
  <c r="P973" l="1"/>
  <c r="P1449"/>
  <c r="O1560"/>
  <c r="P1787"/>
  <c r="O789"/>
  <c r="O1029"/>
  <c r="Q914"/>
  <c r="O350"/>
  <c r="Q211"/>
  <c r="P1255"/>
  <c r="O1516"/>
  <c r="O1651"/>
  <c r="P1590"/>
  <c r="O1545"/>
  <c r="P1401"/>
  <c r="O1779"/>
  <c r="P1624"/>
  <c r="P1600"/>
  <c r="P1651"/>
  <c r="Q1574"/>
  <c r="O1401"/>
  <c r="O1585"/>
  <c r="O1824"/>
  <c r="P1840"/>
  <c r="P1812"/>
  <c r="R1812" s="1"/>
  <c r="P1632"/>
  <c r="O1608"/>
  <c r="P1642"/>
  <c r="O1532"/>
  <c r="R1532" s="1"/>
  <c r="Q1590"/>
  <c r="P1545"/>
  <c r="P1516"/>
  <c r="P1657"/>
  <c r="R1657" s="1"/>
  <c r="P1445"/>
  <c r="O1856"/>
  <c r="R1856" s="1"/>
  <c r="P1824"/>
  <c r="P1779"/>
  <c r="P1616"/>
  <c r="P1592"/>
  <c r="R1592" s="1"/>
  <c r="O1811"/>
  <c r="P1745"/>
  <c r="O1828"/>
  <c r="O1569"/>
  <c r="O1042"/>
  <c r="P94"/>
  <c r="O298"/>
  <c r="Q542"/>
  <c r="Q124"/>
  <c r="P1071"/>
  <c r="Q446"/>
  <c r="Q784"/>
  <c r="O389"/>
  <c r="Q469"/>
  <c r="O405"/>
  <c r="Q1032"/>
  <c r="Q670"/>
  <c r="P188"/>
  <c r="O510"/>
  <c r="O190"/>
  <c r="P1146"/>
  <c r="P533"/>
  <c r="Q549"/>
  <c r="P862"/>
  <c r="Q1147"/>
  <c r="Q648"/>
  <c r="O284"/>
  <c r="O849"/>
  <c r="Q540"/>
  <c r="Q286"/>
  <c r="O273"/>
  <c r="P677"/>
  <c r="O645"/>
  <c r="Q757"/>
  <c r="P75"/>
  <c r="O330"/>
  <c r="P801"/>
  <c r="P930"/>
  <c r="O670"/>
  <c r="P243"/>
  <c r="Q156"/>
  <c r="O945"/>
  <c r="P588"/>
  <c r="O446"/>
  <c r="O286"/>
  <c r="Q126"/>
  <c r="P817"/>
  <c r="P1029"/>
  <c r="Q581"/>
  <c r="O1269"/>
  <c r="O373"/>
  <c r="P309"/>
  <c r="P993"/>
  <c r="O1176"/>
  <c r="P1202"/>
  <c r="O648"/>
  <c r="O542"/>
  <c r="P220"/>
  <c r="O60"/>
  <c r="P1199"/>
  <c r="P1052"/>
  <c r="O316"/>
  <c r="P350"/>
  <c r="P190"/>
  <c r="P35"/>
  <c r="P1043"/>
  <c r="Q800"/>
  <c r="O677"/>
  <c r="R677" s="1"/>
  <c r="O437"/>
  <c r="P693"/>
  <c r="Q597"/>
  <c r="Q517"/>
  <c r="Q245"/>
  <c r="P613"/>
  <c r="O453"/>
  <c r="O833"/>
  <c r="P1193"/>
  <c r="P1121"/>
  <c r="P897"/>
  <c r="Q1208"/>
  <c r="Q1193"/>
  <c r="O930"/>
  <c r="R930" s="1"/>
  <c r="O696"/>
  <c r="O750"/>
  <c r="O590"/>
  <c r="P266"/>
  <c r="Q252"/>
  <c r="O156"/>
  <c r="P60"/>
  <c r="O977"/>
  <c r="O1199"/>
  <c r="Q1164"/>
  <c r="P1238"/>
  <c r="P380"/>
  <c r="P478"/>
  <c r="P382"/>
  <c r="O318"/>
  <c r="P222"/>
  <c r="Q158"/>
  <c r="O62"/>
  <c r="P913"/>
  <c r="P49"/>
  <c r="O1018"/>
  <c r="Q1095"/>
  <c r="O725"/>
  <c r="Q629"/>
  <c r="P437"/>
  <c r="Q325"/>
  <c r="Q741"/>
  <c r="P597"/>
  <c r="P517"/>
  <c r="P373"/>
  <c r="Q293"/>
  <c r="O613"/>
  <c r="R613" s="1"/>
  <c r="P453"/>
  <c r="Q357"/>
  <c r="O897"/>
  <c r="O1255"/>
  <c r="O684"/>
  <c r="P929"/>
  <c r="O1019"/>
  <c r="O936"/>
  <c r="Q1042"/>
  <c r="P696"/>
  <c r="Q568"/>
  <c r="Q606"/>
  <c r="Q284"/>
  <c r="O188"/>
  <c r="P92"/>
  <c r="O1071"/>
  <c r="R1071" s="1"/>
  <c r="O1197"/>
  <c r="Q476"/>
  <c r="O478"/>
  <c r="Q414"/>
  <c r="P318"/>
  <c r="Q254"/>
  <c r="O158"/>
  <c r="P62"/>
  <c r="P945"/>
  <c r="P81"/>
  <c r="P1018"/>
  <c r="Q1223"/>
  <c r="Q773"/>
  <c r="P629"/>
  <c r="O501"/>
  <c r="Q389"/>
  <c r="Q789"/>
  <c r="P645"/>
  <c r="O772"/>
  <c r="P421"/>
  <c r="Q341"/>
  <c r="O709"/>
  <c r="O862"/>
  <c r="Q405"/>
  <c r="O1121"/>
  <c r="P171"/>
  <c r="Q1087"/>
  <c r="P1673"/>
  <c r="O1670"/>
  <c r="P1770"/>
  <c r="P1540"/>
  <c r="Q1562"/>
  <c r="P1417"/>
  <c r="O1731"/>
  <c r="P1765"/>
  <c r="P1610"/>
  <c r="Q573"/>
  <c r="P1057"/>
  <c r="O953"/>
  <c r="O269"/>
  <c r="P923"/>
  <c r="Q1158"/>
  <c r="O1536"/>
  <c r="O1637"/>
  <c r="P1602"/>
  <c r="O916"/>
  <c r="P1556"/>
  <c r="O1351"/>
  <c r="O1729"/>
  <c r="P1785"/>
  <c r="P1774"/>
  <c r="O1425"/>
  <c r="P800"/>
  <c r="R800" s="1"/>
  <c r="O1147"/>
  <c r="O1208"/>
  <c r="Q978"/>
  <c r="P606"/>
  <c r="P211"/>
  <c r="O881"/>
  <c r="O1021"/>
  <c r="P412"/>
  <c r="Q382"/>
  <c r="Q94"/>
  <c r="P849"/>
  <c r="Q1171"/>
  <c r="Q1188"/>
  <c r="Q533"/>
  <c r="P741"/>
  <c r="Q693"/>
  <c r="Q421"/>
  <c r="O293"/>
  <c r="R293" s="1"/>
  <c r="Q682"/>
  <c r="Q565"/>
  <c r="O357"/>
  <c r="R357" s="1"/>
  <c r="O81"/>
  <c r="O1822"/>
  <c r="O1728"/>
  <c r="P1508"/>
  <c r="R1508" s="1"/>
  <c r="Q1586"/>
  <c r="P1454"/>
  <c r="P1728"/>
  <c r="O1572"/>
  <c r="R1572" s="1"/>
  <c r="P1717"/>
  <c r="O1621"/>
  <c r="O1613"/>
  <c r="P1605"/>
  <c r="R1605" s="1"/>
  <c r="P1597"/>
  <c r="R1597" s="1"/>
  <c r="P1453"/>
  <c r="O1739"/>
  <c r="O1781"/>
  <c r="P1677"/>
  <c r="R1677" s="1"/>
  <c r="Q674"/>
  <c r="O458"/>
  <c r="P833"/>
  <c r="O1032"/>
  <c r="P914"/>
  <c r="Q920"/>
  <c r="O568"/>
  <c r="Q750"/>
  <c r="Q590"/>
  <c r="O252"/>
  <c r="R252" s="1"/>
  <c r="Q220"/>
  <c r="O124"/>
  <c r="R124" s="1"/>
  <c r="Q92"/>
  <c r="P1113"/>
  <c r="O1164"/>
  <c r="R1164" s="1"/>
  <c r="Q1052"/>
  <c r="R1052" s="1"/>
  <c r="Q1238"/>
  <c r="O540"/>
  <c r="Q510"/>
  <c r="O414"/>
  <c r="O254"/>
  <c r="Q222"/>
  <c r="O126"/>
  <c r="Q99"/>
  <c r="P977"/>
  <c r="R977" s="1"/>
  <c r="O113"/>
  <c r="Q1146"/>
  <c r="R1146" s="1"/>
  <c r="P1223"/>
  <c r="P773"/>
  <c r="Q725"/>
  <c r="P581"/>
  <c r="Q501"/>
  <c r="R501" s="1"/>
  <c r="O325"/>
  <c r="Q1269"/>
  <c r="P549"/>
  <c r="O469"/>
  <c r="P661"/>
  <c r="P485"/>
  <c r="Q309"/>
  <c r="O865"/>
  <c r="P490"/>
  <c r="O266"/>
  <c r="O1113"/>
  <c r="P961"/>
  <c r="P865"/>
  <c r="P508"/>
  <c r="Q1019"/>
  <c r="Q1176"/>
  <c r="Q936"/>
  <c r="R936" s="1"/>
  <c r="Q1202"/>
  <c r="R1202" s="1"/>
  <c r="O978"/>
  <c r="O920"/>
  <c r="P426"/>
  <c r="Q243"/>
  <c r="O588"/>
  <c r="O913"/>
  <c r="R913" s="1"/>
  <c r="O817"/>
  <c r="Q444"/>
  <c r="Q316"/>
  <c r="P881"/>
  <c r="O145"/>
  <c r="O1171"/>
  <c r="R1171" s="1"/>
  <c r="P1188"/>
  <c r="R1188" s="1"/>
  <c r="Q772"/>
  <c r="R772" s="1"/>
  <c r="P682"/>
  <c r="R682" s="1"/>
  <c r="Q709"/>
  <c r="P565"/>
  <c r="O485"/>
  <c r="O929"/>
  <c r="P273"/>
  <c r="R273" s="1"/>
  <c r="O1838"/>
  <c r="R1838" s="1"/>
  <c r="O1586"/>
  <c r="R1586" s="1"/>
  <c r="P1786"/>
  <c r="R1786" s="1"/>
  <c r="O1754"/>
  <c r="Q1570"/>
  <c r="O1454"/>
  <c r="O1826"/>
  <c r="O1588"/>
  <c r="R1588" s="1"/>
  <c r="P1753"/>
  <c r="O1639"/>
  <c r="R1639" s="1"/>
  <c r="O1629"/>
  <c r="R1629" s="1"/>
  <c r="P1621"/>
  <c r="P1613"/>
  <c r="O1552"/>
  <c r="O1453"/>
  <c r="R1453" s="1"/>
  <c r="P1854"/>
  <c r="R1854" s="1"/>
  <c r="P1822"/>
  <c r="P1806"/>
  <c r="R1806" s="1"/>
  <c r="P1630"/>
  <c r="Z7"/>
  <c r="O1500"/>
  <c r="O1556"/>
  <c r="P1570"/>
  <c r="P1351"/>
  <c r="P1739"/>
  <c r="P1771"/>
  <c r="R1771" s="1"/>
  <c r="O1772"/>
  <c r="O1630"/>
  <c r="O1783"/>
  <c r="P1766"/>
  <c r="O1776"/>
  <c r="O1745"/>
  <c r="P1729"/>
  <c r="P1690"/>
  <c r="P1752"/>
  <c r="O1632"/>
  <c r="R1632" s="1"/>
  <c r="O1624"/>
  <c r="P1608"/>
  <c r="O1600"/>
  <c r="O1844"/>
  <c r="O1741"/>
  <c r="P1733"/>
  <c r="O1784"/>
  <c r="O1761"/>
  <c r="O1445"/>
  <c r="P1666"/>
  <c r="P1811"/>
  <c r="R1811" s="1"/>
  <c r="P1791"/>
  <c r="O1752"/>
  <c r="P1761"/>
  <c r="O397"/>
  <c r="P285"/>
  <c r="Q1007"/>
  <c r="Q956"/>
  <c r="Q637"/>
  <c r="O259"/>
  <c r="P1065"/>
  <c r="P1815"/>
  <c r="P1784"/>
  <c r="O1774"/>
  <c r="O1666"/>
  <c r="P1122"/>
  <c r="Q371"/>
  <c r="P272"/>
  <c r="O1100"/>
  <c r="Q1069"/>
  <c r="Q1035"/>
  <c r="Q1272"/>
  <c r="Q962"/>
  <c r="P429"/>
  <c r="Q701"/>
  <c r="P971"/>
  <c r="O971"/>
  <c r="O268"/>
  <c r="Q765"/>
  <c r="O732"/>
  <c r="O923"/>
  <c r="P1168"/>
  <c r="O178"/>
  <c r="P1425"/>
  <c r="O1759"/>
  <c r="P1776"/>
  <c r="P1553"/>
  <c r="P1658"/>
  <c r="P1850"/>
  <c r="P1709"/>
  <c r="P1441"/>
  <c r="P1409"/>
  <c r="O1674"/>
  <c r="Q941"/>
  <c r="O433"/>
  <c r="O71"/>
  <c r="P1749"/>
  <c r="O180"/>
  <c r="Q54"/>
  <c r="O545"/>
  <c r="Q135"/>
  <c r="P1194"/>
  <c r="Q1194"/>
  <c r="O572"/>
  <c r="P572"/>
  <c r="O1266"/>
  <c r="P1266"/>
  <c r="P1072"/>
  <c r="Q1072"/>
  <c r="O464"/>
  <c r="P464"/>
  <c r="O304"/>
  <c r="P304"/>
  <c r="O208"/>
  <c r="P208"/>
  <c r="O48"/>
  <c r="P48"/>
  <c r="Q173"/>
  <c r="P173"/>
  <c r="O173"/>
  <c r="Q77"/>
  <c r="O77"/>
  <c r="P77"/>
  <c r="O58"/>
  <c r="Q58"/>
  <c r="P95"/>
  <c r="Q95"/>
  <c r="P896"/>
  <c r="O896"/>
  <c r="O1154"/>
  <c r="P1154"/>
  <c r="P798"/>
  <c r="Q798"/>
  <c r="O798"/>
  <c r="P1180"/>
  <c r="O1180"/>
  <c r="P1243"/>
  <c r="Q1243"/>
  <c r="P1163"/>
  <c r="Q1163"/>
  <c r="Q1009"/>
  <c r="P1009"/>
  <c r="P955"/>
  <c r="O955"/>
  <c r="P907"/>
  <c r="Q907"/>
  <c r="O907"/>
  <c r="P875"/>
  <c r="O875"/>
  <c r="Q875"/>
  <c r="P827"/>
  <c r="Q827"/>
  <c r="O1152"/>
  <c r="Q1152"/>
  <c r="P1245"/>
  <c r="O1245"/>
  <c r="O997"/>
  <c r="Q997"/>
  <c r="P904"/>
  <c r="Q904"/>
  <c r="P560"/>
  <c r="Q560"/>
  <c r="O560"/>
  <c r="O852"/>
  <c r="Q852"/>
  <c r="P580"/>
  <c r="O580"/>
  <c r="P755"/>
  <c r="O755"/>
  <c r="Q755"/>
  <c r="O691"/>
  <c r="Q691"/>
  <c r="Q643"/>
  <c r="P643"/>
  <c r="P595"/>
  <c r="O595"/>
  <c r="P547"/>
  <c r="Q547"/>
  <c r="O547"/>
  <c r="Q451"/>
  <c r="O451"/>
  <c r="O323"/>
  <c r="P323"/>
  <c r="Q323"/>
  <c r="O291"/>
  <c r="Q291"/>
  <c r="O474"/>
  <c r="Q474"/>
  <c r="O282"/>
  <c r="P282"/>
  <c r="Q282"/>
  <c r="O210"/>
  <c r="Q210"/>
  <c r="O98"/>
  <c r="Q98"/>
  <c r="Q119"/>
  <c r="O119"/>
  <c r="Q886"/>
  <c r="P886"/>
  <c r="O644"/>
  <c r="Q644"/>
  <c r="P954"/>
  <c r="Q954"/>
  <c r="O954"/>
  <c r="O1233"/>
  <c r="Q1233"/>
  <c r="P1126"/>
  <c r="O1126"/>
  <c r="Q1126"/>
  <c r="P1256"/>
  <c r="O1256"/>
  <c r="Q836"/>
  <c r="P836"/>
  <c r="Q140"/>
  <c r="O140"/>
  <c r="Q193"/>
  <c r="P193"/>
  <c r="O193"/>
  <c r="O131"/>
  <c r="Q131"/>
  <c r="P131"/>
  <c r="P1062"/>
  <c r="Q1062"/>
  <c r="O576"/>
  <c r="P576"/>
  <c r="O870"/>
  <c r="Q870"/>
  <c r="P870"/>
  <c r="P1211"/>
  <c r="O1211"/>
  <c r="P1135"/>
  <c r="Q1135"/>
  <c r="O1135"/>
  <c r="Q985"/>
  <c r="P985"/>
  <c r="O985"/>
  <c r="Q937"/>
  <c r="P937"/>
  <c r="O937"/>
  <c r="Q905"/>
  <c r="O905"/>
  <c r="Q857"/>
  <c r="P857"/>
  <c r="O857"/>
  <c r="Q809"/>
  <c r="O809"/>
  <c r="P809"/>
  <c r="P1124"/>
  <c r="O1124"/>
  <c r="Q1237"/>
  <c r="O1237"/>
  <c r="O1260"/>
  <c r="P1260"/>
  <c r="Q1260"/>
  <c r="P856"/>
  <c r="O856"/>
  <c r="O1232"/>
  <c r="Q1232"/>
  <c r="O818"/>
  <c r="Q818"/>
  <c r="Q556"/>
  <c r="O556"/>
  <c r="P749"/>
  <c r="O749"/>
  <c r="Q749"/>
  <c r="O653"/>
  <c r="Q653"/>
  <c r="P493"/>
  <c r="O493"/>
  <c r="P461"/>
  <c r="O461"/>
  <c r="Q365"/>
  <c r="P365"/>
  <c r="O365"/>
  <c r="Q317"/>
  <c r="P317"/>
  <c r="O317"/>
  <c r="Q257"/>
  <c r="P257"/>
  <c r="Q462"/>
  <c r="P462"/>
  <c r="P366"/>
  <c r="O366"/>
  <c r="Q366"/>
  <c r="Q270"/>
  <c r="P270"/>
  <c r="P174"/>
  <c r="Q174"/>
  <c r="O174"/>
  <c r="Q78"/>
  <c r="P78"/>
  <c r="Q187"/>
  <c r="O187"/>
  <c r="P187"/>
  <c r="Q43"/>
  <c r="P43"/>
  <c r="Q1737"/>
  <c r="P1737"/>
  <c r="Q1647"/>
  <c r="O1647"/>
  <c r="Q1678"/>
  <c r="O1678"/>
  <c r="O285"/>
  <c r="Q1211"/>
  <c r="O1272"/>
  <c r="O1122"/>
  <c r="R1122" s="1"/>
  <c r="O962"/>
  <c r="Q898"/>
  <c r="O632"/>
  <c r="P314"/>
  <c r="R314" s="1"/>
  <c r="P371"/>
  <c r="R371" s="1"/>
  <c r="O95"/>
  <c r="O76"/>
  <c r="O1239"/>
  <c r="P178"/>
  <c r="P368"/>
  <c r="P112"/>
  <c r="P573"/>
  <c r="P333"/>
  <c r="P109"/>
  <c r="P1215"/>
  <c r="P1087"/>
  <c r="R1087" s="1"/>
  <c r="P1007"/>
  <c r="Q1180"/>
  <c r="P1100"/>
  <c r="O956"/>
  <c r="R956" s="1"/>
  <c r="O1069"/>
  <c r="O765"/>
  <c r="O701"/>
  <c r="O637"/>
  <c r="P1158"/>
  <c r="Q822"/>
  <c r="Q493"/>
  <c r="O270"/>
  <c r="O827"/>
  <c r="Q1168"/>
  <c r="Q528"/>
  <c r="Q1022"/>
  <c r="O1057"/>
  <c r="O97"/>
  <c r="P734"/>
  <c r="Q734"/>
  <c r="O1138"/>
  <c r="Q1138"/>
  <c r="P1225"/>
  <c r="O1225"/>
  <c r="O1240"/>
  <c r="Q1240"/>
  <c r="Q558"/>
  <c r="P558"/>
  <c r="O432"/>
  <c r="P432"/>
  <c r="O336"/>
  <c r="P336"/>
  <c r="O176"/>
  <c r="P176"/>
  <c r="O80"/>
  <c r="P80"/>
  <c r="Q205"/>
  <c r="P205"/>
  <c r="O205"/>
  <c r="O122"/>
  <c r="P122"/>
  <c r="P159"/>
  <c r="Q159"/>
  <c r="R5"/>
  <c r="W5" s="1"/>
  <c r="Z5"/>
  <c r="Q720"/>
  <c r="O720"/>
  <c r="O994"/>
  <c r="P994"/>
  <c r="Q1137"/>
  <c r="O1137"/>
  <c r="P1137"/>
  <c r="P811"/>
  <c r="Q811"/>
  <c r="O811"/>
  <c r="P980"/>
  <c r="Q980"/>
  <c r="O980"/>
  <c r="Q1081"/>
  <c r="O1081"/>
  <c r="O1130"/>
  <c r="P1130"/>
  <c r="P792"/>
  <c r="Q792"/>
  <c r="O758"/>
  <c r="Q758"/>
  <c r="P758"/>
  <c r="O787"/>
  <c r="P787"/>
  <c r="P739"/>
  <c r="O739"/>
  <c r="Q739"/>
  <c r="O707"/>
  <c r="Q707"/>
  <c r="Q659"/>
  <c r="P659"/>
  <c r="P611"/>
  <c r="O611"/>
  <c r="P563"/>
  <c r="O563"/>
  <c r="Q563"/>
  <c r="O515"/>
  <c r="Q515"/>
  <c r="O467"/>
  <c r="P467"/>
  <c r="O419"/>
  <c r="Q419"/>
  <c r="P387"/>
  <c r="O387"/>
  <c r="O355"/>
  <c r="P355"/>
  <c r="Q355"/>
  <c r="O307"/>
  <c r="P307"/>
  <c r="Q307"/>
  <c r="O538"/>
  <c r="P538"/>
  <c r="Q538"/>
  <c r="O442"/>
  <c r="P442"/>
  <c r="Q249"/>
  <c r="O249"/>
  <c r="P249"/>
  <c r="Q55"/>
  <c r="O55"/>
  <c r="P1002"/>
  <c r="O1002"/>
  <c r="Q726"/>
  <c r="O726"/>
  <c r="P1264"/>
  <c r="Q1264"/>
  <c r="O1264"/>
  <c r="P1149"/>
  <c r="O1149"/>
  <c r="Q1149"/>
  <c r="O880"/>
  <c r="Q880"/>
  <c r="P880"/>
  <c r="O1092"/>
  <c r="Q1092"/>
  <c r="P742"/>
  <c r="Q742"/>
  <c r="Q566"/>
  <c r="P566"/>
  <c r="O492"/>
  <c r="P492"/>
  <c r="Q161"/>
  <c r="P161"/>
  <c r="P1136"/>
  <c r="O1136"/>
  <c r="P790"/>
  <c r="O790"/>
  <c r="Q790"/>
  <c r="O630"/>
  <c r="Q630"/>
  <c r="P630"/>
  <c r="Q1271"/>
  <c r="O1271"/>
  <c r="P1185"/>
  <c r="Q1185"/>
  <c r="P1083"/>
  <c r="Q1083"/>
  <c r="P1108"/>
  <c r="O1108"/>
  <c r="Q1108"/>
  <c r="O752"/>
  <c r="Q752"/>
  <c r="Q1058"/>
  <c r="P1058"/>
  <c r="P724"/>
  <c r="O724"/>
  <c r="Q724"/>
  <c r="O781"/>
  <c r="Q781"/>
  <c r="P781"/>
  <c r="P621"/>
  <c r="O621"/>
  <c r="Q621"/>
  <c r="O589"/>
  <c r="P589"/>
  <c r="Q589"/>
  <c r="P557"/>
  <c r="O557"/>
  <c r="Q557"/>
  <c r="O509"/>
  <c r="P509"/>
  <c r="Q509"/>
  <c r="Q381"/>
  <c r="P381"/>
  <c r="O381"/>
  <c r="Q301"/>
  <c r="P301"/>
  <c r="O301"/>
  <c r="Q526"/>
  <c r="P526"/>
  <c r="P430"/>
  <c r="O430"/>
  <c r="Q430"/>
  <c r="Q334"/>
  <c r="P334"/>
  <c r="P238"/>
  <c r="O238"/>
  <c r="Q238"/>
  <c r="Q142"/>
  <c r="P142"/>
  <c r="P46"/>
  <c r="O46"/>
  <c r="Q46"/>
  <c r="Q155"/>
  <c r="P155"/>
  <c r="O155"/>
  <c r="P525"/>
  <c r="O1083"/>
  <c r="O109"/>
  <c r="R109" s="1"/>
  <c r="P1240"/>
  <c r="Q1266"/>
  <c r="P1138"/>
  <c r="O898"/>
  <c r="R898" s="1"/>
  <c r="O792"/>
  <c r="P632"/>
  <c r="O734"/>
  <c r="O638"/>
  <c r="P474"/>
  <c r="Q378"/>
  <c r="Q499"/>
  <c r="P263"/>
  <c r="P1239"/>
  <c r="P210"/>
  <c r="P400"/>
  <c r="P144"/>
  <c r="P953"/>
  <c r="P349"/>
  <c r="P141"/>
  <c r="O1215"/>
  <c r="Q1228"/>
  <c r="Q1068"/>
  <c r="Q1165"/>
  <c r="Q733"/>
  <c r="Q669"/>
  <c r="Q605"/>
  <c r="Q541"/>
  <c r="O886"/>
  <c r="P524"/>
  <c r="Q525"/>
  <c r="O462"/>
  <c r="O859"/>
  <c r="P291"/>
  <c r="P55"/>
  <c r="O257"/>
  <c r="P97"/>
  <c r="P1232"/>
  <c r="Q896"/>
  <c r="Q576"/>
  <c r="P1271"/>
  <c r="Q595"/>
  <c r="P707"/>
  <c r="P451"/>
  <c r="O1777"/>
  <c r="P654"/>
  <c r="O654"/>
  <c r="Q654"/>
  <c r="Q972"/>
  <c r="O972"/>
  <c r="P1053"/>
  <c r="O1053"/>
  <c r="Q1053"/>
  <c r="Q45"/>
  <c r="O45"/>
  <c r="P45"/>
  <c r="Q225"/>
  <c r="O225"/>
  <c r="P592"/>
  <c r="Q592"/>
  <c r="P882"/>
  <c r="O882"/>
  <c r="P722"/>
  <c r="O722"/>
  <c r="P984"/>
  <c r="O984"/>
  <c r="Q984"/>
  <c r="O1187"/>
  <c r="P1187"/>
  <c r="Q1187"/>
  <c r="P1111"/>
  <c r="Q1111"/>
  <c r="P1059"/>
  <c r="O1059"/>
  <c r="Q1059"/>
  <c r="P987"/>
  <c r="O987"/>
  <c r="P939"/>
  <c r="Q939"/>
  <c r="P891"/>
  <c r="Q891"/>
  <c r="O843"/>
  <c r="P843"/>
  <c r="Q843"/>
  <c r="Q795"/>
  <c r="P795"/>
  <c r="P1206"/>
  <c r="Q1206"/>
  <c r="P680"/>
  <c r="O680"/>
  <c r="P668"/>
  <c r="O668"/>
  <c r="Q668"/>
  <c r="O771"/>
  <c r="Q771"/>
  <c r="Q723"/>
  <c r="P723"/>
  <c r="P675"/>
  <c r="O675"/>
  <c r="P627"/>
  <c r="Q627"/>
  <c r="O627"/>
  <c r="O579"/>
  <c r="Q579"/>
  <c r="Q531"/>
  <c r="P531"/>
  <c r="P483"/>
  <c r="O483"/>
  <c r="Q483"/>
  <c r="O435"/>
  <c r="P435"/>
  <c r="Q435"/>
  <c r="O403"/>
  <c r="P403"/>
  <c r="Q403"/>
  <c r="O339"/>
  <c r="P339"/>
  <c r="Q339"/>
  <c r="P506"/>
  <c r="O506"/>
  <c r="O410"/>
  <c r="P410"/>
  <c r="Q410"/>
  <c r="O346"/>
  <c r="P346"/>
  <c r="Q346"/>
  <c r="O250"/>
  <c r="Q250"/>
  <c r="P146"/>
  <c r="O146"/>
  <c r="Q146"/>
  <c r="P183"/>
  <c r="Q183"/>
  <c r="Q804"/>
  <c r="P804"/>
  <c r="O1114"/>
  <c r="Q1114"/>
  <c r="P1140"/>
  <c r="O1140"/>
  <c r="O932"/>
  <c r="Q932"/>
  <c r="O652"/>
  <c r="Q652"/>
  <c r="Q364"/>
  <c r="O364"/>
  <c r="Q300"/>
  <c r="O300"/>
  <c r="Q204"/>
  <c r="O204"/>
  <c r="O227"/>
  <c r="Q227"/>
  <c r="P227"/>
  <c r="Q129"/>
  <c r="O129"/>
  <c r="P129"/>
  <c r="Q65"/>
  <c r="O65"/>
  <c r="P65"/>
  <c r="P67"/>
  <c r="Q67"/>
  <c r="P864"/>
  <c r="O864"/>
  <c r="Q704"/>
  <c r="P704"/>
  <c r="O974"/>
  <c r="P974"/>
  <c r="Q974"/>
  <c r="O710"/>
  <c r="P710"/>
  <c r="O1159"/>
  <c r="P1159"/>
  <c r="Q1159"/>
  <c r="O1107"/>
  <c r="P1107"/>
  <c r="O1031"/>
  <c r="P1031"/>
  <c r="Q1031"/>
  <c r="Q969"/>
  <c r="P969"/>
  <c r="O969"/>
  <c r="Q921"/>
  <c r="P921"/>
  <c r="O921"/>
  <c r="Q873"/>
  <c r="O873"/>
  <c r="P873"/>
  <c r="Q841"/>
  <c r="O841"/>
  <c r="Q1157"/>
  <c r="P1157"/>
  <c r="P910"/>
  <c r="O910"/>
  <c r="P636"/>
  <c r="Q636"/>
  <c r="O636"/>
  <c r="O717"/>
  <c r="Q717"/>
  <c r="P685"/>
  <c r="O685"/>
  <c r="Q685"/>
  <c r="O477"/>
  <c r="P477"/>
  <c r="Q477"/>
  <c r="P445"/>
  <c r="O445"/>
  <c r="Q445"/>
  <c r="P413"/>
  <c r="O413"/>
  <c r="Q413"/>
  <c r="O494"/>
  <c r="P494"/>
  <c r="Q494"/>
  <c r="Q398"/>
  <c r="P398"/>
  <c r="P302"/>
  <c r="O302"/>
  <c r="Q302"/>
  <c r="Q206"/>
  <c r="P206"/>
  <c r="P110"/>
  <c r="O110"/>
  <c r="Q110"/>
  <c r="Q229"/>
  <c r="P229"/>
  <c r="Q107"/>
  <c r="P107"/>
  <c r="O107"/>
  <c r="P1152"/>
  <c r="O889"/>
  <c r="P1035"/>
  <c r="Q987"/>
  <c r="O704"/>
  <c r="O825"/>
  <c r="R825" s="1"/>
  <c r="O333"/>
  <c r="O1243"/>
  <c r="O939"/>
  <c r="O1062"/>
  <c r="P653"/>
  <c r="O349"/>
  <c r="R349" s="1"/>
  <c r="O141"/>
  <c r="R141" s="1"/>
  <c r="Q955"/>
  <c r="Q1256"/>
  <c r="Q1154"/>
  <c r="P818"/>
  <c r="Q856"/>
  <c r="P638"/>
  <c r="O558"/>
  <c r="Q506"/>
  <c r="P378"/>
  <c r="O499"/>
  <c r="O263"/>
  <c r="O159"/>
  <c r="P1114"/>
  <c r="P240"/>
  <c r="P556"/>
  <c r="P889"/>
  <c r="P397"/>
  <c r="P269"/>
  <c r="P859"/>
  <c r="P1228"/>
  <c r="O1068"/>
  <c r="Q1245"/>
  <c r="O1165"/>
  <c r="O733"/>
  <c r="O669"/>
  <c r="O605"/>
  <c r="O541"/>
  <c r="Q1094"/>
  <c r="P652"/>
  <c r="O428"/>
  <c r="Q429"/>
  <c r="R429" s="1"/>
  <c r="O398"/>
  <c r="O142"/>
  <c r="O891"/>
  <c r="P419"/>
  <c r="O1065"/>
  <c r="P33"/>
  <c r="O1185"/>
  <c r="Q1130"/>
  <c r="Q1002"/>
  <c r="O592"/>
  <c r="P726"/>
  <c r="P98"/>
  <c r="P1092"/>
  <c r="P997"/>
  <c r="P644"/>
  <c r="O643"/>
  <c r="O804"/>
  <c r="P771"/>
  <c r="O531"/>
  <c r="Q910"/>
  <c r="Q580"/>
  <c r="P515"/>
  <c r="O67"/>
  <c r="O33"/>
  <c r="O43"/>
  <c r="P1793"/>
  <c r="O1449"/>
  <c r="R1449" s="1"/>
  <c r="O1842"/>
  <c r="O1805"/>
  <c r="P1821"/>
  <c r="P1805"/>
  <c r="P1500"/>
  <c r="Q1579"/>
  <c r="Q1563"/>
  <c r="P1842"/>
  <c r="O1685"/>
  <c r="O1614"/>
  <c r="O1598"/>
  <c r="O1537"/>
  <c r="R1537" s="1"/>
  <c r="P1686"/>
  <c r="O1793"/>
  <c r="P1754"/>
  <c r="O1858"/>
  <c r="O1821"/>
  <c r="P1741"/>
  <c r="O1686"/>
  <c r="O1654"/>
  <c r="R1654" s="1"/>
  <c r="O1717"/>
  <c r="R1717" s="1"/>
  <c r="P1552"/>
  <c r="P1579"/>
  <c r="P1563"/>
  <c r="O1355"/>
  <c r="R1355" s="1"/>
  <c r="P1721"/>
  <c r="P1429"/>
  <c r="O1808"/>
  <c r="O1581"/>
  <c r="P1772"/>
  <c r="P1781"/>
  <c r="P1614"/>
  <c r="P1598"/>
  <c r="Q1581"/>
  <c r="P1844"/>
  <c r="P1828"/>
  <c r="O1791"/>
  <c r="P1759"/>
  <c r="O1709"/>
  <c r="Q1585"/>
  <c r="P276"/>
  <c r="Q116"/>
  <c r="P912"/>
  <c r="P938"/>
  <c r="P1063"/>
  <c r="Q1268"/>
  <c r="P705"/>
  <c r="O1760"/>
  <c r="P1575"/>
  <c r="P1339"/>
  <c r="P1735"/>
  <c r="P154"/>
  <c r="O1085"/>
  <c r="Q163"/>
  <c r="P406"/>
  <c r="Q118"/>
  <c r="O1815"/>
  <c r="R1815" s="1"/>
  <c r="O1798"/>
  <c r="P1634"/>
  <c r="P1011"/>
  <c r="P764"/>
  <c r="Q744"/>
  <c r="Q52"/>
  <c r="Q813"/>
  <c r="P1110"/>
  <c r="P998"/>
  <c r="O289"/>
  <c r="Q1139"/>
  <c r="Q244"/>
  <c r="Q564"/>
  <c r="P1150"/>
  <c r="O1852"/>
  <c r="P1804"/>
  <c r="P1561"/>
  <c r="P1573"/>
  <c r="P666"/>
  <c r="O1785"/>
  <c r="O1766"/>
  <c r="O1721"/>
  <c r="O1589"/>
  <c r="P1693"/>
  <c r="Q1565"/>
  <c r="Q764"/>
  <c r="O1749"/>
  <c r="R1749" s="1"/>
  <c r="O1562"/>
  <c r="O1770"/>
  <c r="P1697"/>
  <c r="R1697" s="1"/>
  <c r="O1540"/>
  <c r="P1560"/>
  <c r="O1441"/>
  <c r="R1441" s="1"/>
  <c r="O1417"/>
  <c r="R1417" s="1"/>
  <c r="O1816"/>
  <c r="P1767"/>
  <c r="P1792"/>
  <c r="O1665"/>
  <c r="O1633"/>
  <c r="O1617"/>
  <c r="O1601"/>
  <c r="Q1587"/>
  <c r="O1553"/>
  <c r="O1846"/>
  <c r="P1640"/>
  <c r="R1640" s="1"/>
  <c r="P1637"/>
  <c r="Q1580"/>
  <c r="P1830"/>
  <c r="R1830" s="1"/>
  <c r="P1816"/>
  <c r="O1787"/>
  <c r="R1787" s="1"/>
  <c r="O1788"/>
  <c r="R1788" s="1"/>
  <c r="O1765"/>
  <c r="R1765" s="1"/>
  <c r="O1725"/>
  <c r="O1653"/>
  <c r="O1626"/>
  <c r="O1618"/>
  <c r="O1594"/>
  <c r="O1733"/>
  <c r="O1644"/>
  <c r="Q1578"/>
  <c r="O1580"/>
  <c r="O1767"/>
  <c r="O1792"/>
  <c r="P1769"/>
  <c r="P1665"/>
  <c r="P1633"/>
  <c r="P1617"/>
  <c r="P1601"/>
  <c r="P1587"/>
  <c r="Q1571"/>
  <c r="P1674"/>
  <c r="P1782"/>
  <c r="O1646"/>
  <c r="P1421"/>
  <c r="O1834"/>
  <c r="P1747"/>
  <c r="P1731"/>
  <c r="P1834"/>
  <c r="O1573"/>
  <c r="P1755"/>
  <c r="P1756"/>
  <c r="P1653"/>
  <c r="P1626"/>
  <c r="P1618"/>
  <c r="P1594"/>
  <c r="P1670"/>
  <c r="R1670" s="1"/>
  <c r="O1578"/>
  <c r="P1644"/>
  <c r="P1813"/>
  <c r="P1760"/>
  <c r="P1798"/>
  <c r="O1769"/>
  <c r="R1769" s="1"/>
  <c r="O1673"/>
  <c r="R1673" s="1"/>
  <c r="O1625"/>
  <c r="R1625" s="1"/>
  <c r="O1609"/>
  <c r="R1609" s="1"/>
  <c r="O1593"/>
  <c r="R1593" s="1"/>
  <c r="P1536"/>
  <c r="P1571"/>
  <c r="R1571" s="1"/>
  <c r="O1323"/>
  <c r="R1323" s="1"/>
  <c r="O1814"/>
  <c r="R1814" s="1"/>
  <c r="O1747"/>
  <c r="O1782"/>
  <c r="P1646"/>
  <c r="O1421"/>
  <c r="O1850"/>
  <c r="O1813"/>
  <c r="P1846"/>
  <c r="O1755"/>
  <c r="R1755" s="1"/>
  <c r="O1756"/>
  <c r="R1756" s="1"/>
  <c r="O1634"/>
  <c r="R1634" s="1"/>
  <c r="O1610"/>
  <c r="O1602"/>
  <c r="P1462"/>
  <c r="R1462" s="1"/>
  <c r="O1817"/>
  <c r="P1524"/>
  <c r="O1737"/>
  <c r="P1678"/>
  <c r="Q1751"/>
  <c r="O1544"/>
  <c r="P1797"/>
  <c r="Q1584"/>
  <c r="O1429"/>
  <c r="R1429" s="1"/>
  <c r="O1413"/>
  <c r="O1807"/>
  <c r="P1858"/>
  <c r="P1826"/>
  <c r="P1808"/>
  <c r="O1565"/>
  <c r="P1685"/>
  <c r="O1661"/>
  <c r="O1643"/>
  <c r="O1622"/>
  <c r="O1606"/>
  <c r="O1575"/>
  <c r="O1409"/>
  <c r="P1807"/>
  <c r="P1484"/>
  <c r="P1783"/>
  <c r="O1753"/>
  <c r="R1753" s="1"/>
  <c r="P1689"/>
  <c r="P1591"/>
  <c r="O1690"/>
  <c r="O1645"/>
  <c r="Q1568"/>
  <c r="O1818"/>
  <c r="O1658"/>
  <c r="R1658" s="1"/>
  <c r="P1820"/>
  <c r="O1693"/>
  <c r="R1693" s="1"/>
  <c r="P1643"/>
  <c r="P1622"/>
  <c r="P1606"/>
  <c r="R1800"/>
  <c r="O858"/>
  <c r="P599"/>
  <c r="O535"/>
  <c r="P561"/>
  <c r="O417"/>
  <c r="Q968"/>
  <c r="P776"/>
  <c r="Q186"/>
  <c r="Q551"/>
  <c r="P199"/>
  <c r="P135"/>
  <c r="R135" s="1"/>
  <c r="P180"/>
  <c r="R180" s="1"/>
  <c r="O52"/>
  <c r="P1249"/>
  <c r="P237"/>
  <c r="Q973"/>
  <c r="R973" s="1"/>
  <c r="Q845"/>
  <c r="Q966"/>
  <c r="P674"/>
  <c r="P163"/>
  <c r="Q212"/>
  <c r="O513"/>
  <c r="O321"/>
  <c r="Q1217"/>
  <c r="Q1178"/>
  <c r="O912"/>
  <c r="R912" s="1"/>
  <c r="Q290"/>
  <c r="O1172"/>
  <c r="Q308"/>
  <c r="Q502"/>
  <c r="Q1246"/>
  <c r="O150"/>
  <c r="O471"/>
  <c r="P436"/>
  <c r="O666"/>
  <c r="R666" s="1"/>
  <c r="O86"/>
  <c r="Q195"/>
  <c r="O59"/>
  <c r="O123"/>
  <c r="O203"/>
  <c r="P1492"/>
  <c r="O1751"/>
  <c r="R1751" s="1"/>
  <c r="O1832"/>
  <c r="O1577"/>
  <c r="P1775"/>
  <c r="P1768"/>
  <c r="O1701"/>
  <c r="O1681"/>
  <c r="O1635"/>
  <c r="O1627"/>
  <c r="O1619"/>
  <c r="O1611"/>
  <c r="O1603"/>
  <c r="O1595"/>
  <c r="O1804"/>
  <c r="O1735"/>
  <c r="O1797"/>
  <c r="P1645"/>
  <c r="P1647"/>
  <c r="O1524"/>
  <c r="P1584"/>
  <c r="R1584" s="1"/>
  <c r="P1568"/>
  <c r="P1457"/>
  <c r="P1437"/>
  <c r="O1682"/>
  <c r="P1848"/>
  <c r="P1763"/>
  <c r="P1725"/>
  <c r="P1661"/>
  <c r="P1589"/>
  <c r="P1577"/>
  <c r="O737"/>
  <c r="O481"/>
  <c r="O968"/>
  <c r="R968" s="1"/>
  <c r="P186"/>
  <c r="Q775"/>
  <c r="Q276"/>
  <c r="P545"/>
  <c r="P1247"/>
  <c r="O212"/>
  <c r="O641"/>
  <c r="Q810"/>
  <c r="Q582"/>
  <c r="O482"/>
  <c r="O114"/>
  <c r="O84"/>
  <c r="Q1253"/>
  <c r="O1134"/>
  <c r="Q404"/>
  <c r="P214"/>
  <c r="O1246"/>
  <c r="O342"/>
  <c r="O1006"/>
  <c r="Q532"/>
  <c r="O278"/>
  <c r="P195"/>
  <c r="P123"/>
  <c r="P1001"/>
  <c r="P641"/>
  <c r="O1089"/>
  <c r="P513"/>
  <c r="O1591"/>
  <c r="O1484"/>
  <c r="P1794"/>
  <c r="P1778"/>
  <c r="O1713"/>
  <c r="O1641"/>
  <c r="P1548"/>
  <c r="Q1582"/>
  <c r="Q1566"/>
  <c r="P1433"/>
  <c r="O1335"/>
  <c r="O1848"/>
  <c r="P1817"/>
  <c r="P1801"/>
  <c r="O1775"/>
  <c r="O1768"/>
  <c r="P1701"/>
  <c r="P1681"/>
  <c r="P1635"/>
  <c r="P1627"/>
  <c r="P1619"/>
  <c r="P1611"/>
  <c r="P1603"/>
  <c r="P1595"/>
  <c r="O1803"/>
  <c r="O1820"/>
  <c r="R1820" s="1"/>
  <c r="P1682"/>
  <c r="P1790"/>
  <c r="P1758"/>
  <c r="O1437"/>
  <c r="P1832"/>
  <c r="O1763"/>
  <c r="P1764"/>
  <c r="P1773"/>
  <c r="O1669"/>
  <c r="O1636"/>
  <c r="O1628"/>
  <c r="O1620"/>
  <c r="O1612"/>
  <c r="O1604"/>
  <c r="O1596"/>
  <c r="Q1115"/>
  <c r="O199"/>
  <c r="O721"/>
  <c r="Q1005"/>
  <c r="Q877"/>
  <c r="O966"/>
  <c r="O892"/>
  <c r="O353"/>
  <c r="P845"/>
  <c r="P625"/>
  <c r="O237"/>
  <c r="O712"/>
  <c r="Q154"/>
  <c r="P71"/>
  <c r="P114"/>
  <c r="P1196"/>
  <c r="Q909"/>
  <c r="Q908"/>
  <c r="P748"/>
  <c r="O658"/>
  <c r="P295"/>
  <c r="O769"/>
  <c r="O385"/>
  <c r="Q826"/>
  <c r="O656"/>
  <c r="O534"/>
  <c r="Q863"/>
  <c r="P148"/>
  <c r="Q1012"/>
  <c r="Q1182"/>
  <c r="P500"/>
  <c r="Q310"/>
  <c r="P468"/>
  <c r="P1102"/>
  <c r="O470"/>
  <c r="P385"/>
  <c r="O235"/>
  <c r="P401"/>
  <c r="O689"/>
  <c r="P59"/>
  <c r="O1801"/>
  <c r="R1801" s="1"/>
  <c r="O1794"/>
  <c r="R1794" s="1"/>
  <c r="O1778"/>
  <c r="R1778" s="1"/>
  <c r="P1713"/>
  <c r="P1641"/>
  <c r="O1548"/>
  <c r="R1548" s="1"/>
  <c r="P1582"/>
  <c r="R1582" s="1"/>
  <c r="P1566"/>
  <c r="R1566" s="1"/>
  <c r="O1433"/>
  <c r="R1433" s="1"/>
  <c r="P1335"/>
  <c r="P1819"/>
  <c r="P1803"/>
  <c r="O1561"/>
  <c r="P1777"/>
  <c r="O1689"/>
  <c r="P1544"/>
  <c r="O1339"/>
  <c r="O1819"/>
  <c r="O1836"/>
  <c r="O1790"/>
  <c r="O1758"/>
  <c r="P1413"/>
  <c r="O1802"/>
  <c r="P1818"/>
  <c r="P1802"/>
  <c r="O1492"/>
  <c r="O1764"/>
  <c r="O1773"/>
  <c r="P1669"/>
  <c r="P1636"/>
  <c r="P1628"/>
  <c r="P1620"/>
  <c r="P1612"/>
  <c r="P1604"/>
  <c r="P1596"/>
  <c r="Q1569"/>
  <c r="P1331"/>
  <c r="R1331" s="1"/>
  <c r="O1327"/>
  <c r="O1457"/>
  <c r="P1852"/>
  <c r="P1836"/>
  <c r="O1347"/>
  <c r="P1327"/>
  <c r="P1347"/>
  <c r="O1705"/>
  <c r="O1343"/>
  <c r="P1705"/>
  <c r="P1343"/>
  <c r="Q1650"/>
  <c r="O1650"/>
  <c r="P1650"/>
  <c r="P1344"/>
  <c r="Q1344"/>
  <c r="O1344"/>
  <c r="Q1497"/>
  <c r="O1497"/>
  <c r="P1497"/>
  <c r="Q1557"/>
  <c r="O1557"/>
  <c r="P1557"/>
  <c r="Q1853"/>
  <c r="P1853"/>
  <c r="Q1837"/>
  <c r="P1837"/>
  <c r="Q1742"/>
  <c r="O1742"/>
  <c r="Q1422"/>
  <c r="O1422"/>
  <c r="P1694"/>
  <c r="Q1694"/>
  <c r="O1694"/>
  <c r="P1336"/>
  <c r="O1336"/>
  <c r="Q1336"/>
  <c r="Q1520"/>
  <c r="O1520"/>
  <c r="Q1558"/>
  <c r="P1558"/>
  <c r="O1558"/>
  <c r="Q1518"/>
  <c r="P1518"/>
  <c r="O1518"/>
  <c r="Q1486"/>
  <c r="P1486"/>
  <c r="O1486"/>
  <c r="Q1464"/>
  <c r="O1464"/>
  <c r="P1464"/>
  <c r="Q1384"/>
  <c r="P1384"/>
  <c r="O1384"/>
  <c r="Q1365"/>
  <c r="O1365"/>
  <c r="P1365"/>
  <c r="Q1310"/>
  <c r="O1310"/>
  <c r="P1310"/>
  <c r="Q1287"/>
  <c r="O1287"/>
  <c r="P1287"/>
  <c r="Q1724"/>
  <c r="P1724"/>
  <c r="O1724"/>
  <c r="Q1716"/>
  <c r="P1716"/>
  <c r="O1716"/>
  <c r="Q1708"/>
  <c r="P1708"/>
  <c r="O1708"/>
  <c r="Q1700"/>
  <c r="P1700"/>
  <c r="O1700"/>
  <c r="Q1692"/>
  <c r="P1692"/>
  <c r="O1692"/>
  <c r="Q1547"/>
  <c r="O1547"/>
  <c r="P1547"/>
  <c r="Q1507"/>
  <c r="O1507"/>
  <c r="P1507"/>
  <c r="Q1477"/>
  <c r="P1477"/>
  <c r="O1477"/>
  <c r="Q1456"/>
  <c r="P1456"/>
  <c r="O1456"/>
  <c r="Q1448"/>
  <c r="O1448"/>
  <c r="P1448"/>
  <c r="Q1440"/>
  <c r="O1440"/>
  <c r="P1440"/>
  <c r="Q1432"/>
  <c r="O1432"/>
  <c r="P1432"/>
  <c r="Q1424"/>
  <c r="O1424"/>
  <c r="P1424"/>
  <c r="Q1416"/>
  <c r="O1416"/>
  <c r="P1416"/>
  <c r="Q1408"/>
  <c r="O1408"/>
  <c r="P1408"/>
  <c r="Q1400"/>
  <c r="O1400"/>
  <c r="P1400"/>
  <c r="Q1387"/>
  <c r="P1387"/>
  <c r="O1387"/>
  <c r="Q1371"/>
  <c r="P1371"/>
  <c r="O1371"/>
  <c r="P1320"/>
  <c r="Q1320"/>
  <c r="O1320"/>
  <c r="Q1305"/>
  <c r="P1305"/>
  <c r="O1305"/>
  <c r="Q1296"/>
  <c r="P1296"/>
  <c r="O1296"/>
  <c r="Q1280"/>
  <c r="O1280"/>
  <c r="P1280"/>
  <c r="Q1684"/>
  <c r="O1684"/>
  <c r="P1684"/>
  <c r="Q1676"/>
  <c r="O1676"/>
  <c r="P1676"/>
  <c r="Q1668"/>
  <c r="O1668"/>
  <c r="P1668"/>
  <c r="Q1660"/>
  <c r="O1660"/>
  <c r="P1660"/>
  <c r="Q1652"/>
  <c r="O1652"/>
  <c r="P1652"/>
  <c r="Q1538"/>
  <c r="P1538"/>
  <c r="O1538"/>
  <c r="Q1510"/>
  <c r="P1510"/>
  <c r="O1510"/>
  <c r="Q1478"/>
  <c r="P1478"/>
  <c r="O1478"/>
  <c r="Q1460"/>
  <c r="O1460"/>
  <c r="P1460"/>
  <c r="Q1389"/>
  <c r="O1389"/>
  <c r="P1389"/>
  <c r="Q1373"/>
  <c r="O1373"/>
  <c r="P1373"/>
  <c r="Q1359"/>
  <c r="O1359"/>
  <c r="P1359"/>
  <c r="Q1298"/>
  <c r="O1298"/>
  <c r="P1298"/>
  <c r="Q1277"/>
  <c r="P1277"/>
  <c r="O1277"/>
  <c r="Q1531"/>
  <c r="O1531"/>
  <c r="P1531"/>
  <c r="Q1499"/>
  <c r="P1499"/>
  <c r="O1499"/>
  <c r="Q1473"/>
  <c r="P1473"/>
  <c r="O1473"/>
  <c r="Q1391"/>
  <c r="P1391"/>
  <c r="O1391"/>
  <c r="Q1375"/>
  <c r="P1375"/>
  <c r="O1375"/>
  <c r="Q1360"/>
  <c r="O1360"/>
  <c r="P1360"/>
  <c r="Q1353"/>
  <c r="P1353"/>
  <c r="O1353"/>
  <c r="Q1345"/>
  <c r="O1345"/>
  <c r="P1345"/>
  <c r="Q1337"/>
  <c r="P1337"/>
  <c r="O1337"/>
  <c r="Q1329"/>
  <c r="O1329"/>
  <c r="P1329"/>
  <c r="Q1321"/>
  <c r="P1321"/>
  <c r="O1321"/>
  <c r="Q1307"/>
  <c r="P1307"/>
  <c r="O1307"/>
  <c r="Q1293"/>
  <c r="P1293"/>
  <c r="O1293"/>
  <c r="Q1286"/>
  <c r="O1286"/>
  <c r="P1286"/>
  <c r="Q1513"/>
  <c r="O1513"/>
  <c r="P1513"/>
  <c r="O1340"/>
  <c r="P1340"/>
  <c r="Q1340"/>
  <c r="Q1849"/>
  <c r="P1849"/>
  <c r="Q1833"/>
  <c r="P1833"/>
  <c r="Q1740"/>
  <c r="O1740"/>
  <c r="Q1442"/>
  <c r="O1442"/>
  <c r="Q1410"/>
  <c r="O1410"/>
  <c r="P1702"/>
  <c r="Q1702"/>
  <c r="O1702"/>
  <c r="Q1855"/>
  <c r="P1855"/>
  <c r="Q1839"/>
  <c r="P1839"/>
  <c r="Q1823"/>
  <c r="P1823"/>
  <c r="Q1480"/>
  <c r="O1480"/>
  <c r="Q1489"/>
  <c r="P1489"/>
  <c r="O1489"/>
  <c r="Q1509"/>
  <c r="P1509"/>
  <c r="O1509"/>
  <c r="Q1529"/>
  <c r="O1529"/>
  <c r="P1529"/>
  <c r="Q1746"/>
  <c r="O1746"/>
  <c r="Q1730"/>
  <c r="O1730"/>
  <c r="Q1430"/>
  <c r="O1430"/>
  <c r="Q1398"/>
  <c r="O1398"/>
  <c r="P1710"/>
  <c r="Q1710"/>
  <c r="O1710"/>
  <c r="P1352"/>
  <c r="O1352"/>
  <c r="Q1352"/>
  <c r="Q1851"/>
  <c r="O1851"/>
  <c r="P1851"/>
  <c r="Q1835"/>
  <c r="P1835"/>
  <c r="Q1559"/>
  <c r="P1559"/>
  <c r="O1559"/>
  <c r="Q1519"/>
  <c r="O1519"/>
  <c r="P1519"/>
  <c r="Q1487"/>
  <c r="P1487"/>
  <c r="O1487"/>
  <c r="Q1468"/>
  <c r="O1468"/>
  <c r="P1468"/>
  <c r="Q1385"/>
  <c r="O1385"/>
  <c r="P1385"/>
  <c r="Q1369"/>
  <c r="O1369"/>
  <c r="P1369"/>
  <c r="Q1317"/>
  <c r="O1317"/>
  <c r="P1317"/>
  <c r="Q1294"/>
  <c r="O1294"/>
  <c r="P1294"/>
  <c r="Q1275"/>
  <c r="O1275"/>
  <c r="P1275"/>
  <c r="Q1719"/>
  <c r="O1719"/>
  <c r="P1719"/>
  <c r="Q1711"/>
  <c r="O1711"/>
  <c r="P1711"/>
  <c r="Q1703"/>
  <c r="O1703"/>
  <c r="P1703"/>
  <c r="Q1695"/>
  <c r="O1695"/>
  <c r="P1695"/>
  <c r="Q1550"/>
  <c r="P1550"/>
  <c r="O1550"/>
  <c r="Q1522"/>
  <c r="O1522"/>
  <c r="P1522"/>
  <c r="Q1490"/>
  <c r="O1490"/>
  <c r="P1490"/>
  <c r="Q1465"/>
  <c r="P1465"/>
  <c r="O1465"/>
  <c r="Q1451"/>
  <c r="O1451"/>
  <c r="P1451"/>
  <c r="Q1443"/>
  <c r="P1443"/>
  <c r="O1443"/>
  <c r="Q1435"/>
  <c r="P1435"/>
  <c r="O1435"/>
  <c r="Q1427"/>
  <c r="P1427"/>
  <c r="O1427"/>
  <c r="Q1419"/>
  <c r="P1419"/>
  <c r="O1419"/>
  <c r="Q1411"/>
  <c r="P1411"/>
  <c r="O1411"/>
  <c r="Q1403"/>
  <c r="P1403"/>
  <c r="O1403"/>
  <c r="Q1394"/>
  <c r="P1394"/>
  <c r="O1394"/>
  <c r="Q1378"/>
  <c r="P1378"/>
  <c r="O1378"/>
  <c r="Q1362"/>
  <c r="P1362"/>
  <c r="O1362"/>
  <c r="Q1311"/>
  <c r="P1311"/>
  <c r="O1311"/>
  <c r="Q1297"/>
  <c r="P1297"/>
  <c r="O1297"/>
  <c r="Q1284"/>
  <c r="P1284"/>
  <c r="O1284"/>
  <c r="Q1687"/>
  <c r="O1687"/>
  <c r="P1687"/>
  <c r="Q1679"/>
  <c r="O1679"/>
  <c r="P1679"/>
  <c r="Q1671"/>
  <c r="O1671"/>
  <c r="P1671"/>
  <c r="Q1663"/>
  <c r="O1663"/>
  <c r="P1663"/>
  <c r="Q1655"/>
  <c r="O1655"/>
  <c r="P1655"/>
  <c r="Q1539"/>
  <c r="O1539"/>
  <c r="P1539"/>
  <c r="Q1511"/>
  <c r="P1511"/>
  <c r="O1511"/>
  <c r="Q1479"/>
  <c r="O1479"/>
  <c r="P1479"/>
  <c r="Q1466"/>
  <c r="O1466"/>
  <c r="P1466"/>
  <c r="Q1396"/>
  <c r="P1396"/>
  <c r="O1396"/>
  <c r="Q1380"/>
  <c r="P1380"/>
  <c r="O1380"/>
  <c r="Q1363"/>
  <c r="O1363"/>
  <c r="P1363"/>
  <c r="Q1306"/>
  <c r="O1306"/>
  <c r="P1306"/>
  <c r="Q1281"/>
  <c r="P1281"/>
  <c r="O1281"/>
  <c r="Q1534"/>
  <c r="P1534"/>
  <c r="O1534"/>
  <c r="Q1514"/>
  <c r="O1514"/>
  <c r="P1514"/>
  <c r="Q1482"/>
  <c r="O1482"/>
  <c r="P1482"/>
  <c r="Q1463"/>
  <c r="P1463"/>
  <c r="O1463"/>
  <c r="Q1382"/>
  <c r="P1382"/>
  <c r="O1382"/>
  <c r="Q1364"/>
  <c r="O1364"/>
  <c r="P1364"/>
  <c r="Q1354"/>
  <c r="P1354"/>
  <c r="O1354"/>
  <c r="Q1346"/>
  <c r="P1346"/>
  <c r="O1346"/>
  <c r="Q1338"/>
  <c r="P1338"/>
  <c r="O1338"/>
  <c r="Q1330"/>
  <c r="P1330"/>
  <c r="O1330"/>
  <c r="Q1322"/>
  <c r="P1322"/>
  <c r="O1322"/>
  <c r="Q1308"/>
  <c r="O1308"/>
  <c r="P1308"/>
  <c r="Q1299"/>
  <c r="P1299"/>
  <c r="O1299"/>
  <c r="Q1290"/>
  <c r="P1290"/>
  <c r="O1290"/>
  <c r="Q1274"/>
  <c r="O1274"/>
  <c r="P1274"/>
  <c r="O1356"/>
  <c r="P1356"/>
  <c r="Q1356"/>
  <c r="Q1744"/>
  <c r="O1744"/>
  <c r="Q1418"/>
  <c r="O1418"/>
  <c r="P1718"/>
  <c r="Q1718"/>
  <c r="O1718"/>
  <c r="Q1541"/>
  <c r="P1541"/>
  <c r="O1541"/>
  <c r="Q1496"/>
  <c r="O1496"/>
  <c r="Q1521"/>
  <c r="P1521"/>
  <c r="O1521"/>
  <c r="O1706"/>
  <c r="P1706"/>
  <c r="Q1706"/>
  <c r="Q1796"/>
  <c r="P1796"/>
  <c r="O1796"/>
  <c r="P1332"/>
  <c r="Q1332"/>
  <c r="O1332"/>
  <c r="Q1845"/>
  <c r="P1845"/>
  <c r="Q1829"/>
  <c r="P1829"/>
  <c r="Q1750"/>
  <c r="O1750"/>
  <c r="Q1734"/>
  <c r="O1734"/>
  <c r="Q1438"/>
  <c r="O1438"/>
  <c r="Q1406"/>
  <c r="O1406"/>
  <c r="Q1726"/>
  <c r="O1726"/>
  <c r="P1726"/>
  <c r="Q1533"/>
  <c r="O1533"/>
  <c r="P1533"/>
  <c r="Q1488"/>
  <c r="O1488"/>
  <c r="Q1554"/>
  <c r="P1554"/>
  <c r="O1554"/>
  <c r="Q1502"/>
  <c r="O1502"/>
  <c r="P1502"/>
  <c r="Q1474"/>
  <c r="O1474"/>
  <c r="P1474"/>
  <c r="Q1392"/>
  <c r="P1392"/>
  <c r="O1392"/>
  <c r="Q1376"/>
  <c r="P1376"/>
  <c r="O1376"/>
  <c r="Q1318"/>
  <c r="O1318"/>
  <c r="P1318"/>
  <c r="Q1302"/>
  <c r="O1302"/>
  <c r="P1302"/>
  <c r="Q1279"/>
  <c r="P1279"/>
  <c r="O1279"/>
  <c r="Q1720"/>
  <c r="P1720"/>
  <c r="O1720"/>
  <c r="Q1712"/>
  <c r="P1712"/>
  <c r="O1712"/>
  <c r="Q1704"/>
  <c r="P1704"/>
  <c r="O1704"/>
  <c r="Q1696"/>
  <c r="P1696"/>
  <c r="O1696"/>
  <c r="Q1551"/>
  <c r="O1551"/>
  <c r="P1551"/>
  <c r="Q1523"/>
  <c r="P1523"/>
  <c r="O1523"/>
  <c r="Q1491"/>
  <c r="O1491"/>
  <c r="P1491"/>
  <c r="Q1469"/>
  <c r="P1469"/>
  <c r="O1469"/>
  <c r="Q1452"/>
  <c r="O1452"/>
  <c r="P1452"/>
  <c r="Q1444"/>
  <c r="P1444"/>
  <c r="O1444"/>
  <c r="Q1436"/>
  <c r="P1436"/>
  <c r="O1436"/>
  <c r="Q1428"/>
  <c r="P1428"/>
  <c r="O1428"/>
  <c r="Q1420"/>
  <c r="P1420"/>
  <c r="O1420"/>
  <c r="Q1412"/>
  <c r="P1412"/>
  <c r="O1412"/>
  <c r="Q1404"/>
  <c r="P1404"/>
  <c r="O1404"/>
  <c r="Q1395"/>
  <c r="P1395"/>
  <c r="O1395"/>
  <c r="Q1379"/>
  <c r="P1379"/>
  <c r="O1379"/>
  <c r="Q1366"/>
  <c r="P1366"/>
  <c r="O1366"/>
  <c r="Q1312"/>
  <c r="O1312"/>
  <c r="P1312"/>
  <c r="Q1303"/>
  <c r="P1303"/>
  <c r="O1303"/>
  <c r="Q1288"/>
  <c r="P1288"/>
  <c r="O1288"/>
  <c r="Q1688"/>
  <c r="P1688"/>
  <c r="O1688"/>
  <c r="Q1680"/>
  <c r="O1680"/>
  <c r="P1680"/>
  <c r="Q1672"/>
  <c r="O1672"/>
  <c r="P1672"/>
  <c r="Q1664"/>
  <c r="O1664"/>
  <c r="P1664"/>
  <c r="Q1656"/>
  <c r="O1656"/>
  <c r="P1656"/>
  <c r="Q1542"/>
  <c r="P1542"/>
  <c r="O1542"/>
  <c r="Q1526"/>
  <c r="O1526"/>
  <c r="P1526"/>
  <c r="Q1494"/>
  <c r="O1494"/>
  <c r="P1494"/>
  <c r="Q1470"/>
  <c r="O1470"/>
  <c r="P1470"/>
  <c r="Q1397"/>
  <c r="O1397"/>
  <c r="P1397"/>
  <c r="Q1381"/>
  <c r="O1381"/>
  <c r="P1381"/>
  <c r="Q1367"/>
  <c r="P1367"/>
  <c r="O1367"/>
  <c r="Q1313"/>
  <c r="O1313"/>
  <c r="P1313"/>
  <c r="Q1285"/>
  <c r="P1285"/>
  <c r="O1285"/>
  <c r="Q1535"/>
  <c r="O1535"/>
  <c r="P1535"/>
  <c r="Q1515"/>
  <c r="O1515"/>
  <c r="P1515"/>
  <c r="Q1483"/>
  <c r="O1483"/>
  <c r="P1483"/>
  <c r="Q1467"/>
  <c r="P1467"/>
  <c r="O1467"/>
  <c r="Q1383"/>
  <c r="P1383"/>
  <c r="O1383"/>
  <c r="Q1368"/>
  <c r="P1368"/>
  <c r="O1368"/>
  <c r="Q1357"/>
  <c r="O1357"/>
  <c r="P1357"/>
  <c r="Q1349"/>
  <c r="P1349"/>
  <c r="O1349"/>
  <c r="Q1341"/>
  <c r="O1341"/>
  <c r="P1341"/>
  <c r="Q1333"/>
  <c r="P1333"/>
  <c r="O1333"/>
  <c r="Q1325"/>
  <c r="O1325"/>
  <c r="P1325"/>
  <c r="Q1315"/>
  <c r="P1315"/>
  <c r="O1315"/>
  <c r="Q1300"/>
  <c r="O1300"/>
  <c r="P1300"/>
  <c r="Q1291"/>
  <c r="O1291"/>
  <c r="P1291"/>
  <c r="Q1278"/>
  <c r="P1278"/>
  <c r="O1278"/>
  <c r="Q1505"/>
  <c r="P1505"/>
  <c r="O1505"/>
  <c r="P1698"/>
  <c r="O1698"/>
  <c r="Q1698"/>
  <c r="Q1493"/>
  <c r="P1493"/>
  <c r="O1493"/>
  <c r="Q1795"/>
  <c r="P1795"/>
  <c r="O1795"/>
  <c r="Q1485"/>
  <c r="P1485"/>
  <c r="O1485"/>
  <c r="Q1857"/>
  <c r="P1857"/>
  <c r="O1857"/>
  <c r="Q1841"/>
  <c r="P1841"/>
  <c r="O1841"/>
  <c r="Q1825"/>
  <c r="P1825"/>
  <c r="Q1748"/>
  <c r="O1748"/>
  <c r="Q1426"/>
  <c r="O1426"/>
  <c r="Q1549"/>
  <c r="P1549"/>
  <c r="O1549"/>
  <c r="P1328"/>
  <c r="Q1328"/>
  <c r="O1328"/>
  <c r="Q1847"/>
  <c r="P1847"/>
  <c r="Q1831"/>
  <c r="P1831"/>
  <c r="Q1512"/>
  <c r="O1512"/>
  <c r="O1722"/>
  <c r="P1722"/>
  <c r="Q1722"/>
  <c r="Q1501"/>
  <c r="P1501"/>
  <c r="O1501"/>
  <c r="P1348"/>
  <c r="Q1348"/>
  <c r="O1348"/>
  <c r="Q1738"/>
  <c r="O1738"/>
  <c r="Q1446"/>
  <c r="O1446"/>
  <c r="Q1414"/>
  <c r="O1414"/>
  <c r="Q1799"/>
  <c r="P1799"/>
  <c r="O1799"/>
  <c r="Q1843"/>
  <c r="P1843"/>
  <c r="Q1827"/>
  <c r="P1827"/>
  <c r="Q1504"/>
  <c r="O1504"/>
  <c r="Q1555"/>
  <c r="O1555"/>
  <c r="P1555"/>
  <c r="Q1503"/>
  <c r="O1503"/>
  <c r="P1503"/>
  <c r="Q1475"/>
  <c r="O1475"/>
  <c r="P1475"/>
  <c r="Q1393"/>
  <c r="O1393"/>
  <c r="P1393"/>
  <c r="Q1377"/>
  <c r="O1377"/>
  <c r="P1377"/>
  <c r="Q1361"/>
  <c r="O1361"/>
  <c r="P1361"/>
  <c r="Q1309"/>
  <c r="O1309"/>
  <c r="P1309"/>
  <c r="Q1283"/>
  <c r="P1283"/>
  <c r="O1283"/>
  <c r="Q1723"/>
  <c r="O1723"/>
  <c r="P1723"/>
  <c r="Q1715"/>
  <c r="O1715"/>
  <c r="P1715"/>
  <c r="Q1707"/>
  <c r="O1707"/>
  <c r="P1707"/>
  <c r="Q1699"/>
  <c r="O1699"/>
  <c r="P1699"/>
  <c r="Q1691"/>
  <c r="O1691"/>
  <c r="P1691"/>
  <c r="Q1546"/>
  <c r="P1546"/>
  <c r="O1546"/>
  <c r="Q1506"/>
  <c r="O1506"/>
  <c r="P1506"/>
  <c r="Q1476"/>
  <c r="P1476"/>
  <c r="O1476"/>
  <c r="Q1455"/>
  <c r="O1455"/>
  <c r="P1455"/>
  <c r="Q1447"/>
  <c r="P1447"/>
  <c r="O1447"/>
  <c r="Q1439"/>
  <c r="P1439"/>
  <c r="O1439"/>
  <c r="Q1431"/>
  <c r="P1431"/>
  <c r="O1431"/>
  <c r="Q1423"/>
  <c r="P1423"/>
  <c r="O1423"/>
  <c r="Q1415"/>
  <c r="P1415"/>
  <c r="O1415"/>
  <c r="Q1407"/>
  <c r="P1407"/>
  <c r="O1407"/>
  <c r="Q1399"/>
  <c r="P1399"/>
  <c r="O1399"/>
  <c r="Q1386"/>
  <c r="P1386"/>
  <c r="O1386"/>
  <c r="Q1370"/>
  <c r="P1370"/>
  <c r="O1370"/>
  <c r="Q1319"/>
  <c r="P1319"/>
  <c r="O1319"/>
  <c r="Q1304"/>
  <c r="P1304"/>
  <c r="O1304"/>
  <c r="Q1295"/>
  <c r="O1295"/>
  <c r="P1295"/>
  <c r="Q1276"/>
  <c r="P1276"/>
  <c r="O1276"/>
  <c r="Q1683"/>
  <c r="P1683"/>
  <c r="O1683"/>
  <c r="Q1675"/>
  <c r="P1675"/>
  <c r="O1675"/>
  <c r="Q1667"/>
  <c r="P1667"/>
  <c r="O1667"/>
  <c r="Q1659"/>
  <c r="P1659"/>
  <c r="O1659"/>
  <c r="Q1543"/>
  <c r="O1543"/>
  <c r="P1543"/>
  <c r="Q1527"/>
  <c r="O1527"/>
  <c r="P1527"/>
  <c r="Q1495"/>
  <c r="O1495"/>
  <c r="P1495"/>
  <c r="Q1471"/>
  <c r="O1471"/>
  <c r="P1471"/>
  <c r="Q1459"/>
  <c r="O1459"/>
  <c r="P1459"/>
  <c r="Q1388"/>
  <c r="P1388"/>
  <c r="O1388"/>
  <c r="Q1372"/>
  <c r="P1372"/>
  <c r="O1372"/>
  <c r="Q1314"/>
  <c r="O1314"/>
  <c r="P1314"/>
  <c r="Q1289"/>
  <c r="P1289"/>
  <c r="O1289"/>
  <c r="Q1273"/>
  <c r="P1273"/>
  <c r="O1273"/>
  <c r="Q1530"/>
  <c r="P1530"/>
  <c r="O1530"/>
  <c r="Q1498"/>
  <c r="O1498"/>
  <c r="P1498"/>
  <c r="Q1472"/>
  <c r="P1472"/>
  <c r="O1472"/>
  <c r="Q1390"/>
  <c r="P1390"/>
  <c r="O1390"/>
  <c r="Q1374"/>
  <c r="P1374"/>
  <c r="O1374"/>
  <c r="Q1358"/>
  <c r="P1358"/>
  <c r="O1358"/>
  <c r="Q1350"/>
  <c r="P1350"/>
  <c r="O1350"/>
  <c r="Q1342"/>
  <c r="P1342"/>
  <c r="O1342"/>
  <c r="Q1334"/>
  <c r="P1334"/>
  <c r="O1334"/>
  <c r="Q1326"/>
  <c r="P1326"/>
  <c r="O1326"/>
  <c r="Q1316"/>
  <c r="O1316"/>
  <c r="P1316"/>
  <c r="Q1301"/>
  <c r="P1301"/>
  <c r="O1301"/>
  <c r="Q1292"/>
  <c r="P1292"/>
  <c r="O1292"/>
  <c r="Q1282"/>
  <c r="O1282"/>
  <c r="P1282"/>
  <c r="Q1649"/>
  <c r="P1649"/>
  <c r="O1649"/>
  <c r="P1714"/>
  <c r="O1714"/>
  <c r="Q1714"/>
  <c r="Q1525"/>
  <c r="O1525"/>
  <c r="P1525"/>
  <c r="Q1481"/>
  <c r="O1481"/>
  <c r="P1481"/>
  <c r="Q1517"/>
  <c r="P1517"/>
  <c r="O1517"/>
  <c r="O1324"/>
  <c r="P1324"/>
  <c r="Q1324"/>
  <c r="Q1736"/>
  <c r="O1736"/>
  <c r="Q1434"/>
  <c r="O1434"/>
  <c r="Q1402"/>
  <c r="O1402"/>
  <c r="W22"/>
  <c r="AA22"/>
  <c r="Z27" s="1"/>
  <c r="R8"/>
  <c r="W8" s="1"/>
  <c r="R1583"/>
  <c r="R1642"/>
  <c r="R1458"/>
  <c r="R1461"/>
  <c r="R1732"/>
  <c r="R1648"/>
  <c r="R1631"/>
  <c r="R1623"/>
  <c r="R1615"/>
  <c r="R1607"/>
  <c r="R1599"/>
  <c r="R1809"/>
  <c r="R1638"/>
  <c r="R1576"/>
  <c r="R1567"/>
  <c r="R1662"/>
  <c r="R1564"/>
  <c r="R1450"/>
  <c r="R1528"/>
  <c r="R1405"/>
  <c r="R1840"/>
  <c r="R1780"/>
  <c r="R1789"/>
  <c r="R1757"/>
  <c r="R1574"/>
  <c r="R1762"/>
  <c r="R1556"/>
  <c r="R1810"/>
  <c r="R1743"/>
  <c r="R1727"/>
  <c r="R1616"/>
  <c r="P602"/>
  <c r="P679"/>
  <c r="O362"/>
  <c r="O234"/>
  <c r="P298"/>
  <c r="R298" s="1"/>
  <c r="Q508"/>
  <c r="P348"/>
  <c r="Q35"/>
  <c r="O1043"/>
  <c r="P1095"/>
  <c r="O757"/>
  <c r="O661"/>
  <c r="Q616"/>
  <c r="Q1265"/>
  <c r="P1082"/>
  <c r="Q664"/>
  <c r="P583"/>
  <c r="P1017"/>
  <c r="Q1119"/>
  <c r="O927"/>
  <c r="P1024"/>
  <c r="O615"/>
  <c r="Q663"/>
  <c r="O391"/>
  <c r="O1143"/>
  <c r="Q711"/>
  <c r="Q615"/>
  <c r="O815"/>
  <c r="P847"/>
  <c r="Q991"/>
  <c r="Q1116"/>
  <c r="Q876"/>
  <c r="Q439"/>
  <c r="Q799"/>
  <c r="O514"/>
  <c r="O1251"/>
  <c r="O1017"/>
  <c r="P928"/>
  <c r="P759"/>
  <c r="O631"/>
  <c r="P519"/>
  <c r="P455"/>
  <c r="Q375"/>
  <c r="Q423"/>
  <c r="P1169"/>
  <c r="O226"/>
  <c r="O844"/>
  <c r="Q604"/>
  <c r="O1082"/>
  <c r="P1008"/>
  <c r="P234"/>
  <c r="O1014"/>
  <c r="P444"/>
  <c r="Q412"/>
  <c r="O348"/>
  <c r="R348" s="1"/>
  <c r="P217"/>
  <c r="O443"/>
  <c r="P699"/>
  <c r="Q522"/>
  <c r="P844"/>
  <c r="Q539"/>
  <c r="Q830"/>
  <c r="O1054"/>
  <c r="O993"/>
  <c r="O961"/>
  <c r="P1210"/>
  <c r="P394"/>
  <c r="Q1021"/>
  <c r="O476"/>
  <c r="O380"/>
  <c r="P1041"/>
  <c r="O784"/>
  <c r="P879"/>
  <c r="O698"/>
  <c r="P279"/>
  <c r="O692"/>
  <c r="O801"/>
  <c r="O667"/>
  <c r="O1227"/>
  <c r="Q1216"/>
  <c r="O1008"/>
  <c r="Q151"/>
  <c r="O1064"/>
  <c r="Q1209"/>
  <c r="O616"/>
  <c r="R616" s="1"/>
  <c r="P61"/>
  <c r="P555"/>
  <c r="Q66"/>
  <c r="P762"/>
  <c r="O125"/>
  <c r="O1259"/>
  <c r="Q622"/>
  <c r="O635"/>
  <c r="O1216"/>
  <c r="Q1050"/>
  <c r="O830"/>
  <c r="Q1109"/>
  <c r="Q1262"/>
  <c r="Q1054"/>
  <c r="Q766"/>
  <c r="P694"/>
  <c r="P1015"/>
  <c r="P311"/>
  <c r="P831"/>
  <c r="P423"/>
  <c r="O295"/>
  <c r="O895"/>
  <c r="O354"/>
  <c r="P1044"/>
  <c r="P1230"/>
  <c r="Q1166"/>
  <c r="Q343"/>
  <c r="O340"/>
  <c r="O760"/>
  <c r="Q218"/>
  <c r="P991"/>
  <c r="O74"/>
  <c r="O1067"/>
  <c r="P1241"/>
  <c r="Q712"/>
  <c r="P584"/>
  <c r="P711"/>
  <c r="R711" s="1"/>
  <c r="O647"/>
  <c r="O567"/>
  <c r="O327"/>
  <c r="Q988"/>
  <c r="Q1101"/>
  <c r="P503"/>
  <c r="O271"/>
  <c r="O826"/>
  <c r="Q816"/>
  <c r="Q418"/>
  <c r="P84"/>
  <c r="Q1189"/>
  <c r="O1230"/>
  <c r="P990"/>
  <c r="O404"/>
  <c r="P41"/>
  <c r="P782"/>
  <c r="O468"/>
  <c r="P471"/>
  <c r="P340"/>
  <c r="Q1112"/>
  <c r="O806"/>
  <c r="O394"/>
  <c r="P603"/>
  <c r="O253"/>
  <c r="O952"/>
  <c r="P1209"/>
  <c r="Q808"/>
  <c r="P622"/>
  <c r="O490"/>
  <c r="P362"/>
  <c r="P223"/>
  <c r="Q715"/>
  <c r="O587"/>
  <c r="O1161"/>
  <c r="P1047"/>
  <c r="P175"/>
  <c r="O922"/>
  <c r="O426"/>
  <c r="P731"/>
  <c r="P1037"/>
  <c r="O189"/>
  <c r="Q1259"/>
  <c r="Q1227"/>
  <c r="Q1099"/>
  <c r="O32"/>
  <c r="O808"/>
  <c r="P458"/>
  <c r="P330"/>
  <c r="P253"/>
  <c r="P157"/>
  <c r="O736"/>
  <c r="P1023"/>
  <c r="Q1046"/>
  <c r="Q747"/>
  <c r="Q619"/>
  <c r="P1040"/>
  <c r="Q779"/>
  <c r="Q74"/>
  <c r="Q791"/>
  <c r="Q743"/>
  <c r="O879"/>
  <c r="Q943"/>
  <c r="O1116"/>
  <c r="Q1020"/>
  <c r="O546"/>
  <c r="P375"/>
  <c r="O311"/>
  <c r="P816"/>
  <c r="R816" s="1"/>
  <c r="Q1091"/>
  <c r="P582"/>
  <c r="P418"/>
  <c r="O290"/>
  <c r="Q895"/>
  <c r="Q487"/>
  <c r="Q359"/>
  <c r="P1134"/>
  <c r="O1166"/>
  <c r="O782"/>
  <c r="Q372"/>
  <c r="P149"/>
  <c r="P586"/>
  <c r="Q407"/>
  <c r="P692"/>
  <c r="Q1067"/>
  <c r="O1192"/>
  <c r="Q760"/>
  <c r="P574"/>
  <c r="P791"/>
  <c r="P743"/>
  <c r="Q695"/>
  <c r="P631"/>
  <c r="P567"/>
  <c r="Q455"/>
  <c r="P391"/>
  <c r="P943"/>
  <c r="O1020"/>
  <c r="R1020" s="1"/>
  <c r="Q1261"/>
  <c r="Q578"/>
  <c r="Q947"/>
  <c r="Q1024"/>
  <c r="Q1249"/>
  <c r="P1162"/>
  <c r="Q482"/>
  <c r="Q354"/>
  <c r="Q226"/>
  <c r="P50"/>
  <c r="P815"/>
  <c r="P359"/>
  <c r="P996"/>
  <c r="Q990"/>
  <c r="O500"/>
  <c r="P277"/>
  <c r="P746"/>
  <c r="P1214"/>
  <c r="O660"/>
  <c r="O372"/>
  <c r="P407"/>
  <c r="P1173"/>
  <c r="Q928"/>
  <c r="Q756"/>
  <c r="O88"/>
  <c r="P1251"/>
  <c r="Q1034"/>
  <c r="O1015"/>
  <c r="O948"/>
  <c r="O85"/>
  <c r="P660"/>
  <c r="O1170"/>
  <c r="O799"/>
  <c r="P1101"/>
  <c r="Q1195"/>
  <c r="Q1170"/>
  <c r="Q584"/>
  <c r="O504"/>
  <c r="P218"/>
  <c r="O775"/>
  <c r="Q759"/>
  <c r="Q727"/>
  <c r="O695"/>
  <c r="O663"/>
  <c r="R663" s="1"/>
  <c r="Q647"/>
  <c r="Q583"/>
  <c r="P551"/>
  <c r="Q519"/>
  <c r="Q327"/>
  <c r="Q1143"/>
  <c r="O1169"/>
  <c r="O1041"/>
  <c r="R1041" s="1"/>
  <c r="P1119"/>
  <c r="Q959"/>
  <c r="Q927"/>
  <c r="O988"/>
  <c r="O1261"/>
  <c r="R1261" s="1"/>
  <c r="Q902"/>
  <c r="O908"/>
  <c r="O876"/>
  <c r="O578"/>
  <c r="Q546"/>
  <c r="Q503"/>
  <c r="P439"/>
  <c r="Q271"/>
  <c r="O116"/>
  <c r="O1162"/>
  <c r="O599"/>
  <c r="O487"/>
  <c r="O1219"/>
  <c r="O1091"/>
  <c r="Q944"/>
  <c r="P1178"/>
  <c r="O1034"/>
  <c r="Q858"/>
  <c r="Q762"/>
  <c r="O624"/>
  <c r="Q514"/>
  <c r="Q450"/>
  <c r="Q386"/>
  <c r="Q322"/>
  <c r="Q258"/>
  <c r="P863"/>
  <c r="O244"/>
  <c r="Q148"/>
  <c r="Q1044"/>
  <c r="Q996"/>
  <c r="O1189"/>
  <c r="O820"/>
  <c r="O308"/>
  <c r="Q277"/>
  <c r="Q181"/>
  <c r="Q746"/>
  <c r="Q602"/>
  <c r="R602" s="1"/>
  <c r="Q586"/>
  <c r="P343"/>
  <c r="Q111"/>
  <c r="Q1173"/>
  <c r="Q1006"/>
  <c r="Q740"/>
  <c r="O532"/>
  <c r="Q436"/>
  <c r="P714"/>
  <c r="P535"/>
  <c r="P247"/>
  <c r="Q624"/>
  <c r="Q820"/>
  <c r="P1219"/>
  <c r="O1195"/>
  <c r="Q1192"/>
  <c r="O727"/>
  <c r="Q679"/>
  <c r="O50"/>
  <c r="P959"/>
  <c r="R959" s="1"/>
  <c r="Q1085"/>
  <c r="O1174"/>
  <c r="P902"/>
  <c r="Q594"/>
  <c r="Q831"/>
  <c r="P944"/>
  <c r="R944" s="1"/>
  <c r="P911"/>
  <c r="O1001"/>
  <c r="O241"/>
  <c r="O662"/>
  <c r="Q598"/>
  <c r="P450"/>
  <c r="P386"/>
  <c r="O322"/>
  <c r="O258"/>
  <c r="O1214"/>
  <c r="R1214" s="1"/>
  <c r="P111"/>
  <c r="O740"/>
  <c r="R740" s="1"/>
  <c r="P235"/>
  <c r="O105"/>
  <c r="P241"/>
  <c r="O248"/>
  <c r="Q184"/>
  <c r="P975"/>
  <c r="P1156"/>
  <c r="O518"/>
  <c r="P93"/>
  <c r="P1099"/>
  <c r="O664"/>
  <c r="Q686"/>
  <c r="P90"/>
  <c r="O1046"/>
  <c r="P1226"/>
  <c r="O93"/>
  <c r="Q1151"/>
  <c r="Q1084"/>
  <c r="Q1037"/>
  <c r="Q838"/>
  <c r="P522"/>
  <c r="P604"/>
  <c r="P779"/>
  <c r="O747"/>
  <c r="O715"/>
  <c r="O683"/>
  <c r="Q651"/>
  <c r="O619"/>
  <c r="P587"/>
  <c r="Q571"/>
  <c r="O539"/>
  <c r="Q523"/>
  <c r="Q96"/>
  <c r="O177"/>
  <c r="P963"/>
  <c r="O1265"/>
  <c r="O1050"/>
  <c r="O678"/>
  <c r="Q194"/>
  <c r="Q162"/>
  <c r="Q130"/>
  <c r="P151"/>
  <c r="O1109"/>
  <c r="P766"/>
  <c r="P113"/>
  <c r="O363"/>
  <c r="O157"/>
  <c r="P1257"/>
  <c r="Q840"/>
  <c r="P1254"/>
  <c r="Q1064"/>
  <c r="Q952"/>
  <c r="Q32"/>
  <c r="O946"/>
  <c r="O840"/>
  <c r="P571"/>
  <c r="O1073"/>
  <c r="O1151"/>
  <c r="O1084"/>
  <c r="Q1014"/>
  <c r="O838"/>
  <c r="Q806"/>
  <c r="Q763"/>
  <c r="P683"/>
  <c r="P651"/>
  <c r="Q603"/>
  <c r="Q555"/>
  <c r="O523"/>
  <c r="R523" s="1"/>
  <c r="P99"/>
  <c r="Q160"/>
  <c r="Q995"/>
  <c r="Q1184"/>
  <c r="Q1201"/>
  <c r="O1210"/>
  <c r="O970"/>
  <c r="Q922"/>
  <c r="O194"/>
  <c r="O162"/>
  <c r="O130"/>
  <c r="Q1076"/>
  <c r="Q1028"/>
  <c r="O1038"/>
  <c r="O215"/>
  <c r="Q87"/>
  <c r="P878"/>
  <c r="P819"/>
  <c r="O175"/>
  <c r="P47"/>
  <c r="O788"/>
  <c r="P803"/>
  <c r="P379"/>
  <c r="O911"/>
  <c r="P145"/>
  <c r="O459"/>
  <c r="P459"/>
  <c r="Q223"/>
  <c r="Q275"/>
  <c r="Q1023"/>
  <c r="Q1254"/>
  <c r="Q1174"/>
  <c r="R1174" s="1"/>
  <c r="O763"/>
  <c r="O731"/>
  <c r="Q699"/>
  <c r="Q667"/>
  <c r="Q635"/>
  <c r="Q224"/>
  <c r="O1123"/>
  <c r="Q1104"/>
  <c r="Q1226"/>
  <c r="P698"/>
  <c r="Q883"/>
  <c r="Q279"/>
  <c r="R279" s="1"/>
  <c r="O87"/>
  <c r="P900"/>
  <c r="Q915"/>
  <c r="Q884"/>
  <c r="P788"/>
  <c r="O899"/>
  <c r="P491"/>
  <c r="P315"/>
  <c r="P283"/>
  <c r="X8"/>
  <c r="Z8"/>
  <c r="Q1218"/>
  <c r="O224"/>
  <c r="O160"/>
  <c r="R160" s="1"/>
  <c r="O96"/>
  <c r="P1123"/>
  <c r="O995"/>
  <c r="Q979"/>
  <c r="O947"/>
  <c r="R947" s="1"/>
  <c r="Q931"/>
  <c r="Q1040"/>
  <c r="O1201"/>
  <c r="Q320"/>
  <c r="P598"/>
  <c r="Q550"/>
  <c r="O1047"/>
  <c r="Q1204"/>
  <c r="O1076"/>
  <c r="R1076" s="1"/>
  <c r="Q1125"/>
  <c r="P1038"/>
  <c r="Q596"/>
  <c r="O883"/>
  <c r="Q835"/>
  <c r="O878"/>
  <c r="O915"/>
  <c r="R915" s="1"/>
  <c r="Q867"/>
  <c r="O1262"/>
  <c r="O884"/>
  <c r="P899"/>
  <c r="Q851"/>
  <c r="O427"/>
  <c r="P299"/>
  <c r="O507"/>
  <c r="O217"/>
  <c r="P507"/>
  <c r="O331"/>
  <c r="P347"/>
  <c r="O299"/>
  <c r="O395"/>
  <c r="P946"/>
  <c r="P189"/>
  <c r="P125"/>
  <c r="O61"/>
  <c r="Q854"/>
  <c r="Q256"/>
  <c r="Q192"/>
  <c r="Q128"/>
  <c r="Q64"/>
  <c r="O979"/>
  <c r="Q963"/>
  <c r="O931"/>
  <c r="P986"/>
  <c r="Q778"/>
  <c r="Q736"/>
  <c r="Q384"/>
  <c r="O550"/>
  <c r="P66"/>
  <c r="Q127"/>
  <c r="Q1175"/>
  <c r="O1204"/>
  <c r="O1125"/>
  <c r="O835"/>
  <c r="Q900"/>
  <c r="O867"/>
  <c r="Q819"/>
  <c r="O1077"/>
  <c r="Q714"/>
  <c r="O851"/>
  <c r="Q803"/>
  <c r="O491"/>
  <c r="O379"/>
  <c r="P177"/>
  <c r="O49"/>
  <c r="O411"/>
  <c r="P411"/>
  <c r="P331"/>
  <c r="O283"/>
  <c r="P363"/>
  <c r="O256"/>
  <c r="O192"/>
  <c r="O128"/>
  <c r="O64"/>
  <c r="O1175"/>
  <c r="R1175" s="1"/>
  <c r="P678"/>
  <c r="P1073"/>
  <c r="Q448"/>
  <c r="P191"/>
  <c r="O315"/>
  <c r="P443"/>
  <c r="P684"/>
  <c r="R684" s="1"/>
  <c r="P475"/>
  <c r="O475"/>
  <c r="P395"/>
  <c r="P427"/>
  <c r="O347"/>
  <c r="Q694"/>
  <c r="P614"/>
  <c r="O1118"/>
  <c r="O239"/>
  <c r="P496"/>
  <c r="R6"/>
  <c r="W6" s="1"/>
  <c r="Y6"/>
  <c r="Z6"/>
  <c r="P1056"/>
  <c r="Q1257"/>
  <c r="O1218"/>
  <c r="R1218" s="1"/>
  <c r="O686"/>
  <c r="P275"/>
  <c r="Q1004"/>
  <c r="Q1181"/>
  <c r="O854"/>
  <c r="Q774"/>
  <c r="O1104"/>
  <c r="Q1056"/>
  <c r="P778"/>
  <c r="Q544"/>
  <c r="Q512"/>
  <c r="O448"/>
  <c r="R448" s="1"/>
  <c r="O384"/>
  <c r="R384" s="1"/>
  <c r="O320"/>
  <c r="O614"/>
  <c r="R614" s="1"/>
  <c r="O1028"/>
  <c r="Q868"/>
  <c r="O596"/>
  <c r="P774"/>
  <c r="O480"/>
  <c r="O1004"/>
  <c r="O1181"/>
  <c r="O1097"/>
  <c r="Q986"/>
  <c r="P544"/>
  <c r="O512"/>
  <c r="Q480"/>
  <c r="Q416"/>
  <c r="Q352"/>
  <c r="Q288"/>
  <c r="Q1156"/>
  <c r="R1156" s="1"/>
  <c r="O868"/>
  <c r="Q1013"/>
  <c r="O416"/>
  <c r="O352"/>
  <c r="O288"/>
  <c r="P1198"/>
  <c r="O832"/>
  <c r="P1186"/>
  <c r="O999"/>
  <c r="P166"/>
  <c r="P361"/>
  <c r="P281"/>
  <c r="O649"/>
  <c r="O850"/>
  <c r="P520"/>
  <c r="O100"/>
  <c r="P498"/>
  <c r="O716"/>
  <c r="O441"/>
  <c r="Q869"/>
  <c r="P69"/>
  <c r="Q901"/>
  <c r="O1179"/>
  <c r="P770"/>
  <c r="Q115"/>
  <c r="O1155"/>
  <c r="P548"/>
  <c r="Q452"/>
  <c r="P356"/>
  <c r="P992"/>
  <c r="P832"/>
  <c r="Q392"/>
  <c r="Q1132"/>
  <c r="P1036"/>
  <c r="O1030"/>
  <c r="P982"/>
  <c r="P143"/>
  <c r="P196"/>
  <c r="P358"/>
  <c r="O697"/>
  <c r="P1090"/>
  <c r="O802"/>
  <c r="Q728"/>
  <c r="Q456"/>
  <c r="Q489"/>
  <c r="Q51"/>
  <c r="Q228"/>
  <c r="P132"/>
  <c r="Q924"/>
  <c r="P716"/>
  <c r="O601"/>
  <c r="Q1075"/>
  <c r="O1088"/>
  <c r="Q768"/>
  <c r="Q687"/>
  <c r="P1252"/>
  <c r="Q885"/>
  <c r="P942"/>
  <c r="O949"/>
  <c r="O708"/>
  <c r="O420"/>
  <c r="O390"/>
  <c r="O933"/>
  <c r="Q326"/>
  <c r="P40"/>
  <c r="O1025"/>
  <c r="O251"/>
  <c r="O457"/>
  <c r="O91"/>
  <c r="R4"/>
  <c r="W4" s="1"/>
  <c r="P392"/>
  <c r="P1025"/>
  <c r="O745"/>
  <c r="O569"/>
  <c r="P488"/>
  <c r="Q521"/>
  <c r="Q702"/>
  <c r="Q823"/>
  <c r="Q1244"/>
  <c r="Q1213"/>
  <c r="P796"/>
  <c r="Q690"/>
  <c r="P207"/>
  <c r="P79"/>
  <c r="P639"/>
  <c r="P260"/>
  <c r="Q164"/>
  <c r="P68"/>
  <c r="P751"/>
  <c r="P409"/>
  <c r="P153"/>
  <c r="P1098"/>
  <c r="P890"/>
  <c r="P672"/>
  <c r="P1127"/>
  <c r="O917"/>
  <c r="P454"/>
  <c r="P262"/>
  <c r="Q38"/>
  <c r="P72"/>
  <c r="O197"/>
  <c r="O486"/>
  <c r="Q198"/>
  <c r="P981"/>
  <c r="O422"/>
  <c r="O361"/>
  <c r="P601"/>
  <c r="P729"/>
  <c r="P1120"/>
  <c r="P457"/>
  <c r="O777"/>
  <c r="O617"/>
  <c r="Q1234"/>
  <c r="Q824"/>
  <c r="Q600"/>
  <c r="Q328"/>
  <c r="P903"/>
  <c r="Q179"/>
  <c r="O537"/>
  <c r="Q1133"/>
  <c r="Q1270"/>
  <c r="P231"/>
  <c r="P976"/>
  <c r="O1200"/>
  <c r="Q992"/>
  <c r="O951"/>
  <c r="P965"/>
  <c r="O102"/>
  <c r="Q264"/>
  <c r="P1070"/>
  <c r="O294"/>
  <c r="O70"/>
  <c r="O104"/>
  <c r="P805"/>
  <c r="O388"/>
  <c r="P165"/>
  <c r="Q230"/>
  <c r="P702"/>
  <c r="P626"/>
  <c r="O106"/>
  <c r="P424"/>
  <c r="P296"/>
  <c r="P1133"/>
  <c r="Q1051"/>
  <c r="Q1224"/>
  <c r="Q1144"/>
  <c r="Q1080"/>
  <c r="Q761"/>
  <c r="Q713"/>
  <c r="Q681"/>
  <c r="Q633"/>
  <c r="Q585"/>
  <c r="Q553"/>
  <c r="O1234"/>
  <c r="O1186"/>
  <c r="O770"/>
  <c r="R770" s="1"/>
  <c r="O824"/>
  <c r="O728"/>
  <c r="O600"/>
  <c r="R600" s="1"/>
  <c r="Q552"/>
  <c r="O456"/>
  <c r="O328"/>
  <c r="O521"/>
  <c r="O489"/>
  <c r="Q106"/>
  <c r="O919"/>
  <c r="P839"/>
  <c r="O415"/>
  <c r="O287"/>
  <c r="P179"/>
  <c r="R179" s="1"/>
  <c r="P115"/>
  <c r="P51"/>
  <c r="O228"/>
  <c r="P100"/>
  <c r="O1244"/>
  <c r="R1244" s="1"/>
  <c r="Q1263"/>
  <c r="Q1231"/>
  <c r="O1132"/>
  <c r="Q940"/>
  <c r="O1229"/>
  <c r="P1270"/>
  <c r="R1270" s="1"/>
  <c r="Q1190"/>
  <c r="P1078"/>
  <c r="Q934"/>
  <c r="Q812"/>
  <c r="P780"/>
  <c r="P690"/>
  <c r="Q610"/>
  <c r="P562"/>
  <c r="O463"/>
  <c r="O335"/>
  <c r="O207"/>
  <c r="O143"/>
  <c r="R143" s="1"/>
  <c r="O79"/>
  <c r="Q703"/>
  <c r="P511"/>
  <c r="O231"/>
  <c r="Q103"/>
  <c r="O164"/>
  <c r="R164" s="1"/>
  <c r="O1033"/>
  <c r="O377"/>
  <c r="P329"/>
  <c r="O209"/>
  <c r="P121"/>
  <c r="O1267"/>
  <c r="O1075"/>
  <c r="Q1027"/>
  <c r="Q874"/>
  <c r="O848"/>
  <c r="O688"/>
  <c r="O640"/>
  <c r="Q751"/>
  <c r="Q36"/>
  <c r="O1127"/>
  <c r="Q983"/>
  <c r="O1252"/>
  <c r="R1252" s="1"/>
  <c r="Q1060"/>
  <c r="Q1221"/>
  <c r="P917"/>
  <c r="O885"/>
  <c r="Q837"/>
  <c r="Q894"/>
  <c r="O452"/>
  <c r="Q133"/>
  <c r="P102"/>
  <c r="O38"/>
  <c r="Q367"/>
  <c r="O264"/>
  <c r="Q168"/>
  <c r="P949"/>
  <c r="O869"/>
  <c r="Q821"/>
  <c r="P708"/>
  <c r="Q612"/>
  <c r="Q516"/>
  <c r="P420"/>
  <c r="Q324"/>
  <c r="P197"/>
  <c r="O69"/>
  <c r="P390"/>
  <c r="P294"/>
  <c r="O198"/>
  <c r="P70"/>
  <c r="O200"/>
  <c r="P933"/>
  <c r="O901"/>
  <c r="R901" s="1"/>
  <c r="Q853"/>
  <c r="Q484"/>
  <c r="P388"/>
  <c r="Q292"/>
  <c r="P101"/>
  <c r="P518"/>
  <c r="P422"/>
  <c r="O326"/>
  <c r="O230"/>
  <c r="Q134"/>
  <c r="P232"/>
  <c r="P393"/>
  <c r="O233"/>
  <c r="P537"/>
  <c r="P251"/>
  <c r="O57"/>
  <c r="O89"/>
  <c r="P377"/>
  <c r="O281"/>
  <c r="O153"/>
  <c r="O219"/>
  <c r="R7"/>
  <c r="W7" s="1"/>
  <c r="P559"/>
  <c r="P783"/>
  <c r="O1145"/>
  <c r="O1049"/>
  <c r="O221"/>
  <c r="P37"/>
  <c r="O672"/>
  <c r="Q1179"/>
  <c r="O1051"/>
  <c r="O1224"/>
  <c r="O1144"/>
  <c r="Q1096"/>
  <c r="Q1048"/>
  <c r="Q1016"/>
  <c r="O761"/>
  <c r="O713"/>
  <c r="O681"/>
  <c r="O633"/>
  <c r="O585"/>
  <c r="O553"/>
  <c r="Q1026"/>
  <c r="Q802"/>
  <c r="R802" s="1"/>
  <c r="O872"/>
  <c r="Q520"/>
  <c r="Q488"/>
  <c r="Q424"/>
  <c r="Q360"/>
  <c r="Q296"/>
  <c r="Q505"/>
  <c r="Q42"/>
  <c r="O855"/>
  <c r="Q147"/>
  <c r="Q132"/>
  <c r="P738"/>
  <c r="P242"/>
  <c r="P1103"/>
  <c r="P1049"/>
  <c r="P793"/>
  <c r="O473"/>
  <c r="O409"/>
  <c r="P221"/>
  <c r="O37"/>
  <c r="P1263"/>
  <c r="P1231"/>
  <c r="Q1183"/>
  <c r="Q1036"/>
  <c r="R1036" s="1"/>
  <c r="O940"/>
  <c r="R940" s="1"/>
  <c r="Q1117"/>
  <c r="Q1222"/>
  <c r="O1190"/>
  <c r="R1190" s="1"/>
  <c r="O934"/>
  <c r="O828"/>
  <c r="Q796"/>
  <c r="O738"/>
  <c r="R738" s="1"/>
  <c r="O610"/>
  <c r="O735"/>
  <c r="Q575"/>
  <c r="P167"/>
  <c r="Q260"/>
  <c r="Q68"/>
  <c r="P1203"/>
  <c r="P1200"/>
  <c r="P441"/>
  <c r="P345"/>
  <c r="P297"/>
  <c r="P89"/>
  <c r="Q1203"/>
  <c r="Q976"/>
  <c r="O1242"/>
  <c r="O874"/>
  <c r="Q794"/>
  <c r="Q559"/>
  <c r="O255"/>
  <c r="Q196"/>
  <c r="R196" s="1"/>
  <c r="O36"/>
  <c r="Q999"/>
  <c r="Q1220"/>
  <c r="O1060"/>
  <c r="P964"/>
  <c r="O1221"/>
  <c r="Q965"/>
  <c r="O837"/>
  <c r="O894"/>
  <c r="Q548"/>
  <c r="Q356"/>
  <c r="O133"/>
  <c r="P554"/>
  <c r="Q454"/>
  <c r="Q358"/>
  <c r="Q262"/>
  <c r="R262" s="1"/>
  <c r="Q166"/>
  <c r="P431"/>
  <c r="O168"/>
  <c r="R168" s="1"/>
  <c r="Q72"/>
  <c r="O821"/>
  <c r="O612"/>
  <c r="O516"/>
  <c r="O324"/>
  <c r="Q486"/>
  <c r="O303"/>
  <c r="P200"/>
  <c r="P1205"/>
  <c r="Q1045"/>
  <c r="Q981"/>
  <c r="O853"/>
  <c r="Q805"/>
  <c r="R805" s="1"/>
  <c r="P958"/>
  <c r="Q628"/>
  <c r="O484"/>
  <c r="O292"/>
  <c r="R292" s="1"/>
  <c r="O101"/>
  <c r="R101" s="1"/>
  <c r="P618"/>
  <c r="O134"/>
  <c r="Q136"/>
  <c r="O665"/>
  <c r="O297"/>
  <c r="P665"/>
  <c r="O1153"/>
  <c r="O185"/>
  <c r="P91"/>
  <c r="X7"/>
  <c r="O1090"/>
  <c r="O42"/>
  <c r="P1088"/>
  <c r="P360"/>
  <c r="P1153"/>
  <c r="O793"/>
  <c r="P425"/>
  <c r="O729"/>
  <c r="O1096"/>
  <c r="O1016"/>
  <c r="Q777"/>
  <c r="Q745"/>
  <c r="Q697"/>
  <c r="Q649"/>
  <c r="Q617"/>
  <c r="Q569"/>
  <c r="P1026"/>
  <c r="Q850"/>
  <c r="O505"/>
  <c r="Q887"/>
  <c r="P479"/>
  <c r="O351"/>
  <c r="P147"/>
  <c r="R147" s="1"/>
  <c r="P370"/>
  <c r="P655"/>
  <c r="O1117"/>
  <c r="Q1142"/>
  <c r="Q982"/>
  <c r="P950"/>
  <c r="O706"/>
  <c r="Q626"/>
  <c r="O399"/>
  <c r="P767"/>
  <c r="O607"/>
  <c r="O383"/>
  <c r="P1235"/>
  <c r="P473"/>
  <c r="O393"/>
  <c r="P313"/>
  <c r="P185"/>
  <c r="P57"/>
  <c r="P1248"/>
  <c r="Q1120"/>
  <c r="Q890"/>
  <c r="P794"/>
  <c r="Q623"/>
  <c r="O1079"/>
  <c r="P935"/>
  <c r="P1236"/>
  <c r="P1061"/>
  <c r="O1086"/>
  <c r="P495"/>
  <c r="O1070"/>
  <c r="R1070" s="1"/>
  <c r="Q634"/>
  <c r="Q104"/>
  <c r="Q165"/>
  <c r="O136"/>
  <c r="R136" s="1"/>
  <c r="O40"/>
  <c r="O1103"/>
  <c r="R1103" s="1"/>
  <c r="O425"/>
  <c r="O329"/>
  <c r="R329" s="1"/>
  <c r="O313"/>
  <c r="O345"/>
  <c r="R345" s="1"/>
  <c r="O121"/>
  <c r="P219"/>
  <c r="P216"/>
  <c r="Q120"/>
  <c r="O117"/>
  <c r="Q47"/>
  <c r="P152"/>
  <c r="P1013"/>
  <c r="Q1198"/>
  <c r="P53"/>
  <c r="Q280"/>
  <c r="O847"/>
  <c r="O975"/>
  <c r="O676"/>
  <c r="O267"/>
  <c r="P662"/>
  <c r="O138"/>
  <c r="P813"/>
  <c r="O673"/>
  <c r="O1080"/>
  <c r="Q1250"/>
  <c r="Q1010"/>
  <c r="O744"/>
  <c r="O552"/>
  <c r="P504"/>
  <c r="Q138"/>
  <c r="O903"/>
  <c r="Q871"/>
  <c r="P823"/>
  <c r="P268"/>
  <c r="Q236"/>
  <c r="P204"/>
  <c r="Q172"/>
  <c r="P140"/>
  <c r="Q108"/>
  <c r="P76"/>
  <c r="Q44"/>
  <c r="Q83"/>
  <c r="Q1191"/>
  <c r="O1142"/>
  <c r="P534"/>
  <c r="O402"/>
  <c r="P274"/>
  <c r="P737"/>
  <c r="O657"/>
  <c r="P481"/>
  <c r="O1183"/>
  <c r="Q1167"/>
  <c r="Q1055"/>
  <c r="Q1212"/>
  <c r="Q1148"/>
  <c r="O924"/>
  <c r="P1229"/>
  <c r="O1213"/>
  <c r="O1005"/>
  <c r="O941"/>
  <c r="O909"/>
  <c r="O877"/>
  <c r="P1222"/>
  <c r="P1030"/>
  <c r="Q918"/>
  <c r="P892"/>
  <c r="Q860"/>
  <c r="P828"/>
  <c r="O812"/>
  <c r="Q620"/>
  <c r="Q460"/>
  <c r="P428"/>
  <c r="Q396"/>
  <c r="P364"/>
  <c r="Q332"/>
  <c r="P300"/>
  <c r="Q754"/>
  <c r="O594"/>
  <c r="O562"/>
  <c r="Q530"/>
  <c r="O247"/>
  <c r="Q34"/>
  <c r="P735"/>
  <c r="O703"/>
  <c r="Q671"/>
  <c r="P607"/>
  <c r="O575"/>
  <c r="Q543"/>
  <c r="O167"/>
  <c r="P103"/>
  <c r="Q63"/>
  <c r="Q1207"/>
  <c r="P646"/>
  <c r="P1139"/>
  <c r="P1105"/>
  <c r="P785"/>
  <c r="P657"/>
  <c r="P529"/>
  <c r="P265"/>
  <c r="P233"/>
  <c r="P201"/>
  <c r="P169"/>
  <c r="P137"/>
  <c r="P105"/>
  <c r="P73"/>
  <c r="P1267"/>
  <c r="O1027"/>
  <c r="O1184"/>
  <c r="Q960"/>
  <c r="P1217"/>
  <c r="Q1258"/>
  <c r="Q1066"/>
  <c r="P970"/>
  <c r="Q842"/>
  <c r="O810"/>
  <c r="O768"/>
  <c r="P688"/>
  <c r="P640"/>
  <c r="Q646"/>
  <c r="O687"/>
  <c r="O623"/>
  <c r="Q447"/>
  <c r="Q319"/>
  <c r="O191"/>
  <c r="P127"/>
  <c r="Q39"/>
  <c r="O1063"/>
  <c r="P983"/>
  <c r="Q967"/>
  <c r="O935"/>
  <c r="P1268"/>
  <c r="O1236"/>
  <c r="P1220"/>
  <c r="P1172"/>
  <c r="O1012"/>
  <c r="P948"/>
  <c r="P1253"/>
  <c r="Q1093"/>
  <c r="P1182"/>
  <c r="Q846"/>
  <c r="O756"/>
  <c r="O181"/>
  <c r="Q650"/>
  <c r="O554"/>
  <c r="P502"/>
  <c r="O310"/>
  <c r="O431"/>
  <c r="P367"/>
  <c r="O120"/>
  <c r="Q926"/>
  <c r="O564"/>
  <c r="O245"/>
  <c r="P117"/>
  <c r="Q730"/>
  <c r="Q438"/>
  <c r="P342"/>
  <c r="Q246"/>
  <c r="P150"/>
  <c r="O118"/>
  <c r="P248"/>
  <c r="Q56"/>
  <c r="P1077"/>
  <c r="O1045"/>
  <c r="O1102"/>
  <c r="P676"/>
  <c r="O628"/>
  <c r="Q261"/>
  <c r="O53"/>
  <c r="Q570"/>
  <c r="P470"/>
  <c r="Q374"/>
  <c r="P278"/>
  <c r="Q182"/>
  <c r="P86"/>
  <c r="O54"/>
  <c r="O280"/>
  <c r="O184"/>
  <c r="P88"/>
  <c r="P289"/>
  <c r="O265"/>
  <c r="O137"/>
  <c r="O497"/>
  <c r="P305"/>
  <c r="P769"/>
  <c r="P1161"/>
  <c r="O139"/>
  <c r="P203"/>
  <c r="O83"/>
  <c r="P1039"/>
  <c r="P753"/>
  <c r="P497"/>
  <c r="O1115"/>
  <c r="O1112"/>
  <c r="O1048"/>
  <c r="Q1106"/>
  <c r="Q1074"/>
  <c r="Q866"/>
  <c r="Q834"/>
  <c r="Q888"/>
  <c r="Q536"/>
  <c r="Q718"/>
  <c r="Q202"/>
  <c r="Q170"/>
  <c r="P887"/>
  <c r="O839"/>
  <c r="Q807"/>
  <c r="O906"/>
  <c r="O170"/>
  <c r="O1055"/>
  <c r="P689"/>
  <c r="O609"/>
  <c r="O449"/>
  <c r="Q1131"/>
  <c r="Q1003"/>
  <c r="Q1160"/>
  <c r="Q1128"/>
  <c r="Q1000"/>
  <c r="Q1177"/>
  <c r="O1250"/>
  <c r="O1106"/>
  <c r="P1074"/>
  <c r="P1010"/>
  <c r="P866"/>
  <c r="P834"/>
  <c r="Q786"/>
  <c r="O888"/>
  <c r="Q776"/>
  <c r="O536"/>
  <c r="R536" s="1"/>
  <c r="Q472"/>
  <c r="Q440"/>
  <c r="Q408"/>
  <c r="Q376"/>
  <c r="Q344"/>
  <c r="Q312"/>
  <c r="P718"/>
  <c r="P202"/>
  <c r="Q919"/>
  <c r="P871"/>
  <c r="Q855"/>
  <c r="P807"/>
  <c r="Q479"/>
  <c r="Q415"/>
  <c r="Q351"/>
  <c r="Q287"/>
  <c r="O236"/>
  <c r="O172"/>
  <c r="O108"/>
  <c r="O44"/>
  <c r="O1191"/>
  <c r="O434"/>
  <c r="P306"/>
  <c r="P527"/>
  <c r="P1145"/>
  <c r="P673"/>
  <c r="O593"/>
  <c r="P449"/>
  <c r="P1167"/>
  <c r="P1212"/>
  <c r="Q1196"/>
  <c r="O1148"/>
  <c r="Q989"/>
  <c r="Q957"/>
  <c r="Q925"/>
  <c r="Q893"/>
  <c r="Q861"/>
  <c r="Q829"/>
  <c r="Q797"/>
  <c r="Q1110"/>
  <c r="Q1078"/>
  <c r="Q998"/>
  <c r="Q950"/>
  <c r="O918"/>
  <c r="O860"/>
  <c r="Q700"/>
  <c r="P620"/>
  <c r="O460"/>
  <c r="O396"/>
  <c r="O332"/>
  <c r="O754"/>
  <c r="Q658"/>
  <c r="P530"/>
  <c r="Q463"/>
  <c r="Q399"/>
  <c r="Q335"/>
  <c r="P34"/>
  <c r="Q767"/>
  <c r="O671"/>
  <c r="Q639"/>
  <c r="O543"/>
  <c r="Q511"/>
  <c r="Q383"/>
  <c r="P63"/>
  <c r="P1207"/>
  <c r="P848"/>
  <c r="O1129"/>
  <c r="O705"/>
  <c r="O577"/>
  <c r="O465"/>
  <c r="O401"/>
  <c r="O369"/>
  <c r="O337"/>
  <c r="O305"/>
  <c r="Q1235"/>
  <c r="Q1155"/>
  <c r="Q1011"/>
  <c r="Q1248"/>
  <c r="O960"/>
  <c r="O1258"/>
  <c r="Q1242"/>
  <c r="Q1098"/>
  <c r="O1066"/>
  <c r="Q938"/>
  <c r="Q906"/>
  <c r="O842"/>
  <c r="Q656"/>
  <c r="Q608"/>
  <c r="Q498"/>
  <c r="Q466"/>
  <c r="Q434"/>
  <c r="Q402"/>
  <c r="Q370"/>
  <c r="Q338"/>
  <c r="Q306"/>
  <c r="Q274"/>
  <c r="Q242"/>
  <c r="Q82"/>
  <c r="Q719"/>
  <c r="Q655"/>
  <c r="Q591"/>
  <c r="Q527"/>
  <c r="P447"/>
  <c r="P319"/>
  <c r="Q255"/>
  <c r="P39"/>
  <c r="Q1079"/>
  <c r="P967"/>
  <c r="Q951"/>
  <c r="Q964"/>
  <c r="O1093"/>
  <c r="Q1061"/>
  <c r="Q1086"/>
  <c r="P846"/>
  <c r="Q85"/>
  <c r="P650"/>
  <c r="Q406"/>
  <c r="Q214"/>
  <c r="Q495"/>
  <c r="Q215"/>
  <c r="Q216"/>
  <c r="Q41"/>
  <c r="P926"/>
  <c r="Q149"/>
  <c r="O730"/>
  <c r="O438"/>
  <c r="O246"/>
  <c r="Q303"/>
  <c r="Q152"/>
  <c r="O56"/>
  <c r="Q1150"/>
  <c r="Q958"/>
  <c r="O261"/>
  <c r="Q213"/>
  <c r="R213" s="1"/>
  <c r="P570"/>
  <c r="O374"/>
  <c r="O182"/>
  <c r="P465"/>
  <c r="P321"/>
  <c r="P1129"/>
  <c r="P433"/>
  <c r="O169"/>
  <c r="P577"/>
  <c r="P337"/>
  <c r="P209"/>
  <c r="O1039"/>
  <c r="O783"/>
  <c r="P267"/>
  <c r="P1089"/>
  <c r="O1131"/>
  <c r="O1003"/>
  <c r="O1160"/>
  <c r="O1128"/>
  <c r="O1000"/>
  <c r="Q1241"/>
  <c r="O1177"/>
  <c r="O786"/>
  <c r="Q872"/>
  <c r="O472"/>
  <c r="O440"/>
  <c r="O408"/>
  <c r="O376"/>
  <c r="O344"/>
  <c r="O312"/>
  <c r="Q574"/>
  <c r="Q90"/>
  <c r="P706"/>
  <c r="O466"/>
  <c r="P338"/>
  <c r="O82"/>
  <c r="R82" s="1"/>
  <c r="O1105"/>
  <c r="O785"/>
  <c r="P609"/>
  <c r="O529"/>
  <c r="P417"/>
  <c r="Q1247"/>
  <c r="O989"/>
  <c r="R989" s="1"/>
  <c r="O957"/>
  <c r="R957" s="1"/>
  <c r="O925"/>
  <c r="R925" s="1"/>
  <c r="O893"/>
  <c r="R893" s="1"/>
  <c r="O861"/>
  <c r="R861" s="1"/>
  <c r="O829"/>
  <c r="R829" s="1"/>
  <c r="O797"/>
  <c r="R797" s="1"/>
  <c r="Q780"/>
  <c r="Q748"/>
  <c r="O700"/>
  <c r="R700" s="1"/>
  <c r="Q524"/>
  <c r="Q492"/>
  <c r="P721"/>
  <c r="P593"/>
  <c r="P608"/>
  <c r="O719"/>
  <c r="O591"/>
  <c r="R591" s="1"/>
  <c r="O171"/>
  <c r="O625"/>
  <c r="P353"/>
  <c r="O561"/>
  <c r="O201"/>
  <c r="O73"/>
  <c r="O753"/>
  <c r="P369"/>
  <c r="O75"/>
  <c r="R75" s="1"/>
  <c r="P139"/>
  <c r="Q942"/>
  <c r="O634"/>
  <c r="Q1205"/>
  <c r="Q618"/>
  <c r="Q232"/>
  <c r="P1033"/>
  <c r="P1097"/>
  <c r="Y3"/>
  <c r="Z3"/>
  <c r="R3"/>
  <c r="W3" s="1"/>
  <c r="Q642"/>
  <c r="O1072"/>
  <c r="O1194"/>
  <c r="P528"/>
  <c r="P916"/>
  <c r="P1022"/>
  <c r="Q1141"/>
  <c r="Q814"/>
  <c r="O1094"/>
  <c r="O822"/>
  <c r="Q732"/>
  <c r="Q572"/>
  <c r="P642"/>
  <c r="R642" s="1"/>
  <c r="Q272"/>
  <c r="Q240"/>
  <c r="Q208"/>
  <c r="Q176"/>
  <c r="Q144"/>
  <c r="Q112"/>
  <c r="Q80"/>
  <c r="Q48"/>
  <c r="Q496"/>
  <c r="Q464"/>
  <c r="Q432"/>
  <c r="Q400"/>
  <c r="Q368"/>
  <c r="Q336"/>
  <c r="Q304"/>
  <c r="Q1118"/>
  <c r="Q239"/>
  <c r="O1141"/>
  <c r="R1141" s="1"/>
  <c r="P814"/>
  <c r="R814" s="1"/>
  <c r="Q259"/>
  <c r="Y5"/>
  <c r="X5"/>
  <c r="Y4"/>
  <c r="X4"/>
  <c r="R670"/>
  <c r="R453"/>
  <c r="R897"/>
  <c r="R1197"/>
  <c r="R350"/>
  <c r="R341"/>
  <c r="R284"/>
  <c r="R318"/>
  <c r="AC35"/>
  <c r="R645" l="1"/>
  <c r="R1585"/>
  <c r="R1828"/>
  <c r="R1445"/>
  <c r="R588"/>
  <c r="R549"/>
  <c r="R510"/>
  <c r="R1029"/>
  <c r="R1600"/>
  <c r="R817"/>
  <c r="R1255"/>
  <c r="R1208"/>
  <c r="R1560"/>
  <c r="R171"/>
  <c r="R914"/>
  <c r="R1246"/>
  <c r="R916"/>
  <c r="R789"/>
  <c r="R37"/>
  <c r="R1018"/>
  <c r="R158"/>
  <c r="R478"/>
  <c r="R773"/>
  <c r="R405"/>
  <c r="R389"/>
  <c r="R597"/>
  <c r="R286"/>
  <c r="R373"/>
  <c r="R1043"/>
  <c r="R1779"/>
  <c r="R1113"/>
  <c r="R696"/>
  <c r="R446"/>
  <c r="R1545"/>
  <c r="R1651"/>
  <c r="R421"/>
  <c r="R1121"/>
  <c r="R945"/>
  <c r="R1590"/>
  <c r="R517"/>
  <c r="R1199"/>
  <c r="R1824"/>
  <c r="R49"/>
  <c r="R380"/>
  <c r="R1637"/>
  <c r="R1745"/>
  <c r="R266"/>
  <c r="R1269"/>
  <c r="R222"/>
  <c r="R693"/>
  <c r="R606"/>
  <c r="R757"/>
  <c r="R674"/>
  <c r="R1610"/>
  <c r="R269"/>
  <c r="R1100"/>
  <c r="R1624"/>
  <c r="R316"/>
  <c r="R126"/>
  <c r="R220"/>
  <c r="R211"/>
  <c r="R629"/>
  <c r="R188"/>
  <c r="R62"/>
  <c r="R382"/>
  <c r="R833"/>
  <c r="R648"/>
  <c r="R309"/>
  <c r="R190"/>
  <c r="R1401"/>
  <c r="R1516"/>
  <c r="R1562"/>
  <c r="R1176"/>
  <c r="R469"/>
  <c r="R1223"/>
  <c r="R414"/>
  <c r="R533"/>
  <c r="R94"/>
  <c r="R524"/>
  <c r="R321"/>
  <c r="R656"/>
  <c r="R776"/>
  <c r="R118"/>
  <c r="R1012"/>
  <c r="R1608"/>
  <c r="R1032"/>
  <c r="R862"/>
  <c r="R542"/>
  <c r="R535"/>
  <c r="R290"/>
  <c r="R330"/>
  <c r="R849"/>
  <c r="R112"/>
  <c r="R528"/>
  <c r="R784"/>
  <c r="R1569"/>
  <c r="R60"/>
  <c r="R568"/>
  <c r="R1019"/>
  <c r="R1193"/>
  <c r="R437"/>
  <c r="R581"/>
  <c r="R156"/>
  <c r="R1147"/>
  <c r="R1042"/>
  <c r="R245"/>
  <c r="R1238"/>
  <c r="R92"/>
  <c r="R590"/>
  <c r="R741"/>
  <c r="R993"/>
  <c r="R35"/>
  <c r="R725"/>
  <c r="R540"/>
  <c r="R801"/>
  <c r="R1626"/>
  <c r="R154"/>
  <c r="R1808"/>
  <c r="R953"/>
  <c r="R1674"/>
  <c r="R1781"/>
  <c r="R240"/>
  <c r="R1247"/>
  <c r="R938"/>
  <c r="R1115"/>
  <c r="R278"/>
  <c r="R428"/>
  <c r="R76"/>
  <c r="R235"/>
  <c r="R468"/>
  <c r="R1785"/>
  <c r="R1500"/>
  <c r="R643"/>
  <c r="R1243"/>
  <c r="R750"/>
  <c r="R81"/>
  <c r="R881"/>
  <c r="R1540"/>
  <c r="R1011"/>
  <c r="R1253"/>
  <c r="R909"/>
  <c r="R582"/>
  <c r="R476"/>
  <c r="R1457"/>
  <c r="R1850"/>
  <c r="R1731"/>
  <c r="R1770"/>
  <c r="R1759"/>
  <c r="R1741"/>
  <c r="R1065"/>
  <c r="R1057"/>
  <c r="R1158"/>
  <c r="R1007"/>
  <c r="R962"/>
  <c r="R929"/>
  <c r="R325"/>
  <c r="R254"/>
  <c r="R1139"/>
  <c r="R813"/>
  <c r="R660"/>
  <c r="R295"/>
  <c r="R1095"/>
  <c r="R1758"/>
  <c r="R1783"/>
  <c r="R1215"/>
  <c r="R709"/>
  <c r="R243"/>
  <c r="R1536"/>
  <c r="R99"/>
  <c r="R1844"/>
  <c r="R923"/>
  <c r="R1034"/>
  <c r="R599"/>
  <c r="R1602"/>
  <c r="R573"/>
  <c r="R1666"/>
  <c r="R1646"/>
  <c r="R1816"/>
  <c r="R1570"/>
  <c r="R1157"/>
  <c r="R680"/>
  <c r="R752"/>
  <c r="R58"/>
  <c r="R1618"/>
  <c r="R1709"/>
  <c r="R1690"/>
  <c r="R961"/>
  <c r="R1766"/>
  <c r="R1552"/>
  <c r="R1069"/>
  <c r="R865"/>
  <c r="R561"/>
  <c r="R1089"/>
  <c r="R534"/>
  <c r="R1733"/>
  <c r="R1168"/>
  <c r="R1774"/>
  <c r="R268"/>
  <c r="R1798"/>
  <c r="R346"/>
  <c r="R178"/>
  <c r="R400"/>
  <c r="R1094"/>
  <c r="R1591"/>
  <c r="R1579"/>
  <c r="R717"/>
  <c r="R1149"/>
  <c r="R515"/>
  <c r="R97"/>
  <c r="R644"/>
  <c r="R285"/>
  <c r="R1630"/>
  <c r="R1351"/>
  <c r="R1621"/>
  <c r="R1729"/>
  <c r="R54"/>
  <c r="R564"/>
  <c r="R1268"/>
  <c r="R744"/>
  <c r="R116"/>
  <c r="R426"/>
  <c r="R259"/>
  <c r="R48"/>
  <c r="R176"/>
  <c r="R353"/>
  <c r="R658"/>
  <c r="R1665"/>
  <c r="R576"/>
  <c r="R462"/>
  <c r="R1835"/>
  <c r="R1641"/>
  <c r="R1619"/>
  <c r="R125"/>
  <c r="R679"/>
  <c r="R1825"/>
  <c r="R1849"/>
  <c r="R1853"/>
  <c r="R1413"/>
  <c r="R1612"/>
  <c r="R1669"/>
  <c r="R1832"/>
  <c r="R1437"/>
  <c r="R1524"/>
  <c r="R1611"/>
  <c r="R1681"/>
  <c r="R1577"/>
  <c r="R1737"/>
  <c r="R1644"/>
  <c r="R558"/>
  <c r="R632"/>
  <c r="R1643"/>
  <c r="R1606"/>
  <c r="R1858"/>
  <c r="R1792"/>
  <c r="R1614"/>
  <c r="R1805"/>
  <c r="R1002"/>
  <c r="R1228"/>
  <c r="R1839"/>
  <c r="R1852"/>
  <c r="R1620"/>
  <c r="R1773"/>
  <c r="R1544"/>
  <c r="R1701"/>
  <c r="R1589"/>
  <c r="R1645"/>
  <c r="R1760"/>
  <c r="R1633"/>
  <c r="R669"/>
  <c r="R1842"/>
  <c r="R206"/>
  <c r="R1140"/>
  <c r="R675"/>
  <c r="R334"/>
  <c r="R161"/>
  <c r="R566"/>
  <c r="R442"/>
  <c r="R659"/>
  <c r="R1081"/>
  <c r="R270"/>
  <c r="R1484"/>
  <c r="R932"/>
  <c r="R1108"/>
  <c r="R1752"/>
  <c r="R1006"/>
  <c r="R858"/>
  <c r="R1594"/>
  <c r="R1561"/>
  <c r="R1339"/>
  <c r="R1114"/>
  <c r="R499"/>
  <c r="R1271"/>
  <c r="R1130"/>
  <c r="R1240"/>
  <c r="R333"/>
  <c r="R1647"/>
  <c r="R174"/>
  <c r="R749"/>
  <c r="R818"/>
  <c r="R131"/>
  <c r="R1256"/>
  <c r="R1126"/>
  <c r="R955"/>
  <c r="R1163"/>
  <c r="R1553"/>
  <c r="R701"/>
  <c r="R1035"/>
  <c r="R1784"/>
  <c r="R1776"/>
  <c r="R1772"/>
  <c r="R490"/>
  <c r="R1454"/>
  <c r="R1822"/>
  <c r="R978"/>
  <c r="R177"/>
  <c r="R74"/>
  <c r="R492"/>
  <c r="R204"/>
  <c r="R863"/>
  <c r="R551"/>
  <c r="R500"/>
  <c r="R1596"/>
  <c r="R1628"/>
  <c r="R1803"/>
  <c r="R1713"/>
  <c r="R59"/>
  <c r="R1826"/>
  <c r="R1817"/>
  <c r="R1813"/>
  <c r="R1834"/>
  <c r="R1653"/>
  <c r="R1587"/>
  <c r="R1721"/>
  <c r="R1573"/>
  <c r="R1563"/>
  <c r="R1793"/>
  <c r="R397"/>
  <c r="R889"/>
  <c r="R107"/>
  <c r="R110"/>
  <c r="R398"/>
  <c r="R445"/>
  <c r="R873"/>
  <c r="R1107"/>
  <c r="R710"/>
  <c r="R864"/>
  <c r="R65"/>
  <c r="R183"/>
  <c r="R339"/>
  <c r="R531"/>
  <c r="R627"/>
  <c r="R723"/>
  <c r="R795"/>
  <c r="R891"/>
  <c r="R1187"/>
  <c r="R882"/>
  <c r="R225"/>
  <c r="R1053"/>
  <c r="R972"/>
  <c r="R733"/>
  <c r="R638"/>
  <c r="R155"/>
  <c r="R238"/>
  <c r="R526"/>
  <c r="R509"/>
  <c r="R557"/>
  <c r="R781"/>
  <c r="R1083"/>
  <c r="R1136"/>
  <c r="R742"/>
  <c r="R249"/>
  <c r="R307"/>
  <c r="R611"/>
  <c r="R758"/>
  <c r="R811"/>
  <c r="R1137"/>
  <c r="R720"/>
  <c r="R159"/>
  <c r="R205"/>
  <c r="R1138"/>
  <c r="R765"/>
  <c r="R43"/>
  <c r="R317"/>
  <c r="R493"/>
  <c r="R856"/>
  <c r="R1124"/>
  <c r="R905"/>
  <c r="R1135"/>
  <c r="R836"/>
  <c r="R119"/>
  <c r="R474"/>
  <c r="R451"/>
  <c r="R595"/>
  <c r="R691"/>
  <c r="R852"/>
  <c r="R904"/>
  <c r="R1245"/>
  <c r="R827"/>
  <c r="R1180"/>
  <c r="R545"/>
  <c r="R1409"/>
  <c r="R1425"/>
  <c r="R971"/>
  <c r="R1272"/>
  <c r="R1761"/>
  <c r="R1754"/>
  <c r="R444"/>
  <c r="R508"/>
  <c r="R485"/>
  <c r="R920"/>
  <c r="R1739"/>
  <c r="R1613"/>
  <c r="R1728"/>
  <c r="R565"/>
  <c r="R433"/>
  <c r="R884"/>
  <c r="R998"/>
  <c r="R145"/>
  <c r="R1021"/>
  <c r="R661"/>
  <c r="R1225"/>
  <c r="R368"/>
  <c r="R144"/>
  <c r="R272"/>
  <c r="R822"/>
  <c r="R1072"/>
  <c r="R406"/>
  <c r="R1112"/>
  <c r="R502"/>
  <c r="R113"/>
  <c r="R532"/>
  <c r="R148"/>
  <c r="R1249"/>
  <c r="R712"/>
  <c r="R732"/>
  <c r="R214"/>
  <c r="R310"/>
  <c r="R364"/>
  <c r="R1001"/>
  <c r="R436"/>
  <c r="R84"/>
  <c r="R1343"/>
  <c r="R1347"/>
  <c r="R1777"/>
  <c r="R71"/>
  <c r="R966"/>
  <c r="R199"/>
  <c r="R1735"/>
  <c r="R1622"/>
  <c r="R1421"/>
  <c r="R1782"/>
  <c r="R1767"/>
  <c r="R1791"/>
  <c r="R1598"/>
  <c r="R1821"/>
  <c r="R1686"/>
  <c r="R33"/>
  <c r="R419"/>
  <c r="R859"/>
  <c r="R263"/>
  <c r="R477"/>
  <c r="R636"/>
  <c r="R921"/>
  <c r="R974"/>
  <c r="R129"/>
  <c r="R146"/>
  <c r="R410"/>
  <c r="R403"/>
  <c r="R1059"/>
  <c r="R984"/>
  <c r="R896"/>
  <c r="R210"/>
  <c r="R46"/>
  <c r="R304"/>
  <c r="R432"/>
  <c r="R572"/>
  <c r="R1150"/>
  <c r="R1196"/>
  <c r="R289"/>
  <c r="R810"/>
  <c r="R1005"/>
  <c r="R458"/>
  <c r="R826"/>
  <c r="R412"/>
  <c r="R52"/>
  <c r="R1189"/>
  <c r="R988"/>
  <c r="R379"/>
  <c r="R1580"/>
  <c r="R652"/>
  <c r="R771"/>
  <c r="R1068"/>
  <c r="R378"/>
  <c r="R724"/>
  <c r="R630"/>
  <c r="R1264"/>
  <c r="R355"/>
  <c r="R739"/>
  <c r="R187"/>
  <c r="R365"/>
  <c r="R1260"/>
  <c r="R193"/>
  <c r="R1818"/>
  <c r="R762"/>
  <c r="R791"/>
  <c r="R1855"/>
  <c r="R212"/>
  <c r="R1725"/>
  <c r="R163"/>
  <c r="R1565"/>
  <c r="R1747"/>
  <c r="R1581"/>
  <c r="R1685"/>
  <c r="R541"/>
  <c r="R1165"/>
  <c r="R987"/>
  <c r="R229"/>
  <c r="R302"/>
  <c r="R494"/>
  <c r="R413"/>
  <c r="R685"/>
  <c r="R841"/>
  <c r="R969"/>
  <c r="R1031"/>
  <c r="R1159"/>
  <c r="R704"/>
  <c r="R67"/>
  <c r="R227"/>
  <c r="R804"/>
  <c r="R250"/>
  <c r="R506"/>
  <c r="R435"/>
  <c r="R483"/>
  <c r="R579"/>
  <c r="R668"/>
  <c r="R1206"/>
  <c r="R843"/>
  <c r="R939"/>
  <c r="R1111"/>
  <c r="R722"/>
  <c r="R592"/>
  <c r="R45"/>
  <c r="R654"/>
  <c r="R707"/>
  <c r="R55"/>
  <c r="R605"/>
  <c r="R142"/>
  <c r="R430"/>
  <c r="R301"/>
  <c r="R381"/>
  <c r="R589"/>
  <c r="R621"/>
  <c r="R1058"/>
  <c r="R790"/>
  <c r="R880"/>
  <c r="R538"/>
  <c r="R387"/>
  <c r="R467"/>
  <c r="R563"/>
  <c r="R787"/>
  <c r="R792"/>
  <c r="R980"/>
  <c r="R994"/>
  <c r="R122"/>
  <c r="R637"/>
  <c r="R78"/>
  <c r="R366"/>
  <c r="R461"/>
  <c r="R1237"/>
  <c r="R809"/>
  <c r="R857"/>
  <c r="R937"/>
  <c r="R985"/>
  <c r="R870"/>
  <c r="R954"/>
  <c r="R323"/>
  <c r="R1185"/>
  <c r="R1092"/>
  <c r="R734"/>
  <c r="R1239"/>
  <c r="R1211"/>
  <c r="R1233"/>
  <c r="R282"/>
  <c r="R547"/>
  <c r="R755"/>
  <c r="R560"/>
  <c r="R907"/>
  <c r="R1009"/>
  <c r="R77"/>
  <c r="R756"/>
  <c r="R482"/>
  <c r="R726"/>
  <c r="R1678"/>
  <c r="R257"/>
  <c r="R653"/>
  <c r="R1232"/>
  <c r="R1062"/>
  <c r="R886"/>
  <c r="R291"/>
  <c r="R580"/>
  <c r="R997"/>
  <c r="R1152"/>
  <c r="R875"/>
  <c r="R798"/>
  <c r="R95"/>
  <c r="R173"/>
  <c r="R910"/>
  <c r="R525"/>
  <c r="R556"/>
  <c r="R1827"/>
  <c r="R1831"/>
  <c r="R1833"/>
  <c r="R1837"/>
  <c r="R1705"/>
  <c r="R1764"/>
  <c r="R1802"/>
  <c r="R1836"/>
  <c r="R385"/>
  <c r="R237"/>
  <c r="R1763"/>
  <c r="R1595"/>
  <c r="R1627"/>
  <c r="R1768"/>
  <c r="R1848"/>
  <c r="R513"/>
  <c r="R123"/>
  <c r="R1661"/>
  <c r="R98"/>
  <c r="R1154"/>
  <c r="R1266"/>
  <c r="R941"/>
  <c r="R244"/>
  <c r="R1170"/>
  <c r="R715"/>
  <c r="R1054"/>
  <c r="R234"/>
  <c r="R1022"/>
  <c r="R181"/>
  <c r="R140"/>
  <c r="R1040"/>
  <c r="R1050"/>
  <c r="R522"/>
  <c r="R1119"/>
  <c r="R759"/>
  <c r="R743"/>
  <c r="R895"/>
  <c r="R631"/>
  <c r="R336"/>
  <c r="R464"/>
  <c r="R1194"/>
  <c r="R1241"/>
  <c r="R1023"/>
  <c r="R514"/>
  <c r="R80"/>
  <c r="R208"/>
  <c r="R149"/>
  <c r="R248"/>
  <c r="R1184"/>
  <c r="R300"/>
  <c r="R662"/>
  <c r="R175"/>
  <c r="R555"/>
  <c r="R1064"/>
  <c r="R1037"/>
  <c r="R186"/>
  <c r="R1578"/>
  <c r="R1335"/>
  <c r="R1134"/>
  <c r="R775"/>
  <c r="R1568"/>
  <c r="R1807"/>
  <c r="R1601"/>
  <c r="R1846"/>
  <c r="R1617"/>
  <c r="R1804"/>
  <c r="R764"/>
  <c r="R1575"/>
  <c r="R622"/>
  <c r="R815"/>
  <c r="R218"/>
  <c r="R1116"/>
  <c r="R90"/>
  <c r="R88"/>
  <c r="R86"/>
  <c r="R150"/>
  <c r="R1172"/>
  <c r="R1217"/>
  <c r="R1282"/>
  <c r="R1498"/>
  <c r="R1845"/>
  <c r="R1823"/>
  <c r="R1327"/>
  <c r="R1689"/>
  <c r="R1819"/>
  <c r="R276"/>
  <c r="R1797"/>
  <c r="R401"/>
  <c r="R203"/>
  <c r="R1182"/>
  <c r="R1063"/>
  <c r="R1085"/>
  <c r="R908"/>
  <c r="R1110"/>
  <c r="R769"/>
  <c r="R1102"/>
  <c r="R342"/>
  <c r="R737"/>
  <c r="R239"/>
  <c r="R1414"/>
  <c r="R1738"/>
  <c r="R1488"/>
  <c r="R1406"/>
  <c r="R1734"/>
  <c r="R1829"/>
  <c r="R1790"/>
  <c r="R347"/>
  <c r="R963"/>
  <c r="R277"/>
  <c r="R1195"/>
  <c r="R692"/>
  <c r="R372"/>
  <c r="R359"/>
  <c r="R418"/>
  <c r="R311"/>
  <c r="R1227"/>
  <c r="R1230"/>
  <c r="R1216"/>
  <c r="R615"/>
  <c r="R1843"/>
  <c r="R1847"/>
  <c r="R1481"/>
  <c r="R1604"/>
  <c r="R1636"/>
  <c r="R641"/>
  <c r="R114"/>
  <c r="R1682"/>
  <c r="R1603"/>
  <c r="R1635"/>
  <c r="R1775"/>
  <c r="R1492"/>
  <c r="R195"/>
  <c r="R1178"/>
  <c r="R845"/>
  <c r="R450"/>
  <c r="R1047"/>
  <c r="R1067"/>
  <c r="R1015"/>
  <c r="R830"/>
  <c r="R699"/>
  <c r="R928"/>
  <c r="R1265"/>
  <c r="R721"/>
  <c r="R748"/>
  <c r="R1097"/>
  <c r="R41"/>
  <c r="R689"/>
  <c r="R470"/>
  <c r="R892"/>
  <c r="R481"/>
  <c r="R417"/>
  <c r="R308"/>
  <c r="R471"/>
  <c r="R404"/>
  <c r="R1314"/>
  <c r="R1471"/>
  <c r="R1796"/>
  <c r="R1322"/>
  <c r="R1354"/>
  <c r="R1411"/>
  <c r="R1443"/>
  <c r="R1522"/>
  <c r="R1487"/>
  <c r="R1398"/>
  <c r="R1730"/>
  <c r="R1410"/>
  <c r="R1740"/>
  <c r="R1360"/>
  <c r="R1499"/>
  <c r="R1742"/>
  <c r="R714"/>
  <c r="R61"/>
  <c r="R1262"/>
  <c r="R799"/>
  <c r="R1517"/>
  <c r="R1350"/>
  <c r="R1472"/>
  <c r="R1289"/>
  <c r="R1722"/>
  <c r="R698"/>
  <c r="R731"/>
  <c r="R1210"/>
  <c r="R603"/>
  <c r="R151"/>
  <c r="R1683"/>
  <c r="R1319"/>
  <c r="R1407"/>
  <c r="R1439"/>
  <c r="R1715"/>
  <c r="R1503"/>
  <c r="R1446"/>
  <c r="R1348"/>
  <c r="R1795"/>
  <c r="R1278"/>
  <c r="R1291"/>
  <c r="R1515"/>
  <c r="R1494"/>
  <c r="R1664"/>
  <c r="R1688"/>
  <c r="R1420"/>
  <c r="R1452"/>
  <c r="R1523"/>
  <c r="R1551"/>
  <c r="R1356"/>
  <c r="R1714"/>
  <c r="R1527"/>
  <c r="R1699"/>
  <c r="R1393"/>
  <c r="R1397"/>
  <c r="R1680"/>
  <c r="R1312"/>
  <c r="R1404"/>
  <c r="R1436"/>
  <c r="R1491"/>
  <c r="R1302"/>
  <c r="R1474"/>
  <c r="R1496"/>
  <c r="R1418"/>
  <c r="R1480"/>
  <c r="R1359"/>
  <c r="R1478"/>
  <c r="R1371"/>
  <c r="R1716"/>
  <c r="R1365"/>
  <c r="R1518"/>
  <c r="R1344"/>
  <c r="R1712"/>
  <c r="R1726"/>
  <c r="R1438"/>
  <c r="R1750"/>
  <c r="R1541"/>
  <c r="R1744"/>
  <c r="R1290"/>
  <c r="R1330"/>
  <c r="R1364"/>
  <c r="R1363"/>
  <c r="R1671"/>
  <c r="R1284"/>
  <c r="R1378"/>
  <c r="R1419"/>
  <c r="R1550"/>
  <c r="R1695"/>
  <c r="R1275"/>
  <c r="R1385"/>
  <c r="R1352"/>
  <c r="R1509"/>
  <c r="R1293"/>
  <c r="R1337"/>
  <c r="R1345"/>
  <c r="R1375"/>
  <c r="R1389"/>
  <c r="R1510"/>
  <c r="R1676"/>
  <c r="R1296"/>
  <c r="R1387"/>
  <c r="R1400"/>
  <c r="R1432"/>
  <c r="R1692"/>
  <c r="R1724"/>
  <c r="R1287"/>
  <c r="R1384"/>
  <c r="R1464"/>
  <c r="R1558"/>
  <c r="R1694"/>
  <c r="R1557"/>
  <c r="R1292"/>
  <c r="R1334"/>
  <c r="R1374"/>
  <c r="R1530"/>
  <c r="R1372"/>
  <c r="R1667"/>
  <c r="R1386"/>
  <c r="R1423"/>
  <c r="R1549"/>
  <c r="R1857"/>
  <c r="R1383"/>
  <c r="R1303"/>
  <c r="R1395"/>
  <c r="R1469"/>
  <c r="R1696"/>
  <c r="R1279"/>
  <c r="R1392"/>
  <c r="R1332"/>
  <c r="R1706"/>
  <c r="R1274"/>
  <c r="R1346"/>
  <c r="R1463"/>
  <c r="R1482"/>
  <c r="R1281"/>
  <c r="R1306"/>
  <c r="R1396"/>
  <c r="R1466"/>
  <c r="R1655"/>
  <c r="R1687"/>
  <c r="R1311"/>
  <c r="R1362"/>
  <c r="R1403"/>
  <c r="R1435"/>
  <c r="R1711"/>
  <c r="R1317"/>
  <c r="R1710"/>
  <c r="R1529"/>
  <c r="R1702"/>
  <c r="R1286"/>
  <c r="R1321"/>
  <c r="R1329"/>
  <c r="R1353"/>
  <c r="R1473"/>
  <c r="R1660"/>
  <c r="R1280"/>
  <c r="R1320"/>
  <c r="R1416"/>
  <c r="R1448"/>
  <c r="R1547"/>
  <c r="R1708"/>
  <c r="R1486"/>
  <c r="R1336"/>
  <c r="R1434"/>
  <c r="R1649"/>
  <c r="R1301"/>
  <c r="R1316"/>
  <c r="R1342"/>
  <c r="R1390"/>
  <c r="R1273"/>
  <c r="R1388"/>
  <c r="R1459"/>
  <c r="R1543"/>
  <c r="R1675"/>
  <c r="R1304"/>
  <c r="R1399"/>
  <c r="R1431"/>
  <c r="R1476"/>
  <c r="R1506"/>
  <c r="R1707"/>
  <c r="R1283"/>
  <c r="R1309"/>
  <c r="R1475"/>
  <c r="R1504"/>
  <c r="R1512"/>
  <c r="R1426"/>
  <c r="R1485"/>
  <c r="R1505"/>
  <c r="R1315"/>
  <c r="R1325"/>
  <c r="R1349"/>
  <c r="R1357"/>
  <c r="R1467"/>
  <c r="R1483"/>
  <c r="R1285"/>
  <c r="R1313"/>
  <c r="R1470"/>
  <c r="R1542"/>
  <c r="R1656"/>
  <c r="R1366"/>
  <c r="R1412"/>
  <c r="R1444"/>
  <c r="R1704"/>
  <c r="R1318"/>
  <c r="R1502"/>
  <c r="R1533"/>
  <c r="R1514"/>
  <c r="R1479"/>
  <c r="R1663"/>
  <c r="R1451"/>
  <c r="R1719"/>
  <c r="R1369"/>
  <c r="R1519"/>
  <c r="R1851"/>
  <c r="R1340"/>
  <c r="R1531"/>
  <c r="R1373"/>
  <c r="R1668"/>
  <c r="R1424"/>
  <c r="R1456"/>
  <c r="R1650"/>
  <c r="R1402"/>
  <c r="R1736"/>
  <c r="R1324"/>
  <c r="R1525"/>
  <c r="R1326"/>
  <c r="R1358"/>
  <c r="R1495"/>
  <c r="R1659"/>
  <c r="R1276"/>
  <c r="R1295"/>
  <c r="R1370"/>
  <c r="R1415"/>
  <c r="R1447"/>
  <c r="R1455"/>
  <c r="R1546"/>
  <c r="R1691"/>
  <c r="R1723"/>
  <c r="R1361"/>
  <c r="R1377"/>
  <c r="R1555"/>
  <c r="R1799"/>
  <c r="R1501"/>
  <c r="R1328"/>
  <c r="R1748"/>
  <c r="R1841"/>
  <c r="R1493"/>
  <c r="R1698"/>
  <c r="R1300"/>
  <c r="R1333"/>
  <c r="R1341"/>
  <c r="R1368"/>
  <c r="R1535"/>
  <c r="R1367"/>
  <c r="R1381"/>
  <c r="R1526"/>
  <c r="R1672"/>
  <c r="R1288"/>
  <c r="R1379"/>
  <c r="R1428"/>
  <c r="R1720"/>
  <c r="R1376"/>
  <c r="R1554"/>
  <c r="R1521"/>
  <c r="R1718"/>
  <c r="R1299"/>
  <c r="R1308"/>
  <c r="R1338"/>
  <c r="R1382"/>
  <c r="R1534"/>
  <c r="R1380"/>
  <c r="R1511"/>
  <c r="R1539"/>
  <c r="R1679"/>
  <c r="R1297"/>
  <c r="R1394"/>
  <c r="R1427"/>
  <c r="R1465"/>
  <c r="R1490"/>
  <c r="R1703"/>
  <c r="R1294"/>
  <c r="R1468"/>
  <c r="R1559"/>
  <c r="R1430"/>
  <c r="R1746"/>
  <c r="R1489"/>
  <c r="R1442"/>
  <c r="R1513"/>
  <c r="R1307"/>
  <c r="R1391"/>
  <c r="R1277"/>
  <c r="R1298"/>
  <c r="R1460"/>
  <c r="R1538"/>
  <c r="R1652"/>
  <c r="R1684"/>
  <c r="R1305"/>
  <c r="R1408"/>
  <c r="R1440"/>
  <c r="R1477"/>
  <c r="R1507"/>
  <c r="R1700"/>
  <c r="R1310"/>
  <c r="R1520"/>
  <c r="R1422"/>
  <c r="R1497"/>
  <c r="AA27"/>
  <c r="AB27"/>
  <c r="AA31" s="1"/>
  <c r="R550"/>
  <c r="R979"/>
  <c r="R899"/>
  <c r="R819"/>
  <c r="R1254"/>
  <c r="R258"/>
  <c r="R1219"/>
  <c r="R1101"/>
  <c r="R1044"/>
  <c r="R694"/>
  <c r="R1008"/>
  <c r="R1169"/>
  <c r="R1143"/>
  <c r="R362"/>
  <c r="R1099"/>
  <c r="R1204"/>
  <c r="R647"/>
  <c r="R375"/>
  <c r="R162"/>
  <c r="R1082"/>
  <c r="R44"/>
  <c r="R544"/>
  <c r="R1004"/>
  <c r="R256"/>
  <c r="R507"/>
  <c r="R1125"/>
  <c r="R995"/>
  <c r="R283"/>
  <c r="R1226"/>
  <c r="R763"/>
  <c r="R788"/>
  <c r="R194"/>
  <c r="R651"/>
  <c r="R840"/>
  <c r="R130"/>
  <c r="R96"/>
  <c r="R111"/>
  <c r="R820"/>
  <c r="R322"/>
  <c r="R948"/>
  <c r="R746"/>
  <c r="R996"/>
  <c r="R226"/>
  <c r="R455"/>
  <c r="R586"/>
  <c r="R1166"/>
  <c r="R1091"/>
  <c r="R779"/>
  <c r="R253"/>
  <c r="R32"/>
  <c r="R189"/>
  <c r="R587"/>
  <c r="R503"/>
  <c r="R567"/>
  <c r="R991"/>
  <c r="R343"/>
  <c r="R354"/>
  <c r="R831"/>
  <c r="R66"/>
  <c r="R844"/>
  <c r="R217"/>
  <c r="R876"/>
  <c r="R927"/>
  <c r="R664"/>
  <c r="R783"/>
  <c r="R275"/>
  <c r="R475"/>
  <c r="R854"/>
  <c r="R299"/>
  <c r="R878"/>
  <c r="R1201"/>
  <c r="R900"/>
  <c r="R224"/>
  <c r="R459"/>
  <c r="R806"/>
  <c r="R1151"/>
  <c r="R604"/>
  <c r="R1046"/>
  <c r="R1192"/>
  <c r="R624"/>
  <c r="R546"/>
  <c r="R1251"/>
  <c r="R990"/>
  <c r="R391"/>
  <c r="R760"/>
  <c r="R782"/>
  <c r="R1259"/>
  <c r="R1209"/>
  <c r="R394"/>
  <c r="R942"/>
  <c r="R191"/>
  <c r="R184"/>
  <c r="R247"/>
  <c r="R1014"/>
  <c r="R438"/>
  <c r="R683"/>
  <c r="R331"/>
  <c r="R803"/>
  <c r="R1038"/>
  <c r="R946"/>
  <c r="R678"/>
  <c r="R1084"/>
  <c r="R105"/>
  <c r="R902"/>
  <c r="R727"/>
  <c r="R1173"/>
  <c r="R50"/>
  <c r="R1162"/>
  <c r="R578"/>
  <c r="R695"/>
  <c r="R407"/>
  <c r="R487"/>
  <c r="R943"/>
  <c r="R808"/>
  <c r="R1161"/>
  <c r="R271"/>
  <c r="R327"/>
  <c r="R584"/>
  <c r="R340"/>
  <c r="R423"/>
  <c r="R1109"/>
  <c r="R635"/>
  <c r="R879"/>
  <c r="R539"/>
  <c r="R443"/>
  <c r="R519"/>
  <c r="R1017"/>
  <c r="R439"/>
  <c r="R1024"/>
  <c r="R583"/>
  <c r="R496"/>
  <c r="R85"/>
  <c r="R847"/>
  <c r="R504"/>
  <c r="R975"/>
  <c r="R594"/>
  <c r="R1013"/>
  <c r="R688"/>
  <c r="R823"/>
  <c r="R1198"/>
  <c r="R352"/>
  <c r="R774"/>
  <c r="R395"/>
  <c r="R128"/>
  <c r="R778"/>
  <c r="R157"/>
  <c r="R386"/>
  <c r="R241"/>
  <c r="R667"/>
  <c r="R215"/>
  <c r="R970"/>
  <c r="R574"/>
  <c r="R1073"/>
  <c r="R736"/>
  <c r="R569"/>
  <c r="R223"/>
  <c r="R922"/>
  <c r="R766"/>
  <c r="R952"/>
  <c r="R747"/>
  <c r="R399"/>
  <c r="R619"/>
  <c r="R167"/>
  <c r="R1028"/>
  <c r="R363"/>
  <c r="R598"/>
  <c r="R911"/>
  <c r="R596"/>
  <c r="R320"/>
  <c r="R796"/>
  <c r="R868"/>
  <c r="R986"/>
  <c r="R480"/>
  <c r="R427"/>
  <c r="R64"/>
  <c r="R411"/>
  <c r="R491"/>
  <c r="R835"/>
  <c r="R192"/>
  <c r="R851"/>
  <c r="R867"/>
  <c r="R883"/>
  <c r="R931"/>
  <c r="R1123"/>
  <c r="R315"/>
  <c r="R1104"/>
  <c r="R87"/>
  <c r="R571"/>
  <c r="R1257"/>
  <c r="R838"/>
  <c r="R93"/>
  <c r="R686"/>
  <c r="R127"/>
  <c r="R47"/>
  <c r="R255"/>
  <c r="R370"/>
  <c r="R1242"/>
  <c r="R1077"/>
  <c r="R1118"/>
  <c r="R846"/>
  <c r="R1048"/>
  <c r="R562"/>
  <c r="R903"/>
  <c r="R1088"/>
  <c r="R999"/>
  <c r="R518"/>
  <c r="R575"/>
  <c r="R1222"/>
  <c r="R303"/>
  <c r="R201"/>
  <c r="R960"/>
  <c r="R671"/>
  <c r="R754"/>
  <c r="R280"/>
  <c r="R351"/>
  <c r="R185"/>
  <c r="R855"/>
  <c r="R416"/>
  <c r="R288"/>
  <c r="R512"/>
  <c r="R1181"/>
  <c r="R1056"/>
  <c r="R628"/>
  <c r="R570"/>
  <c r="R246"/>
  <c r="R609"/>
  <c r="R261"/>
  <c r="R1183"/>
  <c r="R1234"/>
  <c r="R753"/>
  <c r="R860"/>
  <c r="R1207"/>
  <c r="R530"/>
  <c r="R1167"/>
  <c r="R409"/>
  <c r="R768"/>
  <c r="R716"/>
  <c r="R850"/>
  <c r="R166"/>
  <c r="R1155"/>
  <c r="R951"/>
  <c r="R1205"/>
  <c r="R313"/>
  <c r="R486"/>
  <c r="R260"/>
  <c r="R934"/>
  <c r="R1144"/>
  <c r="R672"/>
  <c r="R69"/>
  <c r="R452"/>
  <c r="R690"/>
  <c r="R392"/>
  <c r="R681"/>
  <c r="R554"/>
  <c r="R964"/>
  <c r="R36"/>
  <c r="R983"/>
  <c r="R1080"/>
  <c r="R965"/>
  <c r="R38"/>
  <c r="R488"/>
  <c r="R251"/>
  <c r="R687"/>
  <c r="R361"/>
  <c r="R601"/>
  <c r="R390"/>
  <c r="R441"/>
  <c r="R832"/>
  <c r="R706"/>
  <c r="R56"/>
  <c r="R623"/>
  <c r="R634"/>
  <c r="R267"/>
  <c r="R958"/>
  <c r="R1061"/>
  <c r="R335"/>
  <c r="R1145"/>
  <c r="R640"/>
  <c r="R607"/>
  <c r="R620"/>
  <c r="R626"/>
  <c r="R1142"/>
  <c r="R777"/>
  <c r="R425"/>
  <c r="R548"/>
  <c r="R1221"/>
  <c r="R976"/>
  <c r="R828"/>
  <c r="R1117"/>
  <c r="R520"/>
  <c r="R1179"/>
  <c r="R537"/>
  <c r="R821"/>
  <c r="R207"/>
  <c r="R51"/>
  <c r="R165"/>
  <c r="R1133"/>
  <c r="R328"/>
  <c r="R1098"/>
  <c r="R521"/>
  <c r="R1025"/>
  <c r="R457"/>
  <c r="R326"/>
  <c r="R869"/>
  <c r="R100"/>
  <c r="R1186"/>
  <c r="R209"/>
  <c r="R152"/>
  <c r="R216"/>
  <c r="R242"/>
  <c r="R1078"/>
  <c r="R1045"/>
  <c r="R1027"/>
  <c r="R360"/>
  <c r="R853"/>
  <c r="R516"/>
  <c r="R358"/>
  <c r="R388"/>
  <c r="R933"/>
  <c r="R294"/>
  <c r="R228"/>
  <c r="R872"/>
  <c r="R1248"/>
  <c r="R367"/>
  <c r="R233"/>
  <c r="R703"/>
  <c r="R1030"/>
  <c r="R219"/>
  <c r="R794"/>
  <c r="R473"/>
  <c r="R633"/>
  <c r="R153"/>
  <c r="R198"/>
  <c r="R949"/>
  <c r="R34"/>
  <c r="R1235"/>
  <c r="R982"/>
  <c r="R1203"/>
  <c r="R221"/>
  <c r="R281"/>
  <c r="R102"/>
  <c r="R837"/>
  <c r="R848"/>
  <c r="R231"/>
  <c r="R1231"/>
  <c r="R824"/>
  <c r="R230"/>
  <c r="R104"/>
  <c r="R992"/>
  <c r="R422"/>
  <c r="R890"/>
  <c r="R745"/>
  <c r="R40"/>
  <c r="R1132"/>
  <c r="R356"/>
  <c r="R115"/>
  <c r="R498"/>
  <c r="R649"/>
  <c r="R305"/>
  <c r="R332"/>
  <c r="R108"/>
  <c r="R265"/>
  <c r="R924"/>
  <c r="R676"/>
  <c r="R1026"/>
  <c r="R1090"/>
  <c r="R324"/>
  <c r="R1060"/>
  <c r="R89"/>
  <c r="R793"/>
  <c r="R42"/>
  <c r="R424"/>
  <c r="R1016"/>
  <c r="R1224"/>
  <c r="R197"/>
  <c r="R1127"/>
  <c r="R728"/>
  <c r="R702"/>
  <c r="R232"/>
  <c r="R1105"/>
  <c r="R495"/>
  <c r="R434"/>
  <c r="R287"/>
  <c r="R834"/>
  <c r="R887"/>
  <c r="R117"/>
  <c r="R1220"/>
  <c r="R646"/>
  <c r="R812"/>
  <c r="R274"/>
  <c r="R63"/>
  <c r="R639"/>
  <c r="R460"/>
  <c r="R236"/>
  <c r="R139"/>
  <c r="R935"/>
  <c r="R1267"/>
  <c r="R402"/>
  <c r="R120"/>
  <c r="R1086"/>
  <c r="R1120"/>
  <c r="R505"/>
  <c r="R91"/>
  <c r="R297"/>
  <c r="R431"/>
  <c r="R454"/>
  <c r="R559"/>
  <c r="R735"/>
  <c r="R553"/>
  <c r="R713"/>
  <c r="R1049"/>
  <c r="R377"/>
  <c r="R134"/>
  <c r="R484"/>
  <c r="R200"/>
  <c r="R420"/>
  <c r="R264"/>
  <c r="R885"/>
  <c r="R751"/>
  <c r="R121"/>
  <c r="R610"/>
  <c r="R1229"/>
  <c r="R1263"/>
  <c r="R415"/>
  <c r="R489"/>
  <c r="R585"/>
  <c r="R761"/>
  <c r="R1051"/>
  <c r="R106"/>
  <c r="R70"/>
  <c r="R617"/>
  <c r="R729"/>
  <c r="R981"/>
  <c r="R917"/>
  <c r="R68"/>
  <c r="R708"/>
  <c r="R132"/>
  <c r="R456"/>
  <c r="R1033"/>
  <c r="R1010"/>
  <c r="R665"/>
  <c r="R1131"/>
  <c r="R511"/>
  <c r="R1212"/>
  <c r="R718"/>
  <c r="R552"/>
  <c r="R1236"/>
  <c r="R767"/>
  <c r="R950"/>
  <c r="R697"/>
  <c r="R1096"/>
  <c r="R1153"/>
  <c r="R72"/>
  <c r="R133"/>
  <c r="R874"/>
  <c r="R1200"/>
  <c r="R57"/>
  <c r="R393"/>
  <c r="R612"/>
  <c r="R894"/>
  <c r="R1075"/>
  <c r="R79"/>
  <c r="R463"/>
  <c r="R919"/>
  <c r="R296"/>
  <c r="W12"/>
  <c r="R618"/>
  <c r="R344"/>
  <c r="R472"/>
  <c r="R1093"/>
  <c r="R1079"/>
  <c r="R306"/>
  <c r="R1066"/>
  <c r="R383"/>
  <c r="R396"/>
  <c r="R1055"/>
  <c r="R657"/>
  <c r="R172"/>
  <c r="R1250"/>
  <c r="R73"/>
  <c r="R719"/>
  <c r="R780"/>
  <c r="R967"/>
  <c r="R655"/>
  <c r="R479"/>
  <c r="R1074"/>
  <c r="R103"/>
  <c r="R1128"/>
  <c r="R182"/>
  <c r="R807"/>
  <c r="R202"/>
  <c r="R376"/>
  <c r="R527"/>
  <c r="R906"/>
  <c r="R170"/>
  <c r="R1106"/>
  <c r="R53"/>
  <c r="R926"/>
  <c r="R447"/>
  <c r="R138"/>
  <c r="R338"/>
  <c r="R408"/>
  <c r="R543"/>
  <c r="R871"/>
  <c r="R888"/>
  <c r="R1003"/>
  <c r="R137"/>
  <c r="R785"/>
  <c r="R312"/>
  <c r="R1177"/>
  <c r="R1160"/>
  <c r="R650"/>
  <c r="R319"/>
  <c r="R786"/>
  <c r="R1000"/>
  <c r="R866"/>
  <c r="R1039"/>
  <c r="R730"/>
  <c r="R39"/>
  <c r="R842"/>
  <c r="R169"/>
  <c r="R529"/>
  <c r="R83"/>
  <c r="R440"/>
  <c r="R625"/>
  <c r="R374"/>
  <c r="R1258"/>
  <c r="R705"/>
  <c r="R1213"/>
  <c r="R497"/>
  <c r="W11"/>
  <c r="R466"/>
  <c r="R918"/>
  <c r="R839"/>
  <c r="R1148"/>
  <c r="R1191"/>
  <c r="R877"/>
  <c r="R608"/>
  <c r="R369"/>
  <c r="R1129"/>
  <c r="R449"/>
  <c r="R337"/>
  <c r="R577"/>
  <c r="R673"/>
  <c r="R465"/>
  <c r="R593"/>
  <c r="Z31" l="1"/>
  <c r="AG1796" s="1"/>
  <c r="AC27"/>
  <c r="AB31"/>
  <c r="AH944"/>
  <c r="AH1813"/>
  <c r="AH1583"/>
  <c r="AH1823"/>
  <c r="AH1654"/>
  <c r="AH1574"/>
  <c r="AH1457"/>
  <c r="AH1421"/>
  <c r="AH1755"/>
  <c r="AH1773"/>
  <c r="AH1462"/>
  <c r="AH1586"/>
  <c r="AH1540"/>
  <c r="AH1417"/>
  <c r="AH1670"/>
  <c r="AH1717"/>
  <c r="AH1689"/>
  <c r="AH1673"/>
  <c r="AH1657"/>
  <c r="AH1629"/>
  <c r="AH1613"/>
  <c r="AH1597"/>
  <c r="AH1819"/>
  <c r="AH1814"/>
  <c r="AH1836"/>
  <c r="AH1666"/>
  <c r="AH1628"/>
  <c r="AH1612"/>
  <c r="AH1596"/>
  <c r="AH1331"/>
  <c r="AH1818"/>
  <c r="AH1616"/>
  <c r="AH1677"/>
  <c r="AH1645"/>
  <c r="AH1601"/>
  <c r="AH1633"/>
  <c r="AH1600"/>
  <c r="AH1661"/>
  <c r="AH1572"/>
  <c r="AH1556"/>
  <c r="AH1537"/>
  <c r="AH1830"/>
  <c r="AH1647"/>
  <c r="AH1727"/>
  <c r="AH1605"/>
  <c r="AH1762"/>
  <c r="AH1787"/>
  <c r="AH1682"/>
  <c r="AH1686"/>
  <c r="AH1522"/>
  <c r="AH1478"/>
  <c r="AH1649"/>
  <c r="AH1432"/>
  <c r="AH1675"/>
  <c r="AH1711"/>
  <c r="AH1302"/>
  <c r="AH1369"/>
  <c r="AH1389"/>
  <c r="AH1664"/>
  <c r="AH1300"/>
  <c r="AH1295"/>
  <c r="AH1372"/>
  <c r="AH1388"/>
  <c r="AH1696"/>
  <c r="AH1282"/>
  <c r="AH1497"/>
  <c r="AH1434"/>
  <c r="AH1722"/>
  <c r="AH1723"/>
  <c r="AH1719"/>
  <c r="AH1518"/>
  <c r="AH1277"/>
  <c r="AH1344"/>
  <c r="AH1468"/>
  <c r="AH1726"/>
  <c r="AH1514"/>
  <c r="AH1350"/>
  <c r="AH1430"/>
  <c r="AH1496"/>
  <c r="AH1742"/>
  <c r="AH1356"/>
  <c r="AH1447"/>
  <c r="AH1319"/>
  <c r="AH1463"/>
  <c r="AH1543"/>
  <c r="AH1298"/>
  <c r="AH1346"/>
  <c r="AH1379"/>
  <c r="AH1395"/>
  <c r="AH1459"/>
  <c r="AH1337"/>
  <c r="AH1671"/>
  <c r="AH1301"/>
  <c r="AH1378"/>
  <c r="AH1394"/>
  <c r="AH1676"/>
  <c r="AH1716"/>
  <c r="AH1436"/>
  <c r="AH1439"/>
  <c r="AH1841"/>
  <c r="AH1469"/>
  <c r="AH1668"/>
  <c r="AH1419"/>
  <c r="AH1402"/>
  <c r="AH1495"/>
  <c r="AH1744"/>
  <c r="AH1691"/>
  <c r="AH1667"/>
  <c r="AH1313"/>
  <c r="AH1541"/>
  <c r="AH1501"/>
  <c r="AH1533"/>
  <c r="AH1558"/>
  <c r="AH1426"/>
  <c r="AH1714"/>
  <c r="AH1287"/>
  <c r="AH1554"/>
  <c r="AH1274"/>
  <c r="AH1310"/>
  <c r="AH1531"/>
  <c r="AH1446"/>
  <c r="AH1534"/>
  <c r="AH1418"/>
  <c r="AH1698"/>
  <c r="AH1507"/>
  <c r="AH1672"/>
  <c r="AH1783"/>
  <c r="AH1760"/>
  <c r="AH1544"/>
  <c r="AH1763"/>
  <c r="AH1781"/>
  <c r="AH1842"/>
  <c r="AH1701"/>
  <c r="AH1809"/>
  <c r="AH1637"/>
  <c r="AH1834"/>
  <c r="AH1685"/>
  <c r="AH1582"/>
  <c r="AH1578"/>
  <c r="AH1848"/>
  <c r="AH1820"/>
  <c r="AH1838"/>
  <c r="AH1697"/>
  <c r="AH1573"/>
  <c r="AH1793"/>
  <c r="AH1751"/>
  <c r="AH1635"/>
  <c r="AH1619"/>
  <c r="AH1603"/>
  <c r="AH1634"/>
  <c r="AH1618"/>
  <c r="AH1602"/>
  <c r="AH1749"/>
  <c r="AH1759"/>
  <c r="AH1785"/>
  <c r="AH1536"/>
  <c r="AH1797"/>
  <c r="AH1524"/>
  <c r="AH1651"/>
  <c r="AH1774"/>
  <c r="AH1413"/>
  <c r="AH1461"/>
  <c r="AH1844"/>
  <c r="AH1581"/>
  <c r="AH1644"/>
  <c r="AH1561"/>
  <c r="AH1355"/>
  <c r="AH1632"/>
  <c r="AH1617"/>
  <c r="AH1771"/>
  <c r="AH1516"/>
  <c r="AH1454"/>
  <c r="AH1831"/>
  <c r="AH1604"/>
  <c r="AH1737"/>
  <c r="AH1658"/>
  <c r="AH1437"/>
  <c r="AH1494"/>
  <c r="AH1360"/>
  <c r="AH1365"/>
  <c r="AH1353"/>
  <c r="AH1349"/>
  <c r="AH1294"/>
  <c r="AH1284"/>
  <c r="AH1381"/>
  <c r="AH1559"/>
  <c r="AH1288"/>
  <c r="AH1291"/>
  <c r="AH1368"/>
  <c r="AH1384"/>
  <c r="AH1688"/>
  <c r="AH1720"/>
  <c r="AH1489"/>
  <c r="AH1521"/>
  <c r="AH1706"/>
  <c r="AH1663"/>
  <c r="AH1655"/>
  <c r="AH1486"/>
  <c r="AH1273"/>
  <c r="AH1328"/>
  <c r="AH1466"/>
  <c r="AH1795"/>
  <c r="AH1482"/>
  <c r="AH1326"/>
  <c r="AH1422"/>
  <c r="AH1519"/>
  <c r="AH1738"/>
  <c r="AH1324"/>
  <c r="AH1431"/>
  <c r="AH1315"/>
  <c r="AH1455"/>
  <c r="AH1529"/>
  <c r="AH1290"/>
  <c r="AH1338"/>
  <c r="AH1375"/>
  <c r="AH1391"/>
  <c r="AH1442"/>
  <c r="AH1707"/>
  <c r="AH1333"/>
  <c r="AH1297"/>
  <c r="AH1374"/>
  <c r="AH1390"/>
  <c r="AH1660"/>
  <c r="AH1708"/>
  <c r="AH1404"/>
  <c r="AH1423"/>
  <c r="AH1438"/>
  <c r="AH1363"/>
  <c r="AH1652"/>
  <c r="AH1411"/>
  <c r="AH1443"/>
  <c r="AH1479"/>
  <c r="AH1740"/>
  <c r="AH1440"/>
  <c r="AH1687"/>
  <c r="AH1278"/>
  <c r="AH1535"/>
  <c r="AH1485"/>
  <c r="AH1451"/>
  <c r="AH1542"/>
  <c r="AH1410"/>
  <c r="AH1512"/>
  <c r="AH1279"/>
  <c r="AH1538"/>
  <c r="AH1659"/>
  <c r="AH1317"/>
  <c r="AH1551"/>
  <c r="AH1509"/>
  <c r="AH1515"/>
  <c r="AH1312"/>
  <c r="AH1358"/>
  <c r="AH1555"/>
  <c r="AH1456"/>
  <c r="AH1484"/>
  <c r="AH1776"/>
  <c r="AH1761"/>
  <c r="AH1779"/>
  <c r="AH1756"/>
  <c r="AH1847"/>
  <c r="AH1588"/>
  <c r="AH1846"/>
  <c r="AH1705"/>
  <c r="AH1839"/>
  <c r="AH1709"/>
  <c r="AH1643"/>
  <c r="AH1801"/>
  <c r="AH1853"/>
  <c r="AH1825"/>
  <c r="AH1843"/>
  <c r="AH1562"/>
  <c r="AH1577"/>
  <c r="AH1500"/>
  <c r="AH1754"/>
  <c r="AH1648"/>
  <c r="AH1623"/>
  <c r="AH1607"/>
  <c r="AH1735"/>
  <c r="AH1622"/>
  <c r="AH1606"/>
  <c r="AH1590"/>
  <c r="AH1775"/>
  <c r="AH1752"/>
  <c r="AH1552"/>
  <c r="AH1739"/>
  <c r="AH1528"/>
  <c r="AH1728"/>
  <c r="AH1790"/>
  <c r="AH1429"/>
  <c r="AH1458"/>
  <c r="AH1849"/>
  <c r="AH1339"/>
  <c r="AH1567"/>
  <c r="AH1560"/>
  <c r="AH1569"/>
  <c r="AH1565"/>
  <c r="AH1608"/>
  <c r="AH1725"/>
  <c r="AH1433"/>
  <c r="AH1425"/>
  <c r="AH1821"/>
  <c r="AH1721"/>
  <c r="AH1621"/>
  <c r="AH1449"/>
  <c r="AH1764"/>
  <c r="AH1405"/>
  <c r="AH1662"/>
  <c r="AH1510"/>
  <c r="AH1448"/>
  <c r="AH1320"/>
  <c r="AH1321"/>
  <c r="AH1715"/>
  <c r="AH1334"/>
  <c r="AH1420"/>
  <c r="AH1377"/>
  <c r="AH1406"/>
  <c r="AH1460"/>
  <c r="AH1385"/>
  <c r="AH1303"/>
  <c r="AH1380"/>
  <c r="AH1396"/>
  <c r="AH1712"/>
  <c r="AH1481"/>
  <c r="AH1513"/>
  <c r="AH1549"/>
  <c r="AH1416"/>
  <c r="AH1490"/>
  <c r="AH1341"/>
  <c r="AH1348"/>
  <c r="AH1285"/>
  <c r="AH1464"/>
  <c r="AH1718"/>
  <c r="AH1444"/>
  <c r="AH1304"/>
  <c r="AH1414"/>
  <c r="AH1503"/>
  <c r="AH1734"/>
  <c r="AH1750"/>
  <c r="AH1415"/>
  <c r="AH1311"/>
  <c r="AH1352"/>
  <c r="AH1467"/>
  <c r="AH1796"/>
  <c r="AH1330"/>
  <c r="AH1371"/>
  <c r="AH1387"/>
  <c r="AH1474"/>
  <c r="AH1650"/>
  <c r="AH1679"/>
  <c r="AH1293"/>
  <c r="AH1370"/>
  <c r="AH1386"/>
  <c r="AH1475"/>
  <c r="AH1700"/>
  <c r="AH1366"/>
  <c r="AH1407"/>
  <c r="AH1476"/>
  <c r="AH1851"/>
  <c r="AH1477"/>
  <c r="AH1403"/>
  <c r="AH1435"/>
  <c r="AH1525"/>
  <c r="AH1736"/>
  <c r="AH1400"/>
  <c r="AH1506"/>
  <c r="AH1357"/>
  <c r="AH1314"/>
  <c r="AH1428"/>
  <c r="AH1398"/>
  <c r="AH1523"/>
  <c r="AH1316"/>
  <c r="AH1498"/>
  <c r="AH1280"/>
  <c r="AH1491"/>
  <c r="AH1276"/>
  <c r="AH1309"/>
  <c r="AH1527"/>
  <c r="AH1493"/>
  <c r="AH1483"/>
  <c r="AH1480"/>
  <c r="AH1502"/>
  <c r="AH1283"/>
  <c r="AH1694"/>
  <c r="AH1579"/>
  <c r="AH1792"/>
  <c r="AH1777"/>
  <c r="AH1731"/>
  <c r="AH1772"/>
  <c r="AH1568"/>
  <c r="AH1832"/>
  <c r="AH1665"/>
  <c r="AH1640"/>
  <c r="AH1343"/>
  <c r="AH1824"/>
  <c r="AH1653"/>
  <c r="AH1806"/>
  <c r="AH1858"/>
  <c r="AH1803"/>
  <c r="AH1587"/>
  <c r="AH1828"/>
  <c r="AH1351"/>
  <c r="AH1591"/>
  <c r="AH1770"/>
  <c r="AH1532"/>
  <c r="AH1627"/>
  <c r="AH1611"/>
  <c r="AH1595"/>
  <c r="AH1626"/>
  <c r="AH1610"/>
  <c r="AH1594"/>
  <c r="AH1791"/>
  <c r="AH1768"/>
  <c r="AH1753"/>
  <c r="AH1453"/>
  <c r="AH1766"/>
  <c r="AH1741"/>
  <c r="AH1553"/>
  <c r="AH1445"/>
  <c r="AH1508"/>
  <c r="AH1854"/>
  <c r="AH1585"/>
  <c r="AH1566"/>
  <c r="AH1641"/>
  <c r="AH1575"/>
  <c r="AH1327"/>
  <c r="AH1636"/>
  <c r="AH1802"/>
  <c r="AH1690"/>
  <c r="AH1639"/>
  <c r="AH1810"/>
  <c r="AH1545"/>
  <c r="AH1822"/>
  <c r="AH1757"/>
  <c r="AH1409"/>
  <c r="AH1745"/>
  <c r="AH1816"/>
  <c r="AH1571"/>
  <c r="AH1826"/>
  <c r="AH1441"/>
  <c r="AH1812"/>
  <c r="AH1778"/>
  <c r="AH1805"/>
  <c r="AH1609"/>
  <c r="AH1646"/>
  <c r="AH1624"/>
  <c r="AH1713"/>
  <c r="AH1674"/>
  <c r="AH1782"/>
  <c r="AH1733"/>
  <c r="AH1599"/>
  <c r="AH1786"/>
  <c r="AH1855"/>
  <c r="AH1669"/>
  <c r="AH1747"/>
  <c r="AH1546"/>
  <c r="AH1710"/>
  <c r="AH1308"/>
  <c r="AH1306"/>
  <c r="AH1511"/>
  <c r="AH1473"/>
  <c r="AH1724"/>
  <c r="AH1305"/>
  <c r="AH1470"/>
  <c r="AH1557"/>
  <c r="AH1399"/>
  <c r="AH1397"/>
  <c r="AH1367"/>
  <c r="AH1345"/>
  <c r="AH1332"/>
  <c r="AH1299"/>
  <c r="AH1373"/>
  <c r="AH1683"/>
  <c r="AH1840"/>
  <c r="AH1852"/>
  <c r="AH1850"/>
  <c r="AH1817"/>
  <c r="AH1815"/>
  <c r="AH1589"/>
  <c r="AH1584"/>
  <c r="AH1563"/>
  <c r="AH1784"/>
  <c r="AH1630"/>
  <c r="AH1548"/>
  <c r="AH1833"/>
  <c r="AH1811"/>
  <c r="AH1804"/>
  <c r="AH1788"/>
  <c r="AH1488"/>
  <c r="AH1550"/>
  <c r="AH1286"/>
  <c r="AH1362"/>
  <c r="AH1547"/>
  <c r="AH1748"/>
  <c r="AH1684"/>
  <c r="AH1340"/>
  <c r="AH1382"/>
  <c r="AH1408"/>
  <c r="AH1322"/>
  <c r="AH1307"/>
  <c r="AH1487"/>
  <c r="AH1702"/>
  <c r="AH1699"/>
  <c r="AH1505"/>
  <c r="AH1376"/>
  <c r="AH1393"/>
  <c r="AH1424"/>
  <c r="AH1364"/>
  <c r="AH1492"/>
  <c r="AH1693"/>
  <c r="AH1452"/>
  <c r="AH1835"/>
  <c r="AH1732"/>
  <c r="AH1780"/>
  <c r="AH1827"/>
  <c r="AH1401"/>
  <c r="AH1625"/>
  <c r="AH1856"/>
  <c r="AH1323"/>
  <c r="AH1570"/>
  <c r="AH1678"/>
  <c r="AH1769"/>
  <c r="AH1614"/>
  <c r="AH1631"/>
  <c r="AH1642"/>
  <c r="AH1335"/>
  <c r="AH1638"/>
  <c r="AH1765"/>
  <c r="AH1767"/>
  <c r="AH1656"/>
  <c r="AH1318"/>
  <c r="AH1359"/>
  <c r="AH1517"/>
  <c r="AH1329"/>
  <c r="AH1427"/>
  <c r="AH1472"/>
  <c r="AH1471"/>
  <c r="AH1703"/>
  <c r="AH1354"/>
  <c r="AH1336"/>
  <c r="AH1730"/>
  <c r="AH1412"/>
  <c r="AH1695"/>
  <c r="AH1520"/>
  <c r="AH1392"/>
  <c r="AH1680"/>
  <c r="AH1292"/>
  <c r="AH1530"/>
  <c r="AH1845"/>
  <c r="AH1794"/>
  <c r="AH1620"/>
  <c r="AH1729"/>
  <c r="AI1711"/>
  <c r="AI1582"/>
  <c r="AI1546"/>
  <c r="AI1325"/>
  <c r="AI1383"/>
  <c r="AI1507"/>
  <c r="AI1767"/>
  <c r="AI1632"/>
  <c r="AH1681"/>
  <c r="AH1580"/>
  <c r="AH1593"/>
  <c r="AH1743"/>
  <c r="AH1807"/>
  <c r="AH1592"/>
  <c r="AH1347"/>
  <c r="AH1758"/>
  <c r="AH1450"/>
  <c r="AH1598"/>
  <c r="AH1615"/>
  <c r="AH1576"/>
  <c r="AH1564"/>
  <c r="AH1829"/>
  <c r="AH1837"/>
  <c r="AH1798"/>
  <c r="AH1275"/>
  <c r="AH1526"/>
  <c r="AH1539"/>
  <c r="AH1499"/>
  <c r="AH1325"/>
  <c r="AH1504"/>
  <c r="AH1857"/>
  <c r="AH1692"/>
  <c r="AH1289"/>
  <c r="AH1383"/>
  <c r="AH1465"/>
  <c r="AH1746"/>
  <c r="AH1296"/>
  <c r="AH1281"/>
  <c r="AH1799"/>
  <c r="AH1704"/>
  <c r="AH1342"/>
  <c r="AH1800"/>
  <c r="AH1361"/>
  <c r="AH1808"/>
  <c r="AI1617"/>
  <c r="AH1789"/>
  <c r="AH932"/>
  <c r="AH1178"/>
  <c r="AH649"/>
  <c r="AH259"/>
  <c r="AH1225"/>
  <c r="AH1221"/>
  <c r="AH595"/>
  <c r="AH982"/>
  <c r="AH380"/>
  <c r="AH474"/>
  <c r="AH187"/>
  <c r="AH218"/>
  <c r="AH515"/>
  <c r="AH455"/>
  <c r="AH936"/>
  <c r="AH525"/>
  <c r="AH1018"/>
  <c r="AH225"/>
  <c r="AH372"/>
  <c r="AH743"/>
  <c r="AH1020"/>
  <c r="AH382"/>
  <c r="AH241"/>
  <c r="AH694"/>
  <c r="AH538"/>
  <c r="AH411"/>
  <c r="AH120"/>
  <c r="AH925"/>
  <c r="AH1028"/>
  <c r="AH573"/>
  <c r="AH240"/>
  <c r="AH556"/>
  <c r="AH164"/>
  <c r="AH93"/>
  <c r="AH457"/>
  <c r="AH188"/>
  <c r="AH895"/>
  <c r="AH389"/>
  <c r="AH281"/>
  <c r="AH1217"/>
  <c r="AH295"/>
  <c r="AH986"/>
  <c r="AH910"/>
  <c r="AH233"/>
  <c r="AH449"/>
  <c r="AH1003"/>
  <c r="AH201"/>
  <c r="AH446"/>
  <c r="AH105"/>
  <c r="AH130"/>
  <c r="AH1014"/>
  <c r="AH371"/>
  <c r="AH755"/>
  <c r="AH244"/>
  <c r="AH738"/>
  <c r="AH623"/>
  <c r="AH184"/>
  <c r="AH1066"/>
  <c r="AH62"/>
  <c r="AH149"/>
  <c r="AH117"/>
  <c r="AH891"/>
  <c r="AH314"/>
  <c r="AH379"/>
  <c r="AH404"/>
  <c r="AH487"/>
  <c r="AH317"/>
  <c r="AH338"/>
  <c r="AH605"/>
  <c r="AH1155"/>
  <c r="AH51"/>
  <c r="AH35"/>
  <c r="AH138"/>
  <c r="AH909"/>
  <c r="AH170"/>
  <c r="AH1106"/>
  <c r="AH671"/>
  <c r="AH783"/>
  <c r="AH171"/>
  <c r="AH75"/>
  <c r="AH513"/>
  <c r="AH776"/>
  <c r="AH1237"/>
  <c r="AH937"/>
  <c r="AH1158"/>
  <c r="AH203"/>
  <c r="AH469"/>
  <c r="AH1114"/>
  <c r="AH632"/>
  <c r="AH566"/>
  <c r="AH646"/>
  <c r="AH1117"/>
  <c r="AH167"/>
  <c r="AH532"/>
  <c r="AH947"/>
  <c r="AH1263"/>
  <c r="AH901"/>
  <c r="AH720"/>
  <c r="AH519"/>
  <c r="AH495"/>
  <c r="AH1197"/>
  <c r="AH899"/>
  <c r="AH435"/>
  <c r="AH1231"/>
  <c r="AH747"/>
  <c r="AH1146"/>
  <c r="AH741"/>
  <c r="AH1103"/>
  <c r="AH363"/>
  <c r="AH608"/>
  <c r="AH701"/>
  <c r="AH523"/>
  <c r="AH113"/>
  <c r="AH800"/>
  <c r="AH917"/>
  <c r="AH612"/>
  <c r="AH805"/>
  <c r="AH833"/>
  <c r="AH44"/>
  <c r="AH246"/>
  <c r="AH193"/>
  <c r="AH190"/>
  <c r="AH765"/>
  <c r="AH1025"/>
  <c r="AH1054"/>
  <c r="AH643"/>
  <c r="AH1043"/>
  <c r="AH78"/>
  <c r="AH76"/>
  <c r="AH378"/>
  <c r="AH304"/>
  <c r="AH425"/>
  <c r="AH239"/>
  <c r="AH677"/>
  <c r="AH784"/>
  <c r="AH177"/>
  <c r="AH461"/>
  <c r="AH498"/>
  <c r="AH121"/>
  <c r="AH1077"/>
  <c r="AH452"/>
  <c r="AH258"/>
  <c r="AH202"/>
  <c r="AH459"/>
  <c r="AH1006"/>
  <c r="AH547"/>
  <c r="AH84"/>
  <c r="AI167"/>
  <c r="AI230"/>
  <c r="AI655"/>
  <c r="AI806"/>
  <c r="AI124"/>
  <c r="AI385"/>
  <c r="AI428"/>
  <c r="AI632"/>
  <c r="AI699"/>
  <c r="AI741"/>
  <c r="AI904"/>
  <c r="AI959"/>
  <c r="AI1011"/>
  <c r="AI1075"/>
  <c r="AI1115"/>
  <c r="AI1156"/>
  <c r="AI1238"/>
  <c r="AI67"/>
  <c r="AI348"/>
  <c r="AI466"/>
  <c r="AI520"/>
  <c r="AI591"/>
  <c r="AI629"/>
  <c r="AI795"/>
  <c r="AI858"/>
  <c r="AI930"/>
  <c r="AI1054"/>
  <c r="AI951"/>
  <c r="AI1079"/>
  <c r="AI1153"/>
  <c r="AI1215"/>
  <c r="AI306"/>
  <c r="AI410"/>
  <c r="AI718"/>
  <c r="AI752"/>
  <c r="AI505"/>
  <c r="AI855"/>
  <c r="AI988"/>
  <c r="AI821"/>
  <c r="AI1033"/>
  <c r="AI857"/>
  <c r="AI1203"/>
  <c r="AI1256"/>
  <c r="AI1126"/>
  <c r="AI279"/>
  <c r="AI384"/>
  <c r="AI558"/>
  <c r="AI616"/>
  <c r="AI683"/>
  <c r="AI725"/>
  <c r="AI892"/>
  <c r="AI944"/>
  <c r="AI996"/>
  <c r="AI1072"/>
  <c r="AI1103"/>
  <c r="AI1245"/>
  <c r="AI1112"/>
  <c r="AI1176"/>
  <c r="AI1255"/>
  <c r="AI1129"/>
  <c r="AI1193"/>
  <c r="AI1267"/>
  <c r="AI1122"/>
  <c r="AI1186"/>
  <c r="AI1249"/>
  <c r="AB5"/>
  <c r="AH806"/>
  <c r="AH712"/>
  <c r="AH713"/>
  <c r="AH174"/>
  <c r="AH1252"/>
  <c r="AH274"/>
  <c r="AH736"/>
  <c r="AH1190"/>
  <c r="AH286"/>
  <c r="AH1059"/>
  <c r="AH782"/>
  <c r="AH403"/>
  <c r="AH876"/>
  <c r="AH1065"/>
  <c r="AH358"/>
  <c r="AH549"/>
  <c r="AH1010"/>
  <c r="AH1011"/>
  <c r="AH1268"/>
  <c r="AH651"/>
  <c r="AH912"/>
  <c r="AH662"/>
  <c r="AH102"/>
  <c r="AH471"/>
  <c r="AH714"/>
  <c r="AH59"/>
  <c r="AH1089"/>
  <c r="AH1023"/>
  <c r="AH1227"/>
  <c r="AH1122"/>
  <c r="AH253"/>
  <c r="AH100"/>
  <c r="AH683"/>
  <c r="AH841"/>
  <c r="AH210"/>
  <c r="AH739"/>
  <c r="AH443"/>
  <c r="AH958"/>
  <c r="AH447"/>
  <c r="AH375"/>
  <c r="AH229"/>
  <c r="AH123"/>
  <c r="AH410"/>
  <c r="AH132"/>
  <c r="AH1100"/>
  <c r="AH578"/>
  <c r="AH1079"/>
  <c r="AH57"/>
  <c r="AH679"/>
  <c r="AH41"/>
  <c r="AH1167"/>
  <c r="AH1196"/>
  <c r="AH214"/>
  <c r="AH669"/>
  <c r="AH844"/>
  <c r="AH546"/>
  <c r="AH212"/>
  <c r="AH1130"/>
  <c r="AH320"/>
  <c r="AH1204"/>
  <c r="AH819"/>
  <c r="AH911"/>
  <c r="AH127"/>
  <c r="AH802"/>
  <c r="AH1032"/>
  <c r="AH946"/>
  <c r="AH1049"/>
  <c r="AH284"/>
  <c r="AH1255"/>
  <c r="AH729"/>
  <c r="AH654"/>
  <c r="AH263"/>
  <c r="AH428"/>
  <c r="AH942"/>
  <c r="AH751"/>
  <c r="AH769"/>
  <c r="AH874"/>
  <c r="AH524"/>
  <c r="AH544"/>
  <c r="AH896"/>
  <c r="AH1086"/>
  <c r="AH219"/>
  <c r="AH846"/>
  <c r="AH959"/>
  <c r="AH998"/>
  <c r="AH570"/>
  <c r="AH445"/>
  <c r="AH148"/>
  <c r="AH533"/>
  <c r="AH698"/>
  <c r="AH151"/>
  <c r="AH830"/>
  <c r="AH980"/>
  <c r="AH851"/>
  <c r="AH49"/>
  <c r="AH90"/>
  <c r="AH66"/>
  <c r="AH213"/>
  <c r="AH625"/>
  <c r="AH440"/>
  <c r="AH1258"/>
  <c r="AH918"/>
  <c r="AH989"/>
  <c r="AH786"/>
  <c r="AH577"/>
  <c r="AH396"/>
  <c r="AH434"/>
  <c r="AH431"/>
  <c r="AH562"/>
  <c r="AH1183"/>
  <c r="AH744"/>
  <c r="AH836"/>
  <c r="AH804"/>
  <c r="AH787"/>
  <c r="AH820"/>
  <c r="AH999"/>
  <c r="AH601"/>
  <c r="AH779"/>
  <c r="AH413"/>
  <c r="AH1182"/>
  <c r="AH331"/>
  <c r="AH993"/>
  <c r="AH342"/>
  <c r="AH1172"/>
  <c r="AH1203"/>
  <c r="AH972"/>
  <c r="AH528"/>
  <c r="AH453"/>
  <c r="AH1078"/>
  <c r="AH1099"/>
  <c r="AH1272"/>
  <c r="AH1192"/>
  <c r="AH770"/>
  <c r="AH1055"/>
  <c r="AH82"/>
  <c r="AH1039"/>
  <c r="AH842"/>
  <c r="AH906"/>
  <c r="AH1236"/>
  <c r="AH147"/>
  <c r="AH659"/>
  <c r="AH627"/>
  <c r="AH951"/>
  <c r="AH832"/>
  <c r="AH1111"/>
  <c r="AH126"/>
  <c r="AH509"/>
  <c r="AH637"/>
  <c r="AH845"/>
  <c r="AH1110"/>
  <c r="AH1212"/>
  <c r="AH89"/>
  <c r="AH852"/>
  <c r="AH1159"/>
  <c r="AH412"/>
  <c r="AH691"/>
  <c r="AH735"/>
  <c r="AH621"/>
  <c r="AH39"/>
  <c r="AH1207"/>
  <c r="AH803"/>
  <c r="AH598"/>
  <c r="AH875"/>
  <c r="AH268"/>
  <c r="AH296"/>
  <c r="AH1239"/>
  <c r="AH813"/>
  <c r="AH753"/>
  <c r="AH172"/>
  <c r="AH1048"/>
  <c r="AH1045"/>
  <c r="AH1012"/>
  <c r="AH810"/>
  <c r="AH575"/>
  <c r="AH903"/>
  <c r="AH63"/>
  <c r="AH292"/>
  <c r="AH279"/>
  <c r="AH500"/>
  <c r="AH1092"/>
  <c r="AH448"/>
  <c r="AH979"/>
  <c r="AH571"/>
  <c r="AH1084"/>
  <c r="AH1247"/>
  <c r="AH418"/>
  <c r="AH152"/>
  <c r="AH347"/>
  <c r="AH853"/>
  <c r="AH798"/>
  <c r="AH976"/>
  <c r="AH483"/>
  <c r="AH491"/>
  <c r="AH639"/>
  <c r="AH1038"/>
  <c r="AH192"/>
  <c r="AH490"/>
  <c r="AH553"/>
  <c r="AH584"/>
  <c r="AH504"/>
  <c r="AH1081"/>
  <c r="AH719"/>
  <c r="AH1160"/>
  <c r="AH1148"/>
  <c r="AH628"/>
  <c r="AH594"/>
  <c r="AH402"/>
  <c r="AH1072"/>
  <c r="AH700"/>
  <c r="AH957"/>
  <c r="AH1000"/>
  <c r="AH56"/>
  <c r="AH465"/>
  <c r="AH593"/>
  <c r="AH1250"/>
  <c r="AH265"/>
  <c r="AH53"/>
  <c r="AH245"/>
  <c r="AH687"/>
  <c r="AH1184"/>
  <c r="AH941"/>
  <c r="AH1142"/>
  <c r="AH1080"/>
  <c r="AH1013"/>
  <c r="AH131"/>
  <c r="AH200"/>
  <c r="AH516"/>
  <c r="AH308"/>
  <c r="AH384"/>
  <c r="AH541"/>
  <c r="AH1253"/>
  <c r="AH551"/>
  <c r="AH574"/>
  <c r="AH97"/>
  <c r="AH334"/>
  <c r="AH45"/>
  <c r="AH476"/>
  <c r="AH313"/>
  <c r="AH468"/>
  <c r="AH463"/>
  <c r="AH1037"/>
  <c r="AH695"/>
  <c r="AH301"/>
  <c r="AH349"/>
  <c r="AH824"/>
  <c r="AH607"/>
  <c r="AH785"/>
  <c r="AH374"/>
  <c r="AH705"/>
  <c r="AH1094"/>
  <c r="AH861"/>
  <c r="AH408"/>
  <c r="AH1128"/>
  <c r="AH261"/>
  <c r="AH337"/>
  <c r="AH543"/>
  <c r="AH860"/>
  <c r="AH564"/>
  <c r="AH1005"/>
  <c r="AH673"/>
  <c r="AH1209"/>
  <c r="AH101"/>
  <c r="AH981"/>
  <c r="AH373"/>
  <c r="AH821"/>
  <c r="AH85"/>
  <c r="AH996"/>
  <c r="AH758"/>
  <c r="AH1088"/>
  <c r="AH311"/>
  <c r="AH318"/>
  <c r="AH733"/>
  <c r="AH938"/>
  <c r="AH47"/>
  <c r="AH179"/>
  <c r="AH251"/>
  <c r="AH405"/>
  <c r="AH624"/>
  <c r="AH260"/>
  <c r="AH604"/>
  <c r="AH122"/>
  <c r="AH198"/>
  <c r="AH685"/>
  <c r="AH319"/>
  <c r="AH512"/>
  <c r="AH722"/>
  <c r="AH424"/>
  <c r="AH394"/>
  <c r="AH181"/>
  <c r="AH169"/>
  <c r="AH108"/>
  <c r="AH191"/>
  <c r="AH768"/>
  <c r="AH1157"/>
  <c r="AH1185"/>
  <c r="AH1030"/>
  <c r="AH386"/>
  <c r="AH548"/>
  <c r="AH1249"/>
  <c r="AH1181"/>
  <c r="AH961"/>
  <c r="AH723"/>
  <c r="AH129"/>
  <c r="AH473"/>
  <c r="AH527"/>
  <c r="AH211"/>
  <c r="AH407"/>
  <c r="AH948"/>
  <c r="AH1056"/>
  <c r="AH1208"/>
  <c r="AH1224"/>
  <c r="AH106"/>
  <c r="AH634"/>
  <c r="AH591"/>
  <c r="AH182"/>
  <c r="AH730"/>
  <c r="AH888"/>
  <c r="AH54"/>
  <c r="AH118"/>
  <c r="AH1063"/>
  <c r="AH1027"/>
  <c r="AH1074"/>
  <c r="AH99"/>
  <c r="AH275"/>
  <c r="AH217"/>
  <c r="AH801"/>
  <c r="AH278"/>
  <c r="AH661"/>
  <c r="AH878"/>
  <c r="AH602"/>
  <c r="AH773"/>
  <c r="AH348"/>
  <c r="AH502"/>
  <c r="AH973"/>
  <c r="AH831"/>
  <c r="AH1241"/>
  <c r="AH40"/>
  <c r="AH1118"/>
  <c r="AH290"/>
  <c r="AH462"/>
  <c r="AH828"/>
  <c r="AH620"/>
  <c r="AH146"/>
  <c r="AH1267"/>
  <c r="AH46"/>
  <c r="AH954"/>
  <c r="AH545"/>
  <c r="AH711"/>
  <c r="AH125"/>
  <c r="AH312"/>
  <c r="AH369"/>
  <c r="AH1191"/>
  <c r="AH497"/>
  <c r="AH1213"/>
  <c r="AH822"/>
  <c r="AH561"/>
  <c r="AH829"/>
  <c r="AH529"/>
  <c r="AH376"/>
  <c r="AH1131"/>
  <c r="AH438"/>
  <c r="AH305"/>
  <c r="AH332"/>
  <c r="AH609"/>
  <c r="AH83"/>
  <c r="AH280"/>
  <c r="AH1102"/>
  <c r="AH554"/>
  <c r="AH703"/>
  <c r="AH924"/>
  <c r="AH552"/>
  <c r="AH914"/>
  <c r="AH34"/>
  <c r="AH155"/>
  <c r="AH150"/>
  <c r="AH581"/>
  <c r="AH614"/>
  <c r="AH1050"/>
  <c r="AH254"/>
  <c r="AH764"/>
  <c r="AH748"/>
  <c r="AH1139"/>
  <c r="AH154"/>
  <c r="AH902"/>
  <c r="AH710"/>
  <c r="AH271"/>
  <c r="AH115"/>
  <c r="AH596"/>
  <c r="AH763"/>
  <c r="AH940"/>
  <c r="AH232"/>
  <c r="AH862"/>
  <c r="AH778"/>
  <c r="AH1041"/>
  <c r="AH727"/>
  <c r="AH808"/>
  <c r="AH506"/>
  <c r="AH141"/>
  <c r="AH460"/>
  <c r="AH935"/>
  <c r="AH74"/>
  <c r="AH1176"/>
  <c r="AH734"/>
  <c r="AH799"/>
  <c r="AH1163"/>
  <c r="AH664"/>
  <c r="AH919"/>
  <c r="AH1170"/>
  <c r="AH882"/>
  <c r="AH962"/>
  <c r="AH590"/>
  <c r="AH716"/>
  <c r="AH204"/>
  <c r="AH1135"/>
  <c r="AH1068"/>
  <c r="AH1126"/>
  <c r="AH636"/>
  <c r="AH207"/>
  <c r="AH1097"/>
  <c r="AH209"/>
  <c r="AH1168"/>
  <c r="AH848"/>
  <c r="AH1127"/>
  <c r="AH277"/>
  <c r="AH645"/>
  <c r="AH771"/>
  <c r="AH309"/>
  <c r="AH1121"/>
  <c r="AH1235"/>
  <c r="AH964"/>
  <c r="AH508"/>
  <c r="AH715"/>
  <c r="AH1171"/>
  <c r="AH752"/>
  <c r="AH582"/>
  <c r="AH1124"/>
  <c r="AH746"/>
  <c r="AH293"/>
  <c r="AH1173"/>
  <c r="AH326"/>
  <c r="AH33"/>
  <c r="AH1266"/>
  <c r="AH272"/>
  <c r="AH355"/>
  <c r="AH227"/>
  <c r="AH223"/>
  <c r="AH881"/>
  <c r="AH478"/>
  <c r="AH667"/>
  <c r="AH995"/>
  <c r="AH1015"/>
  <c r="AH682"/>
  <c r="AH189"/>
  <c r="AH898"/>
  <c r="AH221"/>
  <c r="AH681"/>
  <c r="AH855"/>
  <c r="AH1179"/>
  <c r="AH1083"/>
  <c r="AH266"/>
  <c r="AH1147"/>
  <c r="AH840"/>
  <c r="AH505"/>
  <c r="AH663"/>
  <c r="AH759"/>
  <c r="AH276"/>
  <c r="AH977"/>
  <c r="AH731"/>
  <c r="AH1033"/>
  <c r="AH1024"/>
  <c r="AH1047"/>
  <c r="AH70"/>
  <c r="AH611"/>
  <c r="AH81"/>
  <c r="AH395"/>
  <c r="AH780"/>
  <c r="AH950"/>
  <c r="AH511"/>
  <c r="AH718"/>
  <c r="AH1116"/>
  <c r="AH493"/>
  <c r="AH133"/>
  <c r="AH642"/>
  <c r="AH1009"/>
  <c r="AH790"/>
  <c r="AH383"/>
  <c r="AH864"/>
  <c r="AH869"/>
  <c r="AH709"/>
  <c r="AH1154"/>
  <c r="AH825"/>
  <c r="AH328"/>
  <c r="AH362"/>
  <c r="AH173"/>
  <c r="AH124"/>
  <c r="AH1132"/>
  <c r="AH510"/>
  <c r="AH1123"/>
  <c r="AH742"/>
  <c r="AH87"/>
  <c r="AH427"/>
  <c r="AH807"/>
  <c r="AH610"/>
  <c r="AH970"/>
  <c r="AH437"/>
  <c r="AH387"/>
  <c r="AH43"/>
  <c r="AH250"/>
  <c r="AH945"/>
  <c r="AH393"/>
  <c r="AH1044"/>
  <c r="AH73"/>
  <c r="AH987"/>
  <c r="AH680"/>
  <c r="AH458"/>
  <c r="AH269"/>
  <c r="AH760"/>
  <c r="AH702"/>
  <c r="AH991"/>
  <c r="AH234"/>
  <c r="AH109"/>
  <c r="AH745"/>
  <c r="AH1071"/>
  <c r="AH415"/>
  <c r="AH1244"/>
  <c r="AH1151"/>
  <c r="AH1101"/>
  <c r="AH732"/>
  <c r="AH555"/>
  <c r="AH1175"/>
  <c r="AH377"/>
  <c r="AH1264"/>
  <c r="AH1226"/>
  <c r="AH359"/>
  <c r="AH644"/>
  <c r="AH72"/>
  <c r="AH294"/>
  <c r="AH676"/>
  <c r="AH88"/>
  <c r="AH165"/>
  <c r="AH103"/>
  <c r="AH1270"/>
  <c r="AH94"/>
  <c r="AH385"/>
  <c r="AH816"/>
  <c r="AH726"/>
  <c r="AH1095"/>
  <c r="AH501"/>
  <c r="AH517"/>
  <c r="AH248"/>
  <c r="AH388"/>
  <c r="AH65"/>
  <c r="AH814"/>
  <c r="AH336"/>
  <c r="AH1087"/>
  <c r="AH282"/>
  <c r="AH477"/>
  <c r="AH1169"/>
  <c r="AH674"/>
  <c r="AH859"/>
  <c r="AH1251"/>
  <c r="AH196"/>
  <c r="AH421"/>
  <c r="AH136"/>
  <c r="AH994"/>
  <c r="AH953"/>
  <c r="AH1257"/>
  <c r="AH542"/>
  <c r="AH921"/>
  <c r="AH672"/>
  <c r="AH1193"/>
  <c r="AH1090"/>
  <c r="AH365"/>
  <c r="AH1202"/>
  <c r="AH360"/>
  <c r="AH775"/>
  <c r="AH569"/>
  <c r="AH71"/>
  <c r="AH50"/>
  <c r="AH843"/>
  <c r="AH599"/>
  <c r="AH963"/>
  <c r="AH114"/>
  <c r="AH772"/>
  <c r="AH86"/>
  <c r="AH1153"/>
  <c r="AH299"/>
  <c r="AH1120"/>
  <c r="AH823"/>
  <c r="AH559"/>
  <c r="AH370"/>
  <c r="AH1098"/>
  <c r="AH37"/>
  <c r="AH781"/>
  <c r="AH364"/>
  <c r="AH350"/>
  <c r="AH257"/>
  <c r="AH894"/>
  <c r="AH597"/>
  <c r="AH485"/>
  <c r="AH572"/>
  <c r="AH176"/>
  <c r="AH492"/>
  <c r="AH1073"/>
  <c r="AH1180"/>
  <c r="AH1174"/>
  <c r="AH444"/>
  <c r="AH795"/>
  <c r="AH96"/>
  <c r="AH1161"/>
  <c r="AH1152"/>
  <c r="AH1002"/>
  <c r="AH534"/>
  <c r="AH629"/>
  <c r="AH262"/>
  <c r="AH974"/>
  <c r="AH1109"/>
  <c r="AH340"/>
  <c r="AH684"/>
  <c r="AH697"/>
  <c r="AH638"/>
  <c r="AH535"/>
  <c r="AH205"/>
  <c r="AH1234"/>
  <c r="AH456"/>
  <c r="AH647"/>
  <c r="AH955"/>
  <c r="AH761"/>
  <c r="AH157"/>
  <c r="AH1017"/>
  <c r="AH520"/>
  <c r="AH135"/>
  <c r="AH721"/>
  <c r="AH92"/>
  <c r="AH1199"/>
  <c r="AH1133"/>
  <c r="AH838"/>
  <c r="AH316"/>
  <c r="AH603"/>
  <c r="AH231"/>
  <c r="AH289"/>
  <c r="AH1177"/>
  <c r="AH236"/>
  <c r="AH1112"/>
  <c r="AH310"/>
  <c r="AH877"/>
  <c r="AH1211"/>
  <c r="AH617"/>
  <c r="AH704"/>
  <c r="AH397"/>
  <c r="AH1186"/>
  <c r="AH521"/>
  <c r="AH499"/>
  <c r="AH180"/>
  <c r="AH237"/>
  <c r="AH1035"/>
  <c r="AH156"/>
  <c r="AH537"/>
  <c r="AH52"/>
  <c r="AH77"/>
  <c r="AH1165"/>
  <c r="AH774"/>
  <c r="AH302"/>
  <c r="AH64"/>
  <c r="AH641"/>
  <c r="AH1075"/>
  <c r="AH1265"/>
  <c r="AH322"/>
  <c r="AH725"/>
  <c r="AH264"/>
  <c r="AH486"/>
  <c r="AH613"/>
  <c r="AH451"/>
  <c r="AH618"/>
  <c r="AH530"/>
  <c r="AH589"/>
  <c r="AH222"/>
  <c r="AH826"/>
  <c r="AH1242"/>
  <c r="AH352"/>
  <c r="AH36"/>
  <c r="AH1230"/>
  <c r="AH708"/>
  <c r="AH343"/>
  <c r="AH740"/>
  <c r="AH929"/>
  <c r="AH283"/>
  <c r="AH400"/>
  <c r="AH80"/>
  <c r="AH346"/>
  <c r="AH1260"/>
  <c r="AH1007"/>
  <c r="AH1021"/>
  <c r="AH923"/>
  <c r="AH145"/>
  <c r="AH162"/>
  <c r="AH835"/>
  <c r="AH707"/>
  <c r="AH985"/>
  <c r="AH792"/>
  <c r="AH971"/>
  <c r="AH648"/>
  <c r="AH252"/>
  <c r="AH285"/>
  <c r="AH1144"/>
  <c r="AH622"/>
  <c r="AH1113"/>
  <c r="AH968"/>
  <c r="AH568"/>
  <c r="AH606"/>
  <c r="AH1243"/>
  <c r="AH391"/>
  <c r="AH1046"/>
  <c r="AH907"/>
  <c r="AH128"/>
  <c r="AH1219"/>
  <c r="AH178"/>
  <c r="AH168"/>
  <c r="AH757"/>
  <c r="AH297"/>
  <c r="AH475"/>
  <c r="AH1205"/>
  <c r="AH887"/>
  <c r="AH655"/>
  <c r="AH367"/>
  <c r="AH926"/>
  <c r="AH409"/>
  <c r="AH1261"/>
  <c r="AH934"/>
  <c r="AH494"/>
  <c r="AH423"/>
  <c r="AH1060"/>
  <c r="AH1269"/>
  <c r="AH104"/>
  <c r="AH1022"/>
  <c r="AH432"/>
  <c r="AH442"/>
  <c r="AH588"/>
  <c r="AH480"/>
  <c r="AH1085"/>
  <c r="AH796"/>
  <c r="AH270"/>
  <c r="AH224"/>
  <c r="AH1162"/>
  <c r="AH1091"/>
  <c r="AH1210"/>
  <c r="AH630"/>
  <c r="AH1189"/>
  <c r="AH356"/>
  <c r="AH1246"/>
  <c r="AH1140"/>
  <c r="AH692"/>
  <c r="AH315"/>
  <c r="AH1064"/>
  <c r="AH616"/>
  <c r="AH1119"/>
  <c r="AH333"/>
  <c r="AH984"/>
  <c r="AH600"/>
  <c r="AH670"/>
  <c r="AH857"/>
  <c r="AH1051"/>
  <c r="AH417"/>
  <c r="AH42"/>
  <c r="AH930"/>
  <c r="AH850"/>
  <c r="AH815"/>
  <c r="AH287"/>
  <c r="AH849"/>
  <c r="AH1229"/>
  <c r="AH966"/>
  <c r="AH540"/>
  <c r="AH238"/>
  <c r="AH256"/>
  <c r="AH433"/>
  <c r="AH1136"/>
  <c r="AH893"/>
  <c r="AH466"/>
  <c r="AH839"/>
  <c r="AH139"/>
  <c r="AH381"/>
  <c r="AH777"/>
  <c r="AH558"/>
  <c r="AH737"/>
  <c r="AH952"/>
  <c r="AH392"/>
  <c r="AH631"/>
  <c r="AH863"/>
  <c r="AH793"/>
  <c r="AH488"/>
  <c r="AH199"/>
  <c r="AH441"/>
  <c r="AH60"/>
  <c r="AH913"/>
  <c r="AH956"/>
  <c r="AH886"/>
  <c r="AH430"/>
  <c r="AH79"/>
  <c r="AH969"/>
  <c r="AH1187"/>
  <c r="AH992"/>
  <c r="AH640"/>
  <c r="AH1156"/>
  <c r="AH215"/>
  <c r="AH1070"/>
  <c r="AH933"/>
  <c r="AH422"/>
  <c r="AH794"/>
  <c r="AH767"/>
  <c r="AH626"/>
  <c r="AH690"/>
  <c r="AH183"/>
  <c r="AH1104"/>
  <c r="AH656"/>
  <c r="AH255"/>
  <c r="AH837"/>
  <c r="AH949"/>
  <c r="AH69"/>
  <c r="AH565"/>
  <c r="AH563"/>
  <c r="AH91"/>
  <c r="AH464"/>
  <c r="AH208"/>
  <c r="AH307"/>
  <c r="AH576"/>
  <c r="AH95"/>
  <c r="AH1036"/>
  <c r="AH142"/>
  <c r="AH353"/>
  <c r="AH226"/>
  <c r="AH454"/>
  <c r="AH867"/>
  <c r="AH858"/>
  <c r="AH856"/>
  <c r="AH1195"/>
  <c r="AH872"/>
  <c r="AH327"/>
  <c r="AH889"/>
  <c r="AH939"/>
  <c r="AH1218"/>
  <c r="AH927"/>
  <c r="AH1096"/>
  <c r="AH696"/>
  <c r="AH686"/>
  <c r="AH298"/>
  <c r="AH583"/>
  <c r="AH1143"/>
  <c r="AH110"/>
  <c r="AH143"/>
  <c r="AH161"/>
  <c r="AH1034"/>
  <c r="AH38"/>
  <c r="AH175"/>
  <c r="AH865"/>
  <c r="AH345"/>
  <c r="AH243"/>
  <c r="AH983"/>
  <c r="AH1248"/>
  <c r="AH479"/>
  <c r="AH242"/>
  <c r="AH943"/>
  <c r="AH988"/>
  <c r="AH653"/>
  <c r="AH429"/>
  <c r="AH55"/>
  <c r="AH1031"/>
  <c r="AH883"/>
  <c r="AH915"/>
  <c r="AH507"/>
  <c r="AH496"/>
  <c r="AH58"/>
  <c r="AH159"/>
  <c r="AH817"/>
  <c r="AH1149"/>
  <c r="AH908"/>
  <c r="AH398"/>
  <c r="AH399"/>
  <c r="AH68"/>
  <c r="AH809"/>
  <c r="AH928"/>
  <c r="AH560"/>
  <c r="AH1108"/>
  <c r="AH868"/>
  <c r="AH693"/>
  <c r="AH303"/>
  <c r="AH766"/>
  <c r="AH323"/>
  <c r="AH1256"/>
  <c r="AH904"/>
  <c r="AH330"/>
  <c r="AH481"/>
  <c r="AH1240"/>
  <c r="AH728"/>
  <c r="AH489"/>
  <c r="AH426"/>
  <c r="AH1145"/>
  <c r="AH1062"/>
  <c r="AH978"/>
  <c r="AH1016"/>
  <c r="AH922"/>
  <c r="AH870"/>
  <c r="AH1215"/>
  <c r="AH879"/>
  <c r="AH1004"/>
  <c r="AH1206"/>
  <c r="AH668"/>
  <c r="AH366"/>
  <c r="AH335"/>
  <c r="AH905"/>
  <c r="AH1232"/>
  <c r="AH880"/>
  <c r="AH550"/>
  <c r="AH1076"/>
  <c r="AH916"/>
  <c r="AH789"/>
  <c r="AH579"/>
  <c r="AH436"/>
  <c r="AH897"/>
  <c r="AH1026"/>
  <c r="AH1061"/>
  <c r="AH1220"/>
  <c r="AH749"/>
  <c r="AH414"/>
  <c r="AH116"/>
  <c r="AH1216"/>
  <c r="AH762"/>
  <c r="AH288"/>
  <c r="AH997"/>
  <c r="AH900"/>
  <c r="AH531"/>
  <c r="AH580"/>
  <c r="AH847"/>
  <c r="AH975"/>
  <c r="AH368"/>
  <c r="AH467"/>
  <c r="AH291"/>
  <c r="AH652"/>
  <c r="AH220"/>
  <c r="AH1053"/>
  <c r="AH206"/>
  <c r="AH619"/>
  <c r="AH273"/>
  <c r="AH482"/>
  <c r="AH166"/>
  <c r="AH111"/>
  <c r="AH134"/>
  <c r="AH834"/>
  <c r="AH163"/>
  <c r="AH658"/>
  <c r="AH699"/>
  <c r="AH931"/>
  <c r="AH1194"/>
  <c r="AH1105"/>
  <c r="AH472"/>
  <c r="AH1093"/>
  <c r="AH960"/>
  <c r="AH1129"/>
  <c r="AH754"/>
  <c r="AH1115"/>
  <c r="AH756"/>
  <c r="AH812"/>
  <c r="AH657"/>
  <c r="AH1198"/>
  <c r="AH185"/>
  <c r="AH1057"/>
  <c r="AH357"/>
  <c r="AH324"/>
  <c r="AH325"/>
  <c r="AH1200"/>
  <c r="AH321"/>
  <c r="AH1164"/>
  <c r="AH1150"/>
  <c r="AH650"/>
  <c r="AH450"/>
  <c r="AH216"/>
  <c r="AH153"/>
  <c r="AH361"/>
  <c r="AH965"/>
  <c r="AH522"/>
  <c r="AH144"/>
  <c r="AH557"/>
  <c r="AH967"/>
  <c r="AH665"/>
  <c r="AH811"/>
  <c r="AH1058"/>
  <c r="AH1259"/>
  <c r="AH633"/>
  <c r="AH306"/>
  <c r="AH717"/>
  <c r="AH587"/>
  <c r="AH514"/>
  <c r="AH197"/>
  <c r="AH666"/>
  <c r="AH112"/>
  <c r="AH818"/>
  <c r="AH1245"/>
  <c r="AH300"/>
  <c r="AH539"/>
  <c r="AH1001"/>
  <c r="AH1008"/>
  <c r="AH354"/>
  <c r="AH990"/>
  <c r="AH660"/>
  <c r="AH470"/>
  <c r="AH1067"/>
  <c r="AH526"/>
  <c r="AH615"/>
  <c r="AH1138"/>
  <c r="AH567"/>
  <c r="AH140"/>
  <c r="AH1019"/>
  <c r="AH791"/>
  <c r="AH61"/>
  <c r="AH228"/>
  <c r="AH1069"/>
  <c r="AH892"/>
  <c r="AH503"/>
  <c r="AH1082"/>
  <c r="AH1233"/>
  <c r="AH1188"/>
  <c r="AH1134"/>
  <c r="AH390"/>
  <c r="AH788"/>
  <c r="AH107"/>
  <c r="AH866"/>
  <c r="AH1052"/>
  <c r="AH119"/>
  <c r="AH1107"/>
  <c r="AH416"/>
  <c r="AH1223"/>
  <c r="AH586"/>
  <c r="AH1262"/>
  <c r="AH329"/>
  <c r="AH48"/>
  <c r="AH339"/>
  <c r="AH351"/>
  <c r="AH706"/>
  <c r="AH827"/>
  <c r="AH1040"/>
  <c r="AH1042"/>
  <c r="AH585"/>
  <c r="AH920"/>
  <c r="AH750"/>
  <c r="AH1029"/>
  <c r="AH98"/>
  <c r="AH873"/>
  <c r="AH884"/>
  <c r="AH689"/>
  <c r="AH406"/>
  <c r="AH854"/>
  <c r="AH1271"/>
  <c r="AH724"/>
  <c r="AH1214"/>
  <c r="AH484"/>
  <c r="AH235"/>
  <c r="AH267"/>
  <c r="AH247"/>
  <c r="AH137"/>
  <c r="AH536"/>
  <c r="AH401"/>
  <c r="AH344"/>
  <c r="AH797"/>
  <c r="AH1141"/>
  <c r="AH439"/>
  <c r="AH1238"/>
  <c r="AH186"/>
  <c r="AH195"/>
  <c r="AH675"/>
  <c r="AH194"/>
  <c r="AH160"/>
  <c r="AH1254"/>
  <c r="AH1228"/>
  <c r="AH419"/>
  <c r="AH249"/>
  <c r="AH230"/>
  <c r="AH420"/>
  <c r="AH678"/>
  <c r="AH1201"/>
  <c r="AH158"/>
  <c r="AH890"/>
  <c r="AH1222"/>
  <c r="AH518"/>
  <c r="AH1166"/>
  <c r="AH1125"/>
  <c r="AH688"/>
  <c r="AH635"/>
  <c r="AH1137"/>
  <c r="AH871"/>
  <c r="AH67"/>
  <c r="AH341"/>
  <c r="AH885"/>
  <c r="AH592"/>
  <c r="AG481"/>
  <c r="AC7"/>
  <c r="AB4"/>
  <c r="AB3"/>
  <c r="AB7"/>
  <c r="AB6"/>
  <c r="AB8"/>
  <c r="AC5"/>
  <c r="AH32"/>
  <c r="AG969" l="1"/>
  <c r="AO969" s="1"/>
  <c r="AR969" s="1"/>
  <c r="AG208"/>
  <c r="AG548"/>
  <c r="AG109"/>
  <c r="AO109" s="1"/>
  <c r="AR109" s="1"/>
  <c r="AG947"/>
  <c r="AO947" s="1"/>
  <c r="AR947" s="1"/>
  <c r="AG421"/>
  <c r="AG140"/>
  <c r="AG943"/>
  <c r="AG1228"/>
  <c r="AO1228" s="1"/>
  <c r="AR1228" s="1"/>
  <c r="AG800"/>
  <c r="AG783"/>
  <c r="AG747"/>
  <c r="AO747" s="1"/>
  <c r="AR747" s="1"/>
  <c r="AG347"/>
  <c r="AO347" s="1"/>
  <c r="AR347" s="1"/>
  <c r="AG966"/>
  <c r="AG572"/>
  <c r="AG458"/>
  <c r="AO458" s="1"/>
  <c r="AR458" s="1"/>
  <c r="AG1177"/>
  <c r="AO1177" s="1"/>
  <c r="AR1177" s="1"/>
  <c r="AG355"/>
  <c r="AG81"/>
  <c r="AG1227"/>
  <c r="AO1227" s="1"/>
  <c r="AR1227" s="1"/>
  <c r="AG1089"/>
  <c r="AO1089" s="1"/>
  <c r="AR1089" s="1"/>
  <c r="AG276"/>
  <c r="AO276" s="1"/>
  <c r="AR276" s="1"/>
  <c r="AG1764"/>
  <c r="AG73"/>
  <c r="AO73" s="1"/>
  <c r="AR73" s="1"/>
  <c r="AG460"/>
  <c r="AO460" s="1"/>
  <c r="AR460" s="1"/>
  <c r="AG151"/>
  <c r="AO151" s="1"/>
  <c r="AR151" s="1"/>
  <c r="AG1127"/>
  <c r="AG768"/>
  <c r="AG570"/>
  <c r="AG731"/>
  <c r="AG789"/>
  <c r="AG122"/>
  <c r="AO122" s="1"/>
  <c r="AR122" s="1"/>
  <c r="AG440"/>
  <c r="AO440" s="1"/>
  <c r="AR440" s="1"/>
  <c r="AG305"/>
  <c r="AG773"/>
  <c r="AG313"/>
  <c r="AO313" s="1"/>
  <c r="AR313" s="1"/>
  <c r="AG690"/>
  <c r="AO690" s="1"/>
  <c r="AR690" s="1"/>
  <c r="AG539"/>
  <c r="AO539" s="1"/>
  <c r="AR539" s="1"/>
  <c r="AG1257"/>
  <c r="AG613"/>
  <c r="AO613" s="1"/>
  <c r="AR613" s="1"/>
  <c r="AG40"/>
  <c r="AO40" s="1"/>
  <c r="AR40" s="1"/>
  <c r="AG936"/>
  <c r="AO936" s="1"/>
  <c r="AR936" s="1"/>
  <c r="AG231"/>
  <c r="AG494"/>
  <c r="AO494" s="1"/>
  <c r="AR494" s="1"/>
  <c r="AG233"/>
  <c r="AG720"/>
  <c r="AO720" s="1"/>
  <c r="AR720" s="1"/>
  <c r="AA6"/>
  <c r="AG893"/>
  <c r="AG980"/>
  <c r="AO980" s="1"/>
  <c r="AR980" s="1"/>
  <c r="AG486"/>
  <c r="AO486" s="1"/>
  <c r="AR486" s="1"/>
  <c r="AG878"/>
  <c r="AG1157"/>
  <c r="AO1157" s="1"/>
  <c r="AR1157" s="1"/>
  <c r="AG86"/>
  <c r="AO86" s="1"/>
  <c r="AR86" s="1"/>
  <c r="AG626"/>
  <c r="AO626" s="1"/>
  <c r="AR626" s="1"/>
  <c r="AG795"/>
  <c r="AG1049"/>
  <c r="AO1049" s="1"/>
  <c r="AR1049" s="1"/>
  <c r="AG1102"/>
  <c r="AG810"/>
  <c r="AO810" s="1"/>
  <c r="AR810" s="1"/>
  <c r="AG1078"/>
  <c r="AG997"/>
  <c r="AG990"/>
  <c r="AO990" s="1"/>
  <c r="AR990" s="1"/>
  <c r="AG1090"/>
  <c r="AO1090" s="1"/>
  <c r="AR1090" s="1"/>
  <c r="AG1055"/>
  <c r="AG1150"/>
  <c r="AO1150" s="1"/>
  <c r="AR1150" s="1"/>
  <c r="AG1046"/>
  <c r="AO1046" s="1"/>
  <c r="AR1046" s="1"/>
  <c r="AG885"/>
  <c r="AO885" s="1"/>
  <c r="AR885" s="1"/>
  <c r="AG528"/>
  <c r="AG315"/>
  <c r="AG50"/>
  <c r="AO50" s="1"/>
  <c r="AR50" s="1"/>
  <c r="AG740"/>
  <c r="AC31"/>
  <c r="AA8"/>
  <c r="AG236"/>
  <c r="AO236" s="1"/>
  <c r="AR236" s="1"/>
  <c r="AG449"/>
  <c r="AO449" s="1"/>
  <c r="AR449" s="1"/>
  <c r="AG160"/>
  <c r="AG565"/>
  <c r="AG669"/>
  <c r="AO669" s="1"/>
  <c r="AR669" s="1"/>
  <c r="AG58"/>
  <c r="AG351"/>
  <c r="AG1234"/>
  <c r="AO1234" s="1"/>
  <c r="AR1234" s="1"/>
  <c r="AG164"/>
  <c r="AO164" s="1"/>
  <c r="AR164" s="1"/>
  <c r="AG523"/>
  <c r="AO523" s="1"/>
  <c r="AR523" s="1"/>
  <c r="AG422"/>
  <c r="AG1159"/>
  <c r="AO1159" s="1"/>
  <c r="AR1159" s="1"/>
  <c r="AG682"/>
  <c r="AO682" s="1"/>
  <c r="AR682" s="1"/>
  <c r="AG590"/>
  <c r="AO590" s="1"/>
  <c r="AR590" s="1"/>
  <c r="AG243"/>
  <c r="AG650"/>
  <c r="AO650" s="1"/>
  <c r="AR650" s="1"/>
  <c r="AG564"/>
  <c r="AO564" s="1"/>
  <c r="AR564" s="1"/>
  <c r="AG286"/>
  <c r="AO286" s="1"/>
  <c r="AR286" s="1"/>
  <c r="AG230"/>
  <c r="AG766"/>
  <c r="AO766" s="1"/>
  <c r="AR766" s="1"/>
  <c r="AG1083"/>
  <c r="AO1083" s="1"/>
  <c r="AR1083" s="1"/>
  <c r="AG738"/>
  <c r="AG35"/>
  <c r="AG1446"/>
  <c r="AO1446" s="1"/>
  <c r="AR1446" s="1"/>
  <c r="AG32"/>
  <c r="AO32" s="1"/>
  <c r="AR32" s="1"/>
  <c r="AA3"/>
  <c r="AG839"/>
  <c r="AG877"/>
  <c r="AG797"/>
  <c r="AO797" s="1"/>
  <c r="AR797" s="1"/>
  <c r="AG167"/>
  <c r="AO167" s="1"/>
  <c r="AR167" s="1"/>
  <c r="AG658"/>
  <c r="AG255"/>
  <c r="AG799"/>
  <c r="AO799" s="1"/>
  <c r="AR799" s="1"/>
  <c r="AG733"/>
  <c r="AO733" s="1"/>
  <c r="AR733" s="1"/>
  <c r="AG202"/>
  <c r="AG396"/>
  <c r="AO396" s="1"/>
  <c r="AR396" s="1"/>
  <c r="AG798"/>
  <c r="AO798" s="1"/>
  <c r="AR798" s="1"/>
  <c r="AG319"/>
  <c r="AG455"/>
  <c r="AG1223"/>
  <c r="AO1223" s="1"/>
  <c r="AR1223" s="1"/>
  <c r="AG1004"/>
  <c r="AO1004" s="1"/>
  <c r="AR1004" s="1"/>
  <c r="AG534"/>
  <c r="AG718"/>
  <c r="AG1144"/>
  <c r="AO1144" s="1"/>
  <c r="AR1144" s="1"/>
  <c r="AG1087"/>
  <c r="AO1087" s="1"/>
  <c r="AR1087" s="1"/>
  <c r="AG275"/>
  <c r="AG369"/>
  <c r="AG49"/>
  <c r="AO49" s="1"/>
  <c r="AR49" s="1"/>
  <c r="AG47"/>
  <c r="AO47" s="1"/>
  <c r="AR47" s="1"/>
  <c r="AG1060"/>
  <c r="AG654"/>
  <c r="AG368"/>
  <c r="AG1136"/>
  <c r="AO1136" s="1"/>
  <c r="AR1136" s="1"/>
  <c r="AG1067"/>
  <c r="AG596"/>
  <c r="AG569"/>
  <c r="AO569" s="1"/>
  <c r="AR569" s="1"/>
  <c r="AG1220"/>
  <c r="AO1220" s="1"/>
  <c r="AR1220" s="1"/>
  <c r="AG1209"/>
  <c r="AO1209" s="1"/>
  <c r="AR1209" s="1"/>
  <c r="AG1030"/>
  <c r="AG448"/>
  <c r="AO448" s="1"/>
  <c r="AR448" s="1"/>
  <c r="AG462"/>
  <c r="AO462" s="1"/>
  <c r="AR462" s="1"/>
  <c r="AG38"/>
  <c r="AO38" s="1"/>
  <c r="AR38" s="1"/>
  <c r="AG226"/>
  <c r="AG103"/>
  <c r="AO103" s="1"/>
  <c r="AR103" s="1"/>
  <c r="AG1145"/>
  <c r="AO1145" s="1"/>
  <c r="AR1145" s="1"/>
  <c r="AG908"/>
  <c r="AO908" s="1"/>
  <c r="AR908" s="1"/>
  <c r="AG297"/>
  <c r="AG641"/>
  <c r="AG700"/>
  <c r="AO700" s="1"/>
  <c r="AR700" s="1"/>
  <c r="AG290"/>
  <c r="AG370"/>
  <c r="AG1844"/>
  <c r="AO1844" s="1"/>
  <c r="AR1844" s="1"/>
  <c r="AG1494"/>
  <c r="AO1494" s="1"/>
  <c r="AR1494" s="1"/>
  <c r="AA5"/>
  <c r="AD5" s="1"/>
  <c r="AF5" s="1"/>
  <c r="AH5" s="1"/>
  <c r="AR5" s="1"/>
  <c r="AG466"/>
  <c r="AG1112"/>
  <c r="AN1112" s="1"/>
  <c r="AP1112" s="1"/>
  <c r="AS1112" s="1"/>
  <c r="AG201"/>
  <c r="AO201" s="1"/>
  <c r="AR201" s="1"/>
  <c r="AG184"/>
  <c r="AG651"/>
  <c r="AG293"/>
  <c r="AO293" s="1"/>
  <c r="AR293" s="1"/>
  <c r="AG922"/>
  <c r="AG643"/>
  <c r="AO643" s="1"/>
  <c r="AR643" s="1"/>
  <c r="AG680"/>
  <c r="AG744"/>
  <c r="AO744" s="1"/>
  <c r="AR744" s="1"/>
  <c r="AG219"/>
  <c r="AO219" s="1"/>
  <c r="AR219" s="1"/>
  <c r="AG1031"/>
  <c r="AO1031" s="1"/>
  <c r="AR1031" s="1"/>
  <c r="AG808"/>
  <c r="AG329"/>
  <c r="AO329" s="1"/>
  <c r="AR329" s="1"/>
  <c r="AG1232"/>
  <c r="AO1232" s="1"/>
  <c r="AR1232" s="1"/>
  <c r="AG340"/>
  <c r="AO340" s="1"/>
  <c r="AR340" s="1"/>
  <c r="AG129"/>
  <c r="AG1243"/>
  <c r="AO1243" s="1"/>
  <c r="AR1243" s="1"/>
  <c r="AG60"/>
  <c r="AO60" s="1"/>
  <c r="AR60" s="1"/>
  <c r="AG373"/>
  <c r="AG829"/>
  <c r="AG166"/>
  <c r="AO166" s="1"/>
  <c r="AR166" s="1"/>
  <c r="AG854"/>
  <c r="AO854" s="1"/>
  <c r="AR854" s="1"/>
  <c r="AG588"/>
  <c r="AG143"/>
  <c r="AG1021"/>
  <c r="AO1021" s="1"/>
  <c r="AR1021" s="1"/>
  <c r="AG1077"/>
  <c r="AO1077" s="1"/>
  <c r="AR1077" s="1"/>
  <c r="AG1138"/>
  <c r="AG98"/>
  <c r="AG598"/>
  <c r="AG417"/>
  <c r="AO417" s="1"/>
  <c r="AR417" s="1"/>
  <c r="AG931"/>
  <c r="AO931" s="1"/>
  <c r="AR931" s="1"/>
  <c r="AG708"/>
  <c r="AG408"/>
  <c r="AO408" s="1"/>
  <c r="AR408" s="1"/>
  <c r="AG566"/>
  <c r="AO566" s="1"/>
  <c r="AR566" s="1"/>
  <c r="AG495"/>
  <c r="AG1259"/>
  <c r="AG784"/>
  <c r="AO784" s="1"/>
  <c r="AR784" s="1"/>
  <c r="AG1199"/>
  <c r="AO1199" s="1"/>
  <c r="AR1199" s="1"/>
  <c r="AG928"/>
  <c r="AO928" s="1"/>
  <c r="AR928" s="1"/>
  <c r="AG367"/>
  <c r="AG705"/>
  <c r="AG53"/>
  <c r="AO53" s="1"/>
  <c r="AR53" s="1"/>
  <c r="AG155"/>
  <c r="AO155" s="1"/>
  <c r="AR155" s="1"/>
  <c r="AG333"/>
  <c r="AG979"/>
  <c r="AO979" s="1"/>
  <c r="AR979" s="1"/>
  <c r="AG1406"/>
  <c r="AO1406" s="1"/>
  <c r="AR1406" s="1"/>
  <c r="AG1659"/>
  <c r="AO1659" s="1"/>
  <c r="AR1659" s="1"/>
  <c r="AG1023"/>
  <c r="AG1624"/>
  <c r="AG1734"/>
  <c r="AG1804"/>
  <c r="AO1804" s="1"/>
  <c r="AR1804" s="1"/>
  <c r="AG1670"/>
  <c r="AG1586"/>
  <c r="AG1339"/>
  <c r="AO1339" s="1"/>
  <c r="AR1339" s="1"/>
  <c r="AG1431"/>
  <c r="AO1431" s="1"/>
  <c r="AR1431" s="1"/>
  <c r="AG1715"/>
  <c r="AG1573"/>
  <c r="AG1829"/>
  <c r="AO1829" s="1"/>
  <c r="AR1829" s="1"/>
  <c r="AG1616"/>
  <c r="AG1745"/>
  <c r="AG1838"/>
  <c r="AO1838" s="1"/>
  <c r="AR1838" s="1"/>
  <c r="AG1328"/>
  <c r="AG1426"/>
  <c r="AO1426" s="1"/>
  <c r="AR1426" s="1"/>
  <c r="AG1705"/>
  <c r="AG1669"/>
  <c r="AG1825"/>
  <c r="AO1825" s="1"/>
  <c r="AR1825" s="1"/>
  <c r="AG1827"/>
  <c r="AO1827" s="1"/>
  <c r="AR1827" s="1"/>
  <c r="AG1815"/>
  <c r="AG1743"/>
  <c r="AO1743" s="1"/>
  <c r="AR1743" s="1"/>
  <c r="AG1856"/>
  <c r="AO1856" s="1"/>
  <c r="AR1856" s="1"/>
  <c r="AG1404"/>
  <c r="AO1404" s="1"/>
  <c r="AR1404" s="1"/>
  <c r="AG1432"/>
  <c r="AG1719"/>
  <c r="AG1558"/>
  <c r="AG1695"/>
  <c r="AO1695" s="1"/>
  <c r="AR1695" s="1"/>
  <c r="AG1305"/>
  <c r="AG1501"/>
  <c r="AO1501" s="1"/>
  <c r="AR1501" s="1"/>
  <c r="AG1385"/>
  <c r="AO1385" s="1"/>
  <c r="AR1385" s="1"/>
  <c r="AG1688"/>
  <c r="AO1688" s="1"/>
  <c r="AR1688" s="1"/>
  <c r="AG1306"/>
  <c r="AG1503"/>
  <c r="AG1322"/>
  <c r="AO1322" s="1"/>
  <c r="AR1322" s="1"/>
  <c r="AG1683"/>
  <c r="AO1683" s="1"/>
  <c r="AR1683" s="1"/>
  <c r="AG1649"/>
  <c r="AG1360"/>
  <c r="AO1360" s="1"/>
  <c r="AR1360" s="1"/>
  <c r="AG1340"/>
  <c r="AO1340" s="1"/>
  <c r="AR1340" s="1"/>
  <c r="AG1738"/>
  <c r="AO1738" s="1"/>
  <c r="AR1738" s="1"/>
  <c r="AG1403"/>
  <c r="AG1541"/>
  <c r="AG1438"/>
  <c r="AG1376"/>
  <c r="AG1712"/>
  <c r="AG1318"/>
  <c r="AG1280"/>
  <c r="AG1346"/>
  <c r="AO1346" s="1"/>
  <c r="AR1346" s="1"/>
  <c r="AG1357"/>
  <c r="AG1364"/>
  <c r="AO1364" s="1"/>
  <c r="AR1364" s="1"/>
  <c r="AG1285"/>
  <c r="AO1285" s="1"/>
  <c r="AR1285" s="1"/>
  <c r="AG1483"/>
  <c r="AO1483" s="1"/>
  <c r="AR1483" s="1"/>
  <c r="AG1315"/>
  <c r="AG1504"/>
  <c r="AG1373"/>
  <c r="AO1373" s="1"/>
  <c r="AR1373" s="1"/>
  <c r="AG1680"/>
  <c r="AO1680" s="1"/>
  <c r="AR1680" s="1"/>
  <c r="AG1539"/>
  <c r="AG1276"/>
  <c r="AG1326"/>
  <c r="AO1326" s="1"/>
  <c r="AR1326" s="1"/>
  <c r="AG1312"/>
  <c r="AG1387"/>
  <c r="AG1672"/>
  <c r="AO1672" s="1"/>
  <c r="AR1672" s="1"/>
  <c r="AG1700"/>
  <c r="AO1700" s="1"/>
  <c r="AR1700" s="1"/>
  <c r="AG1456"/>
  <c r="AG1378"/>
  <c r="AG1399"/>
  <c r="AO1399" s="1"/>
  <c r="AR1399" s="1"/>
  <c r="AG1299"/>
  <c r="AG1351"/>
  <c r="AO1351" s="1"/>
  <c r="AR1351" s="1"/>
  <c r="AG1567"/>
  <c r="AG1580"/>
  <c r="AG1458"/>
  <c r="AG1560"/>
  <c r="AO1560" s="1"/>
  <c r="AR1560" s="1"/>
  <c r="AG1808"/>
  <c r="AG1619"/>
  <c r="AO1619" s="1"/>
  <c r="AR1619" s="1"/>
  <c r="AG1598"/>
  <c r="AO1598" s="1"/>
  <c r="AR1598" s="1"/>
  <c r="AG1766"/>
  <c r="AG1449"/>
  <c r="AG1646"/>
  <c r="AG1331"/>
  <c r="AG1436"/>
  <c r="AO1436" s="1"/>
  <c r="AR1436" s="1"/>
  <c r="AG1359"/>
  <c r="AG1694"/>
  <c r="AG1497"/>
  <c r="AO1497" s="1"/>
  <c r="AR1497" s="1"/>
  <c r="AG1390"/>
  <c r="AO1390" s="1"/>
  <c r="AR1390" s="1"/>
  <c r="AG1740"/>
  <c r="AG1676"/>
  <c r="AG1795"/>
  <c r="AO1795" s="1"/>
  <c r="AR1795" s="1"/>
  <c r="AG1651"/>
  <c r="AO1651" s="1"/>
  <c r="AR1651" s="1"/>
  <c r="AG1739"/>
  <c r="AG1763"/>
  <c r="AG1713"/>
  <c r="AO1713" s="1"/>
  <c r="AR1713" s="1"/>
  <c r="AG1786"/>
  <c r="AG1622"/>
  <c r="AG1782"/>
  <c r="AO1782" s="1"/>
  <c r="AR1782" s="1"/>
  <c r="AG1633"/>
  <c r="AG1600"/>
  <c r="AG1665"/>
  <c r="AG1661"/>
  <c r="AG1840"/>
  <c r="AO1840" s="1"/>
  <c r="AR1840" s="1"/>
  <c r="AG1341"/>
  <c r="AG1707"/>
  <c r="AG1274"/>
  <c r="AO1274" s="1"/>
  <c r="AR1274" s="1"/>
  <c r="AG1470"/>
  <c r="AO1470" s="1"/>
  <c r="AR1470" s="1"/>
  <c r="AG1660"/>
  <c r="AO1660" s="1"/>
  <c r="AR1660" s="1"/>
  <c r="AG1348"/>
  <c r="AG1724"/>
  <c r="AO1724" s="1"/>
  <c r="AR1724" s="1"/>
  <c r="AG1288"/>
  <c r="AG1508"/>
  <c r="AG1437"/>
  <c r="AG1781"/>
  <c r="AG1566"/>
  <c r="AO1566" s="1"/>
  <c r="AR1566" s="1"/>
  <c r="AG1454"/>
  <c r="AO1454" s="1"/>
  <c r="AR1454" s="1"/>
  <c r="AG1606"/>
  <c r="AG1755"/>
  <c r="AO1755" s="1"/>
  <c r="AR1755" s="1"/>
  <c r="AG1617"/>
  <c r="AO1617" s="1"/>
  <c r="AR1617" s="1"/>
  <c r="AG1819"/>
  <c r="AO1819" s="1"/>
  <c r="AR1819" s="1"/>
  <c r="AG1335"/>
  <c r="AG1556"/>
  <c r="AG1544"/>
  <c r="AO1544" s="1"/>
  <c r="AR1544" s="1"/>
  <c r="AG1444"/>
  <c r="AO1444" s="1"/>
  <c r="AR1444" s="1"/>
  <c r="AG1427"/>
  <c r="AG1679"/>
  <c r="AG1513"/>
  <c r="AO1513" s="1"/>
  <c r="AR1513" s="1"/>
  <c r="AG1475"/>
  <c r="AG1292"/>
  <c r="AG1692"/>
  <c r="AG1699"/>
  <c r="AO1699" s="1"/>
  <c r="AR1699" s="1"/>
  <c r="AG1674"/>
  <c r="AO1674" s="1"/>
  <c r="AR1674" s="1"/>
  <c r="AG1524"/>
  <c r="AG1756"/>
  <c r="AO1756" s="1"/>
  <c r="AR1756" s="1"/>
  <c r="AG1402"/>
  <c r="AO1402" s="1"/>
  <c r="AR1402" s="1"/>
  <c r="AG1754"/>
  <c r="AG1610"/>
  <c r="AG1771"/>
  <c r="AO1771" s="1"/>
  <c r="AR1771" s="1"/>
  <c r="AG1625"/>
  <c r="AO1625" s="1"/>
  <c r="AR1625" s="1"/>
  <c r="AG1836"/>
  <c r="AO1836" s="1"/>
  <c r="AR1836" s="1"/>
  <c r="AG1644"/>
  <c r="AG1575"/>
  <c r="AG1553"/>
  <c r="AO1553" s="1"/>
  <c r="AR1553" s="1"/>
  <c r="AG1681"/>
  <c r="AG1569"/>
  <c r="AG1690"/>
  <c r="AG1618"/>
  <c r="AO1618" s="1"/>
  <c r="AR1618" s="1"/>
  <c r="AG1528"/>
  <c r="AO1528" s="1"/>
  <c r="AR1528" s="1"/>
  <c r="AG1691"/>
  <c r="AG1298"/>
  <c r="AO1298" s="1"/>
  <c r="AR1298" s="1"/>
  <c r="AG1758"/>
  <c r="AG1803"/>
  <c r="AG1641"/>
  <c r="AG1594"/>
  <c r="AG1405"/>
  <c r="AO1405" s="1"/>
  <c r="AR1405" s="1"/>
  <c r="AG1303"/>
  <c r="AG1551"/>
  <c r="AG992"/>
  <c r="AO992" s="1"/>
  <c r="AR992" s="1"/>
  <c r="AG254"/>
  <c r="AO254" s="1"/>
  <c r="AR254" s="1"/>
  <c r="AG656"/>
  <c r="AG148"/>
  <c r="AG1115"/>
  <c r="AO1115" s="1"/>
  <c r="AR1115" s="1"/>
  <c r="AG499"/>
  <c r="AO499" s="1"/>
  <c r="AR499" s="1"/>
  <c r="AG121"/>
  <c r="AG386"/>
  <c r="AG714"/>
  <c r="AG44"/>
  <c r="AO44" s="1"/>
  <c r="AR44" s="1"/>
  <c r="AG1211"/>
  <c r="AO1211" s="1"/>
  <c r="AR1211" s="1"/>
  <c r="AG848"/>
  <c r="AG400"/>
  <c r="AO400" s="1"/>
  <c r="AR400" s="1"/>
  <c r="AG62"/>
  <c r="AO62" s="1"/>
  <c r="AR62" s="1"/>
  <c r="AG623"/>
  <c r="AO623" s="1"/>
  <c r="AR623" s="1"/>
  <c r="AG75"/>
  <c r="AG812"/>
  <c r="AO812" s="1"/>
  <c r="AR812" s="1"/>
  <c r="AG171"/>
  <c r="AO171" s="1"/>
  <c r="AR171" s="1"/>
  <c r="AG72"/>
  <c r="AG124"/>
  <c r="AG676"/>
  <c r="AG501"/>
  <c r="AO501" s="1"/>
  <c r="AR501" s="1"/>
  <c r="AG748"/>
  <c r="AG581"/>
  <c r="AG127"/>
  <c r="AG137"/>
  <c r="AO137" s="1"/>
  <c r="AR137" s="1"/>
  <c r="AG1093"/>
  <c r="AO1093" s="1"/>
  <c r="AR1093" s="1"/>
  <c r="AG850"/>
  <c r="AG1265"/>
  <c r="AG871"/>
  <c r="AO871" s="1"/>
  <c r="AR871" s="1"/>
  <c r="AG91"/>
  <c r="AG1040"/>
  <c r="AG281"/>
  <c r="AO281" s="1"/>
  <c r="AR281" s="1"/>
  <c r="AG1164"/>
  <c r="AO1164" s="1"/>
  <c r="AR1164" s="1"/>
  <c r="AG1271"/>
  <c r="AG1214"/>
  <c r="AG1198"/>
  <c r="AO1198" s="1"/>
  <c r="AR1198" s="1"/>
  <c r="AG1264"/>
  <c r="AO1264" s="1"/>
  <c r="AR1264" s="1"/>
  <c r="AG336"/>
  <c r="AO336" s="1"/>
  <c r="AR336" s="1"/>
  <c r="AG179"/>
  <c r="AG917"/>
  <c r="AO917" s="1"/>
  <c r="AR917" s="1"/>
  <c r="AG805"/>
  <c r="AO805" s="1"/>
  <c r="AR805" s="1"/>
  <c r="AG51"/>
  <c r="AG664"/>
  <c r="AG1062"/>
  <c r="AG209"/>
  <c r="AO209" s="1"/>
  <c r="AR209" s="1"/>
  <c r="AG461"/>
  <c r="AO461" s="1"/>
  <c r="AR461" s="1"/>
  <c r="AG1266"/>
  <c r="AG195"/>
  <c r="AO195" s="1"/>
  <c r="AR195" s="1"/>
  <c r="AG1238"/>
  <c r="AN1238" s="1"/>
  <c r="AP1238" s="1"/>
  <c r="AS1238" s="1"/>
  <c r="AG1200"/>
  <c r="AO1200" s="1"/>
  <c r="AR1200" s="1"/>
  <c r="AG801"/>
  <c r="AG1195"/>
  <c r="AG939"/>
  <c r="AG696"/>
  <c r="AG1143"/>
  <c r="AG778"/>
  <c r="AG1153"/>
  <c r="AN1153" s="1"/>
  <c r="AP1153" s="1"/>
  <c r="AS1153" s="1"/>
  <c r="AG559"/>
  <c r="AG781"/>
  <c r="AG874"/>
  <c r="AO874" s="1"/>
  <c r="AR874" s="1"/>
  <c r="AG144"/>
  <c r="AO144" s="1"/>
  <c r="AR144" s="1"/>
  <c r="AG1085"/>
  <c r="AG1162"/>
  <c r="AG1189"/>
  <c r="AO1189" s="1"/>
  <c r="AR1189" s="1"/>
  <c r="AG692"/>
  <c r="AO692" s="1"/>
  <c r="AR692" s="1"/>
  <c r="AG1119"/>
  <c r="AG670"/>
  <c r="AG1035"/>
  <c r="AG1132"/>
  <c r="AO1132" s="1"/>
  <c r="AR1132" s="1"/>
  <c r="AG503"/>
  <c r="AO503" s="1"/>
  <c r="AR503" s="1"/>
  <c r="AG742"/>
  <c r="AG390"/>
  <c r="AG964"/>
  <c r="AO964" s="1"/>
  <c r="AR964" s="1"/>
  <c r="AG1114"/>
  <c r="AO1114" s="1"/>
  <c r="AR1114" s="1"/>
  <c r="AG469"/>
  <c r="AG203"/>
  <c r="AO203" s="1"/>
  <c r="AR203" s="1"/>
  <c r="AG1158"/>
  <c r="AO1158" s="1"/>
  <c r="AR1158" s="1"/>
  <c r="AG145"/>
  <c r="AO145" s="1"/>
  <c r="AR145" s="1"/>
  <c r="AG858"/>
  <c r="AG317"/>
  <c r="AO317" s="1"/>
  <c r="AR317" s="1"/>
  <c r="AG1122"/>
  <c r="AN1122" s="1"/>
  <c r="AP1122" s="1"/>
  <c r="AS1122" s="1"/>
  <c r="AG268"/>
  <c r="AG1219"/>
  <c r="AG665"/>
  <c r="AG447"/>
  <c r="AO447" s="1"/>
  <c r="AR447" s="1"/>
  <c r="AG828"/>
  <c r="AO828" s="1"/>
  <c r="AR828" s="1"/>
  <c r="AG197"/>
  <c r="AG818"/>
  <c r="AO818" s="1"/>
  <c r="AR818" s="1"/>
  <c r="AG334"/>
  <c r="AO334" s="1"/>
  <c r="AR334" s="1"/>
  <c r="AG896"/>
  <c r="AG852"/>
  <c r="AG846"/>
  <c r="AO846" s="1"/>
  <c r="AR846" s="1"/>
  <c r="AG938"/>
  <c r="AO938" s="1"/>
  <c r="AR938" s="1"/>
  <c r="AG1130"/>
  <c r="AG634"/>
  <c r="AG888"/>
  <c r="AG1027"/>
  <c r="AO1027" s="1"/>
  <c r="AR1027" s="1"/>
  <c r="AG1811"/>
  <c r="AO1811" s="1"/>
  <c r="AR1811" s="1"/>
  <c r="AG1647"/>
  <c r="AG1830"/>
  <c r="AG1511"/>
  <c r="AO1511" s="1"/>
  <c r="AR1511" s="1"/>
  <c r="AG1706"/>
  <c r="AO1706" s="1"/>
  <c r="AR1706" s="1"/>
  <c r="AG1595"/>
  <c r="AG1561"/>
  <c r="AO1561" s="1"/>
  <c r="AR1561" s="1"/>
  <c r="AG1469"/>
  <c r="AO1469" s="1"/>
  <c r="AR1469" s="1"/>
  <c r="AG1141"/>
  <c r="AG1832"/>
  <c r="AG1709"/>
  <c r="AO1709" s="1"/>
  <c r="AR1709" s="1"/>
  <c r="AG1848"/>
  <c r="AO1848" s="1"/>
  <c r="AR1848" s="1"/>
  <c r="AG1492"/>
  <c r="AO1492" s="1"/>
  <c r="AR1492" s="1"/>
  <c r="AG1812"/>
  <c r="AG1323"/>
  <c r="AG1802"/>
  <c r="AG1502"/>
  <c r="AG1514"/>
  <c r="AG1353"/>
  <c r="AG1523"/>
  <c r="AO1523" s="1"/>
  <c r="AR1523" s="1"/>
  <c r="AG1507"/>
  <c r="AO1507" s="1"/>
  <c r="AR1507" s="1"/>
  <c r="AG1289"/>
  <c r="AG1389"/>
  <c r="AG1841"/>
  <c r="AO1841" s="1"/>
  <c r="AR1841" s="1"/>
  <c r="AG1546"/>
  <c r="AN1546" s="1"/>
  <c r="AP1546" s="1"/>
  <c r="AS1546" s="1"/>
  <c r="AG1286"/>
  <c r="AG1397"/>
  <c r="AG1529"/>
  <c r="AG1481"/>
  <c r="AO1481" s="1"/>
  <c r="AR1481" s="1"/>
  <c r="AG1416"/>
  <c r="AG1506"/>
  <c r="AO1506" s="1"/>
  <c r="AR1506" s="1"/>
  <c r="AG1655"/>
  <c r="AO1655" s="1"/>
  <c r="AR1655" s="1"/>
  <c r="AG1550"/>
  <c r="AG1460"/>
  <c r="AG1301"/>
  <c r="AG1493"/>
  <c r="AO1493" s="1"/>
  <c r="AR1493" s="1"/>
  <c r="AG1342"/>
  <c r="AO1342" s="1"/>
  <c r="AR1342" s="1"/>
  <c r="AG1710"/>
  <c r="AG1317"/>
  <c r="AG1487"/>
  <c r="AO1487" s="1"/>
  <c r="AR1487" s="1"/>
  <c r="AG1332"/>
  <c r="AO1332" s="1"/>
  <c r="AR1332" s="1"/>
  <c r="AG1440"/>
  <c r="AG1490"/>
  <c r="AG1530"/>
  <c r="AG1423"/>
  <c r="AG1746"/>
  <c r="AG1419"/>
  <c r="AO1419" s="1"/>
  <c r="AR1419" s="1"/>
  <c r="AG1547"/>
  <c r="AO1547" s="1"/>
  <c r="AR1547" s="1"/>
  <c r="AG1533"/>
  <c r="AO1533" s="1"/>
  <c r="AR1533" s="1"/>
  <c r="AG1384"/>
  <c r="AG1366"/>
  <c r="AO1366" s="1"/>
  <c r="AR1366" s="1"/>
  <c r="AG1321"/>
  <c r="AO1321" s="1"/>
  <c r="AR1321" s="1"/>
  <c r="AG1279"/>
  <c r="AO1279" s="1"/>
  <c r="AR1279" s="1"/>
  <c r="AG1371"/>
  <c r="AG1488"/>
  <c r="AG1468"/>
  <c r="AG1477"/>
  <c r="AO1477" s="1"/>
  <c r="AR1477" s="1"/>
  <c r="AG1744"/>
  <c r="AG1476"/>
  <c r="AO1476" s="1"/>
  <c r="AR1476" s="1"/>
  <c r="AG1496"/>
  <c r="AG1833"/>
  <c r="AO1833" s="1"/>
  <c r="AR1833" s="1"/>
  <c r="AG1581"/>
  <c r="AG1590"/>
  <c r="AG1772"/>
  <c r="AO1772" s="1"/>
  <c r="AR1772" s="1"/>
  <c r="AG1347"/>
  <c r="AO1347" s="1"/>
  <c r="AR1347" s="1"/>
  <c r="AG1852"/>
  <c r="AG1635"/>
  <c r="AG1614"/>
  <c r="AO1614" s="1"/>
  <c r="AR1614" s="1"/>
  <c r="AG1769"/>
  <c r="AO1769" s="1"/>
  <c r="AR1769" s="1"/>
  <c r="AG1794"/>
  <c r="AG1605"/>
  <c r="AO1605" s="1"/>
  <c r="AR1605" s="1"/>
  <c r="AG1592"/>
  <c r="AO1592" s="1"/>
  <c r="AR1592" s="1"/>
  <c r="AG1589"/>
  <c r="AG1542"/>
  <c r="AG1851"/>
  <c r="AG1663"/>
  <c r="AO1663" s="1"/>
  <c r="AR1663" s="1"/>
  <c r="AG1294"/>
  <c r="AG1465"/>
  <c r="AG1370"/>
  <c r="AG1473"/>
  <c r="AO1473" s="1"/>
  <c r="AR1473" s="1"/>
  <c r="AG1843"/>
  <c r="AO1843" s="1"/>
  <c r="AR1843" s="1"/>
  <c r="AG1733"/>
  <c r="AG1760"/>
  <c r="AG1682"/>
  <c r="AO1682" s="1"/>
  <c r="AR1682" s="1"/>
  <c r="AG1813"/>
  <c r="AO1813" s="1"/>
  <c r="AR1813" s="1"/>
  <c r="AG1599"/>
  <c r="AG1752"/>
  <c r="AG1545"/>
  <c r="AO1545" s="1"/>
  <c r="AR1545" s="1"/>
  <c r="AG1620"/>
  <c r="AG1571"/>
  <c r="AG1434"/>
  <c r="AO1434" s="1"/>
  <c r="AR1434" s="1"/>
  <c r="AG1576"/>
  <c r="AO1576" s="1"/>
  <c r="AR1576" s="1"/>
  <c r="AG1325"/>
  <c r="AO1325" s="1"/>
  <c r="AR1325" s="1"/>
  <c r="AG1319"/>
  <c r="AG1555"/>
  <c r="AO1555" s="1"/>
  <c r="AR1555" s="1"/>
  <c r="AG1391"/>
  <c r="AO1391" s="1"/>
  <c r="AR1391" s="1"/>
  <c r="AG1382"/>
  <c r="AO1382" s="1"/>
  <c r="AR1382" s="1"/>
  <c r="AG1442"/>
  <c r="AG1466"/>
  <c r="AG1748"/>
  <c r="AO1748" s="1"/>
  <c r="AR1748" s="1"/>
  <c r="AG1697"/>
  <c r="AO1697" s="1"/>
  <c r="AR1697" s="1"/>
  <c r="AG1536"/>
  <c r="AG1779"/>
  <c r="AO1779" s="1"/>
  <c r="AR1779" s="1"/>
  <c r="AG1516"/>
  <c r="AO1516" s="1"/>
  <c r="AR1516" s="1"/>
  <c r="AG1732"/>
  <c r="AO1732" s="1"/>
  <c r="AR1732" s="1"/>
  <c r="AG1626"/>
  <c r="AG1453"/>
  <c r="AO1453" s="1"/>
  <c r="AR1453" s="1"/>
  <c r="AG1401"/>
  <c r="AO1401" s="1"/>
  <c r="AR1401" s="1"/>
  <c r="AG1604"/>
  <c r="AO1604" s="1"/>
  <c r="AR1604" s="1"/>
  <c r="AG1462"/>
  <c r="AG1725"/>
  <c r="AG1343"/>
  <c r="AO1343" s="1"/>
  <c r="AR1343" s="1"/>
  <c r="AG1428"/>
  <c r="AO1428" s="1"/>
  <c r="AR1428" s="1"/>
  <c r="AG1750"/>
  <c r="AG1388"/>
  <c r="AO1388" s="1"/>
  <c r="AR1388" s="1"/>
  <c r="AG1375"/>
  <c r="AO1375" s="1"/>
  <c r="AR1375" s="1"/>
  <c r="AG1367"/>
  <c r="AG1557"/>
  <c r="AG1394"/>
  <c r="AG1329"/>
  <c r="AO1329" s="1"/>
  <c r="AR1329" s="1"/>
  <c r="AG1828"/>
  <c r="AG1552"/>
  <c r="AG1777"/>
  <c r="AG1587"/>
  <c r="AO1587" s="1"/>
  <c r="AR1587" s="1"/>
  <c r="AG1729"/>
  <c r="AO1729" s="1"/>
  <c r="AR1729" s="1"/>
  <c r="AG1634"/>
  <c r="AG1753"/>
  <c r="AG1417"/>
  <c r="AO1417" s="1"/>
  <c r="AR1417" s="1"/>
  <c r="AG1612"/>
  <c r="AG1855"/>
  <c r="AG1693"/>
  <c r="AG1847"/>
  <c r="AO1847" s="1"/>
  <c r="AR1847" s="1"/>
  <c r="AG1731"/>
  <c r="AO1731" s="1"/>
  <c r="AR1731" s="1"/>
  <c r="AG1787"/>
  <c r="AG1788"/>
  <c r="AG1718"/>
  <c r="AO1718" s="1"/>
  <c r="AR1718" s="1"/>
  <c r="AG1704"/>
  <c r="AG1429"/>
  <c r="AG1789"/>
  <c r="AG1854"/>
  <c r="AO1854" s="1"/>
  <c r="AR1854" s="1"/>
  <c r="AG1650"/>
  <c r="AG1314"/>
  <c r="AG1212"/>
  <c r="AO1212" s="1"/>
  <c r="AR1212" s="1"/>
  <c r="AG377"/>
  <c r="AO377" s="1"/>
  <c r="AR377" s="1"/>
  <c r="AG1010"/>
  <c r="AG909"/>
  <c r="AG617"/>
  <c r="AG277"/>
  <c r="AO277" s="1"/>
  <c r="AR277" s="1"/>
  <c r="AG102"/>
  <c r="AG120"/>
  <c r="AG1194"/>
  <c r="AO1194" s="1"/>
  <c r="AR1194" s="1"/>
  <c r="AG302"/>
  <c r="AO302" s="1"/>
  <c r="AR302" s="1"/>
  <c r="AG949"/>
  <c r="AO949" s="1"/>
  <c r="AR949" s="1"/>
  <c r="AG845"/>
  <c r="AG90"/>
  <c r="AO90" s="1"/>
  <c r="AR90" s="1"/>
  <c r="AG472"/>
  <c r="AO472" s="1"/>
  <c r="AR472" s="1"/>
  <c r="AG819"/>
  <c r="AO819" s="1"/>
  <c r="AR819" s="1"/>
  <c r="AG1003"/>
  <c r="AG951"/>
  <c r="AO951" s="1"/>
  <c r="AR951" s="1"/>
  <c r="AG322"/>
  <c r="AO322" s="1"/>
  <c r="AR322" s="1"/>
  <c r="AG1171"/>
  <c r="AO1171" s="1"/>
  <c r="AR1171" s="1"/>
  <c r="AG756"/>
  <c r="AG401"/>
  <c r="AO401" s="1"/>
  <c r="AR401" s="1"/>
  <c r="AG520"/>
  <c r="AO520" s="1"/>
  <c r="AR520" s="1"/>
  <c r="AG1175"/>
  <c r="AG459"/>
  <c r="AG388"/>
  <c r="AO388" s="1"/>
  <c r="AR388" s="1"/>
  <c r="AG78"/>
  <c r="AG361"/>
  <c r="AO361" s="1"/>
  <c r="AR361" s="1"/>
  <c r="AG608"/>
  <c r="AG382"/>
  <c r="AO382" s="1"/>
  <c r="AR382" s="1"/>
  <c r="AG500"/>
  <c r="AO500" s="1"/>
  <c r="AR500" s="1"/>
  <c r="AG411"/>
  <c r="AG886"/>
  <c r="AG248"/>
  <c r="AG993"/>
  <c r="AO993" s="1"/>
  <c r="AR993" s="1"/>
  <c r="AG193"/>
  <c r="AG612"/>
  <c r="AG217"/>
  <c r="AG397"/>
  <c r="AO397" s="1"/>
  <c r="AR397" s="1"/>
  <c r="AG1051"/>
  <c r="AG79"/>
  <c r="AG749"/>
  <c r="AG563"/>
  <c r="AO563" s="1"/>
  <c r="AR563" s="1"/>
  <c r="AG117"/>
  <c r="AO117" s="1"/>
  <c r="AR117" s="1"/>
  <c r="AG765"/>
  <c r="AG321"/>
  <c r="AG484"/>
  <c r="AG125"/>
  <c r="AO125" s="1"/>
  <c r="AR125" s="1"/>
  <c r="AG889"/>
  <c r="AG1096"/>
  <c r="AO1096" s="1"/>
  <c r="AR1096" s="1"/>
  <c r="AG583"/>
  <c r="AO583" s="1"/>
  <c r="AR583" s="1"/>
  <c r="AG192"/>
  <c r="AO192" s="1"/>
  <c r="AR192" s="1"/>
  <c r="AG932"/>
  <c r="AG823"/>
  <c r="AO823" s="1"/>
  <c r="AR823" s="1"/>
  <c r="AG37"/>
  <c r="AO37" s="1"/>
  <c r="AR37" s="1"/>
  <c r="AG257"/>
  <c r="AO257" s="1"/>
  <c r="AR257" s="1"/>
  <c r="AG961"/>
  <c r="AG480"/>
  <c r="AO480" s="1"/>
  <c r="AR480" s="1"/>
  <c r="AG224"/>
  <c r="AO224" s="1"/>
  <c r="AR224" s="1"/>
  <c r="AG630"/>
  <c r="AG1140"/>
  <c r="AG616"/>
  <c r="AG600"/>
  <c r="AG237"/>
  <c r="AG228"/>
  <c r="AG510"/>
  <c r="AG1233"/>
  <c r="AO1233" s="1"/>
  <c r="AR1233" s="1"/>
  <c r="AG87"/>
  <c r="AO87" s="1"/>
  <c r="AR87" s="1"/>
  <c r="AG1235"/>
  <c r="AG487"/>
  <c r="AO487" s="1"/>
  <c r="AR487" s="1"/>
  <c r="AG404"/>
  <c r="AO404" s="1"/>
  <c r="AR404" s="1"/>
  <c r="AG379"/>
  <c r="AO379" s="1"/>
  <c r="AR379" s="1"/>
  <c r="AG314"/>
  <c r="AG667"/>
  <c r="AG707"/>
  <c r="AO707" s="1"/>
  <c r="AR707" s="1"/>
  <c r="AG506"/>
  <c r="AO506" s="1"/>
  <c r="AR506" s="1"/>
  <c r="AG301"/>
  <c r="AG490"/>
  <c r="AO490" s="1"/>
  <c r="AR490" s="1"/>
  <c r="AG599"/>
  <c r="AO599" s="1"/>
  <c r="AR599" s="1"/>
  <c r="AG757"/>
  <c r="AO757" s="1"/>
  <c r="AR757" s="1"/>
  <c r="AG751"/>
  <c r="AG685"/>
  <c r="AO685" s="1"/>
  <c r="AR685" s="1"/>
  <c r="AG133"/>
  <c r="AO133" s="1"/>
  <c r="AR133" s="1"/>
  <c r="AG112"/>
  <c r="AG604"/>
  <c r="AG1203"/>
  <c r="AO1203" s="1"/>
  <c r="AR1203" s="1"/>
  <c r="AG358"/>
  <c r="AO358" s="1"/>
  <c r="AR358" s="1"/>
  <c r="AG331"/>
  <c r="AO331" s="1"/>
  <c r="AR331" s="1"/>
  <c r="AG1139"/>
  <c r="AG295"/>
  <c r="AG724"/>
  <c r="AO724" s="1"/>
  <c r="AR724" s="1"/>
  <c r="AG730"/>
  <c r="AO730" s="1"/>
  <c r="AR730" s="1"/>
  <c r="AG1063"/>
  <c r="AG34"/>
  <c r="AG627"/>
  <c r="AO627" s="1"/>
  <c r="AR627" s="1"/>
  <c r="AG1253"/>
  <c r="AO1253" s="1"/>
  <c r="AR1253" s="1"/>
  <c r="AG346"/>
  <c r="AG807"/>
  <c r="AO807" s="1"/>
  <c r="AR807" s="1"/>
  <c r="AG1168"/>
  <c r="AO1168" s="1"/>
  <c r="AR1168" s="1"/>
  <c r="AG1845"/>
  <c r="AO1845" s="1"/>
  <c r="AR1845" s="1"/>
  <c r="AG1562"/>
  <c r="AG1657"/>
  <c r="AO1657" s="1"/>
  <c r="AR1657" s="1"/>
  <c r="AG1615"/>
  <c r="AO1615" s="1"/>
  <c r="AR1615" s="1"/>
  <c r="AG1735"/>
  <c r="AO1735" s="1"/>
  <c r="AR1735" s="1"/>
  <c r="AG1324"/>
  <c r="AG1304"/>
  <c r="AO1304" s="1"/>
  <c r="AR1304" s="1"/>
  <c r="AG1701"/>
  <c r="AG1785"/>
  <c r="AO1785" s="1"/>
  <c r="AR1785" s="1"/>
  <c r="AG1798"/>
  <c r="AG1386"/>
  <c r="AO1386" s="1"/>
  <c r="AR1386" s="1"/>
  <c r="AG1372"/>
  <c r="AO1372" s="1"/>
  <c r="AR1372" s="1"/>
  <c r="AG1842"/>
  <c r="AO1842" s="1"/>
  <c r="AR1842" s="1"/>
  <c r="AG1824"/>
  <c r="AG1858"/>
  <c r="AO1858" s="1"/>
  <c r="AR1858" s="1"/>
  <c r="AG1658"/>
  <c r="AO1658" s="1"/>
  <c r="AR1658" s="1"/>
  <c r="AG1817"/>
  <c r="AG1805"/>
  <c r="AG1807"/>
  <c r="AG1362"/>
  <c r="AO1362" s="1"/>
  <c r="AR1362" s="1"/>
  <c r="AG1412"/>
  <c r="AO1412" s="1"/>
  <c r="AR1412" s="1"/>
  <c r="AG1281"/>
  <c r="AG1451"/>
  <c r="AO1451" s="1"/>
  <c r="AR1451" s="1"/>
  <c r="AG1311"/>
  <c r="AO1311" s="1"/>
  <c r="AR1311" s="1"/>
  <c r="AG1443"/>
  <c r="AO1443" s="1"/>
  <c r="AR1443" s="1"/>
  <c r="AG1369"/>
  <c r="AG1664"/>
  <c r="AG1396"/>
  <c r="AO1396" s="1"/>
  <c r="AR1396" s="1"/>
  <c r="AG1418"/>
  <c r="AO1418" s="1"/>
  <c r="AR1418" s="1"/>
  <c r="AG1687"/>
  <c r="AG1308"/>
  <c r="AO1308" s="1"/>
  <c r="AR1308" s="1"/>
  <c r="AG1383"/>
  <c r="AN1383" s="1"/>
  <c r="AP1383" s="1"/>
  <c r="AS1383" s="1"/>
  <c r="AG1518"/>
  <c r="AO1518" s="1"/>
  <c r="AR1518" s="1"/>
  <c r="AG1675"/>
  <c r="AG1726"/>
  <c r="AG1515"/>
  <c r="AO1515" s="1"/>
  <c r="AR1515" s="1"/>
  <c r="AG1491"/>
  <c r="AG1334"/>
  <c r="AG1381"/>
  <c r="AG1714"/>
  <c r="AO1714" s="1"/>
  <c r="AR1714" s="1"/>
  <c r="AG1538"/>
  <c r="AO1538" s="1"/>
  <c r="AR1538" s="1"/>
  <c r="AG1278"/>
  <c r="AG1358"/>
  <c r="AO1358" s="1"/>
  <c r="AR1358" s="1"/>
  <c r="AG1455"/>
  <c r="AO1455" s="1"/>
  <c r="AR1455" s="1"/>
  <c r="AG1395"/>
  <c r="AO1395" s="1"/>
  <c r="AR1395" s="1"/>
  <c r="AG1320"/>
  <c r="AG1420"/>
  <c r="AG1296"/>
  <c r="AG1730"/>
  <c r="AO1730" s="1"/>
  <c r="AR1730" s="1"/>
  <c r="AG1290"/>
  <c r="AG1535"/>
  <c r="AO1535" s="1"/>
  <c r="AR1535" s="1"/>
  <c r="AG1509"/>
  <c r="AO1509" s="1"/>
  <c r="AR1509" s="1"/>
  <c r="AG1368"/>
  <c r="AO1368" s="1"/>
  <c r="AR1368" s="1"/>
  <c r="AG1696"/>
  <c r="AG1310"/>
  <c r="AO1310" s="1"/>
  <c r="AR1310" s="1"/>
  <c r="AG1519"/>
  <c r="AO1519" s="1"/>
  <c r="AR1519" s="1"/>
  <c r="AG1330"/>
  <c r="AO1330" s="1"/>
  <c r="AR1330" s="1"/>
  <c r="AG1521"/>
  <c r="AG1374"/>
  <c r="AG1447"/>
  <c r="AO1447" s="1"/>
  <c r="AR1447" s="1"/>
  <c r="AG1365"/>
  <c r="AO1365" s="1"/>
  <c r="AR1365" s="1"/>
  <c r="AG1708"/>
  <c r="AG1363"/>
  <c r="AO1363" s="1"/>
  <c r="AR1363" s="1"/>
  <c r="AG1723"/>
  <c r="AO1723" s="1"/>
  <c r="AR1723" s="1"/>
  <c r="AG1425"/>
  <c r="AO1425" s="1"/>
  <c r="AR1425" s="1"/>
  <c r="AG1457"/>
  <c r="AG1761"/>
  <c r="AG1637"/>
  <c r="AG1821"/>
  <c r="AO1821" s="1"/>
  <c r="AR1821" s="1"/>
  <c r="AG1751"/>
  <c r="AG1630"/>
  <c r="AO1630" s="1"/>
  <c r="AR1630" s="1"/>
  <c r="AG1784"/>
  <c r="AG1757"/>
  <c r="AO1757" s="1"/>
  <c r="AR1757" s="1"/>
  <c r="AG1621"/>
  <c r="AG1608"/>
  <c r="AG1717"/>
  <c r="AO1717" s="1"/>
  <c r="AR1717" s="1"/>
  <c r="AG1510"/>
  <c r="AG1485"/>
  <c r="AG1452"/>
  <c r="AO1452" s="1"/>
  <c r="AR1452" s="1"/>
  <c r="AG1656"/>
  <c r="AO1656" s="1"/>
  <c r="AR1656" s="1"/>
  <c r="AG1559"/>
  <c r="AO1559" s="1"/>
  <c r="AR1559" s="1"/>
  <c r="AG1525"/>
  <c r="AG1356"/>
  <c r="AG1479"/>
  <c r="AO1479" s="1"/>
  <c r="AR1479" s="1"/>
  <c r="AG1585"/>
  <c r="AO1585" s="1"/>
  <c r="AR1585" s="1"/>
  <c r="AG1583"/>
  <c r="AG1654"/>
  <c r="AO1654" s="1"/>
  <c r="AR1654" s="1"/>
  <c r="AG1835"/>
  <c r="AO1835" s="1"/>
  <c r="AR1835" s="1"/>
  <c r="AG1623"/>
  <c r="AO1623" s="1"/>
  <c r="AR1623" s="1"/>
  <c r="AG1791"/>
  <c r="AG1568"/>
  <c r="AG1593"/>
  <c r="AO1593" s="1"/>
  <c r="AR1593" s="1"/>
  <c r="AG1797"/>
  <c r="AG1461"/>
  <c r="AG1639"/>
  <c r="AG1801"/>
  <c r="AO1801" s="1"/>
  <c r="AR1801" s="1"/>
  <c r="AG1499"/>
  <c r="AO1499" s="1"/>
  <c r="AR1499" s="1"/>
  <c r="AG1698"/>
  <c r="AG1316"/>
  <c r="AO1316" s="1"/>
  <c r="AR1316" s="1"/>
  <c r="AG1799"/>
  <c r="AO1799" s="1"/>
  <c r="AR1799" s="1"/>
  <c r="AG1336"/>
  <c r="AO1336" s="1"/>
  <c r="AR1336" s="1"/>
  <c r="AG1344"/>
  <c r="AG1463"/>
  <c r="AO1463" s="1"/>
  <c r="AR1463" s="1"/>
  <c r="AG1582"/>
  <c r="AN1582" s="1"/>
  <c r="AP1582" s="1"/>
  <c r="AS1582" s="1"/>
  <c r="AG1749"/>
  <c r="AG1792"/>
  <c r="AG1638"/>
  <c r="AG1818"/>
  <c r="AG1607"/>
  <c r="AO1607" s="1"/>
  <c r="AR1607" s="1"/>
  <c r="AG1768"/>
  <c r="AG1762"/>
  <c r="AO1762" s="1"/>
  <c r="AR1762" s="1"/>
  <c r="AG1628"/>
  <c r="AG1540"/>
  <c r="AO1540" s="1"/>
  <c r="AR1540" s="1"/>
  <c r="AG1636"/>
  <c r="AG1685"/>
  <c r="AO1685" s="1"/>
  <c r="AR1685" s="1"/>
  <c r="AG1565"/>
  <c r="AO1565" s="1"/>
  <c r="AR1565" s="1"/>
  <c r="AG1439"/>
  <c r="AO1439" s="1"/>
  <c r="AR1439" s="1"/>
  <c r="AG1480"/>
  <c r="AG1283"/>
  <c r="AG1722"/>
  <c r="AO1722" s="1"/>
  <c r="AR1722" s="1"/>
  <c r="AG1415"/>
  <c r="AO1415" s="1"/>
  <c r="AR1415" s="1"/>
  <c r="AG1302"/>
  <c r="AG1352"/>
  <c r="AG1736"/>
  <c r="AO1736" s="1"/>
  <c r="AR1736" s="1"/>
  <c r="AG1579"/>
  <c r="AO1579" s="1"/>
  <c r="AR1579" s="1"/>
  <c r="AG1767"/>
  <c r="AG1640"/>
  <c r="AO1640" s="1"/>
  <c r="AR1640" s="1"/>
  <c r="AG1823"/>
  <c r="AG1611"/>
  <c r="AO1611" s="1"/>
  <c r="AR1611" s="1"/>
  <c r="AG1759"/>
  <c r="AG1778"/>
  <c r="AO1778" s="1"/>
  <c r="AR1778" s="1"/>
  <c r="AG1632"/>
  <c r="AO1632" s="1"/>
  <c r="AR1632" s="1"/>
  <c r="AG1584"/>
  <c r="AO1584" s="1"/>
  <c r="AR1584" s="1"/>
  <c r="AG1774"/>
  <c r="AG1839"/>
  <c r="AO1839" s="1"/>
  <c r="AR1839" s="1"/>
  <c r="AG1413"/>
  <c r="AO1413" s="1"/>
  <c r="AR1413" s="1"/>
  <c r="AG1445"/>
  <c r="AO1445" s="1"/>
  <c r="AR1445" s="1"/>
  <c r="AG1727"/>
  <c r="AG1837"/>
  <c r="AO1837" s="1"/>
  <c r="AR1837" s="1"/>
  <c r="AG1629"/>
  <c r="AO1629" s="1"/>
  <c r="AR1629" s="1"/>
  <c r="AG1662"/>
  <c r="AO1662" s="1"/>
  <c r="AR1662" s="1"/>
  <c r="AG1671"/>
  <c r="AG1505"/>
  <c r="AG1677"/>
  <c r="AO1677" s="1"/>
  <c r="AR1677" s="1"/>
  <c r="AG1609"/>
  <c r="AG1831"/>
  <c r="AG1543"/>
  <c r="AO1543" s="1"/>
  <c r="AR1543" s="1"/>
  <c r="AG1459"/>
  <c r="AO1459" s="1"/>
  <c r="AR1459" s="1"/>
  <c r="AG343"/>
  <c r="AO343" s="1"/>
  <c r="AR343" s="1"/>
  <c r="AG206"/>
  <c r="AG913"/>
  <c r="AO913" s="1"/>
  <c r="AR913" s="1"/>
  <c r="AG706"/>
  <c r="AO706" s="1"/>
  <c r="AR706" s="1"/>
  <c r="AG213"/>
  <c r="AO213" s="1"/>
  <c r="AR213" s="1"/>
  <c r="AG246"/>
  <c r="AG207"/>
  <c r="AO207" s="1"/>
  <c r="AR207" s="1"/>
  <c r="AG1185"/>
  <c r="AG138"/>
  <c r="AO138" s="1"/>
  <c r="AR138" s="1"/>
  <c r="AG344"/>
  <c r="AG537"/>
  <c r="AO537" s="1"/>
  <c r="AR537" s="1"/>
  <c r="AG414"/>
  <c r="AO414" s="1"/>
  <c r="AR414" s="1"/>
  <c r="AG471"/>
  <c r="AO471" s="1"/>
  <c r="AR471" s="1"/>
  <c r="AG960"/>
  <c r="AG1011"/>
  <c r="AN1011" s="1"/>
  <c r="AP1011" s="1"/>
  <c r="AS1011" s="1"/>
  <c r="AG1129"/>
  <c r="AO1129" s="1"/>
  <c r="AR1129" s="1"/>
  <c r="AG814"/>
  <c r="AO814" s="1"/>
  <c r="AR814" s="1"/>
  <c r="AG863"/>
  <c r="AG902"/>
  <c r="AG247"/>
  <c r="AO247" s="1"/>
  <c r="AR247" s="1"/>
  <c r="AG754"/>
  <c r="AO754" s="1"/>
  <c r="AR754" s="1"/>
  <c r="AG925"/>
  <c r="AG1017"/>
  <c r="AO1017" s="1"/>
  <c r="AR1017" s="1"/>
  <c r="AG1165"/>
  <c r="AO1165" s="1"/>
  <c r="AR1165" s="1"/>
  <c r="AG309"/>
  <c r="AG36"/>
  <c r="AG881"/>
  <c r="AG532"/>
  <c r="AO532" s="1"/>
  <c r="AR532" s="1"/>
  <c r="AG450"/>
  <c r="AG380"/>
  <c r="AG996"/>
  <c r="AN996" s="1"/>
  <c r="AP996" s="1"/>
  <c r="AS996" s="1"/>
  <c r="AG910"/>
  <c r="AO910" s="1"/>
  <c r="AR910" s="1"/>
  <c r="AG1244"/>
  <c r="AG352"/>
  <c r="AG1237"/>
  <c r="AG779"/>
  <c r="AO779" s="1"/>
  <c r="AR779" s="1"/>
  <c r="AG595"/>
  <c r="AO595" s="1"/>
  <c r="AR595" s="1"/>
  <c r="AG259"/>
  <c r="AG704"/>
  <c r="AO704" s="1"/>
  <c r="AR704" s="1"/>
  <c r="AG991"/>
  <c r="AO991" s="1"/>
  <c r="AR991" s="1"/>
  <c r="AG77"/>
  <c r="AG294"/>
  <c r="AG69"/>
  <c r="AG619"/>
  <c r="AO619" s="1"/>
  <c r="AR619" s="1"/>
  <c r="AG186"/>
  <c r="AG439"/>
  <c r="AG538"/>
  <c r="AO538" s="1"/>
  <c r="AR538" s="1"/>
  <c r="AG946"/>
  <c r="AO946" s="1"/>
  <c r="AR946" s="1"/>
  <c r="AG327"/>
  <c r="AO327" s="1"/>
  <c r="AR327" s="1"/>
  <c r="AG927"/>
  <c r="AG298"/>
  <c r="AO298" s="1"/>
  <c r="AR298" s="1"/>
  <c r="AG875"/>
  <c r="AO875" s="1"/>
  <c r="AR875" s="1"/>
  <c r="AG1038"/>
  <c r="AO1038" s="1"/>
  <c r="AR1038" s="1"/>
  <c r="AG1120"/>
  <c r="AG1098"/>
  <c r="AO1098" s="1"/>
  <c r="AR1098" s="1"/>
  <c r="AG350"/>
  <c r="AO350" s="1"/>
  <c r="AR350" s="1"/>
  <c r="AG453"/>
  <c r="AG188"/>
  <c r="AG270"/>
  <c r="AG1210"/>
  <c r="AO1210" s="1"/>
  <c r="AR1210" s="1"/>
  <c r="AG1246"/>
  <c r="AO1246" s="1"/>
  <c r="AR1246" s="1"/>
  <c r="AG1064"/>
  <c r="AG984"/>
  <c r="AO984" s="1"/>
  <c r="AR984" s="1"/>
  <c r="AG180"/>
  <c r="AO180" s="1"/>
  <c r="AR180" s="1"/>
  <c r="AG61"/>
  <c r="AG892"/>
  <c r="AG1123"/>
  <c r="AG1134"/>
  <c r="AO1134" s="1"/>
  <c r="AR1134" s="1"/>
  <c r="AG427"/>
  <c r="AG94"/>
  <c r="AG244"/>
  <c r="AO244" s="1"/>
  <c r="AR244" s="1"/>
  <c r="AG755"/>
  <c r="AO755" s="1"/>
  <c r="AR755" s="1"/>
  <c r="AG371"/>
  <c r="AO371" s="1"/>
  <c r="AR371" s="1"/>
  <c r="AG478"/>
  <c r="AG835"/>
  <c r="AO835" s="1"/>
  <c r="AR835" s="1"/>
  <c r="AG1192"/>
  <c r="AO1192" s="1"/>
  <c r="AR1192" s="1"/>
  <c r="AG1255"/>
  <c r="AO1255" s="1"/>
  <c r="AR1255" s="1"/>
  <c r="AG253"/>
  <c r="AG843"/>
  <c r="AG168"/>
  <c r="AO168" s="1"/>
  <c r="AR168" s="1"/>
  <c r="AG620"/>
  <c r="AO620" s="1"/>
  <c r="AR620" s="1"/>
  <c r="AG93"/>
  <c r="AG514"/>
  <c r="AG642"/>
  <c r="AO642" s="1"/>
  <c r="AR642" s="1"/>
  <c r="AG1181"/>
  <c r="AO1181" s="1"/>
  <c r="AR1181" s="1"/>
  <c r="AG1065"/>
  <c r="AG1086"/>
  <c r="AO1086" s="1"/>
  <c r="AR1086" s="1"/>
  <c r="AG1103"/>
  <c r="AO1103" s="1"/>
  <c r="AR1103" s="1"/>
  <c r="AG1110"/>
  <c r="AO1110" s="1"/>
  <c r="AR1110" s="1"/>
  <c r="AG348"/>
  <c r="AG1204"/>
  <c r="AG182"/>
  <c r="AO182" s="1"/>
  <c r="AR182" s="1"/>
  <c r="AG118"/>
  <c r="AO118" s="1"/>
  <c r="AR118" s="1"/>
  <c r="AG914"/>
  <c r="AG659"/>
  <c r="AO659" s="1"/>
  <c r="AR659" s="1"/>
  <c r="AG214"/>
  <c r="AO214" s="1"/>
  <c r="AR214" s="1"/>
  <c r="AG891"/>
  <c r="AO891" s="1"/>
  <c r="AR891" s="1"/>
  <c r="AG1790"/>
  <c r="AG1517"/>
  <c r="AO1517" s="1"/>
  <c r="AR1517" s="1"/>
  <c r="AG1643"/>
  <c r="AG1834"/>
  <c r="AO1834" s="1"/>
  <c r="AR1834" s="1"/>
  <c r="AG1810"/>
  <c r="AG1349"/>
  <c r="AO1349" s="1"/>
  <c r="AR1349" s="1"/>
  <c r="AG1531"/>
  <c r="AO1531" s="1"/>
  <c r="AR1531" s="1"/>
  <c r="AG1526"/>
  <c r="AO1526" s="1"/>
  <c r="AR1526" s="1"/>
  <c r="AG1424"/>
  <c r="AG1435"/>
  <c r="AG1410"/>
  <c r="AG1486"/>
  <c r="AG1361"/>
  <c r="AG1554"/>
  <c r="AO1554" s="1"/>
  <c r="AR1554" s="1"/>
  <c r="AG1489"/>
  <c r="AO1489" s="1"/>
  <c r="AR1489" s="1"/>
  <c r="AG1471"/>
  <c r="AO1471" s="1"/>
  <c r="AR1471" s="1"/>
  <c r="AG1450"/>
  <c r="AG1591"/>
  <c r="AO1591" s="1"/>
  <c r="AR1591" s="1"/>
  <c r="AG1572"/>
  <c r="AO1572" s="1"/>
  <c r="AR1572" s="1"/>
  <c r="AG1297"/>
  <c r="AG1295"/>
  <c r="AG1421"/>
  <c r="AO1421" s="1"/>
  <c r="AR1421" s="1"/>
  <c r="AG1602"/>
  <c r="AG1500"/>
  <c r="AO1500" s="1"/>
  <c r="AR1500" s="1"/>
  <c r="AG1377"/>
  <c r="AG1282"/>
  <c r="AG1728"/>
  <c r="AO1728" s="1"/>
  <c r="AR1728" s="1"/>
  <c r="AG1578"/>
  <c r="AG1747"/>
  <c r="AG1337"/>
  <c r="AG1668"/>
  <c r="AO1668" s="1"/>
  <c r="AR1668" s="1"/>
  <c r="AG1741"/>
  <c r="AO1741" s="1"/>
  <c r="AR1741" s="1"/>
  <c r="AG1563"/>
  <c r="AG1809"/>
  <c r="AO1809" s="1"/>
  <c r="AR1809" s="1"/>
  <c r="AG1678"/>
  <c r="AO1678" s="1"/>
  <c r="AR1678" s="1"/>
  <c r="AG1716"/>
  <c r="AO1716" s="1"/>
  <c r="AR1716" s="1"/>
  <c r="AG558"/>
  <c r="AG52"/>
  <c r="AG1268"/>
  <c r="AG451"/>
  <c r="AO451" s="1"/>
  <c r="AR451" s="1"/>
  <c r="AG1106"/>
  <c r="AG1105"/>
  <c r="AG737"/>
  <c r="AO737" s="1"/>
  <c r="AR737" s="1"/>
  <c r="AG1222"/>
  <c r="AO1222" s="1"/>
  <c r="AR1222" s="1"/>
  <c r="AG509"/>
  <c r="AG415"/>
  <c r="AO415" s="1"/>
  <c r="AR415" s="1"/>
  <c r="AG482"/>
  <c r="AG324"/>
  <c r="AO324" s="1"/>
  <c r="AR324" s="1"/>
  <c r="AG152"/>
  <c r="AG702"/>
  <c r="AO702" s="1"/>
  <c r="AR702" s="1"/>
  <c r="AG80"/>
  <c r="AO80" s="1"/>
  <c r="AR80" s="1"/>
  <c r="AG985"/>
  <c r="AO985" s="1"/>
  <c r="AR985" s="1"/>
  <c r="AG428"/>
  <c r="AG364"/>
  <c r="AG1091"/>
  <c r="AO1091" s="1"/>
  <c r="AR1091" s="1"/>
  <c r="AG857"/>
  <c r="AN857" s="1"/>
  <c r="AP857" s="1"/>
  <c r="AS857" s="1"/>
  <c r="AG1188"/>
  <c r="AG901"/>
  <c r="AG856"/>
  <c r="AO856" s="1"/>
  <c r="AR856" s="1"/>
  <c r="AG178"/>
  <c r="AG666"/>
  <c r="AG884"/>
  <c r="AO884" s="1"/>
  <c r="AR884" s="1"/>
  <c r="AG591"/>
  <c r="AN591" s="1"/>
  <c r="AP591" s="1"/>
  <c r="AS591" s="1"/>
  <c r="AG911"/>
  <c r="AG574"/>
  <c r="AG897"/>
  <c r="AO897" s="1"/>
  <c r="AR897" s="1"/>
  <c r="AG1101"/>
  <c r="AO1101" s="1"/>
  <c r="AR1101" s="1"/>
  <c r="AG719"/>
  <c r="AO719" s="1"/>
  <c r="AR719" s="1"/>
  <c r="AG594"/>
  <c r="AG957"/>
  <c r="AO957" s="1"/>
  <c r="AR957" s="1"/>
  <c r="AG593"/>
  <c r="AO593" s="1"/>
  <c r="AR593" s="1"/>
  <c r="AG245"/>
  <c r="AG1142"/>
  <c r="AG836"/>
  <c r="AG601"/>
  <c r="AO601" s="1"/>
  <c r="AR601" s="1"/>
  <c r="AG194"/>
  <c r="AO194" s="1"/>
  <c r="AR194" s="1"/>
  <c r="AG326"/>
  <c r="AG1068"/>
  <c r="AG381"/>
  <c r="AO381" s="1"/>
  <c r="AR381" s="1"/>
  <c r="AG106"/>
  <c r="AG681"/>
  <c r="AG633"/>
  <c r="AO633" s="1"/>
  <c r="AR633" s="1"/>
  <c r="AG505"/>
  <c r="AN505" s="1"/>
  <c r="AP505" s="1"/>
  <c r="AS505" s="1"/>
  <c r="AG1037"/>
  <c r="AO1037" s="1"/>
  <c r="AR1037" s="1"/>
  <c r="AG210"/>
  <c r="AG1495"/>
  <c r="AG1433"/>
  <c r="AO1433" s="1"/>
  <c r="AR1433" s="1"/>
  <c r="AG1577"/>
  <c r="AO1577" s="1"/>
  <c r="AR1577" s="1"/>
  <c r="AG1822"/>
  <c r="AG1667"/>
  <c r="AO1667" s="1"/>
  <c r="AR1667" s="1"/>
  <c r="AG1411"/>
  <c r="AO1411" s="1"/>
  <c r="AR1411" s="1"/>
  <c r="AG1720"/>
  <c r="AO1720" s="1"/>
  <c r="AR1720" s="1"/>
  <c r="AG1408"/>
  <c r="AG1307"/>
  <c r="AG1392"/>
  <c r="AO1392" s="1"/>
  <c r="AR1392" s="1"/>
  <c r="AG1379"/>
  <c r="AO1379" s="1"/>
  <c r="AR1379" s="1"/>
  <c r="AG1534"/>
  <c r="AG1857"/>
  <c r="AO1857" s="1"/>
  <c r="AR1857" s="1"/>
  <c r="AG1345"/>
  <c r="AO1345" s="1"/>
  <c r="AR1345" s="1"/>
  <c r="AG1300"/>
  <c r="AG1570"/>
  <c r="AG1484"/>
  <c r="AO1484" s="1"/>
  <c r="AR1484" s="1"/>
  <c r="AG1780"/>
  <c r="AO1780" s="1"/>
  <c r="AR1780" s="1"/>
  <c r="AG1482"/>
  <c r="AO1482" s="1"/>
  <c r="AR1482" s="1"/>
  <c r="AG1702"/>
  <c r="AG1548"/>
  <c r="AG1588"/>
  <c r="AO1588" s="1"/>
  <c r="AR1588" s="1"/>
  <c r="AG1355"/>
  <c r="AG1527"/>
  <c r="AG1472"/>
  <c r="AG1409"/>
  <c r="AO1409" s="1"/>
  <c r="AR1409" s="1"/>
  <c r="AG1627"/>
  <c r="AO1627" s="1"/>
  <c r="AR1627" s="1"/>
  <c r="AG1689"/>
  <c r="AG1273"/>
  <c r="AG1284"/>
  <c r="AG1441"/>
  <c r="AO1441" s="1"/>
  <c r="AR1441" s="1"/>
  <c r="AG1631"/>
  <c r="AG1673"/>
  <c r="AG1327"/>
  <c r="AO1327" s="1"/>
  <c r="AR1327" s="1"/>
  <c r="AG1770"/>
  <c r="AO1770" s="1"/>
  <c r="AR1770" s="1"/>
  <c r="AG1532"/>
  <c r="AG890"/>
  <c r="AG671"/>
  <c r="AO671" s="1"/>
  <c r="AR671" s="1"/>
  <c r="AG521"/>
  <c r="AG698"/>
  <c r="AG636"/>
  <c r="AO636" s="1"/>
  <c r="AR636" s="1"/>
  <c r="AG830"/>
  <c r="AO830" s="1"/>
  <c r="AR830" s="1"/>
  <c r="AG1783"/>
  <c r="AG1793"/>
  <c r="AG1721"/>
  <c r="AO1721" s="1"/>
  <c r="AR1721" s="1"/>
  <c r="AG1338"/>
  <c r="AO1338" s="1"/>
  <c r="AR1338" s="1"/>
  <c r="AG1850"/>
  <c r="AO1850" s="1"/>
  <c r="AR1850" s="1"/>
  <c r="AG1448"/>
  <c r="AG1742"/>
  <c r="AG1380"/>
  <c r="AO1380" s="1"/>
  <c r="AR1380" s="1"/>
  <c r="AG1354"/>
  <c r="AO1354" s="1"/>
  <c r="AR1354" s="1"/>
  <c r="AG1430"/>
  <c r="AG1512"/>
  <c r="AG1287"/>
  <c r="AG1478"/>
  <c r="AO1478" s="1"/>
  <c r="AR1478" s="1"/>
  <c r="AG1393"/>
  <c r="AG1398"/>
  <c r="AG1414"/>
  <c r="AG1711"/>
  <c r="AN1711" s="1"/>
  <c r="AP1711" s="1"/>
  <c r="AS1711" s="1"/>
  <c r="AG1686"/>
  <c r="AG1564"/>
  <c r="AG1814"/>
  <c r="AG1474"/>
  <c r="AO1474" s="1"/>
  <c r="AR1474" s="1"/>
  <c r="AG1291"/>
  <c r="AG1642"/>
  <c r="AG1613"/>
  <c r="AG1820"/>
  <c r="AG1549"/>
  <c r="AG1684"/>
  <c r="AG1816"/>
  <c r="AG1597"/>
  <c r="AO1597" s="1"/>
  <c r="AR1597" s="1"/>
  <c r="AG1574"/>
  <c r="AG1520"/>
  <c r="AO1520" s="1"/>
  <c r="AR1520" s="1"/>
  <c r="AG1652"/>
  <c r="AO1652" s="1"/>
  <c r="AR1652" s="1"/>
  <c r="AG1826"/>
  <c r="AG1601"/>
  <c r="AG1846"/>
  <c r="AG1596"/>
  <c r="AO1596" s="1"/>
  <c r="AR1596" s="1"/>
  <c r="AG1333"/>
  <c r="AO1333" s="1"/>
  <c r="AR1333" s="1"/>
  <c r="AG1648"/>
  <c r="AG851"/>
  <c r="AO851" s="1"/>
  <c r="AR851" s="1"/>
  <c r="AG1066"/>
  <c r="AG170"/>
  <c r="AG1126"/>
  <c r="AO1126" s="1"/>
  <c r="AR1126" s="1"/>
  <c r="AG657"/>
  <c r="AO657" s="1"/>
  <c r="AR657" s="1"/>
  <c r="AG177"/>
  <c r="AO177" s="1"/>
  <c r="AR177" s="1"/>
  <c r="AG605"/>
  <c r="AG933"/>
  <c r="AG357"/>
  <c r="AO357" s="1"/>
  <c r="AR357" s="1"/>
  <c r="AG725"/>
  <c r="AN725" s="1"/>
  <c r="AP725" s="1"/>
  <c r="AS725" s="1"/>
  <c r="AG190"/>
  <c r="AG1218"/>
  <c r="AG299"/>
  <c r="AG474"/>
  <c r="AO474" s="1"/>
  <c r="AR474" s="1"/>
  <c r="AG74"/>
  <c r="AO74" s="1"/>
  <c r="AR74" s="1"/>
  <c r="AG1069"/>
  <c r="AG1270"/>
  <c r="AG1263"/>
  <c r="AO1263" s="1"/>
  <c r="AR1263" s="1"/>
  <c r="AG296"/>
  <c r="AG39"/>
  <c r="AG607"/>
  <c r="AO607" s="1"/>
  <c r="AR607" s="1"/>
  <c r="AG701"/>
  <c r="AO701" s="1"/>
  <c r="AR701" s="1"/>
  <c r="AG267"/>
  <c r="AO267" s="1"/>
  <c r="AR267" s="1"/>
  <c r="AG573"/>
  <c r="AG816"/>
  <c r="AG1156"/>
  <c r="AN1156" s="1"/>
  <c r="AP1156" s="1"/>
  <c r="AS1156" s="1"/>
  <c r="AG1019"/>
  <c r="AG1148"/>
  <c r="AG1072"/>
  <c r="AO1072" s="1"/>
  <c r="AR1072" s="1"/>
  <c r="AG56"/>
  <c r="AO56" s="1"/>
  <c r="AR56" s="1"/>
  <c r="AG265"/>
  <c r="AG1184"/>
  <c r="AG63"/>
  <c r="AG787"/>
  <c r="AO787" s="1"/>
  <c r="AR787" s="1"/>
  <c r="AG831"/>
  <c r="AO831" s="1"/>
  <c r="AR831" s="1"/>
  <c r="AG282"/>
  <c r="AG264"/>
  <c r="AG1170"/>
  <c r="AO1170" s="1"/>
  <c r="AR1170" s="1"/>
  <c r="AG374"/>
  <c r="AO374" s="1"/>
  <c r="AR374" s="1"/>
  <c r="AG504"/>
  <c r="AG1179"/>
  <c r="AO1179" s="1"/>
  <c r="AR1179" s="1"/>
  <c r="AG1147"/>
  <c r="AO1147" s="1"/>
  <c r="AR1147" s="1"/>
  <c r="AG759"/>
  <c r="AG463"/>
  <c r="AG407"/>
  <c r="AO407" s="1"/>
  <c r="AR407" s="1"/>
  <c r="AG887"/>
  <c r="AO887" s="1"/>
  <c r="AR887" s="1"/>
  <c r="AG409"/>
  <c r="AG423"/>
  <c r="AG123"/>
  <c r="AO123" s="1"/>
  <c r="AR123" s="1"/>
  <c r="AG817"/>
  <c r="AO817" s="1"/>
  <c r="AR817" s="1"/>
  <c r="AG399"/>
  <c r="AO399" s="1"/>
  <c r="AR399" s="1"/>
  <c r="AG560"/>
  <c r="AG303"/>
  <c r="AG904"/>
  <c r="AN904" s="1"/>
  <c r="AP904" s="1"/>
  <c r="AS904" s="1"/>
  <c r="AG728"/>
  <c r="AO728" s="1"/>
  <c r="AR728" s="1"/>
  <c r="AG793"/>
  <c r="AG92"/>
  <c r="AG316"/>
  <c r="AO316" s="1"/>
  <c r="AR316" s="1"/>
  <c r="AG944"/>
  <c r="AO944" s="1"/>
  <c r="AR944" s="1"/>
  <c r="AG547"/>
  <c r="AG165"/>
  <c r="AG826"/>
  <c r="AO826" s="1"/>
  <c r="AR826" s="1"/>
  <c r="AG677"/>
  <c r="AO677" s="1"/>
  <c r="AR677" s="1"/>
  <c r="AG425"/>
  <c r="AG378"/>
  <c r="AG859"/>
  <c r="AO859" s="1"/>
  <c r="AR859" s="1"/>
  <c r="AG867"/>
  <c r="AO867" s="1"/>
  <c r="AR867" s="1"/>
  <c r="AG584"/>
  <c r="AG545"/>
  <c r="AO545" s="1"/>
  <c r="AR545" s="1"/>
  <c r="AG649"/>
  <c r="AO649" s="1"/>
  <c r="AR649" s="1"/>
  <c r="AG128"/>
  <c r="AO128" s="1"/>
  <c r="AR128" s="1"/>
  <c r="AG175"/>
  <c r="AG646"/>
  <c r="AO646" s="1"/>
  <c r="AR646" s="1"/>
  <c r="AG1197"/>
  <c r="AO1197" s="1"/>
  <c r="AR1197" s="1"/>
  <c r="AG894"/>
  <c r="AO894" s="1"/>
  <c r="AR894" s="1"/>
  <c r="AG176"/>
  <c r="AG876"/>
  <c r="AG544"/>
  <c r="AO544" s="1"/>
  <c r="AR544" s="1"/>
  <c r="AG389"/>
  <c r="AG89"/>
  <c r="AG1217"/>
  <c r="AO1217" s="1"/>
  <c r="AR1217" s="1"/>
  <c r="AG571"/>
  <c r="AO571" s="1"/>
  <c r="AR571" s="1"/>
  <c r="AG533"/>
  <c r="AO533" s="1"/>
  <c r="AR533" s="1"/>
  <c r="AG1128"/>
  <c r="AG860"/>
  <c r="AG640"/>
  <c r="AO640" s="1"/>
  <c r="AR640" s="1"/>
  <c r="AG200"/>
  <c r="AO200" s="1"/>
  <c r="AR200" s="1"/>
  <c r="AG1196"/>
  <c r="AG272"/>
  <c r="AO272" s="1"/>
  <c r="AR272" s="1"/>
  <c r="AG1052"/>
  <c r="AG774"/>
  <c r="AO774" s="1"/>
  <c r="AR774" s="1"/>
  <c r="AG82"/>
  <c r="AG1236"/>
  <c r="AO1236" s="1"/>
  <c r="AR1236" s="1"/>
  <c r="AG279"/>
  <c r="AN279" s="1"/>
  <c r="AP279" s="1"/>
  <c r="AS279" s="1"/>
  <c r="AG699"/>
  <c r="AO699" s="1"/>
  <c r="AR699" s="1"/>
  <c r="AG153"/>
  <c r="AG576"/>
  <c r="AO576" s="1"/>
  <c r="AR576" s="1"/>
  <c r="AG582"/>
  <c r="AO582" s="1"/>
  <c r="AR582" s="1"/>
  <c r="AG359"/>
  <c r="AO359" s="1"/>
  <c r="AR359" s="1"/>
  <c r="AG777"/>
  <c r="AG953"/>
  <c r="AG672"/>
  <c r="AO672" s="1"/>
  <c r="AR672" s="1"/>
  <c r="AG1202"/>
  <c r="AO1202" s="1"/>
  <c r="AR1202" s="1"/>
  <c r="AG71"/>
  <c r="AG1267"/>
  <c r="AN1267" s="1"/>
  <c r="AP1267" s="1"/>
  <c r="AS1267" s="1"/>
  <c r="AG803"/>
  <c r="AO803" s="1"/>
  <c r="AR803" s="1"/>
  <c r="AG1248"/>
  <c r="AO1248" s="1"/>
  <c r="AR1248" s="1"/>
  <c r="AG988"/>
  <c r="AG1059"/>
  <c r="AO1059" s="1"/>
  <c r="AR1059" s="1"/>
  <c r="AG115"/>
  <c r="AO115" s="1"/>
  <c r="AR115" s="1"/>
  <c r="AG1245"/>
  <c r="AN1245" s="1"/>
  <c r="AP1245" s="1"/>
  <c r="AS1245" s="1"/>
  <c r="AG383"/>
  <c r="AG354"/>
  <c r="AG709"/>
  <c r="AO709" s="1"/>
  <c r="AR709" s="1"/>
  <c r="AG526"/>
  <c r="AG328"/>
  <c r="AG962"/>
  <c r="AO962" s="1"/>
  <c r="AR962" s="1"/>
  <c r="AG849"/>
  <c r="AO849" s="1"/>
  <c r="AR849" s="1"/>
  <c r="AG238"/>
  <c r="AG688"/>
  <c r="AG1166"/>
  <c r="AG530"/>
  <c r="AO530" s="1"/>
  <c r="AR530" s="1"/>
  <c r="AG1216"/>
  <c r="AG900"/>
  <c r="AG975"/>
  <c r="AG652"/>
  <c r="AO652" s="1"/>
  <c r="AR652" s="1"/>
  <c r="AG393"/>
  <c r="AO393" s="1"/>
  <c r="AR393" s="1"/>
  <c r="AG806"/>
  <c r="AG284"/>
  <c r="AO284" s="1"/>
  <c r="AR284" s="1"/>
  <c r="AG1272"/>
  <c r="AO1272" s="1"/>
  <c r="AR1272" s="1"/>
  <c r="AG519"/>
  <c r="AO519" s="1"/>
  <c r="AR519" s="1"/>
  <c r="AG841"/>
  <c r="AG611"/>
  <c r="AO611" s="1"/>
  <c r="AR611" s="1"/>
  <c r="AG527"/>
  <c r="AO527" s="1"/>
  <c r="AR527" s="1"/>
  <c r="AG557"/>
  <c r="AG1269"/>
  <c r="AG442"/>
  <c r="AO442" s="1"/>
  <c r="AR442" s="1"/>
  <c r="AG578"/>
  <c r="AO578" s="1"/>
  <c r="AR578" s="1"/>
  <c r="AG1249"/>
  <c r="AN1249" s="1"/>
  <c r="AP1249" s="1"/>
  <c r="AS1249" s="1"/>
  <c r="AG549"/>
  <c r="AG363"/>
  <c r="AO363" s="1"/>
  <c r="AR363" s="1"/>
  <c r="AG813"/>
  <c r="AO813" s="1"/>
  <c r="AR813" s="1"/>
  <c r="AG1155"/>
  <c r="AO1155" s="1"/>
  <c r="AR1155" s="1"/>
  <c r="AG753"/>
  <c r="AG1012"/>
  <c r="AO1012" s="1"/>
  <c r="AR1012" s="1"/>
  <c r="AG88"/>
  <c r="AO88" s="1"/>
  <c r="AR88" s="1"/>
  <c r="AG844"/>
  <c r="AG223"/>
  <c r="AG1026"/>
  <c r="AO1026" s="1"/>
  <c r="AR1026" s="1"/>
  <c r="AG1135"/>
  <c r="AO1135" s="1"/>
  <c r="AR1135" s="1"/>
  <c r="AG269"/>
  <c r="AO269" s="1"/>
  <c r="AR269" s="1"/>
  <c r="AG1191"/>
  <c r="AG561"/>
  <c r="AO561" s="1"/>
  <c r="AR561" s="1"/>
  <c r="AG1131"/>
  <c r="AO1131" s="1"/>
  <c r="AR1131" s="1"/>
  <c r="AG609"/>
  <c r="AG554"/>
  <c r="AG99"/>
  <c r="AO99" s="1"/>
  <c r="AR99" s="1"/>
  <c r="AG101"/>
  <c r="AO101" s="1"/>
  <c r="AR101" s="1"/>
  <c r="AG85"/>
  <c r="AO85" s="1"/>
  <c r="AR85" s="1"/>
  <c r="AG446"/>
  <c r="AG149"/>
  <c r="AG827"/>
  <c r="AO827" s="1"/>
  <c r="AR827" s="1"/>
  <c r="AG610"/>
  <c r="AO610" s="1"/>
  <c r="AR610" s="1"/>
  <c r="AG1016"/>
  <c r="AG625"/>
  <c r="AO625" s="1"/>
  <c r="AR625" s="1"/>
  <c r="AG141"/>
  <c r="AO141" s="1"/>
  <c r="AR141" s="1"/>
  <c r="AG648"/>
  <c r="AO648" s="1"/>
  <c r="AR648" s="1"/>
  <c r="AG622"/>
  <c r="AG606"/>
  <c r="AG722"/>
  <c r="AG1252"/>
  <c r="AO1252" s="1"/>
  <c r="AR1252" s="1"/>
  <c r="AG395"/>
  <c r="AG306"/>
  <c r="AN306" s="1"/>
  <c r="AP306" s="1"/>
  <c r="AS306" s="1"/>
  <c r="AG493"/>
  <c r="AO493" s="1"/>
  <c r="AR493" s="1"/>
  <c r="AG782"/>
  <c r="AG410"/>
  <c r="AG444"/>
  <c r="AG1152"/>
  <c r="AO1152" s="1"/>
  <c r="AR1152" s="1"/>
  <c r="AG262"/>
  <c r="AG684"/>
  <c r="AG205"/>
  <c r="AG955"/>
  <c r="AO955" s="1"/>
  <c r="AR955" s="1"/>
  <c r="AG870"/>
  <c r="AO870" s="1"/>
  <c r="AR870" s="1"/>
  <c r="AG1206"/>
  <c r="AG905"/>
  <c r="AG1076"/>
  <c r="AO1076" s="1"/>
  <c r="AR1076" s="1"/>
  <c r="AG436"/>
  <c r="AG508"/>
  <c r="AG416"/>
  <c r="AG1262"/>
  <c r="AO1262" s="1"/>
  <c r="AR1262" s="1"/>
  <c r="AG48"/>
  <c r="AO48" s="1"/>
  <c r="AR48" s="1"/>
  <c r="AG1036"/>
  <c r="AG196"/>
  <c r="AO196" s="1"/>
  <c r="AR196" s="1"/>
  <c r="AG792"/>
  <c r="AO792" s="1"/>
  <c r="AR792" s="1"/>
  <c r="AG713"/>
  <c r="AO713" s="1"/>
  <c r="AR713" s="1"/>
  <c r="AG750"/>
  <c r="AG977"/>
  <c r="AO977" s="1"/>
  <c r="AR977" s="1"/>
  <c r="AG114"/>
  <c r="AO114" s="1"/>
  <c r="AR114" s="1"/>
  <c r="AG942"/>
  <c r="AO942" s="1"/>
  <c r="AR942" s="1"/>
  <c r="AG1074"/>
  <c r="AG375"/>
  <c r="AO375" s="1"/>
  <c r="AR375" s="1"/>
  <c r="AG507"/>
  <c r="AO507" s="1"/>
  <c r="AR507" s="1"/>
  <c r="AG1231"/>
  <c r="AG260"/>
  <c r="AG1079"/>
  <c r="AO1079" s="1"/>
  <c r="AR1079" s="1"/>
  <c r="AG405"/>
  <c r="AO405" s="1"/>
  <c r="AR405" s="1"/>
  <c r="AG551"/>
  <c r="AO551" s="1"/>
  <c r="AR551" s="1"/>
  <c r="AG637"/>
  <c r="AG694"/>
  <c r="AO694" s="1"/>
  <c r="AR694" s="1"/>
  <c r="AG786"/>
  <c r="AG431"/>
  <c r="AG150"/>
  <c r="AG126"/>
  <c r="AO126" s="1"/>
  <c r="AR126" s="1"/>
  <c r="AG353"/>
  <c r="AO353" s="1"/>
  <c r="AR353" s="1"/>
  <c r="AG1173"/>
  <c r="AO1173" s="1"/>
  <c r="AR1173" s="1"/>
  <c r="AG1121"/>
  <c r="AG952"/>
  <c r="AG108"/>
  <c r="AO108" s="1"/>
  <c r="AR108" s="1"/>
  <c r="AA4"/>
  <c r="AE4" s="1"/>
  <c r="AG4" s="1"/>
  <c r="AQ4" s="1"/>
  <c r="AA7"/>
  <c r="AG139"/>
  <c r="AG310"/>
  <c r="AO310" s="1"/>
  <c r="AR310" s="1"/>
  <c r="AG935"/>
  <c r="AO935" s="1"/>
  <c r="AR935" s="1"/>
  <c r="AG536"/>
  <c r="AG66"/>
  <c r="AG384"/>
  <c r="AN384" s="1"/>
  <c r="AP384" s="1"/>
  <c r="AS384" s="1"/>
  <c r="AG111"/>
  <c r="AG65"/>
  <c r="AG866"/>
  <c r="AO866" s="1"/>
  <c r="AR866" s="1"/>
  <c r="AG956"/>
  <c r="AO956" s="1"/>
  <c r="AR956" s="1"/>
  <c r="AG760"/>
  <c r="AO760" s="1"/>
  <c r="AR760" s="1"/>
  <c r="AG430"/>
  <c r="AG1242"/>
  <c r="AG1014"/>
  <c r="AO1014" s="1"/>
  <c r="AR1014" s="1"/>
  <c r="AG834"/>
  <c r="AG602"/>
  <c r="AG235"/>
  <c r="AO235" s="1"/>
  <c r="AR235" s="1"/>
  <c r="AG181"/>
  <c r="AO181" s="1"/>
  <c r="AR181" s="1"/>
  <c r="AG1070"/>
  <c r="AO1070" s="1"/>
  <c r="AR1070" s="1"/>
  <c r="AG283"/>
  <c r="AG41"/>
  <c r="AG662"/>
  <c r="AO662" s="1"/>
  <c r="AR662" s="1"/>
  <c r="AG434"/>
  <c r="AG308"/>
  <c r="AG445"/>
  <c r="AG216"/>
  <c r="AO216" s="1"/>
  <c r="AR216" s="1"/>
  <c r="AG741"/>
  <c r="AN741" s="1"/>
  <c r="AP741" s="1"/>
  <c r="AS741" s="1"/>
  <c r="AG873"/>
  <c r="AG159"/>
  <c r="AO159" s="1"/>
  <c r="AR159" s="1"/>
  <c r="AG883"/>
  <c r="AG736"/>
  <c r="AG443"/>
  <c r="AG1033"/>
  <c r="AG1099"/>
  <c r="AO1099" s="1"/>
  <c r="AR1099" s="1"/>
  <c r="AG711"/>
  <c r="AO711" s="1"/>
  <c r="AR711" s="1"/>
  <c r="AG136"/>
  <c r="AG142"/>
  <c r="AO142" s="1"/>
  <c r="AR142" s="1"/>
  <c r="AG43"/>
  <c r="AO43" s="1"/>
  <c r="AR43" s="1"/>
  <c r="AG437"/>
  <c r="AO437" s="1"/>
  <c r="AR437" s="1"/>
  <c r="AG715"/>
  <c r="AG579"/>
  <c r="AO579" s="1"/>
  <c r="AR579" s="1"/>
  <c r="AG880"/>
  <c r="AG668"/>
  <c r="AG745"/>
  <c r="AG456"/>
  <c r="AG697"/>
  <c r="AO697" s="1"/>
  <c r="AR697" s="1"/>
  <c r="AG629"/>
  <c r="AN629" s="1"/>
  <c r="AP629" s="1"/>
  <c r="AS629" s="1"/>
  <c r="AG96"/>
  <c r="AG132"/>
  <c r="AO132" s="1"/>
  <c r="AR132" s="1"/>
  <c r="AG1221"/>
  <c r="AO1221" s="1"/>
  <c r="AR1221" s="1"/>
  <c r="AG1116"/>
  <c r="AO1116" s="1"/>
  <c r="AR1116" s="1"/>
  <c r="AG780"/>
  <c r="AG512"/>
  <c r="AO512" s="1"/>
  <c r="AR512" s="1"/>
  <c r="AG391"/>
  <c r="AO391" s="1"/>
  <c r="AR391" s="1"/>
  <c r="AG1113"/>
  <c r="AO1113" s="1"/>
  <c r="AR1113" s="1"/>
  <c r="AG971"/>
  <c r="AG1258"/>
  <c r="AO1258" s="1"/>
  <c r="AR1258" s="1"/>
  <c r="AG761"/>
  <c r="AO761" s="1"/>
  <c r="AR761" s="1"/>
  <c r="AG1124"/>
  <c r="AO1124" s="1"/>
  <c r="AR1124" s="1"/>
  <c r="AG187"/>
  <c r="AG1020"/>
  <c r="AG821"/>
  <c r="AO821" s="1"/>
  <c r="AR821" s="1"/>
  <c r="AG185"/>
  <c r="AG703"/>
  <c r="AG332"/>
  <c r="AO332" s="1"/>
  <c r="AR332" s="1"/>
  <c r="AG529"/>
  <c r="AO529" s="1"/>
  <c r="AR529" s="1"/>
  <c r="AG497"/>
  <c r="AG919"/>
  <c r="AG215"/>
  <c r="AO215" s="1"/>
  <c r="AR215" s="1"/>
  <c r="AG33"/>
  <c r="AO33" s="1"/>
  <c r="AR33" s="1"/>
  <c r="AG59"/>
  <c r="AO59" s="1"/>
  <c r="AR59" s="1"/>
  <c r="AG575"/>
  <c r="AG172"/>
  <c r="AO172" s="1"/>
  <c r="AR172" s="1"/>
  <c r="AG318"/>
  <c r="AO318" s="1"/>
  <c r="AR318" s="1"/>
  <c r="AG418"/>
  <c r="AO418" s="1"/>
  <c r="AR418" s="1"/>
  <c r="AG342"/>
  <c r="AG225"/>
  <c r="AO225" s="1"/>
  <c r="AR225" s="1"/>
  <c r="AG1100"/>
  <c r="AO1100" s="1"/>
  <c r="AR1100" s="1"/>
  <c r="AG104"/>
  <c r="AO104" s="1"/>
  <c r="AR104" s="1"/>
  <c r="AG940"/>
  <c r="AG232"/>
  <c r="AO232" s="1"/>
  <c r="AR232" s="1"/>
  <c r="AG1024"/>
  <c r="AO1024" s="1"/>
  <c r="AR1024" s="1"/>
  <c r="AG1208"/>
  <c r="AO1208" s="1"/>
  <c r="AR1208" s="1"/>
  <c r="AG553"/>
  <c r="AG994"/>
  <c r="AO994" s="1"/>
  <c r="AR994" s="1"/>
  <c r="AG923"/>
  <c r="AO923" s="1"/>
  <c r="AR923" s="1"/>
  <c r="AG467"/>
  <c r="AG531"/>
  <c r="AG183"/>
  <c r="AO183" s="1"/>
  <c r="AR183" s="1"/>
  <c r="AG518"/>
  <c r="AO518" s="1"/>
  <c r="AR518" s="1"/>
  <c r="AG258"/>
  <c r="AO258" s="1"/>
  <c r="AR258" s="1"/>
  <c r="AG540"/>
  <c r="AG815"/>
  <c r="AO815" s="1"/>
  <c r="AR815" s="1"/>
  <c r="AG567"/>
  <c r="AO567" s="1"/>
  <c r="AR567" s="1"/>
  <c r="AG1154"/>
  <c r="AO1154" s="1"/>
  <c r="AR1154" s="1"/>
  <c r="AG869"/>
  <c r="AG1001"/>
  <c r="AO1001" s="1"/>
  <c r="AR1001" s="1"/>
  <c r="AG1073"/>
  <c r="AO1073" s="1"/>
  <c r="AR1073" s="1"/>
  <c r="AG198"/>
  <c r="AO198" s="1"/>
  <c r="AR198" s="1"/>
  <c r="AG653"/>
  <c r="AG983"/>
  <c r="AO983" s="1"/>
  <c r="AR983" s="1"/>
  <c r="AG948"/>
  <c r="AO948" s="1"/>
  <c r="AR948" s="1"/>
  <c r="AG1041"/>
  <c r="AG365"/>
  <c r="AG542"/>
  <c r="AO542" s="1"/>
  <c r="AR542" s="1"/>
  <c r="AG802"/>
  <c r="AG1061"/>
  <c r="AG929"/>
  <c r="AG675"/>
  <c r="AG513"/>
  <c r="AO513" s="1"/>
  <c r="AR513" s="1"/>
  <c r="AG833"/>
  <c r="AG1039"/>
  <c r="AG1226"/>
  <c r="AO1226" s="1"/>
  <c r="AR1226" s="1"/>
  <c r="AG726"/>
  <c r="AO726" s="1"/>
  <c r="AR726" s="1"/>
  <c r="AG105"/>
  <c r="AO105" s="1"/>
  <c r="AR105" s="1"/>
  <c r="AG131"/>
  <c r="AG1005"/>
  <c r="AG261"/>
  <c r="AO261" s="1"/>
  <c r="AR261" s="1"/>
  <c r="AG999"/>
  <c r="AO999" s="1"/>
  <c r="AR999" s="1"/>
  <c r="AG1084"/>
  <c r="AG1241"/>
  <c r="AO1241" s="1"/>
  <c r="AR1241" s="1"/>
  <c r="AG965"/>
  <c r="AO965" s="1"/>
  <c r="AR965" s="1"/>
  <c r="AG271"/>
  <c r="AO271" s="1"/>
  <c r="AR271" s="1"/>
  <c r="AG492"/>
  <c r="AG769"/>
  <c r="AO769" s="1"/>
  <c r="AR769" s="1"/>
  <c r="AG274"/>
  <c r="AO274" s="1"/>
  <c r="AR274" s="1"/>
  <c r="AG865"/>
  <c r="AO865" s="1"/>
  <c r="AR865" s="1"/>
  <c r="AG907"/>
  <c r="AG424"/>
  <c r="AO424" s="1"/>
  <c r="AR424" s="1"/>
  <c r="AG1239"/>
  <c r="AO1239" s="1"/>
  <c r="AR1239" s="1"/>
  <c r="AG454"/>
  <c r="AO454" s="1"/>
  <c r="AR454" s="1"/>
  <c r="AG76"/>
  <c r="AG249"/>
  <c r="AO249" s="1"/>
  <c r="AR249" s="1"/>
  <c r="AG678"/>
  <c r="AO678" s="1"/>
  <c r="AR678" s="1"/>
  <c r="AG589"/>
  <c r="AG341"/>
  <c r="AG289"/>
  <c r="AG1133"/>
  <c r="AG488"/>
  <c r="AO488" s="1"/>
  <c r="AR488" s="1"/>
  <c r="AG1240"/>
  <c r="AG323"/>
  <c r="AO323" s="1"/>
  <c r="AR323" s="1"/>
  <c r="AG1108"/>
  <c r="AO1108" s="1"/>
  <c r="AR1108" s="1"/>
  <c r="AG398"/>
  <c r="AG403"/>
  <c r="AG1018"/>
  <c r="AG926"/>
  <c r="AO926" s="1"/>
  <c r="AR926" s="1"/>
  <c r="AG475"/>
  <c r="AG46"/>
  <c r="AG266"/>
  <c r="AG1042"/>
  <c r="AO1042" s="1"/>
  <c r="AR1042" s="1"/>
  <c r="AG42"/>
  <c r="AG945"/>
  <c r="AG804"/>
  <c r="AO804" s="1"/>
  <c r="AR804" s="1"/>
  <c r="AG687"/>
  <c r="AO687" s="1"/>
  <c r="AR687" s="1"/>
  <c r="AG1000"/>
  <c r="AG1160"/>
  <c r="AG771"/>
  <c r="AG912"/>
  <c r="AO912" s="1"/>
  <c r="AR912" s="1"/>
  <c r="AG743"/>
  <c r="AO743" s="1"/>
  <c r="AR743" s="1"/>
  <c r="AG982"/>
  <c r="AG240"/>
  <c r="AO240" s="1"/>
  <c r="AR240" s="1"/>
  <c r="AG156"/>
  <c r="AO156" s="1"/>
  <c r="AR156" s="1"/>
  <c r="AG691"/>
  <c r="AO691" s="1"/>
  <c r="AR691" s="1"/>
  <c r="AG872"/>
  <c r="AG1071"/>
  <c r="AO1071" s="1"/>
  <c r="AR1071" s="1"/>
  <c r="AG987"/>
  <c r="AO987" s="1"/>
  <c r="AR987" s="1"/>
  <c r="AG645"/>
  <c r="AG130"/>
  <c r="AG635"/>
  <c r="AO635" s="1"/>
  <c r="AR635" s="1"/>
  <c r="AG1737"/>
  <c r="AO1737" s="1"/>
  <c r="AR1737" s="1"/>
  <c r="AG1849"/>
  <c r="AO1849" s="1"/>
  <c r="AR1849" s="1"/>
  <c r="AG1537"/>
  <c r="AG1666"/>
  <c r="AO1666" s="1"/>
  <c r="AR1666" s="1"/>
  <c r="AG1313"/>
  <c r="AO1313" s="1"/>
  <c r="AR1313" s="1"/>
  <c r="AG1467"/>
  <c r="AO1467" s="1"/>
  <c r="AR1467" s="1"/>
  <c r="AG1498"/>
  <c r="AG1275"/>
  <c r="AG1806"/>
  <c r="AO1806" s="1"/>
  <c r="AR1806" s="1"/>
  <c r="AO521"/>
  <c r="AR521" s="1"/>
  <c r="AG1028"/>
  <c r="AG541"/>
  <c r="AO541" s="1"/>
  <c r="AR541" s="1"/>
  <c r="AG1260"/>
  <c r="AO1260" s="1"/>
  <c r="AR1260" s="1"/>
  <c r="AG116"/>
  <c r="AG1075"/>
  <c r="AG157"/>
  <c r="AG978"/>
  <c r="AO978" s="1"/>
  <c r="AR978" s="1"/>
  <c r="AG498"/>
  <c r="AG1169"/>
  <c r="AG251"/>
  <c r="AO251" s="1"/>
  <c r="AR251" s="1"/>
  <c r="AG113"/>
  <c r="AO113" s="1"/>
  <c r="AR113" s="1"/>
  <c r="AG278"/>
  <c r="AG169"/>
  <c r="AG1151"/>
  <c r="AO1151" s="1"/>
  <c r="AR1151" s="1"/>
  <c r="AG1230"/>
  <c r="AO1230" s="1"/>
  <c r="AR1230" s="1"/>
  <c r="AG57"/>
  <c r="AO57" s="1"/>
  <c r="AR57" s="1"/>
  <c r="AG1050"/>
  <c r="AG562"/>
  <c r="AO562" s="1"/>
  <c r="AR562" s="1"/>
  <c r="AG989"/>
  <c r="AO989" s="1"/>
  <c r="AR989" s="1"/>
  <c r="AG1111"/>
  <c r="AO1111" s="1"/>
  <c r="AR1111" s="1"/>
  <c r="AG1182"/>
  <c r="AG372"/>
  <c r="AO372" s="1"/>
  <c r="AR372" s="1"/>
  <c r="AG976"/>
  <c r="AO976" s="1"/>
  <c r="AR976" s="1"/>
  <c r="AG1117"/>
  <c r="AG915"/>
  <c r="AG621"/>
  <c r="AG1207"/>
  <c r="AO1207" s="1"/>
  <c r="AR1207" s="1"/>
  <c r="AG963"/>
  <c r="AO963" s="1"/>
  <c r="AR963" s="1"/>
  <c r="AG727"/>
  <c r="AG394"/>
  <c r="AG1081"/>
  <c r="AO1081" s="1"/>
  <c r="AR1081" s="1"/>
  <c r="AG937"/>
  <c r="AO937" s="1"/>
  <c r="AR937" s="1"/>
  <c r="AG339"/>
  <c r="AG586"/>
  <c r="AG1107"/>
  <c r="AO1107" s="1"/>
  <c r="AR1107" s="1"/>
  <c r="AG794"/>
  <c r="AO794" s="1"/>
  <c r="AR794" s="1"/>
  <c r="AG550"/>
  <c r="AG366"/>
  <c r="AG1215"/>
  <c r="AO1215" s="1"/>
  <c r="AR1215" s="1"/>
  <c r="AG647"/>
  <c r="AG638"/>
  <c r="AG974"/>
  <c r="AO974" s="1"/>
  <c r="AR974" s="1"/>
  <c r="AG1161"/>
  <c r="AO1161" s="1"/>
  <c r="AR1161" s="1"/>
  <c r="AG1180"/>
  <c r="AO1180" s="1"/>
  <c r="AR1180" s="1"/>
  <c r="AG899"/>
  <c r="AG717"/>
  <c r="AO717" s="1"/>
  <c r="AR717" s="1"/>
  <c r="AG950"/>
  <c r="AO950" s="1"/>
  <c r="AR950" s="1"/>
  <c r="AG739"/>
  <c r="AO739" s="1"/>
  <c r="AR739" s="1"/>
  <c r="AG1058"/>
  <c r="AG968"/>
  <c r="AO968" s="1"/>
  <c r="AR968" s="1"/>
  <c r="AG252"/>
  <c r="AO252" s="1"/>
  <c r="AR252" s="1"/>
  <c r="AG918"/>
  <c r="AO918" s="1"/>
  <c r="AR918" s="1"/>
  <c r="AG392"/>
  <c r="AG64"/>
  <c r="AO64" s="1"/>
  <c r="AR64" s="1"/>
  <c r="AG1054"/>
  <c r="AN1054" s="1"/>
  <c r="AP1054" s="1"/>
  <c r="AS1054" s="1"/>
  <c r="AG776"/>
  <c r="AO776" s="1"/>
  <c r="AR776" s="1"/>
  <c r="AG758"/>
  <c r="AG1057"/>
  <c r="AO1057" s="1"/>
  <c r="AR1057" s="1"/>
  <c r="AG924"/>
  <c r="AO924" s="1"/>
  <c r="AR924" s="1"/>
  <c r="AG83"/>
  <c r="AO83" s="1"/>
  <c r="AR83" s="1"/>
  <c r="AG376"/>
  <c r="AG1213"/>
  <c r="AO1213" s="1"/>
  <c r="AR1213" s="1"/>
  <c r="AG1176"/>
  <c r="AO1176" s="1"/>
  <c r="AR1176" s="1"/>
  <c r="AG1097"/>
  <c r="AO1097" s="1"/>
  <c r="AR1097" s="1"/>
  <c r="AG1095"/>
  <c r="AG1167"/>
  <c r="AG903"/>
  <c r="AO903" s="1"/>
  <c r="AR903" s="1"/>
  <c r="AG1048"/>
  <c r="AG832"/>
  <c r="AG998"/>
  <c r="AG515"/>
  <c r="AO515" s="1"/>
  <c r="AR515" s="1"/>
  <c r="AG710"/>
  <c r="AG522"/>
  <c r="AG1022"/>
  <c r="AO1022" s="1"/>
  <c r="AR1022" s="1"/>
  <c r="AG525"/>
  <c r="AO525" s="1"/>
  <c r="AR525" s="1"/>
  <c r="AG967"/>
  <c r="AO967" s="1"/>
  <c r="AR967" s="1"/>
  <c r="AG1047"/>
  <c r="AG954"/>
  <c r="AG556"/>
  <c r="AO556" s="1"/>
  <c r="AR556" s="1"/>
  <c r="AG349"/>
  <c r="AG995"/>
  <c r="AG291"/>
  <c r="AO291" s="1"/>
  <c r="AR291" s="1"/>
  <c r="AG580"/>
  <c r="AO580" s="1"/>
  <c r="AR580" s="1"/>
  <c r="AG762"/>
  <c r="AO762" s="1"/>
  <c r="AR762" s="1"/>
  <c r="AG618"/>
  <c r="AG1125"/>
  <c r="AO1125" s="1"/>
  <c r="AR1125" s="1"/>
  <c r="AG256"/>
  <c r="AO256" s="1"/>
  <c r="AR256" s="1"/>
  <c r="AG287"/>
  <c r="AO287" s="1"/>
  <c r="AR287" s="1"/>
  <c r="AG362"/>
  <c r="AG825"/>
  <c r="AO825" s="1"/>
  <c r="AR825" s="1"/>
  <c r="AG660"/>
  <c r="AG1008"/>
  <c r="AG790"/>
  <c r="AG491"/>
  <c r="AG429"/>
  <c r="AG479"/>
  <c r="AO479" s="1"/>
  <c r="AR479" s="1"/>
  <c r="AG468"/>
  <c r="AG174"/>
  <c r="AO174" s="1"/>
  <c r="AR174" s="1"/>
  <c r="AG360"/>
  <c r="AO360" s="1"/>
  <c r="AR360" s="1"/>
  <c r="AG921"/>
  <c r="AO921" s="1"/>
  <c r="AR921" s="1"/>
  <c r="AG1032"/>
  <c r="AG1187"/>
  <c r="AO1187" s="1"/>
  <c r="AR1187" s="1"/>
  <c r="AG517"/>
  <c r="AO517" s="1"/>
  <c r="AR517" s="1"/>
  <c r="AG1044"/>
  <c r="AG413"/>
  <c r="AG292"/>
  <c r="AO292" s="1"/>
  <c r="AR292" s="1"/>
  <c r="AG842"/>
  <c r="AO842" s="1"/>
  <c r="AR842" s="1"/>
  <c r="AG204"/>
  <c r="AO204" s="1"/>
  <c r="AR204" s="1"/>
  <c r="AG158"/>
  <c r="AG1254"/>
  <c r="AO1254" s="1"/>
  <c r="AR1254" s="1"/>
  <c r="AG516"/>
  <c r="AO516" s="1"/>
  <c r="AR516" s="1"/>
  <c r="AG673"/>
  <c r="AO673" s="1"/>
  <c r="AR673" s="1"/>
  <c r="AG337"/>
  <c r="AG1094"/>
  <c r="AO1094" s="1"/>
  <c r="AR1094" s="1"/>
  <c r="AG764"/>
  <c r="AO764" s="1"/>
  <c r="AR764" s="1"/>
  <c r="AG959"/>
  <c r="AN959" s="1"/>
  <c r="AP959" s="1"/>
  <c r="AS959" s="1"/>
  <c r="AG1118"/>
  <c r="AG895"/>
  <c r="AO895" s="1"/>
  <c r="AR895" s="1"/>
  <c r="AG1009"/>
  <c r="AO1009" s="1"/>
  <c r="AR1009" s="1"/>
  <c r="AG597"/>
  <c r="AG473"/>
  <c r="AG211"/>
  <c r="AG161"/>
  <c r="AO161" s="1"/>
  <c r="AR161" s="1"/>
  <c r="AG695"/>
  <c r="AG1224"/>
  <c r="AG189"/>
  <c r="AG674"/>
  <c r="AO674" s="1"/>
  <c r="AR674" s="1"/>
  <c r="AG304"/>
  <c r="AG420"/>
  <c r="AG222"/>
  <c r="AO222" s="1"/>
  <c r="AR222" s="1"/>
  <c r="AG1006"/>
  <c r="AO1006" s="1"/>
  <c r="AR1006" s="1"/>
  <c r="AG592"/>
  <c r="AO592" s="1"/>
  <c r="AR592" s="1"/>
  <c r="AG838"/>
  <c r="AG199"/>
  <c r="AO199" s="1"/>
  <c r="AR199" s="1"/>
  <c r="AG489"/>
  <c r="AO489" s="1"/>
  <c r="AR489" s="1"/>
  <c r="AG1256"/>
  <c r="AN1256" s="1"/>
  <c r="AP1256" s="1"/>
  <c r="AS1256" s="1"/>
  <c r="AG868"/>
  <c r="AG68"/>
  <c r="AG524"/>
  <c r="AO524" s="1"/>
  <c r="AR524" s="1"/>
  <c r="AG229"/>
  <c r="AO229" s="1"/>
  <c r="AR229" s="1"/>
  <c r="AG1261"/>
  <c r="AG1205"/>
  <c r="AO1205" s="1"/>
  <c r="AR1205" s="1"/>
  <c r="AG1056"/>
  <c r="AG840"/>
  <c r="AO840" s="1"/>
  <c r="AR840" s="1"/>
  <c r="AG221"/>
  <c r="AG1186"/>
  <c r="AG464"/>
  <c r="AO464" s="1"/>
  <c r="AR464" s="1"/>
  <c r="AG820"/>
  <c r="AO820" s="1"/>
  <c r="AR820" s="1"/>
  <c r="AG941"/>
  <c r="AG465"/>
  <c r="AO465" s="1"/>
  <c r="AR465" s="1"/>
  <c r="AG628"/>
  <c r="AO628" s="1"/>
  <c r="AR628" s="1"/>
  <c r="AG555"/>
  <c r="AO555" s="1"/>
  <c r="AR555" s="1"/>
  <c r="AG679"/>
  <c r="AG320"/>
  <c r="AG763"/>
  <c r="AO763" s="1"/>
  <c r="AR763" s="1"/>
  <c r="AG162"/>
  <c r="AO162" s="1"/>
  <c r="AR162" s="1"/>
  <c r="AG1082"/>
  <c r="AG796"/>
  <c r="AO796" s="1"/>
  <c r="AR796" s="1"/>
  <c r="AG686"/>
  <c r="AO686" s="1"/>
  <c r="AR686" s="1"/>
  <c r="AG837"/>
  <c r="AG1053"/>
  <c r="AG477"/>
  <c r="AO477" s="1"/>
  <c r="AR477" s="1"/>
  <c r="AG1400"/>
  <c r="AO1400" s="1"/>
  <c r="AR1400" s="1"/>
  <c r="AG1464"/>
  <c r="AG1773"/>
  <c r="AG1853"/>
  <c r="AG1350"/>
  <c r="AO1350" s="1"/>
  <c r="AR1350" s="1"/>
  <c r="AG1800"/>
  <c r="AO1800" s="1"/>
  <c r="AR1800" s="1"/>
  <c r="AG1776"/>
  <c r="AG1293"/>
  <c r="AO1293" s="1"/>
  <c r="AR1293" s="1"/>
  <c r="AG1277"/>
  <c r="AO1277" s="1"/>
  <c r="AR1277" s="1"/>
  <c r="AG1645"/>
  <c r="AO1645" s="1"/>
  <c r="AR1645" s="1"/>
  <c r="AG173"/>
  <c r="AG631"/>
  <c r="AG644"/>
  <c r="AO644" s="1"/>
  <c r="AR644" s="1"/>
  <c r="AG307"/>
  <c r="AO307" s="1"/>
  <c r="AR307" s="1"/>
  <c r="AG134"/>
  <c r="AG311"/>
  <c r="AG661"/>
  <c r="AO661" s="1"/>
  <c r="AR661" s="1"/>
  <c r="AG191"/>
  <c r="AG791"/>
  <c r="AG1104"/>
  <c r="AG1007"/>
  <c r="AG212"/>
  <c r="AG1183"/>
  <c r="AG577"/>
  <c r="AO577" s="1"/>
  <c r="AR577" s="1"/>
  <c r="AG986"/>
  <c r="AO986" s="1"/>
  <c r="AR986" s="1"/>
  <c r="AG973"/>
  <c r="AO973" s="1"/>
  <c r="AR973" s="1"/>
  <c r="AG97"/>
  <c r="AG624"/>
  <c r="AO624" s="1"/>
  <c r="AR624" s="1"/>
  <c r="AG412"/>
  <c r="AO412" s="1"/>
  <c r="AR412" s="1"/>
  <c r="AG496"/>
  <c r="AO496" s="1"/>
  <c r="AR496" s="1"/>
  <c r="AG476"/>
  <c r="AG639"/>
  <c r="AO639" s="1"/>
  <c r="AR639" s="1"/>
  <c r="AG772"/>
  <c r="AO772" s="1"/>
  <c r="AR772" s="1"/>
  <c r="AG100"/>
  <c r="AG729"/>
  <c r="AG585"/>
  <c r="AO585" s="1"/>
  <c r="AR585" s="1"/>
  <c r="AG1251"/>
  <c r="AO1251" s="1"/>
  <c r="AR1251" s="1"/>
  <c r="AG250"/>
  <c r="AG387"/>
  <c r="AG970"/>
  <c r="AG767"/>
  <c r="AO767" s="1"/>
  <c r="AR767" s="1"/>
  <c r="AG916"/>
  <c r="AO916" s="1"/>
  <c r="AR916" s="1"/>
  <c r="AG335"/>
  <c r="AG879"/>
  <c r="AG234"/>
  <c r="AO234" s="1"/>
  <c r="AR234" s="1"/>
  <c r="AG535"/>
  <c r="AG1109"/>
  <c r="AG1002"/>
  <c r="AO1002" s="1"/>
  <c r="AR1002" s="1"/>
  <c r="AG1174"/>
  <c r="AO1174" s="1"/>
  <c r="AR1174" s="1"/>
  <c r="AG457"/>
  <c r="AO457" s="1"/>
  <c r="AR457" s="1"/>
  <c r="AG587"/>
  <c r="AG511"/>
  <c r="AO511" s="1"/>
  <c r="AR511" s="1"/>
  <c r="AG862"/>
  <c r="AO862" s="1"/>
  <c r="AR862" s="1"/>
  <c r="AG811"/>
  <c r="AO811" s="1"/>
  <c r="AR811" s="1"/>
  <c r="AG568"/>
  <c r="AG285"/>
  <c r="AO285" s="1"/>
  <c r="AR285" s="1"/>
  <c r="AG770"/>
  <c r="AO770" s="1"/>
  <c r="AR770" s="1"/>
  <c r="AG734"/>
  <c r="AO734" s="1"/>
  <c r="AR734" s="1"/>
  <c r="AG732"/>
  <c r="AG95"/>
  <c r="AG1247"/>
  <c r="AO1247" s="1"/>
  <c r="AR1247" s="1"/>
  <c r="AG241"/>
  <c r="AO241" s="1"/>
  <c r="AR241" s="1"/>
  <c r="AG981"/>
  <c r="AG552"/>
  <c r="AG280"/>
  <c r="AO280" s="1"/>
  <c r="AR280" s="1"/>
  <c r="AG438"/>
  <c r="AO438" s="1"/>
  <c r="AR438" s="1"/>
  <c r="AG822"/>
  <c r="AG312"/>
  <c r="AO312" s="1"/>
  <c r="AR312" s="1"/>
  <c r="AG135"/>
  <c r="AO135" s="1"/>
  <c r="AR135" s="1"/>
  <c r="AG119"/>
  <c r="AG154"/>
  <c r="AG1013"/>
  <c r="AO1013" s="1"/>
  <c r="AR1013" s="1"/>
  <c r="AG1045"/>
  <c r="AO1045" s="1"/>
  <c r="AR1045" s="1"/>
  <c r="AG614"/>
  <c r="AO614" s="1"/>
  <c r="AR614" s="1"/>
  <c r="AG406"/>
  <c r="AG689"/>
  <c r="AG1172"/>
  <c r="AO1172" s="1"/>
  <c r="AR1172" s="1"/>
  <c r="AG483"/>
  <c r="AO483" s="1"/>
  <c r="AR483" s="1"/>
  <c r="AG432"/>
  <c r="AG735"/>
  <c r="AO735" s="1"/>
  <c r="AR735" s="1"/>
  <c r="AG338"/>
  <c r="AO338" s="1"/>
  <c r="AR338" s="1"/>
  <c r="AG70"/>
  <c r="AO70" s="1"/>
  <c r="AR70" s="1"/>
  <c r="AG110"/>
  <c r="AG632"/>
  <c r="AG712"/>
  <c r="AG1015"/>
  <c r="AG220"/>
  <c r="AG847"/>
  <c r="AO847" s="1"/>
  <c r="AR847" s="1"/>
  <c r="AG288"/>
  <c r="AO288" s="1"/>
  <c r="AR288" s="1"/>
  <c r="AG1137"/>
  <c r="AG452"/>
  <c r="AG433"/>
  <c r="AO433" s="1"/>
  <c r="AR433" s="1"/>
  <c r="AG1229"/>
  <c r="AO1229" s="1"/>
  <c r="AR1229" s="1"/>
  <c r="AG882"/>
  <c r="AO882" s="1"/>
  <c r="AR882" s="1"/>
  <c r="AG615"/>
  <c r="AG470"/>
  <c r="AG864"/>
  <c r="AO864" s="1"/>
  <c r="AR864" s="1"/>
  <c r="AG300"/>
  <c r="AO300" s="1"/>
  <c r="AR300" s="1"/>
  <c r="AG435"/>
  <c r="AG55"/>
  <c r="AG242"/>
  <c r="AO242" s="1"/>
  <c r="AR242" s="1"/>
  <c r="AG345"/>
  <c r="AO345" s="1"/>
  <c r="AR345" s="1"/>
  <c r="AG683"/>
  <c r="AG775"/>
  <c r="AO775" s="1"/>
  <c r="AR775" s="1"/>
  <c r="AG1193"/>
  <c r="AO1193" s="1"/>
  <c r="AR1193" s="1"/>
  <c r="AG824"/>
  <c r="AG441"/>
  <c r="AG385"/>
  <c r="AN385" s="1"/>
  <c r="AP385" s="1"/>
  <c r="AS385" s="1"/>
  <c r="AG1043"/>
  <c r="AO1043" s="1"/>
  <c r="AR1043" s="1"/>
  <c r="AG163"/>
  <c r="AO163" s="1"/>
  <c r="AR163" s="1"/>
  <c r="AG1092"/>
  <c r="AG906"/>
  <c r="AG930"/>
  <c r="AN930" s="1"/>
  <c r="AP930" s="1"/>
  <c r="AS930" s="1"/>
  <c r="AG107"/>
  <c r="AO107" s="1"/>
  <c r="AR107" s="1"/>
  <c r="AG227"/>
  <c r="AG546"/>
  <c r="AO546" s="1"/>
  <c r="AR546" s="1"/>
  <c r="AG147"/>
  <c r="AO147" s="1"/>
  <c r="AR147" s="1"/>
  <c r="AG543"/>
  <c r="AO543" s="1"/>
  <c r="AR543" s="1"/>
  <c r="AG861"/>
  <c r="AG1088"/>
  <c r="AG1178"/>
  <c r="AO1178" s="1"/>
  <c r="AR1178" s="1"/>
  <c r="AG853"/>
  <c r="AO853" s="1"/>
  <c r="AR853" s="1"/>
  <c r="AG1146"/>
  <c r="AG972"/>
  <c r="AG485"/>
  <c r="AO485" s="1"/>
  <c r="AR485" s="1"/>
  <c r="AG1190"/>
  <c r="AO1190" s="1"/>
  <c r="AR1190" s="1"/>
  <c r="AG958"/>
  <c r="AG1034"/>
  <c r="AO1034" s="1"/>
  <c r="AR1034" s="1"/>
  <c r="AG263"/>
  <c r="AO263" s="1"/>
  <c r="AR263" s="1"/>
  <c r="AG920"/>
  <c r="AO920" s="1"/>
  <c r="AR920" s="1"/>
  <c r="AG898"/>
  <c r="AG273"/>
  <c r="AO273" s="1"/>
  <c r="AR273" s="1"/>
  <c r="AG419"/>
  <c r="AO419" s="1"/>
  <c r="AR419" s="1"/>
  <c r="AG239"/>
  <c r="AO239" s="1"/>
  <c r="AR239" s="1"/>
  <c r="AG1201"/>
  <c r="AG67"/>
  <c r="AO67" s="1"/>
  <c r="AR67" s="1"/>
  <c r="AG84"/>
  <c r="AO84" s="1"/>
  <c r="AR84" s="1"/>
  <c r="AG603"/>
  <c r="AO603" s="1"/>
  <c r="AR603" s="1"/>
  <c r="AG721"/>
  <c r="AG426"/>
  <c r="AO426" s="1"/>
  <c r="AR426" s="1"/>
  <c r="AG330"/>
  <c r="AO330" s="1"/>
  <c r="AR330" s="1"/>
  <c r="AG693"/>
  <c r="AO693" s="1"/>
  <c r="AR693" s="1"/>
  <c r="AG809"/>
  <c r="AG1149"/>
  <c r="AG723"/>
  <c r="AO723" s="1"/>
  <c r="AR723" s="1"/>
  <c r="AG934"/>
  <c r="AO934" s="1"/>
  <c r="AR934" s="1"/>
  <c r="AG655"/>
  <c r="AG1029"/>
  <c r="AO1029" s="1"/>
  <c r="AR1029" s="1"/>
  <c r="AG663"/>
  <c r="AO663" s="1"/>
  <c r="AR663" s="1"/>
  <c r="AG855"/>
  <c r="AN855" s="1"/>
  <c r="AP855" s="1"/>
  <c r="AS855" s="1"/>
  <c r="AG785"/>
  <c r="AG752"/>
  <c r="AN752" s="1"/>
  <c r="AP752" s="1"/>
  <c r="AS752" s="1"/>
  <c r="AG502"/>
  <c r="AG1080"/>
  <c r="AO1080" s="1"/>
  <c r="AR1080" s="1"/>
  <c r="AG1250"/>
  <c r="AG402"/>
  <c r="AO402" s="1"/>
  <c r="AR402" s="1"/>
  <c r="AG716"/>
  <c r="AO716" s="1"/>
  <c r="AR716" s="1"/>
  <c r="AG746"/>
  <c r="AO746" s="1"/>
  <c r="AR746" s="1"/>
  <c r="AG54"/>
  <c r="AG45"/>
  <c r="AO45" s="1"/>
  <c r="AR45" s="1"/>
  <c r="AG1225"/>
  <c r="AO1225" s="1"/>
  <c r="AR1225" s="1"/>
  <c r="AG788"/>
  <c r="AG356"/>
  <c r="AG146"/>
  <c r="AG1025"/>
  <c r="AO1025" s="1"/>
  <c r="AR1025" s="1"/>
  <c r="AG325"/>
  <c r="AG218"/>
  <c r="AG1163"/>
  <c r="AO1163" s="1"/>
  <c r="AR1163" s="1"/>
  <c r="AG1653"/>
  <c r="AO1653" s="1"/>
  <c r="AR1653" s="1"/>
  <c r="AG1522"/>
  <c r="AG1422"/>
  <c r="AG1765"/>
  <c r="AO1765" s="1"/>
  <c r="AR1765" s="1"/>
  <c r="AG1603"/>
  <c r="AO1603" s="1"/>
  <c r="AR1603" s="1"/>
  <c r="AG1309"/>
  <c r="AO1309" s="1"/>
  <c r="AR1309" s="1"/>
  <c r="AG1703"/>
  <c r="AG1407"/>
  <c r="AG1775"/>
  <c r="AO1775" s="1"/>
  <c r="AR1775" s="1"/>
  <c r="AO1023"/>
  <c r="AR1023" s="1"/>
  <c r="AO124"/>
  <c r="AR124" s="1"/>
  <c r="AI1675"/>
  <c r="AN1675" s="1"/>
  <c r="AP1675" s="1"/>
  <c r="AS1675" s="1"/>
  <c r="AI1516"/>
  <c r="AI1509"/>
  <c r="AI1642"/>
  <c r="AI1648"/>
  <c r="AN1648" s="1"/>
  <c r="AP1648" s="1"/>
  <c r="AS1648" s="1"/>
  <c r="AI1621"/>
  <c r="AN1621" s="1"/>
  <c r="AP1621" s="1"/>
  <c r="AS1621" s="1"/>
  <c r="AI1417"/>
  <c r="AI1753"/>
  <c r="AI1848"/>
  <c r="AI1332"/>
  <c r="AI1751"/>
  <c r="AN1751" s="1"/>
  <c r="AP1751" s="1"/>
  <c r="AS1751" s="1"/>
  <c r="AI1841"/>
  <c r="AI1530"/>
  <c r="AI1366"/>
  <c r="AI1448"/>
  <c r="AN1448" s="1"/>
  <c r="AP1448" s="1"/>
  <c r="AS1448" s="1"/>
  <c r="AI1301"/>
  <c r="AI1724"/>
  <c r="AI1275"/>
  <c r="AI1694"/>
  <c r="AI1374"/>
  <c r="AI1439"/>
  <c r="AN1439" s="1"/>
  <c r="AP1439" s="1"/>
  <c r="AS1439" s="1"/>
  <c r="AI1411"/>
  <c r="AI1302"/>
  <c r="AN1302" s="1"/>
  <c r="AP1302" s="1"/>
  <c r="AS1302" s="1"/>
  <c r="AI1702"/>
  <c r="AN1702" s="1"/>
  <c r="AP1702" s="1"/>
  <c r="AS1702" s="1"/>
  <c r="AI1446"/>
  <c r="AI1288"/>
  <c r="AI1539"/>
  <c r="AN1539" s="1"/>
  <c r="AP1539" s="1"/>
  <c r="AS1539" s="1"/>
  <c r="AI1304"/>
  <c r="AI1350"/>
  <c r="AI1372"/>
  <c r="AI1290"/>
  <c r="AN1290" s="1"/>
  <c r="AP1290" s="1"/>
  <c r="AS1290" s="1"/>
  <c r="AI1821"/>
  <c r="AI1808"/>
  <c r="AN1808" s="1"/>
  <c r="AP1808" s="1"/>
  <c r="AS1808" s="1"/>
  <c r="AI1619"/>
  <c r="AI1602"/>
  <c r="AI1425"/>
  <c r="AI1834"/>
  <c r="AN1834" s="1"/>
  <c r="AP1834" s="1"/>
  <c r="AS1834" s="1"/>
  <c r="AI1803"/>
  <c r="AI1828"/>
  <c r="AI1772"/>
  <c r="AI1536"/>
  <c r="AN1536" s="1"/>
  <c r="AP1536" s="1"/>
  <c r="AS1536" s="1"/>
  <c r="AI1683"/>
  <c r="AI1364"/>
  <c r="AI1522"/>
  <c r="AI1297"/>
  <c r="AI1716"/>
  <c r="AI1447"/>
  <c r="AI1684"/>
  <c r="AI1370"/>
  <c r="AI1423"/>
  <c r="AI1403"/>
  <c r="AN1403" s="1"/>
  <c r="AP1403" s="1"/>
  <c r="AS1403" s="1"/>
  <c r="AI1294"/>
  <c r="AI1547"/>
  <c r="AI1517"/>
  <c r="AI1750"/>
  <c r="AN1750" s="1"/>
  <c r="AP1750" s="1"/>
  <c r="AS1750" s="1"/>
  <c r="AI1557"/>
  <c r="AN1557" s="1"/>
  <c r="AP1557" s="1"/>
  <c r="AS1557" s="1"/>
  <c r="AI1703"/>
  <c r="AN1703" s="1"/>
  <c r="AP1703" s="1"/>
  <c r="AS1703" s="1"/>
  <c r="AI1655"/>
  <c r="AI1319"/>
  <c r="AN1319" s="1"/>
  <c r="AP1319" s="1"/>
  <c r="AS1319" s="1"/>
  <c r="AI1851"/>
  <c r="AI1826"/>
  <c r="AN1826" s="1"/>
  <c r="AP1826" s="1"/>
  <c r="AS1826" s="1"/>
  <c r="AI1813"/>
  <c r="AI1623"/>
  <c r="AI1606"/>
  <c r="AN1606" s="1"/>
  <c r="AP1606" s="1"/>
  <c r="AS1606" s="1"/>
  <c r="AI1441"/>
  <c r="AN1441" s="1"/>
  <c r="AP1441" s="1"/>
  <c r="AS1441" s="1"/>
  <c r="AI1839"/>
  <c r="AI1564"/>
  <c r="AI1833"/>
  <c r="AI1788"/>
  <c r="AI1552"/>
  <c r="AN1552" s="1"/>
  <c r="AP1552" s="1"/>
  <c r="AS1552" s="1"/>
  <c r="AI1518"/>
  <c r="AI1357"/>
  <c r="AN1357" s="1"/>
  <c r="AP1357" s="1"/>
  <c r="AS1357" s="1"/>
  <c r="AI1416"/>
  <c r="AN1416" s="1"/>
  <c r="AP1416" s="1"/>
  <c r="AS1416" s="1"/>
  <c r="AI1305"/>
  <c r="AN1305" s="1"/>
  <c r="AP1305" s="1"/>
  <c r="AS1305" s="1"/>
  <c r="AI1365"/>
  <c r="AI1279"/>
  <c r="AI1710"/>
  <c r="AN1710" s="1"/>
  <c r="AP1710" s="1"/>
  <c r="AS1710" s="1"/>
  <c r="AI1378"/>
  <c r="AN1378" s="1"/>
  <c r="AP1378" s="1"/>
  <c r="AS1378" s="1"/>
  <c r="AI1472"/>
  <c r="AI1419"/>
  <c r="AI1348"/>
  <c r="AN1348" s="1"/>
  <c r="AP1348" s="1"/>
  <c r="AS1348" s="1"/>
  <c r="AI1718"/>
  <c r="AI1451"/>
  <c r="AI1300"/>
  <c r="AI1555"/>
  <c r="AI1307"/>
  <c r="AI1503"/>
  <c r="AI1380"/>
  <c r="AI1322"/>
  <c r="AI1816"/>
  <c r="AI1461"/>
  <c r="AI1615"/>
  <c r="AI1598"/>
  <c r="AI1409"/>
  <c r="AI1829"/>
  <c r="AI1825"/>
  <c r="AI1562"/>
  <c r="AN1562" s="1"/>
  <c r="AP1562" s="1"/>
  <c r="AS1562" s="1"/>
  <c r="AI1756"/>
  <c r="AI1450"/>
  <c r="AN1450" s="1"/>
  <c r="AP1450" s="1"/>
  <c r="AS1450" s="1"/>
  <c r="AI1661"/>
  <c r="AI1347"/>
  <c r="AN1347" s="1"/>
  <c r="AP1347" s="1"/>
  <c r="AS1347" s="1"/>
  <c r="AI1757"/>
  <c r="AI1676"/>
  <c r="AI1456"/>
  <c r="AI1393"/>
  <c r="AN1393" s="1"/>
  <c r="AP1393" s="1"/>
  <c r="AS1393" s="1"/>
  <c r="AI1387"/>
  <c r="AN1387" s="1"/>
  <c r="AP1387" s="1"/>
  <c r="AS1387" s="1"/>
  <c r="AI1445"/>
  <c r="AI1846"/>
  <c r="AI1638"/>
  <c r="AI1569"/>
  <c r="AN1569" s="1"/>
  <c r="AP1569" s="1"/>
  <c r="AS1569" s="1"/>
  <c r="AI1629"/>
  <c r="AI1616"/>
  <c r="AI1798"/>
  <c r="AN1798" s="1"/>
  <c r="AP1798" s="1"/>
  <c r="AS1798" s="1"/>
  <c r="AI1667"/>
  <c r="AI1316"/>
  <c r="AI1504"/>
  <c r="AI1291"/>
  <c r="AN1291" s="1"/>
  <c r="AP1291" s="1"/>
  <c r="AS1291" s="1"/>
  <c r="AI1391"/>
  <c r="AI1595"/>
  <c r="AN1595" s="1"/>
  <c r="AP1595" s="1"/>
  <c r="AS1595" s="1"/>
  <c r="AI1405"/>
  <c r="AI1608"/>
  <c r="AI1570"/>
  <c r="AN1570" s="1"/>
  <c r="AP1570" s="1"/>
  <c r="AS1570" s="1"/>
  <c r="AI1768"/>
  <c r="AN1768" s="1"/>
  <c r="AP1768" s="1"/>
  <c r="AS1768" s="1"/>
  <c r="AI1690"/>
  <c r="AI1827"/>
  <c r="AN1827" s="1"/>
  <c r="AP1827" s="1"/>
  <c r="AS1827" s="1"/>
  <c r="AI1349"/>
  <c r="AI1283"/>
  <c r="AI1427"/>
  <c r="AN1427" s="1"/>
  <c r="AP1427" s="1"/>
  <c r="AS1427" s="1"/>
  <c r="AI1324"/>
  <c r="AN1324" s="1"/>
  <c r="AP1324" s="1"/>
  <c r="AS1324" s="1"/>
  <c r="AI1388"/>
  <c r="AI1611"/>
  <c r="AI1820"/>
  <c r="AI1592"/>
  <c r="AI1770"/>
  <c r="AI1780"/>
  <c r="AI1600"/>
  <c r="AI1805"/>
  <c r="AN1805" s="1"/>
  <c r="AP1805" s="1"/>
  <c r="AS1805" s="1"/>
  <c r="AI1604"/>
  <c r="AI1575"/>
  <c r="AI1585"/>
  <c r="AI1587"/>
  <c r="AI1657"/>
  <c r="AI1817"/>
  <c r="AI1677"/>
  <c r="AI1460"/>
  <c r="AN1460" s="1"/>
  <c r="AP1460" s="1"/>
  <c r="AS1460" s="1"/>
  <c r="AI64"/>
  <c r="AI49"/>
  <c r="AI211"/>
  <c r="AI90"/>
  <c r="AI115"/>
  <c r="AI131"/>
  <c r="AN131" s="1"/>
  <c r="AP131" s="1"/>
  <c r="AS131" s="1"/>
  <c r="AI147"/>
  <c r="AI163"/>
  <c r="AI179"/>
  <c r="AN179" s="1"/>
  <c r="AP179" s="1"/>
  <c r="AS179" s="1"/>
  <c r="AI44"/>
  <c r="AI208"/>
  <c r="AI93"/>
  <c r="AN93" s="1"/>
  <c r="AP93" s="1"/>
  <c r="AS93" s="1"/>
  <c r="AI70"/>
  <c r="AI110"/>
  <c r="AN110" s="1"/>
  <c r="AP110" s="1"/>
  <c r="AS110" s="1"/>
  <c r="AI126"/>
  <c r="AI142"/>
  <c r="AI158"/>
  <c r="AN158" s="1"/>
  <c r="AP158" s="1"/>
  <c r="AS158" s="1"/>
  <c r="AI174"/>
  <c r="AI190"/>
  <c r="AI218"/>
  <c r="AN218" s="1"/>
  <c r="AP218" s="1"/>
  <c r="AS218" s="1"/>
  <c r="AI95"/>
  <c r="AI223"/>
  <c r="AN223" s="1"/>
  <c r="AP223" s="1"/>
  <c r="AS223" s="1"/>
  <c r="AI291"/>
  <c r="AI225"/>
  <c r="AI288"/>
  <c r="AI307"/>
  <c r="AI323"/>
  <c r="AI339"/>
  <c r="AN339" s="1"/>
  <c r="AP339" s="1"/>
  <c r="AS339" s="1"/>
  <c r="AI355"/>
  <c r="AI371"/>
  <c r="AI387"/>
  <c r="AN387" s="1"/>
  <c r="AP387" s="1"/>
  <c r="AS387" s="1"/>
  <c r="AI411"/>
  <c r="AN411" s="1"/>
  <c r="AP411" s="1"/>
  <c r="AS411" s="1"/>
  <c r="AI234"/>
  <c r="AI414"/>
  <c r="AI258"/>
  <c r="AI431"/>
  <c r="AN431" s="1"/>
  <c r="AP431" s="1"/>
  <c r="AS431" s="1"/>
  <c r="AI498"/>
  <c r="AI499"/>
  <c r="AI570"/>
  <c r="AI639"/>
  <c r="AI703"/>
  <c r="AN703" s="1"/>
  <c r="AP703" s="1"/>
  <c r="AS703" s="1"/>
  <c r="AI767"/>
  <c r="AI527"/>
  <c r="AI579"/>
  <c r="AI649"/>
  <c r="AI713"/>
  <c r="AI500"/>
  <c r="AI574"/>
  <c r="AN574" s="1"/>
  <c r="AP574" s="1"/>
  <c r="AS574" s="1"/>
  <c r="AI634"/>
  <c r="AN634" s="1"/>
  <c r="AP634" s="1"/>
  <c r="AS634" s="1"/>
  <c r="AI698"/>
  <c r="AN698" s="1"/>
  <c r="AP698" s="1"/>
  <c r="AS698" s="1"/>
  <c r="AI761"/>
  <c r="AI519"/>
  <c r="AN519" s="1"/>
  <c r="AP519" s="1"/>
  <c r="AS519" s="1"/>
  <c r="AI587"/>
  <c r="AN587" s="1"/>
  <c r="AP587" s="1"/>
  <c r="AS587" s="1"/>
  <c r="AI653"/>
  <c r="AN653" s="1"/>
  <c r="AP653" s="1"/>
  <c r="AS653" s="1"/>
  <c r="AI717"/>
  <c r="AI784"/>
  <c r="AI56"/>
  <c r="AI41"/>
  <c r="AI203"/>
  <c r="AI82"/>
  <c r="AN82" s="1"/>
  <c r="AP82" s="1"/>
  <c r="AS82" s="1"/>
  <c r="AI113"/>
  <c r="AI129"/>
  <c r="AN129" s="1"/>
  <c r="AP129" s="1"/>
  <c r="AS129" s="1"/>
  <c r="AI145"/>
  <c r="AI161"/>
  <c r="AI177"/>
  <c r="AI193"/>
  <c r="AI43"/>
  <c r="AI84"/>
  <c r="AI69"/>
  <c r="AI46"/>
  <c r="AN46" s="1"/>
  <c r="AP46" s="1"/>
  <c r="AS46" s="1"/>
  <c r="AI104"/>
  <c r="AI120"/>
  <c r="AN120" s="1"/>
  <c r="AP120" s="1"/>
  <c r="AS120" s="1"/>
  <c r="AI136"/>
  <c r="AN136" s="1"/>
  <c r="AP136" s="1"/>
  <c r="AS136" s="1"/>
  <c r="AI152"/>
  <c r="AN152" s="1"/>
  <c r="AP152" s="1"/>
  <c r="AS152" s="1"/>
  <c r="AI168"/>
  <c r="AI184"/>
  <c r="AN184" s="1"/>
  <c r="AP184" s="1"/>
  <c r="AS184" s="1"/>
  <c r="AI200"/>
  <c r="AI71"/>
  <c r="AN71" s="1"/>
  <c r="AP71" s="1"/>
  <c r="AS71" s="1"/>
  <c r="AI239"/>
  <c r="AI267"/>
  <c r="AN267" s="1"/>
  <c r="AP267" s="1"/>
  <c r="AS267" s="1"/>
  <c r="AI437"/>
  <c r="AI264"/>
  <c r="AI301"/>
  <c r="AN301" s="1"/>
  <c r="AP301" s="1"/>
  <c r="AS301" s="1"/>
  <c r="AI317"/>
  <c r="AI333"/>
  <c r="AN333" s="1"/>
  <c r="AP333" s="1"/>
  <c r="AS333" s="1"/>
  <c r="AI349"/>
  <c r="AI365"/>
  <c r="AN365" s="1"/>
  <c r="AP365" s="1"/>
  <c r="AS365" s="1"/>
  <c r="AI381"/>
  <c r="AI397"/>
  <c r="AI450"/>
  <c r="AI281"/>
  <c r="AI236"/>
  <c r="AI406"/>
  <c r="AN406" s="1"/>
  <c r="AP406" s="1"/>
  <c r="AS406" s="1"/>
  <c r="AI470"/>
  <c r="AI462"/>
  <c r="AI546"/>
  <c r="AI615"/>
  <c r="AN615" s="1"/>
  <c r="AP615" s="1"/>
  <c r="AS615" s="1"/>
  <c r="AI216"/>
  <c r="AI444"/>
  <c r="AI302"/>
  <c r="AI334"/>
  <c r="AI366"/>
  <c r="AI398"/>
  <c r="AI285"/>
  <c r="AI409"/>
  <c r="AI465"/>
  <c r="AI622"/>
  <c r="AN622" s="1"/>
  <c r="AP622" s="1"/>
  <c r="AS622" s="1"/>
  <c r="AI1752"/>
  <c r="AI1537"/>
  <c r="AN1537" s="1"/>
  <c r="AP1537" s="1"/>
  <c r="AS1537" s="1"/>
  <c r="AI1773"/>
  <c r="AN1773" s="1"/>
  <c r="AP1773" s="1"/>
  <c r="AS1773" s="1"/>
  <c r="AI1581"/>
  <c r="AN1581" s="1"/>
  <c r="AP1581" s="1"/>
  <c r="AS1581" s="1"/>
  <c r="AI1593"/>
  <c r="AI1363"/>
  <c r="AI1320"/>
  <c r="AN1320" s="1"/>
  <c r="AP1320" s="1"/>
  <c r="AS1320" s="1"/>
  <c r="AI1789"/>
  <c r="AI1689"/>
  <c r="AN1689" s="1"/>
  <c r="AP1689" s="1"/>
  <c r="AS1689" s="1"/>
  <c r="AI1666"/>
  <c r="AI1449"/>
  <c r="AN1449" s="1"/>
  <c r="AP1449" s="1"/>
  <c r="AS1449" s="1"/>
  <c r="AI1636"/>
  <c r="AN1636" s="1"/>
  <c r="AP1636" s="1"/>
  <c r="AS1636" s="1"/>
  <c r="AI1746"/>
  <c r="AN1746" s="1"/>
  <c r="AP1746" s="1"/>
  <c r="AS1746" s="1"/>
  <c r="AI1782"/>
  <c r="AI1610"/>
  <c r="AN1610" s="1"/>
  <c r="AP1610" s="1"/>
  <c r="AS1610" s="1"/>
  <c r="AI1668"/>
  <c r="AI1432"/>
  <c r="AN1432" s="1"/>
  <c r="AP1432" s="1"/>
  <c r="AS1432" s="1"/>
  <c r="AI1649"/>
  <c r="AN1649" s="1"/>
  <c r="AP1649" s="1"/>
  <c r="AS1649" s="1"/>
  <c r="AI1286"/>
  <c r="AN1286" s="1"/>
  <c r="AP1286" s="1"/>
  <c r="AS1286" s="1"/>
  <c r="AI1692"/>
  <c r="AI1399"/>
  <c r="AI1543"/>
  <c r="AI1309"/>
  <c r="AI1719"/>
  <c r="AI1707"/>
  <c r="AN1707" s="1"/>
  <c r="AP1707" s="1"/>
  <c r="AS1707" s="1"/>
  <c r="AI1510"/>
  <c r="AI1535"/>
  <c r="AI1493"/>
  <c r="AI1738"/>
  <c r="AN1738" s="1"/>
  <c r="AP1738" s="1"/>
  <c r="AS1738" s="1"/>
  <c r="AI1463"/>
  <c r="AI1418"/>
  <c r="AI1656"/>
  <c r="AI1736"/>
  <c r="AI1487"/>
  <c r="AI1576"/>
  <c r="AI1413"/>
  <c r="AI1635"/>
  <c r="AI1618"/>
  <c r="AI1731"/>
  <c r="AI1804"/>
  <c r="AN1804" s="1"/>
  <c r="AP1804" s="1"/>
  <c r="AS1804" s="1"/>
  <c r="AI1858"/>
  <c r="AI1430"/>
  <c r="AN1430" s="1"/>
  <c r="AP1430" s="1"/>
  <c r="AS1430" s="1"/>
  <c r="AI1573"/>
  <c r="AI1749"/>
  <c r="AI1727"/>
  <c r="AN1727" s="1"/>
  <c r="AP1727" s="1"/>
  <c r="AS1727" s="1"/>
  <c r="AI1444"/>
  <c r="AI1360"/>
  <c r="AI1278"/>
  <c r="AN1278" s="1"/>
  <c r="AP1278" s="1"/>
  <c r="AS1278" s="1"/>
  <c r="AI1795"/>
  <c r="AI1280"/>
  <c r="AI1529"/>
  <c r="AI1511"/>
  <c r="AI1687"/>
  <c r="AN1687" s="1"/>
  <c r="AP1687" s="1"/>
  <c r="AS1687" s="1"/>
  <c r="AI1663"/>
  <c r="AI1478"/>
  <c r="AI1468"/>
  <c r="AI1485"/>
  <c r="AN1485" s="1"/>
  <c r="AP1485" s="1"/>
  <c r="AS1485" s="1"/>
  <c r="AI1734"/>
  <c r="AI1352"/>
  <c r="AI1410"/>
  <c r="AI1395"/>
  <c r="AN1395" s="1"/>
  <c r="AP1395" s="1"/>
  <c r="AS1395" s="1"/>
  <c r="AI1706"/>
  <c r="AI1397"/>
  <c r="AI1744"/>
  <c r="AN1744" s="1"/>
  <c r="AP1744" s="1"/>
  <c r="AS1744" s="1"/>
  <c r="AI1429"/>
  <c r="AN1429" s="1"/>
  <c r="AP1429" s="1"/>
  <c r="AS1429" s="1"/>
  <c r="AI1654"/>
  <c r="AI1622"/>
  <c r="AN1622" s="1"/>
  <c r="AP1622" s="1"/>
  <c r="AS1622" s="1"/>
  <c r="AI1747"/>
  <c r="AN1747" s="1"/>
  <c r="AP1747" s="1"/>
  <c r="AS1747" s="1"/>
  <c r="AI1809"/>
  <c r="AI1335"/>
  <c r="AN1335" s="1"/>
  <c r="AP1335" s="1"/>
  <c r="AS1335" s="1"/>
  <c r="AI1438"/>
  <c r="AI1761"/>
  <c r="AI1643"/>
  <c r="AI1743"/>
  <c r="AI1412"/>
  <c r="AI1650"/>
  <c r="AI1289"/>
  <c r="AN1289" s="1"/>
  <c r="AP1289" s="1"/>
  <c r="AS1289" s="1"/>
  <c r="AI1700"/>
  <c r="AI1415"/>
  <c r="AI1652"/>
  <c r="AI1313"/>
  <c r="AI1284"/>
  <c r="AI1282"/>
  <c r="AI1292"/>
  <c r="AN1292" s="1"/>
  <c r="AP1292" s="1"/>
  <c r="AS1292" s="1"/>
  <c r="AI1551"/>
  <c r="AN1551" s="1"/>
  <c r="AP1551" s="1"/>
  <c r="AS1551" s="1"/>
  <c r="AI1501"/>
  <c r="AI1742"/>
  <c r="AI1465"/>
  <c r="AN1465" s="1"/>
  <c r="AP1465" s="1"/>
  <c r="AS1465" s="1"/>
  <c r="AI1426"/>
  <c r="AN1426" s="1"/>
  <c r="AP1426" s="1"/>
  <c r="AS1426" s="1"/>
  <c r="AI1748"/>
  <c r="AI1296"/>
  <c r="AI1519"/>
  <c r="AI1583"/>
  <c r="AN1583" s="1"/>
  <c r="AP1583" s="1"/>
  <c r="AS1583" s="1"/>
  <c r="AI1823"/>
  <c r="AI1631"/>
  <c r="AN1631" s="1"/>
  <c r="AP1631" s="1"/>
  <c r="AS1631" s="1"/>
  <c r="AI1614"/>
  <c r="AI1508"/>
  <c r="AN1508" s="1"/>
  <c r="AP1508" s="1"/>
  <c r="AS1508" s="1"/>
  <c r="AI1705"/>
  <c r="AN1705" s="1"/>
  <c r="AP1705" s="1"/>
  <c r="AS1705" s="1"/>
  <c r="AI1853"/>
  <c r="AI1843"/>
  <c r="AI1779"/>
  <c r="AI1733"/>
  <c r="AN1733" s="1"/>
  <c r="AP1733" s="1"/>
  <c r="AS1733" s="1"/>
  <c r="AI1645"/>
  <c r="AI1762"/>
  <c r="AI1571"/>
  <c r="AN1571" s="1"/>
  <c r="AP1571" s="1"/>
  <c r="AS1571" s="1"/>
  <c r="AI1274"/>
  <c r="AI1495"/>
  <c r="AI1466"/>
  <c r="AI1699"/>
  <c r="AI1799"/>
  <c r="AI1544"/>
  <c r="AI1777"/>
  <c r="AI1327"/>
  <c r="AI1721"/>
  <c r="AI1560"/>
  <c r="AI1786"/>
  <c r="AI1404"/>
  <c r="AN1404" s="1"/>
  <c r="AP1404" s="1"/>
  <c r="AS1404" s="1"/>
  <c r="AI1422"/>
  <c r="AN1422" s="1"/>
  <c r="AP1422" s="1"/>
  <c r="AS1422" s="1"/>
  <c r="AI1499"/>
  <c r="AI1480"/>
  <c r="AN1480" s="1"/>
  <c r="AP1480" s="1"/>
  <c r="AS1480" s="1"/>
  <c r="AI1346"/>
  <c r="AN1346" s="1"/>
  <c r="AP1346" s="1"/>
  <c r="AS1346" s="1"/>
  <c r="AI1591"/>
  <c r="AI1653"/>
  <c r="AI1563"/>
  <c r="AN1563" s="1"/>
  <c r="AP1563" s="1"/>
  <c r="AS1563" s="1"/>
  <c r="AI1764"/>
  <c r="AN1764" s="1"/>
  <c r="AP1764" s="1"/>
  <c r="AS1764" s="1"/>
  <c r="AI1766"/>
  <c r="AI1807"/>
  <c r="AI1810"/>
  <c r="AN1810" s="1"/>
  <c r="AP1810" s="1"/>
  <c r="AS1810" s="1"/>
  <c r="AI1502"/>
  <c r="AN1502" s="1"/>
  <c r="AP1502" s="1"/>
  <c r="AS1502" s="1"/>
  <c r="AI1359"/>
  <c r="AN1359" s="1"/>
  <c r="AP1359" s="1"/>
  <c r="AS1359" s="1"/>
  <c r="AI1476"/>
  <c r="AI1534"/>
  <c r="AN1534" s="1"/>
  <c r="AP1534" s="1"/>
  <c r="AS1534" s="1"/>
  <c r="AI1857"/>
  <c r="AN1857" s="1"/>
  <c r="AP1857" s="1"/>
  <c r="AS1857" s="1"/>
  <c r="AI1566"/>
  <c r="AI1824"/>
  <c r="AN1824" s="1"/>
  <c r="AP1824" s="1"/>
  <c r="AS1824" s="1"/>
  <c r="AI1739"/>
  <c r="AN1739" s="1"/>
  <c r="AP1739" s="1"/>
  <c r="AS1739" s="1"/>
  <c r="AI1579"/>
  <c r="AN1579" s="1"/>
  <c r="AP1579" s="1"/>
  <c r="AS1579" s="1"/>
  <c r="AI1613"/>
  <c r="AI1844"/>
  <c r="AI1323"/>
  <c r="AI1728"/>
  <c r="AI1717"/>
  <c r="AI1775"/>
  <c r="AI1849"/>
  <c r="AI1771"/>
  <c r="AI1670"/>
  <c r="AN1670" s="1"/>
  <c r="AP1670" s="1"/>
  <c r="AS1670" s="1"/>
  <c r="AI1651"/>
  <c r="AI1831"/>
  <c r="AN1831" s="1"/>
  <c r="AP1831" s="1"/>
  <c r="AS1831" s="1"/>
  <c r="AI1293"/>
  <c r="AI48"/>
  <c r="AI33"/>
  <c r="AI97"/>
  <c r="AN97" s="1"/>
  <c r="AP97" s="1"/>
  <c r="AS97" s="1"/>
  <c r="AI74"/>
  <c r="AN74" s="1"/>
  <c r="AP74" s="1"/>
  <c r="AS74" s="1"/>
  <c r="AI111"/>
  <c r="AI127"/>
  <c r="AI143"/>
  <c r="AN143" s="1"/>
  <c r="AP143" s="1"/>
  <c r="AS143" s="1"/>
  <c r="AI159"/>
  <c r="AI175"/>
  <c r="AN175" s="1"/>
  <c r="AP175" s="1"/>
  <c r="AS175" s="1"/>
  <c r="AI191"/>
  <c r="AI92"/>
  <c r="AI77"/>
  <c r="AI54"/>
  <c r="AN54" s="1"/>
  <c r="AP54" s="1"/>
  <c r="AS54" s="1"/>
  <c r="AI106"/>
  <c r="AI122"/>
  <c r="AI138"/>
  <c r="AN138" s="1"/>
  <c r="AP138" s="1"/>
  <c r="AS138" s="1"/>
  <c r="AI154"/>
  <c r="AN154" s="1"/>
  <c r="AP154" s="1"/>
  <c r="AS154" s="1"/>
  <c r="AI170"/>
  <c r="AI186"/>
  <c r="AI202"/>
  <c r="AN202" s="1"/>
  <c r="AP202" s="1"/>
  <c r="AS202" s="1"/>
  <c r="AI79"/>
  <c r="AN79" s="1"/>
  <c r="AP79" s="1"/>
  <c r="AS79" s="1"/>
  <c r="AI219"/>
  <c r="AI275"/>
  <c r="AI448"/>
  <c r="AN448" s="1"/>
  <c r="AP448" s="1"/>
  <c r="AS448" s="1"/>
  <c r="AI272"/>
  <c r="AI303"/>
  <c r="AI319"/>
  <c r="AI335"/>
  <c r="AN335" s="1"/>
  <c r="AP335" s="1"/>
  <c r="AS335" s="1"/>
  <c r="AI351"/>
  <c r="AN351" s="1"/>
  <c r="AP351" s="1"/>
  <c r="AS351" s="1"/>
  <c r="AI367"/>
  <c r="AN367" s="1"/>
  <c r="AP367" s="1"/>
  <c r="AS367" s="1"/>
  <c r="AI383"/>
  <c r="AN383" s="1"/>
  <c r="AP383" s="1"/>
  <c r="AS383" s="1"/>
  <c r="AI399"/>
  <c r="AN399" s="1"/>
  <c r="AP399" s="1"/>
  <c r="AS399" s="1"/>
  <c r="AI457"/>
  <c r="AI289"/>
  <c r="AI238"/>
  <c r="AI413"/>
  <c r="AN413" s="1"/>
  <c r="AP413" s="1"/>
  <c r="AS413" s="1"/>
  <c r="AI480"/>
  <c r="AI477"/>
  <c r="AI554"/>
  <c r="AN554" s="1"/>
  <c r="AP554" s="1"/>
  <c r="AS554" s="1"/>
  <c r="AI623"/>
  <c r="AN623" s="1"/>
  <c r="AP623" s="1"/>
  <c r="AS623" s="1"/>
  <c r="AI687"/>
  <c r="AI751"/>
  <c r="AN751" s="1"/>
  <c r="AP751" s="1"/>
  <c r="AS751" s="1"/>
  <c r="AI504"/>
  <c r="AN504" s="1"/>
  <c r="AP504" s="1"/>
  <c r="AS504" s="1"/>
  <c r="AI572"/>
  <c r="AN572" s="1"/>
  <c r="AP572" s="1"/>
  <c r="AS572" s="1"/>
  <c r="AI633"/>
  <c r="AI697"/>
  <c r="AI764"/>
  <c r="AI560"/>
  <c r="AN560" s="1"/>
  <c r="AP560" s="1"/>
  <c r="AS560" s="1"/>
  <c r="AI618"/>
  <c r="AN618" s="1"/>
  <c r="AP618" s="1"/>
  <c r="AS618" s="1"/>
  <c r="AI682"/>
  <c r="AI745"/>
  <c r="AN745" s="1"/>
  <c r="AP745" s="1"/>
  <c r="AS745" s="1"/>
  <c r="AI496"/>
  <c r="AI569"/>
  <c r="AI637"/>
  <c r="AN637" s="1"/>
  <c r="AP637" s="1"/>
  <c r="AS637" s="1"/>
  <c r="AI701"/>
  <c r="AI766"/>
  <c r="AI40"/>
  <c r="AI204"/>
  <c r="AI89"/>
  <c r="AN89" s="1"/>
  <c r="AP89" s="1"/>
  <c r="AS89" s="1"/>
  <c r="AI66"/>
  <c r="AI109"/>
  <c r="AI125"/>
  <c r="AI141"/>
  <c r="AI157"/>
  <c r="AI173"/>
  <c r="AN173" s="1"/>
  <c r="AP173" s="1"/>
  <c r="AS173" s="1"/>
  <c r="AI189"/>
  <c r="AI214"/>
  <c r="AI68"/>
  <c r="AI53"/>
  <c r="AI215"/>
  <c r="AI94"/>
  <c r="AN94" s="1"/>
  <c r="AP94" s="1"/>
  <c r="AS94" s="1"/>
  <c r="AI116"/>
  <c r="AI132"/>
  <c r="AI148"/>
  <c r="AN148" s="1"/>
  <c r="AP148" s="1"/>
  <c r="AS148" s="1"/>
  <c r="AI164"/>
  <c r="AI180"/>
  <c r="AI196"/>
  <c r="AI55"/>
  <c r="AI224"/>
  <c r="AI251"/>
  <c r="AI423"/>
  <c r="AN423" s="1"/>
  <c r="AP423" s="1"/>
  <c r="AS423" s="1"/>
  <c r="AI248"/>
  <c r="AI297"/>
  <c r="AN297" s="1"/>
  <c r="AP297" s="1"/>
  <c r="AS297" s="1"/>
  <c r="AI313"/>
  <c r="AI329"/>
  <c r="AI345"/>
  <c r="AI361"/>
  <c r="AN361" s="1"/>
  <c r="AP361" s="1"/>
  <c r="AS361" s="1"/>
  <c r="AI377"/>
  <c r="AI393"/>
  <c r="AI436"/>
  <c r="AI265"/>
  <c r="AI439"/>
  <c r="AN439" s="1"/>
  <c r="AP439" s="1"/>
  <c r="AS439" s="1"/>
  <c r="AI282"/>
  <c r="AN282" s="1"/>
  <c r="AP282" s="1"/>
  <c r="AS282" s="1"/>
  <c r="AI456"/>
  <c r="AI522"/>
  <c r="AN522" s="1"/>
  <c r="AP522" s="1"/>
  <c r="AS522" s="1"/>
  <c r="AI531"/>
  <c r="AN531" s="1"/>
  <c r="AP531" s="1"/>
  <c r="AS531" s="1"/>
  <c r="AI605"/>
  <c r="AI209"/>
  <c r="AI412"/>
  <c r="AI294"/>
  <c r="AN294" s="1"/>
  <c r="AP294" s="1"/>
  <c r="AS294" s="1"/>
  <c r="AI326"/>
  <c r="AN326" s="1"/>
  <c r="AP326" s="1"/>
  <c r="AS326" s="1"/>
  <c r="AI358"/>
  <c r="AI390"/>
  <c r="AI253"/>
  <c r="AN253" s="1"/>
  <c r="AP253" s="1"/>
  <c r="AS253" s="1"/>
  <c r="AI270"/>
  <c r="AI510"/>
  <c r="AI582"/>
  <c r="AI1836"/>
  <c r="AN1836" s="1"/>
  <c r="AP1836" s="1"/>
  <c r="AS1836" s="1"/>
  <c r="AI1458"/>
  <c r="AI1678"/>
  <c r="AI1612"/>
  <c r="AI1818"/>
  <c r="AI1708"/>
  <c r="AN1708" s="1"/>
  <c r="AP1708" s="1"/>
  <c r="AS1708" s="1"/>
  <c r="AI1568"/>
  <c r="AI1311"/>
  <c r="AI1400"/>
  <c r="AI1713"/>
  <c r="AI1586"/>
  <c r="AI1355"/>
  <c r="AI1778"/>
  <c r="AI1838"/>
  <c r="AI1334"/>
  <c r="AN1334" s="1"/>
  <c r="AP1334" s="1"/>
  <c r="AS1334" s="1"/>
  <c r="AI1337"/>
  <c r="AI1440"/>
  <c r="AN1440" s="1"/>
  <c r="AP1440" s="1"/>
  <c r="AS1440" s="1"/>
  <c r="AI1494"/>
  <c r="AI1541"/>
  <c r="AI1496"/>
  <c r="AI1469"/>
  <c r="AI1459"/>
  <c r="AI1800"/>
  <c r="AI1523"/>
  <c r="AI1525"/>
  <c r="AN1525" s="1"/>
  <c r="AP1525" s="1"/>
  <c r="AS1525" s="1"/>
  <c r="AI1367"/>
  <c r="AI1381"/>
  <c r="AI1664"/>
  <c r="AI1299"/>
  <c r="AI1712"/>
  <c r="AN1712" s="1"/>
  <c r="AP1712" s="1"/>
  <c r="AS1712" s="1"/>
  <c r="AI1371"/>
  <c r="AN1371" s="1"/>
  <c r="AP1371" s="1"/>
  <c r="AS1371" s="1"/>
  <c r="AI1497"/>
  <c r="AI1740"/>
  <c r="AN1740" s="1"/>
  <c r="AP1740" s="1"/>
  <c r="AS1740" s="1"/>
  <c r="AI1520"/>
  <c r="AI1774"/>
  <c r="AN1774" s="1"/>
  <c r="AP1774" s="1"/>
  <c r="AS1774" s="1"/>
  <c r="AI1793"/>
  <c r="AN1793" s="1"/>
  <c r="AP1793" s="1"/>
  <c r="AS1793" s="1"/>
  <c r="AI1634"/>
  <c r="AN1634" s="1"/>
  <c r="AP1634" s="1"/>
  <c r="AS1634" s="1"/>
  <c r="AI1584"/>
  <c r="AI1681"/>
  <c r="AI1806"/>
  <c r="AI1850"/>
  <c r="AN1850" s="1"/>
  <c r="AP1850" s="1"/>
  <c r="AS1850" s="1"/>
  <c r="AI1776"/>
  <c r="AN1776" s="1"/>
  <c r="AP1776" s="1"/>
  <c r="AS1776" s="1"/>
  <c r="AI1640"/>
  <c r="AI1556"/>
  <c r="AI1428"/>
  <c r="AN1428" s="1"/>
  <c r="AP1428" s="1"/>
  <c r="AS1428" s="1"/>
  <c r="AI1506"/>
  <c r="AI1498"/>
  <c r="AN1498" s="1"/>
  <c r="AP1498" s="1"/>
  <c r="AS1498" s="1"/>
  <c r="AI1475"/>
  <c r="AI1533"/>
  <c r="AN1533" s="1"/>
  <c r="AP1533" s="1"/>
  <c r="AS1533" s="1"/>
  <c r="AI1455"/>
  <c r="AI1442"/>
  <c r="AN1442" s="1"/>
  <c r="AP1442" s="1"/>
  <c r="AS1442" s="1"/>
  <c r="AI1526"/>
  <c r="AI1515"/>
  <c r="AI1549"/>
  <c r="AN1549" s="1"/>
  <c r="AP1549" s="1"/>
  <c r="AS1549" s="1"/>
  <c r="AI1344"/>
  <c r="AN1344" s="1"/>
  <c r="AP1344" s="1"/>
  <c r="AS1344" s="1"/>
  <c r="AI1377"/>
  <c r="AN1377" s="1"/>
  <c r="AP1377" s="1"/>
  <c r="AS1377" s="1"/>
  <c r="AI1512"/>
  <c r="AI1295"/>
  <c r="AN1295" s="1"/>
  <c r="AP1295" s="1"/>
  <c r="AS1295" s="1"/>
  <c r="AI1704"/>
  <c r="AI1723"/>
  <c r="AI1481"/>
  <c r="AN1481" s="1"/>
  <c r="AP1481" s="1"/>
  <c r="AS1481" s="1"/>
  <c r="AI1434"/>
  <c r="AI1488"/>
  <c r="AI1790"/>
  <c r="AN1790" s="1"/>
  <c r="AP1790" s="1"/>
  <c r="AS1790" s="1"/>
  <c r="AI1500"/>
  <c r="AN1500" s="1"/>
  <c r="AP1500" s="1"/>
  <c r="AS1500" s="1"/>
  <c r="AI1682"/>
  <c r="AI1406"/>
  <c r="AI1701"/>
  <c r="AI1811"/>
  <c r="AN1811" s="1"/>
  <c r="AP1811" s="1"/>
  <c r="AS1811" s="1"/>
  <c r="AI1855"/>
  <c r="AN1855" s="1"/>
  <c r="AP1855" s="1"/>
  <c r="AS1855" s="1"/>
  <c r="AI1792"/>
  <c r="AN1792" s="1"/>
  <c r="AP1792" s="1"/>
  <c r="AS1792" s="1"/>
  <c r="AI1735"/>
  <c r="AI1737"/>
  <c r="AI1659"/>
  <c r="AN1659" s="1"/>
  <c r="AP1659" s="1"/>
  <c r="AS1659" s="1"/>
  <c r="AI1420"/>
  <c r="AI1276"/>
  <c r="AI1660"/>
  <c r="AN1660" s="1"/>
  <c r="AP1660" s="1"/>
  <c r="AS1660" s="1"/>
  <c r="AI1698"/>
  <c r="AN1698" s="1"/>
  <c r="AP1698" s="1"/>
  <c r="AS1698" s="1"/>
  <c r="AI1473"/>
  <c r="AI1479"/>
  <c r="AI1361"/>
  <c r="AN1361" s="1"/>
  <c r="AP1361" s="1"/>
  <c r="AS1361" s="1"/>
  <c r="AI1491"/>
  <c r="AI1482"/>
  <c r="AI1464"/>
  <c r="AI1389"/>
  <c r="AI1680"/>
  <c r="AI1303"/>
  <c r="AI1720"/>
  <c r="AI1379"/>
  <c r="AN1379" s="1"/>
  <c r="AP1379" s="1"/>
  <c r="AS1379" s="1"/>
  <c r="AI1513"/>
  <c r="AI1340"/>
  <c r="AI1722"/>
  <c r="AI1758"/>
  <c r="AI1454"/>
  <c r="AI1630"/>
  <c r="AI1398"/>
  <c r="AI1665"/>
  <c r="AN1665" s="1"/>
  <c r="AP1665" s="1"/>
  <c r="AS1665" s="1"/>
  <c r="AI1801"/>
  <c r="AI1845"/>
  <c r="AI1760"/>
  <c r="AI1637"/>
  <c r="AI1540"/>
  <c r="AI1625"/>
  <c r="AI1545"/>
  <c r="AI1408"/>
  <c r="AN1408" s="1"/>
  <c r="AP1408" s="1"/>
  <c r="AS1408" s="1"/>
  <c r="AI1477"/>
  <c r="AI1514"/>
  <c r="AN1514" s="1"/>
  <c r="AP1514" s="1"/>
  <c r="AS1514" s="1"/>
  <c r="AI1336"/>
  <c r="AN1336" s="1"/>
  <c r="AP1336" s="1"/>
  <c r="AS1336" s="1"/>
  <c r="AI1326"/>
  <c r="AI1626"/>
  <c r="AI1840"/>
  <c r="AI1624"/>
  <c r="AI1674"/>
  <c r="AN1674" s="1"/>
  <c r="AP1674" s="1"/>
  <c r="AS1674" s="1"/>
  <c r="AI1759"/>
  <c r="AN1759" s="1"/>
  <c r="AP1759" s="1"/>
  <c r="AS1759" s="1"/>
  <c r="AI1812"/>
  <c r="AN1812" s="1"/>
  <c r="AP1812" s="1"/>
  <c r="AS1812" s="1"/>
  <c r="AI1620"/>
  <c r="AI1471"/>
  <c r="AN1471" s="1"/>
  <c r="AP1471" s="1"/>
  <c r="AS1471" s="1"/>
  <c r="AI1527"/>
  <c r="AN1527" s="1"/>
  <c r="AP1527" s="1"/>
  <c r="AS1527" s="1"/>
  <c r="AI1373"/>
  <c r="AI1392"/>
  <c r="AI1852"/>
  <c r="AN1852" s="1"/>
  <c r="AP1852" s="1"/>
  <c r="AS1852" s="1"/>
  <c r="AI1588"/>
  <c r="AI1532"/>
  <c r="AN1532" s="1"/>
  <c r="AP1532" s="1"/>
  <c r="AS1532" s="1"/>
  <c r="AI1572"/>
  <c r="AI1647"/>
  <c r="AN1647" s="1"/>
  <c r="AP1647" s="1"/>
  <c r="AS1647" s="1"/>
  <c r="AI1854"/>
  <c r="AI1633"/>
  <c r="AI1754"/>
  <c r="AI1306"/>
  <c r="AN1306" s="1"/>
  <c r="AP1306" s="1"/>
  <c r="AS1306" s="1"/>
  <c r="AI1382"/>
  <c r="AI1726"/>
  <c r="AI1315"/>
  <c r="AN1315" s="1"/>
  <c r="AP1315" s="1"/>
  <c r="AS1315" s="1"/>
  <c r="AI1580"/>
  <c r="AI1847"/>
  <c r="AI1781"/>
  <c r="AI1609"/>
  <c r="AI1628"/>
  <c r="AI1561"/>
  <c r="AI1802"/>
  <c r="AI1589"/>
  <c r="AI1605"/>
  <c r="AI1453"/>
  <c r="AI1769"/>
  <c r="AI1433"/>
  <c r="AI1597"/>
  <c r="AN1597" s="1"/>
  <c r="AP1597" s="1"/>
  <c r="AS1597" s="1"/>
  <c r="AI1574"/>
  <c r="AN1574" s="1"/>
  <c r="AP1574" s="1"/>
  <c r="AS1574" s="1"/>
  <c r="AI1317"/>
  <c r="AC3"/>
  <c r="AI96"/>
  <c r="AN96" s="1"/>
  <c r="AP96" s="1"/>
  <c r="AS96" s="1"/>
  <c r="AI81"/>
  <c r="AN81" s="1"/>
  <c r="AP81" s="1"/>
  <c r="AS81" s="1"/>
  <c r="AI58"/>
  <c r="AI107"/>
  <c r="AI123"/>
  <c r="AI139"/>
  <c r="AI155"/>
  <c r="AI171"/>
  <c r="AI187"/>
  <c r="AN187" s="1"/>
  <c r="AP187" s="1"/>
  <c r="AS187" s="1"/>
  <c r="AI76"/>
  <c r="AN76" s="1"/>
  <c r="AP76" s="1"/>
  <c r="AS76" s="1"/>
  <c r="AI61"/>
  <c r="AI38"/>
  <c r="AN38" s="1"/>
  <c r="AP38" s="1"/>
  <c r="AS38" s="1"/>
  <c r="AI102"/>
  <c r="AI118"/>
  <c r="AI134"/>
  <c r="AN134" s="1"/>
  <c r="AP134" s="1"/>
  <c r="AS134" s="1"/>
  <c r="AI150"/>
  <c r="AN150" s="1"/>
  <c r="AP150" s="1"/>
  <c r="AS150" s="1"/>
  <c r="AI166"/>
  <c r="AI182"/>
  <c r="AI198"/>
  <c r="AI63"/>
  <c r="AI231"/>
  <c r="AN231" s="1"/>
  <c r="AP231" s="1"/>
  <c r="AS231" s="1"/>
  <c r="AI259"/>
  <c r="AN259" s="1"/>
  <c r="AP259" s="1"/>
  <c r="AS259" s="1"/>
  <c r="AI430"/>
  <c r="AN430" s="1"/>
  <c r="AP430" s="1"/>
  <c r="AS430" s="1"/>
  <c r="AI256"/>
  <c r="AI299"/>
  <c r="AI315"/>
  <c r="AI331"/>
  <c r="AI347"/>
  <c r="AI363"/>
  <c r="AN363" s="1"/>
  <c r="AP363" s="1"/>
  <c r="AS363" s="1"/>
  <c r="AI379"/>
  <c r="AI395"/>
  <c r="AN395" s="1"/>
  <c r="AP395" s="1"/>
  <c r="AS395" s="1"/>
  <c r="AI443"/>
  <c r="AN443" s="1"/>
  <c r="AP443" s="1"/>
  <c r="AS443" s="1"/>
  <c r="AI273"/>
  <c r="AI446"/>
  <c r="AN446" s="1"/>
  <c r="AP446" s="1"/>
  <c r="AS446" s="1"/>
  <c r="AI290"/>
  <c r="AI463"/>
  <c r="AN463" s="1"/>
  <c r="AP463" s="1"/>
  <c r="AS463" s="1"/>
  <c r="AI530"/>
  <c r="AI538"/>
  <c r="AI607"/>
  <c r="AI671"/>
  <c r="AI735"/>
  <c r="AI487"/>
  <c r="AI559"/>
  <c r="AN559" s="1"/>
  <c r="AP559" s="1"/>
  <c r="AS559" s="1"/>
  <c r="AI617"/>
  <c r="AI681"/>
  <c r="AN681" s="1"/>
  <c r="AP681" s="1"/>
  <c r="AS681" s="1"/>
  <c r="AI748"/>
  <c r="AI544"/>
  <c r="AI598"/>
  <c r="AI666"/>
  <c r="AN666" s="1"/>
  <c r="AP666" s="1"/>
  <c r="AS666" s="1"/>
  <c r="AI730"/>
  <c r="AI473"/>
  <c r="AN473" s="1"/>
  <c r="AP473" s="1"/>
  <c r="AS473" s="1"/>
  <c r="AI553"/>
  <c r="AN553" s="1"/>
  <c r="AP553" s="1"/>
  <c r="AS553" s="1"/>
  <c r="AI621"/>
  <c r="AI685"/>
  <c r="AI750"/>
  <c r="AN750" s="1"/>
  <c r="AP750" s="1"/>
  <c r="AS750" s="1"/>
  <c r="AI822"/>
  <c r="AN822" s="1"/>
  <c r="AP822" s="1"/>
  <c r="AS822" s="1"/>
  <c r="AI88"/>
  <c r="AI73"/>
  <c r="AI50"/>
  <c r="AI105"/>
  <c r="AI121"/>
  <c r="AN121" s="1"/>
  <c r="AP121" s="1"/>
  <c r="AS121" s="1"/>
  <c r="AI137"/>
  <c r="AI153"/>
  <c r="AN153" s="1"/>
  <c r="AP153" s="1"/>
  <c r="AS153" s="1"/>
  <c r="AI169"/>
  <c r="AN169" s="1"/>
  <c r="AP169" s="1"/>
  <c r="AS169" s="1"/>
  <c r="AI185"/>
  <c r="AN185" s="1"/>
  <c r="AP185" s="1"/>
  <c r="AS185" s="1"/>
  <c r="AI201"/>
  <c r="AI52"/>
  <c r="AI37"/>
  <c r="AI101"/>
  <c r="AI78"/>
  <c r="AI112"/>
  <c r="AI128"/>
  <c r="AI144"/>
  <c r="AI160"/>
  <c r="AN160" s="1"/>
  <c r="AP160" s="1"/>
  <c r="AS160" s="1"/>
  <c r="AI176"/>
  <c r="AN176" s="1"/>
  <c r="AP176" s="1"/>
  <c r="AS176" s="1"/>
  <c r="AI192"/>
  <c r="AI39"/>
  <c r="AN39" s="1"/>
  <c r="AP39" s="1"/>
  <c r="AS39" s="1"/>
  <c r="AI205"/>
  <c r="AI241"/>
  <c r="AI405"/>
  <c r="AI227"/>
  <c r="AN227" s="1"/>
  <c r="AP227" s="1"/>
  <c r="AS227" s="1"/>
  <c r="AI293"/>
  <c r="AI309"/>
  <c r="AI325"/>
  <c r="AI341"/>
  <c r="AN341" s="1"/>
  <c r="AP341" s="1"/>
  <c r="AS341" s="1"/>
  <c r="AI357"/>
  <c r="AI373"/>
  <c r="AI389"/>
  <c r="AI418"/>
  <c r="AN418" s="1"/>
  <c r="AP418" s="1"/>
  <c r="AS418" s="1"/>
  <c r="AI249"/>
  <c r="AI421"/>
  <c r="AI266"/>
  <c r="AI438"/>
  <c r="AN438" s="1"/>
  <c r="AP438" s="1"/>
  <c r="AS438" s="1"/>
  <c r="AI506"/>
  <c r="AI508"/>
  <c r="AN508" s="1"/>
  <c r="AP508" s="1"/>
  <c r="AS508" s="1"/>
  <c r="AI581"/>
  <c r="AN581" s="1"/>
  <c r="AP581" s="1"/>
  <c r="AS581" s="1"/>
  <c r="AI75"/>
  <c r="AN75" s="1"/>
  <c r="AP75" s="1"/>
  <c r="AS75" s="1"/>
  <c r="AI271"/>
  <c r="AI268"/>
  <c r="AI318"/>
  <c r="AI350"/>
  <c r="AI382"/>
  <c r="AI454"/>
  <c r="AI237"/>
  <c r="AI476"/>
  <c r="AN476" s="1"/>
  <c r="AP476" s="1"/>
  <c r="AS476" s="1"/>
  <c r="AI550"/>
  <c r="AN550" s="1"/>
  <c r="AP550" s="1"/>
  <c r="AS550" s="1"/>
  <c r="AI663"/>
  <c r="AI1856"/>
  <c r="AI1407"/>
  <c r="AI1784"/>
  <c r="AI1345"/>
  <c r="AI1715"/>
  <c r="AN1715" s="1"/>
  <c r="AP1715" s="1"/>
  <c r="AS1715" s="1"/>
  <c r="AI1281"/>
  <c r="AN1281" s="1"/>
  <c r="AP1281" s="1"/>
  <c r="AS1281" s="1"/>
  <c r="AI1554"/>
  <c r="AI1489"/>
  <c r="AI1641"/>
  <c r="AN1641" s="1"/>
  <c r="AP1641" s="1"/>
  <c r="AS1641" s="1"/>
  <c r="AI1577"/>
  <c r="AN1577" s="1"/>
  <c r="AP1577" s="1"/>
  <c r="AS1577" s="1"/>
  <c r="AI1341"/>
  <c r="AI1287"/>
  <c r="AI1435"/>
  <c r="AI1356"/>
  <c r="AI1396"/>
  <c r="AI1607"/>
  <c r="AI1457"/>
  <c r="AN1457" s="1"/>
  <c r="AP1457" s="1"/>
  <c r="AS1457" s="1"/>
  <c r="AI1424"/>
  <c r="AN1424" s="1"/>
  <c r="AP1424" s="1"/>
  <c r="AS1424" s="1"/>
  <c r="AI1414"/>
  <c r="AI1483"/>
  <c r="AI1558"/>
  <c r="AI1330"/>
  <c r="AN1330" s="1"/>
  <c r="AP1330" s="1"/>
  <c r="AS1330" s="1"/>
  <c r="AI1732"/>
  <c r="AI1669"/>
  <c r="AI1462"/>
  <c r="AN1462" s="1"/>
  <c r="AP1462" s="1"/>
  <c r="AS1462" s="1"/>
  <c r="AI1714"/>
  <c r="AI1686"/>
  <c r="AN1686" s="1"/>
  <c r="AP1686" s="1"/>
  <c r="AS1686" s="1"/>
  <c r="AI1658"/>
  <c r="AI1474"/>
  <c r="AI1797"/>
  <c r="AN1797" s="1"/>
  <c r="AP1797" s="1"/>
  <c r="AS1797" s="1"/>
  <c r="AI1339"/>
  <c r="AI1796"/>
  <c r="AN1796" s="1"/>
  <c r="AP1796" s="1"/>
  <c r="AS1796" s="1"/>
  <c r="AI1594"/>
  <c r="AI1785"/>
  <c r="AN1785" s="1"/>
  <c r="AP1785" s="1"/>
  <c r="AS1785" s="1"/>
  <c r="AI1492"/>
  <c r="AI1567"/>
  <c r="AN1567" s="1"/>
  <c r="AP1567" s="1"/>
  <c r="AS1567" s="1"/>
  <c r="AI42"/>
  <c r="AI151"/>
  <c r="AN151" s="1"/>
  <c r="AP151" s="1"/>
  <c r="AS151" s="1"/>
  <c r="AI45"/>
  <c r="AI130"/>
  <c r="AN130" s="1"/>
  <c r="AP130" s="1"/>
  <c r="AS130" s="1"/>
  <c r="AI194"/>
  <c r="AI416"/>
  <c r="AI327"/>
  <c r="AI391"/>
  <c r="AI274"/>
  <c r="AI583"/>
  <c r="AI543"/>
  <c r="AI523"/>
  <c r="AN523" s="1"/>
  <c r="AP523" s="1"/>
  <c r="AS523" s="1"/>
  <c r="AI468"/>
  <c r="AN468" s="1"/>
  <c r="AP468" s="1"/>
  <c r="AS468" s="1"/>
  <c r="AI733"/>
  <c r="AI34"/>
  <c r="AI149"/>
  <c r="AI36"/>
  <c r="AN36" s="1"/>
  <c r="AP36" s="1"/>
  <c r="AS36" s="1"/>
  <c r="AI108"/>
  <c r="AI172"/>
  <c r="AI221"/>
  <c r="AN221" s="1"/>
  <c r="AP221" s="1"/>
  <c r="AS221" s="1"/>
  <c r="AI305"/>
  <c r="AI369"/>
  <c r="AN369" s="1"/>
  <c r="AP369" s="1"/>
  <c r="AS369" s="1"/>
  <c r="AI407"/>
  <c r="AI479"/>
  <c r="AI229"/>
  <c r="AI422"/>
  <c r="AN422" s="1"/>
  <c r="AP422" s="1"/>
  <c r="AS422" s="1"/>
  <c r="AI646"/>
  <c r="AI747"/>
  <c r="AI529"/>
  <c r="AI609"/>
  <c r="AI696"/>
  <c r="AI507"/>
  <c r="AI596"/>
  <c r="AN596" s="1"/>
  <c r="AP596" s="1"/>
  <c r="AS596" s="1"/>
  <c r="AI675"/>
  <c r="AI765"/>
  <c r="AN765" s="1"/>
  <c r="AP765" s="1"/>
  <c r="AS765" s="1"/>
  <c r="AI545"/>
  <c r="AI636"/>
  <c r="AI724"/>
  <c r="AI814"/>
  <c r="AI879"/>
  <c r="AI802"/>
  <c r="AI881"/>
  <c r="AI954"/>
  <c r="AI776"/>
  <c r="AI861"/>
  <c r="AN861" s="1"/>
  <c r="AP861" s="1"/>
  <c r="AS861" s="1"/>
  <c r="AI943"/>
  <c r="AN943" s="1"/>
  <c r="AP943" s="1"/>
  <c r="AS943" s="1"/>
  <c r="AI1007"/>
  <c r="AI853"/>
  <c r="AI931"/>
  <c r="AI995"/>
  <c r="AN995" s="1"/>
  <c r="AP995" s="1"/>
  <c r="AS995" s="1"/>
  <c r="AI1023"/>
  <c r="AN1023" s="1"/>
  <c r="AP1023" s="1"/>
  <c r="AS1023" s="1"/>
  <c r="AI1039"/>
  <c r="AN1039" s="1"/>
  <c r="AP1039" s="1"/>
  <c r="AS1039" s="1"/>
  <c r="AI1055"/>
  <c r="AN1055" s="1"/>
  <c r="AP1055" s="1"/>
  <c r="AS1055" s="1"/>
  <c r="AI1071"/>
  <c r="AI810"/>
  <c r="AI889"/>
  <c r="AN889" s="1"/>
  <c r="AP889" s="1"/>
  <c r="AS889" s="1"/>
  <c r="AI952"/>
  <c r="AI1099"/>
  <c r="AI1163"/>
  <c r="AI1212"/>
  <c r="AI1081"/>
  <c r="AI1140"/>
  <c r="AN1140" s="1"/>
  <c r="AP1140" s="1"/>
  <c r="AS1140" s="1"/>
  <c r="AI1204"/>
  <c r="AI1093"/>
  <c r="AI1157"/>
  <c r="AI1222"/>
  <c r="AI1086"/>
  <c r="AI1150"/>
  <c r="AI1216"/>
  <c r="AI206"/>
  <c r="AN206" s="1"/>
  <c r="AP206" s="1"/>
  <c r="AS206" s="1"/>
  <c r="AI240"/>
  <c r="AI226"/>
  <c r="AN226" s="1"/>
  <c r="AP226" s="1"/>
  <c r="AS226" s="1"/>
  <c r="AI308"/>
  <c r="AN308" s="1"/>
  <c r="AP308" s="1"/>
  <c r="AS308" s="1"/>
  <c r="AI340"/>
  <c r="AN340" s="1"/>
  <c r="AP340" s="1"/>
  <c r="AS340" s="1"/>
  <c r="AI372"/>
  <c r="AI415"/>
  <c r="AI417"/>
  <c r="AI434"/>
  <c r="AN434" s="1"/>
  <c r="AP434" s="1"/>
  <c r="AS434" s="1"/>
  <c r="AI501"/>
  <c r="AI638"/>
  <c r="AN638" s="1"/>
  <c r="AP638" s="1"/>
  <c r="AS638" s="1"/>
  <c r="AI726"/>
  <c r="AI495"/>
  <c r="AN495" s="1"/>
  <c r="AP495" s="1"/>
  <c r="AS495" s="1"/>
  <c r="AI578"/>
  <c r="AI672"/>
  <c r="AI756"/>
  <c r="AN756" s="1"/>
  <c r="AP756" s="1"/>
  <c r="AS756" s="1"/>
  <c r="AI573"/>
  <c r="AN573" s="1"/>
  <c r="AP573" s="1"/>
  <c r="AS573" s="1"/>
  <c r="AI651"/>
  <c r="AN651" s="1"/>
  <c r="AP651" s="1"/>
  <c r="AS651" s="1"/>
  <c r="AI738"/>
  <c r="AI512"/>
  <c r="AI612"/>
  <c r="AN612" s="1"/>
  <c r="AP612" s="1"/>
  <c r="AS612" s="1"/>
  <c r="AI693"/>
  <c r="AI783"/>
  <c r="AN783" s="1"/>
  <c r="AP783" s="1"/>
  <c r="AS783" s="1"/>
  <c r="AI862"/>
  <c r="AI779"/>
  <c r="AI860"/>
  <c r="AI937"/>
  <c r="AI1001"/>
  <c r="AI832"/>
  <c r="AN832" s="1"/>
  <c r="AP832" s="1"/>
  <c r="AS832" s="1"/>
  <c r="AI921"/>
  <c r="AI990"/>
  <c r="AI824"/>
  <c r="AI914"/>
  <c r="AN914" s="1"/>
  <c r="AP914" s="1"/>
  <c r="AS914" s="1"/>
  <c r="AI978"/>
  <c r="AI1018"/>
  <c r="AI1034"/>
  <c r="AI1050"/>
  <c r="AN1050" s="1"/>
  <c r="AP1050" s="1"/>
  <c r="AS1050" s="1"/>
  <c r="AI1066"/>
  <c r="AI778"/>
  <c r="AI868"/>
  <c r="AN868" s="1"/>
  <c r="AP868" s="1"/>
  <c r="AS868" s="1"/>
  <c r="AI935"/>
  <c r="AN935" s="1"/>
  <c r="AP935" s="1"/>
  <c r="AS935" s="1"/>
  <c r="AI999"/>
  <c r="AI1143"/>
  <c r="AN1143" s="1"/>
  <c r="AP1143" s="1"/>
  <c r="AS1143" s="1"/>
  <c r="AI1207"/>
  <c r="AI1259"/>
  <c r="AN1259" s="1"/>
  <c r="AP1259" s="1"/>
  <c r="AS1259" s="1"/>
  <c r="AI1120"/>
  <c r="AN1120" s="1"/>
  <c r="AP1120" s="1"/>
  <c r="AS1120" s="1"/>
  <c r="AI1184"/>
  <c r="AN1184" s="1"/>
  <c r="AP1184" s="1"/>
  <c r="AS1184" s="1"/>
  <c r="AI1257"/>
  <c r="AN1257" s="1"/>
  <c r="AP1257" s="1"/>
  <c r="AS1257" s="1"/>
  <c r="AI1137"/>
  <c r="AI1201"/>
  <c r="AN1201" s="1"/>
  <c r="AP1201" s="1"/>
  <c r="AS1201" s="1"/>
  <c r="AI1269"/>
  <c r="AN1269" s="1"/>
  <c r="AP1269" s="1"/>
  <c r="AS1269" s="1"/>
  <c r="AI1130"/>
  <c r="AI1194"/>
  <c r="AN1194" s="1"/>
  <c r="AP1194" s="1"/>
  <c r="AS1194" s="1"/>
  <c r="AI1263"/>
  <c r="AI228"/>
  <c r="AN228" s="1"/>
  <c r="AP228" s="1"/>
  <c r="AS228" s="1"/>
  <c r="AI426"/>
  <c r="AI298"/>
  <c r="AI330"/>
  <c r="AI362"/>
  <c r="AN362" s="1"/>
  <c r="AP362" s="1"/>
  <c r="AS362" s="1"/>
  <c r="AI394"/>
  <c r="AI269"/>
  <c r="AI286"/>
  <c r="AI526"/>
  <c r="AI606"/>
  <c r="AI695"/>
  <c r="AN695" s="1"/>
  <c r="AP695" s="1"/>
  <c r="AS695" s="1"/>
  <c r="AI481"/>
  <c r="AN481" s="1"/>
  <c r="AP481" s="1"/>
  <c r="AS481" s="1"/>
  <c r="AI563"/>
  <c r="AI641"/>
  <c r="AI728"/>
  <c r="AN728" s="1"/>
  <c r="AP728" s="1"/>
  <c r="AS728" s="1"/>
  <c r="AI548"/>
  <c r="AN548" s="1"/>
  <c r="AP548" s="1"/>
  <c r="AS548" s="1"/>
  <c r="AI626"/>
  <c r="AI707"/>
  <c r="AI474"/>
  <c r="AI585"/>
  <c r="AI668"/>
  <c r="AI754"/>
  <c r="AI839"/>
  <c r="AN839" s="1"/>
  <c r="AP839" s="1"/>
  <c r="AS839" s="1"/>
  <c r="AI903"/>
  <c r="AI834"/>
  <c r="AI913"/>
  <c r="AI972"/>
  <c r="AI803"/>
  <c r="AI893"/>
  <c r="AI973"/>
  <c r="AI797"/>
  <c r="AI885"/>
  <c r="AI961"/>
  <c r="AN961" s="1"/>
  <c r="AP961" s="1"/>
  <c r="AS961" s="1"/>
  <c r="AI1013"/>
  <c r="AI1029"/>
  <c r="AI1045"/>
  <c r="AI1061"/>
  <c r="AI1077"/>
  <c r="AI842"/>
  <c r="AI917"/>
  <c r="AI982"/>
  <c r="AN982" s="1"/>
  <c r="AP982" s="1"/>
  <c r="AS982" s="1"/>
  <c r="AI1123"/>
  <c r="AI1187"/>
  <c r="AI1230"/>
  <c r="AI1100"/>
  <c r="AI1164"/>
  <c r="AI1240"/>
  <c r="AN1240" s="1"/>
  <c r="AP1240" s="1"/>
  <c r="AS1240" s="1"/>
  <c r="AI1117"/>
  <c r="AI1181"/>
  <c r="AI1252"/>
  <c r="AI1110"/>
  <c r="AN1110" s="1"/>
  <c r="AP1110" s="1"/>
  <c r="AS1110" s="1"/>
  <c r="AI1174"/>
  <c r="AI1234"/>
  <c r="AI51"/>
  <c r="AN51" s="1"/>
  <c r="AP51" s="1"/>
  <c r="AS51" s="1"/>
  <c r="AI247"/>
  <c r="AI244"/>
  <c r="AI312"/>
  <c r="AI344"/>
  <c r="AN344" s="1"/>
  <c r="AP344" s="1"/>
  <c r="AS344" s="1"/>
  <c r="AI376"/>
  <c r="AN376" s="1"/>
  <c r="AP376" s="1"/>
  <c r="AS376" s="1"/>
  <c r="AI429"/>
  <c r="AI435"/>
  <c r="AN435" s="1"/>
  <c r="AP435" s="1"/>
  <c r="AS435" s="1"/>
  <c r="AI452"/>
  <c r="AN452" s="1"/>
  <c r="AP452" s="1"/>
  <c r="AS452" s="1"/>
  <c r="AI524"/>
  <c r="AI647"/>
  <c r="AI734"/>
  <c r="AI511"/>
  <c r="AI601"/>
  <c r="AI680"/>
  <c r="AN680" s="1"/>
  <c r="AP680" s="1"/>
  <c r="AS680" s="1"/>
  <c r="AI458"/>
  <c r="AI588"/>
  <c r="AI659"/>
  <c r="AI749"/>
  <c r="AI528"/>
  <c r="AN528" s="1"/>
  <c r="AP528" s="1"/>
  <c r="AS528" s="1"/>
  <c r="AI620"/>
  <c r="AN620" s="1"/>
  <c r="AP620" s="1"/>
  <c r="AS620" s="1"/>
  <c r="AI708"/>
  <c r="AN708" s="1"/>
  <c r="AP708" s="1"/>
  <c r="AS708" s="1"/>
  <c r="AI786"/>
  <c r="AI870"/>
  <c r="AI789"/>
  <c r="AN789" s="1"/>
  <c r="AP789" s="1"/>
  <c r="AS789" s="1"/>
  <c r="AI869"/>
  <c r="AN869" s="1"/>
  <c r="AP869" s="1"/>
  <c r="AS869" s="1"/>
  <c r="AI939"/>
  <c r="AI1003"/>
  <c r="AN1003" s="1"/>
  <c r="AP1003" s="1"/>
  <c r="AS1003" s="1"/>
  <c r="AI841"/>
  <c r="AN841" s="1"/>
  <c r="AP841" s="1"/>
  <c r="AS841" s="1"/>
  <c r="AI929"/>
  <c r="AN929" s="1"/>
  <c r="AP929" s="1"/>
  <c r="AS929" s="1"/>
  <c r="AI992"/>
  <c r="AI833"/>
  <c r="AI922"/>
  <c r="AI980"/>
  <c r="AI1020"/>
  <c r="AI1036"/>
  <c r="AN1036" s="1"/>
  <c r="AP1036" s="1"/>
  <c r="AS1036" s="1"/>
  <c r="AI1052"/>
  <c r="AI1068"/>
  <c r="AI793"/>
  <c r="AN793" s="1"/>
  <c r="AP793" s="1"/>
  <c r="AS793" s="1"/>
  <c r="AI877"/>
  <c r="AI949"/>
  <c r="AI1087"/>
  <c r="AI1151"/>
  <c r="AI1209"/>
  <c r="AI1673"/>
  <c r="AI1343"/>
  <c r="AI1794"/>
  <c r="AN1794" s="1"/>
  <c r="AP1794" s="1"/>
  <c r="AS1794" s="1"/>
  <c r="AI1646"/>
  <c r="AI1431"/>
  <c r="AI1333"/>
  <c r="AN1333" s="1"/>
  <c r="AP1333" s="1"/>
  <c r="AS1333" s="1"/>
  <c r="AI1308"/>
  <c r="AI1443"/>
  <c r="AI1342"/>
  <c r="AI1375"/>
  <c r="AI1603"/>
  <c r="AI1437"/>
  <c r="AN1437" s="1"/>
  <c r="AP1437" s="1"/>
  <c r="AS1437" s="1"/>
  <c r="AI1486"/>
  <c r="AI1695"/>
  <c r="AN1695" s="1"/>
  <c r="AP1695" s="1"/>
  <c r="AS1695" s="1"/>
  <c r="AI1452"/>
  <c r="AI1542"/>
  <c r="AN1542" s="1"/>
  <c r="AP1542" s="1"/>
  <c r="AS1542" s="1"/>
  <c r="AI1691"/>
  <c r="AN1691" s="1"/>
  <c r="AP1691" s="1"/>
  <c r="AS1691" s="1"/>
  <c r="AI1745"/>
  <c r="AN1745" s="1"/>
  <c r="AP1745" s="1"/>
  <c r="AS1745" s="1"/>
  <c r="AI1709"/>
  <c r="AI1528"/>
  <c r="AI1318"/>
  <c r="AI1394"/>
  <c r="AI1369"/>
  <c r="AN1369" s="1"/>
  <c r="AP1369" s="1"/>
  <c r="AS1369" s="1"/>
  <c r="AI1384"/>
  <c r="AN1384" s="1"/>
  <c r="AP1384" s="1"/>
  <c r="AS1384" s="1"/>
  <c r="AI1830"/>
  <c r="AI1832"/>
  <c r="AN1832" s="1"/>
  <c r="AP1832" s="1"/>
  <c r="AS1832" s="1"/>
  <c r="AI1548"/>
  <c r="AI1490"/>
  <c r="AI1672"/>
  <c r="AI1787"/>
  <c r="AN1787" s="1"/>
  <c r="AP1787" s="1"/>
  <c r="AS1787" s="1"/>
  <c r="AI1321"/>
  <c r="AI1521"/>
  <c r="AN1521" s="1"/>
  <c r="AP1521" s="1"/>
  <c r="AS1521" s="1"/>
  <c r="AI1596"/>
  <c r="AI1362"/>
  <c r="AI1338"/>
  <c r="AI1741"/>
  <c r="AI1814"/>
  <c r="AI1531"/>
  <c r="AI65"/>
  <c r="AN65" s="1"/>
  <c r="AP65" s="1"/>
  <c r="AS65" s="1"/>
  <c r="AI135"/>
  <c r="AI60"/>
  <c r="AI114"/>
  <c r="AI178"/>
  <c r="AI243"/>
  <c r="AN243" s="1"/>
  <c r="AP243" s="1"/>
  <c r="AS243" s="1"/>
  <c r="AI311"/>
  <c r="AI375"/>
  <c r="AI432"/>
  <c r="AN432" s="1"/>
  <c r="AP432" s="1"/>
  <c r="AS432" s="1"/>
  <c r="AI517"/>
  <c r="AI482"/>
  <c r="AI729"/>
  <c r="AN729" s="1"/>
  <c r="AP729" s="1"/>
  <c r="AS729" s="1"/>
  <c r="AI714"/>
  <c r="AI669"/>
  <c r="AI57"/>
  <c r="AI133"/>
  <c r="AI197"/>
  <c r="AN197" s="1"/>
  <c r="AP197" s="1"/>
  <c r="AS197" s="1"/>
  <c r="AI62"/>
  <c r="AI156"/>
  <c r="AI87"/>
  <c r="AI280"/>
  <c r="AI353"/>
  <c r="AI232"/>
  <c r="AI490"/>
  <c r="AI242"/>
  <c r="AI374"/>
  <c r="AI515"/>
  <c r="AI727"/>
  <c r="AN727" s="1"/>
  <c r="AP727" s="1"/>
  <c r="AS727" s="1"/>
  <c r="AI497"/>
  <c r="AI600"/>
  <c r="AI673"/>
  <c r="AI760"/>
  <c r="AN760" s="1"/>
  <c r="AP760" s="1"/>
  <c r="AS760" s="1"/>
  <c r="AI575"/>
  <c r="AN575" s="1"/>
  <c r="AP575" s="1"/>
  <c r="AS575" s="1"/>
  <c r="AI658"/>
  <c r="AN658" s="1"/>
  <c r="AP658" s="1"/>
  <c r="AS658" s="1"/>
  <c r="AI739"/>
  <c r="AI521"/>
  <c r="AN521" s="1"/>
  <c r="AP521" s="1"/>
  <c r="AS521" s="1"/>
  <c r="AI613"/>
  <c r="AI700"/>
  <c r="AI785"/>
  <c r="AN785" s="1"/>
  <c r="AP785" s="1"/>
  <c r="AS785" s="1"/>
  <c r="AI863"/>
  <c r="AN863" s="1"/>
  <c r="AP863" s="1"/>
  <c r="AS863" s="1"/>
  <c r="AI780"/>
  <c r="AN780" s="1"/>
  <c r="AP780" s="1"/>
  <c r="AS780" s="1"/>
  <c r="AI866"/>
  <c r="AI938"/>
  <c r="AI1002"/>
  <c r="AI835"/>
  <c r="AI928"/>
  <c r="AI991"/>
  <c r="AI827"/>
  <c r="AI915"/>
  <c r="AN915" s="1"/>
  <c r="AP915" s="1"/>
  <c r="AS915" s="1"/>
  <c r="AI979"/>
  <c r="AI1019"/>
  <c r="AI1035"/>
  <c r="AN1035" s="1"/>
  <c r="AP1035" s="1"/>
  <c r="AS1035" s="1"/>
  <c r="AI1051"/>
  <c r="AI1067"/>
  <c r="AI788"/>
  <c r="AI874"/>
  <c r="AN874" s="1"/>
  <c r="AP874" s="1"/>
  <c r="AS874" s="1"/>
  <c r="AI936"/>
  <c r="AI1000"/>
  <c r="AI1147"/>
  <c r="AI1208"/>
  <c r="AN1208" s="1"/>
  <c r="AP1208" s="1"/>
  <c r="AS1208" s="1"/>
  <c r="AI1260"/>
  <c r="AI1124"/>
  <c r="AI1188"/>
  <c r="AN1188" s="1"/>
  <c r="AP1188" s="1"/>
  <c r="AS1188" s="1"/>
  <c r="AI1258"/>
  <c r="AI1141"/>
  <c r="AI1205"/>
  <c r="AI1270"/>
  <c r="AI1134"/>
  <c r="AI1198"/>
  <c r="AI1264"/>
  <c r="AI235"/>
  <c r="AI433"/>
  <c r="AI300"/>
  <c r="AI332"/>
  <c r="AI364"/>
  <c r="AI396"/>
  <c r="AI277"/>
  <c r="AI402"/>
  <c r="AI534"/>
  <c r="AI614"/>
  <c r="AI702"/>
  <c r="AI483"/>
  <c r="AI567"/>
  <c r="AI648"/>
  <c r="AN648" s="1"/>
  <c r="AP648" s="1"/>
  <c r="AS648" s="1"/>
  <c r="AI736"/>
  <c r="AI552"/>
  <c r="AI627"/>
  <c r="AI715"/>
  <c r="AN715" s="1"/>
  <c r="AP715" s="1"/>
  <c r="AS715" s="1"/>
  <c r="AI475"/>
  <c r="AI586"/>
  <c r="AI676"/>
  <c r="AI758"/>
  <c r="AN758" s="1"/>
  <c r="AP758" s="1"/>
  <c r="AS758" s="1"/>
  <c r="AI846"/>
  <c r="AI910"/>
  <c r="AI837"/>
  <c r="AI918"/>
  <c r="AI985"/>
  <c r="AI809"/>
  <c r="AN809" s="1"/>
  <c r="AP809" s="1"/>
  <c r="AS809" s="1"/>
  <c r="AI896"/>
  <c r="AI974"/>
  <c r="AI801"/>
  <c r="AN801" s="1"/>
  <c r="AP801" s="1"/>
  <c r="AS801" s="1"/>
  <c r="AI888"/>
  <c r="AI962"/>
  <c r="AI1014"/>
  <c r="AI1030"/>
  <c r="AN1030" s="1"/>
  <c r="AP1030" s="1"/>
  <c r="AS1030" s="1"/>
  <c r="AI1046"/>
  <c r="AI1062"/>
  <c r="AI1078"/>
  <c r="AN1078" s="1"/>
  <c r="AP1078" s="1"/>
  <c r="AS1078" s="1"/>
  <c r="AI845"/>
  <c r="AN845" s="1"/>
  <c r="AP845" s="1"/>
  <c r="AS845" s="1"/>
  <c r="AI924"/>
  <c r="AI983"/>
  <c r="AI1127"/>
  <c r="AN1127" s="1"/>
  <c r="AP1127" s="1"/>
  <c r="AS1127" s="1"/>
  <c r="AI1191"/>
  <c r="AN1191" s="1"/>
  <c r="AP1191" s="1"/>
  <c r="AS1191" s="1"/>
  <c r="AI1243"/>
  <c r="AI1104"/>
  <c r="AI1168"/>
  <c r="AI1241"/>
  <c r="AI1121"/>
  <c r="AN1121" s="1"/>
  <c r="AP1121" s="1"/>
  <c r="AS1121" s="1"/>
  <c r="AI1185"/>
  <c r="AI1253"/>
  <c r="AN1253" s="1"/>
  <c r="AP1253" s="1"/>
  <c r="AS1253" s="1"/>
  <c r="AI1114"/>
  <c r="AI1178"/>
  <c r="AI1247"/>
  <c r="AI91"/>
  <c r="AI287"/>
  <c r="AI284"/>
  <c r="AI322"/>
  <c r="AI354"/>
  <c r="AI386"/>
  <c r="AN386" s="1"/>
  <c r="AP386" s="1"/>
  <c r="AS386" s="1"/>
  <c r="AI233"/>
  <c r="AI254"/>
  <c r="AI494"/>
  <c r="AI566"/>
  <c r="AI678"/>
  <c r="AI759"/>
  <c r="AI539"/>
  <c r="AN539" s="1"/>
  <c r="AP539" s="1"/>
  <c r="AS539" s="1"/>
  <c r="AI624"/>
  <c r="AI705"/>
  <c r="AI516"/>
  <c r="AI599"/>
  <c r="AI690"/>
  <c r="AI467"/>
  <c r="AI557"/>
  <c r="AI645"/>
  <c r="AI732"/>
  <c r="AN732" s="1"/>
  <c r="AP732" s="1"/>
  <c r="AS732" s="1"/>
  <c r="AI823"/>
  <c r="AI887"/>
  <c r="AI808"/>
  <c r="AN808" s="1"/>
  <c r="AP808" s="1"/>
  <c r="AS808" s="1"/>
  <c r="AI898"/>
  <c r="AN898" s="1"/>
  <c r="AP898" s="1"/>
  <c r="AS898" s="1"/>
  <c r="AI956"/>
  <c r="AI790"/>
  <c r="AN790" s="1"/>
  <c r="AP790" s="1"/>
  <c r="AS790" s="1"/>
  <c r="AI867"/>
  <c r="AN867" s="1"/>
  <c r="AP867" s="1"/>
  <c r="AS867" s="1"/>
  <c r="AI957"/>
  <c r="AI772"/>
  <c r="AI859"/>
  <c r="AI945"/>
  <c r="AN945" s="1"/>
  <c r="AP945" s="1"/>
  <c r="AS945" s="1"/>
  <c r="AI1009"/>
  <c r="AI1025"/>
  <c r="AI1041"/>
  <c r="AI1057"/>
  <c r="AI1073"/>
  <c r="AI816"/>
  <c r="AI906"/>
  <c r="AI966"/>
  <c r="AN966" s="1"/>
  <c r="AP966" s="1"/>
  <c r="AS966" s="1"/>
  <c r="AI1107"/>
  <c r="AI1171"/>
  <c r="AN1171" s="1"/>
  <c r="AP1171" s="1"/>
  <c r="AS1171" s="1"/>
  <c r="AI1214"/>
  <c r="AN1214" s="1"/>
  <c r="AP1214" s="1"/>
  <c r="AS1214" s="1"/>
  <c r="AI1085"/>
  <c r="AN1085" s="1"/>
  <c r="AP1085" s="1"/>
  <c r="AS1085" s="1"/>
  <c r="AI1148"/>
  <c r="AN1148" s="1"/>
  <c r="AP1148" s="1"/>
  <c r="AS1148" s="1"/>
  <c r="AI1224"/>
  <c r="AN1224" s="1"/>
  <c r="AP1224" s="1"/>
  <c r="AS1224" s="1"/>
  <c r="AI1101"/>
  <c r="AI1165"/>
  <c r="AI1236"/>
  <c r="AI1094"/>
  <c r="AI1158"/>
  <c r="AI1218"/>
  <c r="AN1218" s="1"/>
  <c r="AP1218" s="1"/>
  <c r="AS1218" s="1"/>
  <c r="AI195"/>
  <c r="AI220"/>
  <c r="AN220" s="1"/>
  <c r="AP220" s="1"/>
  <c r="AS220" s="1"/>
  <c r="AI451"/>
  <c r="AI304"/>
  <c r="AI336"/>
  <c r="AI368"/>
  <c r="AI400"/>
  <c r="AI403"/>
  <c r="AN403" s="1"/>
  <c r="AP403" s="1"/>
  <c r="AS403" s="1"/>
  <c r="AI420"/>
  <c r="AN420" s="1"/>
  <c r="AP420" s="1"/>
  <c r="AS420" s="1"/>
  <c r="AI478"/>
  <c r="AN478" s="1"/>
  <c r="AP478" s="1"/>
  <c r="AS478" s="1"/>
  <c r="AI630"/>
  <c r="AN630" s="1"/>
  <c r="AP630" s="1"/>
  <c r="AS630" s="1"/>
  <c r="AI711"/>
  <c r="AI486"/>
  <c r="AI576"/>
  <c r="AI657"/>
  <c r="AI744"/>
  <c r="AI564"/>
  <c r="AI642"/>
  <c r="AI723"/>
  <c r="AI503"/>
  <c r="AN503" s="1"/>
  <c r="AP503" s="1"/>
  <c r="AS503" s="1"/>
  <c r="AI593"/>
  <c r="AI684"/>
  <c r="AN684" s="1"/>
  <c r="AP684" s="1"/>
  <c r="AS684" s="1"/>
  <c r="AI770"/>
  <c r="AI854"/>
  <c r="AI771"/>
  <c r="AI843"/>
  <c r="AI926"/>
  <c r="AI987"/>
  <c r="AI826"/>
  <c r="AI905"/>
  <c r="AI976"/>
  <c r="AI818"/>
  <c r="AN818" s="1"/>
  <c r="AP818" s="1"/>
  <c r="AS818" s="1"/>
  <c r="AI897"/>
  <c r="AI964"/>
  <c r="AI1016"/>
  <c r="AN1016" s="1"/>
  <c r="AP1016" s="1"/>
  <c r="AS1016" s="1"/>
  <c r="AI1032"/>
  <c r="AN1032" s="1"/>
  <c r="AP1032" s="1"/>
  <c r="AS1032" s="1"/>
  <c r="AI1048"/>
  <c r="AI1064"/>
  <c r="AN1064" s="1"/>
  <c r="AP1064" s="1"/>
  <c r="AS1064" s="1"/>
  <c r="AI775"/>
  <c r="AI851"/>
  <c r="AI933"/>
  <c r="AN933" s="1"/>
  <c r="AP933" s="1"/>
  <c r="AS933" s="1"/>
  <c r="AI997"/>
  <c r="AI1135"/>
  <c r="AI1199"/>
  <c r="AI1627"/>
  <c r="AI1484"/>
  <c r="AI1791"/>
  <c r="AN1791" s="1"/>
  <c r="AP1791" s="1"/>
  <c r="AS1791" s="1"/>
  <c r="AI1436"/>
  <c r="AI1358"/>
  <c r="AI1559"/>
  <c r="AI1550"/>
  <c r="AI1298"/>
  <c r="AI1729"/>
  <c r="AI1685"/>
  <c r="AI1524"/>
  <c r="AN1524" s="1"/>
  <c r="AP1524" s="1"/>
  <c r="AS1524" s="1"/>
  <c r="AI1310"/>
  <c r="AI1386"/>
  <c r="AI1671"/>
  <c r="AN1671" s="1"/>
  <c r="AP1671" s="1"/>
  <c r="AS1671" s="1"/>
  <c r="AI1368"/>
  <c r="AI1553"/>
  <c r="AI1842"/>
  <c r="AI1765"/>
  <c r="AI1329"/>
  <c r="AI1470"/>
  <c r="AI1285"/>
  <c r="AI1688"/>
  <c r="AI1505"/>
  <c r="AI1662"/>
  <c r="AN1662" s="1"/>
  <c r="AP1662" s="1"/>
  <c r="AS1662" s="1"/>
  <c r="AI1783"/>
  <c r="AI1590"/>
  <c r="AI1730"/>
  <c r="AI1639"/>
  <c r="AI1331"/>
  <c r="AI1696"/>
  <c r="AN1696" s="1"/>
  <c r="AP1696" s="1"/>
  <c r="AS1696" s="1"/>
  <c r="AI1725"/>
  <c r="AI1755"/>
  <c r="AI1538"/>
  <c r="AI1693"/>
  <c r="AI1822"/>
  <c r="AN1822" s="1"/>
  <c r="AP1822" s="1"/>
  <c r="AS1822" s="1"/>
  <c r="AI1763"/>
  <c r="AI80"/>
  <c r="AI119"/>
  <c r="AI183"/>
  <c r="AI86"/>
  <c r="AI162"/>
  <c r="AI213"/>
  <c r="AI295"/>
  <c r="AI359"/>
  <c r="AN359" s="1"/>
  <c r="AP359" s="1"/>
  <c r="AS359" s="1"/>
  <c r="AI257"/>
  <c r="AI514"/>
  <c r="AI719"/>
  <c r="AI665"/>
  <c r="AI650"/>
  <c r="AI595"/>
  <c r="AI72"/>
  <c r="AI117"/>
  <c r="AN117" s="1"/>
  <c r="AP117" s="1"/>
  <c r="AS117" s="1"/>
  <c r="AI181"/>
  <c r="AI85"/>
  <c r="AI140"/>
  <c r="AN140" s="1"/>
  <c r="AP140" s="1"/>
  <c r="AS140" s="1"/>
  <c r="AI210"/>
  <c r="AN210" s="1"/>
  <c r="AP210" s="1"/>
  <c r="AS210" s="1"/>
  <c r="AI455"/>
  <c r="AN455" s="1"/>
  <c r="AP455" s="1"/>
  <c r="AS455" s="1"/>
  <c r="AI337"/>
  <c r="AN337" s="1"/>
  <c r="AP337" s="1"/>
  <c r="AS337" s="1"/>
  <c r="AI404"/>
  <c r="AI424"/>
  <c r="AI35"/>
  <c r="AN35" s="1"/>
  <c r="AP35" s="1"/>
  <c r="AS35" s="1"/>
  <c r="AI342"/>
  <c r="AN342" s="1"/>
  <c r="AP342" s="1"/>
  <c r="AS342" s="1"/>
  <c r="AI441"/>
  <c r="AN441" s="1"/>
  <c r="AP441" s="1"/>
  <c r="AS441" s="1"/>
  <c r="AI710"/>
  <c r="AI485"/>
  <c r="AI571"/>
  <c r="AI656"/>
  <c r="AI737"/>
  <c r="AI556"/>
  <c r="AI635"/>
  <c r="AI722"/>
  <c r="AI489"/>
  <c r="AI592"/>
  <c r="AI677"/>
  <c r="AI762"/>
  <c r="AI847"/>
  <c r="AI911"/>
  <c r="AI840"/>
  <c r="AI919"/>
  <c r="AN919" s="1"/>
  <c r="AP919" s="1"/>
  <c r="AS919" s="1"/>
  <c r="AI986"/>
  <c r="AI820"/>
  <c r="AI899"/>
  <c r="AN899" s="1"/>
  <c r="AP899" s="1"/>
  <c r="AS899" s="1"/>
  <c r="AI975"/>
  <c r="AI812"/>
  <c r="AI891"/>
  <c r="AI963"/>
  <c r="AI1015"/>
  <c r="AI1031"/>
  <c r="AN1031" s="1"/>
  <c r="AP1031" s="1"/>
  <c r="AS1031" s="1"/>
  <c r="AI1047"/>
  <c r="AN1047" s="1"/>
  <c r="AP1047" s="1"/>
  <c r="AS1047" s="1"/>
  <c r="AI1063"/>
  <c r="AN1063" s="1"/>
  <c r="AP1063" s="1"/>
  <c r="AS1063" s="1"/>
  <c r="AI768"/>
  <c r="AI848"/>
  <c r="AN848" s="1"/>
  <c r="AP848" s="1"/>
  <c r="AS848" s="1"/>
  <c r="AI925"/>
  <c r="AN925" s="1"/>
  <c r="AP925" s="1"/>
  <c r="AS925" s="1"/>
  <c r="AI984"/>
  <c r="AI1131"/>
  <c r="AI1195"/>
  <c r="AI1244"/>
  <c r="AI1108"/>
  <c r="AI1172"/>
  <c r="AI1242"/>
  <c r="AI1125"/>
  <c r="AI1189"/>
  <c r="AI1254"/>
  <c r="AI1118"/>
  <c r="AN1118" s="1"/>
  <c r="AP1118" s="1"/>
  <c r="AS1118" s="1"/>
  <c r="AI1182"/>
  <c r="AN1182" s="1"/>
  <c r="AP1182" s="1"/>
  <c r="AS1182" s="1"/>
  <c r="AI1248"/>
  <c r="AI99"/>
  <c r="AI401"/>
  <c r="AI292"/>
  <c r="AI324"/>
  <c r="AI356"/>
  <c r="AN356" s="1"/>
  <c r="AP356" s="1"/>
  <c r="AS356" s="1"/>
  <c r="AI388"/>
  <c r="AI245"/>
  <c r="AI262"/>
  <c r="AI502"/>
  <c r="AI580"/>
  <c r="AI679"/>
  <c r="AN679" s="1"/>
  <c r="AP679" s="1"/>
  <c r="AS679" s="1"/>
  <c r="AI763"/>
  <c r="AI547"/>
  <c r="AN547" s="1"/>
  <c r="AP547" s="1"/>
  <c r="AS547" s="1"/>
  <c r="AI625"/>
  <c r="AI712"/>
  <c r="AI525"/>
  <c r="AI610"/>
  <c r="AN610" s="1"/>
  <c r="AP610" s="1"/>
  <c r="AS610" s="1"/>
  <c r="AI691"/>
  <c r="AI469"/>
  <c r="AN469" s="1"/>
  <c r="AP469" s="1"/>
  <c r="AS469" s="1"/>
  <c r="AI561"/>
  <c r="AI652"/>
  <c r="AI740"/>
  <c r="AI830"/>
  <c r="AI894"/>
  <c r="AI811"/>
  <c r="AI901"/>
  <c r="AI969"/>
  <c r="AI791"/>
  <c r="AN791" s="1"/>
  <c r="AP791" s="1"/>
  <c r="AS791" s="1"/>
  <c r="AI873"/>
  <c r="AN873" s="1"/>
  <c r="AP873" s="1"/>
  <c r="AS873" s="1"/>
  <c r="AI958"/>
  <c r="AN958" s="1"/>
  <c r="AP958" s="1"/>
  <c r="AS958" s="1"/>
  <c r="AI782"/>
  <c r="AI865"/>
  <c r="AI946"/>
  <c r="AI1010"/>
  <c r="AI1026"/>
  <c r="AI1042"/>
  <c r="AI1058"/>
  <c r="AN1058" s="1"/>
  <c r="AP1058" s="1"/>
  <c r="AS1058" s="1"/>
  <c r="AI1074"/>
  <c r="AN1074" s="1"/>
  <c r="AP1074" s="1"/>
  <c r="AS1074" s="1"/>
  <c r="AI819"/>
  <c r="AI909"/>
  <c r="AN909" s="1"/>
  <c r="AP909" s="1"/>
  <c r="AS909" s="1"/>
  <c r="AI967"/>
  <c r="AI1111"/>
  <c r="AI1175"/>
  <c r="AI1227"/>
  <c r="AI1088"/>
  <c r="AI1152"/>
  <c r="AI1225"/>
  <c r="AI1105"/>
  <c r="AI1169"/>
  <c r="AN1169" s="1"/>
  <c r="AP1169" s="1"/>
  <c r="AS1169" s="1"/>
  <c r="AI1237"/>
  <c r="AI1098"/>
  <c r="AI1162"/>
  <c r="AN1162" s="1"/>
  <c r="AP1162" s="1"/>
  <c r="AS1162" s="1"/>
  <c r="AI1231"/>
  <c r="AI59"/>
  <c r="AN59" s="1"/>
  <c r="AP59" s="1"/>
  <c r="AS59" s="1"/>
  <c r="AI255"/>
  <c r="AI252"/>
  <c r="AI314"/>
  <c r="AN314" s="1"/>
  <c r="AP314" s="1"/>
  <c r="AS314" s="1"/>
  <c r="AI346"/>
  <c r="AN346" s="1"/>
  <c r="AP346" s="1"/>
  <c r="AS346" s="1"/>
  <c r="AI378"/>
  <c r="AI440"/>
  <c r="AI442"/>
  <c r="AI459"/>
  <c r="AN459" s="1"/>
  <c r="AP459" s="1"/>
  <c r="AS459" s="1"/>
  <c r="AI533"/>
  <c r="AI654"/>
  <c r="AN654" s="1"/>
  <c r="AP654" s="1"/>
  <c r="AS654" s="1"/>
  <c r="AI742"/>
  <c r="AN742" s="1"/>
  <c r="AP742" s="1"/>
  <c r="AS742" s="1"/>
  <c r="AI513"/>
  <c r="AI602"/>
  <c r="AN602" s="1"/>
  <c r="AP602" s="1"/>
  <c r="AS602" s="1"/>
  <c r="AI688"/>
  <c r="AN688" s="1"/>
  <c r="AP688" s="1"/>
  <c r="AS688" s="1"/>
  <c r="AI491"/>
  <c r="AI589"/>
  <c r="AI667"/>
  <c r="AI753"/>
  <c r="AN753" s="1"/>
  <c r="AP753" s="1"/>
  <c r="AS753" s="1"/>
  <c r="AI535"/>
  <c r="AI628"/>
  <c r="AI709"/>
  <c r="AI799"/>
  <c r="AI871"/>
  <c r="AI794"/>
  <c r="AI872"/>
  <c r="AN872" s="1"/>
  <c r="AP872" s="1"/>
  <c r="AS872" s="1"/>
  <c r="AI940"/>
  <c r="AN940" s="1"/>
  <c r="AP940" s="1"/>
  <c r="AS940" s="1"/>
  <c r="AI1004"/>
  <c r="AI852"/>
  <c r="AN852" s="1"/>
  <c r="AP852" s="1"/>
  <c r="AS852" s="1"/>
  <c r="AI941"/>
  <c r="AN941" s="1"/>
  <c r="AP941" s="1"/>
  <c r="AS941" s="1"/>
  <c r="AI1005"/>
  <c r="AI844"/>
  <c r="AI923"/>
  <c r="AI993"/>
  <c r="AI1021"/>
  <c r="AI1037"/>
  <c r="AN1037" s="1"/>
  <c r="AP1037" s="1"/>
  <c r="AS1037" s="1"/>
  <c r="AI1053"/>
  <c r="AN1053" s="1"/>
  <c r="AP1053" s="1"/>
  <c r="AS1053" s="1"/>
  <c r="AI1069"/>
  <c r="AN1069" s="1"/>
  <c r="AP1069" s="1"/>
  <c r="AS1069" s="1"/>
  <c r="AI798"/>
  <c r="AI880"/>
  <c r="AI950"/>
  <c r="AI1091"/>
  <c r="AI1155"/>
  <c r="AI1210"/>
  <c r="AI1262"/>
  <c r="AI1132"/>
  <c r="AI1196"/>
  <c r="AN1196" s="1"/>
  <c r="AP1196" s="1"/>
  <c r="AS1196" s="1"/>
  <c r="AI1272"/>
  <c r="AI1149"/>
  <c r="AI1220"/>
  <c r="AI1082"/>
  <c r="AN1082" s="1"/>
  <c r="AP1082" s="1"/>
  <c r="AS1082" s="1"/>
  <c r="AI1142"/>
  <c r="AN1142" s="1"/>
  <c r="AP1142" s="1"/>
  <c r="AS1142" s="1"/>
  <c r="AI1206"/>
  <c r="AN1206" s="1"/>
  <c r="AP1206" s="1"/>
  <c r="AS1206" s="1"/>
  <c r="AI1266"/>
  <c r="AN1266" s="1"/>
  <c r="AP1266" s="1"/>
  <c r="AS1266" s="1"/>
  <c r="AI217"/>
  <c r="AI419"/>
  <c r="AI296"/>
  <c r="AN296" s="1"/>
  <c r="AP296" s="1"/>
  <c r="AS296" s="1"/>
  <c r="AI328"/>
  <c r="AN328" s="1"/>
  <c r="AP328" s="1"/>
  <c r="AS328" s="1"/>
  <c r="AI360"/>
  <c r="AI392"/>
  <c r="AN392" s="1"/>
  <c r="AP392" s="1"/>
  <c r="AS392" s="1"/>
  <c r="AI261"/>
  <c r="AI278"/>
  <c r="AI518"/>
  <c r="AI604"/>
  <c r="AN604" s="1"/>
  <c r="AP604" s="1"/>
  <c r="AS604" s="1"/>
  <c r="AI694"/>
  <c r="AI460"/>
  <c r="AI555"/>
  <c r="AI640"/>
  <c r="AI721"/>
  <c r="AN721" s="1"/>
  <c r="AP721" s="1"/>
  <c r="AS721" s="1"/>
  <c r="AI540"/>
  <c r="AN540" s="1"/>
  <c r="AP540" s="1"/>
  <c r="AS540" s="1"/>
  <c r="AI619"/>
  <c r="AI706"/>
  <c r="AI472"/>
  <c r="AI584"/>
  <c r="AN584" s="1"/>
  <c r="AP584" s="1"/>
  <c r="AS584" s="1"/>
  <c r="AI661"/>
  <c r="AI746"/>
  <c r="AI838"/>
  <c r="AN838" s="1"/>
  <c r="AP838" s="1"/>
  <c r="AS838" s="1"/>
  <c r="AI902"/>
  <c r="AI828"/>
  <c r="AI907"/>
  <c r="AN907" s="1"/>
  <c r="AP907" s="1"/>
  <c r="AS907" s="1"/>
  <c r="AI971"/>
  <c r="AN971" s="1"/>
  <c r="AP971" s="1"/>
  <c r="AS971" s="1"/>
  <c r="AI800"/>
  <c r="AI890"/>
  <c r="AI960"/>
  <c r="AN960" s="1"/>
  <c r="AP960" s="1"/>
  <c r="AS960" s="1"/>
  <c r="AI792"/>
  <c r="AI882"/>
  <c r="AI948"/>
  <c r="AI1012"/>
  <c r="AI1028"/>
  <c r="AN1028" s="1"/>
  <c r="AP1028" s="1"/>
  <c r="AS1028" s="1"/>
  <c r="AI1044"/>
  <c r="AI1060"/>
  <c r="AI1076"/>
  <c r="AI836"/>
  <c r="AI916"/>
  <c r="AI981"/>
  <c r="AN981" s="1"/>
  <c r="AP981" s="1"/>
  <c r="AS981" s="1"/>
  <c r="AI1119"/>
  <c r="AI1183"/>
  <c r="AN1183" s="1"/>
  <c r="AP1183" s="1"/>
  <c r="AS1183" s="1"/>
  <c r="AI32"/>
  <c r="AC6"/>
  <c r="AD6" s="1"/>
  <c r="AF6" s="1"/>
  <c r="AH6" s="1"/>
  <c r="AR6" s="1"/>
  <c r="AC4"/>
  <c r="AD4" s="1"/>
  <c r="AF4" s="1"/>
  <c r="AH4" s="1"/>
  <c r="AR4" s="1"/>
  <c r="AC8"/>
  <c r="AD8" s="1"/>
  <c r="AF8" s="1"/>
  <c r="AH8" s="1"/>
  <c r="AR8" s="1"/>
  <c r="AI1265"/>
  <c r="AI1202"/>
  <c r="AI1138"/>
  <c r="AI1080"/>
  <c r="AI1219"/>
  <c r="AN1219" s="1"/>
  <c r="AP1219" s="1"/>
  <c r="AS1219" s="1"/>
  <c r="AI1145"/>
  <c r="AI1271"/>
  <c r="AI1192"/>
  <c r="AI1128"/>
  <c r="AN1128" s="1"/>
  <c r="AP1128" s="1"/>
  <c r="AS1128" s="1"/>
  <c r="AI1261"/>
  <c r="AN1261" s="1"/>
  <c r="AP1261" s="1"/>
  <c r="AS1261" s="1"/>
  <c r="AI1167"/>
  <c r="AI813"/>
  <c r="AI1024"/>
  <c r="AI1008"/>
  <c r="AI955"/>
  <c r="AI815"/>
  <c r="AN815" s="1"/>
  <c r="AP815" s="1"/>
  <c r="AS815" s="1"/>
  <c r="AI464"/>
  <c r="AI704"/>
  <c r="AI670"/>
  <c r="AN670" s="1"/>
  <c r="AP670" s="1"/>
  <c r="AS670" s="1"/>
  <c r="AI461"/>
  <c r="AN461" s="1"/>
  <c r="AP461" s="1"/>
  <c r="AS461" s="1"/>
  <c r="AI276"/>
  <c r="AI1190"/>
  <c r="AI1133"/>
  <c r="AI1246"/>
  <c r="AN1246" s="1"/>
  <c r="AP1246" s="1"/>
  <c r="AS1246" s="1"/>
  <c r="AI934"/>
  <c r="AI1049"/>
  <c r="AI908"/>
  <c r="AN908" s="1"/>
  <c r="AP908" s="1"/>
  <c r="AS908" s="1"/>
  <c r="AI829"/>
  <c r="AN829" s="1"/>
  <c r="AP829" s="1"/>
  <c r="AS829" s="1"/>
  <c r="AI773"/>
  <c r="AN773" s="1"/>
  <c r="AP773" s="1"/>
  <c r="AS773" s="1"/>
  <c r="AI594"/>
  <c r="AN594" s="1"/>
  <c r="AP594" s="1"/>
  <c r="AS594" s="1"/>
  <c r="AI568"/>
  <c r="AN568" s="1"/>
  <c r="AP568" s="1"/>
  <c r="AS568" s="1"/>
  <c r="AI488"/>
  <c r="AN488" s="1"/>
  <c r="AP488" s="1"/>
  <c r="AS488" s="1"/>
  <c r="AI427"/>
  <c r="AI338"/>
  <c r="AI199"/>
  <c r="AI1221"/>
  <c r="AI1136"/>
  <c r="AI1095"/>
  <c r="AN1095" s="1"/>
  <c r="AP1095" s="1"/>
  <c r="AS1095" s="1"/>
  <c r="AI1070"/>
  <c r="AI994"/>
  <c r="AI942"/>
  <c r="AI875"/>
  <c r="AI716"/>
  <c r="AI674"/>
  <c r="AI608"/>
  <c r="AN608" s="1"/>
  <c r="AP608" s="1"/>
  <c r="AS608" s="1"/>
  <c r="AI542"/>
  <c r="AI380"/>
  <c r="AN380" s="1"/>
  <c r="AP380" s="1"/>
  <c r="AS380" s="1"/>
  <c r="AI263"/>
  <c r="AI1102"/>
  <c r="AI1226"/>
  <c r="AI1179"/>
  <c r="AI825"/>
  <c r="AI1027"/>
  <c r="AI787"/>
  <c r="AI970"/>
  <c r="AI831"/>
  <c r="AN831" s="1"/>
  <c r="AP831" s="1"/>
  <c r="AS831" s="1"/>
  <c r="AI471"/>
  <c r="AI720"/>
  <c r="AI686"/>
  <c r="AI250"/>
  <c r="AI188"/>
  <c r="AN188" s="1"/>
  <c r="AP188" s="1"/>
  <c r="AS188" s="1"/>
  <c r="AI98"/>
  <c r="AN98" s="1"/>
  <c r="AP98" s="1"/>
  <c r="AS98" s="1"/>
  <c r="AI603"/>
  <c r="AI343"/>
  <c r="AN343" s="1"/>
  <c r="AP343" s="1"/>
  <c r="AS343" s="1"/>
  <c r="AI207"/>
  <c r="AI1601"/>
  <c r="AN1601" s="1"/>
  <c r="AP1601" s="1"/>
  <c r="AS1601" s="1"/>
  <c r="AI1578"/>
  <c r="AI1599"/>
  <c r="AN1599" s="1"/>
  <c r="AP1599" s="1"/>
  <c r="AS1599" s="1"/>
  <c r="AI1312"/>
  <c r="AI1354"/>
  <c r="AI1353"/>
  <c r="AI1376"/>
  <c r="AI1467"/>
  <c r="AI1401"/>
  <c r="AI1217"/>
  <c r="AI1154"/>
  <c r="AI1090"/>
  <c r="AI1235"/>
  <c r="AN1235" s="1"/>
  <c r="AP1235" s="1"/>
  <c r="AS1235" s="1"/>
  <c r="AI1161"/>
  <c r="AI1097"/>
  <c r="AI1223"/>
  <c r="AI1144"/>
  <c r="AI1083"/>
  <c r="AI1213"/>
  <c r="AI900"/>
  <c r="AN900" s="1"/>
  <c r="AP900" s="1"/>
  <c r="AS900" s="1"/>
  <c r="AI1040"/>
  <c r="AN1040" s="1"/>
  <c r="AP1040" s="1"/>
  <c r="AS1040" s="1"/>
  <c r="AI856"/>
  <c r="AI781"/>
  <c r="AN781" s="1"/>
  <c r="AP781" s="1"/>
  <c r="AS781" s="1"/>
  <c r="AI886"/>
  <c r="AN886" s="1"/>
  <c r="AP886" s="1"/>
  <c r="AS886" s="1"/>
  <c r="AI549"/>
  <c r="AN549" s="1"/>
  <c r="AP549" s="1"/>
  <c r="AS549" s="1"/>
  <c r="AI509"/>
  <c r="AN509" s="1"/>
  <c r="AP509" s="1"/>
  <c r="AS509" s="1"/>
  <c r="AI755"/>
  <c r="AI246"/>
  <c r="AN246" s="1"/>
  <c r="AP246" s="1"/>
  <c r="AS246" s="1"/>
  <c r="AI320"/>
  <c r="AI1250"/>
  <c r="AN1250" s="1"/>
  <c r="AP1250" s="1"/>
  <c r="AS1250" s="1"/>
  <c r="AI1197"/>
  <c r="AI1116"/>
  <c r="AI998"/>
  <c r="AI1065"/>
  <c r="AN1065" s="1"/>
  <c r="AP1065" s="1"/>
  <c r="AS1065" s="1"/>
  <c r="AI977"/>
  <c r="AI920"/>
  <c r="AI849"/>
  <c r="AI692"/>
  <c r="AI643"/>
  <c r="AN643" s="1"/>
  <c r="AP643" s="1"/>
  <c r="AS643" s="1"/>
  <c r="AI577"/>
  <c r="AI492"/>
  <c r="AN492" s="1"/>
  <c r="AP492" s="1"/>
  <c r="AS492" s="1"/>
  <c r="AI370"/>
  <c r="AN370" s="1"/>
  <c r="AP370" s="1"/>
  <c r="AS370" s="1"/>
  <c r="AI222"/>
  <c r="AI1084"/>
  <c r="AN1084" s="1"/>
  <c r="AP1084" s="1"/>
  <c r="AS1084" s="1"/>
  <c r="AI1200"/>
  <c r="AI1159"/>
  <c r="AI804"/>
  <c r="AI1022"/>
  <c r="AI1006"/>
  <c r="AI953"/>
  <c r="AI807"/>
  <c r="AN807" s="1"/>
  <c r="AP807" s="1"/>
  <c r="AS807" s="1"/>
  <c r="AI757"/>
  <c r="AI689"/>
  <c r="AI662"/>
  <c r="AI447"/>
  <c r="AI260"/>
  <c r="AN260" s="1"/>
  <c r="AP260" s="1"/>
  <c r="AS260" s="1"/>
  <c r="AI1166"/>
  <c r="AI1109"/>
  <c r="AN1109" s="1"/>
  <c r="AP1109" s="1"/>
  <c r="AS1109" s="1"/>
  <c r="AI1228"/>
  <c r="AI912"/>
  <c r="AI1043"/>
  <c r="AI876"/>
  <c r="AI796"/>
  <c r="AI895"/>
  <c r="AI565"/>
  <c r="AI532"/>
  <c r="AI453"/>
  <c r="AN453" s="1"/>
  <c r="AP453" s="1"/>
  <c r="AS453" s="1"/>
  <c r="AI562"/>
  <c r="AI283"/>
  <c r="AN283" s="1"/>
  <c r="AP283" s="1"/>
  <c r="AS283" s="1"/>
  <c r="AI165"/>
  <c r="AI590"/>
  <c r="AN590" s="1"/>
  <c r="AP590" s="1"/>
  <c r="AS590" s="1"/>
  <c r="AI425"/>
  <c r="AN425" s="1"/>
  <c r="AP425" s="1"/>
  <c r="AS425" s="1"/>
  <c r="AI146"/>
  <c r="AI1273"/>
  <c r="AI1815"/>
  <c r="AN1815" s="1"/>
  <c r="AP1815" s="1"/>
  <c r="AS1815" s="1"/>
  <c r="AI1421"/>
  <c r="AI1402"/>
  <c r="AI1644"/>
  <c r="AN1644" s="1"/>
  <c r="AP1644" s="1"/>
  <c r="AS1644" s="1"/>
  <c r="AI1679"/>
  <c r="AI1835"/>
  <c r="AI1314"/>
  <c r="AN1314" s="1"/>
  <c r="AP1314" s="1"/>
  <c r="AS1314" s="1"/>
  <c r="AI1819"/>
  <c r="AI1233"/>
  <c r="AI1170"/>
  <c r="AI1106"/>
  <c r="AN1106" s="1"/>
  <c r="AP1106" s="1"/>
  <c r="AS1106" s="1"/>
  <c r="AI1251"/>
  <c r="AI1177"/>
  <c r="AI1113"/>
  <c r="AI1239"/>
  <c r="AI1160"/>
  <c r="AN1160" s="1"/>
  <c r="AP1160" s="1"/>
  <c r="AS1160" s="1"/>
  <c r="AI1096"/>
  <c r="AI1229"/>
  <c r="AI965"/>
  <c r="AI1056"/>
  <c r="AI932"/>
  <c r="AN932" s="1"/>
  <c r="AP932" s="1"/>
  <c r="AS932" s="1"/>
  <c r="AI864"/>
  <c r="AI805"/>
  <c r="AI644"/>
  <c r="AI597"/>
  <c r="AI536"/>
  <c r="AN536" s="1"/>
  <c r="AP536" s="1"/>
  <c r="AS536" s="1"/>
  <c r="AI484"/>
  <c r="AI352"/>
  <c r="AN352" s="1"/>
  <c r="AP352" s="1"/>
  <c r="AS352" s="1"/>
  <c r="AI83"/>
  <c r="AN83" s="1"/>
  <c r="AP83" s="1"/>
  <c r="AS83" s="1"/>
  <c r="AI1268"/>
  <c r="AI1180"/>
  <c r="AI1139"/>
  <c r="AN1139" s="1"/>
  <c r="AP1139" s="1"/>
  <c r="AS1139" s="1"/>
  <c r="AI777"/>
  <c r="AN777" s="1"/>
  <c r="AP777" s="1"/>
  <c r="AS777" s="1"/>
  <c r="AI1017"/>
  <c r="AI989"/>
  <c r="AI927"/>
  <c r="AN927" s="1"/>
  <c r="AP927" s="1"/>
  <c r="AS927" s="1"/>
  <c r="AI774"/>
  <c r="AN774" s="1"/>
  <c r="AP774" s="1"/>
  <c r="AS774" s="1"/>
  <c r="AI731"/>
  <c r="AI664"/>
  <c r="AN664" s="1"/>
  <c r="AP664" s="1"/>
  <c r="AS664" s="1"/>
  <c r="AI631"/>
  <c r="AI408"/>
  <c r="AI212"/>
  <c r="AI1146"/>
  <c r="AN1146" s="1"/>
  <c r="AP1146" s="1"/>
  <c r="AS1146" s="1"/>
  <c r="AI1089"/>
  <c r="AI1211"/>
  <c r="AI883"/>
  <c r="AI1038"/>
  <c r="AI850"/>
  <c r="AN850" s="1"/>
  <c r="AP850" s="1"/>
  <c r="AS850" s="1"/>
  <c r="AI769"/>
  <c r="AI878"/>
  <c r="AN878" s="1"/>
  <c r="AP878" s="1"/>
  <c r="AS878" s="1"/>
  <c r="AI541"/>
  <c r="AI493"/>
  <c r="AI743"/>
  <c r="AN743" s="1"/>
  <c r="AP743" s="1"/>
  <c r="AS743" s="1"/>
  <c r="AI449"/>
  <c r="AN449" s="1"/>
  <c r="AP449" s="1"/>
  <c r="AS449" s="1"/>
  <c r="AI316"/>
  <c r="AI1232"/>
  <c r="AI1173"/>
  <c r="AN1173" s="1"/>
  <c r="AP1173" s="1"/>
  <c r="AS1173" s="1"/>
  <c r="AI1092"/>
  <c r="AN1092" s="1"/>
  <c r="AP1092" s="1"/>
  <c r="AS1092" s="1"/>
  <c r="AI968"/>
  <c r="AI1059"/>
  <c r="AI947"/>
  <c r="AI884"/>
  <c r="AI817"/>
  <c r="AI660"/>
  <c r="AI611"/>
  <c r="AI551"/>
  <c r="AI310"/>
  <c r="AI321"/>
  <c r="AI100"/>
  <c r="AI537"/>
  <c r="AI445"/>
  <c r="AI47"/>
  <c r="AI103"/>
  <c r="AN103" s="1"/>
  <c r="AP103" s="1"/>
  <c r="AS103" s="1"/>
  <c r="AI1697"/>
  <c r="AI1328"/>
  <c r="AI1565"/>
  <c r="AI1385"/>
  <c r="AI1351"/>
  <c r="AI1277"/>
  <c r="AI1837"/>
  <c r="AI1390"/>
  <c r="AN1390" s="1"/>
  <c r="AP1390" s="1"/>
  <c r="AS1390" s="1"/>
  <c r="AO81"/>
  <c r="AR81" s="1"/>
  <c r="AO1003"/>
  <c r="AR1003" s="1"/>
  <c r="AO51"/>
  <c r="AR51" s="1"/>
  <c r="AN988"/>
  <c r="AP988" s="1"/>
  <c r="AS988" s="1"/>
  <c r="AO71"/>
  <c r="AR71" s="1"/>
  <c r="AN1075"/>
  <c r="AP1075" s="1"/>
  <c r="AS1075" s="1"/>
  <c r="AO97"/>
  <c r="AR97" s="1"/>
  <c r="AO54"/>
  <c r="AR54" s="1"/>
  <c r="AO845"/>
  <c r="AR845" s="1"/>
  <c r="AO1574"/>
  <c r="AR1574" s="1"/>
  <c r="AO1314"/>
  <c r="AR1314" s="1"/>
  <c r="AO1759"/>
  <c r="AR1759" s="1"/>
  <c r="AO1480"/>
  <c r="AR1480" s="1"/>
  <c r="AO1792"/>
  <c r="AR1792" s="1"/>
  <c r="AO1797"/>
  <c r="AR1797" s="1"/>
  <c r="AO1791"/>
  <c r="AR1791" s="1"/>
  <c r="AO1485"/>
  <c r="AR1485" s="1"/>
  <c r="AO1708"/>
  <c r="AR1708" s="1"/>
  <c r="AO1290"/>
  <c r="AR1290" s="1"/>
  <c r="AO1420"/>
  <c r="AR1420" s="1"/>
  <c r="AO1687"/>
  <c r="AR1687" s="1"/>
  <c r="AO1369"/>
  <c r="AR1369" s="1"/>
  <c r="AO1551"/>
  <c r="AR1551" s="1"/>
  <c r="AO1429"/>
  <c r="AR1429" s="1"/>
  <c r="AO1704"/>
  <c r="AR1704" s="1"/>
  <c r="AO1787"/>
  <c r="AR1787" s="1"/>
  <c r="AO1727"/>
  <c r="AR1727" s="1"/>
  <c r="AO1855"/>
  <c r="AR1855" s="1"/>
  <c r="AO1634"/>
  <c r="AR1634" s="1"/>
  <c r="AO1552"/>
  <c r="AR1552" s="1"/>
  <c r="AO1828"/>
  <c r="AR1828" s="1"/>
  <c r="AO1557"/>
  <c r="AR1557" s="1"/>
  <c r="AO1367"/>
  <c r="AR1367" s="1"/>
  <c r="AO1750"/>
  <c r="AR1750" s="1"/>
  <c r="AO1462"/>
  <c r="AR1462" s="1"/>
  <c r="AO1626"/>
  <c r="AR1626" s="1"/>
  <c r="AN1626"/>
  <c r="AP1626" s="1"/>
  <c r="AS1626" s="1"/>
  <c r="AO1536"/>
  <c r="AR1536" s="1"/>
  <c r="AO1442"/>
  <c r="AR1442" s="1"/>
  <c r="AO1319"/>
  <c r="AR1319" s="1"/>
  <c r="AO1571"/>
  <c r="AR1571" s="1"/>
  <c r="AO1599"/>
  <c r="AR1599" s="1"/>
  <c r="AO1733"/>
  <c r="AR1733" s="1"/>
  <c r="AO1465"/>
  <c r="AR1465" s="1"/>
  <c r="AO1542"/>
  <c r="AR1542" s="1"/>
  <c r="AO1794"/>
  <c r="AR1794" s="1"/>
  <c r="AO1852"/>
  <c r="AR1852" s="1"/>
  <c r="AO1581"/>
  <c r="AR1581" s="1"/>
  <c r="AO1744"/>
  <c r="AR1744" s="1"/>
  <c r="AO1371"/>
  <c r="AR1371" s="1"/>
  <c r="AO1384"/>
  <c r="AR1384" s="1"/>
  <c r="AO1746"/>
  <c r="AR1746" s="1"/>
  <c r="AO1423"/>
  <c r="AR1423" s="1"/>
  <c r="AO1440"/>
  <c r="AR1440" s="1"/>
  <c r="AO1710"/>
  <c r="AR1710" s="1"/>
  <c r="AO1460"/>
  <c r="AR1460" s="1"/>
  <c r="AO1550"/>
  <c r="AR1550" s="1"/>
  <c r="AO1416"/>
  <c r="AR1416" s="1"/>
  <c r="AO1286"/>
  <c r="AR1286" s="1"/>
  <c r="AO1289"/>
  <c r="AR1289" s="1"/>
  <c r="AO1514"/>
  <c r="AR1514" s="1"/>
  <c r="AO1502"/>
  <c r="AR1502" s="1"/>
  <c r="AO1812"/>
  <c r="AR1812" s="1"/>
  <c r="AO1832"/>
  <c r="AR1832" s="1"/>
  <c r="AO1595"/>
  <c r="AR1595" s="1"/>
  <c r="AO1793"/>
  <c r="AR1793" s="1"/>
  <c r="AO1647"/>
  <c r="AR1647" s="1"/>
  <c r="AO1670"/>
  <c r="AR1670" s="1"/>
  <c r="AO1650"/>
  <c r="AR1650" s="1"/>
  <c r="AO1671"/>
  <c r="AR1671" s="1"/>
  <c r="AO1767"/>
  <c r="AR1767" s="1"/>
  <c r="AN1767"/>
  <c r="AP1767" s="1"/>
  <c r="AS1767" s="1"/>
  <c r="AO1302"/>
  <c r="AR1302" s="1"/>
  <c r="AO1768"/>
  <c r="AR1768" s="1"/>
  <c r="AO1698"/>
  <c r="AR1698" s="1"/>
  <c r="AO1525"/>
  <c r="AR1525" s="1"/>
  <c r="AO1621"/>
  <c r="AR1621" s="1"/>
  <c r="AO1696"/>
  <c r="AR1696" s="1"/>
  <c r="AO1320"/>
  <c r="AR1320" s="1"/>
  <c r="AO1334"/>
  <c r="AR1334" s="1"/>
  <c r="AO1281"/>
  <c r="AR1281" s="1"/>
  <c r="AO1805"/>
  <c r="AR1805" s="1"/>
  <c r="AO1324"/>
  <c r="AR1324" s="1"/>
  <c r="AO1532"/>
  <c r="AR1532" s="1"/>
  <c r="AO1648"/>
  <c r="AR1648" s="1"/>
  <c r="AO1641"/>
  <c r="AR1641" s="1"/>
  <c r="AO1691"/>
  <c r="AR1691" s="1"/>
  <c r="AO1569"/>
  <c r="AR1569" s="1"/>
  <c r="AO1644"/>
  <c r="AR1644" s="1"/>
  <c r="AO1610"/>
  <c r="AR1610" s="1"/>
  <c r="AO1524"/>
  <c r="AR1524" s="1"/>
  <c r="AO1292"/>
  <c r="AR1292" s="1"/>
  <c r="AO1475"/>
  <c r="AR1475" s="1"/>
  <c r="AO1679"/>
  <c r="AR1679" s="1"/>
  <c r="AO1427"/>
  <c r="AR1427" s="1"/>
  <c r="AO1335"/>
  <c r="AR1335" s="1"/>
  <c r="AO1606"/>
  <c r="AR1606" s="1"/>
  <c r="AO1437"/>
  <c r="AR1437" s="1"/>
  <c r="AO1508"/>
  <c r="AR1508" s="1"/>
  <c r="AO1348"/>
  <c r="AR1348" s="1"/>
  <c r="AO1707"/>
  <c r="AR1707" s="1"/>
  <c r="AO1341"/>
  <c r="AR1341" s="1"/>
  <c r="AO1665"/>
  <c r="AR1665" s="1"/>
  <c r="AO1622"/>
  <c r="AR1622" s="1"/>
  <c r="AO1739"/>
  <c r="AR1739" s="1"/>
  <c r="AO1740"/>
  <c r="AR1740" s="1"/>
  <c r="AO1359"/>
  <c r="AR1359" s="1"/>
  <c r="AO1449"/>
  <c r="AR1449" s="1"/>
  <c r="AO1808"/>
  <c r="AR1808" s="1"/>
  <c r="AO1567"/>
  <c r="AR1567" s="1"/>
  <c r="AO1378"/>
  <c r="AR1378" s="1"/>
  <c r="AO1387"/>
  <c r="AR1387" s="1"/>
  <c r="AO1312"/>
  <c r="AR1312" s="1"/>
  <c r="AO1539"/>
  <c r="AR1539" s="1"/>
  <c r="AO1315"/>
  <c r="AR1315" s="1"/>
  <c r="AO1357"/>
  <c r="AR1357" s="1"/>
  <c r="AO1712"/>
  <c r="AR1712" s="1"/>
  <c r="AO1376"/>
  <c r="AR1376" s="1"/>
  <c r="AO1403"/>
  <c r="AR1403" s="1"/>
  <c r="AO1649"/>
  <c r="AR1649" s="1"/>
  <c r="AO1306"/>
  <c r="AR1306" s="1"/>
  <c r="AO1305"/>
  <c r="AR1305" s="1"/>
  <c r="AO1432"/>
  <c r="AR1432" s="1"/>
  <c r="AO1815"/>
  <c r="AR1815" s="1"/>
  <c r="AO1705"/>
  <c r="AR1705" s="1"/>
  <c r="AO1745"/>
  <c r="AR1745" s="1"/>
  <c r="AO1715"/>
  <c r="AR1715" s="1"/>
  <c r="AO1562"/>
  <c r="AR1562" s="1"/>
  <c r="AO1790"/>
  <c r="AR1790" s="1"/>
  <c r="AO1774"/>
  <c r="AR1774" s="1"/>
  <c r="AO1636"/>
  <c r="AR1636" s="1"/>
  <c r="AO1749"/>
  <c r="AR1749" s="1"/>
  <c r="AO1344"/>
  <c r="AR1344" s="1"/>
  <c r="AN1461"/>
  <c r="AP1461" s="1"/>
  <c r="AS1461" s="1"/>
  <c r="AO1461"/>
  <c r="AR1461" s="1"/>
  <c r="AO1583"/>
  <c r="AR1583" s="1"/>
  <c r="AO1510"/>
  <c r="AR1510" s="1"/>
  <c r="AO1751"/>
  <c r="AR1751" s="1"/>
  <c r="AO1457"/>
  <c r="AR1457" s="1"/>
  <c r="AO1521"/>
  <c r="AR1521" s="1"/>
  <c r="AO1278"/>
  <c r="AR1278" s="1"/>
  <c r="AO1491"/>
  <c r="AR1491" s="1"/>
  <c r="AO1675"/>
  <c r="AR1675" s="1"/>
  <c r="AO1824"/>
  <c r="AR1824" s="1"/>
  <c r="AO1798"/>
  <c r="AR1798" s="1"/>
  <c r="AO1831"/>
  <c r="AR1831" s="1"/>
  <c r="AO1681"/>
  <c r="AR1681" s="1"/>
  <c r="AO1601"/>
  <c r="AR1601" s="1"/>
  <c r="AO1773"/>
  <c r="AR1773" s="1"/>
  <c r="AO1563"/>
  <c r="AR1563" s="1"/>
  <c r="AO1631"/>
  <c r="AR1631" s="1"/>
  <c r="AO1826"/>
  <c r="AR1826" s="1"/>
  <c r="AO1747"/>
  <c r="AR1747" s="1"/>
  <c r="AO1689"/>
  <c r="AR1689" s="1"/>
  <c r="AO1537"/>
  <c r="AR1537" s="1"/>
  <c r="AO1578"/>
  <c r="AR1578" s="1"/>
  <c r="AO1422"/>
  <c r="AR1422" s="1"/>
  <c r="AO1549"/>
  <c r="AR1549" s="1"/>
  <c r="AO1377"/>
  <c r="AR1377" s="1"/>
  <c r="AO1527"/>
  <c r="AR1527" s="1"/>
  <c r="AO1820"/>
  <c r="AR1820" s="1"/>
  <c r="AO1355"/>
  <c r="AR1355" s="1"/>
  <c r="AO1764"/>
  <c r="AR1764" s="1"/>
  <c r="AO1291"/>
  <c r="AR1291" s="1"/>
  <c r="AO1295"/>
  <c r="AR1295" s="1"/>
  <c r="AO1702"/>
  <c r="AR1702" s="1"/>
  <c r="AO1297"/>
  <c r="AR1297" s="1"/>
  <c r="AO1686"/>
  <c r="AR1686" s="1"/>
  <c r="AO1776"/>
  <c r="AR1776" s="1"/>
  <c r="AO1450"/>
  <c r="AR1450" s="1"/>
  <c r="AO1570"/>
  <c r="AR1570" s="1"/>
  <c r="AO1711"/>
  <c r="AR1711" s="1"/>
  <c r="AO1393"/>
  <c r="AR1393" s="1"/>
  <c r="AO1361"/>
  <c r="AR1361" s="1"/>
  <c r="AO1534"/>
  <c r="AR1534" s="1"/>
  <c r="AO1498"/>
  <c r="AR1498" s="1"/>
  <c r="AO1703"/>
  <c r="AR1703" s="1"/>
  <c r="AO1430"/>
  <c r="AR1430" s="1"/>
  <c r="AO1424"/>
  <c r="AR1424" s="1"/>
  <c r="AO1408"/>
  <c r="AR1408" s="1"/>
  <c r="AO1448"/>
  <c r="AR1448" s="1"/>
  <c r="AO1810"/>
  <c r="AR1810" s="1"/>
  <c r="AO1822"/>
  <c r="AR1822" s="1"/>
  <c r="AO1796"/>
  <c r="AR1796" s="1"/>
  <c r="AO1783"/>
  <c r="AR1783" s="1"/>
  <c r="AO558"/>
  <c r="AR558" s="1"/>
  <c r="AO76"/>
  <c r="AR76" s="1"/>
  <c r="AO102"/>
  <c r="AR102" s="1"/>
  <c r="AN718"/>
  <c r="AP718" s="1"/>
  <c r="AS718" s="1"/>
  <c r="AE5"/>
  <c r="AG5" s="1"/>
  <c r="AQ5" s="1"/>
  <c r="AN795"/>
  <c r="AP795" s="1"/>
  <c r="AS795" s="1"/>
  <c r="AO89"/>
  <c r="AR89" s="1"/>
  <c r="AN944"/>
  <c r="AP944" s="1"/>
  <c r="AS944" s="1"/>
  <c r="AN655"/>
  <c r="AP655" s="1"/>
  <c r="AS655" s="1"/>
  <c r="AO509"/>
  <c r="AR509" s="1"/>
  <c r="AO98"/>
  <c r="AR98" s="1"/>
  <c r="AO740"/>
  <c r="AR740" s="1"/>
  <c r="AO65"/>
  <c r="AR65" s="1"/>
  <c r="AO42"/>
  <c r="AR42" s="1"/>
  <c r="AN348"/>
  <c r="AP348" s="1"/>
  <c r="AS348" s="1"/>
  <c r="AN892"/>
  <c r="AP892" s="1"/>
  <c r="AS892" s="1"/>
  <c r="AO698"/>
  <c r="AR698" s="1"/>
  <c r="AO1106"/>
  <c r="AR1106" s="1"/>
  <c r="AO120"/>
  <c r="AR120" s="1"/>
  <c r="AO79"/>
  <c r="AR79" s="1"/>
  <c r="AN858"/>
  <c r="AP858" s="1"/>
  <c r="AS858" s="1"/>
  <c r="AO96"/>
  <c r="AR96" s="1"/>
  <c r="AO344"/>
  <c r="AR344" s="1"/>
  <c r="AN683"/>
  <c r="AP683" s="1"/>
  <c r="AS683" s="1"/>
  <c r="AO46"/>
  <c r="AR46" s="1"/>
  <c r="AO93"/>
  <c r="AR93" s="1"/>
  <c r="AO246"/>
  <c r="AR246" s="1"/>
  <c r="AN806"/>
  <c r="AP806" s="1"/>
  <c r="AS806" s="1"/>
  <c r="AO34"/>
  <c r="AR34" s="1"/>
  <c r="AO960"/>
  <c r="AR960" s="1"/>
  <c r="AO206"/>
  <c r="AR206" s="1"/>
  <c r="AO863"/>
  <c r="AR863" s="1"/>
  <c r="AO902"/>
  <c r="AR902" s="1"/>
  <c r="AO61"/>
  <c r="AR61" s="1"/>
  <c r="AO36"/>
  <c r="AR36" s="1"/>
  <c r="AO925"/>
  <c r="AR925" s="1"/>
  <c r="AO170"/>
  <c r="AR170" s="1"/>
  <c r="AN124"/>
  <c r="AP124" s="1"/>
  <c r="AS124" s="1"/>
  <c r="AO75"/>
  <c r="AR75" s="1"/>
  <c r="AO39"/>
  <c r="AR39" s="1"/>
  <c r="AO35"/>
  <c r="AR35" s="1"/>
  <c r="AO581"/>
  <c r="AR581" s="1"/>
  <c r="AO148"/>
  <c r="AR148" s="1"/>
  <c r="AO94"/>
  <c r="AR94" s="1"/>
  <c r="AO386"/>
  <c r="AR386" s="1"/>
  <c r="AO909"/>
  <c r="AR909" s="1"/>
  <c r="AO130"/>
  <c r="AR130" s="1"/>
  <c r="AO82"/>
  <c r="AR82" s="1"/>
  <c r="AO848"/>
  <c r="AR848" s="1"/>
  <c r="AO121"/>
  <c r="AR121" s="1"/>
  <c r="AO932"/>
  <c r="AR932" s="1"/>
  <c r="AO886"/>
  <c r="AR886" s="1"/>
  <c r="AO758"/>
  <c r="AR758" s="1"/>
  <c r="AO981"/>
  <c r="AR981" s="1"/>
  <c r="AO455"/>
  <c r="AR455" s="1"/>
  <c r="AO441"/>
  <c r="AR441" s="1"/>
  <c r="AO959"/>
  <c r="AR959" s="1"/>
  <c r="AO226"/>
  <c r="AR226" s="1"/>
  <c r="AO231"/>
  <c r="AR231" s="1"/>
  <c r="AO481"/>
  <c r="AR481" s="1"/>
  <c r="AO403"/>
  <c r="AR403" s="1"/>
  <c r="AO475"/>
  <c r="AR475" s="1"/>
  <c r="AO210"/>
  <c r="AR210" s="1"/>
  <c r="AO428"/>
  <c r="AR428" s="1"/>
  <c r="AN428"/>
  <c r="AP428" s="1"/>
  <c r="AS428" s="1"/>
  <c r="AO933"/>
  <c r="AR933" s="1"/>
  <c r="AO218"/>
  <c r="AR218" s="1"/>
  <c r="AO783"/>
  <c r="AR783" s="1"/>
  <c r="AO187"/>
  <c r="AR187" s="1"/>
  <c r="AO536"/>
  <c r="AR536" s="1"/>
  <c r="AO873"/>
  <c r="AR873" s="1"/>
  <c r="AO389"/>
  <c r="AR389" s="1"/>
  <c r="AO1067"/>
  <c r="AR1067" s="1"/>
  <c r="AO666"/>
  <c r="AR666" s="1"/>
  <c r="AO1058"/>
  <c r="AR1058" s="1"/>
  <c r="AO557"/>
  <c r="AR557" s="1"/>
  <c r="AO658"/>
  <c r="AR658" s="1"/>
  <c r="AO900"/>
  <c r="AR900" s="1"/>
  <c r="AO1206"/>
  <c r="AR1206" s="1"/>
  <c r="AO560"/>
  <c r="AR560" s="1"/>
  <c r="AO175"/>
  <c r="AR175" s="1"/>
  <c r="AO143"/>
  <c r="AR143" s="1"/>
  <c r="AO927"/>
  <c r="AR927" s="1"/>
  <c r="AO858"/>
  <c r="AR858" s="1"/>
  <c r="AO793"/>
  <c r="AR793" s="1"/>
  <c r="AO333"/>
  <c r="AR333" s="1"/>
  <c r="AO315"/>
  <c r="AR315" s="1"/>
  <c r="AO356"/>
  <c r="AR356" s="1"/>
  <c r="AO1269"/>
  <c r="AR1269" s="1"/>
  <c r="AO367"/>
  <c r="AR367" s="1"/>
  <c r="AO568"/>
  <c r="AR568" s="1"/>
  <c r="AO838"/>
  <c r="AR838" s="1"/>
  <c r="AO721"/>
  <c r="AR721" s="1"/>
  <c r="AO638"/>
  <c r="AR638" s="1"/>
  <c r="AO1109"/>
  <c r="AR1109" s="1"/>
  <c r="AO572"/>
  <c r="AR572" s="1"/>
  <c r="AO365"/>
  <c r="AR365" s="1"/>
  <c r="AO294"/>
  <c r="AR294" s="1"/>
  <c r="AO1244"/>
  <c r="AR1244" s="1"/>
  <c r="AO510"/>
  <c r="AR510" s="1"/>
  <c r="AO362"/>
  <c r="AR362" s="1"/>
  <c r="AO790"/>
  <c r="AR790" s="1"/>
  <c r="AO1235"/>
  <c r="AR1235" s="1"/>
  <c r="AO645"/>
  <c r="AR645" s="1"/>
  <c r="AO710"/>
  <c r="AR710" s="1"/>
  <c r="AO703"/>
  <c r="AR703" s="1"/>
  <c r="AO829"/>
  <c r="AR829" s="1"/>
  <c r="AO497"/>
  <c r="AR497" s="1"/>
  <c r="AO878"/>
  <c r="AR878" s="1"/>
  <c r="AO634"/>
  <c r="AR634" s="1"/>
  <c r="AO1128"/>
  <c r="AR1128" s="1"/>
  <c r="AO824"/>
  <c r="AR824" s="1"/>
  <c r="AO574"/>
  <c r="AR574" s="1"/>
  <c r="AO131"/>
  <c r="AR131" s="1"/>
  <c r="AO296"/>
  <c r="AR296" s="1"/>
  <c r="AO852"/>
  <c r="AR852" s="1"/>
  <c r="AO1078"/>
  <c r="AR1078" s="1"/>
  <c r="AO1032"/>
  <c r="AR1032" s="1"/>
  <c r="AO679"/>
  <c r="AR679" s="1"/>
  <c r="AO683"/>
  <c r="AR683" s="1"/>
  <c r="AO806"/>
  <c r="AR806" s="1"/>
  <c r="AO901"/>
  <c r="AR901" s="1"/>
  <c r="AO380"/>
  <c r="AR380" s="1"/>
  <c r="AO188"/>
  <c r="AR188" s="1"/>
  <c r="AO193"/>
  <c r="AR193" s="1"/>
  <c r="AO1146"/>
  <c r="AR1146" s="1"/>
  <c r="AO899"/>
  <c r="AR899" s="1"/>
  <c r="AO495"/>
  <c r="AR495" s="1"/>
  <c r="AO982"/>
  <c r="AR982" s="1"/>
  <c r="AO434"/>
  <c r="AR434" s="1"/>
  <c r="AO476"/>
  <c r="AR476" s="1"/>
  <c r="AO443"/>
  <c r="AR443" s="1"/>
  <c r="AO971"/>
  <c r="AR971" s="1"/>
  <c r="AO773"/>
  <c r="AR773" s="1"/>
  <c r="AO432"/>
  <c r="AR432" s="1"/>
  <c r="AO452"/>
  <c r="AR452" s="1"/>
  <c r="AO943"/>
  <c r="AR943" s="1"/>
  <c r="AO468"/>
  <c r="AR468" s="1"/>
  <c r="AO227"/>
  <c r="AR227" s="1"/>
  <c r="AO473"/>
  <c r="AR473" s="1"/>
  <c r="AN230"/>
  <c r="AP230" s="1"/>
  <c r="AS230" s="1"/>
  <c r="AO230"/>
  <c r="AR230" s="1"/>
  <c r="AO945"/>
  <c r="AR945" s="1"/>
  <c r="AO478"/>
  <c r="AR478" s="1"/>
  <c r="AO453"/>
  <c r="AR453" s="1"/>
  <c r="AO439"/>
  <c r="AR439" s="1"/>
  <c r="AO450"/>
  <c r="AR450" s="1"/>
  <c r="AO688"/>
  <c r="AR688" s="1"/>
  <c r="AO756"/>
  <c r="AR756" s="1"/>
  <c r="AO1082"/>
  <c r="AR1082" s="1"/>
  <c r="AO140"/>
  <c r="AR140" s="1"/>
  <c r="AO526"/>
  <c r="AR526" s="1"/>
  <c r="AO587"/>
  <c r="AR587" s="1"/>
  <c r="AO1259"/>
  <c r="AR1259" s="1"/>
  <c r="AO134"/>
  <c r="AR134" s="1"/>
  <c r="AO531"/>
  <c r="AR531" s="1"/>
  <c r="AO668"/>
  <c r="AR668" s="1"/>
  <c r="AO988"/>
  <c r="AR988" s="1"/>
  <c r="AO889"/>
  <c r="AR889" s="1"/>
  <c r="AO392"/>
  <c r="AR392" s="1"/>
  <c r="AO777"/>
  <c r="AR777" s="1"/>
  <c r="AO850"/>
  <c r="AR850" s="1"/>
  <c r="AO1051"/>
  <c r="AR1051" s="1"/>
  <c r="AO1064"/>
  <c r="AR1064" s="1"/>
  <c r="AO588"/>
  <c r="AR588" s="1"/>
  <c r="AO907"/>
  <c r="AR907" s="1"/>
  <c r="AO622"/>
  <c r="AR622" s="1"/>
  <c r="AO346"/>
  <c r="AR346" s="1"/>
  <c r="AO929"/>
  <c r="AR929" s="1"/>
  <c r="AO618"/>
  <c r="AR618" s="1"/>
  <c r="AO1075"/>
  <c r="AR1075" s="1"/>
  <c r="AO535"/>
  <c r="AR535" s="1"/>
  <c r="AO176"/>
  <c r="AR176" s="1"/>
  <c r="AO781"/>
  <c r="AR781" s="1"/>
  <c r="AO559"/>
  <c r="AR559" s="1"/>
  <c r="AO1169"/>
  <c r="AR1169" s="1"/>
  <c r="AO1175"/>
  <c r="AR1175" s="1"/>
  <c r="AO680"/>
  <c r="AR680" s="1"/>
  <c r="AO387"/>
  <c r="AR387" s="1"/>
  <c r="AO173"/>
  <c r="AR173" s="1"/>
  <c r="AO383"/>
  <c r="AR383" s="1"/>
  <c r="AO898"/>
  <c r="AR898" s="1"/>
  <c r="AO1266"/>
  <c r="AR1266" s="1"/>
  <c r="AO664"/>
  <c r="AR664" s="1"/>
  <c r="AO1041"/>
  <c r="AR1041" s="1"/>
  <c r="AO940"/>
  <c r="AR940" s="1"/>
  <c r="AO1139"/>
  <c r="AR1139" s="1"/>
  <c r="AO1050"/>
  <c r="AR1050" s="1"/>
  <c r="AO305"/>
  <c r="AR305" s="1"/>
  <c r="AO1118"/>
  <c r="AR1118" s="1"/>
  <c r="AO602"/>
  <c r="AR602" s="1"/>
  <c r="AO801"/>
  <c r="AR801" s="1"/>
  <c r="AO1074"/>
  <c r="AR1074" s="1"/>
  <c r="AO548"/>
  <c r="AR548" s="1"/>
  <c r="AO169"/>
  <c r="AR169" s="1"/>
  <c r="AO695"/>
  <c r="AR695" s="1"/>
  <c r="AO1142"/>
  <c r="AR1142" s="1"/>
  <c r="AO245"/>
  <c r="AR245" s="1"/>
  <c r="AO594"/>
  <c r="AR594" s="1"/>
  <c r="AO553"/>
  <c r="AR553" s="1"/>
  <c r="AO575"/>
  <c r="AR575" s="1"/>
  <c r="AO1048"/>
  <c r="AR1048" s="1"/>
  <c r="AO1055"/>
  <c r="AR1055" s="1"/>
  <c r="AO1183"/>
  <c r="AR1183" s="1"/>
  <c r="AO729"/>
  <c r="AR729" s="1"/>
  <c r="AO911"/>
  <c r="AR911" s="1"/>
  <c r="AO958"/>
  <c r="AR958" s="1"/>
  <c r="AO841"/>
  <c r="AR841" s="1"/>
  <c r="AO1065"/>
  <c r="AR1065" s="1"/>
  <c r="AO498"/>
  <c r="AR498" s="1"/>
  <c r="AO833"/>
  <c r="AR833" s="1"/>
  <c r="AO608"/>
  <c r="AR608" s="1"/>
  <c r="AO184"/>
  <c r="AR184" s="1"/>
  <c r="AO748"/>
  <c r="AR748" s="1"/>
  <c r="AO466"/>
  <c r="AR466" s="1"/>
  <c r="AN466"/>
  <c r="AP466" s="1"/>
  <c r="AS466" s="1"/>
  <c r="AO430"/>
  <c r="AR430" s="1"/>
  <c r="AO202"/>
  <c r="AR202" s="1"/>
  <c r="AO745"/>
  <c r="AR745" s="1"/>
  <c r="AO431"/>
  <c r="AR431" s="1"/>
  <c r="AO750"/>
  <c r="AR750" s="1"/>
  <c r="AO436"/>
  <c r="AR436" s="1"/>
  <c r="AO410"/>
  <c r="AR410" s="1"/>
  <c r="AN410"/>
  <c r="AP410" s="1"/>
  <c r="AS410" s="1"/>
  <c r="AO446"/>
  <c r="AR446" s="1"/>
  <c r="AO223"/>
  <c r="AR223" s="1"/>
  <c r="AO753"/>
  <c r="AR753" s="1"/>
  <c r="AO238"/>
  <c r="AR238" s="1"/>
  <c r="AO425"/>
  <c r="AR425" s="1"/>
  <c r="AO423"/>
  <c r="AR423" s="1"/>
  <c r="AO463"/>
  <c r="AR463" s="1"/>
  <c r="AO759"/>
  <c r="AR759" s="1"/>
  <c r="AO751"/>
  <c r="AR751" s="1"/>
  <c r="AO228"/>
  <c r="AR228" s="1"/>
  <c r="AO961"/>
  <c r="AR961" s="1"/>
  <c r="AO765"/>
  <c r="AR765" s="1"/>
  <c r="AO749"/>
  <c r="AR749" s="1"/>
  <c r="AO411"/>
  <c r="AR411" s="1"/>
  <c r="AO459"/>
  <c r="AR459" s="1"/>
  <c r="AO341"/>
  <c r="AR341" s="1"/>
  <c r="AO1201"/>
  <c r="AR1201" s="1"/>
  <c r="AO160"/>
  <c r="AR160" s="1"/>
  <c r="AO1214"/>
  <c r="AR1214" s="1"/>
  <c r="AO1271"/>
  <c r="AR1271" s="1"/>
  <c r="AO1028"/>
  <c r="AR1028" s="1"/>
  <c r="AO1040"/>
  <c r="AR1040" s="1"/>
  <c r="AO339"/>
  <c r="AR339" s="1"/>
  <c r="AO119"/>
  <c r="AR119" s="1"/>
  <c r="AO1069"/>
  <c r="AR1069" s="1"/>
  <c r="AO1019"/>
  <c r="AR1019" s="1"/>
  <c r="AO615"/>
  <c r="AR615" s="1"/>
  <c r="AO514"/>
  <c r="AR514" s="1"/>
  <c r="AO522"/>
  <c r="AR522" s="1"/>
  <c r="AO834"/>
  <c r="AR834" s="1"/>
  <c r="AO1053"/>
  <c r="AR1053" s="1"/>
  <c r="AO789"/>
  <c r="AR789" s="1"/>
  <c r="AO1016"/>
  <c r="AR1016" s="1"/>
  <c r="AO868"/>
  <c r="AR868" s="1"/>
  <c r="AO809"/>
  <c r="AR809" s="1"/>
  <c r="AO653"/>
  <c r="AR653" s="1"/>
  <c r="AO1143"/>
  <c r="AR1143" s="1"/>
  <c r="AO696"/>
  <c r="AR696" s="1"/>
  <c r="AO1036"/>
  <c r="AR1036" s="1"/>
  <c r="AO255"/>
  <c r="AR255" s="1"/>
  <c r="AO839"/>
  <c r="AR839" s="1"/>
  <c r="AO966"/>
  <c r="AR966" s="1"/>
  <c r="AO1140"/>
  <c r="AR1140" s="1"/>
  <c r="AO630"/>
  <c r="AR630" s="1"/>
  <c r="AO283"/>
  <c r="AR283" s="1"/>
  <c r="AO708"/>
  <c r="AR708" s="1"/>
  <c r="AO1265"/>
  <c r="AR1265" s="1"/>
  <c r="AO684"/>
  <c r="AR684" s="1"/>
  <c r="AO492"/>
  <c r="AR492" s="1"/>
  <c r="AO597"/>
  <c r="AR597" s="1"/>
  <c r="AO370"/>
  <c r="AR370" s="1"/>
  <c r="AO1257"/>
  <c r="AR1257" s="1"/>
  <c r="AO1095"/>
  <c r="AR1095" s="1"/>
  <c r="AO1044"/>
  <c r="AR1044" s="1"/>
  <c r="AO742"/>
  <c r="AR742" s="1"/>
  <c r="AO718"/>
  <c r="AR718" s="1"/>
  <c r="AO395"/>
  <c r="AR395" s="1"/>
  <c r="AO1047"/>
  <c r="AR1047" s="1"/>
  <c r="AO881"/>
  <c r="AR881" s="1"/>
  <c r="AO508"/>
  <c r="AR508" s="1"/>
  <c r="AO309"/>
  <c r="AR309" s="1"/>
  <c r="AO1127"/>
  <c r="AR1127" s="1"/>
  <c r="AO919"/>
  <c r="AR919" s="1"/>
  <c r="AO727"/>
  <c r="AR727" s="1"/>
  <c r="AO154"/>
  <c r="AR154" s="1"/>
  <c r="AO150"/>
  <c r="AR150" s="1"/>
  <c r="AO376"/>
  <c r="AR376" s="1"/>
  <c r="AO822"/>
  <c r="AR822" s="1"/>
  <c r="AO369"/>
  <c r="AR369" s="1"/>
  <c r="AO278"/>
  <c r="AR278" s="1"/>
  <c r="AO1224"/>
  <c r="AR1224" s="1"/>
  <c r="AO129"/>
  <c r="AR129" s="1"/>
  <c r="AO260"/>
  <c r="AR260" s="1"/>
  <c r="AO179"/>
  <c r="AR179" s="1"/>
  <c r="AO337"/>
  <c r="AR337" s="1"/>
  <c r="AO861"/>
  <c r="AR861" s="1"/>
  <c r="AO785"/>
  <c r="AR785" s="1"/>
  <c r="AO301"/>
  <c r="AR301" s="1"/>
  <c r="AO1250"/>
  <c r="AR1250" s="1"/>
  <c r="AO1000"/>
  <c r="AR1000" s="1"/>
  <c r="AO1160"/>
  <c r="AR1160" s="1"/>
  <c r="AO584"/>
  <c r="AR584" s="1"/>
  <c r="AO152"/>
  <c r="AR152" s="1"/>
  <c r="AO528"/>
  <c r="AR528" s="1"/>
  <c r="AO342"/>
  <c r="AR342" s="1"/>
  <c r="AO654"/>
  <c r="AR654" s="1"/>
  <c r="AO844"/>
  <c r="AR844" s="1"/>
  <c r="AO253"/>
  <c r="AR253" s="1"/>
  <c r="AO782"/>
  <c r="AR782" s="1"/>
  <c r="AO547"/>
  <c r="AR547" s="1"/>
  <c r="AO738"/>
  <c r="AR738" s="1"/>
  <c r="AO314"/>
  <c r="AR314" s="1"/>
  <c r="AN558"/>
  <c r="AP558" s="1"/>
  <c r="AS558" s="1"/>
  <c r="AO304"/>
  <c r="AR304" s="1"/>
  <c r="AO612"/>
  <c r="AR612" s="1"/>
  <c r="AO1237"/>
  <c r="AR1237" s="1"/>
  <c r="AN1126"/>
  <c r="AP1126" s="1"/>
  <c r="AS1126" s="1"/>
  <c r="AO422"/>
  <c r="AR422" s="1"/>
  <c r="AO406"/>
  <c r="AR406" s="1"/>
  <c r="AO995"/>
  <c r="AR995" s="1"/>
  <c r="AO220"/>
  <c r="AR220" s="1"/>
  <c r="AO435"/>
  <c r="AR435" s="1"/>
  <c r="AO208"/>
  <c r="AR208" s="1"/>
  <c r="AO413"/>
  <c r="AR413" s="1"/>
  <c r="AO420"/>
  <c r="AR420" s="1"/>
  <c r="AO221"/>
  <c r="AR221" s="1"/>
  <c r="AO941"/>
  <c r="AR941" s="1"/>
  <c r="AO469"/>
  <c r="AR469" s="1"/>
  <c r="AO1137"/>
  <c r="AR1137" s="1"/>
  <c r="AO158"/>
  <c r="AR158" s="1"/>
  <c r="AO573"/>
  <c r="AR573" s="1"/>
  <c r="AO351"/>
  <c r="AR351" s="1"/>
  <c r="AO1188"/>
  <c r="AR1188" s="1"/>
  <c r="AO892"/>
  <c r="AR892" s="1"/>
  <c r="AO791"/>
  <c r="AR791" s="1"/>
  <c r="AO1008"/>
  <c r="AR1008" s="1"/>
  <c r="AO197"/>
  <c r="AR197" s="1"/>
  <c r="AO153"/>
  <c r="AR153" s="1"/>
  <c r="AO185"/>
  <c r="AR185" s="1"/>
  <c r="AO116"/>
  <c r="AR116" s="1"/>
  <c r="AO550"/>
  <c r="AR550" s="1"/>
  <c r="AO335"/>
  <c r="AR335" s="1"/>
  <c r="AO1240"/>
  <c r="AR1240" s="1"/>
  <c r="AO398"/>
  <c r="AR398" s="1"/>
  <c r="AO915"/>
  <c r="AR915" s="1"/>
  <c r="AO243"/>
  <c r="AR243" s="1"/>
  <c r="AO110"/>
  <c r="AR110" s="1"/>
  <c r="AO1218"/>
  <c r="AR1218" s="1"/>
  <c r="AO872"/>
  <c r="AR872" s="1"/>
  <c r="AO837"/>
  <c r="AR837" s="1"/>
  <c r="AO540"/>
  <c r="AR540" s="1"/>
  <c r="AO670"/>
  <c r="AR670" s="1"/>
  <c r="AO1119"/>
  <c r="AR1119" s="1"/>
  <c r="AO1162"/>
  <c r="AR1162" s="1"/>
  <c r="AO1085"/>
  <c r="AR1085" s="1"/>
  <c r="AO1261"/>
  <c r="AR1261" s="1"/>
  <c r="AO655"/>
  <c r="AR655" s="1"/>
  <c r="AO297"/>
  <c r="AR297" s="1"/>
  <c r="AO1219"/>
  <c r="AR1219" s="1"/>
  <c r="AO352"/>
  <c r="AR352" s="1"/>
  <c r="AO589"/>
  <c r="AR589" s="1"/>
  <c r="AO1035"/>
  <c r="AR1035" s="1"/>
  <c r="AO795"/>
  <c r="AR795" s="1"/>
  <c r="AO1120"/>
  <c r="AR1120" s="1"/>
  <c r="AO136"/>
  <c r="AR136" s="1"/>
  <c r="AO282"/>
  <c r="AR282" s="1"/>
  <c r="AO732"/>
  <c r="AR732" s="1"/>
  <c r="AO250"/>
  <c r="AR250" s="1"/>
  <c r="AO328"/>
  <c r="AR328" s="1"/>
  <c r="AO869"/>
  <c r="AR869" s="1"/>
  <c r="AO780"/>
  <c r="AR780" s="1"/>
  <c r="AO731"/>
  <c r="AR731" s="1"/>
  <c r="AO681"/>
  <c r="AR681" s="1"/>
  <c r="AO355"/>
  <c r="AR355" s="1"/>
  <c r="AO326"/>
  <c r="AR326" s="1"/>
  <c r="AO715"/>
  <c r="AR715" s="1"/>
  <c r="AO1121"/>
  <c r="AR1121" s="1"/>
  <c r="AO808"/>
  <c r="AR808" s="1"/>
  <c r="AO596"/>
  <c r="AR596" s="1"/>
  <c r="AO914"/>
  <c r="AR914" s="1"/>
  <c r="AO554"/>
  <c r="AR554" s="1"/>
  <c r="AO1191"/>
  <c r="AR1191" s="1"/>
  <c r="AO348"/>
  <c r="AR348" s="1"/>
  <c r="AO1063"/>
  <c r="AR1063" s="1"/>
  <c r="AO106"/>
  <c r="AR106" s="1"/>
  <c r="AO1030"/>
  <c r="AR1030" s="1"/>
  <c r="AO191"/>
  <c r="AR191" s="1"/>
  <c r="AO604"/>
  <c r="AR604" s="1"/>
  <c r="AO373"/>
  <c r="AR373" s="1"/>
  <c r="AO349"/>
  <c r="AR349" s="1"/>
  <c r="AO308"/>
  <c r="AR308" s="1"/>
  <c r="AO1184"/>
  <c r="AR1184" s="1"/>
  <c r="AO1148"/>
  <c r="AR1148" s="1"/>
  <c r="AO504"/>
  <c r="AR504" s="1"/>
  <c r="AO1084"/>
  <c r="AR1084" s="1"/>
  <c r="AO1092"/>
  <c r="AR1092" s="1"/>
  <c r="AO268"/>
  <c r="AR268" s="1"/>
  <c r="AO637"/>
  <c r="AR637" s="1"/>
  <c r="AO832"/>
  <c r="AR832" s="1"/>
  <c r="AO1039"/>
  <c r="AR1039" s="1"/>
  <c r="AO1182"/>
  <c r="AR1182" s="1"/>
  <c r="AO836"/>
  <c r="AR836" s="1"/>
  <c r="AO1196"/>
  <c r="AR1196" s="1"/>
  <c r="AO651"/>
  <c r="AR651" s="1"/>
  <c r="AO549"/>
  <c r="AR549" s="1"/>
  <c r="AO1020"/>
  <c r="AR1020" s="1"/>
  <c r="AO259"/>
  <c r="AR259" s="1"/>
  <c r="AE7"/>
  <c r="AG7" s="1"/>
  <c r="AQ7" s="1"/>
  <c r="AE8"/>
  <c r="AG8" s="1"/>
  <c r="AQ8" s="1"/>
  <c r="AE3"/>
  <c r="AG3" s="1"/>
  <c r="AQ3" s="1"/>
  <c r="AD7"/>
  <c r="AF7" s="1"/>
  <c r="AH7" s="1"/>
  <c r="AR7" s="1"/>
  <c r="AE6"/>
  <c r="AG6" s="1"/>
  <c r="AQ6" s="1"/>
  <c r="AO306" l="1"/>
  <c r="AR306" s="1"/>
  <c r="AN749"/>
  <c r="AP749" s="1"/>
  <c r="AS749" s="1"/>
  <c r="AN917"/>
  <c r="AP917" s="1"/>
  <c r="AS917" s="1"/>
  <c r="AN73"/>
  <c r="AP73" s="1"/>
  <c r="AS73" s="1"/>
  <c r="AN487"/>
  <c r="AP487" s="1"/>
  <c r="AS487" s="1"/>
  <c r="AN109"/>
  <c r="AP109" s="1"/>
  <c r="AS109" s="1"/>
  <c r="AN480"/>
  <c r="AP480" s="1"/>
  <c r="AS480" s="1"/>
  <c r="AN1115"/>
  <c r="AP1115" s="1"/>
  <c r="AS1115" s="1"/>
  <c r="AN1227"/>
  <c r="AP1227" s="1"/>
  <c r="AS1227" s="1"/>
  <c r="AN514"/>
  <c r="AP514" s="1"/>
  <c r="AS514" s="1"/>
  <c r="AN979"/>
  <c r="AP979" s="1"/>
  <c r="AS979" s="1"/>
  <c r="AN458"/>
  <c r="AP458" s="1"/>
  <c r="AS458" s="1"/>
  <c r="AN1234"/>
  <c r="AP1234" s="1"/>
  <c r="AS1234" s="1"/>
  <c r="AN1212"/>
  <c r="AP1212" s="1"/>
  <c r="AS1212" s="1"/>
  <c r="AN747"/>
  <c r="AP747" s="1"/>
  <c r="AS747" s="1"/>
  <c r="AN215"/>
  <c r="AP215" s="1"/>
  <c r="AS215" s="1"/>
  <c r="AN1360"/>
  <c r="AP1360" s="1"/>
  <c r="AS1360" s="1"/>
  <c r="AN1535"/>
  <c r="AP1535" s="1"/>
  <c r="AS1535" s="1"/>
  <c r="AN1837"/>
  <c r="AP1837" s="1"/>
  <c r="AS1837" s="1"/>
  <c r="AN400"/>
  <c r="AP400" s="1"/>
  <c r="AS400" s="1"/>
  <c r="AN281"/>
  <c r="AP281" s="1"/>
  <c r="AS281" s="1"/>
  <c r="AN203"/>
  <c r="AP203" s="1"/>
  <c r="AS203" s="1"/>
  <c r="AN194"/>
  <c r="AP194" s="1"/>
  <c r="AS194" s="1"/>
  <c r="AN1279"/>
  <c r="AP1279" s="1"/>
  <c r="AS1279" s="1"/>
  <c r="AN1041"/>
  <c r="AP1041" s="1"/>
  <c r="AS1041" s="1"/>
  <c r="AN1526"/>
  <c r="AP1526" s="1"/>
  <c r="AS1526" s="1"/>
  <c r="AN496"/>
  <c r="AP496" s="1"/>
  <c r="AS496" s="1"/>
  <c r="AN762"/>
  <c r="AP762" s="1"/>
  <c r="AS762" s="1"/>
  <c r="AN1072"/>
  <c r="AP1072" s="1"/>
  <c r="AS1072" s="1"/>
  <c r="AN407"/>
  <c r="AP407" s="1"/>
  <c r="AS407" s="1"/>
  <c r="AN45"/>
  <c r="AP45" s="1"/>
  <c r="AS45" s="1"/>
  <c r="AN576"/>
  <c r="AP576" s="1"/>
  <c r="AS576" s="1"/>
  <c r="AO385"/>
  <c r="AR385" s="1"/>
  <c r="AN561"/>
  <c r="AP561" s="1"/>
  <c r="AS561" s="1"/>
  <c r="AN1079"/>
  <c r="AP1079" s="1"/>
  <c r="AS1079" s="1"/>
  <c r="AN1565"/>
  <c r="AP1565" s="1"/>
  <c r="AS1565" s="1"/>
  <c r="AN47"/>
  <c r="AP47" s="1"/>
  <c r="AS47" s="1"/>
  <c r="AN1232"/>
  <c r="AP1232" s="1"/>
  <c r="AS1232" s="1"/>
  <c r="AN1089"/>
  <c r="AP1089" s="1"/>
  <c r="AS1089" s="1"/>
  <c r="AN254"/>
  <c r="AP254" s="1"/>
  <c r="AS254" s="1"/>
  <c r="AN746"/>
  <c r="AP746" s="1"/>
  <c r="AS746" s="1"/>
  <c r="AN983"/>
  <c r="AP983" s="1"/>
  <c r="AS983" s="1"/>
  <c r="AN1585"/>
  <c r="AP1585" s="1"/>
  <c r="AS1585" s="1"/>
  <c r="AN1425"/>
  <c r="AP1425" s="1"/>
  <c r="AS1425" s="1"/>
  <c r="AN163"/>
  <c r="AP163" s="1"/>
  <c r="AS163" s="1"/>
  <c r="AN532"/>
  <c r="AP532" s="1"/>
  <c r="AS532" s="1"/>
  <c r="AN662"/>
  <c r="AP662" s="1"/>
  <c r="AS662" s="1"/>
  <c r="AN955"/>
  <c r="AP955" s="1"/>
  <c r="AS955" s="1"/>
  <c r="AN404"/>
  <c r="AP404" s="1"/>
  <c r="AS404" s="1"/>
  <c r="AN627"/>
  <c r="AP627" s="1"/>
  <c r="AS627" s="1"/>
  <c r="AN991"/>
  <c r="AP991" s="1"/>
  <c r="AS991" s="1"/>
  <c r="AN37"/>
  <c r="AP37" s="1"/>
  <c r="AS37" s="1"/>
  <c r="AN164"/>
  <c r="AP164" s="1"/>
  <c r="AS164" s="1"/>
  <c r="AN644"/>
  <c r="AP644" s="1"/>
  <c r="AS644" s="1"/>
  <c r="AN723"/>
  <c r="AP723" s="1"/>
  <c r="AS723" s="1"/>
  <c r="AN887"/>
  <c r="AP887" s="1"/>
  <c r="AS887" s="1"/>
  <c r="AN156"/>
  <c r="AP156" s="1"/>
  <c r="AS156" s="1"/>
  <c r="AN1433"/>
  <c r="AP1433" s="1"/>
  <c r="AS1433" s="1"/>
  <c r="AN500"/>
  <c r="AP500" s="1"/>
  <c r="AS500" s="1"/>
  <c r="AN1772"/>
  <c r="AP1772" s="1"/>
  <c r="AS1772" s="1"/>
  <c r="AN312"/>
  <c r="AP312" s="1"/>
  <c r="AS312" s="1"/>
  <c r="AN1611"/>
  <c r="AP1611" s="1"/>
  <c r="AS1611" s="1"/>
  <c r="AN1007"/>
  <c r="AP1007" s="1"/>
  <c r="AS1007" s="1"/>
  <c r="AN429"/>
  <c r="AP429" s="1"/>
  <c r="AS429" s="1"/>
  <c r="AN111"/>
  <c r="AP111" s="1"/>
  <c r="AS111" s="1"/>
  <c r="AN409"/>
  <c r="AP409" s="1"/>
  <c r="AS409" s="1"/>
  <c r="AN477"/>
  <c r="AP477" s="1"/>
  <c r="AS477" s="1"/>
  <c r="AN412"/>
  <c r="AP412" s="1"/>
  <c r="AS412" s="1"/>
  <c r="AN95"/>
  <c r="AP95" s="1"/>
  <c r="AS95" s="1"/>
  <c r="AO904"/>
  <c r="AR904" s="1"/>
  <c r="AN647"/>
  <c r="AP647" s="1"/>
  <c r="AS647" s="1"/>
  <c r="AN1117"/>
  <c r="AP1117" s="1"/>
  <c r="AS1117" s="1"/>
  <c r="AN1254"/>
  <c r="AP1254" s="1"/>
  <c r="AS1254" s="1"/>
  <c r="AN847"/>
  <c r="AP847" s="1"/>
  <c r="AS847" s="1"/>
  <c r="AN1187"/>
  <c r="AP1187" s="1"/>
  <c r="AS1187" s="1"/>
  <c r="AN546"/>
  <c r="AP546" s="1"/>
  <c r="AS546" s="1"/>
  <c r="AN912"/>
  <c r="AP912" s="1"/>
  <c r="AS912" s="1"/>
  <c r="AO1238"/>
  <c r="AR1238" s="1"/>
  <c r="AO1156"/>
  <c r="AR1156" s="1"/>
  <c r="AN993"/>
  <c r="AP993" s="1"/>
  <c r="AS993" s="1"/>
  <c r="AN1307"/>
  <c r="AP1307" s="1"/>
  <c r="AS1307" s="1"/>
  <c r="AN1652"/>
  <c r="AP1652" s="1"/>
  <c r="AS1652" s="1"/>
  <c r="AN462"/>
  <c r="AP462" s="1"/>
  <c r="AS462" s="1"/>
  <c r="AO725"/>
  <c r="AR725" s="1"/>
  <c r="AO1383"/>
  <c r="AR1383" s="1"/>
  <c r="AO1007"/>
  <c r="AR1007" s="1"/>
  <c r="AN43"/>
  <c r="AP43" s="1"/>
  <c r="AS43" s="1"/>
  <c r="AO1054"/>
  <c r="AR1054" s="1"/>
  <c r="AN201"/>
  <c r="AP201" s="1"/>
  <c r="AS201" s="1"/>
  <c r="AN1251"/>
  <c r="AP1251" s="1"/>
  <c r="AS1251" s="1"/>
  <c r="AN567"/>
  <c r="AP567" s="1"/>
  <c r="AS567" s="1"/>
  <c r="AN716"/>
  <c r="AP716" s="1"/>
  <c r="AS716" s="1"/>
  <c r="AN859"/>
  <c r="AP859" s="1"/>
  <c r="AS859" s="1"/>
  <c r="AN347"/>
  <c r="AP347" s="1"/>
  <c r="AS347" s="1"/>
  <c r="AN1854"/>
  <c r="AP1854" s="1"/>
  <c r="AS1854" s="1"/>
  <c r="AN1618"/>
  <c r="AP1618" s="1"/>
  <c r="AS1618" s="1"/>
  <c r="AN53"/>
  <c r="AP53" s="1"/>
  <c r="AS53" s="1"/>
  <c r="AO429"/>
  <c r="AR429" s="1"/>
  <c r="AN1103"/>
  <c r="AP1103" s="1"/>
  <c r="AS1103" s="1"/>
  <c r="AN391"/>
  <c r="AP391" s="1"/>
  <c r="AS391" s="1"/>
  <c r="AN1215"/>
  <c r="AP1215" s="1"/>
  <c r="AS1215" s="1"/>
  <c r="AN33"/>
  <c r="AP33" s="1"/>
  <c r="AS33" s="1"/>
  <c r="AN712"/>
  <c r="AP712" s="1"/>
  <c r="AS712" s="1"/>
  <c r="AN464"/>
  <c r="AP464" s="1"/>
  <c r="AS464" s="1"/>
  <c r="AN786"/>
  <c r="AP786" s="1"/>
  <c r="AS786" s="1"/>
  <c r="AN502"/>
  <c r="AP502" s="1"/>
  <c r="AS502" s="1"/>
  <c r="AN419"/>
  <c r="AP419" s="1"/>
  <c r="AS419" s="1"/>
  <c r="AN147"/>
  <c r="AP147" s="1"/>
  <c r="AS147" s="1"/>
  <c r="AN770"/>
  <c r="AP770" s="1"/>
  <c r="AS770" s="1"/>
  <c r="AN1056"/>
  <c r="AP1056" s="1"/>
  <c r="AS1056" s="1"/>
  <c r="AN764"/>
  <c r="AP764" s="1"/>
  <c r="AS764" s="1"/>
  <c r="AN516"/>
  <c r="AP516" s="1"/>
  <c r="AS516" s="1"/>
  <c r="AN660"/>
  <c r="AP660" s="1"/>
  <c r="AS660" s="1"/>
  <c r="AN256"/>
  <c r="AP256" s="1"/>
  <c r="AS256" s="1"/>
  <c r="AN515"/>
  <c r="AP515" s="1"/>
  <c r="AS515" s="1"/>
  <c r="AN1161"/>
  <c r="AP1161" s="1"/>
  <c r="AS1161" s="1"/>
  <c r="AN1207"/>
  <c r="AP1207" s="1"/>
  <c r="AS1207" s="1"/>
  <c r="AN1133"/>
  <c r="AP1133" s="1"/>
  <c r="AS1133" s="1"/>
  <c r="AN726"/>
  <c r="AP726" s="1"/>
  <c r="AS726" s="1"/>
  <c r="AN802"/>
  <c r="AP802" s="1"/>
  <c r="AS802" s="1"/>
  <c r="AN529"/>
  <c r="AP529" s="1"/>
  <c r="AS529" s="1"/>
  <c r="AN761"/>
  <c r="AP761" s="1"/>
  <c r="AS761" s="1"/>
  <c r="AN880"/>
  <c r="AP880" s="1"/>
  <c r="AS880" s="1"/>
  <c r="AN883"/>
  <c r="AP883" s="1"/>
  <c r="AS883" s="1"/>
  <c r="AN405"/>
  <c r="AP405" s="1"/>
  <c r="AS405" s="1"/>
  <c r="AN722"/>
  <c r="AP722" s="1"/>
  <c r="AS722" s="1"/>
  <c r="AN1052"/>
  <c r="AP1052" s="1"/>
  <c r="AS1052" s="1"/>
  <c r="AN482"/>
  <c r="AP482" s="1"/>
  <c r="AS482" s="1"/>
  <c r="AN1268"/>
  <c r="AP1268" s="1"/>
  <c r="AS1268" s="1"/>
  <c r="AN600"/>
  <c r="AP600" s="1"/>
  <c r="AS600" s="1"/>
  <c r="AN484"/>
  <c r="AP484" s="1"/>
  <c r="AS484" s="1"/>
  <c r="AN78"/>
  <c r="AP78" s="1"/>
  <c r="AS78" s="1"/>
  <c r="AN1158"/>
  <c r="AP1158" s="1"/>
  <c r="AS1158" s="1"/>
  <c r="AN939"/>
  <c r="AP939" s="1"/>
  <c r="AS939" s="1"/>
  <c r="AN501"/>
  <c r="AP501" s="1"/>
  <c r="AS501" s="1"/>
  <c r="AN417"/>
  <c r="AP417" s="1"/>
  <c r="AS417" s="1"/>
  <c r="AN60"/>
  <c r="AP60" s="1"/>
  <c r="AS60" s="1"/>
  <c r="AN922"/>
  <c r="AP922" s="1"/>
  <c r="AS922" s="1"/>
  <c r="AN1494"/>
  <c r="AP1494" s="1"/>
  <c r="AS1494" s="1"/>
  <c r="AN1083"/>
  <c r="AP1083" s="1"/>
  <c r="AS1083" s="1"/>
  <c r="AN682"/>
  <c r="AP682" s="1"/>
  <c r="AS682" s="1"/>
  <c r="AN236"/>
  <c r="AP236" s="1"/>
  <c r="AS236" s="1"/>
  <c r="AN1102"/>
  <c r="AP1102" s="1"/>
  <c r="AS1102" s="1"/>
  <c r="AN233"/>
  <c r="AP233" s="1"/>
  <c r="AS233" s="1"/>
  <c r="AN570"/>
  <c r="AP570" s="1"/>
  <c r="AS570" s="1"/>
  <c r="AN32"/>
  <c r="AP32" s="1"/>
  <c r="AS32" s="1"/>
  <c r="AO883"/>
  <c r="AR883" s="1"/>
  <c r="AN40"/>
  <c r="AP40" s="1"/>
  <c r="AS40" s="1"/>
  <c r="AO930"/>
  <c r="AR930" s="1"/>
  <c r="AO78"/>
  <c r="AR78" s="1"/>
  <c r="AN318"/>
  <c r="AP318" s="1"/>
  <c r="AS318" s="1"/>
  <c r="AN1081"/>
  <c r="AP1081" s="1"/>
  <c r="AS1081" s="1"/>
  <c r="AO1268"/>
  <c r="AR1268" s="1"/>
  <c r="AN1077"/>
  <c r="AP1077" s="1"/>
  <c r="AS1077" s="1"/>
  <c r="AN1392"/>
  <c r="AP1392" s="1"/>
  <c r="AS1392" s="1"/>
  <c r="AN1780"/>
  <c r="AP1780" s="1"/>
  <c r="AS1780" s="1"/>
  <c r="AN274"/>
  <c r="AP274" s="1"/>
  <c r="AS274" s="1"/>
  <c r="AN1176"/>
  <c r="AP1176" s="1"/>
  <c r="AS1176" s="1"/>
  <c r="AN1228"/>
  <c r="AP1228" s="1"/>
  <c r="AS1228" s="1"/>
  <c r="AN447"/>
  <c r="AP447" s="1"/>
  <c r="AS447" s="1"/>
  <c r="AN674"/>
  <c r="AP674" s="1"/>
  <c r="AS674" s="1"/>
  <c r="AN1221"/>
  <c r="AP1221" s="1"/>
  <c r="AS1221" s="1"/>
  <c r="AN472"/>
  <c r="AP472" s="1"/>
  <c r="AS472" s="1"/>
  <c r="AN950"/>
  <c r="AP950" s="1"/>
  <c r="AS950" s="1"/>
  <c r="AN628"/>
  <c r="AP628" s="1"/>
  <c r="AS628" s="1"/>
  <c r="AN513"/>
  <c r="AP513" s="1"/>
  <c r="AS513" s="1"/>
  <c r="AN986"/>
  <c r="AP986" s="1"/>
  <c r="AS986" s="1"/>
  <c r="AN489"/>
  <c r="AP489" s="1"/>
  <c r="AS489" s="1"/>
  <c r="AN86"/>
  <c r="AP86" s="1"/>
  <c r="AS86" s="1"/>
  <c r="AN1199"/>
  <c r="AP1199" s="1"/>
  <c r="AS1199" s="1"/>
  <c r="AN987"/>
  <c r="AP987" s="1"/>
  <c r="AS987" s="1"/>
  <c r="AN854"/>
  <c r="AP854" s="1"/>
  <c r="AS854" s="1"/>
  <c r="AN1014"/>
  <c r="AP1014" s="1"/>
  <c r="AS1014" s="1"/>
  <c r="AN827"/>
  <c r="AP827" s="1"/>
  <c r="AS827" s="1"/>
  <c r="AN1362"/>
  <c r="AP1362" s="1"/>
  <c r="AS1362" s="1"/>
  <c r="AN1087"/>
  <c r="AP1087" s="1"/>
  <c r="AS1087" s="1"/>
  <c r="AN980"/>
  <c r="AP980" s="1"/>
  <c r="AS980" s="1"/>
  <c r="AN524"/>
  <c r="AP524" s="1"/>
  <c r="AS524" s="1"/>
  <c r="AN247"/>
  <c r="AP247" s="1"/>
  <c r="AS247" s="1"/>
  <c r="AN842"/>
  <c r="AP842" s="1"/>
  <c r="AS842" s="1"/>
  <c r="AN797"/>
  <c r="AP797" s="1"/>
  <c r="AS797" s="1"/>
  <c r="AN474"/>
  <c r="AP474" s="1"/>
  <c r="AS474" s="1"/>
  <c r="AN1099"/>
  <c r="AP1099" s="1"/>
  <c r="AS1099" s="1"/>
  <c r="AN724"/>
  <c r="AP724" s="1"/>
  <c r="AS724" s="1"/>
  <c r="AN108"/>
  <c r="AP108" s="1"/>
  <c r="AS108" s="1"/>
  <c r="AN583"/>
  <c r="AP583" s="1"/>
  <c r="AS583" s="1"/>
  <c r="AN1714"/>
  <c r="AP1714" s="1"/>
  <c r="AS1714" s="1"/>
  <c r="AN350"/>
  <c r="AP350" s="1"/>
  <c r="AS350" s="1"/>
  <c r="AN144"/>
  <c r="AP144" s="1"/>
  <c r="AS144" s="1"/>
  <c r="AN101"/>
  <c r="AP101" s="1"/>
  <c r="AS101" s="1"/>
  <c r="AN88"/>
  <c r="AP88" s="1"/>
  <c r="AS88" s="1"/>
  <c r="AN530"/>
  <c r="AP530" s="1"/>
  <c r="AS530" s="1"/>
  <c r="AN1737"/>
  <c r="AP1737" s="1"/>
  <c r="AS1737" s="1"/>
  <c r="AN1469"/>
  <c r="AP1469" s="1"/>
  <c r="AS1469" s="1"/>
  <c r="AN377"/>
  <c r="AP377" s="1"/>
  <c r="AS377" s="1"/>
  <c r="AN1593"/>
  <c r="AP1593" s="1"/>
  <c r="AS1593" s="1"/>
  <c r="AN302"/>
  <c r="AP302" s="1"/>
  <c r="AS302" s="1"/>
  <c r="AN1587"/>
  <c r="AP1587" s="1"/>
  <c r="AS1587" s="1"/>
  <c r="AO802"/>
  <c r="AR802" s="1"/>
  <c r="AO233"/>
  <c r="AR233" s="1"/>
  <c r="AO880"/>
  <c r="AR880" s="1"/>
  <c r="AN224"/>
  <c r="AP224" s="1"/>
  <c r="AS224" s="1"/>
  <c r="AN460"/>
  <c r="AP460" s="1"/>
  <c r="AS460" s="1"/>
  <c r="AN277"/>
  <c r="AP277" s="1"/>
  <c r="AS277" s="1"/>
  <c r="AO1153"/>
  <c r="AR1153" s="1"/>
  <c r="AN663"/>
  <c r="AP663" s="1"/>
  <c r="AS663" s="1"/>
  <c r="AN821"/>
  <c r="AP821" s="1"/>
  <c r="AS821" s="1"/>
  <c r="AN1004"/>
  <c r="AP1004" s="1"/>
  <c r="AS1004" s="1"/>
  <c r="AN1193"/>
  <c r="AP1193" s="1"/>
  <c r="AS1193" s="1"/>
  <c r="AN1723"/>
  <c r="AP1723" s="1"/>
  <c r="AS1723" s="1"/>
  <c r="AN947"/>
  <c r="AP947" s="1"/>
  <c r="AS947" s="1"/>
  <c r="AN1177"/>
  <c r="AP1177" s="1"/>
  <c r="AS1177" s="1"/>
  <c r="AN1233"/>
  <c r="AP1233" s="1"/>
  <c r="AS1233" s="1"/>
  <c r="AN1197"/>
  <c r="AP1197" s="1"/>
  <c r="AS1197" s="1"/>
  <c r="AN755"/>
  <c r="AP755" s="1"/>
  <c r="AS755" s="1"/>
  <c r="AN263"/>
  <c r="AP263" s="1"/>
  <c r="AS263" s="1"/>
  <c r="AN813"/>
  <c r="AP813" s="1"/>
  <c r="AS813" s="1"/>
  <c r="AN261"/>
  <c r="AP261" s="1"/>
  <c r="AS261" s="1"/>
  <c r="AN923"/>
  <c r="AP923" s="1"/>
  <c r="AS923" s="1"/>
  <c r="AN1152"/>
  <c r="AP1152" s="1"/>
  <c r="AS1152" s="1"/>
  <c r="AN580"/>
  <c r="AP580" s="1"/>
  <c r="AS580" s="1"/>
  <c r="AN737"/>
  <c r="AP737" s="1"/>
  <c r="AS737" s="1"/>
  <c r="AN322"/>
  <c r="AP322" s="1"/>
  <c r="AS322" s="1"/>
  <c r="AN84"/>
  <c r="AP84" s="1"/>
  <c r="AS84" s="1"/>
  <c r="AO786"/>
  <c r="AR786" s="1"/>
  <c r="AO1133"/>
  <c r="AR1133" s="1"/>
  <c r="AO939"/>
  <c r="AR939" s="1"/>
  <c r="AN1129"/>
  <c r="AP1129" s="1"/>
  <c r="AS1129" s="1"/>
  <c r="AO600"/>
  <c r="AR600" s="1"/>
  <c r="AO660"/>
  <c r="AR660" s="1"/>
  <c r="AO484"/>
  <c r="AR484" s="1"/>
  <c r="AN137"/>
  <c r="AP137" s="1"/>
  <c r="AS137" s="1"/>
  <c r="AO570"/>
  <c r="AR570" s="1"/>
  <c r="AO591"/>
  <c r="AR591" s="1"/>
  <c r="AO1052"/>
  <c r="AR1052" s="1"/>
  <c r="AN214"/>
  <c r="AP214" s="1"/>
  <c r="AS214" s="1"/>
  <c r="AO384"/>
  <c r="AR384" s="1"/>
  <c r="AO1056"/>
  <c r="AR1056" s="1"/>
  <c r="AO502"/>
  <c r="AR502" s="1"/>
  <c r="AO482"/>
  <c r="AR482" s="1"/>
  <c r="AN520"/>
  <c r="AP520" s="1"/>
  <c r="AS520" s="1"/>
  <c r="AN707"/>
  <c r="AP707" s="1"/>
  <c r="AS707" s="1"/>
  <c r="AN709"/>
  <c r="AP709" s="1"/>
  <c r="AS709" s="1"/>
  <c r="AN1172"/>
  <c r="AP1172" s="1"/>
  <c r="AS1172" s="1"/>
  <c r="AN1073"/>
  <c r="AP1073" s="1"/>
  <c r="AS1073" s="1"/>
  <c r="AN1668"/>
  <c r="AP1668" s="1"/>
  <c r="AS1668" s="1"/>
  <c r="AN1653"/>
  <c r="AP1653" s="1"/>
  <c r="AS1653" s="1"/>
  <c r="AN1372"/>
  <c r="AP1372" s="1"/>
  <c r="AS1372" s="1"/>
  <c r="AN1566"/>
  <c r="AP1566" s="1"/>
  <c r="AS1566" s="1"/>
  <c r="AN1136"/>
  <c r="AP1136" s="1"/>
  <c r="AS1136" s="1"/>
  <c r="AN1220"/>
  <c r="AP1220" s="1"/>
  <c r="AS1220" s="1"/>
  <c r="AN969"/>
  <c r="AP969" s="1"/>
  <c r="AS969" s="1"/>
  <c r="AN564"/>
  <c r="AP564" s="1"/>
  <c r="AS564" s="1"/>
  <c r="AN690"/>
  <c r="AP690" s="1"/>
  <c r="AS690" s="1"/>
  <c r="AN566"/>
  <c r="AP566" s="1"/>
  <c r="AS566" s="1"/>
  <c r="AN56"/>
  <c r="AP56" s="1"/>
  <c r="AS56" s="1"/>
  <c r="AO922"/>
  <c r="AR922" s="1"/>
  <c r="AO1102"/>
  <c r="AR1102" s="1"/>
  <c r="AO505"/>
  <c r="AR505" s="1"/>
  <c r="AO712"/>
  <c r="AR712" s="1"/>
  <c r="AO1122"/>
  <c r="AR1122" s="1"/>
  <c r="AO279"/>
  <c r="AR279" s="1"/>
  <c r="AO722"/>
  <c r="AR722" s="1"/>
  <c r="AO1582"/>
  <c r="AR1582" s="1"/>
  <c r="AN1509"/>
  <c r="AP1509" s="1"/>
  <c r="AS1509" s="1"/>
  <c r="AN1617"/>
  <c r="AP1617" s="1"/>
  <c r="AS1617" s="1"/>
  <c r="AN1277"/>
  <c r="AP1277" s="1"/>
  <c r="AS1277" s="1"/>
  <c r="AN310"/>
  <c r="AP310" s="1"/>
  <c r="AS310" s="1"/>
  <c r="AN989"/>
  <c r="AP989" s="1"/>
  <c r="AS989" s="1"/>
  <c r="AN805"/>
  <c r="AP805" s="1"/>
  <c r="AS805" s="1"/>
  <c r="AN965"/>
  <c r="AP965" s="1"/>
  <c r="AS965" s="1"/>
  <c r="AN1239"/>
  <c r="AP1239" s="1"/>
  <c r="AS1239" s="1"/>
  <c r="AN1043"/>
  <c r="AP1043" s="1"/>
  <c r="AS1043" s="1"/>
  <c r="AN1006"/>
  <c r="AP1006" s="1"/>
  <c r="AS1006" s="1"/>
  <c r="AN338"/>
  <c r="AP338" s="1"/>
  <c r="AS338" s="1"/>
  <c r="AN1145"/>
  <c r="AP1145" s="1"/>
  <c r="AS1145" s="1"/>
  <c r="AN948"/>
  <c r="AP948" s="1"/>
  <c r="AS948" s="1"/>
  <c r="AN661"/>
  <c r="AP661" s="1"/>
  <c r="AS661" s="1"/>
  <c r="AN518"/>
  <c r="AP518" s="1"/>
  <c r="AS518" s="1"/>
  <c r="AN360"/>
  <c r="AP360" s="1"/>
  <c r="AS360" s="1"/>
  <c r="AN798"/>
  <c r="AP798" s="1"/>
  <c r="AS798" s="1"/>
  <c r="AN799"/>
  <c r="AP799" s="1"/>
  <c r="AS799" s="1"/>
  <c r="AN440"/>
  <c r="AP440" s="1"/>
  <c r="AS440" s="1"/>
  <c r="AN252"/>
  <c r="AP252" s="1"/>
  <c r="AS252" s="1"/>
  <c r="AN1042"/>
  <c r="AP1042" s="1"/>
  <c r="AS1042" s="1"/>
  <c r="AN525"/>
  <c r="AP525" s="1"/>
  <c r="AS525" s="1"/>
  <c r="AN763"/>
  <c r="AP763" s="1"/>
  <c r="AS763" s="1"/>
  <c r="AN964"/>
  <c r="AP964" s="1"/>
  <c r="AS964" s="1"/>
  <c r="AN772"/>
  <c r="AP772" s="1"/>
  <c r="AS772" s="1"/>
  <c r="AN956"/>
  <c r="AP956" s="1"/>
  <c r="AS956" s="1"/>
  <c r="AN1046"/>
  <c r="AP1046" s="1"/>
  <c r="AS1046" s="1"/>
  <c r="AN700"/>
  <c r="AP700" s="1"/>
  <c r="AS700" s="1"/>
  <c r="AN62"/>
  <c r="AP62" s="1"/>
  <c r="AS62" s="1"/>
  <c r="AN669"/>
  <c r="AP669" s="1"/>
  <c r="AS669" s="1"/>
  <c r="AN517"/>
  <c r="AP517" s="1"/>
  <c r="AS517" s="1"/>
  <c r="AN563"/>
  <c r="AP563" s="1"/>
  <c r="AS563" s="1"/>
  <c r="AN990"/>
  <c r="AP990" s="1"/>
  <c r="AS990" s="1"/>
  <c r="AN1345"/>
  <c r="AP1345" s="1"/>
  <c r="AS1345" s="1"/>
  <c r="AN50"/>
  <c r="AP50" s="1"/>
  <c r="AS50" s="1"/>
  <c r="AN1625"/>
  <c r="AP1625" s="1"/>
  <c r="AS1625" s="1"/>
  <c r="AN1406"/>
  <c r="AP1406" s="1"/>
  <c r="AS1406" s="1"/>
  <c r="AN358"/>
  <c r="AP358" s="1"/>
  <c r="AS358" s="1"/>
  <c r="AN209"/>
  <c r="AP209" s="1"/>
  <c r="AS209" s="1"/>
  <c r="AN219"/>
  <c r="AP219" s="1"/>
  <c r="AS219" s="1"/>
  <c r="AN1576"/>
  <c r="AP1576" s="1"/>
  <c r="AS1576" s="1"/>
  <c r="AN499"/>
  <c r="AP499" s="1"/>
  <c r="AS499" s="1"/>
  <c r="AN44"/>
  <c r="AP44" s="1"/>
  <c r="AS44" s="1"/>
  <c r="AN605"/>
  <c r="AP605" s="1"/>
  <c r="AS605" s="1"/>
  <c r="AN104"/>
  <c r="AP104" s="1"/>
  <c r="AS104" s="1"/>
  <c r="AN717"/>
  <c r="AP717" s="1"/>
  <c r="AS717" s="1"/>
  <c r="AN1603"/>
  <c r="AP1603" s="1"/>
  <c r="AS1603" s="1"/>
  <c r="AN1025"/>
  <c r="AP1025" s="1"/>
  <c r="AS1025" s="1"/>
  <c r="AN864"/>
  <c r="AP864" s="1"/>
  <c r="AS864" s="1"/>
  <c r="AN1247"/>
  <c r="AP1247" s="1"/>
  <c r="AS1247" s="1"/>
  <c r="AN862"/>
  <c r="AP862" s="1"/>
  <c r="AS862" s="1"/>
  <c r="AN686"/>
  <c r="AP686" s="1"/>
  <c r="AS686" s="1"/>
  <c r="AN1009"/>
  <c r="AP1009" s="1"/>
  <c r="AS1009" s="1"/>
  <c r="AN976"/>
  <c r="AP976" s="1"/>
  <c r="AS976" s="1"/>
  <c r="AN1806"/>
  <c r="AP1806" s="1"/>
  <c r="AS1806" s="1"/>
  <c r="AN926"/>
  <c r="AP926" s="1"/>
  <c r="AS926" s="1"/>
  <c r="AN1108"/>
  <c r="AP1108" s="1"/>
  <c r="AS1108" s="1"/>
  <c r="AN1100"/>
  <c r="AP1100" s="1"/>
  <c r="AS1100" s="1"/>
  <c r="AN1076"/>
  <c r="AP1076" s="1"/>
  <c r="AS1076" s="1"/>
  <c r="AN582"/>
  <c r="AP582" s="1"/>
  <c r="AS582" s="1"/>
  <c r="AN571"/>
  <c r="AP571" s="1"/>
  <c r="AS571" s="1"/>
  <c r="AN1147"/>
  <c r="AP1147" s="1"/>
  <c r="AS1147" s="1"/>
  <c r="AN1400"/>
  <c r="AP1400" s="1"/>
  <c r="AS1400" s="1"/>
  <c r="AN1327"/>
  <c r="AP1327" s="1"/>
  <c r="AS1327" s="1"/>
  <c r="AN1313"/>
  <c r="AP1313" s="1"/>
  <c r="AS1313" s="1"/>
  <c r="AN325"/>
  <c r="AP325" s="1"/>
  <c r="AS325" s="1"/>
  <c r="AN788"/>
  <c r="AP788" s="1"/>
  <c r="AS788" s="1"/>
  <c r="AN1015"/>
  <c r="AP1015" s="1"/>
  <c r="AS1015" s="1"/>
  <c r="AN42"/>
  <c r="AP42" s="1"/>
  <c r="AS42" s="1"/>
  <c r="AN398"/>
  <c r="AP398" s="1"/>
  <c r="AS398" s="1"/>
  <c r="AN736"/>
  <c r="AP736" s="1"/>
  <c r="AS736" s="1"/>
  <c r="AN238"/>
  <c r="AP238" s="1"/>
  <c r="AS238" s="1"/>
  <c r="AN265"/>
  <c r="AP265" s="1"/>
  <c r="AS265" s="1"/>
  <c r="AN190"/>
  <c r="AP190" s="1"/>
  <c r="AS190" s="1"/>
  <c r="AN1820"/>
  <c r="AP1820" s="1"/>
  <c r="AS1820" s="1"/>
  <c r="AN1300"/>
  <c r="AP1300" s="1"/>
  <c r="AS1300" s="1"/>
  <c r="AN1722"/>
  <c r="AP1722" s="1"/>
  <c r="AS1722" s="1"/>
  <c r="AN1632"/>
  <c r="AP1632" s="1"/>
  <c r="AS1632" s="1"/>
  <c r="AN1229"/>
  <c r="AP1229" s="1"/>
  <c r="AS1229" s="1"/>
  <c r="AN1835"/>
  <c r="AP1835" s="1"/>
  <c r="AS1835" s="1"/>
  <c r="AN1024"/>
  <c r="AP1024" s="1"/>
  <c r="AS1024" s="1"/>
  <c r="AN1225"/>
  <c r="AP1225" s="1"/>
  <c r="AS1225" s="1"/>
  <c r="AN556"/>
  <c r="AP556" s="1"/>
  <c r="AS556" s="1"/>
  <c r="AN485"/>
  <c r="AP485" s="1"/>
  <c r="AS485" s="1"/>
  <c r="AN181"/>
  <c r="AP181" s="1"/>
  <c r="AS181" s="1"/>
  <c r="AN80"/>
  <c r="AP80" s="1"/>
  <c r="AS80" s="1"/>
  <c r="AN1107"/>
  <c r="AP1107" s="1"/>
  <c r="AS1107" s="1"/>
  <c r="AN1260"/>
  <c r="AP1260" s="1"/>
  <c r="AS1260" s="1"/>
  <c r="AN242"/>
  <c r="AP242" s="1"/>
  <c r="AS242" s="1"/>
  <c r="AN280"/>
  <c r="AP280" s="1"/>
  <c r="AS280" s="1"/>
  <c r="AN1174"/>
  <c r="AP1174" s="1"/>
  <c r="AS1174" s="1"/>
  <c r="AN1230"/>
  <c r="AP1230" s="1"/>
  <c r="AS1230" s="1"/>
  <c r="AN1045"/>
  <c r="AP1045" s="1"/>
  <c r="AS1045" s="1"/>
  <c r="AN803"/>
  <c r="AP803" s="1"/>
  <c r="AS803" s="1"/>
  <c r="AN903"/>
  <c r="AP903" s="1"/>
  <c r="AS903" s="1"/>
  <c r="AN330"/>
  <c r="AP330" s="1"/>
  <c r="AS330" s="1"/>
  <c r="AN978"/>
  <c r="AP978" s="1"/>
  <c r="AS978" s="1"/>
  <c r="AN182"/>
  <c r="AP182" s="1"/>
  <c r="AS182" s="1"/>
  <c r="AN1847"/>
  <c r="AP1847" s="1"/>
  <c r="AS1847" s="1"/>
  <c r="AN135"/>
  <c r="AP135" s="1"/>
  <c r="AS135" s="1"/>
  <c r="AN507"/>
  <c r="AP507" s="1"/>
  <c r="AS507" s="1"/>
  <c r="AN544"/>
  <c r="AP544" s="1"/>
  <c r="AS544" s="1"/>
  <c r="AN1678"/>
  <c r="AP1678" s="1"/>
  <c r="AS1678" s="1"/>
  <c r="AN697"/>
  <c r="AP697" s="1"/>
  <c r="AS697" s="1"/>
  <c r="AN1775"/>
  <c r="AP1775" s="1"/>
  <c r="AS1775" s="1"/>
  <c r="AN216"/>
  <c r="AP216" s="1"/>
  <c r="AS216" s="1"/>
  <c r="AN767"/>
  <c r="AP767" s="1"/>
  <c r="AS767" s="1"/>
  <c r="AN1629"/>
  <c r="AP1629" s="1"/>
  <c r="AS1629" s="1"/>
  <c r="AN100"/>
  <c r="AP100" s="1"/>
  <c r="AS100" s="1"/>
  <c r="AN212"/>
  <c r="AP212" s="1"/>
  <c r="AS212" s="1"/>
  <c r="AN597"/>
  <c r="AP597" s="1"/>
  <c r="AS597" s="1"/>
  <c r="AN1061"/>
  <c r="AP1061" s="1"/>
  <c r="AS1061" s="1"/>
  <c r="AN467"/>
  <c r="AP467" s="1"/>
  <c r="AS467" s="1"/>
  <c r="AN1231"/>
  <c r="AP1231" s="1"/>
  <c r="AS1231" s="1"/>
  <c r="AN262"/>
  <c r="AP262" s="1"/>
  <c r="AS262" s="1"/>
  <c r="AN609"/>
  <c r="AP609" s="1"/>
  <c r="AS609" s="1"/>
  <c r="AN844"/>
  <c r="AP844" s="1"/>
  <c r="AS844" s="1"/>
  <c r="AN557"/>
  <c r="AP557" s="1"/>
  <c r="AS557" s="1"/>
  <c r="AN1216"/>
  <c r="AP1216" s="1"/>
  <c r="AS1216" s="1"/>
  <c r="AN389"/>
  <c r="AP389" s="1"/>
  <c r="AS389" s="1"/>
  <c r="AN759"/>
  <c r="AP759" s="1"/>
  <c r="AS759" s="1"/>
  <c r="AN1019"/>
  <c r="AP1019" s="1"/>
  <c r="AS1019" s="1"/>
  <c r="AN1355"/>
  <c r="AP1355" s="1"/>
  <c r="AS1355" s="1"/>
  <c r="AN106"/>
  <c r="AP106" s="1"/>
  <c r="AS106" s="1"/>
  <c r="AN178"/>
  <c r="AP178" s="1"/>
  <c r="AS178" s="1"/>
  <c r="AN1578"/>
  <c r="AP1578" s="1"/>
  <c r="AS1578" s="1"/>
  <c r="AN1297"/>
  <c r="AP1297" s="1"/>
  <c r="AS1297" s="1"/>
  <c r="AN1486"/>
  <c r="AP1486" s="1"/>
  <c r="AS1486" s="1"/>
  <c r="AN427"/>
  <c r="AP427" s="1"/>
  <c r="AS427" s="1"/>
  <c r="AN186"/>
  <c r="AP186" s="1"/>
  <c r="AS186" s="1"/>
  <c r="AN77"/>
  <c r="AP77" s="1"/>
  <c r="AS77" s="1"/>
  <c r="AN1609"/>
  <c r="AP1609" s="1"/>
  <c r="AS1609" s="1"/>
  <c r="AN1749"/>
  <c r="AP1749" s="1"/>
  <c r="AS1749" s="1"/>
  <c r="AN1510"/>
  <c r="AP1510" s="1"/>
  <c r="AS1510" s="1"/>
  <c r="AN1817"/>
  <c r="AP1817" s="1"/>
  <c r="AS1817" s="1"/>
  <c r="AN112"/>
  <c r="AP112" s="1"/>
  <c r="AS112" s="1"/>
  <c r="AN237"/>
  <c r="AP237" s="1"/>
  <c r="AS237" s="1"/>
  <c r="AN1175"/>
  <c r="AP1175" s="1"/>
  <c r="AS1175" s="1"/>
  <c r="AN102"/>
  <c r="AP102" s="1"/>
  <c r="AS102" s="1"/>
  <c r="AN1010"/>
  <c r="AP1010" s="1"/>
  <c r="AS1010" s="1"/>
  <c r="AN1650"/>
  <c r="AP1650" s="1"/>
  <c r="AS1650" s="1"/>
  <c r="AN1704"/>
  <c r="AP1704" s="1"/>
  <c r="AS1704" s="1"/>
  <c r="AN1612"/>
  <c r="AP1612" s="1"/>
  <c r="AS1612" s="1"/>
  <c r="AN1620"/>
  <c r="AP1620" s="1"/>
  <c r="AS1620" s="1"/>
  <c r="AN1294"/>
  <c r="AP1294" s="1"/>
  <c r="AS1294" s="1"/>
  <c r="AN1589"/>
  <c r="AP1589" s="1"/>
  <c r="AS1589" s="1"/>
  <c r="AN1550"/>
  <c r="AP1550" s="1"/>
  <c r="AS1550" s="1"/>
  <c r="AN1141"/>
  <c r="AP1141" s="1"/>
  <c r="AS1141" s="1"/>
  <c r="AN1130"/>
  <c r="AP1130" s="1"/>
  <c r="AS1130" s="1"/>
  <c r="AN896"/>
  <c r="AP896" s="1"/>
  <c r="AS896" s="1"/>
  <c r="AN1119"/>
  <c r="AP1119" s="1"/>
  <c r="AS1119" s="1"/>
  <c r="AN1271"/>
  <c r="AP1271" s="1"/>
  <c r="AS1271" s="1"/>
  <c r="AN91"/>
  <c r="AP91" s="1"/>
  <c r="AS91" s="1"/>
  <c r="AN748"/>
  <c r="AP748" s="1"/>
  <c r="AS748" s="1"/>
  <c r="AN72"/>
  <c r="AP72" s="1"/>
  <c r="AS72" s="1"/>
  <c r="AN1211"/>
  <c r="AP1211" s="1"/>
  <c r="AS1211" s="1"/>
  <c r="AN656"/>
  <c r="AP656" s="1"/>
  <c r="AS656" s="1"/>
  <c r="AN1303"/>
  <c r="AP1303" s="1"/>
  <c r="AS1303" s="1"/>
  <c r="AN1803"/>
  <c r="AP1803" s="1"/>
  <c r="AS1803" s="1"/>
  <c r="AN1754"/>
  <c r="AP1754" s="1"/>
  <c r="AS1754" s="1"/>
  <c r="AN1475"/>
  <c r="AP1475" s="1"/>
  <c r="AS1475" s="1"/>
  <c r="AN1600"/>
  <c r="AP1600" s="1"/>
  <c r="AS1600" s="1"/>
  <c r="AN1786"/>
  <c r="AP1786" s="1"/>
  <c r="AS1786" s="1"/>
  <c r="AN1766"/>
  <c r="AP1766" s="1"/>
  <c r="AS1766" s="1"/>
  <c r="AN1456"/>
  <c r="AP1456" s="1"/>
  <c r="AS1456" s="1"/>
  <c r="AN1376"/>
  <c r="AP1376" s="1"/>
  <c r="AS1376" s="1"/>
  <c r="AN1616"/>
  <c r="AP1616" s="1"/>
  <c r="AS1616" s="1"/>
  <c r="AN1138"/>
  <c r="AP1138" s="1"/>
  <c r="AS1138" s="1"/>
  <c r="AN588"/>
  <c r="AP588" s="1"/>
  <c r="AS588" s="1"/>
  <c r="AN290"/>
  <c r="AP290" s="1"/>
  <c r="AS290" s="1"/>
  <c r="AN1060"/>
  <c r="AP1060" s="1"/>
  <c r="AS1060" s="1"/>
  <c r="AN275"/>
  <c r="AP275" s="1"/>
  <c r="AS275" s="1"/>
  <c r="AN534"/>
  <c r="AP534" s="1"/>
  <c r="AS534" s="1"/>
  <c r="AN319"/>
  <c r="AP319" s="1"/>
  <c r="AS319" s="1"/>
  <c r="AD3"/>
  <c r="AF3" s="1"/>
  <c r="AH3" s="1"/>
  <c r="AR3" s="1"/>
  <c r="AR11" s="1"/>
  <c r="AN58"/>
  <c r="AP58" s="1"/>
  <c r="AS58" s="1"/>
  <c r="AN740"/>
  <c r="AP740" s="1"/>
  <c r="AS740" s="1"/>
  <c r="AN305"/>
  <c r="AP305" s="1"/>
  <c r="AS305" s="1"/>
  <c r="AN800"/>
  <c r="AP800" s="1"/>
  <c r="AS800" s="1"/>
  <c r="AN421"/>
  <c r="AP421" s="1"/>
  <c r="AS421" s="1"/>
  <c r="AN208"/>
  <c r="AP208" s="1"/>
  <c r="AS208" s="1"/>
  <c r="AO800"/>
  <c r="AR800" s="1"/>
  <c r="AO896"/>
  <c r="AR896" s="1"/>
  <c r="AO319"/>
  <c r="AR319" s="1"/>
  <c r="AO275"/>
  <c r="AR275" s="1"/>
  <c r="AO609"/>
  <c r="AR609" s="1"/>
  <c r="AN87"/>
  <c r="AP87" s="1"/>
  <c r="AS87" s="1"/>
  <c r="AO1060"/>
  <c r="AR1060" s="1"/>
  <c r="AO1256"/>
  <c r="AR1256" s="1"/>
  <c r="AO1061"/>
  <c r="AR1061" s="1"/>
  <c r="AO1245"/>
  <c r="AR1245" s="1"/>
  <c r="AO421"/>
  <c r="AR421" s="1"/>
  <c r="AO605"/>
  <c r="AR605" s="1"/>
  <c r="AO72"/>
  <c r="AR72" s="1"/>
  <c r="AO736"/>
  <c r="AR736" s="1"/>
  <c r="AO1249"/>
  <c r="AR1249" s="1"/>
  <c r="AO262"/>
  <c r="AR262" s="1"/>
  <c r="AO788"/>
  <c r="AR788" s="1"/>
  <c r="AO186"/>
  <c r="AR186" s="1"/>
  <c r="AO1117"/>
  <c r="AR1117" s="1"/>
  <c r="AO237"/>
  <c r="AR237" s="1"/>
  <c r="AO1130"/>
  <c r="AR1130" s="1"/>
  <c r="AN85"/>
  <c r="AP85" s="1"/>
  <c r="AS85" s="1"/>
  <c r="AN754"/>
  <c r="AP754" s="1"/>
  <c r="AS754" s="1"/>
  <c r="AO855"/>
  <c r="AR855" s="1"/>
  <c r="AO178"/>
  <c r="AR178" s="1"/>
  <c r="AO857"/>
  <c r="AR857" s="1"/>
  <c r="AO1216"/>
  <c r="AR1216" s="1"/>
  <c r="AO111"/>
  <c r="AR111" s="1"/>
  <c r="AN985"/>
  <c r="AP985" s="1"/>
  <c r="AS985" s="1"/>
  <c r="AN931"/>
  <c r="AP931" s="1"/>
  <c r="AS931" s="1"/>
  <c r="AN457"/>
  <c r="AP457" s="1"/>
  <c r="AS457" s="1"/>
  <c r="AO325"/>
  <c r="AR325" s="1"/>
  <c r="AN192"/>
  <c r="AP192" s="1"/>
  <c r="AS192" s="1"/>
  <c r="AN506"/>
  <c r="AP506" s="1"/>
  <c r="AS506" s="1"/>
  <c r="AN271"/>
  <c r="AP271" s="1"/>
  <c r="AS271" s="1"/>
  <c r="AN949"/>
  <c r="AP949" s="1"/>
  <c r="AS949" s="1"/>
  <c r="AN1255"/>
  <c r="AP1255" s="1"/>
  <c r="AS1255" s="1"/>
  <c r="AN145"/>
  <c r="AP145" s="1"/>
  <c r="AS145" s="1"/>
  <c r="AN258"/>
  <c r="AP258" s="1"/>
  <c r="AS258" s="1"/>
  <c r="AO77"/>
  <c r="AR77" s="1"/>
  <c r="AN451"/>
  <c r="AP451" s="1"/>
  <c r="AS451" s="1"/>
  <c r="AN733"/>
  <c r="AP733" s="1"/>
  <c r="AS733" s="1"/>
  <c r="AN1474"/>
  <c r="AP1474" s="1"/>
  <c r="AS1474" s="1"/>
  <c r="AN1735"/>
  <c r="AP1735" s="1"/>
  <c r="AS1735" s="1"/>
  <c r="AN1431"/>
  <c r="AP1431" s="1"/>
  <c r="AS1431" s="1"/>
  <c r="AO1616"/>
  <c r="AR1616" s="1"/>
  <c r="AN1483"/>
  <c r="AP1483" s="1"/>
  <c r="AS1483" s="1"/>
  <c r="AO1456"/>
  <c r="AR1456" s="1"/>
  <c r="AO1766"/>
  <c r="AR1766" s="1"/>
  <c r="AN1436"/>
  <c r="AP1436" s="1"/>
  <c r="AS1436" s="1"/>
  <c r="AO1786"/>
  <c r="AR1786" s="1"/>
  <c r="AN1819"/>
  <c r="AP1819" s="1"/>
  <c r="AS1819" s="1"/>
  <c r="AN1507"/>
  <c r="AP1507" s="1"/>
  <c r="AS1507" s="1"/>
  <c r="AO1546"/>
  <c r="AR1546" s="1"/>
  <c r="AN1342"/>
  <c r="AP1342" s="1"/>
  <c r="AS1342" s="1"/>
  <c r="AN1833"/>
  <c r="AP1833" s="1"/>
  <c r="AS1833" s="1"/>
  <c r="AN1843"/>
  <c r="AP1843" s="1"/>
  <c r="AS1843" s="1"/>
  <c r="AO1620"/>
  <c r="AR1620" s="1"/>
  <c r="AO1612"/>
  <c r="AR1612" s="1"/>
  <c r="AO1803"/>
  <c r="AR1803" s="1"/>
  <c r="AN1821"/>
  <c r="AP1821" s="1"/>
  <c r="AS1821" s="1"/>
  <c r="AN719"/>
  <c r="AP719" s="1"/>
  <c r="AS719" s="1"/>
  <c r="AN1351"/>
  <c r="AP1351" s="1"/>
  <c r="AS1351" s="1"/>
  <c r="AN1697"/>
  <c r="AP1697" s="1"/>
  <c r="AS1697" s="1"/>
  <c r="AN551"/>
  <c r="AP551" s="1"/>
  <c r="AS551" s="1"/>
  <c r="AN731"/>
  <c r="AP731" s="1"/>
  <c r="AS731" s="1"/>
  <c r="AN1090"/>
  <c r="AP1090" s="1"/>
  <c r="AS1090" s="1"/>
  <c r="AN1467"/>
  <c r="AP1467" s="1"/>
  <c r="AS1467" s="1"/>
  <c r="AN1312"/>
  <c r="AP1312" s="1"/>
  <c r="AS1312" s="1"/>
  <c r="AN471"/>
  <c r="AP471" s="1"/>
  <c r="AS471" s="1"/>
  <c r="AN942"/>
  <c r="AP942" s="1"/>
  <c r="AS942" s="1"/>
  <c r="AN276"/>
  <c r="AP276" s="1"/>
  <c r="AS276" s="1"/>
  <c r="AN916"/>
  <c r="AP916" s="1"/>
  <c r="AS916" s="1"/>
  <c r="AN533"/>
  <c r="AP533" s="1"/>
  <c r="AS533" s="1"/>
  <c r="AN819"/>
  <c r="AP819" s="1"/>
  <c r="AS819" s="1"/>
  <c r="AN782"/>
  <c r="AP782" s="1"/>
  <c r="AS782" s="1"/>
  <c r="AN245"/>
  <c r="AP245" s="1"/>
  <c r="AS245" s="1"/>
  <c r="AN1244"/>
  <c r="AP1244" s="1"/>
  <c r="AS1244" s="1"/>
  <c r="AN891"/>
  <c r="AP891" s="1"/>
  <c r="AS891" s="1"/>
  <c r="AN911"/>
  <c r="AP911" s="1"/>
  <c r="AS911" s="1"/>
  <c r="AN257"/>
  <c r="AP257" s="1"/>
  <c r="AS257" s="1"/>
  <c r="AN1538"/>
  <c r="AP1538" s="1"/>
  <c r="AS1538" s="1"/>
  <c r="AN1783"/>
  <c r="AP1783" s="1"/>
  <c r="AS1783" s="1"/>
  <c r="AN1842"/>
  <c r="AP1842" s="1"/>
  <c r="AS1842" s="1"/>
  <c r="AN1729"/>
  <c r="AP1729" s="1"/>
  <c r="AS1729" s="1"/>
  <c r="AN1627"/>
  <c r="AP1627" s="1"/>
  <c r="AS1627" s="1"/>
  <c r="AN336"/>
  <c r="AP336" s="1"/>
  <c r="AS336" s="1"/>
  <c r="AN1114"/>
  <c r="AP1114" s="1"/>
  <c r="AS1114" s="1"/>
  <c r="AN475"/>
  <c r="AP475" s="1"/>
  <c r="AS475" s="1"/>
  <c r="AN936"/>
  <c r="AP936" s="1"/>
  <c r="AS936" s="1"/>
  <c r="AN1051"/>
  <c r="AP1051" s="1"/>
  <c r="AS1051" s="1"/>
  <c r="AN885"/>
  <c r="AP885" s="1"/>
  <c r="AS885" s="1"/>
  <c r="AN286"/>
  <c r="AP286" s="1"/>
  <c r="AS286" s="1"/>
  <c r="AN999"/>
  <c r="AP999" s="1"/>
  <c r="AS999" s="1"/>
  <c r="AN810"/>
  <c r="AP810" s="1"/>
  <c r="AS810" s="1"/>
  <c r="AN814"/>
  <c r="AP814" s="1"/>
  <c r="AS814" s="1"/>
  <c r="AN696"/>
  <c r="AP696" s="1"/>
  <c r="AS696" s="1"/>
  <c r="AN327"/>
  <c r="AP327" s="1"/>
  <c r="AS327" s="1"/>
  <c r="AN1492"/>
  <c r="AP1492" s="1"/>
  <c r="AS1492" s="1"/>
  <c r="AN1732"/>
  <c r="AP1732" s="1"/>
  <c r="AS1732" s="1"/>
  <c r="AN1341"/>
  <c r="AP1341" s="1"/>
  <c r="AS1341" s="1"/>
  <c r="AN730"/>
  <c r="AP730" s="1"/>
  <c r="AS730" s="1"/>
  <c r="AN379"/>
  <c r="AP379" s="1"/>
  <c r="AS379" s="1"/>
  <c r="AN118"/>
  <c r="AP118" s="1"/>
  <c r="AS118" s="1"/>
  <c r="AN1382"/>
  <c r="AP1382" s="1"/>
  <c r="AS1382" s="1"/>
  <c r="AN1477"/>
  <c r="AP1477" s="1"/>
  <c r="AS1477" s="1"/>
  <c r="AN1540"/>
  <c r="AP1540" s="1"/>
  <c r="AS1540" s="1"/>
  <c r="AN1454"/>
  <c r="AP1454" s="1"/>
  <c r="AS1454" s="1"/>
  <c r="AN1680"/>
  <c r="AP1680" s="1"/>
  <c r="AS1680" s="1"/>
  <c r="AN1491"/>
  <c r="AP1491" s="1"/>
  <c r="AS1491" s="1"/>
  <c r="AN1584"/>
  <c r="AP1584" s="1"/>
  <c r="AS1584" s="1"/>
  <c r="AN1367"/>
  <c r="AP1367" s="1"/>
  <c r="AS1367" s="1"/>
  <c r="AN393"/>
  <c r="AP393" s="1"/>
  <c r="AS393" s="1"/>
  <c r="AN687"/>
  <c r="AP687" s="1"/>
  <c r="AS687" s="1"/>
  <c r="AN1706"/>
  <c r="AP1706" s="1"/>
  <c r="AS1706" s="1"/>
  <c r="AN1444"/>
  <c r="AP1444" s="1"/>
  <c r="AS1444" s="1"/>
  <c r="AN437"/>
  <c r="AP437" s="1"/>
  <c r="AS437" s="1"/>
  <c r="AN200"/>
  <c r="AP200" s="1"/>
  <c r="AS200" s="1"/>
  <c r="AN355"/>
  <c r="AP355" s="1"/>
  <c r="AS355" s="1"/>
  <c r="AN1604"/>
  <c r="AP1604" s="1"/>
  <c r="AS1604" s="1"/>
  <c r="AN1770"/>
  <c r="AP1770" s="1"/>
  <c r="AS1770" s="1"/>
  <c r="AN1757"/>
  <c r="AP1757" s="1"/>
  <c r="AS1757" s="1"/>
  <c r="AN1813"/>
  <c r="AP1813" s="1"/>
  <c r="AS1813" s="1"/>
  <c r="AN1423"/>
  <c r="AP1423" s="1"/>
  <c r="AS1423" s="1"/>
  <c r="AN1716"/>
  <c r="AP1716" s="1"/>
  <c r="AS1716" s="1"/>
  <c r="AN1683"/>
  <c r="AP1683" s="1"/>
  <c r="AS1683" s="1"/>
  <c r="AN1332"/>
  <c r="AP1332" s="1"/>
  <c r="AS1332" s="1"/>
  <c r="AN57"/>
  <c r="AP57" s="1"/>
  <c r="AS57" s="1"/>
  <c r="AO265"/>
  <c r="AR265" s="1"/>
  <c r="AO290"/>
  <c r="AR290" s="1"/>
  <c r="AN757"/>
  <c r="AP757" s="1"/>
  <c r="AS757" s="1"/>
  <c r="AO629"/>
  <c r="AR629" s="1"/>
  <c r="AO212"/>
  <c r="AR212" s="1"/>
  <c r="AO467"/>
  <c r="AR467" s="1"/>
  <c r="AO741"/>
  <c r="AR741" s="1"/>
  <c r="AN486"/>
  <c r="AP486" s="1"/>
  <c r="AS486" s="1"/>
  <c r="AN739"/>
  <c r="AP739" s="1"/>
  <c r="AS739" s="1"/>
  <c r="AO656"/>
  <c r="AR656" s="1"/>
  <c r="AN128"/>
  <c r="AP128" s="1"/>
  <c r="AS128" s="1"/>
  <c r="AN269"/>
  <c r="AP269" s="1"/>
  <c r="AS269" s="1"/>
  <c r="AN1252"/>
  <c r="AP1252" s="1"/>
  <c r="AS1252" s="1"/>
  <c r="AN626"/>
  <c r="AP626" s="1"/>
  <c r="AS626" s="1"/>
  <c r="AO58"/>
  <c r="AR58" s="1"/>
  <c r="AO91"/>
  <c r="AR91" s="1"/>
  <c r="AN1070"/>
  <c r="AP1070" s="1"/>
  <c r="AS1070" s="1"/>
  <c r="AN374"/>
  <c r="AP374" s="1"/>
  <c r="AS374" s="1"/>
  <c r="AN699"/>
  <c r="AP699" s="1"/>
  <c r="AS699" s="1"/>
  <c r="AO100"/>
  <c r="AR100" s="1"/>
  <c r="AN1720"/>
  <c r="AP1720" s="1"/>
  <c r="AS1720" s="1"/>
  <c r="AO1486"/>
  <c r="AR1486" s="1"/>
  <c r="AO1300"/>
  <c r="AR1300" s="1"/>
  <c r="AO1609"/>
  <c r="AR1609" s="1"/>
  <c r="AO1817"/>
  <c r="AR1817" s="1"/>
  <c r="AO1600"/>
  <c r="AR1600" s="1"/>
  <c r="AO1754"/>
  <c r="AR1754" s="1"/>
  <c r="AN1730"/>
  <c r="AP1730" s="1"/>
  <c r="AS1730" s="1"/>
  <c r="AO1589"/>
  <c r="AR1589" s="1"/>
  <c r="AO1294"/>
  <c r="AR1294" s="1"/>
  <c r="AN1325"/>
  <c r="AP1325" s="1"/>
  <c r="AS1325" s="1"/>
  <c r="AN1731"/>
  <c r="AP1731" s="1"/>
  <c r="AS1731" s="1"/>
  <c r="AO1303"/>
  <c r="AR1303" s="1"/>
  <c r="AN1368"/>
  <c r="AP1368" s="1"/>
  <c r="AS1368" s="1"/>
  <c r="AO1010"/>
  <c r="AR1010" s="1"/>
  <c r="AN167"/>
  <c r="AP167" s="1"/>
  <c r="AS167" s="1"/>
  <c r="AN1038"/>
  <c r="AP1038" s="1"/>
  <c r="AS1038" s="1"/>
  <c r="AN1200"/>
  <c r="AP1200" s="1"/>
  <c r="AS1200" s="1"/>
  <c r="AN1354"/>
  <c r="AP1354" s="1"/>
  <c r="AS1354" s="1"/>
  <c r="AN720"/>
  <c r="AP720" s="1"/>
  <c r="AS720" s="1"/>
  <c r="AN1190"/>
  <c r="AP1190" s="1"/>
  <c r="AS1190" s="1"/>
  <c r="AN1202"/>
  <c r="AP1202" s="1"/>
  <c r="AS1202" s="1"/>
  <c r="AN828"/>
  <c r="AP828" s="1"/>
  <c r="AS828" s="1"/>
  <c r="AN555"/>
  <c r="AP555" s="1"/>
  <c r="AS555" s="1"/>
  <c r="AN1155"/>
  <c r="AP1155" s="1"/>
  <c r="AS1155" s="1"/>
  <c r="AN865"/>
  <c r="AP865" s="1"/>
  <c r="AS865" s="1"/>
  <c r="AN894"/>
  <c r="AP894" s="1"/>
  <c r="AS894" s="1"/>
  <c r="AN324"/>
  <c r="AP324" s="1"/>
  <c r="AS324" s="1"/>
  <c r="AN1248"/>
  <c r="AP1248" s="1"/>
  <c r="AS1248" s="1"/>
  <c r="AN963"/>
  <c r="AP963" s="1"/>
  <c r="AS963" s="1"/>
  <c r="AN840"/>
  <c r="AP840" s="1"/>
  <c r="AS840" s="1"/>
  <c r="AN677"/>
  <c r="AP677" s="1"/>
  <c r="AS677" s="1"/>
  <c r="AN595"/>
  <c r="AP595" s="1"/>
  <c r="AS595" s="1"/>
  <c r="AN1688"/>
  <c r="AP1688" s="1"/>
  <c r="AS1688" s="1"/>
  <c r="AN1559"/>
  <c r="AP1559" s="1"/>
  <c r="AS1559" s="1"/>
  <c r="AN483"/>
  <c r="AP483" s="1"/>
  <c r="AS483" s="1"/>
  <c r="AN1000"/>
  <c r="AP1000" s="1"/>
  <c r="AS1000" s="1"/>
  <c r="AN1067"/>
  <c r="AP1067" s="1"/>
  <c r="AS1067" s="1"/>
  <c r="AN928"/>
  <c r="AP928" s="1"/>
  <c r="AS928" s="1"/>
  <c r="AN1741"/>
  <c r="AP1741" s="1"/>
  <c r="AS1741" s="1"/>
  <c r="AN1528"/>
  <c r="AP1528" s="1"/>
  <c r="AS1528" s="1"/>
  <c r="AN1443"/>
  <c r="AP1443" s="1"/>
  <c r="AS1443" s="1"/>
  <c r="AN1209"/>
  <c r="AP1209" s="1"/>
  <c r="AS1209" s="1"/>
  <c r="AN833"/>
  <c r="AP833" s="1"/>
  <c r="AS833" s="1"/>
  <c r="AN870"/>
  <c r="AP870" s="1"/>
  <c r="AS870" s="1"/>
  <c r="AN1181"/>
  <c r="AP1181" s="1"/>
  <c r="AS1181" s="1"/>
  <c r="AN526"/>
  <c r="AP526" s="1"/>
  <c r="AS526" s="1"/>
  <c r="AN937"/>
  <c r="AP937" s="1"/>
  <c r="AS937" s="1"/>
  <c r="AN738"/>
  <c r="AP738" s="1"/>
  <c r="AS738" s="1"/>
  <c r="AN1093"/>
  <c r="AP1093" s="1"/>
  <c r="AS1093" s="1"/>
  <c r="AN776"/>
  <c r="AP776" s="1"/>
  <c r="AS776" s="1"/>
  <c r="AN479"/>
  <c r="AP479" s="1"/>
  <c r="AS479" s="1"/>
  <c r="AN1607"/>
  <c r="AP1607" s="1"/>
  <c r="AS1607" s="1"/>
  <c r="AN454"/>
  <c r="AP454" s="1"/>
  <c r="AS454" s="1"/>
  <c r="AN268"/>
  <c r="AP268" s="1"/>
  <c r="AS268" s="1"/>
  <c r="AN373"/>
  <c r="AP373" s="1"/>
  <c r="AS373" s="1"/>
  <c r="AN309"/>
  <c r="AP309" s="1"/>
  <c r="AS309" s="1"/>
  <c r="AN331"/>
  <c r="AP331" s="1"/>
  <c r="AS331" s="1"/>
  <c r="AN61"/>
  <c r="AP61" s="1"/>
  <c r="AS61" s="1"/>
  <c r="AN155"/>
  <c r="AP155" s="1"/>
  <c r="AS155" s="1"/>
  <c r="AN1769"/>
  <c r="AP1769" s="1"/>
  <c r="AS1769" s="1"/>
  <c r="AN1845"/>
  <c r="AP1845" s="1"/>
  <c r="AS1845" s="1"/>
  <c r="AN1482"/>
  <c r="AP1482" s="1"/>
  <c r="AS1482" s="1"/>
  <c r="AN1681"/>
  <c r="AP1681" s="1"/>
  <c r="AS1681" s="1"/>
  <c r="AN436"/>
  <c r="AP436" s="1"/>
  <c r="AS436" s="1"/>
  <c r="AN345"/>
  <c r="AP345" s="1"/>
  <c r="AS345" s="1"/>
  <c r="AN125"/>
  <c r="AP125" s="1"/>
  <c r="AS125" s="1"/>
  <c r="AN204"/>
  <c r="AP204" s="1"/>
  <c r="AS204" s="1"/>
  <c r="AN170"/>
  <c r="AP170" s="1"/>
  <c r="AS170" s="1"/>
  <c r="AN1651"/>
  <c r="AP1651" s="1"/>
  <c r="AS1651" s="1"/>
  <c r="AN1499"/>
  <c r="AP1499" s="1"/>
  <c r="AS1499" s="1"/>
  <c r="AN1560"/>
  <c r="AP1560" s="1"/>
  <c r="AS1560" s="1"/>
  <c r="AN1645"/>
  <c r="AP1645" s="1"/>
  <c r="AS1645" s="1"/>
  <c r="AN1415"/>
  <c r="AP1415" s="1"/>
  <c r="AS1415" s="1"/>
  <c r="AN1412"/>
  <c r="AP1412" s="1"/>
  <c r="AS1412" s="1"/>
  <c r="AN1478"/>
  <c r="AP1478" s="1"/>
  <c r="AS1478" s="1"/>
  <c r="AN1418"/>
  <c r="AP1418" s="1"/>
  <c r="AS1418" s="1"/>
  <c r="AN1309"/>
  <c r="AP1309" s="1"/>
  <c r="AS1309" s="1"/>
  <c r="AN450"/>
  <c r="AP450" s="1"/>
  <c r="AS450" s="1"/>
  <c r="AN193"/>
  <c r="AP193" s="1"/>
  <c r="AS193" s="1"/>
  <c r="AN713"/>
  <c r="AP713" s="1"/>
  <c r="AS713" s="1"/>
  <c r="AN371"/>
  <c r="AP371" s="1"/>
  <c r="AS371" s="1"/>
  <c r="AN1445"/>
  <c r="AP1445" s="1"/>
  <c r="AS1445" s="1"/>
  <c r="AN1365"/>
  <c r="AP1365" s="1"/>
  <c r="AS1365" s="1"/>
  <c r="AN1518"/>
  <c r="AP1518" s="1"/>
  <c r="AS1518" s="1"/>
  <c r="AN1623"/>
  <c r="AP1623" s="1"/>
  <c r="AS1623" s="1"/>
  <c r="AN1828"/>
  <c r="AP1828" s="1"/>
  <c r="AS1828" s="1"/>
  <c r="AO1141"/>
  <c r="AR1141" s="1"/>
  <c r="AN906"/>
  <c r="AP906" s="1"/>
  <c r="AS906" s="1"/>
  <c r="AN1013"/>
  <c r="AP1013" s="1"/>
  <c r="AS1013" s="1"/>
  <c r="AN285"/>
  <c r="AP285" s="1"/>
  <c r="AS285" s="1"/>
  <c r="AN291"/>
  <c r="AP291" s="1"/>
  <c r="AS291" s="1"/>
  <c r="AO409"/>
  <c r="AR409" s="1"/>
  <c r="AO427"/>
  <c r="AR427" s="1"/>
  <c r="AN967"/>
  <c r="AP967" s="1"/>
  <c r="AS967" s="1"/>
  <c r="AO534"/>
  <c r="AR534" s="1"/>
  <c r="AN239"/>
  <c r="AP239" s="1"/>
  <c r="AS239" s="1"/>
  <c r="AN70"/>
  <c r="AP70" s="1"/>
  <c r="AS70" s="1"/>
  <c r="AO1138"/>
  <c r="AR1138" s="1"/>
  <c r="AO1231"/>
  <c r="AR1231" s="1"/>
  <c r="AO1015"/>
  <c r="AR1015" s="1"/>
  <c r="AO190"/>
  <c r="AR190" s="1"/>
  <c r="AO647"/>
  <c r="AR647" s="1"/>
  <c r="AO112"/>
  <c r="AR112" s="1"/>
  <c r="AN48"/>
  <c r="AP48" s="1"/>
  <c r="AS48" s="1"/>
  <c r="AN1222"/>
  <c r="AP1222" s="1"/>
  <c r="AS1222" s="1"/>
  <c r="AN213"/>
  <c r="AP213" s="1"/>
  <c r="AS213" s="1"/>
  <c r="AN161"/>
  <c r="AP161" s="1"/>
  <c r="AS161" s="1"/>
  <c r="AN402"/>
  <c r="AP402" s="1"/>
  <c r="AS402" s="1"/>
  <c r="AN1088"/>
  <c r="AP1088" s="1"/>
  <c r="AS1088" s="1"/>
  <c r="AN470"/>
  <c r="AP470" s="1"/>
  <c r="AS470" s="1"/>
  <c r="AN689"/>
  <c r="AP689" s="1"/>
  <c r="AS689" s="1"/>
  <c r="AN970"/>
  <c r="AP970" s="1"/>
  <c r="AS970" s="1"/>
  <c r="AN1104"/>
  <c r="AP1104" s="1"/>
  <c r="AS1104" s="1"/>
  <c r="AN631"/>
  <c r="AP631" s="1"/>
  <c r="AS631" s="1"/>
  <c r="AN465"/>
  <c r="AP465" s="1"/>
  <c r="AS465" s="1"/>
  <c r="AN199"/>
  <c r="AP199" s="1"/>
  <c r="AS199" s="1"/>
  <c r="AN491"/>
  <c r="AP491" s="1"/>
  <c r="AS491" s="1"/>
  <c r="AN954"/>
  <c r="AP954" s="1"/>
  <c r="AS954" s="1"/>
  <c r="AN1022"/>
  <c r="AP1022" s="1"/>
  <c r="AS1022" s="1"/>
  <c r="AN998"/>
  <c r="AP998" s="1"/>
  <c r="AS998" s="1"/>
  <c r="AN1167"/>
  <c r="AP1167" s="1"/>
  <c r="AS1167" s="1"/>
  <c r="AN968"/>
  <c r="AP968" s="1"/>
  <c r="AS968" s="1"/>
  <c r="AN586"/>
  <c r="AP586" s="1"/>
  <c r="AS586" s="1"/>
  <c r="AN394"/>
  <c r="AP394" s="1"/>
  <c r="AS394" s="1"/>
  <c r="AN266"/>
  <c r="AP266" s="1"/>
  <c r="AS266" s="1"/>
  <c r="AN424"/>
  <c r="AP424" s="1"/>
  <c r="AS424" s="1"/>
  <c r="AN542"/>
  <c r="AP542" s="1"/>
  <c r="AS542" s="1"/>
  <c r="AN1001"/>
  <c r="AP1001" s="1"/>
  <c r="AS1001" s="1"/>
  <c r="AN183"/>
  <c r="AP183" s="1"/>
  <c r="AS183" s="1"/>
  <c r="AN1020"/>
  <c r="AP1020" s="1"/>
  <c r="AS1020" s="1"/>
  <c r="AN41"/>
  <c r="AP41" s="1"/>
  <c r="AS41" s="1"/>
  <c r="AN139"/>
  <c r="AP139" s="1"/>
  <c r="AS139" s="1"/>
  <c r="AN952"/>
  <c r="AP952" s="1"/>
  <c r="AS952" s="1"/>
  <c r="AN905"/>
  <c r="AP905" s="1"/>
  <c r="AS905" s="1"/>
  <c r="AN205"/>
  <c r="AP205" s="1"/>
  <c r="AS205" s="1"/>
  <c r="AN1026"/>
  <c r="AP1026" s="1"/>
  <c r="AS1026" s="1"/>
  <c r="AN1012"/>
  <c r="AP1012" s="1"/>
  <c r="AS1012" s="1"/>
  <c r="AN442"/>
  <c r="AP442" s="1"/>
  <c r="AS442" s="1"/>
  <c r="AN962"/>
  <c r="AP962" s="1"/>
  <c r="AS962" s="1"/>
  <c r="AN860"/>
  <c r="AP860" s="1"/>
  <c r="AS860" s="1"/>
  <c r="AN378"/>
  <c r="AP378" s="1"/>
  <c r="AS378" s="1"/>
  <c r="AN165"/>
  <c r="AP165" s="1"/>
  <c r="AS165" s="1"/>
  <c r="AN63"/>
  <c r="AP63" s="1"/>
  <c r="AS63" s="1"/>
  <c r="AN1270"/>
  <c r="AP1270" s="1"/>
  <c r="AS1270" s="1"/>
  <c r="AN299"/>
  <c r="AP299" s="1"/>
  <c r="AS299" s="1"/>
  <c r="AN657"/>
  <c r="AP657" s="1"/>
  <c r="AS657" s="1"/>
  <c r="AN1846"/>
  <c r="AP1846" s="1"/>
  <c r="AS1846" s="1"/>
  <c r="AN1398"/>
  <c r="AP1398" s="1"/>
  <c r="AS1398" s="1"/>
  <c r="AN1273"/>
  <c r="AP1273" s="1"/>
  <c r="AS1273" s="1"/>
  <c r="AN1548"/>
  <c r="AP1548" s="1"/>
  <c r="AS1548" s="1"/>
  <c r="AN1068"/>
  <c r="AP1068" s="1"/>
  <c r="AS1068" s="1"/>
  <c r="AN836"/>
  <c r="AP836" s="1"/>
  <c r="AS836" s="1"/>
  <c r="AN1204"/>
  <c r="AP1204" s="1"/>
  <c r="AS1204" s="1"/>
  <c r="AN1123"/>
  <c r="AP1123" s="1"/>
  <c r="AS1123" s="1"/>
  <c r="AN1098"/>
  <c r="AP1098" s="1"/>
  <c r="AS1098" s="1"/>
  <c r="AN69"/>
  <c r="AP69" s="1"/>
  <c r="AS69" s="1"/>
  <c r="AN537"/>
  <c r="AP537" s="1"/>
  <c r="AS537" s="1"/>
  <c r="AN1664"/>
  <c r="AP1664" s="1"/>
  <c r="AS1664" s="1"/>
  <c r="AN34"/>
  <c r="AP34" s="1"/>
  <c r="AS34" s="1"/>
  <c r="AN295"/>
  <c r="AP295" s="1"/>
  <c r="AS295" s="1"/>
  <c r="AN510"/>
  <c r="AP510" s="1"/>
  <c r="AS510" s="1"/>
  <c r="AN1777"/>
  <c r="AP1777" s="1"/>
  <c r="AS1777" s="1"/>
  <c r="AN1760"/>
  <c r="AP1760" s="1"/>
  <c r="AS1760" s="1"/>
  <c r="AN1301"/>
  <c r="AP1301" s="1"/>
  <c r="AS1301" s="1"/>
  <c r="AN1353"/>
  <c r="AP1353" s="1"/>
  <c r="AS1353" s="1"/>
  <c r="AN1195"/>
  <c r="AP1195" s="1"/>
  <c r="AS1195" s="1"/>
  <c r="AN1619"/>
  <c r="AP1619" s="1"/>
  <c r="AS1619" s="1"/>
  <c r="AN1276"/>
  <c r="AP1276" s="1"/>
  <c r="AS1276" s="1"/>
  <c r="AN1624"/>
  <c r="AP1624" s="1"/>
  <c r="AS1624" s="1"/>
  <c r="AN1021"/>
  <c r="AP1021" s="1"/>
  <c r="AS1021" s="1"/>
  <c r="AN650"/>
  <c r="AP650" s="1"/>
  <c r="AS650" s="1"/>
  <c r="AN1159"/>
  <c r="AP1159" s="1"/>
  <c r="AS1159" s="1"/>
  <c r="AN315"/>
  <c r="AP315" s="1"/>
  <c r="AS315" s="1"/>
  <c r="AN1150"/>
  <c r="AP1150" s="1"/>
  <c r="AS1150" s="1"/>
  <c r="AN1157"/>
  <c r="AP1157" s="1"/>
  <c r="AS1157" s="1"/>
  <c r="AN768"/>
  <c r="AP768" s="1"/>
  <c r="AS768" s="1"/>
  <c r="AN552"/>
  <c r="AP552" s="1"/>
  <c r="AS552" s="1"/>
  <c r="AN320"/>
  <c r="AP320" s="1"/>
  <c r="AS320" s="1"/>
  <c r="AN174"/>
  <c r="AP174" s="1"/>
  <c r="AS174" s="1"/>
  <c r="AN1018"/>
  <c r="AP1018" s="1"/>
  <c r="AS1018" s="1"/>
  <c r="AN289"/>
  <c r="AP289" s="1"/>
  <c r="AS289" s="1"/>
  <c r="AN1226"/>
  <c r="AP1226" s="1"/>
  <c r="AS1226" s="1"/>
  <c r="AN149"/>
  <c r="AP149" s="1"/>
  <c r="AS149" s="1"/>
  <c r="AN1166"/>
  <c r="AP1166" s="1"/>
  <c r="AS1166" s="1"/>
  <c r="AN816"/>
  <c r="AP816" s="1"/>
  <c r="AS816" s="1"/>
  <c r="AN52"/>
  <c r="AP52" s="1"/>
  <c r="AS52" s="1"/>
  <c r="AN843"/>
  <c r="AP843" s="1"/>
  <c r="AS843" s="1"/>
  <c r="AN1352"/>
  <c r="AP1352" s="1"/>
  <c r="AS1352" s="1"/>
  <c r="AN1630"/>
  <c r="AP1630" s="1"/>
  <c r="AS1630" s="1"/>
  <c r="AN1420"/>
  <c r="AP1420" s="1"/>
  <c r="AS1420" s="1"/>
  <c r="AN1451"/>
  <c r="AP1451" s="1"/>
  <c r="AS1451" s="1"/>
  <c r="AN1693"/>
  <c r="AP1693" s="1"/>
  <c r="AS1693" s="1"/>
  <c r="AN1397"/>
  <c r="AP1397" s="1"/>
  <c r="AS1397" s="1"/>
  <c r="AN888"/>
  <c r="AP888" s="1"/>
  <c r="AS888" s="1"/>
  <c r="AN1189"/>
  <c r="AP1189" s="1"/>
  <c r="AS1189" s="1"/>
  <c r="AN1676"/>
  <c r="AP1676" s="1"/>
  <c r="AS1676" s="1"/>
  <c r="AN1503"/>
  <c r="AP1503" s="1"/>
  <c r="AS1503" s="1"/>
  <c r="AN1669"/>
  <c r="AP1669" s="1"/>
  <c r="AS1669" s="1"/>
  <c r="AN1573"/>
  <c r="AP1573" s="1"/>
  <c r="AS1573" s="1"/>
  <c r="AN1243"/>
  <c r="AP1243" s="1"/>
  <c r="AS1243" s="1"/>
  <c r="AN1844"/>
  <c r="AP1844" s="1"/>
  <c r="AS1844" s="1"/>
  <c r="AN877"/>
  <c r="AP877" s="1"/>
  <c r="AS877" s="1"/>
  <c r="AN1049"/>
  <c r="AP1049" s="1"/>
  <c r="AS1049" s="1"/>
  <c r="AN879"/>
  <c r="AP879" s="1"/>
  <c r="AS879" s="1"/>
  <c r="AN445"/>
  <c r="AP445" s="1"/>
  <c r="AS445" s="1"/>
  <c r="AN284"/>
  <c r="AP284" s="1"/>
  <c r="AS284" s="1"/>
  <c r="AN264"/>
  <c r="AP264" s="1"/>
  <c r="AS264" s="1"/>
  <c r="AN1742"/>
  <c r="AP1742" s="1"/>
  <c r="AS1742" s="1"/>
  <c r="AN1472"/>
  <c r="AP1472" s="1"/>
  <c r="AS1472" s="1"/>
  <c r="AN1105"/>
  <c r="AP1105" s="1"/>
  <c r="AS1105" s="1"/>
  <c r="AO295"/>
  <c r="AR295" s="1"/>
  <c r="AO1204"/>
  <c r="AR1204" s="1"/>
  <c r="AO266"/>
  <c r="AR266" s="1"/>
  <c r="AO165"/>
  <c r="AR165" s="1"/>
  <c r="AO843"/>
  <c r="AR843" s="1"/>
  <c r="AO1112"/>
  <c r="AR1112" s="1"/>
  <c r="AO470"/>
  <c r="AR470" s="1"/>
  <c r="AO1167"/>
  <c r="AR1167" s="1"/>
  <c r="AN49"/>
  <c r="AP49" s="1"/>
  <c r="AS49" s="1"/>
  <c r="AO299"/>
  <c r="AR299" s="1"/>
  <c r="AO631"/>
  <c r="AR631" s="1"/>
  <c r="AN235"/>
  <c r="AP235" s="1"/>
  <c r="AS235" s="1"/>
  <c r="AO445"/>
  <c r="AR445" s="1"/>
  <c r="AO752"/>
  <c r="AR752" s="1"/>
  <c r="AN225"/>
  <c r="AP225" s="1"/>
  <c r="AS225" s="1"/>
  <c r="AN812"/>
  <c r="AP812" s="1"/>
  <c r="AS812" s="1"/>
  <c r="AO52"/>
  <c r="AR52" s="1"/>
  <c r="AO998"/>
  <c r="AR998" s="1"/>
  <c r="AO952"/>
  <c r="AR952" s="1"/>
  <c r="AO1104"/>
  <c r="AR1104" s="1"/>
  <c r="AO905"/>
  <c r="AR905" s="1"/>
  <c r="AO149"/>
  <c r="AR149" s="1"/>
  <c r="AN415"/>
  <c r="AP415" s="1"/>
  <c r="AS415" s="1"/>
  <c r="AN426"/>
  <c r="AP426" s="1"/>
  <c r="AS426" s="1"/>
  <c r="AN775"/>
  <c r="AP775" s="1"/>
  <c r="AS775" s="1"/>
  <c r="AN433"/>
  <c r="AP433" s="1"/>
  <c r="AS433" s="1"/>
  <c r="AO768"/>
  <c r="AR768" s="1"/>
  <c r="AN951"/>
  <c r="AP951" s="1"/>
  <c r="AS951" s="1"/>
  <c r="AN382"/>
  <c r="AP382" s="1"/>
  <c r="AS382" s="1"/>
  <c r="AN545"/>
  <c r="AP545" s="1"/>
  <c r="AS545" s="1"/>
  <c r="AN1236"/>
  <c r="AP1236" s="1"/>
  <c r="AS1236" s="1"/>
  <c r="AN298"/>
  <c r="AP298" s="1"/>
  <c r="AS298" s="1"/>
  <c r="AN607"/>
  <c r="AP607" s="1"/>
  <c r="AS607" s="1"/>
  <c r="AO63"/>
  <c r="AR63" s="1"/>
  <c r="AO1742"/>
  <c r="AR1742" s="1"/>
  <c r="AN1782"/>
  <c r="AP1782" s="1"/>
  <c r="AS1782" s="1"/>
  <c r="AN1298"/>
  <c r="AP1298" s="1"/>
  <c r="AS1298" s="1"/>
  <c r="AO1397"/>
  <c r="AR1397" s="1"/>
  <c r="AO1760"/>
  <c r="AR1760" s="1"/>
  <c r="AO1573"/>
  <c r="AR1573" s="1"/>
  <c r="AN1762"/>
  <c r="AP1762" s="1"/>
  <c r="AS1762" s="1"/>
  <c r="AO95"/>
  <c r="AR95" s="1"/>
  <c r="AO41"/>
  <c r="AR41" s="1"/>
  <c r="AN146"/>
  <c r="AP146" s="1"/>
  <c r="AS146" s="1"/>
  <c r="AO394"/>
  <c r="AR394" s="1"/>
  <c r="AO1267"/>
  <c r="AR1267" s="1"/>
  <c r="AN64"/>
  <c r="AP64" s="1"/>
  <c r="AS64" s="1"/>
  <c r="AO139"/>
  <c r="AR139" s="1"/>
  <c r="AO689"/>
  <c r="AR689" s="1"/>
  <c r="AO1166"/>
  <c r="AR1166" s="1"/>
  <c r="AO996"/>
  <c r="AR996" s="1"/>
  <c r="AO552"/>
  <c r="AR552" s="1"/>
  <c r="AO1068"/>
  <c r="AR1068" s="1"/>
  <c r="AO1195"/>
  <c r="AR1195" s="1"/>
  <c r="AO205"/>
  <c r="AR205" s="1"/>
  <c r="AO378"/>
  <c r="AR378" s="1"/>
  <c r="AO877"/>
  <c r="AR877" s="1"/>
  <c r="AO264"/>
  <c r="AR264" s="1"/>
  <c r="AN913"/>
  <c r="AP913" s="1"/>
  <c r="AS913" s="1"/>
  <c r="AO491"/>
  <c r="AR491" s="1"/>
  <c r="AO860"/>
  <c r="AR860" s="1"/>
  <c r="AO888"/>
  <c r="AR888" s="1"/>
  <c r="AO816"/>
  <c r="AR816" s="1"/>
  <c r="AN332"/>
  <c r="AP332" s="1"/>
  <c r="AS332" s="1"/>
  <c r="AN511"/>
  <c r="AP511" s="1"/>
  <c r="AS511" s="1"/>
  <c r="AN323"/>
  <c r="AP323" s="1"/>
  <c r="AS323" s="1"/>
  <c r="AN823"/>
  <c r="AP823" s="1"/>
  <c r="AS823" s="1"/>
  <c r="AN704"/>
  <c r="AP704" s="1"/>
  <c r="AS704" s="1"/>
  <c r="AN1203"/>
  <c r="AP1203" s="1"/>
  <c r="AS1203" s="1"/>
  <c r="AN984"/>
  <c r="AP984" s="1"/>
  <c r="AS984" s="1"/>
  <c r="AN866"/>
  <c r="AP866" s="1"/>
  <c r="AS866" s="1"/>
  <c r="AO1011"/>
  <c r="AR1011" s="1"/>
  <c r="AN1667"/>
  <c r="AP1667" s="1"/>
  <c r="AS1667" s="1"/>
  <c r="AO1307"/>
  <c r="AR1307" s="1"/>
  <c r="AO1398"/>
  <c r="AR1398" s="1"/>
  <c r="AO1548"/>
  <c r="AR1548" s="1"/>
  <c r="AN1809"/>
  <c r="AP1809" s="1"/>
  <c r="AS1809" s="1"/>
  <c r="AO1664"/>
  <c r="AR1664" s="1"/>
  <c r="AO1669"/>
  <c r="AR1669" s="1"/>
  <c r="AN1364"/>
  <c r="AP1364" s="1"/>
  <c r="AS1364" s="1"/>
  <c r="AO1276"/>
  <c r="AR1276" s="1"/>
  <c r="AO1676"/>
  <c r="AR1676" s="1"/>
  <c r="AN1685"/>
  <c r="AP1685" s="1"/>
  <c r="AS1685" s="1"/>
  <c r="AO1353"/>
  <c r="AR1353" s="1"/>
  <c r="AN1419"/>
  <c r="AP1419" s="1"/>
  <c r="AS1419" s="1"/>
  <c r="AO1777"/>
  <c r="AR1777" s="1"/>
  <c r="AO1693"/>
  <c r="AR1693" s="1"/>
  <c r="AN769"/>
  <c r="AP769" s="1"/>
  <c r="AS769" s="1"/>
  <c r="AN408"/>
  <c r="AP408" s="1"/>
  <c r="AS408" s="1"/>
  <c r="AN1096"/>
  <c r="AP1096" s="1"/>
  <c r="AS1096" s="1"/>
  <c r="AN1679"/>
  <c r="AP1679" s="1"/>
  <c r="AS1679" s="1"/>
  <c r="AN796"/>
  <c r="AP796" s="1"/>
  <c r="AS796" s="1"/>
  <c r="AN222"/>
  <c r="AP222" s="1"/>
  <c r="AS222" s="1"/>
  <c r="AN977"/>
  <c r="AP977" s="1"/>
  <c r="AS977" s="1"/>
  <c r="AN1213"/>
  <c r="AP1213" s="1"/>
  <c r="AS1213" s="1"/>
  <c r="AN694"/>
  <c r="AP694" s="1"/>
  <c r="AS694" s="1"/>
  <c r="AN901"/>
  <c r="AP901" s="1"/>
  <c r="AS901" s="1"/>
  <c r="AN401"/>
  <c r="AP401" s="1"/>
  <c r="AS401" s="1"/>
  <c r="AN744"/>
  <c r="AP744" s="1"/>
  <c r="AS744" s="1"/>
  <c r="AN974"/>
  <c r="AP974" s="1"/>
  <c r="AS974" s="1"/>
  <c r="AN396"/>
  <c r="AP396" s="1"/>
  <c r="AS396" s="1"/>
  <c r="AN375"/>
  <c r="AP375" s="1"/>
  <c r="AS375" s="1"/>
  <c r="AN1071"/>
  <c r="AP1071" s="1"/>
  <c r="AS1071" s="1"/>
  <c r="AN881"/>
  <c r="AP881" s="1"/>
  <c r="AS881" s="1"/>
  <c r="AN273"/>
  <c r="AP273" s="1"/>
  <c r="AS273" s="1"/>
  <c r="AN123"/>
  <c r="AP123" s="1"/>
  <c r="AS123" s="1"/>
  <c r="AN766"/>
  <c r="AP766" s="1"/>
  <c r="AS766" s="1"/>
  <c r="AN317"/>
  <c r="AP317" s="1"/>
  <c r="AS317" s="1"/>
  <c r="AN639"/>
  <c r="AP639" s="1"/>
  <c r="AS639" s="1"/>
  <c r="AN142"/>
  <c r="AP142" s="1"/>
  <c r="AS142" s="1"/>
  <c r="AN1350"/>
  <c r="AP1350" s="1"/>
  <c r="AS1350" s="1"/>
  <c r="AO970"/>
  <c r="AR970" s="1"/>
  <c r="AO1018"/>
  <c r="AR1018" s="1"/>
  <c r="AO320"/>
  <c r="AR320" s="1"/>
  <c r="AN99"/>
  <c r="AP99" s="1"/>
  <c r="AS99" s="1"/>
  <c r="AO146"/>
  <c r="AR146" s="1"/>
  <c r="AO879"/>
  <c r="AR879" s="1"/>
  <c r="AO586"/>
  <c r="AR586" s="1"/>
  <c r="AN635"/>
  <c r="AP635" s="1"/>
  <c r="AS635" s="1"/>
  <c r="AO906"/>
  <c r="AR906" s="1"/>
  <c r="AO954"/>
  <c r="AR954" s="1"/>
  <c r="AO1123"/>
  <c r="AR1123" s="1"/>
  <c r="AO1270"/>
  <c r="AR1270" s="1"/>
  <c r="AN512"/>
  <c r="AP512" s="1"/>
  <c r="AS512" s="1"/>
  <c r="AN636"/>
  <c r="AP636" s="1"/>
  <c r="AS636" s="1"/>
  <c r="AN611"/>
  <c r="AP611" s="1"/>
  <c r="AS611" s="1"/>
  <c r="AN804"/>
  <c r="AP804" s="1"/>
  <c r="AS804" s="1"/>
  <c r="AN1144"/>
  <c r="AP1144" s="1"/>
  <c r="AS1144" s="1"/>
  <c r="AN122"/>
  <c r="AP122" s="1"/>
  <c r="AS122" s="1"/>
  <c r="AN994"/>
  <c r="AP994" s="1"/>
  <c r="AS994" s="1"/>
  <c r="AN313"/>
  <c r="AP313" s="1"/>
  <c r="AS313" s="1"/>
  <c r="AN1484"/>
  <c r="AP1484" s="1"/>
  <c r="AS1484" s="1"/>
  <c r="AO1624"/>
  <c r="AR1624" s="1"/>
  <c r="AO1472"/>
  <c r="AR1472" s="1"/>
  <c r="AO1846"/>
  <c r="AR1846" s="1"/>
  <c r="AN1543"/>
  <c r="AP1543" s="1"/>
  <c r="AS1543" s="1"/>
  <c r="AN1304"/>
  <c r="AP1304" s="1"/>
  <c r="AS1304" s="1"/>
  <c r="AO1352"/>
  <c r="AR1352" s="1"/>
  <c r="AO1503"/>
  <c r="AR1503" s="1"/>
  <c r="AN1672"/>
  <c r="AP1672" s="1"/>
  <c r="AS1672" s="1"/>
  <c r="AO1301"/>
  <c r="AR1301" s="1"/>
  <c r="AN1476"/>
  <c r="AP1476" s="1"/>
  <c r="AS1476" s="1"/>
  <c r="AN1555"/>
  <c r="AP1555" s="1"/>
  <c r="AS1555" s="1"/>
  <c r="AN1779"/>
  <c r="AP1779" s="1"/>
  <c r="AS1779" s="1"/>
  <c r="AN113"/>
  <c r="AP113" s="1"/>
  <c r="AS113" s="1"/>
  <c r="AN234"/>
  <c r="AP234" s="1"/>
  <c r="AS234" s="1"/>
  <c r="AN288"/>
  <c r="AP288" s="1"/>
  <c r="AS288" s="1"/>
  <c r="AO1407"/>
  <c r="AR1407" s="1"/>
  <c r="AN1407"/>
  <c r="AP1407" s="1"/>
  <c r="AS1407" s="1"/>
  <c r="AO1149"/>
  <c r="AR1149" s="1"/>
  <c r="AN1149"/>
  <c r="AP1149" s="1"/>
  <c r="AS1149" s="1"/>
  <c r="AN972"/>
  <c r="AP972" s="1"/>
  <c r="AS972" s="1"/>
  <c r="AO972"/>
  <c r="AR972" s="1"/>
  <c r="AO55"/>
  <c r="AR55" s="1"/>
  <c r="AN55"/>
  <c r="AP55" s="1"/>
  <c r="AS55" s="1"/>
  <c r="AO632"/>
  <c r="AR632" s="1"/>
  <c r="AN632"/>
  <c r="AP632" s="1"/>
  <c r="AS632" s="1"/>
  <c r="AN311"/>
  <c r="AP311" s="1"/>
  <c r="AS311" s="1"/>
  <c r="AO311"/>
  <c r="AR311" s="1"/>
  <c r="AO1853"/>
  <c r="AR1853" s="1"/>
  <c r="AN1853"/>
  <c r="AP1853" s="1"/>
  <c r="AS1853" s="1"/>
  <c r="AN1186"/>
  <c r="AP1186" s="1"/>
  <c r="AS1186" s="1"/>
  <c r="AO1186"/>
  <c r="AR1186" s="1"/>
  <c r="AO68"/>
  <c r="AR68" s="1"/>
  <c r="AN68"/>
  <c r="AP68" s="1"/>
  <c r="AS68" s="1"/>
  <c r="AN189"/>
  <c r="AP189" s="1"/>
  <c r="AS189" s="1"/>
  <c r="AO189"/>
  <c r="AR189" s="1"/>
  <c r="AO211"/>
  <c r="AR211" s="1"/>
  <c r="AN211"/>
  <c r="AP211" s="1"/>
  <c r="AS211" s="1"/>
  <c r="AO366"/>
  <c r="AR366" s="1"/>
  <c r="AN366"/>
  <c r="AP366" s="1"/>
  <c r="AS366" s="1"/>
  <c r="AN621"/>
  <c r="AP621" s="1"/>
  <c r="AS621" s="1"/>
  <c r="AO621"/>
  <c r="AR621" s="1"/>
  <c r="AO157"/>
  <c r="AR157" s="1"/>
  <c r="AN157"/>
  <c r="AP157" s="1"/>
  <c r="AS157" s="1"/>
  <c r="AO1275"/>
  <c r="AR1275" s="1"/>
  <c r="AN1275"/>
  <c r="AP1275" s="1"/>
  <c r="AS1275" s="1"/>
  <c r="AO771"/>
  <c r="AR771" s="1"/>
  <c r="AN771"/>
  <c r="AP771" s="1"/>
  <c r="AS771" s="1"/>
  <c r="AO1005"/>
  <c r="AR1005" s="1"/>
  <c r="AN1005"/>
  <c r="AP1005" s="1"/>
  <c r="AS1005" s="1"/>
  <c r="AN675"/>
  <c r="AP675" s="1"/>
  <c r="AS675" s="1"/>
  <c r="AO675"/>
  <c r="AR675" s="1"/>
  <c r="AN456"/>
  <c r="AP456" s="1"/>
  <c r="AS456" s="1"/>
  <c r="AO456"/>
  <c r="AR456" s="1"/>
  <c r="AN1033"/>
  <c r="AP1033" s="1"/>
  <c r="AS1033" s="1"/>
  <c r="AO1033"/>
  <c r="AR1033" s="1"/>
  <c r="AN1242"/>
  <c r="AP1242" s="1"/>
  <c r="AS1242" s="1"/>
  <c r="AO1242"/>
  <c r="AR1242" s="1"/>
  <c r="AO66"/>
  <c r="AR66" s="1"/>
  <c r="AN66"/>
  <c r="AP66" s="1"/>
  <c r="AS66" s="1"/>
  <c r="AN416"/>
  <c r="AP416" s="1"/>
  <c r="AS416" s="1"/>
  <c r="AO416"/>
  <c r="AR416" s="1"/>
  <c r="AN444"/>
  <c r="AP444" s="1"/>
  <c r="AS444" s="1"/>
  <c r="AO444"/>
  <c r="AR444" s="1"/>
  <c r="AN606"/>
  <c r="AP606" s="1"/>
  <c r="AS606" s="1"/>
  <c r="AO606"/>
  <c r="AR606" s="1"/>
  <c r="AO975"/>
  <c r="AR975" s="1"/>
  <c r="AN975"/>
  <c r="AP975" s="1"/>
  <c r="AS975" s="1"/>
  <c r="AN354"/>
  <c r="AP354" s="1"/>
  <c r="AS354" s="1"/>
  <c r="AO354"/>
  <c r="AR354" s="1"/>
  <c r="AO953"/>
  <c r="AR953" s="1"/>
  <c r="AN953"/>
  <c r="AP953" s="1"/>
  <c r="AS953" s="1"/>
  <c r="AO876"/>
  <c r="AR876" s="1"/>
  <c r="AN876"/>
  <c r="AP876" s="1"/>
  <c r="AS876" s="1"/>
  <c r="AO92"/>
  <c r="AR92" s="1"/>
  <c r="AN92"/>
  <c r="AP92" s="1"/>
  <c r="AS92" s="1"/>
  <c r="AN303"/>
  <c r="AP303" s="1"/>
  <c r="AS303" s="1"/>
  <c r="AO303"/>
  <c r="AR303" s="1"/>
  <c r="AO1684"/>
  <c r="AR1684" s="1"/>
  <c r="AN1684"/>
  <c r="AP1684" s="1"/>
  <c r="AS1684" s="1"/>
  <c r="AO1642"/>
  <c r="AR1642" s="1"/>
  <c r="AN1642"/>
  <c r="AP1642" s="1"/>
  <c r="AS1642" s="1"/>
  <c r="AO1564"/>
  <c r="AR1564" s="1"/>
  <c r="AN1564"/>
  <c r="AP1564" s="1"/>
  <c r="AS1564" s="1"/>
  <c r="AN1512"/>
  <c r="AP1512" s="1"/>
  <c r="AS1512" s="1"/>
  <c r="AO1512"/>
  <c r="AR1512" s="1"/>
  <c r="AN890"/>
  <c r="AP890" s="1"/>
  <c r="AS890" s="1"/>
  <c r="AO890"/>
  <c r="AR890" s="1"/>
  <c r="AO1673"/>
  <c r="AR1673" s="1"/>
  <c r="AN1673"/>
  <c r="AP1673" s="1"/>
  <c r="AS1673" s="1"/>
  <c r="AO1495"/>
  <c r="AR1495" s="1"/>
  <c r="AN1495"/>
  <c r="AP1495" s="1"/>
  <c r="AS1495" s="1"/>
  <c r="AN364"/>
  <c r="AP364" s="1"/>
  <c r="AS364" s="1"/>
  <c r="AO364"/>
  <c r="AR364" s="1"/>
  <c r="AO1337"/>
  <c r="AR1337" s="1"/>
  <c r="AN1337"/>
  <c r="AP1337" s="1"/>
  <c r="AS1337" s="1"/>
  <c r="AN1282"/>
  <c r="AP1282" s="1"/>
  <c r="AS1282" s="1"/>
  <c r="AO1282"/>
  <c r="AR1282" s="1"/>
  <c r="AO1435"/>
  <c r="AR1435" s="1"/>
  <c r="AN1435"/>
  <c r="AP1435" s="1"/>
  <c r="AS1435" s="1"/>
  <c r="AN270"/>
  <c r="AP270" s="1"/>
  <c r="AS270" s="1"/>
  <c r="AO270"/>
  <c r="AR270" s="1"/>
  <c r="AO1505"/>
  <c r="AR1505" s="1"/>
  <c r="AN1505"/>
  <c r="AP1505" s="1"/>
  <c r="AS1505" s="1"/>
  <c r="AO1283"/>
  <c r="AR1283" s="1"/>
  <c r="AN1283"/>
  <c r="AP1283" s="1"/>
  <c r="AS1283" s="1"/>
  <c r="AN1638"/>
  <c r="AP1638" s="1"/>
  <c r="AS1638" s="1"/>
  <c r="AO1638"/>
  <c r="AR1638" s="1"/>
  <c r="AN1568"/>
  <c r="AP1568" s="1"/>
  <c r="AS1568" s="1"/>
  <c r="AO1568"/>
  <c r="AR1568" s="1"/>
  <c r="AO1356"/>
  <c r="AR1356" s="1"/>
  <c r="AN1356"/>
  <c r="AP1356" s="1"/>
  <c r="AS1356" s="1"/>
  <c r="AN1608"/>
  <c r="AP1608" s="1"/>
  <c r="AS1608" s="1"/>
  <c r="AO1608"/>
  <c r="AR1608" s="1"/>
  <c r="AN1761"/>
  <c r="AP1761" s="1"/>
  <c r="AS1761" s="1"/>
  <c r="AO1761"/>
  <c r="AR1761" s="1"/>
  <c r="AN1374"/>
  <c r="AP1374" s="1"/>
  <c r="AS1374" s="1"/>
  <c r="AO1374"/>
  <c r="AR1374" s="1"/>
  <c r="AO1381"/>
  <c r="AR1381" s="1"/>
  <c r="AN1381"/>
  <c r="AP1381" s="1"/>
  <c r="AS1381" s="1"/>
  <c r="AO1726"/>
  <c r="AR1726" s="1"/>
  <c r="AN1726"/>
  <c r="AP1726" s="1"/>
  <c r="AS1726" s="1"/>
  <c r="AO1807"/>
  <c r="AR1807" s="1"/>
  <c r="AN1807"/>
  <c r="AP1807" s="1"/>
  <c r="AS1807" s="1"/>
  <c r="AN667"/>
  <c r="AP667" s="1"/>
  <c r="AS667" s="1"/>
  <c r="AO667"/>
  <c r="AR667" s="1"/>
  <c r="AN616"/>
  <c r="AP616" s="1"/>
  <c r="AS616" s="1"/>
  <c r="AO616"/>
  <c r="AR616" s="1"/>
  <c r="AO321"/>
  <c r="AR321" s="1"/>
  <c r="AN321"/>
  <c r="AP321" s="1"/>
  <c r="AS321" s="1"/>
  <c r="AN217"/>
  <c r="AP217" s="1"/>
  <c r="AS217" s="1"/>
  <c r="AO217"/>
  <c r="AR217" s="1"/>
  <c r="AO248"/>
  <c r="AR248" s="1"/>
  <c r="AN248"/>
  <c r="AP248" s="1"/>
  <c r="AS248" s="1"/>
  <c r="AN617"/>
  <c r="AP617" s="1"/>
  <c r="AS617" s="1"/>
  <c r="AO617"/>
  <c r="AR617" s="1"/>
  <c r="AN1789"/>
  <c r="AP1789" s="1"/>
  <c r="AS1789" s="1"/>
  <c r="AO1789"/>
  <c r="AR1789" s="1"/>
  <c r="AO1788"/>
  <c r="AR1788" s="1"/>
  <c r="AN1788"/>
  <c r="AP1788" s="1"/>
  <c r="AS1788" s="1"/>
  <c r="AN1753"/>
  <c r="AP1753" s="1"/>
  <c r="AS1753" s="1"/>
  <c r="AO1753"/>
  <c r="AR1753" s="1"/>
  <c r="AO1394"/>
  <c r="AR1394" s="1"/>
  <c r="AN1394"/>
  <c r="AP1394" s="1"/>
  <c r="AS1394" s="1"/>
  <c r="AN1725"/>
  <c r="AP1725" s="1"/>
  <c r="AS1725" s="1"/>
  <c r="AO1725"/>
  <c r="AR1725" s="1"/>
  <c r="AO1466"/>
  <c r="AR1466" s="1"/>
  <c r="AN1466"/>
  <c r="AP1466" s="1"/>
  <c r="AS1466" s="1"/>
  <c r="AN1752"/>
  <c r="AP1752" s="1"/>
  <c r="AS1752" s="1"/>
  <c r="AO1752"/>
  <c r="AR1752" s="1"/>
  <c r="AO1370"/>
  <c r="AR1370" s="1"/>
  <c r="AN1370"/>
  <c r="AP1370" s="1"/>
  <c r="AS1370" s="1"/>
  <c r="AO1851"/>
  <c r="AR1851" s="1"/>
  <c r="AN1851"/>
  <c r="AP1851" s="1"/>
  <c r="AS1851" s="1"/>
  <c r="AO1635"/>
  <c r="AR1635" s="1"/>
  <c r="AN1635"/>
  <c r="AP1635" s="1"/>
  <c r="AS1635" s="1"/>
  <c r="AN1590"/>
  <c r="AP1590" s="1"/>
  <c r="AS1590" s="1"/>
  <c r="AO1590"/>
  <c r="AR1590" s="1"/>
  <c r="AN1488"/>
  <c r="AP1488" s="1"/>
  <c r="AS1488" s="1"/>
  <c r="AO1488"/>
  <c r="AR1488" s="1"/>
  <c r="AN1490"/>
  <c r="AP1490" s="1"/>
  <c r="AS1490" s="1"/>
  <c r="AO1490"/>
  <c r="AR1490" s="1"/>
  <c r="AO1317"/>
  <c r="AR1317" s="1"/>
  <c r="AN1317"/>
  <c r="AP1317" s="1"/>
  <c r="AS1317" s="1"/>
  <c r="AO1389"/>
  <c r="AR1389" s="1"/>
  <c r="AN1389"/>
  <c r="AP1389" s="1"/>
  <c r="AS1389" s="1"/>
  <c r="AN1323"/>
  <c r="AP1323" s="1"/>
  <c r="AS1323" s="1"/>
  <c r="AO1323"/>
  <c r="AR1323" s="1"/>
  <c r="AN1830"/>
  <c r="AP1830" s="1"/>
  <c r="AS1830" s="1"/>
  <c r="AO1830"/>
  <c r="AR1830" s="1"/>
  <c r="AN665"/>
  <c r="AP665" s="1"/>
  <c r="AS665" s="1"/>
  <c r="AO665"/>
  <c r="AR665" s="1"/>
  <c r="AN390"/>
  <c r="AP390" s="1"/>
  <c r="AS390" s="1"/>
  <c r="AO390"/>
  <c r="AR390" s="1"/>
  <c r="AO778"/>
  <c r="AR778" s="1"/>
  <c r="AN778"/>
  <c r="AP778" s="1"/>
  <c r="AS778" s="1"/>
  <c r="AN1062"/>
  <c r="AP1062" s="1"/>
  <c r="AS1062" s="1"/>
  <c r="AO1062"/>
  <c r="AR1062" s="1"/>
  <c r="AN127"/>
  <c r="AP127" s="1"/>
  <c r="AS127" s="1"/>
  <c r="AO127"/>
  <c r="AR127" s="1"/>
  <c r="AN676"/>
  <c r="AP676" s="1"/>
  <c r="AS676" s="1"/>
  <c r="AO676"/>
  <c r="AR676" s="1"/>
  <c r="AO714"/>
  <c r="AR714" s="1"/>
  <c r="AN714"/>
  <c r="AP714" s="1"/>
  <c r="AS714" s="1"/>
  <c r="AN1594"/>
  <c r="AP1594" s="1"/>
  <c r="AS1594" s="1"/>
  <c r="AO1594"/>
  <c r="AR1594" s="1"/>
  <c r="AN1690"/>
  <c r="AP1690" s="1"/>
  <c r="AS1690" s="1"/>
  <c r="AO1690"/>
  <c r="AR1690" s="1"/>
  <c r="AN1575"/>
  <c r="AP1575" s="1"/>
  <c r="AS1575" s="1"/>
  <c r="AO1575"/>
  <c r="AR1575" s="1"/>
  <c r="AO1692"/>
  <c r="AR1692" s="1"/>
  <c r="AN1692"/>
  <c r="AP1692" s="1"/>
  <c r="AS1692" s="1"/>
  <c r="AO1556"/>
  <c r="AR1556" s="1"/>
  <c r="AN1556"/>
  <c r="AP1556" s="1"/>
  <c r="AS1556" s="1"/>
  <c r="AN1781"/>
  <c r="AP1781" s="1"/>
  <c r="AS1781" s="1"/>
  <c r="AO1781"/>
  <c r="AR1781" s="1"/>
  <c r="AO1661"/>
  <c r="AR1661" s="1"/>
  <c r="AN1661"/>
  <c r="AP1661" s="1"/>
  <c r="AS1661" s="1"/>
  <c r="AN1763"/>
  <c r="AP1763" s="1"/>
  <c r="AS1763" s="1"/>
  <c r="AO1763"/>
  <c r="AR1763" s="1"/>
  <c r="AO1694"/>
  <c r="AR1694" s="1"/>
  <c r="AN1694"/>
  <c r="AP1694" s="1"/>
  <c r="AS1694" s="1"/>
  <c r="AO1646"/>
  <c r="AR1646" s="1"/>
  <c r="AN1646"/>
  <c r="AP1646" s="1"/>
  <c r="AS1646" s="1"/>
  <c r="AN1580"/>
  <c r="AP1580" s="1"/>
  <c r="AS1580" s="1"/>
  <c r="AO1580"/>
  <c r="AR1580" s="1"/>
  <c r="AO1504"/>
  <c r="AR1504" s="1"/>
  <c r="AN1504"/>
  <c r="AP1504" s="1"/>
  <c r="AS1504" s="1"/>
  <c r="AO1318"/>
  <c r="AR1318" s="1"/>
  <c r="AN1318"/>
  <c r="AP1318" s="1"/>
  <c r="AS1318" s="1"/>
  <c r="AO1541"/>
  <c r="AR1541" s="1"/>
  <c r="AN1541"/>
  <c r="AP1541" s="1"/>
  <c r="AS1541" s="1"/>
  <c r="AO1719"/>
  <c r="AR1719" s="1"/>
  <c r="AN1719"/>
  <c r="AP1719" s="1"/>
  <c r="AS1719" s="1"/>
  <c r="AN1586"/>
  <c r="AP1586" s="1"/>
  <c r="AS1586" s="1"/>
  <c r="AO1586"/>
  <c r="AR1586" s="1"/>
  <c r="AN705"/>
  <c r="AP705" s="1"/>
  <c r="AS705" s="1"/>
  <c r="AO705"/>
  <c r="AR705" s="1"/>
  <c r="AO598"/>
  <c r="AR598" s="1"/>
  <c r="AN598"/>
  <c r="AP598" s="1"/>
  <c r="AS598" s="1"/>
  <c r="AN641"/>
  <c r="AP641" s="1"/>
  <c r="AS641" s="1"/>
  <c r="AO641"/>
  <c r="AR641" s="1"/>
  <c r="AN368"/>
  <c r="AP368" s="1"/>
  <c r="AS368" s="1"/>
  <c r="AO368"/>
  <c r="AR368" s="1"/>
  <c r="AO565"/>
  <c r="AR565" s="1"/>
  <c r="AN565"/>
  <c r="AP565" s="1"/>
  <c r="AS565" s="1"/>
  <c r="AO997"/>
  <c r="AR997" s="1"/>
  <c r="AN997"/>
  <c r="AP997" s="1"/>
  <c r="AS997" s="1"/>
  <c r="AO893"/>
  <c r="AR893" s="1"/>
  <c r="AN893"/>
  <c r="AP893" s="1"/>
  <c r="AS893" s="1"/>
  <c r="AN1029"/>
  <c r="AP1029" s="1"/>
  <c r="AS1029" s="1"/>
  <c r="AN735"/>
  <c r="AP735" s="1"/>
  <c r="AS735" s="1"/>
  <c r="AN1002"/>
  <c r="AP1002" s="1"/>
  <c r="AS1002" s="1"/>
  <c r="AN1293"/>
  <c r="AP1293" s="1"/>
  <c r="AS1293" s="1"/>
  <c r="AN825"/>
  <c r="AP825" s="1"/>
  <c r="AS825" s="1"/>
  <c r="AN251"/>
  <c r="AP251" s="1"/>
  <c r="AS251" s="1"/>
  <c r="AN1258"/>
  <c r="AP1258" s="1"/>
  <c r="AS1258" s="1"/>
  <c r="AN579"/>
  <c r="AP579" s="1"/>
  <c r="AS579" s="1"/>
  <c r="AN159"/>
  <c r="AP159" s="1"/>
  <c r="AS159" s="1"/>
  <c r="AN625"/>
  <c r="AP625" s="1"/>
  <c r="AS625" s="1"/>
  <c r="AN851"/>
  <c r="AP851" s="1"/>
  <c r="AS851" s="1"/>
  <c r="AN659"/>
  <c r="AP659" s="1"/>
  <c r="AS659" s="1"/>
  <c r="AN1237"/>
  <c r="AP1237" s="1"/>
  <c r="AS1237" s="1"/>
  <c r="AN1778"/>
  <c r="AP1778" s="1"/>
  <c r="AS1778" s="1"/>
  <c r="AN1639"/>
  <c r="AP1639" s="1"/>
  <c r="AS1639" s="1"/>
  <c r="AN1310"/>
  <c r="AP1310" s="1"/>
  <c r="AS1310" s="1"/>
  <c r="AN1858"/>
  <c r="AP1858" s="1"/>
  <c r="AS1858" s="1"/>
  <c r="AN490"/>
  <c r="AP490" s="1"/>
  <c r="AS490" s="1"/>
  <c r="AN388"/>
  <c r="AP388" s="1"/>
  <c r="AS388" s="1"/>
  <c r="AN90"/>
  <c r="AP90" s="1"/>
  <c r="AS90" s="1"/>
  <c r="AN1605"/>
  <c r="AP1605" s="1"/>
  <c r="AS1605" s="1"/>
  <c r="AN1771"/>
  <c r="AP1771" s="1"/>
  <c r="AS1771" s="1"/>
  <c r="AN1755"/>
  <c r="AP1755" s="1"/>
  <c r="AS1755" s="1"/>
  <c r="AN1724"/>
  <c r="AP1724" s="1"/>
  <c r="AS1724" s="1"/>
  <c r="AN1399"/>
  <c r="AP1399" s="1"/>
  <c r="AS1399" s="1"/>
  <c r="AN784"/>
  <c r="AP784" s="1"/>
  <c r="AS784" s="1"/>
  <c r="AN166"/>
  <c r="AP166" s="1"/>
  <c r="AS166" s="1"/>
  <c r="AN1446"/>
  <c r="AP1446" s="1"/>
  <c r="AS1446" s="1"/>
  <c r="AN494"/>
  <c r="AP494" s="1"/>
  <c r="AS494" s="1"/>
  <c r="AN67"/>
  <c r="AP67" s="1"/>
  <c r="AS67" s="1"/>
  <c r="AO1088"/>
  <c r="AR1088" s="1"/>
  <c r="AO289"/>
  <c r="AR289" s="1"/>
  <c r="AN232"/>
  <c r="AP232" s="1"/>
  <c r="AS232" s="1"/>
  <c r="AN1034"/>
  <c r="AP1034" s="1"/>
  <c r="AS1034" s="1"/>
  <c r="AN126"/>
  <c r="AP126" s="1"/>
  <c r="AS126" s="1"/>
  <c r="AN1057"/>
  <c r="AP1057" s="1"/>
  <c r="AS1057" s="1"/>
  <c r="AO1105"/>
  <c r="AR1105" s="1"/>
  <c r="AO69"/>
  <c r="AR69" s="1"/>
  <c r="AN1217"/>
  <c r="AP1217" s="1"/>
  <c r="AS1217" s="1"/>
  <c r="AN1205"/>
  <c r="AP1205" s="1"/>
  <c r="AS1205" s="1"/>
  <c r="AN1765"/>
  <c r="AP1765" s="1"/>
  <c r="AS1765" s="1"/>
  <c r="AO1273"/>
  <c r="AR1273" s="1"/>
  <c r="AN1316"/>
  <c r="AP1316" s="1"/>
  <c r="AS1316" s="1"/>
  <c r="AO1639"/>
  <c r="AR1639" s="1"/>
  <c r="AN884"/>
  <c r="AP884" s="1"/>
  <c r="AS884" s="1"/>
  <c r="AN1017"/>
  <c r="AP1017" s="1"/>
  <c r="AS1017" s="1"/>
  <c r="AN1421"/>
  <c r="AP1421" s="1"/>
  <c r="AS1421" s="1"/>
  <c r="AN562"/>
  <c r="AP562" s="1"/>
  <c r="AS562" s="1"/>
  <c r="AN895"/>
  <c r="AP895" s="1"/>
  <c r="AS895" s="1"/>
  <c r="AN577"/>
  <c r="AP577" s="1"/>
  <c r="AS577" s="1"/>
  <c r="AN1223"/>
  <c r="AP1223" s="1"/>
  <c r="AS1223" s="1"/>
  <c r="AN207"/>
  <c r="AP207" s="1"/>
  <c r="AS207" s="1"/>
  <c r="AN1265"/>
  <c r="AP1265" s="1"/>
  <c r="AS1265" s="1"/>
  <c r="AN902"/>
  <c r="AP902" s="1"/>
  <c r="AS902" s="1"/>
  <c r="AN255"/>
  <c r="AP255" s="1"/>
  <c r="AS255" s="1"/>
  <c r="AN292"/>
  <c r="AP292" s="1"/>
  <c r="AS292" s="1"/>
  <c r="AN1125"/>
  <c r="AP1125" s="1"/>
  <c r="AS1125" s="1"/>
  <c r="AN1386"/>
  <c r="AP1386" s="1"/>
  <c r="AS1386" s="1"/>
  <c r="AN1358"/>
  <c r="AP1358" s="1"/>
  <c r="AS1358" s="1"/>
  <c r="AN897"/>
  <c r="AP897" s="1"/>
  <c r="AS897" s="1"/>
  <c r="AN195"/>
  <c r="AP195" s="1"/>
  <c r="AS195" s="1"/>
  <c r="AN957"/>
  <c r="AP957" s="1"/>
  <c r="AS957" s="1"/>
  <c r="AN624"/>
  <c r="AP624" s="1"/>
  <c r="AS624" s="1"/>
  <c r="AN1241"/>
  <c r="AP1241" s="1"/>
  <c r="AS1241" s="1"/>
  <c r="AN846"/>
  <c r="AP846" s="1"/>
  <c r="AS846" s="1"/>
  <c r="AN702"/>
  <c r="AP702" s="1"/>
  <c r="AS702" s="1"/>
  <c r="AN1198"/>
  <c r="AP1198" s="1"/>
  <c r="AS1198" s="1"/>
  <c r="AN835"/>
  <c r="AP835" s="1"/>
  <c r="AS835" s="1"/>
  <c r="AN613"/>
  <c r="AP613" s="1"/>
  <c r="AS613" s="1"/>
  <c r="AN1709"/>
  <c r="AP1709" s="1"/>
  <c r="AS1709" s="1"/>
  <c r="AN1452"/>
  <c r="AP1452" s="1"/>
  <c r="AS1452" s="1"/>
  <c r="AN1308"/>
  <c r="AP1308" s="1"/>
  <c r="AS1308" s="1"/>
  <c r="AN1151"/>
  <c r="AP1151" s="1"/>
  <c r="AS1151" s="1"/>
  <c r="AN992"/>
  <c r="AP992" s="1"/>
  <c r="AS992" s="1"/>
  <c r="AN244"/>
  <c r="AP244" s="1"/>
  <c r="AS244" s="1"/>
  <c r="AN585"/>
  <c r="AP585" s="1"/>
  <c r="AS585" s="1"/>
  <c r="AN372"/>
  <c r="AP372" s="1"/>
  <c r="AS372" s="1"/>
  <c r="AN240"/>
  <c r="AP240" s="1"/>
  <c r="AS240" s="1"/>
  <c r="AN1086"/>
  <c r="AP1086" s="1"/>
  <c r="AS1086" s="1"/>
  <c r="AN1163"/>
  <c r="AP1163" s="1"/>
  <c r="AS1163" s="1"/>
  <c r="AN646"/>
  <c r="AP646" s="1"/>
  <c r="AS646" s="1"/>
  <c r="AN172"/>
  <c r="AP172" s="1"/>
  <c r="AS172" s="1"/>
  <c r="AN1554"/>
  <c r="AP1554" s="1"/>
  <c r="AS1554" s="1"/>
  <c r="AN249"/>
  <c r="AP249" s="1"/>
  <c r="AS249" s="1"/>
  <c r="AN357"/>
  <c r="AP357" s="1"/>
  <c r="AS357" s="1"/>
  <c r="AN293"/>
  <c r="AP293" s="1"/>
  <c r="AS293" s="1"/>
  <c r="AN685"/>
  <c r="AP685" s="1"/>
  <c r="AS685" s="1"/>
  <c r="AN538"/>
  <c r="AP538" s="1"/>
  <c r="AS538" s="1"/>
  <c r="AN1453"/>
  <c r="AP1453" s="1"/>
  <c r="AS1453" s="1"/>
  <c r="AN1561"/>
  <c r="AP1561" s="1"/>
  <c r="AS1561" s="1"/>
  <c r="AN1434"/>
  <c r="AP1434" s="1"/>
  <c r="AS1434" s="1"/>
  <c r="AN1506"/>
  <c r="AP1506" s="1"/>
  <c r="AS1506" s="1"/>
  <c r="AN1520"/>
  <c r="AP1520" s="1"/>
  <c r="AS1520" s="1"/>
  <c r="AN1838"/>
  <c r="AP1838" s="1"/>
  <c r="AS1838" s="1"/>
  <c r="AN329"/>
  <c r="AP329" s="1"/>
  <c r="AS329" s="1"/>
  <c r="AN196"/>
  <c r="AP196" s="1"/>
  <c r="AS196" s="1"/>
  <c r="AN132"/>
  <c r="AP132" s="1"/>
  <c r="AS132" s="1"/>
  <c r="AN569"/>
  <c r="AP569" s="1"/>
  <c r="AS569" s="1"/>
  <c r="AN633"/>
  <c r="AP633" s="1"/>
  <c r="AS633" s="1"/>
  <c r="AN272"/>
  <c r="AP272" s="1"/>
  <c r="AS272" s="1"/>
  <c r="AN1591"/>
  <c r="AP1591" s="1"/>
  <c r="AS1591" s="1"/>
  <c r="AN1721"/>
  <c r="AP1721" s="1"/>
  <c r="AS1721" s="1"/>
  <c r="AN1274"/>
  <c r="AP1274" s="1"/>
  <c r="AS1274" s="1"/>
  <c r="AN1501"/>
  <c r="AP1501" s="1"/>
  <c r="AS1501" s="1"/>
  <c r="AN1743"/>
  <c r="AP1743" s="1"/>
  <c r="AS1743" s="1"/>
  <c r="AN1654"/>
  <c r="AP1654" s="1"/>
  <c r="AS1654" s="1"/>
  <c r="AN1463"/>
  <c r="AP1463" s="1"/>
  <c r="AS1463" s="1"/>
  <c r="AN1363"/>
  <c r="AP1363" s="1"/>
  <c r="AS1363" s="1"/>
  <c r="AN1657"/>
  <c r="AP1657" s="1"/>
  <c r="AS1657" s="1"/>
  <c r="AN1388"/>
  <c r="AP1388" s="1"/>
  <c r="AS1388" s="1"/>
  <c r="AN1349"/>
  <c r="AP1349" s="1"/>
  <c r="AS1349" s="1"/>
  <c r="AN1756"/>
  <c r="AP1756" s="1"/>
  <c r="AS1756" s="1"/>
  <c r="AN1839"/>
  <c r="AP1839" s="1"/>
  <c r="AS1839" s="1"/>
  <c r="AN1517"/>
  <c r="AP1517" s="1"/>
  <c r="AS1517" s="1"/>
  <c r="AN1366"/>
  <c r="AP1366" s="1"/>
  <c r="AS1366" s="1"/>
  <c r="AN541"/>
  <c r="AP541" s="1"/>
  <c r="AS541" s="1"/>
  <c r="AN1094"/>
  <c r="AP1094" s="1"/>
  <c r="AS1094" s="1"/>
  <c r="AN678"/>
  <c r="AP678" s="1"/>
  <c r="AS678" s="1"/>
  <c r="AN1178"/>
  <c r="AP1178" s="1"/>
  <c r="AS1178" s="1"/>
  <c r="AN924"/>
  <c r="AP924" s="1"/>
  <c r="AS924" s="1"/>
  <c r="AN1640"/>
  <c r="AP1640" s="1"/>
  <c r="AS1640" s="1"/>
  <c r="AN1059"/>
  <c r="AP1059" s="1"/>
  <c r="AS1059" s="1"/>
  <c r="AN1179"/>
  <c r="AP1179" s="1"/>
  <c r="AS1179" s="1"/>
  <c r="AN141"/>
  <c r="AP141" s="1"/>
  <c r="AS141" s="1"/>
  <c r="AN527"/>
  <c r="AP527" s="1"/>
  <c r="AS527" s="1"/>
  <c r="AN649"/>
  <c r="AP649" s="1"/>
  <c r="AS649" s="1"/>
  <c r="AN1816"/>
  <c r="AP1816" s="1"/>
  <c r="AS1816" s="1"/>
  <c r="AN1409"/>
  <c r="AP1409" s="1"/>
  <c r="AS1409" s="1"/>
  <c r="AN1411"/>
  <c r="AP1411" s="1"/>
  <c r="AS1411" s="1"/>
  <c r="AN1522"/>
  <c r="AP1522" s="1"/>
  <c r="AS1522" s="1"/>
  <c r="AN353"/>
  <c r="AP353" s="1"/>
  <c r="AS353" s="1"/>
  <c r="AN114"/>
  <c r="AP114" s="1"/>
  <c r="AS114" s="1"/>
  <c r="AN792"/>
  <c r="AP792" s="1"/>
  <c r="AS792" s="1"/>
  <c r="AN1262"/>
  <c r="AP1262" s="1"/>
  <c r="AS1262" s="1"/>
  <c r="AN493"/>
  <c r="AP493" s="1"/>
  <c r="AS493" s="1"/>
  <c r="AN1131"/>
  <c r="AP1131" s="1"/>
  <c r="AS1131" s="1"/>
  <c r="AN1135"/>
  <c r="AP1135" s="1"/>
  <c r="AS1135" s="1"/>
  <c r="AN578"/>
  <c r="AP578" s="1"/>
  <c r="AS578" s="1"/>
  <c r="AN1272"/>
  <c r="AP1272" s="1"/>
  <c r="AS1272" s="1"/>
  <c r="AN652"/>
  <c r="AP652" s="1"/>
  <c r="AS652" s="1"/>
  <c r="AN849"/>
  <c r="AP849" s="1"/>
  <c r="AS849" s="1"/>
  <c r="AN672"/>
  <c r="AP672" s="1"/>
  <c r="AS672" s="1"/>
  <c r="AN640"/>
  <c r="AP640" s="1"/>
  <c r="AS640" s="1"/>
  <c r="AN826"/>
  <c r="AP826" s="1"/>
  <c r="AS826" s="1"/>
  <c r="AN316"/>
  <c r="AP316" s="1"/>
  <c r="AS316" s="1"/>
  <c r="AN817"/>
  <c r="AP817" s="1"/>
  <c r="AS817" s="1"/>
  <c r="AN1170"/>
  <c r="AP1170" s="1"/>
  <c r="AS1170" s="1"/>
  <c r="AN787"/>
  <c r="AP787" s="1"/>
  <c r="AS787" s="1"/>
  <c r="AN701"/>
  <c r="AP701" s="1"/>
  <c r="AS701" s="1"/>
  <c r="AN1263"/>
  <c r="AP1263" s="1"/>
  <c r="AS1263" s="1"/>
  <c r="AN177"/>
  <c r="AP177" s="1"/>
  <c r="AS177" s="1"/>
  <c r="AN1066"/>
  <c r="AP1066" s="1"/>
  <c r="AS1066" s="1"/>
  <c r="AN1596"/>
  <c r="AP1596" s="1"/>
  <c r="AS1596" s="1"/>
  <c r="AN1613"/>
  <c r="AP1613" s="1"/>
  <c r="AS1613" s="1"/>
  <c r="AN1814"/>
  <c r="AP1814" s="1"/>
  <c r="AS1814" s="1"/>
  <c r="AN1414"/>
  <c r="AP1414" s="1"/>
  <c r="AS1414" s="1"/>
  <c r="AN1287"/>
  <c r="AP1287" s="1"/>
  <c r="AS1287" s="1"/>
  <c r="AN1284"/>
  <c r="AP1284" s="1"/>
  <c r="AS1284" s="1"/>
  <c r="AN1588"/>
  <c r="AP1588" s="1"/>
  <c r="AS1588" s="1"/>
  <c r="AN381"/>
  <c r="AP381" s="1"/>
  <c r="AS381" s="1"/>
  <c r="AN601"/>
  <c r="AP601" s="1"/>
  <c r="AS601" s="1"/>
  <c r="AN593"/>
  <c r="AP593" s="1"/>
  <c r="AS593" s="1"/>
  <c r="AN1101"/>
  <c r="AP1101" s="1"/>
  <c r="AS1101" s="1"/>
  <c r="AN856"/>
  <c r="AP856" s="1"/>
  <c r="AS856" s="1"/>
  <c r="AN1091"/>
  <c r="AP1091" s="1"/>
  <c r="AS1091" s="1"/>
  <c r="AN1602"/>
  <c r="AP1602" s="1"/>
  <c r="AS1602" s="1"/>
  <c r="AN1410"/>
  <c r="AP1410" s="1"/>
  <c r="AS1410" s="1"/>
  <c r="AN1643"/>
  <c r="AP1643" s="1"/>
  <c r="AS1643" s="1"/>
  <c r="AN642"/>
  <c r="AP642" s="1"/>
  <c r="AS642" s="1"/>
  <c r="AN168"/>
  <c r="AP168" s="1"/>
  <c r="AS168" s="1"/>
  <c r="AN1192"/>
  <c r="AP1192" s="1"/>
  <c r="AS1192" s="1"/>
  <c r="AN1134"/>
  <c r="AP1134" s="1"/>
  <c r="AS1134" s="1"/>
  <c r="AN180"/>
  <c r="AP180" s="1"/>
  <c r="AS180" s="1"/>
  <c r="AN1210"/>
  <c r="AP1210" s="1"/>
  <c r="AS1210" s="1"/>
  <c r="AN875"/>
  <c r="AP875" s="1"/>
  <c r="AS875" s="1"/>
  <c r="AN946"/>
  <c r="AP946" s="1"/>
  <c r="AS946" s="1"/>
  <c r="AN619"/>
  <c r="AP619" s="1"/>
  <c r="AS619" s="1"/>
  <c r="AN779"/>
  <c r="AP779" s="1"/>
  <c r="AS779" s="1"/>
  <c r="AN910"/>
  <c r="AP910" s="1"/>
  <c r="AS910" s="1"/>
  <c r="AN1165"/>
  <c r="AP1165" s="1"/>
  <c r="AS1165" s="1"/>
  <c r="AN414"/>
  <c r="AP414" s="1"/>
  <c r="AS414" s="1"/>
  <c r="AN1185"/>
  <c r="AP1185" s="1"/>
  <c r="AS1185" s="1"/>
  <c r="AN1823"/>
  <c r="AP1823" s="1"/>
  <c r="AS1823" s="1"/>
  <c r="AN1628"/>
  <c r="AP1628" s="1"/>
  <c r="AS1628" s="1"/>
  <c r="AN1818"/>
  <c r="AP1818" s="1"/>
  <c r="AS1818" s="1"/>
  <c r="AN1799"/>
  <c r="AP1799" s="1"/>
  <c r="AS1799" s="1"/>
  <c r="AN1784"/>
  <c r="AP1784" s="1"/>
  <c r="AS1784" s="1"/>
  <c r="AN1637"/>
  <c r="AP1637" s="1"/>
  <c r="AS1637" s="1"/>
  <c r="AN1447"/>
  <c r="AP1447" s="1"/>
  <c r="AS1447" s="1"/>
  <c r="AN1296"/>
  <c r="AP1296" s="1"/>
  <c r="AS1296" s="1"/>
  <c r="AN1455"/>
  <c r="AP1455" s="1"/>
  <c r="AS1455" s="1"/>
  <c r="AN1396"/>
  <c r="AP1396" s="1"/>
  <c r="AS1396" s="1"/>
  <c r="AN1311"/>
  <c r="AP1311" s="1"/>
  <c r="AS1311" s="1"/>
  <c r="AN1658"/>
  <c r="AP1658" s="1"/>
  <c r="AS1658" s="1"/>
  <c r="AN1701"/>
  <c r="AP1701" s="1"/>
  <c r="AS1701" s="1"/>
  <c r="AN1615"/>
  <c r="AP1615" s="1"/>
  <c r="AS1615" s="1"/>
  <c r="AN1168"/>
  <c r="AP1168" s="1"/>
  <c r="AS1168" s="1"/>
  <c r="AN133"/>
  <c r="AP133" s="1"/>
  <c r="AS133" s="1"/>
  <c r="AN599"/>
  <c r="AP599" s="1"/>
  <c r="AS599" s="1"/>
  <c r="AN397"/>
  <c r="AP397" s="1"/>
  <c r="AS397" s="1"/>
  <c r="AN1718"/>
  <c r="AP1718" s="1"/>
  <c r="AS1718" s="1"/>
  <c r="AN1417"/>
  <c r="AP1417" s="1"/>
  <c r="AS1417" s="1"/>
  <c r="AN1329"/>
  <c r="AP1329" s="1"/>
  <c r="AS1329" s="1"/>
  <c r="AN1375"/>
  <c r="AP1375" s="1"/>
  <c r="AS1375" s="1"/>
  <c r="AN1343"/>
  <c r="AP1343" s="1"/>
  <c r="AS1343" s="1"/>
  <c r="AN1401"/>
  <c r="AP1401" s="1"/>
  <c r="AS1401" s="1"/>
  <c r="AN1516"/>
  <c r="AP1516" s="1"/>
  <c r="AS1516" s="1"/>
  <c r="AN1748"/>
  <c r="AP1748" s="1"/>
  <c r="AS1748" s="1"/>
  <c r="AN1391"/>
  <c r="AP1391" s="1"/>
  <c r="AS1391" s="1"/>
  <c r="AN1545"/>
  <c r="AP1545" s="1"/>
  <c r="AS1545" s="1"/>
  <c r="AN1682"/>
  <c r="AP1682" s="1"/>
  <c r="AS1682" s="1"/>
  <c r="AN1473"/>
  <c r="AP1473" s="1"/>
  <c r="AS1473" s="1"/>
  <c r="AN1663"/>
  <c r="AP1663" s="1"/>
  <c r="AS1663" s="1"/>
  <c r="AN1592"/>
  <c r="AP1592" s="1"/>
  <c r="AS1592" s="1"/>
  <c r="AN1614"/>
  <c r="AP1614" s="1"/>
  <c r="AS1614" s="1"/>
  <c r="AN1496"/>
  <c r="AP1496" s="1"/>
  <c r="AS1496" s="1"/>
  <c r="AN1468"/>
  <c r="AP1468" s="1"/>
  <c r="AS1468" s="1"/>
  <c r="AN1530"/>
  <c r="AP1530" s="1"/>
  <c r="AS1530" s="1"/>
  <c r="AN1529"/>
  <c r="AP1529" s="1"/>
  <c r="AS1529" s="1"/>
  <c r="AN1802"/>
  <c r="AP1802" s="1"/>
  <c r="AS1802" s="1"/>
  <c r="AN1511"/>
  <c r="AP1511" s="1"/>
  <c r="AS1511" s="1"/>
  <c r="AN1027"/>
  <c r="AP1027" s="1"/>
  <c r="AS1027" s="1"/>
  <c r="AN938"/>
  <c r="AP938" s="1"/>
  <c r="AS938" s="1"/>
  <c r="AN334"/>
  <c r="AP334" s="1"/>
  <c r="AS334" s="1"/>
  <c r="AN1132"/>
  <c r="AP1132" s="1"/>
  <c r="AS1132" s="1"/>
  <c r="AN692"/>
  <c r="AP692" s="1"/>
  <c r="AS692" s="1"/>
  <c r="AN1264"/>
  <c r="AP1264" s="1"/>
  <c r="AS1264" s="1"/>
  <c r="AN1164"/>
  <c r="AP1164" s="1"/>
  <c r="AS1164" s="1"/>
  <c r="AN871"/>
  <c r="AP871" s="1"/>
  <c r="AS871" s="1"/>
  <c r="AN171"/>
  <c r="AP171" s="1"/>
  <c r="AS171" s="1"/>
  <c r="AN1758"/>
  <c r="AP1758" s="1"/>
  <c r="AS1758" s="1"/>
  <c r="AN1553"/>
  <c r="AP1553" s="1"/>
  <c r="AS1553" s="1"/>
  <c r="AN1402"/>
  <c r="AP1402" s="1"/>
  <c r="AS1402" s="1"/>
  <c r="AN1699"/>
  <c r="AP1699" s="1"/>
  <c r="AS1699" s="1"/>
  <c r="AN1513"/>
  <c r="AP1513" s="1"/>
  <c r="AS1513" s="1"/>
  <c r="AN1544"/>
  <c r="AP1544" s="1"/>
  <c r="AS1544" s="1"/>
  <c r="AN1288"/>
  <c r="AP1288" s="1"/>
  <c r="AS1288" s="1"/>
  <c r="AN1633"/>
  <c r="AP1633" s="1"/>
  <c r="AS1633" s="1"/>
  <c r="AN1331"/>
  <c r="AP1331" s="1"/>
  <c r="AS1331" s="1"/>
  <c r="AN1458"/>
  <c r="AP1458" s="1"/>
  <c r="AS1458" s="1"/>
  <c r="AN1299"/>
  <c r="AP1299" s="1"/>
  <c r="AS1299" s="1"/>
  <c r="AN1280"/>
  <c r="AP1280" s="1"/>
  <c r="AS1280" s="1"/>
  <c r="AN1438"/>
  <c r="AP1438" s="1"/>
  <c r="AS1438" s="1"/>
  <c r="AN1558"/>
  <c r="AP1558" s="1"/>
  <c r="AS1558" s="1"/>
  <c r="AN1328"/>
  <c r="AP1328" s="1"/>
  <c r="AS1328" s="1"/>
  <c r="AN1829"/>
  <c r="AP1829" s="1"/>
  <c r="AS1829" s="1"/>
  <c r="AN1734"/>
  <c r="AP1734" s="1"/>
  <c r="AS1734" s="1"/>
  <c r="AN1666"/>
  <c r="AP1666" s="1"/>
  <c r="AS1666" s="1"/>
  <c r="AN115"/>
  <c r="AP115" s="1"/>
  <c r="AS115" s="1"/>
  <c r="AN1080"/>
  <c r="AP1080" s="1"/>
  <c r="AS1080" s="1"/>
  <c r="AN934"/>
  <c r="AP934" s="1"/>
  <c r="AS934" s="1"/>
  <c r="AN693"/>
  <c r="AP693" s="1"/>
  <c r="AS693" s="1"/>
  <c r="AN603"/>
  <c r="AP603" s="1"/>
  <c r="AS603" s="1"/>
  <c r="AN920"/>
  <c r="AP920" s="1"/>
  <c r="AS920" s="1"/>
  <c r="AN853"/>
  <c r="AP853" s="1"/>
  <c r="AS853" s="1"/>
  <c r="AN543"/>
  <c r="AP543" s="1"/>
  <c r="AS543" s="1"/>
  <c r="AN107"/>
  <c r="AP107" s="1"/>
  <c r="AS107" s="1"/>
  <c r="AN824"/>
  <c r="AP824" s="1"/>
  <c r="AS824" s="1"/>
  <c r="AN300"/>
  <c r="AP300" s="1"/>
  <c r="AS300" s="1"/>
  <c r="AN882"/>
  <c r="AP882" s="1"/>
  <c r="AS882" s="1"/>
  <c r="AN1137"/>
  <c r="AP1137" s="1"/>
  <c r="AS1137" s="1"/>
  <c r="AN614"/>
  <c r="AP614" s="1"/>
  <c r="AS614" s="1"/>
  <c r="AN119"/>
  <c r="AP119" s="1"/>
  <c r="AS119" s="1"/>
  <c r="AN241"/>
  <c r="AP241" s="1"/>
  <c r="AS241" s="1"/>
  <c r="AN734"/>
  <c r="AP734" s="1"/>
  <c r="AS734" s="1"/>
  <c r="AN811"/>
  <c r="AP811" s="1"/>
  <c r="AS811" s="1"/>
  <c r="AN535"/>
  <c r="AP535" s="1"/>
  <c r="AS535" s="1"/>
  <c r="AN250"/>
  <c r="AP250" s="1"/>
  <c r="AS250" s="1"/>
  <c r="AN191"/>
  <c r="AP191" s="1"/>
  <c r="AS191" s="1"/>
  <c r="AN307"/>
  <c r="AP307" s="1"/>
  <c r="AS307" s="1"/>
  <c r="AN1800"/>
  <c r="AP1800" s="1"/>
  <c r="AS1800" s="1"/>
  <c r="AN1464"/>
  <c r="AP1464" s="1"/>
  <c r="AS1464" s="1"/>
  <c r="AN837"/>
  <c r="AP837" s="1"/>
  <c r="AS837" s="1"/>
  <c r="AN162"/>
  <c r="AP162" s="1"/>
  <c r="AS162" s="1"/>
  <c r="AN820"/>
  <c r="AP820" s="1"/>
  <c r="AS820" s="1"/>
  <c r="AN229"/>
  <c r="AP229" s="1"/>
  <c r="AS229" s="1"/>
  <c r="AN592"/>
  <c r="AP592" s="1"/>
  <c r="AS592" s="1"/>
  <c r="AN304"/>
  <c r="AP304" s="1"/>
  <c r="AS304" s="1"/>
  <c r="AN673"/>
  <c r="AP673" s="1"/>
  <c r="AS673" s="1"/>
  <c r="AN1044"/>
  <c r="AP1044" s="1"/>
  <c r="AS1044" s="1"/>
  <c r="AN921"/>
  <c r="AP921" s="1"/>
  <c r="AS921" s="1"/>
  <c r="AN1008"/>
  <c r="AP1008" s="1"/>
  <c r="AS1008" s="1"/>
  <c r="AN287"/>
  <c r="AP287" s="1"/>
  <c r="AS287" s="1"/>
  <c r="AN349"/>
  <c r="AP349" s="1"/>
  <c r="AS349" s="1"/>
  <c r="AN710"/>
  <c r="AP710" s="1"/>
  <c r="AS710" s="1"/>
  <c r="AN1048"/>
  <c r="AP1048" s="1"/>
  <c r="AS1048" s="1"/>
  <c r="AN1097"/>
  <c r="AP1097" s="1"/>
  <c r="AS1097" s="1"/>
  <c r="AN918"/>
  <c r="AP918" s="1"/>
  <c r="AS918" s="1"/>
  <c r="AN1180"/>
  <c r="AP1180" s="1"/>
  <c r="AS1180" s="1"/>
  <c r="AN794"/>
  <c r="AP794" s="1"/>
  <c r="AS794" s="1"/>
  <c r="AN1111"/>
  <c r="AP1111" s="1"/>
  <c r="AS1111" s="1"/>
  <c r="AN278"/>
  <c r="AP278" s="1"/>
  <c r="AS278" s="1"/>
  <c r="AN498"/>
  <c r="AP498" s="1"/>
  <c r="AS498" s="1"/>
  <c r="AN116"/>
  <c r="AP116" s="1"/>
  <c r="AS116" s="1"/>
  <c r="AN645"/>
  <c r="AP645" s="1"/>
  <c r="AS645" s="1"/>
  <c r="AN691"/>
  <c r="AP691" s="1"/>
  <c r="AS691" s="1"/>
  <c r="AN589"/>
  <c r="AP589" s="1"/>
  <c r="AS589" s="1"/>
  <c r="AN105"/>
  <c r="AP105" s="1"/>
  <c r="AS105" s="1"/>
  <c r="AN198"/>
  <c r="AP198" s="1"/>
  <c r="AS198" s="1"/>
  <c r="AN1154"/>
  <c r="AP1154" s="1"/>
  <c r="AS1154" s="1"/>
  <c r="AN497"/>
  <c r="AP497" s="1"/>
  <c r="AS497" s="1"/>
  <c r="AN1124"/>
  <c r="AP1124" s="1"/>
  <c r="AS1124" s="1"/>
  <c r="AN1113"/>
  <c r="AP1113" s="1"/>
  <c r="AS1113" s="1"/>
  <c r="AN1116"/>
  <c r="AP1116" s="1"/>
  <c r="AS1116" s="1"/>
  <c r="AN668"/>
  <c r="AP668" s="1"/>
  <c r="AS668" s="1"/>
  <c r="AN711"/>
  <c r="AP711" s="1"/>
  <c r="AS711" s="1"/>
  <c r="AN834"/>
  <c r="AP834" s="1"/>
  <c r="AS834" s="1"/>
  <c r="AN671"/>
  <c r="AP671" s="1"/>
  <c r="AS671" s="1"/>
  <c r="AN1339"/>
  <c r="AP1339" s="1"/>
  <c r="AS1339" s="1"/>
  <c r="AO1328"/>
  <c r="AR1328" s="1"/>
  <c r="AN1825"/>
  <c r="AP1825" s="1"/>
  <c r="AS1825" s="1"/>
  <c r="AN1856"/>
  <c r="AP1856" s="1"/>
  <c r="AS1856" s="1"/>
  <c r="AO1558"/>
  <c r="AR1558" s="1"/>
  <c r="AN1385"/>
  <c r="AP1385" s="1"/>
  <c r="AS1385" s="1"/>
  <c r="AN1322"/>
  <c r="AP1322" s="1"/>
  <c r="AS1322" s="1"/>
  <c r="AN1340"/>
  <c r="AP1340" s="1"/>
  <c r="AS1340" s="1"/>
  <c r="AO1438"/>
  <c r="AR1438" s="1"/>
  <c r="AO1280"/>
  <c r="AR1280" s="1"/>
  <c r="AN1285"/>
  <c r="AP1285" s="1"/>
  <c r="AS1285" s="1"/>
  <c r="AN1373"/>
  <c r="AP1373" s="1"/>
  <c r="AS1373" s="1"/>
  <c r="AN1326"/>
  <c r="AP1326" s="1"/>
  <c r="AS1326" s="1"/>
  <c r="AN1700"/>
  <c r="AP1700" s="1"/>
  <c r="AS1700" s="1"/>
  <c r="AO1299"/>
  <c r="AR1299" s="1"/>
  <c r="AO1458"/>
  <c r="AR1458" s="1"/>
  <c r="AN1598"/>
  <c r="AP1598" s="1"/>
  <c r="AS1598" s="1"/>
  <c r="AO1331"/>
  <c r="AR1331" s="1"/>
  <c r="AN1497"/>
  <c r="AP1497" s="1"/>
  <c r="AS1497" s="1"/>
  <c r="AN1795"/>
  <c r="AP1795" s="1"/>
  <c r="AS1795" s="1"/>
  <c r="AN1713"/>
  <c r="AP1713" s="1"/>
  <c r="AS1713" s="1"/>
  <c r="AO1633"/>
  <c r="AR1633" s="1"/>
  <c r="AN1840"/>
  <c r="AP1840" s="1"/>
  <c r="AS1840" s="1"/>
  <c r="AN1470"/>
  <c r="AP1470" s="1"/>
  <c r="AS1470" s="1"/>
  <c r="AO1288"/>
  <c r="AR1288" s="1"/>
  <c r="AN1717"/>
  <c r="AP1717" s="1"/>
  <c r="AS1717" s="1"/>
  <c r="AN1413"/>
  <c r="AP1413" s="1"/>
  <c r="AS1413" s="1"/>
  <c r="AO1758"/>
  <c r="AR1758" s="1"/>
  <c r="AO1701"/>
  <c r="AR1701" s="1"/>
  <c r="AN1848"/>
  <c r="AP1848" s="1"/>
  <c r="AS1848" s="1"/>
  <c r="AO1802"/>
  <c r="AR1802" s="1"/>
  <c r="AN1523"/>
  <c r="AP1523" s="1"/>
  <c r="AS1523" s="1"/>
  <c r="AN1841"/>
  <c r="AP1841" s="1"/>
  <c r="AS1841" s="1"/>
  <c r="AO1529"/>
  <c r="AR1529" s="1"/>
  <c r="AN1655"/>
  <c r="AP1655" s="1"/>
  <c r="AS1655" s="1"/>
  <c r="AN1493"/>
  <c r="AP1493" s="1"/>
  <c r="AS1493" s="1"/>
  <c r="AN1487"/>
  <c r="AP1487" s="1"/>
  <c r="AS1487" s="1"/>
  <c r="AO1530"/>
  <c r="AR1530" s="1"/>
  <c r="AN1547"/>
  <c r="AP1547" s="1"/>
  <c r="AS1547" s="1"/>
  <c r="AN1321"/>
  <c r="AP1321" s="1"/>
  <c r="AS1321" s="1"/>
  <c r="AO1468"/>
  <c r="AR1468" s="1"/>
  <c r="AO1496"/>
  <c r="AR1496" s="1"/>
  <c r="AN1405"/>
  <c r="AP1405" s="1"/>
  <c r="AS1405" s="1"/>
  <c r="AN1515"/>
  <c r="AP1515" s="1"/>
  <c r="AS1515" s="1"/>
  <c r="AN1519"/>
  <c r="AP1519" s="1"/>
  <c r="AS1519" s="1"/>
  <c r="AO1637"/>
  <c r="AR1637" s="1"/>
  <c r="AO1784"/>
  <c r="AR1784" s="1"/>
  <c r="AN1479"/>
  <c r="AP1479" s="1"/>
  <c r="AS1479" s="1"/>
  <c r="AN1801"/>
  <c r="AP1801" s="1"/>
  <c r="AS1801" s="1"/>
  <c r="AO1818"/>
  <c r="AR1818" s="1"/>
  <c r="AN1736"/>
  <c r="AP1736" s="1"/>
  <c r="AS1736" s="1"/>
  <c r="AO1734"/>
  <c r="AR1734" s="1"/>
  <c r="AN973"/>
  <c r="AP973" s="1"/>
  <c r="AS973" s="1"/>
  <c r="AO1066"/>
  <c r="AR1066" s="1"/>
  <c r="AN706"/>
  <c r="AP706" s="1"/>
  <c r="AS706" s="1"/>
  <c r="AO1185"/>
  <c r="AR1185" s="1"/>
  <c r="AO1643"/>
  <c r="AR1643" s="1"/>
  <c r="AN1338"/>
  <c r="AP1338" s="1"/>
  <c r="AS1338" s="1"/>
  <c r="AN1531"/>
  <c r="AP1531" s="1"/>
  <c r="AS1531" s="1"/>
  <c r="AN1380"/>
  <c r="AP1380" s="1"/>
  <c r="AS1380" s="1"/>
  <c r="AO1410"/>
  <c r="AR1410" s="1"/>
  <c r="AO1287"/>
  <c r="AR1287" s="1"/>
  <c r="AN1489"/>
  <c r="AP1489" s="1"/>
  <c r="AS1489" s="1"/>
  <c r="AO1414"/>
  <c r="AR1414" s="1"/>
  <c r="AN1572"/>
  <c r="AP1572" s="1"/>
  <c r="AS1572" s="1"/>
  <c r="AO1814"/>
  <c r="AR1814" s="1"/>
  <c r="AO1602"/>
  <c r="AR1602" s="1"/>
  <c r="AO1613"/>
  <c r="AR1613" s="1"/>
  <c r="AN1728"/>
  <c r="AP1728" s="1"/>
  <c r="AS1728" s="1"/>
  <c r="AO1816"/>
  <c r="AR1816" s="1"/>
  <c r="AO1522"/>
  <c r="AR1522" s="1"/>
  <c r="AO1284"/>
  <c r="AR1284" s="1"/>
  <c r="AN1849"/>
  <c r="AP1849" s="1"/>
  <c r="AS1849" s="1"/>
  <c r="AO1464"/>
  <c r="AR1464" s="1"/>
  <c r="AN1459"/>
  <c r="AP1459" s="1"/>
  <c r="AS1459" s="1"/>
  <c r="AO1296"/>
  <c r="AR1296" s="1"/>
  <c r="AN1656"/>
  <c r="AP1656" s="1"/>
  <c r="AS1656" s="1"/>
  <c r="AO1628"/>
  <c r="AR1628" s="1"/>
  <c r="AO1823"/>
  <c r="AR1823" s="1"/>
  <c r="AN1677"/>
  <c r="AP1677" s="1"/>
  <c r="AS1677" s="1"/>
  <c r="AN830"/>
  <c r="AP830" s="1"/>
  <c r="AS830" s="1"/>
  <c r="AR12"/>
  <c r="AQ12"/>
  <c r="AQ11"/>
</calcChain>
</file>

<file path=xl/sharedStrings.xml><?xml version="1.0" encoding="utf-8"?>
<sst xmlns="http://schemas.openxmlformats.org/spreadsheetml/2006/main" count="139" uniqueCount="78">
  <si>
    <t>AEDT</t>
  </si>
  <si>
    <t>pixel x</t>
  </si>
  <si>
    <t>pixel y</t>
  </si>
  <si>
    <t>Long</t>
  </si>
  <si>
    <t>Image Angluar Size</t>
  </si>
  <si>
    <t>deg</t>
  </si>
  <si>
    <t>px</t>
  </si>
  <si>
    <t>Origin</t>
  </si>
  <si>
    <t>Top Left of Image</t>
  </si>
  <si>
    <t>Alt</t>
  </si>
  <si>
    <t>Az</t>
  </si>
  <si>
    <t>Image roll</t>
  </si>
  <si>
    <t>Center Pix X</t>
  </si>
  <si>
    <t>STEP I</t>
  </si>
  <si>
    <t>Center Pix Y</t>
  </si>
  <si>
    <t>R</t>
  </si>
  <si>
    <t>φ</t>
  </si>
  <si>
    <t>θ</t>
  </si>
  <si>
    <t>Half Horizontal Field of view</t>
  </si>
  <si>
    <t>Projection 'distance'</t>
  </si>
  <si>
    <t>Half Horizontal Width (Video)</t>
  </si>
  <si>
    <t>Video</t>
  </si>
  <si>
    <t>STEP II</t>
  </si>
  <si>
    <t>x</t>
  </si>
  <si>
    <t>y</t>
  </si>
  <si>
    <t>z</t>
  </si>
  <si>
    <t>Local Spherical</t>
  </si>
  <si>
    <t>Local Cartesian</t>
  </si>
  <si>
    <t>STEP V</t>
  </si>
  <si>
    <t>Image Center Global Cartesian</t>
  </si>
  <si>
    <t>STEP VI</t>
  </si>
  <si>
    <t>Local Unit Vectors in Global Cartesian Space</t>
  </si>
  <si>
    <t>i' hat</t>
  </si>
  <si>
    <t>j' har</t>
  </si>
  <si>
    <t>k' hat</t>
  </si>
  <si>
    <t>i</t>
  </si>
  <si>
    <t>j</t>
  </si>
  <si>
    <t>k</t>
  </si>
  <si>
    <t>B</t>
  </si>
  <si>
    <t>B = cos (rot) * sqrt((k' x)^2 +(k' y)^2)</t>
  </si>
  <si>
    <t>Rotation Direction</t>
  </si>
  <si>
    <t>STEP III</t>
  </si>
  <si>
    <t>Local Cartesian to Global Cartesian</t>
  </si>
  <si>
    <t>STEP IV</t>
  </si>
  <si>
    <t>Global Cartesian to Global Spherical</t>
  </si>
  <si>
    <t>r</t>
  </si>
  <si>
    <t>1 or -1</t>
  </si>
  <si>
    <t>Barrel Distortion Exponent</t>
  </si>
  <si>
    <t>Calibration Object</t>
  </si>
  <si>
    <t>Error</t>
  </si>
  <si>
    <t>Actual</t>
  </si>
  <si>
    <t>Degrees</t>
  </si>
  <si>
    <t>Seconds</t>
  </si>
  <si>
    <t>Decimal Degrees</t>
  </si>
  <si>
    <t>Minutes</t>
  </si>
  <si>
    <t>Average</t>
  </si>
  <si>
    <t>σ</t>
  </si>
  <si>
    <t>φ Degrees</t>
  </si>
  <si>
    <t>Actual Az</t>
  </si>
  <si>
    <t>Actual Alt</t>
  </si>
  <si>
    <t>Tracker Data</t>
  </si>
  <si>
    <t>STEP 0</t>
  </si>
  <si>
    <t>Fine Adjustment</t>
  </si>
  <si>
    <t>Field Of View</t>
  </si>
  <si>
    <t>Video Start</t>
  </si>
  <si>
    <t>Calibration Image Time</t>
  </si>
  <si>
    <t>Video Dimentions</t>
  </si>
  <si>
    <t>Epoch</t>
  </si>
  <si>
    <t xml:space="preserve">Lat </t>
  </si>
  <si>
    <t>Calibration Points</t>
  </si>
  <si>
    <t>mass_A</t>
  </si>
  <si>
    <t>t</t>
  </si>
  <si>
    <t>ε - Peg</t>
  </si>
  <si>
    <t>α - Αql</t>
  </si>
  <si>
    <t>Sadalsuud</t>
  </si>
  <si>
    <t>λ - Peg</t>
  </si>
  <si>
    <t>ζ - Peg</t>
  </si>
  <si>
    <t>η - Αqr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</si>
</sst>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21">
    <xf numFmtId="0" fontId="0" fillId="0" borderId="0" xfId="0"/>
    <xf numFmtId="20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0" xfId="0" applyFill="1" applyBorder="1"/>
    <xf numFmtId="0" fontId="1" fillId="0" borderId="0" xfId="0" applyFont="1"/>
    <xf numFmtId="164" fontId="0" fillId="0" borderId="0" xfId="0" applyNumberFormat="1"/>
    <xf numFmtId="164" fontId="0" fillId="0" borderId="1" xfId="0" applyNumberFormat="1" applyBorder="1"/>
    <xf numFmtId="0" fontId="0" fillId="0" borderId="0" xfId="0" applyBorder="1"/>
    <xf numFmtId="0" fontId="0" fillId="0" borderId="0" xfId="0" applyNumberFormat="1" applyBorder="1"/>
    <xf numFmtId="164" fontId="0" fillId="0" borderId="0" xfId="0" applyNumberFormat="1" applyBorder="1"/>
    <xf numFmtId="0" fontId="0" fillId="0" borderId="3" xfId="0" applyBorder="1"/>
    <xf numFmtId="0" fontId="0" fillId="0" borderId="4" xfId="0" applyBorder="1"/>
    <xf numFmtId="2" fontId="0" fillId="0" borderId="0" xfId="0" applyNumberFormat="1" applyBorder="1"/>
    <xf numFmtId="0" fontId="2" fillId="2" borderId="2" xfId="1" applyNumberFormat="1"/>
    <xf numFmtId="0" fontId="2" fillId="2" borderId="2" xfId="1"/>
    <xf numFmtId="165" fontId="2" fillId="2" borderId="2" xfId="1" applyNumberFormat="1"/>
    <xf numFmtId="14" fontId="2" fillId="2" borderId="2" xfId="1" applyNumberFormat="1"/>
    <xf numFmtId="20" fontId="2" fillId="2" borderId="2" xfId="1" applyNumberFormat="1"/>
    <xf numFmtId="11" fontId="2" fillId="2" borderId="2" xfId="1" applyNumberFormat="1"/>
    <xf numFmtId="11" fontId="0" fillId="0" borderId="0" xfId="0" applyNumberFormat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FF"/>
      <color rgb="FF00FFFF"/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1858"/>
  <sheetViews>
    <sheetView tabSelected="1" zoomScaleNormal="100" workbookViewId="0">
      <pane xSplit="9" topLeftCell="AP1" activePane="topRight" state="frozen"/>
      <selection pane="topRight" activeCell="B5" sqref="B5"/>
    </sheetView>
  </sheetViews>
  <sheetFormatPr defaultRowHeight="15"/>
  <cols>
    <col min="2" max="2" width="10.85546875" bestFit="1" customWidth="1"/>
    <col min="3" max="3" width="10.140625" bestFit="1" customWidth="1"/>
    <col min="4" max="4" width="9.140625" style="3"/>
    <col min="5" max="6" width="9.28515625" bestFit="1" customWidth="1"/>
    <col min="14" max="14" width="9.140625" style="3"/>
    <col min="15" max="18" width="9.140625" customWidth="1"/>
    <col min="19" max="19" width="9.140625" style="3" customWidth="1"/>
    <col min="20" max="24" width="9.140625" customWidth="1"/>
    <col min="25" max="25" width="9.140625" style="3" customWidth="1"/>
    <col min="26" max="31" width="9.140625" customWidth="1"/>
    <col min="32" max="32" width="9.140625" style="3" customWidth="1"/>
    <col min="33" max="38" width="9.140625" customWidth="1"/>
    <col min="39" max="39" width="9.140625" style="3" customWidth="1"/>
  </cols>
  <sheetData>
    <row r="1" spans="1:62">
      <c r="A1" t="s">
        <v>67</v>
      </c>
      <c r="E1" t="s">
        <v>62</v>
      </c>
      <c r="J1" t="s">
        <v>69</v>
      </c>
      <c r="K1" s="8"/>
      <c r="L1" s="8"/>
      <c r="M1" s="8"/>
      <c r="N1" s="8"/>
      <c r="O1" s="8"/>
      <c r="P1" s="8"/>
      <c r="Q1" s="8"/>
      <c r="R1" s="8"/>
      <c r="S1" s="8" t="s">
        <v>50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 t="s">
        <v>58</v>
      </c>
      <c r="AJ1" s="8"/>
      <c r="AK1" s="8"/>
      <c r="AL1" s="8"/>
      <c r="AM1" s="8" t="s">
        <v>59</v>
      </c>
      <c r="AN1" s="8"/>
      <c r="AO1" s="8"/>
      <c r="AP1" s="8"/>
      <c r="AQ1" t="s">
        <v>49</v>
      </c>
    </row>
    <row r="2" spans="1:62">
      <c r="A2" t="s">
        <v>65</v>
      </c>
      <c r="B2" s="17">
        <v>43052</v>
      </c>
      <c r="C2" s="18">
        <v>0.86235532407407411</v>
      </c>
      <c r="D2" s="3" t="s">
        <v>0</v>
      </c>
      <c r="K2" s="8" t="s">
        <v>48</v>
      </c>
      <c r="L2" s="8" t="s">
        <v>1</v>
      </c>
      <c r="M2" s="8" t="s">
        <v>2</v>
      </c>
      <c r="N2" s="8" t="s">
        <v>12</v>
      </c>
      <c r="O2" s="8" t="s">
        <v>14</v>
      </c>
      <c r="P2" s="8" t="s">
        <v>16</v>
      </c>
      <c r="Q2" s="8" t="s">
        <v>17</v>
      </c>
      <c r="R2" s="8" t="s">
        <v>57</v>
      </c>
      <c r="S2" s="8" t="s">
        <v>53</v>
      </c>
      <c r="T2" s="8" t="s">
        <v>51</v>
      </c>
      <c r="U2" s="8" t="s">
        <v>54</v>
      </c>
      <c r="V2" s="8" t="s">
        <v>52</v>
      </c>
      <c r="W2" s="8" t="s">
        <v>49</v>
      </c>
      <c r="X2" s="4" t="s">
        <v>23</v>
      </c>
      <c r="Y2" s="4" t="s">
        <v>24</v>
      </c>
      <c r="Z2" s="4" t="s">
        <v>25</v>
      </c>
      <c r="AA2" s="8" t="s">
        <v>23</v>
      </c>
      <c r="AB2" s="8" t="s">
        <v>24</v>
      </c>
      <c r="AC2" s="8" t="s">
        <v>25</v>
      </c>
      <c r="AD2" s="8" t="s">
        <v>45</v>
      </c>
      <c r="AE2" s="8" t="s">
        <v>16</v>
      </c>
      <c r="AF2" s="8" t="s">
        <v>17</v>
      </c>
      <c r="AG2" s="8" t="s">
        <v>10</v>
      </c>
      <c r="AH2" s="8" t="s">
        <v>9</v>
      </c>
      <c r="AI2" s="8" t="s">
        <v>53</v>
      </c>
      <c r="AJ2" s="8" t="s">
        <v>51</v>
      </c>
      <c r="AK2" s="8" t="s">
        <v>54</v>
      </c>
      <c r="AL2" s="8" t="s">
        <v>52</v>
      </c>
      <c r="AM2" s="8" t="s">
        <v>53</v>
      </c>
      <c r="AN2" s="8" t="s">
        <v>51</v>
      </c>
      <c r="AO2" s="8" t="s">
        <v>54</v>
      </c>
      <c r="AP2" s="8" t="s">
        <v>52</v>
      </c>
      <c r="AQ2" s="8" t="s">
        <v>10</v>
      </c>
      <c r="AR2" s="8" t="s">
        <v>9</v>
      </c>
      <c r="AS2" s="8"/>
      <c r="AT2" s="8"/>
      <c r="AU2" s="8"/>
    </row>
    <row r="3" spans="1:62">
      <c r="A3" t="s">
        <v>64</v>
      </c>
      <c r="B3" s="17">
        <v>43052</v>
      </c>
      <c r="C3" s="18">
        <v>0.85685185185185186</v>
      </c>
      <c r="D3" s="3" t="s">
        <v>0</v>
      </c>
      <c r="K3" s="15" t="s">
        <v>72</v>
      </c>
      <c r="L3" s="15">
        <v>944</v>
      </c>
      <c r="M3" s="15">
        <v>501</v>
      </c>
      <c r="N3" s="9">
        <f t="shared" ref="N3:N8" si="0">(L3-($B$15/2))</f>
        <v>-16</v>
      </c>
      <c r="O3" s="9">
        <f t="shared" ref="O3:O8" si="1">(($C$15/2)-M3)</f>
        <v>39</v>
      </c>
      <c r="P3" s="8">
        <f t="shared" ref="P3:P8" si="2">ATAN((SQRT(N3^2+O3^2)^$B$16)/($F$24))</f>
        <v>2.7335039321110161E-2</v>
      </c>
      <c r="Q3" s="8">
        <f t="shared" ref="Q3:Q8" si="3">ATAN2(N3,O3)</f>
        <v>1.9601130486280374</v>
      </c>
      <c r="R3" s="8">
        <f>DEGREES(P3)</f>
        <v>1.5661823859237634</v>
      </c>
      <c r="S3" s="8">
        <f>T3+U3/60+V3/3600</f>
        <v>12.966666666666667</v>
      </c>
      <c r="T3" s="15">
        <v>12</v>
      </c>
      <c r="U3" s="15">
        <v>58</v>
      </c>
      <c r="V3" s="15">
        <v>0</v>
      </c>
      <c r="W3" s="10">
        <f>R3-S3</f>
        <v>-11.400484280742903</v>
      </c>
      <c r="X3" s="8">
        <f t="shared" ref="X3:X8" si="4">COS(Q3)*SIN(P3)</f>
        <v>-1.0373895906813674E-2</v>
      </c>
      <c r="Y3" s="8">
        <f t="shared" ref="Y3:Y8" si="5">SIN(Q3)*SIN(P3)</f>
        <v>2.5286371272858335E-2</v>
      </c>
      <c r="Z3" s="8">
        <f t="shared" ref="Z3:Z8" si="6">COS(P3)</f>
        <v>0.9996264210751763</v>
      </c>
      <c r="AA3" s="8">
        <f t="shared" ref="AA3:AA8" si="7">$X3*$Z$27+$Y3*$Z$31+$Z3*$Z$35</f>
        <v>0.7128750744235437</v>
      </c>
      <c r="AB3" s="8">
        <f t="shared" ref="AB3:AB8" si="8">$X3*$AA$27+$Y3*$AA$31+$Z3*$AA$35</f>
        <v>-0.28922185726150768</v>
      </c>
      <c r="AC3" s="8">
        <f t="shared" ref="AC3:AC8" si="9">$AB$27*$X3+$Y3*$AB$31+$AB$35*$Z3</f>
        <v>0.63887388861013183</v>
      </c>
      <c r="AD3" s="8">
        <f t="shared" ref="AD3:AD8" si="10">AA3^2+AB3^2+AC3^2</f>
        <v>1</v>
      </c>
      <c r="AE3" s="8">
        <f t="shared" ref="AE3:AE8" si="11">IF(ATAN2(AA3,AB3)&gt;=0,ATAN2(AA3,AB3),ATAN2(AA3,AB3)+2*PI())</f>
        <v>5.8977646499255254</v>
      </c>
      <c r="AF3" s="8">
        <f t="shared" ref="AF3:AF8" si="12">ACOS(AC3/AD3)</f>
        <v>0.87776274368931284</v>
      </c>
      <c r="AG3" s="8">
        <f t="shared" ref="AG3:AG8" si="13">DEGREES(AE3)</f>
        <v>337.91702300218407</v>
      </c>
      <c r="AH3" s="8">
        <f t="shared" ref="AH3:AH8" si="14">90-DEGREES(AF3)</f>
        <v>39.70789937277894</v>
      </c>
      <c r="AI3" s="8">
        <f>AJ3+AK3/60+AL3/3600</f>
        <v>337.95555555555552</v>
      </c>
      <c r="AJ3" s="15">
        <v>337</v>
      </c>
      <c r="AK3" s="15">
        <v>57</v>
      </c>
      <c r="AL3" s="15">
        <v>20</v>
      </c>
      <c r="AM3" s="8">
        <f>AN3+AO3/60+AP3/3600</f>
        <v>39.701388888888893</v>
      </c>
      <c r="AN3" s="15">
        <v>39</v>
      </c>
      <c r="AO3" s="15">
        <v>42</v>
      </c>
      <c r="AP3" s="15">
        <v>5</v>
      </c>
      <c r="AQ3" s="10">
        <f>AG3-AI3</f>
        <v>-3.853255337145356E-2</v>
      </c>
      <c r="AR3" s="10">
        <f>AH3-AM3</f>
        <v>6.5104838900467144E-3</v>
      </c>
      <c r="AS3" s="8"/>
      <c r="AT3" s="10"/>
      <c r="AU3" s="10"/>
    </row>
    <row r="4" spans="1:62">
      <c r="A4" t="s">
        <v>68</v>
      </c>
      <c r="B4" s="14"/>
      <c r="C4" s="1" t="s">
        <v>5</v>
      </c>
      <c r="K4" s="15" t="s">
        <v>73</v>
      </c>
      <c r="L4" s="15">
        <v>173</v>
      </c>
      <c r="M4" s="15">
        <v>691</v>
      </c>
      <c r="N4" s="9">
        <f t="shared" si="0"/>
        <v>-787</v>
      </c>
      <c r="O4" s="9">
        <f t="shared" si="1"/>
        <v>-151</v>
      </c>
      <c r="P4" s="8">
        <f t="shared" si="2"/>
        <v>0.4902645690497367</v>
      </c>
      <c r="Q4" s="8">
        <f t="shared" si="3"/>
        <v>-2.9520285537966462</v>
      </c>
      <c r="R4" s="8">
        <f t="shared" ref="R4:R8" si="15">DEGREES(P4)</f>
        <v>28.090090651350039</v>
      </c>
      <c r="S4" s="8">
        <f t="shared" ref="S4:S8" si="16">T4+U4/60+V4/3600</f>
        <v>10.9</v>
      </c>
      <c r="T4" s="15">
        <v>10</v>
      </c>
      <c r="U4" s="15">
        <v>54</v>
      </c>
      <c r="V4" s="15">
        <v>0</v>
      </c>
      <c r="W4" s="10">
        <f t="shared" ref="W4:W8" si="17">R4-S4</f>
        <v>17.19009065135004</v>
      </c>
      <c r="X4" s="8">
        <f t="shared" si="4"/>
        <v>-0.46242455515197955</v>
      </c>
      <c r="Y4" s="8">
        <f t="shared" si="5"/>
        <v>-8.8724406388753438E-2</v>
      </c>
      <c r="Z4" s="8">
        <f t="shared" si="6"/>
        <v>0.88220831468732896</v>
      </c>
      <c r="AA4" s="8">
        <f t="shared" si="7"/>
        <v>0.54747941904593611</v>
      </c>
      <c r="AB4" s="8">
        <f t="shared" si="8"/>
        <v>-0.70182772794198711</v>
      </c>
      <c r="AC4" s="8">
        <f t="shared" si="9"/>
        <v>0.45574568128827353</v>
      </c>
      <c r="AD4" s="8">
        <f t="shared" si="10"/>
        <v>1.0000000000000002</v>
      </c>
      <c r="AE4" s="8">
        <f t="shared" si="11"/>
        <v>5.3748629250969042</v>
      </c>
      <c r="AF4" s="8">
        <f t="shared" si="12"/>
        <v>1.0975865515875429</v>
      </c>
      <c r="AG4" s="8">
        <f t="shared" si="13"/>
        <v>307.95696106939295</v>
      </c>
      <c r="AH4" s="8">
        <f t="shared" si="14"/>
        <v>27.112922943715787</v>
      </c>
      <c r="AI4" s="8">
        <f t="shared" ref="AI4:AI8" si="18">AJ4+AK4/60+AL4/3600</f>
        <v>307.88166666666666</v>
      </c>
      <c r="AJ4" s="15">
        <v>307</v>
      </c>
      <c r="AK4" s="15">
        <v>52</v>
      </c>
      <c r="AL4" s="15">
        <v>54</v>
      </c>
      <c r="AM4" s="8">
        <f t="shared" ref="AM4:AM8" si="19">AN4+AO4/60+AP4/3600</f>
        <v>26.994444444444447</v>
      </c>
      <c r="AN4" s="15">
        <v>26</v>
      </c>
      <c r="AO4" s="15">
        <v>59</v>
      </c>
      <c r="AP4" s="15">
        <v>40</v>
      </c>
      <c r="AQ4" s="10">
        <f t="shared" ref="AQ4:AQ8" si="20">AG4-AI4</f>
        <v>7.5294402726285625E-2</v>
      </c>
      <c r="AR4" s="10">
        <f t="shared" ref="AR4:AR8" si="21">AH4-AM4</f>
        <v>0.11847849927134035</v>
      </c>
      <c r="AS4" s="8"/>
      <c r="AT4" s="10"/>
      <c r="AU4" s="10"/>
    </row>
    <row r="5" spans="1:62">
      <c r="A5" t="s">
        <v>3</v>
      </c>
      <c r="B5" s="15"/>
      <c r="C5" t="s">
        <v>5</v>
      </c>
      <c r="K5" s="15" t="s">
        <v>74</v>
      </c>
      <c r="L5" s="15">
        <v>761</v>
      </c>
      <c r="M5" s="15">
        <v>112</v>
      </c>
      <c r="N5" s="9">
        <f t="shared" si="0"/>
        <v>-199</v>
      </c>
      <c r="O5" s="9">
        <f t="shared" si="1"/>
        <v>428</v>
      </c>
      <c r="P5" s="8">
        <f t="shared" si="2"/>
        <v>0.30322527522014464</v>
      </c>
      <c r="Q5" s="8">
        <f t="shared" si="3"/>
        <v>2.006015577644928</v>
      </c>
      <c r="R5" s="8">
        <f t="shared" si="15"/>
        <v>17.373528511807113</v>
      </c>
      <c r="S5" s="8">
        <f t="shared" si="16"/>
        <v>9.0500000000000007</v>
      </c>
      <c r="T5" s="15">
        <v>9</v>
      </c>
      <c r="U5" s="15">
        <v>3</v>
      </c>
      <c r="V5" s="15">
        <v>0</v>
      </c>
      <c r="W5" s="10">
        <f t="shared" si="17"/>
        <v>8.3235285118071118</v>
      </c>
      <c r="X5" s="8">
        <f t="shared" si="4"/>
        <v>-0.12589246657915074</v>
      </c>
      <c r="Y5" s="8">
        <f t="shared" si="5"/>
        <v>0.27076369696420349</v>
      </c>
      <c r="Z5" s="8">
        <f t="shared" si="6"/>
        <v>0.95437838788653129</v>
      </c>
      <c r="AA5" s="8">
        <f t="shared" si="7"/>
        <v>0.49516623678456206</v>
      </c>
      <c r="AB5" s="8">
        <f t="shared" si="8"/>
        <v>-0.34407913239583637</v>
      </c>
      <c r="AC5" s="8">
        <f t="shared" si="9"/>
        <v>0.79775932999767774</v>
      </c>
      <c r="AD5" s="8">
        <f t="shared" si="10"/>
        <v>1.0000000000000002</v>
      </c>
      <c r="AE5" s="8">
        <f t="shared" si="11"/>
        <v>5.675906555754743</v>
      </c>
      <c r="AF5" s="8">
        <f t="shared" si="12"/>
        <v>0.64722631597802294</v>
      </c>
      <c r="AG5" s="8">
        <f t="shared" si="13"/>
        <v>325.20549055538226</v>
      </c>
      <c r="AH5" s="8">
        <f t="shared" si="14"/>
        <v>52.916663704658646</v>
      </c>
      <c r="AI5" s="8">
        <f t="shared" si="18"/>
        <v>325.30861111111113</v>
      </c>
      <c r="AJ5" s="15">
        <v>325</v>
      </c>
      <c r="AK5" s="15">
        <v>18</v>
      </c>
      <c r="AL5" s="15">
        <v>31</v>
      </c>
      <c r="AM5" s="8">
        <f t="shared" si="19"/>
        <v>52.871944444444445</v>
      </c>
      <c r="AN5" s="15">
        <v>52</v>
      </c>
      <c r="AO5" s="15">
        <v>52</v>
      </c>
      <c r="AP5" s="15">
        <v>19</v>
      </c>
      <c r="AQ5" s="10">
        <f t="shared" si="20"/>
        <v>-0.10312055572887857</v>
      </c>
      <c r="AR5" s="10">
        <f t="shared" si="21"/>
        <v>4.4719260214201029E-2</v>
      </c>
      <c r="AS5" s="8"/>
      <c r="AT5" s="10"/>
      <c r="AU5" s="10"/>
    </row>
    <row r="6" spans="1:62">
      <c r="K6" s="15" t="s">
        <v>75</v>
      </c>
      <c r="L6" s="15">
        <v>1417</v>
      </c>
      <c r="M6" s="15">
        <v>786</v>
      </c>
      <c r="N6" s="9">
        <f t="shared" si="0"/>
        <v>457</v>
      </c>
      <c r="O6" s="9">
        <f t="shared" si="1"/>
        <v>-246</v>
      </c>
      <c r="P6" s="8">
        <f t="shared" si="2"/>
        <v>0.33160961551354923</v>
      </c>
      <c r="Q6" s="8">
        <f t="shared" si="3"/>
        <v>-0.49381087172601162</v>
      </c>
      <c r="R6" s="8">
        <f t="shared" si="15"/>
        <v>18.999831414882319</v>
      </c>
      <c r="S6" s="8">
        <f t="shared" si="16"/>
        <v>15.9</v>
      </c>
      <c r="T6" s="15">
        <v>15</v>
      </c>
      <c r="U6" s="15">
        <v>54</v>
      </c>
      <c r="V6" s="15">
        <v>0</v>
      </c>
      <c r="W6" s="10">
        <f t="shared" si="17"/>
        <v>3.0998314148823187</v>
      </c>
      <c r="X6" s="8">
        <f t="shared" si="4"/>
        <v>0.28667104139322841</v>
      </c>
      <c r="Y6" s="8">
        <f t="shared" si="5"/>
        <v>-0.15431307698628924</v>
      </c>
      <c r="Z6" s="8">
        <f t="shared" si="6"/>
        <v>0.94551953353568829</v>
      </c>
      <c r="AA6" s="8">
        <f t="shared" si="7"/>
        <v>0.87778501398162034</v>
      </c>
      <c r="AB6" s="8">
        <f t="shared" si="8"/>
        <v>-2.3715396146996526E-2</v>
      </c>
      <c r="AC6" s="8">
        <f t="shared" si="9"/>
        <v>0.4784673961879512</v>
      </c>
      <c r="AD6" s="8">
        <f t="shared" si="10"/>
        <v>1.0000000000000002</v>
      </c>
      <c r="AE6" s="8">
        <f t="shared" si="11"/>
        <v>6.2561745607448458</v>
      </c>
      <c r="AF6" s="8">
        <f t="shared" si="12"/>
        <v>1.0718877990681936</v>
      </c>
      <c r="AG6" s="8">
        <f t="shared" si="13"/>
        <v>358.45239822779132</v>
      </c>
      <c r="AH6" s="8">
        <f t="shared" si="14"/>
        <v>28.585353001825688</v>
      </c>
      <c r="AI6" s="8">
        <f t="shared" si="18"/>
        <v>358.46583333333331</v>
      </c>
      <c r="AJ6" s="15">
        <v>358</v>
      </c>
      <c r="AK6" s="15">
        <v>27</v>
      </c>
      <c r="AL6" s="15">
        <v>57</v>
      </c>
      <c r="AM6" s="8">
        <f t="shared" si="19"/>
        <v>28.592777777777776</v>
      </c>
      <c r="AN6" s="15">
        <v>28</v>
      </c>
      <c r="AO6" s="15">
        <v>35</v>
      </c>
      <c r="AP6" s="15">
        <v>34</v>
      </c>
      <c r="AQ6" s="10">
        <f t="shared" si="20"/>
        <v>-1.3435105541987014E-2</v>
      </c>
      <c r="AR6" s="10">
        <f t="shared" si="21"/>
        <v>-7.4247759520886802E-3</v>
      </c>
      <c r="AS6" s="8"/>
      <c r="AT6" s="10"/>
      <c r="AU6" s="10"/>
    </row>
    <row r="7" spans="1:62">
      <c r="A7" t="s">
        <v>63</v>
      </c>
      <c r="K7" s="15" t="s">
        <v>76</v>
      </c>
      <c r="L7" s="15">
        <v>1320</v>
      </c>
      <c r="M7" s="15">
        <v>446</v>
      </c>
      <c r="N7" s="9">
        <f t="shared" si="0"/>
        <v>360</v>
      </c>
      <c r="O7" s="9">
        <f t="shared" si="1"/>
        <v>94</v>
      </c>
      <c r="P7" s="8">
        <f t="shared" si="2"/>
        <v>0.24130958839201494</v>
      </c>
      <c r="Q7" s="8">
        <f t="shared" si="3"/>
        <v>0.2554085326341502</v>
      </c>
      <c r="R7" s="8">
        <f t="shared" si="15"/>
        <v>13.826020970901537</v>
      </c>
      <c r="S7" s="8">
        <f t="shared" si="16"/>
        <v>32.516666666666666</v>
      </c>
      <c r="T7" s="15">
        <v>32</v>
      </c>
      <c r="U7" s="15">
        <v>31</v>
      </c>
      <c r="V7" s="15">
        <v>0</v>
      </c>
      <c r="W7" s="10">
        <f t="shared" si="17"/>
        <v>-18.690645695765127</v>
      </c>
      <c r="X7" s="8">
        <f t="shared" si="4"/>
        <v>0.23122218249468679</v>
      </c>
      <c r="Y7" s="8">
        <f t="shared" si="5"/>
        <v>6.0374680984723768E-2</v>
      </c>
      <c r="Z7" s="8">
        <f t="shared" si="6"/>
        <v>0.97102584940792724</v>
      </c>
      <c r="AA7" s="8">
        <f t="shared" si="7"/>
        <v>0.74989090702303551</v>
      </c>
      <c r="AB7" s="8">
        <f t="shared" si="8"/>
        <v>-4.7134255848385737E-2</v>
      </c>
      <c r="AC7" s="8">
        <f t="shared" si="9"/>
        <v>0.6598802842105439</v>
      </c>
      <c r="AD7" s="8">
        <f t="shared" si="10"/>
        <v>1.0000000000000002</v>
      </c>
      <c r="AE7" s="8">
        <f t="shared" si="11"/>
        <v>6.2204130684603394</v>
      </c>
      <c r="AF7" s="8">
        <f t="shared" si="12"/>
        <v>0.85013690692430799</v>
      </c>
      <c r="AG7" s="8">
        <f t="shared" si="13"/>
        <v>356.40341565079945</v>
      </c>
      <c r="AH7" s="8">
        <f t="shared" si="14"/>
        <v>41.290743224931063</v>
      </c>
      <c r="AI7" s="8">
        <f t="shared" si="18"/>
        <v>356.43222222222226</v>
      </c>
      <c r="AJ7" s="15">
        <v>356</v>
      </c>
      <c r="AK7" s="15">
        <v>25</v>
      </c>
      <c r="AL7" s="15">
        <v>56</v>
      </c>
      <c r="AM7" s="8">
        <f t="shared" si="19"/>
        <v>41.264722222222225</v>
      </c>
      <c r="AN7" s="15">
        <v>41</v>
      </c>
      <c r="AO7" s="15">
        <v>15</v>
      </c>
      <c r="AP7" s="15">
        <v>53</v>
      </c>
      <c r="AQ7" s="10">
        <f t="shared" si="20"/>
        <v>-2.8806571422819616E-2</v>
      </c>
      <c r="AR7" s="10">
        <f t="shared" si="21"/>
        <v>2.6021002708837671E-2</v>
      </c>
      <c r="AS7" s="8"/>
      <c r="AT7" s="10"/>
      <c r="AU7" s="10"/>
      <c r="BJ7" s="6"/>
    </row>
    <row r="8" spans="1:62">
      <c r="A8" t="s">
        <v>9</v>
      </c>
      <c r="B8" s="15">
        <f>39.6+G8</f>
        <v>38.300000000000004</v>
      </c>
      <c r="C8" t="s">
        <v>5</v>
      </c>
      <c r="F8" t="s">
        <v>9</v>
      </c>
      <c r="G8" s="15">
        <f>(H8-50)/10</f>
        <v>-1.3</v>
      </c>
      <c r="H8">
        <v>37</v>
      </c>
      <c r="K8" s="15" t="s">
        <v>77</v>
      </c>
      <c r="L8" s="15">
        <v>1221</v>
      </c>
      <c r="M8" s="15">
        <v>160</v>
      </c>
      <c r="N8" s="9">
        <f t="shared" si="0"/>
        <v>261</v>
      </c>
      <c r="O8" s="9">
        <f t="shared" si="1"/>
        <v>380</v>
      </c>
      <c r="P8" s="8">
        <f t="shared" si="2"/>
        <v>0.29651018273202195</v>
      </c>
      <c r="Q8" s="8">
        <f t="shared" si="3"/>
        <v>0.96895585807404638</v>
      </c>
      <c r="R8" s="8">
        <f t="shared" si="15"/>
        <v>16.988782053197678</v>
      </c>
      <c r="S8" s="8">
        <f t="shared" si="16"/>
        <v>29.55</v>
      </c>
      <c r="T8" s="15">
        <v>29</v>
      </c>
      <c r="U8" s="15">
        <v>33</v>
      </c>
      <c r="V8" s="15">
        <v>0</v>
      </c>
      <c r="W8" s="10">
        <f t="shared" si="17"/>
        <v>-12.561217946802323</v>
      </c>
      <c r="X8" s="8">
        <f t="shared" si="4"/>
        <v>0.1654233083136615</v>
      </c>
      <c r="Y8" s="8">
        <f t="shared" si="5"/>
        <v>0.24084619601222745</v>
      </c>
      <c r="Z8" s="8">
        <f t="shared" si="6"/>
        <v>0.95636198112064397</v>
      </c>
      <c r="AA8" s="8">
        <f t="shared" si="7"/>
        <v>0.60969446688305373</v>
      </c>
      <c r="AB8" s="8">
        <f t="shared" si="8"/>
        <v>-7.4686583166355847E-2</v>
      </c>
      <c r="AC8" s="8">
        <f t="shared" si="9"/>
        <v>0.78910998685045419</v>
      </c>
      <c r="AD8" s="8">
        <f t="shared" si="10"/>
        <v>1</v>
      </c>
      <c r="AE8" s="8">
        <f t="shared" si="11"/>
        <v>6.1612942019332158</v>
      </c>
      <c r="AF8" s="8">
        <f t="shared" si="12"/>
        <v>0.66143761925634992</v>
      </c>
      <c r="AG8" s="8">
        <f t="shared" si="13"/>
        <v>353.01615410919806</v>
      </c>
      <c r="AH8" s="8">
        <f t="shared" si="14"/>
        <v>52.102416005430079</v>
      </c>
      <c r="AI8" s="8">
        <f t="shared" si="18"/>
        <v>353.07444444444445</v>
      </c>
      <c r="AJ8" s="15">
        <v>353</v>
      </c>
      <c r="AK8" s="15">
        <v>4</v>
      </c>
      <c r="AL8" s="15">
        <v>28</v>
      </c>
      <c r="AM8" s="8">
        <f t="shared" si="19"/>
        <v>52.07277777777778</v>
      </c>
      <c r="AN8" s="15">
        <v>52</v>
      </c>
      <c r="AO8" s="15">
        <v>4</v>
      </c>
      <c r="AP8" s="15">
        <v>22</v>
      </c>
      <c r="AQ8" s="10">
        <f t="shared" si="20"/>
        <v>-5.8290335246397262E-2</v>
      </c>
      <c r="AR8" s="10">
        <f t="shared" si="21"/>
        <v>2.9638227652299065E-2</v>
      </c>
      <c r="AS8" s="8"/>
      <c r="AT8" s="10"/>
      <c r="AU8" s="10"/>
      <c r="BJ8" s="6"/>
    </row>
    <row r="9" spans="1:62">
      <c r="A9" t="s">
        <v>10</v>
      </c>
      <c r="B9" s="15">
        <f>338+G9</f>
        <v>338.8</v>
      </c>
      <c r="C9" t="s">
        <v>5</v>
      </c>
      <c r="F9" t="s">
        <v>10</v>
      </c>
      <c r="G9" s="15">
        <f>(H9-50)/10</f>
        <v>0.8</v>
      </c>
      <c r="H9">
        <v>58</v>
      </c>
      <c r="K9" s="8"/>
      <c r="L9" s="8"/>
      <c r="M9" s="8"/>
      <c r="N9" s="9"/>
      <c r="O9" s="9"/>
      <c r="P9" s="8"/>
      <c r="Q9" s="8"/>
      <c r="R9" s="8"/>
      <c r="S9" s="8"/>
      <c r="T9" s="10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0"/>
      <c r="AI9" s="10"/>
      <c r="AM9" s="8"/>
      <c r="AN9" s="8"/>
      <c r="AO9" s="8"/>
      <c r="AQ9" s="8"/>
      <c r="AS9" s="8"/>
      <c r="AT9" s="8"/>
      <c r="AU9" s="8"/>
      <c r="BJ9" s="6"/>
    </row>
    <row r="10" spans="1:62">
      <c r="A10" t="s">
        <v>11</v>
      </c>
      <c r="B10" s="15">
        <f>5+G10</f>
        <v>3.4</v>
      </c>
      <c r="C10" t="s">
        <v>5</v>
      </c>
      <c r="F10" t="s">
        <v>11</v>
      </c>
      <c r="G10" s="15">
        <f>(H10-50)/10</f>
        <v>-1.6</v>
      </c>
      <c r="H10">
        <v>34</v>
      </c>
      <c r="K10" s="8"/>
      <c r="L10" s="8"/>
      <c r="M10" s="8"/>
      <c r="N10" s="9"/>
      <c r="O10" s="9"/>
      <c r="P10" s="8"/>
      <c r="Q10" s="8"/>
      <c r="R10" s="8"/>
      <c r="S10" s="8"/>
      <c r="T10" s="10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0"/>
      <c r="AI10" s="10"/>
      <c r="AM10" s="8"/>
      <c r="AN10" s="8"/>
      <c r="AO10" s="8"/>
      <c r="AW10" s="8"/>
      <c r="AX10" s="8"/>
      <c r="AY10" s="8"/>
      <c r="BJ10" s="6"/>
    </row>
    <row r="11" spans="1:62">
      <c r="A11" t="s">
        <v>40</v>
      </c>
      <c r="B11" s="15">
        <v>1</v>
      </c>
      <c r="C11" t="s">
        <v>46</v>
      </c>
      <c r="K11" s="8"/>
      <c r="L11" s="8"/>
      <c r="M11" s="8"/>
      <c r="N11" s="9"/>
      <c r="O11" s="9"/>
      <c r="P11" s="8"/>
      <c r="Q11" s="8"/>
      <c r="R11" s="8"/>
      <c r="S11" s="8"/>
      <c r="T11" s="10"/>
      <c r="U11" s="8"/>
      <c r="V11" s="8" t="s">
        <v>55</v>
      </c>
      <c r="W11" s="13">
        <f>AVERAGE(W3:W8)</f>
        <v>-2.3398162242118139</v>
      </c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0"/>
      <c r="AI11" s="10"/>
      <c r="AM11" s="8"/>
      <c r="AN11" s="8"/>
      <c r="AO11" s="8"/>
      <c r="AP11" s="8" t="s">
        <v>55</v>
      </c>
      <c r="AQ11" s="13">
        <f>AVERAGE(AQ3:AQ8)</f>
        <v>-2.7815119764208401E-2</v>
      </c>
      <c r="AR11" s="13">
        <f>AVERAGE(AR3:AR8)</f>
        <v>3.6323782964106023E-2</v>
      </c>
      <c r="AW11" s="8"/>
      <c r="AX11" s="8"/>
      <c r="AY11" s="8"/>
      <c r="BI11" s="6"/>
      <c r="BJ11" s="6"/>
    </row>
    <row r="12" spans="1:62">
      <c r="K12" s="8"/>
      <c r="L12" s="8"/>
      <c r="M12" s="8"/>
      <c r="N12" s="9"/>
      <c r="O12" s="9"/>
      <c r="P12" s="8"/>
      <c r="Q12" s="8"/>
      <c r="R12" s="8"/>
      <c r="S12" s="8"/>
      <c r="T12" s="10"/>
      <c r="U12" s="8"/>
      <c r="V12" s="8" t="s">
        <v>56</v>
      </c>
      <c r="W12" s="13">
        <f>STDEV(W3:W8)</f>
        <v>13.990256131878635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0"/>
      <c r="AI12" s="10"/>
      <c r="AM12" s="8"/>
      <c r="AN12" s="8"/>
      <c r="AO12" s="8"/>
      <c r="AP12" s="8" t="s">
        <v>56</v>
      </c>
      <c r="AQ12" s="13">
        <f>STDEV(AQ3:AQ8)</f>
        <v>5.9251754811618769E-2</v>
      </c>
      <c r="AR12" s="13">
        <f>STDEV(AR3:AR8)</f>
        <v>4.421197708657159E-2</v>
      </c>
      <c r="AW12" s="8"/>
      <c r="AX12" s="8"/>
      <c r="AY12" s="8"/>
      <c r="BI12" s="6"/>
      <c r="BJ12" s="6"/>
    </row>
    <row r="13" spans="1:62">
      <c r="A13" t="s">
        <v>21</v>
      </c>
      <c r="K13" s="8"/>
      <c r="L13" s="8"/>
      <c r="M13" s="8"/>
      <c r="N13" s="9"/>
      <c r="O13" s="9"/>
      <c r="P13" s="8"/>
      <c r="Q13" s="8"/>
      <c r="R13" s="8"/>
      <c r="S13" s="8"/>
      <c r="T13" s="10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10"/>
      <c r="AI13" s="10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10"/>
      <c r="BJ13" s="10"/>
    </row>
    <row r="14" spans="1:62">
      <c r="A14" t="s">
        <v>4</v>
      </c>
      <c r="B14" s="15">
        <f>61+G14</f>
        <v>62.1</v>
      </c>
      <c r="C14" s="15">
        <v>46.9</v>
      </c>
      <c r="D14" s="3" t="s">
        <v>5</v>
      </c>
      <c r="F14" t="s">
        <v>4</v>
      </c>
      <c r="G14" s="15">
        <f>(H14-50)/10</f>
        <v>1.1000000000000001</v>
      </c>
      <c r="H14">
        <v>61</v>
      </c>
      <c r="K14" s="8"/>
      <c r="L14" s="8"/>
      <c r="M14" s="8"/>
      <c r="N14" s="9"/>
      <c r="O14" s="9"/>
      <c r="P14" s="8"/>
      <c r="Q14" s="8"/>
      <c r="R14" s="8"/>
      <c r="S14" s="8"/>
      <c r="T14" s="10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10"/>
      <c r="AI14" s="10"/>
      <c r="AJ14" s="8"/>
      <c r="AK14" s="8"/>
      <c r="AL14" s="8"/>
      <c r="AM14" s="8"/>
      <c r="AN14" s="8"/>
      <c r="AO14" s="8"/>
      <c r="AQ14" s="8"/>
      <c r="AR14" s="8"/>
      <c r="AW14" s="8"/>
      <c r="AX14" s="8"/>
      <c r="AY14" s="8"/>
    </row>
    <row r="15" spans="1:62">
      <c r="A15" t="s">
        <v>66</v>
      </c>
      <c r="B15" s="15">
        <v>1920</v>
      </c>
      <c r="C15" s="15">
        <v>1080</v>
      </c>
      <c r="D15" s="3" t="s">
        <v>6</v>
      </c>
      <c r="K15" s="8"/>
      <c r="L15" s="8"/>
      <c r="M15" s="8"/>
      <c r="N15" s="9"/>
      <c r="O15" s="9"/>
      <c r="P15" s="8"/>
      <c r="Q15" s="8"/>
      <c r="R15" s="8"/>
      <c r="S15" s="8"/>
      <c r="T15" s="10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10"/>
      <c r="AI15" s="10"/>
      <c r="AJ15" s="8"/>
      <c r="AK15" s="8"/>
      <c r="AL15" s="8"/>
      <c r="AM15" s="8"/>
      <c r="AN15" s="8"/>
      <c r="AO15" s="8"/>
      <c r="AQ15" s="8"/>
      <c r="AR15" s="8"/>
      <c r="AW15" s="8"/>
      <c r="AX15" s="8"/>
      <c r="AY15" s="8"/>
    </row>
    <row r="16" spans="1:62">
      <c r="A16" t="s">
        <v>47</v>
      </c>
      <c r="B16" s="16">
        <f>1+G16</f>
        <v>1.0089999999999999</v>
      </c>
      <c r="F16" t="s">
        <v>47</v>
      </c>
      <c r="G16" s="16">
        <f>(H16-50)/1000</f>
        <v>8.9999999999999993E-3</v>
      </c>
      <c r="H16">
        <v>59</v>
      </c>
      <c r="K16" s="8"/>
      <c r="L16" s="8"/>
      <c r="M16" s="8"/>
      <c r="N16" s="9"/>
      <c r="O16" s="9"/>
      <c r="P16" s="8"/>
      <c r="Q16" s="8"/>
      <c r="R16" s="8"/>
      <c r="S16" s="8"/>
      <c r="T16" s="10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10"/>
      <c r="AI16" s="10"/>
      <c r="AJ16" s="8"/>
      <c r="AK16" s="8"/>
      <c r="AL16" s="8"/>
      <c r="AM16" s="8"/>
      <c r="AN16" s="8"/>
      <c r="AO16" s="8"/>
      <c r="AQ16" s="8"/>
      <c r="AR16" s="8"/>
      <c r="AW16" s="8"/>
      <c r="AX16" s="8"/>
      <c r="AY16" s="8"/>
    </row>
    <row r="17" spans="1:51">
      <c r="A17" s="5" t="s">
        <v>7</v>
      </c>
      <c r="B17" s="5" t="s">
        <v>8</v>
      </c>
      <c r="C17" s="5"/>
      <c r="K17" s="8"/>
      <c r="L17" s="8"/>
      <c r="M17" s="8"/>
      <c r="N17" s="9"/>
      <c r="O17" s="9"/>
      <c r="P17" s="8"/>
      <c r="Q17" s="8"/>
      <c r="R17" s="8"/>
      <c r="S17" s="8"/>
      <c r="T17" s="10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10"/>
      <c r="AI17" s="10"/>
      <c r="AJ17" s="8"/>
      <c r="AK17" s="8"/>
      <c r="AL17" s="8"/>
      <c r="AM17" s="8"/>
      <c r="AN17" s="8"/>
      <c r="AO17" s="8"/>
      <c r="AQ17" s="8"/>
      <c r="AR17" s="8"/>
    </row>
    <row r="18" spans="1:51" ht="15.75" thickBot="1">
      <c r="K18" s="8"/>
      <c r="L18" s="8"/>
      <c r="M18" s="8"/>
      <c r="N18" s="9"/>
      <c r="O18" s="9"/>
      <c r="P18" s="8"/>
      <c r="Q18" s="8"/>
      <c r="R18" s="8"/>
      <c r="S18" s="8"/>
      <c r="T18" s="10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10"/>
      <c r="AI18" s="10"/>
      <c r="AJ18" s="8"/>
      <c r="AK18" s="8"/>
      <c r="AL18" s="8"/>
      <c r="AM18" s="8"/>
      <c r="AN18" s="8"/>
      <c r="AO18" s="8"/>
    </row>
    <row r="19" spans="1:51" s="11" customFormat="1" ht="15.75" thickBot="1">
      <c r="A19" s="11" t="s">
        <v>61</v>
      </c>
      <c r="C19" s="11" t="s">
        <v>60</v>
      </c>
      <c r="D19" s="12"/>
      <c r="E19" s="11" t="s">
        <v>13</v>
      </c>
      <c r="G19" s="11" t="s">
        <v>26</v>
      </c>
      <c r="N19" s="12"/>
      <c r="O19" s="11" t="s">
        <v>22</v>
      </c>
      <c r="Q19" s="11" t="s">
        <v>27</v>
      </c>
      <c r="S19" s="12"/>
      <c r="T19" s="11" t="s">
        <v>28</v>
      </c>
      <c r="V19" s="11" t="s">
        <v>29</v>
      </c>
      <c r="Y19" s="12"/>
      <c r="Z19" s="11" t="s">
        <v>30</v>
      </c>
      <c r="AB19" s="11" t="s">
        <v>31</v>
      </c>
      <c r="AF19" s="12"/>
      <c r="AG19" s="11" t="s">
        <v>41</v>
      </c>
      <c r="AI19" s="11" t="s">
        <v>42</v>
      </c>
      <c r="AM19" s="12"/>
      <c r="AN19" s="11" t="s">
        <v>43</v>
      </c>
      <c r="AP19" s="11" t="s">
        <v>44</v>
      </c>
    </row>
    <row r="20" spans="1:51" ht="15.75" thickTop="1"/>
    <row r="21" spans="1:51">
      <c r="E21" t="s">
        <v>18</v>
      </c>
      <c r="F21">
        <f>RADIANS(B14/2)</f>
        <v>0.54192473274423936</v>
      </c>
      <c r="T21" s="4" t="s">
        <v>23</v>
      </c>
      <c r="U21" s="4" t="s">
        <v>24</v>
      </c>
      <c r="V21" s="4" t="s">
        <v>25</v>
      </c>
      <c r="W21" s="4" t="s">
        <v>45</v>
      </c>
      <c r="Z21" t="s">
        <v>39</v>
      </c>
    </row>
    <row r="22" spans="1:51">
      <c r="E22" t="s">
        <v>20</v>
      </c>
      <c r="F22">
        <f>B15/2</f>
        <v>960</v>
      </c>
      <c r="T22">
        <f>COS(RADIANS($B$9))*SIN(RADIANS(90-$B$8))</f>
        <v>0.731665688879517</v>
      </c>
      <c r="U22">
        <f>SIN(RADIANS($B$9))*SIN(RADIANS(90-$B$8))</f>
        <v>-0.2837944176046111</v>
      </c>
      <c r="V22">
        <f>COS(RADIANS(90-$B$8))</f>
        <v>0.61977903179514027</v>
      </c>
      <c r="W22">
        <f>SQRT(T22^2+U22^2+V22^2)</f>
        <v>1</v>
      </c>
      <c r="Z22" t="s">
        <v>38</v>
      </c>
      <c r="AA22">
        <f>COS(RADIANS($B$10))*SQRT($T$22^2 + $U$22^2)</f>
        <v>0.78339502907958181</v>
      </c>
    </row>
    <row r="24" spans="1:51">
      <c r="E24" t="s">
        <v>19</v>
      </c>
      <c r="F24">
        <f>F22/TAN(F21)</f>
        <v>1594.5546802365734</v>
      </c>
    </row>
    <row r="25" spans="1:51">
      <c r="Z25" t="s">
        <v>32</v>
      </c>
    </row>
    <row r="26" spans="1:51">
      <c r="Z26" t="s">
        <v>35</v>
      </c>
      <c r="AA26" t="s">
        <v>36</v>
      </c>
      <c r="AB26" t="s">
        <v>37</v>
      </c>
      <c r="AC26" t="s">
        <v>45</v>
      </c>
    </row>
    <row r="27" spans="1:51">
      <c r="A27" t="s">
        <v>60</v>
      </c>
      <c r="Z27" s="2">
        <f>(-1*$B$11*$Z$35*$AB$35*SQRT($Z$35^2 + $AA$35^2 - $AA$22^2))/($Z$35^2 + $AA$35^2) - ($AA$35*$AA$22)/(Z35^2+AA35^2)</f>
        <v>0.32671876548789935</v>
      </c>
      <c r="AA27">
        <f>((-1*$B$11*$AA$35*$AB$35*SQRT($Z$35^2 + $AA$35^2 - $AA$22^2))/($Z$35^2+$AA$35^2)) + ( ($Z$35 * $AA$22)/($Z$35^2 + $AA$35^2))</f>
        <v>0.94397492981412556</v>
      </c>
      <c r="AB27">
        <f>$B$11*1*SQRT($Z$35^2 + $AA$35^2 - $AA$22^2)</f>
        <v>4.6542240604420387E-2</v>
      </c>
      <c r="AC27">
        <f>SQRT(Z27^2+AA27^2+AB27^2)</f>
        <v>1</v>
      </c>
      <c r="AR27" s="5"/>
    </row>
    <row r="29" spans="1:51">
      <c r="Z29" t="s">
        <v>33</v>
      </c>
    </row>
    <row r="30" spans="1:51">
      <c r="A30" t="s">
        <v>70</v>
      </c>
      <c r="E30" s="8"/>
      <c r="Z30" t="s">
        <v>35</v>
      </c>
      <c r="AA30" t="s">
        <v>36</v>
      </c>
      <c r="AB30" t="s">
        <v>37</v>
      </c>
    </row>
    <row r="31" spans="1:51">
      <c r="A31" t="s">
        <v>71</v>
      </c>
      <c r="B31" t="s">
        <v>23</v>
      </c>
      <c r="C31" t="s">
        <v>24</v>
      </c>
      <c r="E31" t="s">
        <v>12</v>
      </c>
      <c r="F31" t="s">
        <v>14</v>
      </c>
      <c r="I31" t="s">
        <v>15</v>
      </c>
      <c r="J31" t="s">
        <v>16</v>
      </c>
      <c r="K31" t="s">
        <v>17</v>
      </c>
      <c r="O31" s="4" t="s">
        <v>23</v>
      </c>
      <c r="P31" s="4" t="s">
        <v>24</v>
      </c>
      <c r="Q31" s="4" t="s">
        <v>25</v>
      </c>
      <c r="R31" s="4" t="s">
        <v>45</v>
      </c>
      <c r="Z31">
        <f>$AA$35*$AB$27-$AB$35*$AA$27</f>
        <v>-0.59826429610542942</v>
      </c>
      <c r="AA31">
        <f>AB35*Z27-Z35*AB27</f>
        <v>0.16844007960956425</v>
      </c>
      <c r="AB31">
        <f>Z35*AA27-AA35*Z27</f>
        <v>0.78339502907958181</v>
      </c>
      <c r="AC31">
        <f>SQRT(Z31^2+AA31^2+AB31^2)</f>
        <v>1</v>
      </c>
      <c r="AG31" t="s">
        <v>23</v>
      </c>
      <c r="AH31" t="s">
        <v>24</v>
      </c>
      <c r="AI31" t="s">
        <v>25</v>
      </c>
      <c r="AN31" t="s">
        <v>45</v>
      </c>
      <c r="AO31" t="s">
        <v>16</v>
      </c>
      <c r="AP31" t="s">
        <v>17</v>
      </c>
      <c r="AR31" t="s">
        <v>10</v>
      </c>
      <c r="AS31" t="s">
        <v>9</v>
      </c>
    </row>
    <row r="32" spans="1:51">
      <c r="A32" s="19">
        <v>4.8048000000000002</v>
      </c>
      <c r="B32" s="19">
        <v>854.45356089999996</v>
      </c>
      <c r="C32" s="19">
        <v>-10.06235642</v>
      </c>
      <c r="E32" s="9">
        <f t="shared" ref="E32:E95" si="22">(B32-($B$15/2))</f>
        <v>-105.54643910000004</v>
      </c>
      <c r="F32" s="9">
        <f>(($C$15/2)+C32)</f>
        <v>529.93764357999999</v>
      </c>
      <c r="G32" s="8"/>
      <c r="H32" s="8"/>
      <c r="I32" s="8">
        <v>1</v>
      </c>
      <c r="J32">
        <f t="shared" ref="J32:J95" si="23">ATAN((SQRT(E32^2+F32^2)^$B$16)/($F$24))</f>
        <v>0.34432765330719567</v>
      </c>
      <c r="K32" s="8">
        <f>ATAN2(E32,F32)</f>
        <v>1.7673914293757882</v>
      </c>
      <c r="L32" s="8"/>
      <c r="M32" s="8"/>
      <c r="N32" s="7"/>
      <c r="O32" s="8">
        <f>COS(K32)*SIN(J32)</f>
        <v>-6.5936742488505326E-2</v>
      </c>
      <c r="P32" s="8">
        <f>SIN(K32)*SIN(J32)</f>
        <v>0.33106149518311695</v>
      </c>
      <c r="Q32" s="8">
        <f>COS(J32)</f>
        <v>0.94130262530023978</v>
      </c>
      <c r="R32" s="8">
        <f t="shared" ref="R32:R63" si="24">SQRT(O32^2+P32^2+Q32^2)</f>
        <v>1</v>
      </c>
      <c r="AG32" s="8">
        <f t="shared" ref="AG32:AG95" si="25">$O32*$Z$27+$P32*$Z$31+$Q32*$Z$35</f>
        <v>0.46911379029492134</v>
      </c>
      <c r="AH32" s="8">
        <f t="shared" ref="AH32:AH95" si="26">$O32*$AA$27+$P32*$AA$31+$Q32*$AA$35</f>
        <v>-0.27361503759522632</v>
      </c>
      <c r="AI32" s="8">
        <f t="shared" ref="AI32:AI95" si="27">$AB$27*$O32+$P32*$AB$31+$AB$35*$Q32</f>
        <v>0.83968271564734231</v>
      </c>
      <c r="AJ32" s="8"/>
      <c r="AK32" s="8"/>
      <c r="AL32" s="8"/>
      <c r="AN32" s="8">
        <f t="shared" ref="AN32" si="28">AG32^2+AH32^2+AI32^2</f>
        <v>1</v>
      </c>
      <c r="AO32" s="8">
        <f t="shared" ref="AO32" si="29">IF(ATAN2(AG32,AH32)&gt;=0,ATAN2(AG32,AH32),ATAN2(AG32,AH32)+2*PI())</f>
        <v>5.7551660077365661</v>
      </c>
      <c r="AP32" s="8">
        <f t="shared" ref="AP32" si="30">ACOS(AI32/AN32)</f>
        <v>0.57409760282443634</v>
      </c>
      <c r="AQ32" s="8"/>
      <c r="AR32" s="8">
        <f t="shared" ref="AR32" si="31">DEGREES(AO32)</f>
        <v>329.74672264046052</v>
      </c>
      <c r="AS32" s="8">
        <f t="shared" ref="AS32" si="32">90-DEGREES(AP32)</f>
        <v>57.106630329581989</v>
      </c>
      <c r="AX32" s="6"/>
      <c r="AY32" s="6"/>
    </row>
    <row r="33" spans="1:53">
      <c r="A33" s="19">
        <v>4.8381666670000003</v>
      </c>
      <c r="B33" s="19">
        <v>855.45319359999996</v>
      </c>
      <c r="C33" s="19">
        <v>-10.060945269999999</v>
      </c>
      <c r="E33" s="9">
        <f t="shared" si="22"/>
        <v>-104.54680640000004</v>
      </c>
      <c r="F33" s="9">
        <f t="shared" ref="F33:F96" si="33">(($C$15/2)+C33)</f>
        <v>529.93905472999995</v>
      </c>
      <c r="I33">
        <v>1</v>
      </c>
      <c r="J33">
        <f t="shared" si="23"/>
        <v>0.34421314273138448</v>
      </c>
      <c r="K33">
        <f t="shared" ref="K33:K96" si="34">ATAN2(E33,F33)</f>
        <v>1.765575919679911</v>
      </c>
      <c r="N33" s="7"/>
      <c r="O33">
        <f t="shared" ref="O33:O96" si="35">COS(K33)*SIN(J33)</f>
        <v>-6.531472575595211E-2</v>
      </c>
      <c r="P33">
        <f t="shared" ref="P33:P96" si="36">SIN(K33)*SIN(J33)</f>
        <v>0.33107490528814898</v>
      </c>
      <c r="Q33">
        <f t="shared" ref="Q33:Q96" si="37">COS(J33)</f>
        <v>0.94134127376200172</v>
      </c>
      <c r="R33">
        <f t="shared" si="24"/>
        <v>1</v>
      </c>
      <c r="Z33" t="s">
        <v>34</v>
      </c>
      <c r="AG33" s="8">
        <f t="shared" si="25"/>
        <v>0.46933726980024548</v>
      </c>
      <c r="AH33" s="8">
        <f t="shared" si="26"/>
        <v>-0.27303657881230903</v>
      </c>
      <c r="AI33" s="8">
        <f t="shared" si="27"/>
        <v>0.8397461246156015</v>
      </c>
      <c r="AJ33" s="8"/>
      <c r="AK33" s="8"/>
      <c r="AL33" s="8"/>
      <c r="AN33" s="8">
        <f t="shared" ref="AN33:AN96" si="38">AG33^2+AH33^2+AI33^2</f>
        <v>1</v>
      </c>
      <c r="AO33" s="8">
        <f t="shared" ref="AO33:AO96" si="39">IF(ATAN2(AG33,AH33)&gt;=0,ATAN2(AG33,AH33),ATAN2(AG33,AH33)+2*PI())</f>
        <v>5.756293621576285</v>
      </c>
      <c r="AP33" s="8">
        <f t="shared" ref="AP33:AP96" si="40">ACOS(AI33/AN33)</f>
        <v>0.57398083363751384</v>
      </c>
      <c r="AQ33" s="8"/>
      <c r="AR33" s="8">
        <f t="shared" ref="AR33:AR96" si="41">DEGREES(AO33)</f>
        <v>329.81133015439696</v>
      </c>
      <c r="AS33" s="8">
        <f t="shared" ref="AS33:AS96" si="42">90-DEGREES(AP33)</f>
        <v>57.11332071116982</v>
      </c>
      <c r="AX33" s="6"/>
      <c r="AY33" s="6"/>
    </row>
    <row r="34" spans="1:53">
      <c r="A34" s="19">
        <v>4.8715333330000004</v>
      </c>
      <c r="B34" s="19">
        <v>856.02309479999997</v>
      </c>
      <c r="C34" s="19">
        <v>-10.93306299</v>
      </c>
      <c r="E34" s="9">
        <f t="shared" si="22"/>
        <v>-103.97690520000003</v>
      </c>
      <c r="F34" s="9">
        <f t="shared" si="33"/>
        <v>529.06693700999995</v>
      </c>
      <c r="I34">
        <v>1</v>
      </c>
      <c r="J34">
        <f t="shared" si="23"/>
        <v>0.34363994192492625</v>
      </c>
      <c r="K34">
        <f t="shared" si="34"/>
        <v>1.7648520044357745</v>
      </c>
      <c r="O34">
        <f t="shared" si="35"/>
        <v>-6.4970975654339708E-2</v>
      </c>
      <c r="P34">
        <f t="shared" si="36"/>
        <v>0.33059259667206153</v>
      </c>
      <c r="Q34">
        <f t="shared" si="37"/>
        <v>0.94153454920578827</v>
      </c>
      <c r="R34">
        <f t="shared" si="24"/>
        <v>1</v>
      </c>
      <c r="Z34" t="s">
        <v>35</v>
      </c>
      <c r="AA34" t="s">
        <v>36</v>
      </c>
      <c r="AB34" t="s">
        <v>37</v>
      </c>
      <c r="AG34" s="8">
        <f t="shared" si="25"/>
        <v>0.4698795404445113</v>
      </c>
      <c r="AH34" s="8">
        <f t="shared" si="26"/>
        <v>-0.27284817792796268</v>
      </c>
      <c r="AI34" s="8">
        <f t="shared" si="27"/>
        <v>0.83950407341063316</v>
      </c>
      <c r="AJ34" s="8"/>
      <c r="AK34" s="8"/>
      <c r="AL34" s="8"/>
      <c r="AN34" s="8">
        <f t="shared" si="38"/>
        <v>1</v>
      </c>
      <c r="AO34" s="8">
        <f t="shared" si="39"/>
        <v>5.7570951794427794</v>
      </c>
      <c r="AP34" s="8">
        <f t="shared" si="40"/>
        <v>0.57442646363189609</v>
      </c>
      <c r="AQ34" s="8"/>
      <c r="AR34" s="8">
        <f t="shared" si="41"/>
        <v>329.85725603718259</v>
      </c>
      <c r="AS34" s="8">
        <f t="shared" si="42"/>
        <v>57.087787993267277</v>
      </c>
      <c r="AX34" s="6"/>
      <c r="AY34" s="6"/>
    </row>
    <row r="35" spans="1:53">
      <c r="A35" s="19">
        <v>4.9048999999999996</v>
      </c>
      <c r="B35" s="19">
        <v>856.92782509999995</v>
      </c>
      <c r="C35" s="19">
        <v>-10.75978126</v>
      </c>
      <c r="E35" s="9">
        <f t="shared" si="22"/>
        <v>-103.07217490000005</v>
      </c>
      <c r="F35" s="9">
        <f t="shared" si="33"/>
        <v>529.24021874000005</v>
      </c>
      <c r="I35">
        <v>1</v>
      </c>
      <c r="J35">
        <f t="shared" si="23"/>
        <v>0.3436377739773534</v>
      </c>
      <c r="K35">
        <f t="shared" si="34"/>
        <v>1.7631435611507069</v>
      </c>
      <c r="O35">
        <f t="shared" si="35"/>
        <v>-6.4405692206951623E-2</v>
      </c>
      <c r="P35">
        <f t="shared" si="36"/>
        <v>0.330701109826957</v>
      </c>
      <c r="Q35">
        <f t="shared" si="37"/>
        <v>0.94153527962077044</v>
      </c>
      <c r="R35">
        <f t="shared" si="24"/>
        <v>1</v>
      </c>
      <c r="Z35">
        <f>$T$22</f>
        <v>0.731665688879517</v>
      </c>
      <c r="AA35">
        <f>$U$22</f>
        <v>-0.2837944176046111</v>
      </c>
      <c r="AB35">
        <f>$V$22</f>
        <v>0.61977903179514027</v>
      </c>
      <c r="AC35">
        <f>SQRT(Z35^2+AA35^2+AB35^2)</f>
        <v>1</v>
      </c>
      <c r="AG35" s="8">
        <f t="shared" si="25"/>
        <v>0.46999984402794215</v>
      </c>
      <c r="AH35" s="8">
        <f t="shared" si="26"/>
        <v>-0.27229649384863464</v>
      </c>
      <c r="AI35" s="8">
        <f t="shared" si="27"/>
        <v>0.83961584433087655</v>
      </c>
      <c r="AJ35" s="8"/>
      <c r="AK35" s="8"/>
      <c r="AL35" s="8"/>
      <c r="AN35" s="8">
        <f t="shared" si="38"/>
        <v>1.0000000000000002</v>
      </c>
      <c r="AO35" s="8">
        <f t="shared" si="39"/>
        <v>5.7580847120563776</v>
      </c>
      <c r="AP35" s="8">
        <f t="shared" si="40"/>
        <v>0.57422072517572764</v>
      </c>
      <c r="AQ35" s="8"/>
      <c r="AR35" s="8">
        <f t="shared" si="41"/>
        <v>329.91395207963234</v>
      </c>
      <c r="AS35" s="8">
        <f t="shared" si="42"/>
        <v>57.099575938489266</v>
      </c>
      <c r="AX35" s="6"/>
      <c r="AY35" s="6"/>
    </row>
    <row r="36" spans="1:53">
      <c r="A36" s="19">
        <v>4.9382666669999997</v>
      </c>
      <c r="B36" s="19">
        <v>857.53783390000001</v>
      </c>
      <c r="C36" s="19">
        <v>-10.62316871</v>
      </c>
      <c r="E36" s="9">
        <f t="shared" si="22"/>
        <v>-102.46216609999999</v>
      </c>
      <c r="F36" s="9">
        <f t="shared" si="33"/>
        <v>529.37683129000004</v>
      </c>
      <c r="I36">
        <v>1</v>
      </c>
      <c r="J36">
        <f t="shared" si="23"/>
        <v>0.34364836649511327</v>
      </c>
      <c r="K36">
        <f t="shared" si="34"/>
        <v>1.7619846724179176</v>
      </c>
      <c r="O36">
        <f t="shared" si="35"/>
        <v>-6.4024298419955689E-2</v>
      </c>
      <c r="P36">
        <f t="shared" si="36"/>
        <v>0.33078531826121077</v>
      </c>
      <c r="Q36">
        <f t="shared" si="37"/>
        <v>0.94153171079611653</v>
      </c>
      <c r="R36">
        <f t="shared" si="24"/>
        <v>1</v>
      </c>
      <c r="AG36" s="8">
        <f t="shared" si="25"/>
        <v>0.47007146244900022</v>
      </c>
      <c r="AH36" s="8">
        <f t="shared" si="26"/>
        <v>-0.27192127078743994</v>
      </c>
      <c r="AI36" s="8">
        <f t="shared" si="27"/>
        <v>0.83969735183838834</v>
      </c>
      <c r="AJ36" s="8"/>
      <c r="AK36" s="8"/>
      <c r="AL36" s="8"/>
      <c r="AN36" s="8">
        <f t="shared" si="38"/>
        <v>1.0000000000000002</v>
      </c>
      <c r="AO36" s="8">
        <f t="shared" si="39"/>
        <v>5.7587486837577071</v>
      </c>
      <c r="AP36" s="8">
        <f t="shared" si="40"/>
        <v>0.57407065178741445</v>
      </c>
      <c r="AQ36" s="8"/>
      <c r="AR36" s="8">
        <f t="shared" si="41"/>
        <v>329.95199485583464</v>
      </c>
      <c r="AS36" s="8">
        <f t="shared" si="42"/>
        <v>57.108174510256845</v>
      </c>
      <c r="AX36" s="10"/>
      <c r="AY36" s="10"/>
      <c r="AZ36" s="8"/>
      <c r="BA36" s="8"/>
    </row>
    <row r="37" spans="1:53">
      <c r="A37" s="19">
        <v>4.9716333329999998</v>
      </c>
      <c r="B37" s="19">
        <v>858.49017860000004</v>
      </c>
      <c r="C37" s="19">
        <v>-11.66481108</v>
      </c>
      <c r="E37" s="9">
        <f t="shared" si="22"/>
        <v>-101.50982139999996</v>
      </c>
      <c r="F37" s="9">
        <f t="shared" si="33"/>
        <v>528.33518891999995</v>
      </c>
      <c r="I37">
        <v>1</v>
      </c>
      <c r="J37">
        <f t="shared" si="23"/>
        <v>0.34293399230376365</v>
      </c>
      <c r="K37">
        <f t="shared" si="34"/>
        <v>1.7606146804738729</v>
      </c>
      <c r="O37">
        <f t="shared" si="35"/>
        <v>-6.3444141409777013E-2</v>
      </c>
      <c r="P37">
        <f t="shared" si="36"/>
        <v>0.33021211125489947</v>
      </c>
      <c r="Q37">
        <f t="shared" si="37"/>
        <v>0.94177216061070634</v>
      </c>
      <c r="R37">
        <f t="shared" si="24"/>
        <v>1</v>
      </c>
      <c r="AG37" s="8">
        <f t="shared" si="25"/>
        <v>0.47077986879654138</v>
      </c>
      <c r="AH37" s="8">
        <f t="shared" si="26"/>
        <v>-0.27153840646334587</v>
      </c>
      <c r="AI37" s="8">
        <f t="shared" si="27"/>
        <v>0.83942433187944832</v>
      </c>
      <c r="AJ37" s="8"/>
      <c r="AK37" s="8"/>
      <c r="AL37" s="8"/>
      <c r="AN37" s="8">
        <f t="shared" si="38"/>
        <v>1</v>
      </c>
      <c r="AO37" s="8">
        <f t="shared" si="39"/>
        <v>5.7600111612968297</v>
      </c>
      <c r="AP37" s="8">
        <f t="shared" si="40"/>
        <v>0.57457320513348265</v>
      </c>
      <c r="AQ37" s="8"/>
      <c r="AR37" s="8">
        <f t="shared" si="41"/>
        <v>330.0243294905564</v>
      </c>
      <c r="AS37" s="8">
        <f t="shared" si="42"/>
        <v>57.07938032454696</v>
      </c>
      <c r="AX37" s="10"/>
      <c r="AY37" s="10"/>
      <c r="AZ37" s="8"/>
      <c r="BA37" s="8"/>
    </row>
    <row r="38" spans="1:53" s="8" customFormat="1">
      <c r="A38" s="19">
        <v>5.0049999999999999</v>
      </c>
      <c r="B38" s="19">
        <v>859.01422909999997</v>
      </c>
      <c r="C38" s="19">
        <v>-11.9811444</v>
      </c>
      <c r="D38" s="3"/>
      <c r="E38" s="9">
        <f t="shared" si="22"/>
        <v>-100.98577090000003</v>
      </c>
      <c r="F38" s="9">
        <f t="shared" si="33"/>
        <v>528.01885560000005</v>
      </c>
      <c r="G38"/>
      <c r="H38"/>
      <c r="I38">
        <v>1</v>
      </c>
      <c r="J38">
        <f t="shared" si="23"/>
        <v>0.34269086272195798</v>
      </c>
      <c r="K38">
        <f t="shared" si="34"/>
        <v>1.7597683986154824</v>
      </c>
      <c r="L38"/>
      <c r="M38"/>
      <c r="N38" s="3"/>
      <c r="O38">
        <f t="shared" si="35"/>
        <v>-6.3121651967282005E-2</v>
      </c>
      <c r="P38">
        <f t="shared" si="36"/>
        <v>0.3300407784018386</v>
      </c>
      <c r="Q38">
        <f t="shared" si="37"/>
        <v>0.94185388550710447</v>
      </c>
      <c r="R38">
        <f t="shared" si="24"/>
        <v>1</v>
      </c>
      <c r="S38" s="3"/>
      <c r="Y38" s="3"/>
      <c r="AF38" s="3"/>
      <c r="AG38" s="8">
        <f t="shared" si="25"/>
        <v>0.47104752978043413</v>
      </c>
      <c r="AH38" s="8">
        <f t="shared" si="26"/>
        <v>-0.27128603690328723</v>
      </c>
      <c r="AI38" s="8">
        <f t="shared" si="27"/>
        <v>0.83935577133243056</v>
      </c>
      <c r="AM38" s="3"/>
      <c r="AN38" s="8">
        <f t="shared" si="38"/>
        <v>1.0000000000000002</v>
      </c>
      <c r="AO38" s="8">
        <f t="shared" si="39"/>
        <v>5.7606593501440839</v>
      </c>
      <c r="AP38" s="8">
        <f t="shared" si="40"/>
        <v>0.57469934464314298</v>
      </c>
      <c r="AR38" s="8">
        <f t="shared" si="41"/>
        <v>330.06146797583153</v>
      </c>
      <c r="AS38" s="8">
        <f t="shared" si="42"/>
        <v>57.072153063013573</v>
      </c>
      <c r="AX38" s="10"/>
      <c r="AY38" s="10"/>
    </row>
    <row r="39" spans="1:53">
      <c r="A39" s="19">
        <v>5.038366667</v>
      </c>
      <c r="B39" s="19">
        <v>859.513014</v>
      </c>
      <c r="C39" s="19">
        <v>-12.08075972</v>
      </c>
      <c r="E39" s="9">
        <f t="shared" si="22"/>
        <v>-100.486986</v>
      </c>
      <c r="F39" s="9">
        <f t="shared" si="33"/>
        <v>527.91924028000005</v>
      </c>
      <c r="I39">
        <v>1</v>
      </c>
      <c r="J39">
        <f t="shared" si="23"/>
        <v>0.3425772055202671</v>
      </c>
      <c r="K39">
        <f t="shared" si="34"/>
        <v>1.7588915939989036</v>
      </c>
      <c r="O39">
        <f t="shared" si="35"/>
        <v>-6.281222926578274E-2</v>
      </c>
      <c r="P39">
        <f t="shared" si="36"/>
        <v>0.32999083437814758</v>
      </c>
      <c r="Q39">
        <f t="shared" si="37"/>
        <v>0.94189207082397541</v>
      </c>
      <c r="R39">
        <f t="shared" si="24"/>
        <v>1</v>
      </c>
      <c r="AG39" s="8">
        <f t="shared" si="25"/>
        <v>0.47120644259583355</v>
      </c>
      <c r="AH39" s="8">
        <f t="shared" si="26"/>
        <v>-0.27101319898544557</v>
      </c>
      <c r="AI39" s="8">
        <f t="shared" si="27"/>
        <v>0.83935471311707943</v>
      </c>
      <c r="AJ39" s="8"/>
      <c r="AK39" s="8"/>
      <c r="AL39" s="8"/>
      <c r="AN39" s="8">
        <f t="shared" si="38"/>
        <v>1</v>
      </c>
      <c r="AO39" s="8">
        <f t="shared" si="39"/>
        <v>5.7612401977532874</v>
      </c>
      <c r="AP39" s="8">
        <f t="shared" si="40"/>
        <v>0.57470129138322623</v>
      </c>
      <c r="AQ39" s="8"/>
      <c r="AR39" s="8">
        <f t="shared" si="41"/>
        <v>330.09474809237918</v>
      </c>
      <c r="AS39" s="8">
        <f t="shared" si="42"/>
        <v>57.072041523022989</v>
      </c>
      <c r="AX39" s="10"/>
      <c r="AY39" s="10"/>
      <c r="AZ39" s="8"/>
      <c r="BA39" s="8"/>
    </row>
    <row r="40" spans="1:53">
      <c r="A40" s="19">
        <v>5.0717333330000001</v>
      </c>
      <c r="B40" s="19">
        <v>860.27968039999996</v>
      </c>
      <c r="C40" s="19">
        <v>-12.2802063</v>
      </c>
      <c r="E40" s="9">
        <f t="shared" si="22"/>
        <v>-99.720319600000039</v>
      </c>
      <c r="F40" s="9">
        <f t="shared" si="33"/>
        <v>527.71979369999997</v>
      </c>
      <c r="I40">
        <v>1</v>
      </c>
      <c r="J40">
        <f t="shared" si="23"/>
        <v>0.3423759203358252</v>
      </c>
      <c r="K40">
        <f t="shared" si="34"/>
        <v>1.7575586860525616</v>
      </c>
      <c r="O40">
        <f t="shared" si="35"/>
        <v>-6.2337122337369225E-2</v>
      </c>
      <c r="P40">
        <f t="shared" si="36"/>
        <v>0.3298879653784037</v>
      </c>
      <c r="Q40">
        <f t="shared" si="37"/>
        <v>0.94195966658726582</v>
      </c>
      <c r="R40">
        <f t="shared" si="24"/>
        <v>1</v>
      </c>
      <c r="AG40" s="8">
        <f t="shared" si="25"/>
        <v>0.47147266929539555</v>
      </c>
      <c r="AH40" s="8">
        <f t="shared" si="26"/>
        <v>-0.2706012205188239</v>
      </c>
      <c r="AI40" s="8">
        <f t="shared" si="27"/>
        <v>0.83933813303173443</v>
      </c>
      <c r="AJ40" s="8"/>
      <c r="AK40" s="8"/>
      <c r="AL40" s="8"/>
      <c r="AN40" s="8">
        <f t="shared" si="38"/>
        <v>1.0000000000000002</v>
      </c>
      <c r="AO40" s="8">
        <f t="shared" si="39"/>
        <v>5.7621413147496208</v>
      </c>
      <c r="AP40" s="8">
        <f t="shared" si="40"/>
        <v>0.57473179208248371</v>
      </c>
      <c r="AQ40" s="8"/>
      <c r="AR40" s="8">
        <f t="shared" si="41"/>
        <v>330.14637829311658</v>
      </c>
      <c r="AS40" s="8">
        <f t="shared" si="42"/>
        <v>57.07029396168334</v>
      </c>
      <c r="AX40" s="8"/>
      <c r="AY40" s="8"/>
      <c r="AZ40" s="8"/>
      <c r="BA40" s="8"/>
    </row>
    <row r="41" spans="1:53">
      <c r="A41" s="19">
        <v>5.1051000000000002</v>
      </c>
      <c r="B41" s="19">
        <v>861.26554980000003</v>
      </c>
      <c r="C41" s="19">
        <v>-12.773620510000001</v>
      </c>
      <c r="E41" s="9">
        <f t="shared" si="22"/>
        <v>-98.734450199999969</v>
      </c>
      <c r="F41" s="9">
        <f t="shared" si="33"/>
        <v>527.22637949</v>
      </c>
      <c r="I41">
        <v>1</v>
      </c>
      <c r="J41">
        <f t="shared" si="23"/>
        <v>0.34197947522730909</v>
      </c>
      <c r="K41">
        <f t="shared" si="34"/>
        <v>1.7559234827245858</v>
      </c>
      <c r="O41">
        <f t="shared" si="35"/>
        <v>-6.1728861680075825E-2</v>
      </c>
      <c r="P41">
        <f t="shared" si="36"/>
        <v>0.32962237788027293</v>
      </c>
      <c r="Q41">
        <f t="shared" si="37"/>
        <v>0.94209268951427316</v>
      </c>
      <c r="R41">
        <f t="shared" si="24"/>
        <v>1</v>
      </c>
      <c r="AG41" s="8">
        <f t="shared" si="25"/>
        <v>0.47192761929559057</v>
      </c>
      <c r="AH41" s="8">
        <f t="shared" si="26"/>
        <v>-0.2701095244509733</v>
      </c>
      <c r="AI41" s="8">
        <f t="shared" si="27"/>
        <v>0.83924082774068209</v>
      </c>
      <c r="AJ41" s="8"/>
      <c r="AK41" s="8"/>
      <c r="AL41" s="8"/>
      <c r="AN41" s="8">
        <f t="shared" si="38"/>
        <v>1</v>
      </c>
      <c r="AO41" s="8">
        <f t="shared" si="39"/>
        <v>5.763342057604615</v>
      </c>
      <c r="AP41" s="8">
        <f t="shared" si="40"/>
        <v>0.57491076580229938</v>
      </c>
      <c r="AQ41" s="8"/>
      <c r="AR41" s="8">
        <f t="shared" si="41"/>
        <v>330.21517579098821</v>
      </c>
      <c r="AS41" s="8">
        <f t="shared" si="42"/>
        <v>57.060039522894144</v>
      </c>
      <c r="AX41" s="10"/>
      <c r="AY41" s="10"/>
      <c r="AZ41" s="8"/>
      <c r="BA41" s="8"/>
    </row>
    <row r="42" spans="1:53">
      <c r="A42" s="19">
        <v>5.1384666670000003</v>
      </c>
      <c r="B42" s="19">
        <v>861.99028209999994</v>
      </c>
      <c r="C42" s="19">
        <v>-12.800536170000001</v>
      </c>
      <c r="E42" s="9">
        <f t="shared" si="22"/>
        <v>-98.009717900000055</v>
      </c>
      <c r="F42" s="9">
        <f t="shared" si="33"/>
        <v>527.19946383000001</v>
      </c>
      <c r="I42">
        <v>1</v>
      </c>
      <c r="J42">
        <f t="shared" si="23"/>
        <v>0.34188474595598134</v>
      </c>
      <c r="K42">
        <f t="shared" si="34"/>
        <v>1.7546042888446307</v>
      </c>
      <c r="O42">
        <f t="shared" si="35"/>
        <v>-6.1277660494217186E-2</v>
      </c>
      <c r="P42">
        <f t="shared" si="36"/>
        <v>0.32961578147046272</v>
      </c>
      <c r="Q42">
        <f t="shared" si="37"/>
        <v>0.9421244529943863</v>
      </c>
      <c r="R42">
        <f t="shared" si="24"/>
        <v>1</v>
      </c>
      <c r="AG42" s="8">
        <f t="shared" si="25"/>
        <v>0.47210222183505107</v>
      </c>
      <c r="AH42" s="8">
        <f t="shared" si="26"/>
        <v>-0.26969372724135365</v>
      </c>
      <c r="AI42" s="8">
        <f t="shared" si="27"/>
        <v>0.83927634639913129</v>
      </c>
      <c r="AJ42" s="8"/>
      <c r="AK42" s="8"/>
      <c r="AL42" s="8"/>
      <c r="AN42" s="8">
        <f t="shared" si="38"/>
        <v>1</v>
      </c>
      <c r="AO42" s="8">
        <f t="shared" si="39"/>
        <v>5.7641653017161474</v>
      </c>
      <c r="AP42" s="8">
        <f t="shared" si="40"/>
        <v>0.5748454420282878</v>
      </c>
      <c r="AQ42" s="8"/>
      <c r="AR42" s="8">
        <f t="shared" si="41"/>
        <v>330.26234420408804</v>
      </c>
      <c r="AS42" s="8">
        <f t="shared" si="42"/>
        <v>57.063782299446878</v>
      </c>
      <c r="AX42" s="10"/>
      <c r="AY42" s="10"/>
      <c r="AZ42" s="8"/>
      <c r="BA42" s="8"/>
    </row>
    <row r="43" spans="1:53">
      <c r="A43" s="19">
        <v>5.1718333330000004</v>
      </c>
      <c r="B43" s="19">
        <v>862.62245370000005</v>
      </c>
      <c r="C43" s="19">
        <v>-13.389822280000001</v>
      </c>
      <c r="E43" s="9">
        <f t="shared" si="22"/>
        <v>-97.377546299999949</v>
      </c>
      <c r="F43" s="9">
        <f t="shared" si="33"/>
        <v>526.61017772000002</v>
      </c>
      <c r="I43">
        <v>1</v>
      </c>
      <c r="J43">
        <f t="shared" si="23"/>
        <v>0.34147182706064111</v>
      </c>
      <c r="K43">
        <f t="shared" si="34"/>
        <v>1.7536448493738124</v>
      </c>
      <c r="O43">
        <f t="shared" si="35"/>
        <v>-6.0890644543725538E-2</v>
      </c>
      <c r="P43">
        <f t="shared" si="36"/>
        <v>0.32929185795942262</v>
      </c>
      <c r="Q43">
        <f t="shared" si="37"/>
        <v>0.94226280924627448</v>
      </c>
      <c r="R43">
        <f t="shared" si="24"/>
        <v>1</v>
      </c>
      <c r="AG43" s="8">
        <f t="shared" si="25"/>
        <v>0.4725236896022928</v>
      </c>
      <c r="AH43" s="8">
        <f t="shared" si="26"/>
        <v>-0.26942222032056495</v>
      </c>
      <c r="AI43" s="8">
        <f t="shared" si="27"/>
        <v>0.83912634922410412</v>
      </c>
      <c r="AJ43" s="8"/>
      <c r="AK43" s="8"/>
      <c r="AL43" s="8"/>
      <c r="AN43" s="8">
        <f t="shared" si="38"/>
        <v>1.0000000000000002</v>
      </c>
      <c r="AO43" s="8">
        <f t="shared" si="39"/>
        <v>5.7649830652560921</v>
      </c>
      <c r="AP43" s="8">
        <f t="shared" si="40"/>
        <v>0.57512126297876087</v>
      </c>
      <c r="AQ43" s="8"/>
      <c r="AR43" s="8">
        <f t="shared" si="41"/>
        <v>330.30919860356653</v>
      </c>
      <c r="AS43" s="8">
        <f t="shared" si="42"/>
        <v>57.047978923083484</v>
      </c>
      <c r="AX43" s="8"/>
      <c r="AY43" s="8"/>
      <c r="AZ43" s="8"/>
      <c r="BA43" s="8"/>
    </row>
    <row r="44" spans="1:53">
      <c r="A44" s="19">
        <v>5.2051999999999996</v>
      </c>
      <c r="B44" s="19">
        <v>864.12723040000003</v>
      </c>
      <c r="C44" s="19">
        <v>-13.98838203</v>
      </c>
      <c r="E44" s="9">
        <f t="shared" si="22"/>
        <v>-95.87276959999997</v>
      </c>
      <c r="F44" s="9">
        <f t="shared" si="33"/>
        <v>526.01161796999997</v>
      </c>
      <c r="I44">
        <v>1</v>
      </c>
      <c r="J44">
        <f t="shared" si="23"/>
        <v>0.34096020267819721</v>
      </c>
      <c r="K44">
        <f t="shared" si="34"/>
        <v>1.7510809547420023</v>
      </c>
      <c r="O44">
        <f t="shared" si="35"/>
        <v>-5.9959725453149967E-2</v>
      </c>
      <c r="P44">
        <f t="shared" si="36"/>
        <v>0.32897257824341014</v>
      </c>
      <c r="Q44">
        <f t="shared" si="37"/>
        <v>0.94243401577376562</v>
      </c>
      <c r="R44">
        <f t="shared" si="24"/>
        <v>1</v>
      </c>
      <c r="AG44" s="8">
        <f t="shared" si="25"/>
        <v>0.47314411793477318</v>
      </c>
      <c r="AH44" s="8">
        <f t="shared" si="26"/>
        <v>-0.26864582299491857</v>
      </c>
      <c r="AI44" s="8">
        <f t="shared" si="27"/>
        <v>0.83902566435783621</v>
      </c>
      <c r="AJ44" s="8"/>
      <c r="AK44" s="8"/>
      <c r="AL44" s="8"/>
      <c r="AN44" s="8">
        <f t="shared" si="38"/>
        <v>1</v>
      </c>
      <c r="AO44" s="8">
        <f t="shared" si="39"/>
        <v>5.7667874950543307</v>
      </c>
      <c r="AP44" s="8">
        <f t="shared" si="40"/>
        <v>0.57530634062302466</v>
      </c>
      <c r="AQ44" s="8"/>
      <c r="AR44" s="8">
        <f t="shared" si="41"/>
        <v>330.41258481543326</v>
      </c>
      <c r="AS44" s="8">
        <f t="shared" si="42"/>
        <v>57.037374755184942</v>
      </c>
      <c r="AX44" s="8"/>
      <c r="AY44" s="8"/>
      <c r="AZ44" s="8"/>
      <c r="BA44" s="8"/>
    </row>
    <row r="45" spans="1:53">
      <c r="A45" s="19">
        <v>5.2385666669999997</v>
      </c>
      <c r="B45" s="19">
        <v>864.34600209999996</v>
      </c>
      <c r="C45" s="19">
        <v>-14.023590779999999</v>
      </c>
      <c r="E45" s="9">
        <f t="shared" si="22"/>
        <v>-95.653997900000036</v>
      </c>
      <c r="F45" s="9">
        <f t="shared" si="33"/>
        <v>525.97640922000005</v>
      </c>
      <c r="I45">
        <v>1</v>
      </c>
      <c r="J45">
        <f t="shared" si="23"/>
        <v>0.34091629733729795</v>
      </c>
      <c r="K45">
        <f t="shared" si="34"/>
        <v>1.7506901740029899</v>
      </c>
      <c r="O45">
        <f t="shared" si="35"/>
        <v>-5.9823761129346932E-2</v>
      </c>
      <c r="P45">
        <f t="shared" si="36"/>
        <v>0.32895527375389438</v>
      </c>
      <c r="Q45">
        <f t="shared" si="37"/>
        <v>0.94244869646779139</v>
      </c>
      <c r="R45">
        <f t="shared" si="24"/>
        <v>1</v>
      </c>
      <c r="AG45" s="8">
        <f t="shared" si="25"/>
        <v>0.47320963404914368</v>
      </c>
      <c r="AH45" s="8">
        <f t="shared" si="26"/>
        <v>-0.26852455715050205</v>
      </c>
      <c r="AI45" s="8">
        <f t="shared" si="27"/>
        <v>0.83902753497737026</v>
      </c>
      <c r="AJ45" s="8"/>
      <c r="AK45" s="8"/>
      <c r="AL45" s="8"/>
      <c r="AN45" s="8">
        <f t="shared" si="38"/>
        <v>1</v>
      </c>
      <c r="AO45" s="8">
        <f t="shared" si="39"/>
        <v>5.767040765826617</v>
      </c>
      <c r="AP45" s="8">
        <f t="shared" si="40"/>
        <v>0.57530290255551086</v>
      </c>
      <c r="AQ45" s="8"/>
      <c r="AR45" s="8">
        <f t="shared" si="41"/>
        <v>330.42709616175927</v>
      </c>
      <c r="AS45" s="8">
        <f t="shared" si="42"/>
        <v>57.037571741943168</v>
      </c>
      <c r="AX45" s="8"/>
      <c r="AY45" s="8"/>
      <c r="AZ45" s="8"/>
      <c r="BA45" s="8"/>
    </row>
    <row r="46" spans="1:53">
      <c r="A46" s="19">
        <v>5.2719333329999998</v>
      </c>
      <c r="B46" s="19">
        <v>864.76483029999997</v>
      </c>
      <c r="C46" s="19">
        <v>-14.152405959999999</v>
      </c>
      <c r="E46" s="9">
        <f t="shared" si="22"/>
        <v>-95.235169700000029</v>
      </c>
      <c r="F46" s="9">
        <f t="shared" si="33"/>
        <v>525.84759403999999</v>
      </c>
      <c r="I46">
        <v>1</v>
      </c>
      <c r="J46">
        <f t="shared" si="23"/>
        <v>0.34079643438264579</v>
      </c>
      <c r="K46">
        <f t="shared" si="34"/>
        <v>1.7499622178063408</v>
      </c>
      <c r="O46">
        <f t="shared" si="35"/>
        <v>-5.9564148531782754E-2</v>
      </c>
      <c r="P46">
        <f t="shared" si="36"/>
        <v>0.32888757688095116</v>
      </c>
      <c r="Q46">
        <f t="shared" si="37"/>
        <v>0.94248876597180731</v>
      </c>
      <c r="R46">
        <f t="shared" si="24"/>
        <v>1</v>
      </c>
      <c r="AG46" s="8">
        <f t="shared" si="25"/>
        <v>0.47336427245982376</v>
      </c>
      <c r="AH46" s="8">
        <f t="shared" si="26"/>
        <v>-0.26830226373516136</v>
      </c>
      <c r="AI46" s="8">
        <f t="shared" si="27"/>
        <v>0.83901141877400565</v>
      </c>
      <c r="AJ46" s="8"/>
      <c r="AK46" s="8"/>
      <c r="AL46" s="8"/>
      <c r="AN46" s="8">
        <f t="shared" si="38"/>
        <v>1.0000000000000002</v>
      </c>
      <c r="AO46" s="8">
        <f t="shared" si="39"/>
        <v>5.7675363490986502</v>
      </c>
      <c r="AP46" s="8">
        <f t="shared" si="40"/>
        <v>0.57533252240910204</v>
      </c>
      <c r="AQ46" s="8"/>
      <c r="AR46" s="8">
        <f t="shared" si="41"/>
        <v>330.45549099164407</v>
      </c>
      <c r="AS46" s="8">
        <f t="shared" si="42"/>
        <v>57.035874649342595</v>
      </c>
    </row>
    <row r="47" spans="1:53">
      <c r="A47" s="19">
        <v>5.3052999999999999</v>
      </c>
      <c r="B47" s="19">
        <v>865.32269959999996</v>
      </c>
      <c r="C47" s="19">
        <v>-14.45936657</v>
      </c>
      <c r="E47" s="9">
        <f t="shared" si="22"/>
        <v>-94.677300400000036</v>
      </c>
      <c r="F47" s="9">
        <f t="shared" si="33"/>
        <v>525.54063342999996</v>
      </c>
      <c r="I47">
        <v>1</v>
      </c>
      <c r="J47">
        <f t="shared" si="23"/>
        <v>0.34055776890681871</v>
      </c>
      <c r="K47">
        <f t="shared" si="34"/>
        <v>1.7490366829303168</v>
      </c>
      <c r="O47">
        <f t="shared" si="35"/>
        <v>-5.9219843106068204E-2</v>
      </c>
      <c r="P47">
        <f t="shared" si="36"/>
        <v>0.32872117948124691</v>
      </c>
      <c r="Q47">
        <f t="shared" si="37"/>
        <v>0.9425685101587844</v>
      </c>
      <c r="R47">
        <f t="shared" si="24"/>
        <v>1</v>
      </c>
      <c r="AG47" s="8">
        <f t="shared" si="25"/>
        <v>0.47363465921217052</v>
      </c>
      <c r="AH47" s="8">
        <f t="shared" si="26"/>
        <v>-0.26802790699144136</v>
      </c>
      <c r="AI47" s="8">
        <f t="shared" si="27"/>
        <v>0.83894651239918649</v>
      </c>
      <c r="AJ47" s="8"/>
      <c r="AK47" s="8"/>
      <c r="AL47" s="8"/>
      <c r="AN47" s="8">
        <f t="shared" si="38"/>
        <v>1</v>
      </c>
      <c r="AO47" s="8">
        <f t="shared" si="39"/>
        <v>5.7682199232497169</v>
      </c>
      <c r="AP47" s="8">
        <f t="shared" si="40"/>
        <v>0.57545179967305382</v>
      </c>
      <c r="AQ47" s="8"/>
      <c r="AR47" s="8">
        <f t="shared" si="41"/>
        <v>330.49465690548442</v>
      </c>
      <c r="AS47" s="8">
        <f t="shared" si="42"/>
        <v>57.029040565526287</v>
      </c>
    </row>
    <row r="48" spans="1:53">
      <c r="A48" s="19">
        <v>5.338666667</v>
      </c>
      <c r="B48" s="19">
        <v>866.53846150000004</v>
      </c>
      <c r="C48" s="19">
        <v>-14.03326403</v>
      </c>
      <c r="E48" s="9">
        <f t="shared" si="22"/>
        <v>-93.461538499999961</v>
      </c>
      <c r="F48" s="9">
        <f t="shared" si="33"/>
        <v>525.96673596999995</v>
      </c>
      <c r="I48">
        <v>1</v>
      </c>
      <c r="J48">
        <f t="shared" si="23"/>
        <v>0.34067990000537296</v>
      </c>
      <c r="K48">
        <f t="shared" si="34"/>
        <v>1.7466554869979687</v>
      </c>
      <c r="O48">
        <f t="shared" si="35"/>
        <v>-5.8457066163227461E-2</v>
      </c>
      <c r="P48">
        <f t="shared" si="36"/>
        <v>0.32897460043689658</v>
      </c>
      <c r="Q48">
        <f t="shared" si="37"/>
        <v>0.94252770976930556</v>
      </c>
      <c r="R48">
        <f t="shared" si="24"/>
        <v>1</v>
      </c>
      <c r="AG48" s="8">
        <f t="shared" si="25"/>
        <v>0.47370240779855344</v>
      </c>
      <c r="AH48" s="8">
        <f t="shared" si="26"/>
        <v>-0.2672535995116449</v>
      </c>
      <c r="AI48" s="8">
        <f t="shared" si="27"/>
        <v>0.83915525523821999</v>
      </c>
      <c r="AJ48" s="8"/>
      <c r="AK48" s="8"/>
      <c r="AL48" s="8"/>
      <c r="AN48" s="8">
        <f t="shared" si="38"/>
        <v>0.99999999999999989</v>
      </c>
      <c r="AO48" s="8">
        <f t="shared" si="39"/>
        <v>5.769520280900938</v>
      </c>
      <c r="AP48" s="8">
        <f t="shared" si="40"/>
        <v>0.5750681185465033</v>
      </c>
      <c r="AQ48" s="8"/>
      <c r="AR48" s="8">
        <f t="shared" si="41"/>
        <v>330.56916191075692</v>
      </c>
      <c r="AS48" s="8">
        <f t="shared" si="42"/>
        <v>57.05102387475646</v>
      </c>
    </row>
    <row r="49" spans="1:45">
      <c r="A49" s="19">
        <v>5.3720333330000001</v>
      </c>
      <c r="B49" s="19">
        <v>867.25119629999995</v>
      </c>
      <c r="C49" s="19">
        <v>-15.033452349999999</v>
      </c>
      <c r="E49" s="9">
        <f t="shared" si="22"/>
        <v>-92.748803700000053</v>
      </c>
      <c r="F49" s="9">
        <f t="shared" si="33"/>
        <v>524.96654765000005</v>
      </c>
      <c r="I49">
        <v>1</v>
      </c>
      <c r="J49">
        <f t="shared" si="23"/>
        <v>0.34001997317370863</v>
      </c>
      <c r="K49">
        <f t="shared" si="34"/>
        <v>1.745667383133723</v>
      </c>
      <c r="O49">
        <f t="shared" si="35"/>
        <v>-5.8023747789145222E-2</v>
      </c>
      <c r="P49">
        <f t="shared" si="36"/>
        <v>0.32841961667891451</v>
      </c>
      <c r="Q49">
        <f t="shared" si="37"/>
        <v>0.94274800454468033</v>
      </c>
      <c r="R49">
        <f t="shared" si="24"/>
        <v>1</v>
      </c>
      <c r="AG49" s="8">
        <f t="shared" si="25"/>
        <v>0.47433719013869707</v>
      </c>
      <c r="AH49" s="8">
        <f t="shared" si="26"/>
        <v>-0.26700055776573878</v>
      </c>
      <c r="AI49" s="8">
        <f t="shared" si="27"/>
        <v>0.83887718541161316</v>
      </c>
      <c r="AJ49" s="8"/>
      <c r="AK49" s="8"/>
      <c r="AL49" s="8"/>
      <c r="AN49" s="8">
        <f t="shared" si="38"/>
        <v>1</v>
      </c>
      <c r="AO49" s="8">
        <f t="shared" si="39"/>
        <v>5.7704981993670241</v>
      </c>
      <c r="AP49" s="8">
        <f t="shared" si="40"/>
        <v>0.57557917639785738</v>
      </c>
      <c r="AQ49" s="8"/>
      <c r="AR49" s="8">
        <f t="shared" si="41"/>
        <v>330.62519251157158</v>
      </c>
      <c r="AS49" s="8">
        <f t="shared" si="42"/>
        <v>57.021742416786843</v>
      </c>
    </row>
    <row r="50" spans="1:45">
      <c r="A50" s="19">
        <v>5.4054000000000002</v>
      </c>
      <c r="B50" s="19">
        <v>867.61384880000003</v>
      </c>
      <c r="C50" s="19">
        <v>-15.458066479999999</v>
      </c>
      <c r="E50" s="9">
        <f t="shared" si="22"/>
        <v>-92.386151199999972</v>
      </c>
      <c r="F50" s="9">
        <f t="shared" si="33"/>
        <v>524.54193352000004</v>
      </c>
      <c r="I50">
        <v>1</v>
      </c>
      <c r="J50">
        <f t="shared" si="23"/>
        <v>0.3397336121393274</v>
      </c>
      <c r="K50">
        <f t="shared" si="34"/>
        <v>1.7451355797060952</v>
      </c>
      <c r="O50">
        <f t="shared" si="35"/>
        <v>-5.7802254879891581E-2</v>
      </c>
      <c r="P50">
        <f t="shared" si="36"/>
        <v>0.32818454002783709</v>
      </c>
      <c r="Q50">
        <f t="shared" si="37"/>
        <v>0.94284346899022276</v>
      </c>
      <c r="R50">
        <f t="shared" si="24"/>
        <v>1</v>
      </c>
      <c r="AG50" s="8">
        <f t="shared" si="25"/>
        <v>0.47462004205507169</v>
      </c>
      <c r="AH50" s="8">
        <f t="shared" si="26"/>
        <v>-0.26685816261881823</v>
      </c>
      <c r="AI50" s="8">
        <f t="shared" si="27"/>
        <v>0.83876250316961032</v>
      </c>
      <c r="AJ50" s="8"/>
      <c r="AK50" s="8"/>
      <c r="AL50" s="8"/>
      <c r="AN50" s="8">
        <f t="shared" si="38"/>
        <v>1.0000000000000002</v>
      </c>
      <c r="AO50" s="8">
        <f t="shared" si="39"/>
        <v>5.7709809051350476</v>
      </c>
      <c r="AP50" s="8">
        <f t="shared" si="40"/>
        <v>0.57578983092879266</v>
      </c>
      <c r="AQ50" s="8"/>
      <c r="AR50" s="8">
        <f t="shared" si="41"/>
        <v>330.65284951482596</v>
      </c>
      <c r="AS50" s="8">
        <f t="shared" si="42"/>
        <v>57.009672801228945</v>
      </c>
    </row>
    <row r="51" spans="1:45">
      <c r="A51" s="19">
        <v>5.4387666670000003</v>
      </c>
      <c r="B51" s="19">
        <v>868.56773050000004</v>
      </c>
      <c r="C51" s="19">
        <v>-15.93067297</v>
      </c>
      <c r="E51" s="9">
        <f t="shared" si="22"/>
        <v>-91.432269499999961</v>
      </c>
      <c r="F51" s="9">
        <f t="shared" si="33"/>
        <v>524.06932702999995</v>
      </c>
      <c r="I51">
        <v>1</v>
      </c>
      <c r="J51">
        <f t="shared" si="23"/>
        <v>0.33935845888313021</v>
      </c>
      <c r="K51">
        <f t="shared" si="34"/>
        <v>1.7435237961273085</v>
      </c>
      <c r="O51">
        <f t="shared" si="35"/>
        <v>-5.7212421318617306E-2</v>
      </c>
      <c r="P51">
        <f t="shared" si="36"/>
        <v>0.32792880787241768</v>
      </c>
      <c r="Q51">
        <f t="shared" si="37"/>
        <v>0.94296841718810287</v>
      </c>
      <c r="R51">
        <f t="shared" si="24"/>
        <v>1</v>
      </c>
      <c r="AG51" s="8">
        <f t="shared" si="25"/>
        <v>0.47505716747528431</v>
      </c>
      <c r="AH51" s="8">
        <f t="shared" si="26"/>
        <v>-0.26637990966987801</v>
      </c>
      <c r="AI51" s="8">
        <f t="shared" si="27"/>
        <v>0.83866705631891092</v>
      </c>
      <c r="AJ51" s="8"/>
      <c r="AK51" s="8"/>
      <c r="AL51" s="8"/>
      <c r="AN51" s="8">
        <f t="shared" si="38"/>
        <v>1</v>
      </c>
      <c r="AO51" s="8">
        <f t="shared" si="39"/>
        <v>5.7721396652140822</v>
      </c>
      <c r="AP51" s="8">
        <f t="shared" si="40"/>
        <v>0.57596510074791751</v>
      </c>
      <c r="AQ51" s="8"/>
      <c r="AR51" s="8">
        <f t="shared" si="41"/>
        <v>330.71924157682287</v>
      </c>
      <c r="AS51" s="8">
        <f t="shared" si="42"/>
        <v>56.999630580317074</v>
      </c>
    </row>
    <row r="52" spans="1:45">
      <c r="A52" s="19">
        <v>5.4721333330000004</v>
      </c>
      <c r="B52" s="19">
        <v>869.40108910000004</v>
      </c>
      <c r="C52" s="19">
        <v>-16.11342965</v>
      </c>
      <c r="E52" s="9">
        <f t="shared" si="22"/>
        <v>-90.598910899999964</v>
      </c>
      <c r="F52" s="9">
        <f t="shared" si="33"/>
        <v>523.88657035000006</v>
      </c>
      <c r="I52">
        <v>1</v>
      </c>
      <c r="J52">
        <f t="shared" si="23"/>
        <v>0.33916633573969729</v>
      </c>
      <c r="K52">
        <f t="shared" si="34"/>
        <v>1.7420387422358363</v>
      </c>
      <c r="O52">
        <f t="shared" si="35"/>
        <v>-5.669449349678319E-2</v>
      </c>
      <c r="P52">
        <f t="shared" si="36"/>
        <v>0.32783488742534295</v>
      </c>
      <c r="Q52">
        <f t="shared" si="37"/>
        <v>0.94303235416074449</v>
      </c>
      <c r="R52">
        <f t="shared" si="24"/>
        <v>1</v>
      </c>
      <c r="AG52" s="8">
        <f t="shared" si="25"/>
        <v>0.47532935395313752</v>
      </c>
      <c r="AH52" s="8">
        <f t="shared" si="26"/>
        <v>-0.26592496371410984</v>
      </c>
      <c r="AI52" s="8">
        <f t="shared" si="27"/>
        <v>0.83865721182384301</v>
      </c>
      <c r="AJ52" s="8"/>
      <c r="AK52" s="8"/>
      <c r="AL52" s="8"/>
      <c r="AN52" s="8">
        <f t="shared" si="38"/>
        <v>1</v>
      </c>
      <c r="AO52" s="8">
        <f t="shared" si="39"/>
        <v>5.773112645003307</v>
      </c>
      <c r="AP52" s="8">
        <f t="shared" si="40"/>
        <v>0.57598317558226053</v>
      </c>
      <c r="AQ52" s="8"/>
      <c r="AR52" s="8">
        <f t="shared" si="41"/>
        <v>330.77498921229699</v>
      </c>
      <c r="AS52" s="8">
        <f t="shared" si="42"/>
        <v>56.998594968593821</v>
      </c>
    </row>
    <row r="53" spans="1:45">
      <c r="A53" s="19">
        <v>5.5054999999999996</v>
      </c>
      <c r="B53" s="19">
        <v>870.11959620000005</v>
      </c>
      <c r="C53" s="19">
        <v>-16.34587857</v>
      </c>
      <c r="E53" s="9">
        <f t="shared" si="22"/>
        <v>-89.880403799999954</v>
      </c>
      <c r="F53" s="9">
        <f t="shared" si="33"/>
        <v>523.65412143000003</v>
      </c>
      <c r="I53">
        <v>1</v>
      </c>
      <c r="J53">
        <f t="shared" si="23"/>
        <v>0.33895728267770986</v>
      </c>
      <c r="K53">
        <f t="shared" si="34"/>
        <v>1.7407807473654713</v>
      </c>
      <c r="O53">
        <f t="shared" si="35"/>
        <v>-5.624868268401155E-2</v>
      </c>
      <c r="P53">
        <f t="shared" si="36"/>
        <v>0.32771163977003609</v>
      </c>
      <c r="Q53">
        <f t="shared" si="37"/>
        <v>0.94310188572367271</v>
      </c>
      <c r="R53">
        <f t="shared" si="24"/>
        <v>1</v>
      </c>
      <c r="AG53" s="8">
        <f t="shared" si="25"/>
        <v>0.47559961724216504</v>
      </c>
      <c r="AH53" s="8">
        <f t="shared" si="26"/>
        <v>-0.2655446219976913</v>
      </c>
      <c r="AI53" s="8">
        <f t="shared" si="27"/>
        <v>0.83862450346219286</v>
      </c>
      <c r="AJ53" s="8"/>
      <c r="AK53" s="8"/>
      <c r="AL53" s="8"/>
      <c r="AN53" s="8">
        <f t="shared" si="38"/>
        <v>1.0000000000000002</v>
      </c>
      <c r="AO53" s="8">
        <f t="shared" si="39"/>
        <v>5.7739642564431666</v>
      </c>
      <c r="AP53" s="8">
        <f t="shared" si="40"/>
        <v>0.57604322565665755</v>
      </c>
      <c r="AQ53" s="8"/>
      <c r="AR53" s="8">
        <f t="shared" si="41"/>
        <v>330.82378295358598</v>
      </c>
      <c r="AS53" s="8">
        <f t="shared" si="42"/>
        <v>56.995154352771422</v>
      </c>
    </row>
    <row r="54" spans="1:45">
      <c r="A54" s="19">
        <v>5.5388666669999997</v>
      </c>
      <c r="B54" s="19">
        <v>870.86232910000001</v>
      </c>
      <c r="C54" s="19">
        <v>-16.65603299</v>
      </c>
      <c r="E54" s="9">
        <f t="shared" si="22"/>
        <v>-89.137670899999989</v>
      </c>
      <c r="F54" s="9">
        <f t="shared" si="33"/>
        <v>523.34396701000003</v>
      </c>
      <c r="I54">
        <v>1</v>
      </c>
      <c r="J54">
        <f t="shared" si="23"/>
        <v>0.33870065321409798</v>
      </c>
      <c r="K54">
        <f t="shared" si="34"/>
        <v>1.7395006851100163</v>
      </c>
      <c r="O54">
        <f t="shared" si="35"/>
        <v>-5.5788505851533089E-2</v>
      </c>
      <c r="P54">
        <f t="shared" si="36"/>
        <v>0.32754477059038761</v>
      </c>
      <c r="Q54">
        <f t="shared" si="37"/>
        <v>0.94318718496051668</v>
      </c>
      <c r="R54">
        <f t="shared" si="24"/>
        <v>1</v>
      </c>
      <c r="AG54" s="8">
        <f t="shared" si="25"/>
        <v>0.4759122080459689</v>
      </c>
      <c r="AH54" s="8">
        <f t="shared" si="26"/>
        <v>-0.26516254150969698</v>
      </c>
      <c r="AI54" s="8">
        <f t="shared" si="27"/>
        <v>0.83856806331563138</v>
      </c>
      <c r="AJ54" s="8"/>
      <c r="AK54" s="8"/>
      <c r="AL54" s="8"/>
      <c r="AN54" s="8">
        <f t="shared" si="38"/>
        <v>1</v>
      </c>
      <c r="AO54" s="8">
        <f t="shared" si="39"/>
        <v>5.7748563156969084</v>
      </c>
      <c r="AP54" s="8">
        <f t="shared" si="40"/>
        <v>0.57614683243750775</v>
      </c>
      <c r="AQ54" s="8"/>
      <c r="AR54" s="8">
        <f t="shared" si="41"/>
        <v>330.87489418390101</v>
      </c>
      <c r="AS54" s="8">
        <f t="shared" si="42"/>
        <v>56.989218121499768</v>
      </c>
    </row>
    <row r="55" spans="1:45">
      <c r="A55" s="19">
        <v>5.5722333329999998</v>
      </c>
      <c r="B55" s="19">
        <v>871.40593820000004</v>
      </c>
      <c r="C55" s="19">
        <v>-16.757992940000001</v>
      </c>
      <c r="E55" s="9">
        <f t="shared" si="22"/>
        <v>-88.594061799999963</v>
      </c>
      <c r="F55" s="9">
        <f t="shared" si="33"/>
        <v>523.24200705999999</v>
      </c>
      <c r="I55">
        <v>1</v>
      </c>
      <c r="J55">
        <f t="shared" si="23"/>
        <v>0.33858656666582509</v>
      </c>
      <c r="K55">
        <f t="shared" si="34"/>
        <v>1.7385231412721456</v>
      </c>
      <c r="O55">
        <f t="shared" si="35"/>
        <v>-5.5450325779135119E-2</v>
      </c>
      <c r="P55">
        <f t="shared" si="36"/>
        <v>0.32749305273195584</v>
      </c>
      <c r="Q55">
        <f t="shared" si="37"/>
        <v>0.94322508542939643</v>
      </c>
      <c r="R55">
        <f t="shared" si="24"/>
        <v>1</v>
      </c>
      <c r="AG55" s="8">
        <f t="shared" si="25"/>
        <v>0.47608136924257782</v>
      </c>
      <c r="AH55" s="8">
        <f t="shared" si="26"/>
        <v>-0.26486277530127472</v>
      </c>
      <c r="AI55" s="8">
        <f t="shared" si="27"/>
        <v>0.83856677737662533</v>
      </c>
      <c r="AJ55" s="8"/>
      <c r="AK55" s="8"/>
      <c r="AL55" s="8"/>
      <c r="AN55" s="8">
        <f t="shared" si="38"/>
        <v>1</v>
      </c>
      <c r="AO55" s="8">
        <f t="shared" si="39"/>
        <v>5.7754881036541352</v>
      </c>
      <c r="AP55" s="8">
        <f t="shared" si="40"/>
        <v>0.57614919283419497</v>
      </c>
      <c r="AQ55" s="8"/>
      <c r="AR55" s="8">
        <f t="shared" si="41"/>
        <v>330.91109296739728</v>
      </c>
      <c r="AS55" s="8">
        <f t="shared" si="42"/>
        <v>56.989082880731615</v>
      </c>
    </row>
    <row r="56" spans="1:45">
      <c r="A56" s="19">
        <v>5.6055999999999999</v>
      </c>
      <c r="B56" s="19">
        <v>872.54532400000005</v>
      </c>
      <c r="C56" s="19">
        <v>-17.748493230000001</v>
      </c>
      <c r="E56" s="9">
        <f t="shared" si="22"/>
        <v>-87.454675999999949</v>
      </c>
      <c r="F56" s="9">
        <f t="shared" si="33"/>
        <v>522.25150676999999</v>
      </c>
      <c r="I56">
        <v>1</v>
      </c>
      <c r="J56">
        <f t="shared" si="23"/>
        <v>0.33789188515593277</v>
      </c>
      <c r="K56">
        <f t="shared" si="34"/>
        <v>1.7367138886055782</v>
      </c>
      <c r="O56">
        <f t="shared" si="35"/>
        <v>-5.4749486560977549E-2</v>
      </c>
      <c r="P56">
        <f t="shared" si="36"/>
        <v>0.32694651857556983</v>
      </c>
      <c r="Q56">
        <f t="shared" si="37"/>
        <v>0.94345559922691857</v>
      </c>
      <c r="R56">
        <f t="shared" si="24"/>
        <v>1</v>
      </c>
      <c r="AG56" s="8">
        <f t="shared" si="25"/>
        <v>0.47680597747556797</v>
      </c>
      <c r="AH56" s="8">
        <f t="shared" si="26"/>
        <v>-0.26435867743523206</v>
      </c>
      <c r="AI56" s="8">
        <f t="shared" si="27"/>
        <v>0.83831411148105062</v>
      </c>
      <c r="AJ56" s="8"/>
      <c r="AK56" s="8"/>
      <c r="AL56" s="8"/>
      <c r="AN56" s="8">
        <f t="shared" si="38"/>
        <v>1.0000000000000002</v>
      </c>
      <c r="AO56" s="8">
        <f t="shared" si="39"/>
        <v>5.7769422720415768</v>
      </c>
      <c r="AP56" s="8">
        <f t="shared" si="40"/>
        <v>0.57661280577436735</v>
      </c>
      <c r="AQ56" s="8"/>
      <c r="AR56" s="8">
        <f t="shared" si="41"/>
        <v>330.99441067869901</v>
      </c>
      <c r="AS56" s="8">
        <f t="shared" si="42"/>
        <v>56.962519815932083</v>
      </c>
    </row>
    <row r="57" spans="1:45">
      <c r="A57" s="19">
        <v>5.638966667</v>
      </c>
      <c r="B57" s="19">
        <v>873.35112319999996</v>
      </c>
      <c r="C57" s="19">
        <v>-18.036675460000001</v>
      </c>
      <c r="E57" s="9">
        <f t="shared" si="22"/>
        <v>-86.648876800000039</v>
      </c>
      <c r="F57" s="9">
        <f t="shared" si="33"/>
        <v>521.96332454000003</v>
      </c>
      <c r="I57">
        <v>1</v>
      </c>
      <c r="J57">
        <f t="shared" si="23"/>
        <v>0.33764348391464249</v>
      </c>
      <c r="K57">
        <f t="shared" si="34"/>
        <v>1.735301813519992</v>
      </c>
      <c r="O57">
        <f t="shared" si="35"/>
        <v>-5.4249378301288759E-2</v>
      </c>
      <c r="P57">
        <f t="shared" si="36"/>
        <v>0.326792301275033</v>
      </c>
      <c r="Q57">
        <f t="shared" si="37"/>
        <v>0.94353791486155536</v>
      </c>
      <c r="R57">
        <f t="shared" si="24"/>
        <v>1</v>
      </c>
      <c r="AG57" s="8">
        <f t="shared" si="25"/>
        <v>0.4771218624590588</v>
      </c>
      <c r="AH57" s="8">
        <f t="shared" si="26"/>
        <v>-0.26393592486786399</v>
      </c>
      <c r="AI57" s="8">
        <f t="shared" si="27"/>
        <v>0.83826759207769941</v>
      </c>
      <c r="AJ57" s="8"/>
      <c r="AK57" s="8"/>
      <c r="AL57" s="8"/>
      <c r="AN57" s="8">
        <f t="shared" si="38"/>
        <v>1</v>
      </c>
      <c r="AO57" s="8">
        <f t="shared" si="39"/>
        <v>5.7779012636073723</v>
      </c>
      <c r="AP57" s="8">
        <f t="shared" si="40"/>
        <v>0.57669812751940286</v>
      </c>
      <c r="AQ57" s="8"/>
      <c r="AR57" s="8">
        <f t="shared" si="41"/>
        <v>331.04935684800773</v>
      </c>
      <c r="AS57" s="8">
        <f t="shared" si="42"/>
        <v>56.957631240040861</v>
      </c>
    </row>
    <row r="58" spans="1:45">
      <c r="A58" s="19">
        <v>5.6723333330000001</v>
      </c>
      <c r="B58" s="19">
        <v>873.7618172</v>
      </c>
      <c r="C58" s="19">
        <v>-18.12446375</v>
      </c>
      <c r="E58" s="9">
        <f t="shared" si="22"/>
        <v>-86.238182800000004</v>
      </c>
      <c r="F58" s="9">
        <f t="shared" si="33"/>
        <v>521.87553624999998</v>
      </c>
      <c r="I58">
        <v>1</v>
      </c>
      <c r="J58">
        <f t="shared" si="23"/>
        <v>0.33755185882169825</v>
      </c>
      <c r="K58">
        <f t="shared" si="34"/>
        <v>1.7345630466325825</v>
      </c>
      <c r="O58">
        <f t="shared" si="35"/>
        <v>-5.3993845241926089E-2</v>
      </c>
      <c r="P58">
        <f t="shared" si="36"/>
        <v>0.32674699332636814</v>
      </c>
      <c r="Q58">
        <f t="shared" si="37"/>
        <v>0.94356826304627761</v>
      </c>
      <c r="R58">
        <f t="shared" si="24"/>
        <v>1</v>
      </c>
      <c r="AG58" s="8">
        <f t="shared" si="25"/>
        <v>0.47725466075825218</v>
      </c>
      <c r="AH58" s="8">
        <f t="shared" si="26"/>
        <v>-0.26371095238597558</v>
      </c>
      <c r="AI58" s="8">
        <f t="shared" si="27"/>
        <v>0.83826280030561273</v>
      </c>
      <c r="AJ58" s="8"/>
      <c r="AK58" s="8"/>
      <c r="AL58" s="8"/>
      <c r="AN58" s="8">
        <f t="shared" si="38"/>
        <v>1.0000000000000002</v>
      </c>
      <c r="AO58" s="8">
        <f t="shared" si="39"/>
        <v>5.7783801874151832</v>
      </c>
      <c r="AP58" s="8">
        <f t="shared" si="40"/>
        <v>0.57670691552506226</v>
      </c>
      <c r="AQ58" s="8"/>
      <c r="AR58" s="8">
        <f t="shared" si="41"/>
        <v>331.07679716090365</v>
      </c>
      <c r="AS58" s="8">
        <f t="shared" si="42"/>
        <v>56.957127724406241</v>
      </c>
    </row>
    <row r="59" spans="1:45">
      <c r="A59" s="19">
        <v>5.7057000000000002</v>
      </c>
      <c r="B59" s="19">
        <v>874.55215080000005</v>
      </c>
      <c r="C59" s="19">
        <v>-18.262190570000001</v>
      </c>
      <c r="E59" s="9">
        <f t="shared" si="22"/>
        <v>-85.447849199999951</v>
      </c>
      <c r="F59" s="9">
        <f t="shared" si="33"/>
        <v>521.73780942999997</v>
      </c>
      <c r="I59">
        <v>1</v>
      </c>
      <c r="J59">
        <f t="shared" si="23"/>
        <v>0.33739436789934962</v>
      </c>
      <c r="K59">
        <f t="shared" si="34"/>
        <v>1.7331306251798819</v>
      </c>
      <c r="O59">
        <f t="shared" si="35"/>
        <v>-5.3501732320092303E-2</v>
      </c>
      <c r="P59">
        <f t="shared" si="36"/>
        <v>0.32667734627304357</v>
      </c>
      <c r="Q59">
        <f t="shared" si="37"/>
        <v>0.94362040888842114</v>
      </c>
      <c r="R59">
        <f t="shared" si="24"/>
        <v>1</v>
      </c>
      <c r="AG59" s="8">
        <f t="shared" si="25"/>
        <v>0.47749526395340147</v>
      </c>
      <c r="AH59" s="8">
        <f t="shared" si="26"/>
        <v>-0.26327294017923508</v>
      </c>
      <c r="AI59" s="8">
        <f t="shared" si="27"/>
        <v>0.83826346208781666</v>
      </c>
      <c r="AJ59" s="8"/>
      <c r="AK59" s="8"/>
      <c r="AL59" s="8"/>
      <c r="AN59" s="8">
        <f t="shared" si="38"/>
        <v>1</v>
      </c>
      <c r="AO59" s="8">
        <f t="shared" si="39"/>
        <v>5.7792967007889127</v>
      </c>
      <c r="AP59" s="8">
        <f t="shared" si="40"/>
        <v>0.57670570183797754</v>
      </c>
      <c r="AQ59" s="8"/>
      <c r="AR59" s="8">
        <f t="shared" si="41"/>
        <v>331.12930950908566</v>
      </c>
      <c r="AS59" s="8">
        <f t="shared" si="42"/>
        <v>56.957197263553844</v>
      </c>
    </row>
    <row r="60" spans="1:45">
      <c r="A60" s="19">
        <v>5.7390666670000003</v>
      </c>
      <c r="B60" s="19">
        <v>875.28408739999998</v>
      </c>
      <c r="C60" s="19">
        <v>-18.51898705</v>
      </c>
      <c r="E60" s="9">
        <f t="shared" si="22"/>
        <v>-84.715912600000024</v>
      </c>
      <c r="F60" s="9">
        <f t="shared" si="33"/>
        <v>521.48101295000004</v>
      </c>
      <c r="I60">
        <v>1</v>
      </c>
      <c r="J60">
        <f t="shared" si="23"/>
        <v>0.33717301368634689</v>
      </c>
      <c r="K60">
        <f t="shared" si="34"/>
        <v>1.7318419872839725</v>
      </c>
      <c r="O60">
        <f t="shared" si="35"/>
        <v>-5.3047224815124451E-2</v>
      </c>
      <c r="P60">
        <f t="shared" si="36"/>
        <v>0.32653983982198759</v>
      </c>
      <c r="Q60">
        <f t="shared" si="37"/>
        <v>0.94369366054268078</v>
      </c>
      <c r="R60">
        <f t="shared" si="24"/>
        <v>1</v>
      </c>
      <c r="AG60" s="8">
        <f t="shared" si="25"/>
        <v>0.47777962100655608</v>
      </c>
      <c r="AH60" s="8">
        <f t="shared" si="26"/>
        <v>-0.26288784649725494</v>
      </c>
      <c r="AI60" s="8">
        <f t="shared" si="27"/>
        <v>0.83822229385460012</v>
      </c>
      <c r="AJ60" s="8"/>
      <c r="AK60" s="8"/>
      <c r="AL60" s="8"/>
      <c r="AN60" s="8">
        <f t="shared" si="38"/>
        <v>1.0000000000000002</v>
      </c>
      <c r="AO60" s="8">
        <f t="shared" si="39"/>
        <v>5.7801668704148481</v>
      </c>
      <c r="AP60" s="8">
        <f t="shared" si="40"/>
        <v>0.57678119873084377</v>
      </c>
      <c r="AQ60" s="8"/>
      <c r="AR60" s="8">
        <f t="shared" si="41"/>
        <v>331.17916655611219</v>
      </c>
      <c r="AS60" s="8">
        <f t="shared" si="42"/>
        <v>56.952871610226261</v>
      </c>
    </row>
    <row r="61" spans="1:45">
      <c r="A61" s="19">
        <v>5.7724333330000004</v>
      </c>
      <c r="B61" s="19">
        <v>876.12477430000001</v>
      </c>
      <c r="C61" s="19">
        <v>-18.831539419999999</v>
      </c>
      <c r="E61" s="9">
        <f t="shared" si="22"/>
        <v>-83.875225699999987</v>
      </c>
      <c r="F61" s="9">
        <f t="shared" si="33"/>
        <v>521.16846057999999</v>
      </c>
      <c r="I61">
        <v>1</v>
      </c>
      <c r="J61">
        <f t="shared" si="23"/>
        <v>0.33690901369082038</v>
      </c>
      <c r="K61">
        <f t="shared" si="34"/>
        <v>1.7303649492096695</v>
      </c>
      <c r="O61">
        <f t="shared" si="35"/>
        <v>-5.2525267859409135E-2</v>
      </c>
      <c r="P61">
        <f t="shared" si="36"/>
        <v>0.32637185489970522</v>
      </c>
      <c r="Q61">
        <f t="shared" si="37"/>
        <v>0.94378096429501224</v>
      </c>
      <c r="R61">
        <f t="shared" si="24"/>
        <v>1</v>
      </c>
      <c r="AG61" s="8">
        <f t="shared" si="25"/>
        <v>0.47811453068014204</v>
      </c>
      <c r="AH61" s="8">
        <f t="shared" si="26"/>
        <v>-0.26244820392784768</v>
      </c>
      <c r="AI61" s="8">
        <f t="shared" si="27"/>
        <v>0.83816909738283385</v>
      </c>
      <c r="AJ61" s="8"/>
      <c r="AK61" s="8"/>
      <c r="AL61" s="8"/>
      <c r="AN61" s="8">
        <f t="shared" si="38"/>
        <v>1</v>
      </c>
      <c r="AO61" s="8">
        <f t="shared" si="39"/>
        <v>5.781169116407904</v>
      </c>
      <c r="AP61" s="8">
        <f t="shared" si="40"/>
        <v>0.57687874079067003</v>
      </c>
      <c r="AQ61" s="8"/>
      <c r="AR61" s="8">
        <f t="shared" si="41"/>
        <v>331.23659102154824</v>
      </c>
      <c r="AS61" s="8">
        <f t="shared" si="42"/>
        <v>56.947282861873198</v>
      </c>
    </row>
    <row r="62" spans="1:45">
      <c r="A62" s="19">
        <v>5.8057999999999996</v>
      </c>
      <c r="B62" s="19">
        <v>877.1250824</v>
      </c>
      <c r="C62" s="19">
        <v>-19.022290420000001</v>
      </c>
      <c r="E62" s="9">
        <f t="shared" si="22"/>
        <v>-82.874917600000003</v>
      </c>
      <c r="F62" s="9">
        <f t="shared" si="33"/>
        <v>520.97770958000001</v>
      </c>
      <c r="I62">
        <v>1</v>
      </c>
      <c r="J62">
        <f t="shared" si="23"/>
        <v>0.33670242552270635</v>
      </c>
      <c r="K62">
        <f t="shared" si="34"/>
        <v>1.7285502751922126</v>
      </c>
      <c r="O62">
        <f t="shared" si="35"/>
        <v>-5.1902291568674548E-2</v>
      </c>
      <c r="P62">
        <f t="shared" si="36"/>
        <v>0.32627407382666823</v>
      </c>
      <c r="Q62">
        <f t="shared" si="37"/>
        <v>0.94384923630761608</v>
      </c>
      <c r="R62">
        <f t="shared" si="24"/>
        <v>1</v>
      </c>
      <c r="AG62" s="8">
        <f t="shared" si="25"/>
        <v>0.47842651993874508</v>
      </c>
      <c r="AH62" s="8">
        <f t="shared" si="26"/>
        <v>-0.2618959753953079</v>
      </c>
      <c r="AI62" s="8">
        <f t="shared" si="27"/>
        <v>0.83816380445056315</v>
      </c>
      <c r="AJ62" s="8"/>
      <c r="AK62" s="8"/>
      <c r="AL62" s="8"/>
      <c r="AN62" s="8">
        <f t="shared" si="38"/>
        <v>1</v>
      </c>
      <c r="AO62" s="8">
        <f t="shared" si="39"/>
        <v>5.7823319275952541</v>
      </c>
      <c r="AP62" s="8">
        <f t="shared" si="40"/>
        <v>0.57688844521191229</v>
      </c>
      <c r="AQ62" s="8"/>
      <c r="AR62" s="8">
        <f t="shared" si="41"/>
        <v>331.30321519495396</v>
      </c>
      <c r="AS62" s="8">
        <f t="shared" si="42"/>
        <v>56.946726839493401</v>
      </c>
    </row>
    <row r="63" spans="1:45">
      <c r="A63" s="19">
        <v>5.8391666669999998</v>
      </c>
      <c r="B63" s="19">
        <v>877.39079589999994</v>
      </c>
      <c r="C63" s="19">
        <v>-19.184890549999999</v>
      </c>
      <c r="E63" s="9">
        <f t="shared" si="22"/>
        <v>-82.609204100000056</v>
      </c>
      <c r="F63" s="9">
        <f t="shared" si="33"/>
        <v>520.81510945000002</v>
      </c>
      <c r="I63">
        <v>1</v>
      </c>
      <c r="J63">
        <f t="shared" si="23"/>
        <v>0.33658178043090359</v>
      </c>
      <c r="K63">
        <f t="shared" si="34"/>
        <v>1.7281010852897598</v>
      </c>
      <c r="O63">
        <f t="shared" si="35"/>
        <v>-5.1737888307999011E-2</v>
      </c>
      <c r="P63">
        <f t="shared" si="36"/>
        <v>0.32618488769391729</v>
      </c>
      <c r="Q63">
        <f t="shared" si="37"/>
        <v>0.94388908773940994</v>
      </c>
      <c r="R63">
        <f t="shared" si="24"/>
        <v>1</v>
      </c>
      <c r="AG63" s="8">
        <f t="shared" si="25"/>
        <v>0.478562748373344</v>
      </c>
      <c r="AH63" s="8">
        <f t="shared" si="26"/>
        <v>-0.26176711497202776</v>
      </c>
      <c r="AI63" s="8">
        <f t="shared" si="27"/>
        <v>0.8381262872554307</v>
      </c>
      <c r="AJ63" s="8"/>
      <c r="AK63" s="8"/>
      <c r="AL63" s="8"/>
      <c r="AN63" s="8">
        <f t="shared" si="38"/>
        <v>1</v>
      </c>
      <c r="AO63" s="8">
        <f t="shared" si="39"/>
        <v>5.782659066118895</v>
      </c>
      <c r="AP63" s="8">
        <f t="shared" si="40"/>
        <v>0.57695722763563795</v>
      </c>
      <c r="AQ63" s="8"/>
      <c r="AR63" s="8">
        <f t="shared" si="41"/>
        <v>331.32195885167476</v>
      </c>
      <c r="AS63" s="8">
        <f t="shared" si="42"/>
        <v>56.942785896909243</v>
      </c>
    </row>
    <row r="64" spans="1:45">
      <c r="A64" s="19">
        <v>5.8725333329999998</v>
      </c>
      <c r="B64" s="19">
        <v>878.29749479999998</v>
      </c>
      <c r="C64" s="19">
        <v>-19.823764199999999</v>
      </c>
      <c r="E64" s="9">
        <f t="shared" si="22"/>
        <v>-81.702505200000019</v>
      </c>
      <c r="F64" s="9">
        <f t="shared" si="33"/>
        <v>520.17623579999997</v>
      </c>
      <c r="I64">
        <v>1</v>
      </c>
      <c r="J64">
        <f t="shared" si="23"/>
        <v>0.33612097667211949</v>
      </c>
      <c r="K64">
        <f t="shared" si="34"/>
        <v>1.7265904689332026</v>
      </c>
      <c r="O64">
        <f t="shared" si="35"/>
        <v>-5.1177595290681145E-2</v>
      </c>
      <c r="P64">
        <f t="shared" si="36"/>
        <v>0.3258329571466107</v>
      </c>
      <c r="Q64">
        <f t="shared" si="37"/>
        <v>0.94404117377228747</v>
      </c>
      <c r="R64">
        <f t="shared" ref="R64:R90" si="43">SQRT(O64^2+P64^2+Q64^2)</f>
        <v>1</v>
      </c>
      <c r="AG64" s="8">
        <f t="shared" si="25"/>
        <v>0.47906763022945031</v>
      </c>
      <c r="AH64" s="8">
        <f t="shared" si="26"/>
        <v>-0.26134065278686142</v>
      </c>
      <c r="AI64" s="8">
        <f t="shared" si="27"/>
        <v>0.8379709236407169</v>
      </c>
      <c r="AJ64" s="8"/>
      <c r="AK64" s="8"/>
      <c r="AL64" s="8"/>
      <c r="AN64" s="8">
        <f t="shared" si="38"/>
        <v>1.0000000000000004</v>
      </c>
      <c r="AO64" s="8">
        <f t="shared" si="39"/>
        <v>5.7837886571767267</v>
      </c>
      <c r="AP64" s="8">
        <f t="shared" si="40"/>
        <v>0.57724198730960519</v>
      </c>
      <c r="AQ64" s="8"/>
      <c r="AR64" s="8">
        <f t="shared" si="41"/>
        <v>331.3866796518642</v>
      </c>
      <c r="AS64" s="8">
        <f t="shared" si="42"/>
        <v>56.926470369415398</v>
      </c>
    </row>
    <row r="65" spans="1:45">
      <c r="A65" s="19">
        <v>5.9058999999999999</v>
      </c>
      <c r="B65" s="19">
        <v>879.0364826</v>
      </c>
      <c r="C65" s="19">
        <v>-20.274680929999999</v>
      </c>
      <c r="E65" s="9">
        <f t="shared" si="22"/>
        <v>-80.963517400000001</v>
      </c>
      <c r="F65" s="9">
        <f t="shared" si="33"/>
        <v>519.72531906999995</v>
      </c>
      <c r="I65">
        <v>1</v>
      </c>
      <c r="J65">
        <f t="shared" si="23"/>
        <v>0.3357869852920381</v>
      </c>
      <c r="K65">
        <f t="shared" si="34"/>
        <v>1.7253355654734228</v>
      </c>
      <c r="O65">
        <f t="shared" si="35"/>
        <v>-5.0720130612979399E-2</v>
      </c>
      <c r="P65">
        <f t="shared" si="36"/>
        <v>0.32558536131611804</v>
      </c>
      <c r="Q65">
        <f t="shared" si="37"/>
        <v>0.94415128069989673</v>
      </c>
      <c r="R65">
        <f t="shared" si="43"/>
        <v>1</v>
      </c>
      <c r="AG65" s="8">
        <f t="shared" si="25"/>
        <v>0.47944578173049129</v>
      </c>
      <c r="AH65" s="8">
        <f t="shared" si="26"/>
        <v>-0.26098177039262976</v>
      </c>
      <c r="AI65" s="8">
        <f t="shared" si="27"/>
        <v>0.8378664916939732</v>
      </c>
      <c r="AJ65" s="8"/>
      <c r="AK65" s="8"/>
      <c r="AL65" s="8"/>
      <c r="AN65" s="8">
        <f t="shared" si="38"/>
        <v>1</v>
      </c>
      <c r="AO65" s="8">
        <f t="shared" si="39"/>
        <v>5.7846975608470856</v>
      </c>
      <c r="AP65" s="8">
        <f t="shared" si="40"/>
        <v>0.57743332643506884</v>
      </c>
      <c r="AQ65" s="8"/>
      <c r="AR65" s="8">
        <f t="shared" si="41"/>
        <v>331.43875599615973</v>
      </c>
      <c r="AS65" s="8">
        <f t="shared" si="42"/>
        <v>56.915507445070602</v>
      </c>
    </row>
    <row r="66" spans="1:45">
      <c r="A66" s="19">
        <v>5.9392666670000001</v>
      </c>
      <c r="B66" s="19">
        <v>879.57607770000004</v>
      </c>
      <c r="C66" s="19">
        <v>-20.492668009999999</v>
      </c>
      <c r="E66" s="9">
        <f t="shared" si="22"/>
        <v>-80.423922299999958</v>
      </c>
      <c r="F66" s="9">
        <f t="shared" si="33"/>
        <v>519.50733199000001</v>
      </c>
      <c r="I66">
        <v>1</v>
      </c>
      <c r="J66">
        <f t="shared" si="23"/>
        <v>0.33560900568966745</v>
      </c>
      <c r="K66">
        <f t="shared" si="34"/>
        <v>1.7243851847889686</v>
      </c>
      <c r="O66">
        <f t="shared" si="35"/>
        <v>-5.0384969246856572E-2</v>
      </c>
      <c r="P66">
        <f t="shared" si="36"/>
        <v>0.32546735097291662</v>
      </c>
      <c r="Q66">
        <f t="shared" si="37"/>
        <v>0.94420991221479222</v>
      </c>
      <c r="R66">
        <f t="shared" si="43"/>
        <v>1</v>
      </c>
      <c r="AG66" s="8">
        <f t="shared" si="25"/>
        <v>0.47966878528091472</v>
      </c>
      <c r="AH66" s="8">
        <f t="shared" si="26"/>
        <v>-0.26070190343379418</v>
      </c>
      <c r="AI66" s="8">
        <f t="shared" si="27"/>
        <v>0.83782598072220726</v>
      </c>
      <c r="AJ66" s="8"/>
      <c r="AK66" s="8"/>
      <c r="AL66" s="8"/>
      <c r="AN66" s="8">
        <f t="shared" si="38"/>
        <v>1</v>
      </c>
      <c r="AO66" s="8">
        <f t="shared" si="39"/>
        <v>5.7853431047235961</v>
      </c>
      <c r="AP66" s="8">
        <f t="shared" si="40"/>
        <v>0.57750753508975283</v>
      </c>
      <c r="AQ66" s="8"/>
      <c r="AR66" s="8">
        <f t="shared" si="41"/>
        <v>331.47574293577429</v>
      </c>
      <c r="AS66" s="8">
        <f t="shared" si="42"/>
        <v>56.911255602353869</v>
      </c>
    </row>
    <row r="67" spans="1:45">
      <c r="A67" s="19">
        <v>5.9726333330000001</v>
      </c>
      <c r="B67" s="19">
        <v>880.539399</v>
      </c>
      <c r="C67" s="19">
        <v>-20.83016769</v>
      </c>
      <c r="E67" s="9">
        <f t="shared" si="22"/>
        <v>-79.460600999999997</v>
      </c>
      <c r="F67" s="9">
        <f t="shared" si="33"/>
        <v>519.16983230999995</v>
      </c>
      <c r="I67">
        <v>1</v>
      </c>
      <c r="J67">
        <f t="shared" si="23"/>
        <v>0.3353224061811424</v>
      </c>
      <c r="K67">
        <f t="shared" si="34"/>
        <v>1.7226709373856406</v>
      </c>
      <c r="O67">
        <f t="shared" si="35"/>
        <v>-4.9786020892906312E-2</v>
      </c>
      <c r="P67">
        <f t="shared" si="36"/>
        <v>0.32528573649162762</v>
      </c>
      <c r="Q67">
        <f t="shared" si="37"/>
        <v>0.94430426333822648</v>
      </c>
      <c r="R67">
        <f t="shared" si="43"/>
        <v>1</v>
      </c>
      <c r="AG67" s="8">
        <f t="shared" si="25"/>
        <v>0.4800421598872433</v>
      </c>
      <c r="AH67" s="8">
        <f t="shared" si="26"/>
        <v>-0.26019387868322363</v>
      </c>
      <c r="AI67" s="8">
        <f t="shared" si="27"/>
        <v>0.8377700580866867</v>
      </c>
      <c r="AJ67" s="8"/>
      <c r="AK67" s="8"/>
      <c r="AL67" s="8"/>
      <c r="AN67" s="8">
        <f t="shared" si="38"/>
        <v>1.0000000000000002</v>
      </c>
      <c r="AO67" s="8">
        <f t="shared" si="39"/>
        <v>5.7864871150607318</v>
      </c>
      <c r="AP67" s="8">
        <f t="shared" si="40"/>
        <v>0.57760996119668528</v>
      </c>
      <c r="AQ67" s="8"/>
      <c r="AR67" s="8">
        <f t="shared" si="41"/>
        <v>331.54128989981149</v>
      </c>
      <c r="AS67" s="8">
        <f t="shared" si="42"/>
        <v>56.905387018714684</v>
      </c>
    </row>
    <row r="68" spans="1:45">
      <c r="A68" s="19">
        <v>6.0060000000000002</v>
      </c>
      <c r="B68" s="19">
        <v>881.35566940000001</v>
      </c>
      <c r="C68" s="19">
        <v>-21.068707929999999</v>
      </c>
      <c r="E68" s="9">
        <f t="shared" si="22"/>
        <v>-78.644330599999989</v>
      </c>
      <c r="F68" s="9">
        <f t="shared" si="33"/>
        <v>518.93129207000004</v>
      </c>
      <c r="I68">
        <v>1</v>
      </c>
      <c r="J68">
        <f t="shared" si="23"/>
        <v>0.33510824082734253</v>
      </c>
      <c r="K68">
        <f t="shared" si="34"/>
        <v>1.7212023735388808</v>
      </c>
      <c r="O68">
        <f t="shared" si="35"/>
        <v>-4.9277960224177304E-2</v>
      </c>
      <c r="P68">
        <f t="shared" si="36"/>
        <v>0.32515853812488826</v>
      </c>
      <c r="Q68">
        <f t="shared" si="37"/>
        <v>0.94437471785336879</v>
      </c>
      <c r="R68">
        <f t="shared" si="43"/>
        <v>1</v>
      </c>
      <c r="AG68" s="8">
        <f t="shared" si="25"/>
        <v>0.48033580023442279</v>
      </c>
      <c r="AH68" s="8">
        <f t="shared" si="26"/>
        <v>-0.25975570205023102</v>
      </c>
      <c r="AI68" s="8">
        <f t="shared" si="27"/>
        <v>0.83773772403154201</v>
      </c>
      <c r="AJ68" s="8"/>
      <c r="AK68" s="8"/>
      <c r="AL68" s="8"/>
      <c r="AN68" s="8">
        <f t="shared" si="38"/>
        <v>0.99999999999999978</v>
      </c>
      <c r="AO68" s="8">
        <f t="shared" si="39"/>
        <v>5.7874488088770235</v>
      </c>
      <c r="AP68" s="8">
        <f t="shared" si="40"/>
        <v>0.57766917587231459</v>
      </c>
      <c r="AQ68" s="8"/>
      <c r="AR68" s="8">
        <f t="shared" si="41"/>
        <v>331.59639089666888</v>
      </c>
      <c r="AS68" s="8">
        <f t="shared" si="42"/>
        <v>56.901994267715885</v>
      </c>
    </row>
    <row r="69" spans="1:45">
      <c r="A69" s="19">
        <v>6.0393666670000004</v>
      </c>
      <c r="B69" s="19">
        <v>882.81704779999995</v>
      </c>
      <c r="C69" s="19">
        <v>-20.76923077</v>
      </c>
      <c r="E69" s="9">
        <f t="shared" si="22"/>
        <v>-77.182952200000045</v>
      </c>
      <c r="F69" s="9">
        <f t="shared" si="33"/>
        <v>519.23076922999996</v>
      </c>
      <c r="I69">
        <v>1</v>
      </c>
      <c r="J69">
        <f t="shared" si="23"/>
        <v>0.33515555007214715</v>
      </c>
      <c r="K69">
        <f t="shared" si="34"/>
        <v>1.7183643981412298</v>
      </c>
      <c r="O69">
        <f t="shared" si="35"/>
        <v>-4.8361540125285214E-2</v>
      </c>
      <c r="P69">
        <f t="shared" si="36"/>
        <v>0.32534126986139528</v>
      </c>
      <c r="Q69">
        <f t="shared" si="37"/>
        <v>0.94435915813936233</v>
      </c>
      <c r="R69">
        <f t="shared" si="43"/>
        <v>1</v>
      </c>
      <c r="AG69" s="8">
        <f t="shared" si="25"/>
        <v>0.48051450549521635</v>
      </c>
      <c r="AH69" s="8">
        <f t="shared" si="26"/>
        <v>-0.25885542934348016</v>
      </c>
      <c r="AI69" s="8">
        <f t="shared" si="27"/>
        <v>0.83791388382583221</v>
      </c>
      <c r="AJ69" s="8"/>
      <c r="AK69" s="8"/>
      <c r="AL69" s="8"/>
      <c r="AN69" s="8">
        <f t="shared" si="38"/>
        <v>1</v>
      </c>
      <c r="AO69" s="8">
        <f t="shared" si="39"/>
        <v>5.7890554404382781</v>
      </c>
      <c r="AP69" s="8">
        <f t="shared" si="40"/>
        <v>0.57734650203016558</v>
      </c>
      <c r="AQ69" s="8"/>
      <c r="AR69" s="8">
        <f t="shared" si="41"/>
        <v>331.68844410436128</v>
      </c>
      <c r="AS69" s="8">
        <f t="shared" si="42"/>
        <v>56.920482117030296</v>
      </c>
    </row>
    <row r="70" spans="1:45">
      <c r="A70" s="19">
        <v>6.0727333330000004</v>
      </c>
      <c r="B70" s="19">
        <v>882.76771410000003</v>
      </c>
      <c r="C70" s="19">
        <v>-21.23707521</v>
      </c>
      <c r="E70" s="9">
        <f t="shared" si="22"/>
        <v>-77.232285899999965</v>
      </c>
      <c r="F70" s="9">
        <f t="shared" si="33"/>
        <v>518.76292478999994</v>
      </c>
      <c r="I70">
        <v>1</v>
      </c>
      <c r="J70">
        <f t="shared" si="23"/>
        <v>0.33488357563503546</v>
      </c>
      <c r="K70">
        <f t="shared" si="34"/>
        <v>1.7185885935614262</v>
      </c>
      <c r="O70">
        <f t="shared" si="35"/>
        <v>-4.8396655982925557E-2</v>
      </c>
      <c r="P70">
        <f t="shared" si="36"/>
        <v>0.32507636560525466</v>
      </c>
      <c r="Q70">
        <f t="shared" si="37"/>
        <v>0.9444485799738116</v>
      </c>
      <c r="R70">
        <f t="shared" si="43"/>
        <v>1</v>
      </c>
      <c r="AG70" s="8">
        <f t="shared" si="25"/>
        <v>0.48072694213199751</v>
      </c>
      <c r="AH70" s="8">
        <f t="shared" si="26"/>
        <v>-0.25895857574415349</v>
      </c>
      <c r="AI70" s="8">
        <f t="shared" si="27"/>
        <v>0.83776014655567055</v>
      </c>
      <c r="AJ70" s="8"/>
      <c r="AK70" s="8"/>
      <c r="AL70" s="8"/>
      <c r="AN70" s="8">
        <f t="shared" si="38"/>
        <v>1</v>
      </c>
      <c r="AO70" s="8">
        <f t="shared" si="39"/>
        <v>5.789073650187154</v>
      </c>
      <c r="AP70" s="8">
        <f t="shared" si="40"/>
        <v>0.57762811315997609</v>
      </c>
      <c r="AQ70" s="8"/>
      <c r="AR70" s="8">
        <f t="shared" si="41"/>
        <v>331.68948744611782</v>
      </c>
      <c r="AS70" s="8">
        <f t="shared" si="42"/>
        <v>56.904346987828248</v>
      </c>
    </row>
    <row r="71" spans="1:45">
      <c r="A71" s="19">
        <v>6.1060999999999996</v>
      </c>
      <c r="B71" s="19">
        <v>883.67847559999996</v>
      </c>
      <c r="C71" s="19">
        <v>-21.885033549999999</v>
      </c>
      <c r="E71" s="9">
        <f t="shared" si="22"/>
        <v>-76.321524400000044</v>
      </c>
      <c r="F71" s="9">
        <f t="shared" si="33"/>
        <v>518.11496645</v>
      </c>
      <c r="I71">
        <v>1</v>
      </c>
      <c r="J71">
        <f t="shared" si="23"/>
        <v>0.33442107502713858</v>
      </c>
      <c r="K71">
        <f t="shared" si="34"/>
        <v>1.7170506733115585</v>
      </c>
      <c r="O71">
        <f t="shared" si="35"/>
        <v>-4.7832994735895737E-2</v>
      </c>
      <c r="P71">
        <f t="shared" si="36"/>
        <v>0.3247182319486227</v>
      </c>
      <c r="Q71">
        <f t="shared" si="37"/>
        <v>0.94460048404325747</v>
      </c>
      <c r="R71">
        <f t="shared" si="43"/>
        <v>1</v>
      </c>
      <c r="AG71" s="8">
        <f t="shared" si="25"/>
        <v>0.48123650241439186</v>
      </c>
      <c r="AH71" s="8">
        <f t="shared" si="26"/>
        <v>-0.25852992724660367</v>
      </c>
      <c r="AI71" s="8">
        <f t="shared" si="27"/>
        <v>0.83759996744378462</v>
      </c>
      <c r="AJ71" s="8"/>
      <c r="AK71" s="8"/>
      <c r="AL71" s="8"/>
      <c r="AN71" s="8">
        <f t="shared" si="38"/>
        <v>1.0000000000000002</v>
      </c>
      <c r="AO71" s="8">
        <f t="shared" si="39"/>
        <v>5.7902068279522361</v>
      </c>
      <c r="AP71" s="8">
        <f t="shared" si="40"/>
        <v>0.57792139488498029</v>
      </c>
      <c r="AQ71" s="8"/>
      <c r="AR71" s="8">
        <f t="shared" si="41"/>
        <v>331.75441374949509</v>
      </c>
      <c r="AS71" s="8">
        <f t="shared" si="42"/>
        <v>56.887543182777186</v>
      </c>
    </row>
    <row r="72" spans="1:45">
      <c r="A72" s="19">
        <v>6.1394666669999998</v>
      </c>
      <c r="B72" s="19">
        <v>884.50103950000005</v>
      </c>
      <c r="C72" s="19">
        <v>-22.172557170000001</v>
      </c>
      <c r="E72" s="9">
        <f t="shared" si="22"/>
        <v>-75.498960499999953</v>
      </c>
      <c r="F72" s="9">
        <f t="shared" si="33"/>
        <v>517.82744283</v>
      </c>
      <c r="I72">
        <v>1</v>
      </c>
      <c r="J72">
        <f t="shared" si="23"/>
        <v>0.33417987471963889</v>
      </c>
      <c r="K72">
        <f t="shared" si="34"/>
        <v>1.7155756549721957</v>
      </c>
      <c r="O72">
        <f t="shared" si="35"/>
        <v>-4.7321105045472094E-2</v>
      </c>
      <c r="P72">
        <f t="shared" si="36"/>
        <v>0.32456296954693392</v>
      </c>
      <c r="Q72">
        <f t="shared" si="37"/>
        <v>0.94467962390227911</v>
      </c>
      <c r="R72">
        <f t="shared" si="43"/>
        <v>1</v>
      </c>
      <c r="AG72" s="8">
        <f t="shared" si="25"/>
        <v>0.48155453825303984</v>
      </c>
      <c r="AH72" s="8">
        <f t="shared" si="26"/>
        <v>-0.2580953280735146</v>
      </c>
      <c r="AI72" s="8">
        <f t="shared" si="27"/>
        <v>0.83755120936843408</v>
      </c>
      <c r="AJ72" s="8"/>
      <c r="AK72" s="8"/>
      <c r="AL72" s="8"/>
      <c r="AN72" s="8">
        <f t="shared" si="38"/>
        <v>1</v>
      </c>
      <c r="AO72" s="8">
        <f t="shared" si="39"/>
        <v>5.791183038680046</v>
      </c>
      <c r="AP72" s="8">
        <f t="shared" si="40"/>
        <v>0.57801064284496928</v>
      </c>
      <c r="AQ72" s="8"/>
      <c r="AR72" s="8">
        <f t="shared" si="41"/>
        <v>331.81034650411402</v>
      </c>
      <c r="AS72" s="8">
        <f t="shared" si="42"/>
        <v>56.882429651339663</v>
      </c>
    </row>
    <row r="73" spans="1:45">
      <c r="A73" s="19">
        <v>6.1728333329999998</v>
      </c>
      <c r="B73" s="19">
        <v>885.09234800000002</v>
      </c>
      <c r="C73" s="19">
        <v>-22.34097809</v>
      </c>
      <c r="E73" s="9">
        <f t="shared" si="22"/>
        <v>-74.907651999999985</v>
      </c>
      <c r="F73" s="9">
        <f t="shared" si="33"/>
        <v>517.65902190999998</v>
      </c>
      <c r="I73">
        <v>1</v>
      </c>
      <c r="J73">
        <f t="shared" si="23"/>
        <v>0.33402951187768287</v>
      </c>
      <c r="K73">
        <f t="shared" si="34"/>
        <v>1.7145034387520302</v>
      </c>
      <c r="O73">
        <f t="shared" si="35"/>
        <v>-4.6952733051601796E-2</v>
      </c>
      <c r="P73">
        <f t="shared" si="36"/>
        <v>0.32447293725737864</v>
      </c>
      <c r="Q73">
        <f t="shared" si="37"/>
        <v>0.94472893141183845</v>
      </c>
      <c r="R73">
        <f t="shared" si="43"/>
        <v>1</v>
      </c>
      <c r="AG73" s="8">
        <f t="shared" si="25"/>
        <v>0.4817648320134037</v>
      </c>
      <c r="AH73" s="8">
        <f t="shared" si="26"/>
        <v>-0.25777675238843445</v>
      </c>
      <c r="AI73" s="8">
        <f t="shared" si="27"/>
        <v>0.83752838313884537</v>
      </c>
      <c r="AJ73" s="8"/>
      <c r="AK73" s="8"/>
      <c r="AL73" s="8"/>
      <c r="AN73" s="8">
        <f t="shared" si="38"/>
        <v>0.99999999999999989</v>
      </c>
      <c r="AO73" s="8">
        <f t="shared" si="39"/>
        <v>5.7918787457982353</v>
      </c>
      <c r="AP73" s="8">
        <f t="shared" si="40"/>
        <v>0.57805242033149784</v>
      </c>
      <c r="AQ73" s="8"/>
      <c r="AR73" s="8">
        <f t="shared" si="41"/>
        <v>331.85020758576348</v>
      </c>
      <c r="AS73" s="8">
        <f t="shared" si="42"/>
        <v>56.880035977682915</v>
      </c>
    </row>
    <row r="74" spans="1:45">
      <c r="A74" s="19">
        <v>6.2061999999999999</v>
      </c>
      <c r="B74" s="19">
        <v>885.59398229999999</v>
      </c>
      <c r="C74" s="19">
        <v>-22.85179647</v>
      </c>
      <c r="E74" s="9">
        <f t="shared" si="22"/>
        <v>-74.406017700000007</v>
      </c>
      <c r="F74" s="9">
        <f t="shared" si="33"/>
        <v>517.14820353000005</v>
      </c>
      <c r="I74">
        <v>1</v>
      </c>
      <c r="J74">
        <f t="shared" si="23"/>
        <v>0.3336845860916331</v>
      </c>
      <c r="K74">
        <f t="shared" si="34"/>
        <v>1.713693239482321</v>
      </c>
      <c r="O74">
        <f t="shared" si="35"/>
        <v>-4.6643420882404966E-2</v>
      </c>
      <c r="P74">
        <f t="shared" si="36"/>
        <v>0.32418831247071872</v>
      </c>
      <c r="Q74">
        <f t="shared" si="37"/>
        <v>0.94484195998366538</v>
      </c>
      <c r="R74">
        <f t="shared" si="43"/>
        <v>1</v>
      </c>
      <c r="AG74" s="8">
        <f t="shared" si="25"/>
        <v>0.48211887007898813</v>
      </c>
      <c r="AH74" s="8">
        <f t="shared" si="26"/>
        <v>-0.25756478855466441</v>
      </c>
      <c r="AI74" s="8">
        <f t="shared" si="27"/>
        <v>0.83738985831603596</v>
      </c>
      <c r="AJ74" s="8"/>
      <c r="AK74" s="8"/>
      <c r="AL74" s="8"/>
      <c r="AN74" s="8">
        <f t="shared" si="38"/>
        <v>1</v>
      </c>
      <c r="AO74" s="8">
        <f t="shared" si="39"/>
        <v>5.7925262315566446</v>
      </c>
      <c r="AP74" s="8">
        <f t="shared" si="40"/>
        <v>0.57830589669470489</v>
      </c>
      <c r="AQ74" s="8"/>
      <c r="AR74" s="8">
        <f t="shared" si="41"/>
        <v>331.88730578701512</v>
      </c>
      <c r="AS74" s="8">
        <f t="shared" si="42"/>
        <v>56.865512851864828</v>
      </c>
    </row>
    <row r="75" spans="1:45">
      <c r="A75" s="19">
        <v>6.2395666670000001</v>
      </c>
      <c r="B75" s="19">
        <v>886.58026040000004</v>
      </c>
      <c r="C75" s="19">
        <v>-22.871709370000001</v>
      </c>
      <c r="E75" s="9">
        <f t="shared" si="22"/>
        <v>-73.419739599999957</v>
      </c>
      <c r="F75" s="9">
        <f t="shared" si="33"/>
        <v>517.12829063000004</v>
      </c>
      <c r="I75">
        <v>1</v>
      </c>
      <c r="J75">
        <f t="shared" si="23"/>
        <v>0.33358940454240898</v>
      </c>
      <c r="K75">
        <f t="shared" si="34"/>
        <v>1.7118296288513914</v>
      </c>
      <c r="O75">
        <f t="shared" si="35"/>
        <v>-4.6026537905594293E-2</v>
      </c>
      <c r="P75">
        <f t="shared" si="36"/>
        <v>0.3241856345502061</v>
      </c>
      <c r="Q75">
        <f t="shared" si="37"/>
        <v>0.94487313019246399</v>
      </c>
      <c r="R75">
        <f t="shared" si="43"/>
        <v>1</v>
      </c>
      <c r="AG75" s="8">
        <f t="shared" si="25"/>
        <v>0.48234482560014585</v>
      </c>
      <c r="AH75" s="8">
        <f t="shared" si="26"/>
        <v>-0.25699176349032293</v>
      </c>
      <c r="AI75" s="8">
        <f t="shared" si="27"/>
        <v>0.83743579020417958</v>
      </c>
      <c r="AJ75" s="8"/>
      <c r="AK75" s="8"/>
      <c r="AL75" s="8"/>
      <c r="AN75" s="8">
        <f t="shared" si="38"/>
        <v>0.99999999999999989</v>
      </c>
      <c r="AO75" s="8">
        <f t="shared" si="39"/>
        <v>5.7936458162206934</v>
      </c>
      <c r="AP75" s="8">
        <f t="shared" si="40"/>
        <v>0.57822186022798094</v>
      </c>
      <c r="AQ75" s="8"/>
      <c r="AR75" s="8">
        <f t="shared" si="41"/>
        <v>331.95145326307272</v>
      </c>
      <c r="AS75" s="8">
        <f t="shared" si="42"/>
        <v>56.870327786733299</v>
      </c>
    </row>
    <row r="76" spans="1:45">
      <c r="A76" s="19">
        <v>6.2729333330000001</v>
      </c>
      <c r="B76" s="19">
        <v>887.15598609999995</v>
      </c>
      <c r="C76" s="19">
        <v>-23.181673719999999</v>
      </c>
      <c r="E76" s="9">
        <f t="shared" si="22"/>
        <v>-72.84401390000005</v>
      </c>
      <c r="F76" s="9">
        <f t="shared" si="33"/>
        <v>516.81832627999995</v>
      </c>
      <c r="I76">
        <v>1</v>
      </c>
      <c r="J76">
        <f t="shared" si="23"/>
        <v>0.33335776108293685</v>
      </c>
      <c r="K76">
        <f t="shared" si="34"/>
        <v>1.7108209832052794</v>
      </c>
      <c r="O76">
        <f t="shared" si="35"/>
        <v>-4.5668977234546708E-2</v>
      </c>
      <c r="P76">
        <f t="shared" si="36"/>
        <v>0.32401515393810348</v>
      </c>
      <c r="Q76">
        <f t="shared" si="37"/>
        <v>0.94494895340267859</v>
      </c>
      <c r="R76">
        <f t="shared" si="43"/>
        <v>1</v>
      </c>
      <c r="AG76" s="8">
        <f t="shared" si="25"/>
        <v>0.48261911708591154</v>
      </c>
      <c r="AH76" s="8">
        <f t="shared" si="26"/>
        <v>-0.25670446915262474</v>
      </c>
      <c r="AI76" s="8">
        <f t="shared" si="27"/>
        <v>0.83736587185070088</v>
      </c>
      <c r="AJ76" s="8"/>
      <c r="AK76" s="8"/>
      <c r="AL76" s="8"/>
      <c r="AN76" s="8">
        <f t="shared" si="38"/>
        <v>1</v>
      </c>
      <c r="AO76" s="8">
        <f t="shared" si="39"/>
        <v>5.7943455943637288</v>
      </c>
      <c r="AP76" s="8">
        <f t="shared" si="40"/>
        <v>0.57834977776237084</v>
      </c>
      <c r="AQ76" s="8"/>
      <c r="AR76" s="8">
        <f t="shared" si="41"/>
        <v>331.99154759726417</v>
      </c>
      <c r="AS76" s="8">
        <f t="shared" si="42"/>
        <v>56.86299865188704</v>
      </c>
    </row>
    <row r="77" spans="1:45">
      <c r="A77" s="19">
        <v>6.3063000000000002</v>
      </c>
      <c r="B77" s="19">
        <v>888.19874270000003</v>
      </c>
      <c r="C77" s="19">
        <v>-23.64517657</v>
      </c>
      <c r="E77" s="9">
        <f t="shared" si="22"/>
        <v>-71.801257299999975</v>
      </c>
      <c r="F77" s="9">
        <f t="shared" si="33"/>
        <v>516.35482343000001</v>
      </c>
      <c r="I77">
        <v>1</v>
      </c>
      <c r="J77">
        <f t="shared" si="23"/>
        <v>0.33299690817610927</v>
      </c>
      <c r="K77">
        <f t="shared" si="34"/>
        <v>1.7089644351733939</v>
      </c>
      <c r="O77">
        <f t="shared" si="35"/>
        <v>-4.5020382397027103E-2</v>
      </c>
      <c r="P77">
        <f t="shared" si="36"/>
        <v>0.32376162309024153</v>
      </c>
      <c r="Q77">
        <f t="shared" si="37"/>
        <v>0.94506696936396939</v>
      </c>
      <c r="R77">
        <f t="shared" si="43"/>
        <v>1</v>
      </c>
      <c r="AG77" s="8">
        <f t="shared" si="25"/>
        <v>0.48306905187438154</v>
      </c>
      <c r="AH77" s="8">
        <f t="shared" si="26"/>
        <v>-0.25616840891359927</v>
      </c>
      <c r="AI77" s="8">
        <f t="shared" si="27"/>
        <v>0.83727058791997533</v>
      </c>
      <c r="AJ77" s="8"/>
      <c r="AK77" s="8"/>
      <c r="AL77" s="8"/>
      <c r="AN77" s="8">
        <f t="shared" si="38"/>
        <v>1</v>
      </c>
      <c r="AO77" s="8">
        <f t="shared" si="39"/>
        <v>5.7955975702099591</v>
      </c>
      <c r="AP77" s="8">
        <f t="shared" si="40"/>
        <v>0.57852406196845252</v>
      </c>
      <c r="AQ77" s="8"/>
      <c r="AR77" s="8">
        <f t="shared" si="41"/>
        <v>332.06328052930547</v>
      </c>
      <c r="AS77" s="8">
        <f t="shared" si="42"/>
        <v>56.853012902442771</v>
      </c>
    </row>
    <row r="78" spans="1:45">
      <c r="A78" s="19">
        <v>6.3396666670000004</v>
      </c>
      <c r="B78" s="19">
        <v>888.87459990000002</v>
      </c>
      <c r="C78" s="19">
        <v>-23.880386430000001</v>
      </c>
      <c r="E78" s="9">
        <f t="shared" si="22"/>
        <v>-71.125400099999979</v>
      </c>
      <c r="F78" s="9">
        <f t="shared" si="33"/>
        <v>516.11961356999996</v>
      </c>
      <c r="I78">
        <v>1</v>
      </c>
      <c r="J78">
        <f t="shared" si="23"/>
        <v>0.33280218009985335</v>
      </c>
      <c r="K78">
        <f t="shared" si="34"/>
        <v>1.7077417395691334</v>
      </c>
      <c r="O78">
        <f t="shared" si="35"/>
        <v>-4.4599362572830821E-2</v>
      </c>
      <c r="P78">
        <f t="shared" si="36"/>
        <v>0.3236341130481426</v>
      </c>
      <c r="Q78">
        <f t="shared" si="37"/>
        <v>0.94513060353034772</v>
      </c>
      <c r="R78">
        <f t="shared" si="43"/>
        <v>1</v>
      </c>
      <c r="AG78" s="8">
        <f t="shared" si="25"/>
        <v>0.48332945059335103</v>
      </c>
      <c r="AH78" s="8">
        <f t="shared" si="26"/>
        <v>-0.25581051357743245</v>
      </c>
      <c r="AI78" s="8">
        <f t="shared" si="27"/>
        <v>0.83722973151482138</v>
      </c>
      <c r="AJ78" s="8"/>
      <c r="AK78" s="8"/>
      <c r="AL78" s="8"/>
      <c r="AN78" s="8">
        <f t="shared" si="38"/>
        <v>1.0000000000000002</v>
      </c>
      <c r="AO78" s="8">
        <f t="shared" si="39"/>
        <v>5.7963988557018924</v>
      </c>
      <c r="AP78" s="8">
        <f t="shared" si="40"/>
        <v>0.57859877833086004</v>
      </c>
      <c r="AQ78" s="8"/>
      <c r="AR78" s="8">
        <f t="shared" si="41"/>
        <v>332.10919080617833</v>
      </c>
      <c r="AS78" s="8">
        <f t="shared" si="42"/>
        <v>56.848731970216249</v>
      </c>
    </row>
    <row r="79" spans="1:45">
      <c r="A79" s="19">
        <v>6.3730333330000004</v>
      </c>
      <c r="B79" s="19">
        <v>889.37023150000005</v>
      </c>
      <c r="C79" s="19">
        <v>-24.199665670000002</v>
      </c>
      <c r="E79" s="9">
        <f t="shared" si="22"/>
        <v>-70.629768499999955</v>
      </c>
      <c r="F79" s="9">
        <f t="shared" si="33"/>
        <v>515.80033432999994</v>
      </c>
      <c r="I79">
        <v>1</v>
      </c>
      <c r="J79">
        <f t="shared" si="23"/>
        <v>0.33257268153633113</v>
      </c>
      <c r="K79">
        <f t="shared" si="34"/>
        <v>1.7068823612271085</v>
      </c>
      <c r="O79">
        <f t="shared" si="35"/>
        <v>-4.4291793955141656E-2</v>
      </c>
      <c r="P79">
        <f t="shared" si="36"/>
        <v>0.32345741201371153</v>
      </c>
      <c r="Q79">
        <f t="shared" si="37"/>
        <v>0.94520555415297225</v>
      </c>
      <c r="R79">
        <f t="shared" si="43"/>
        <v>1</v>
      </c>
      <c r="AG79" s="8">
        <f t="shared" si="25"/>
        <v>0.48359049175134478</v>
      </c>
      <c r="AH79" s="8">
        <f t="shared" si="26"/>
        <v>-0.2555712106177398</v>
      </c>
      <c r="AI79" s="8">
        <f t="shared" si="27"/>
        <v>0.83715207255974433</v>
      </c>
      <c r="AJ79" s="8"/>
      <c r="AK79" s="8"/>
      <c r="AL79" s="8"/>
      <c r="AN79" s="8">
        <f t="shared" si="38"/>
        <v>1</v>
      </c>
      <c r="AO79" s="8">
        <f t="shared" si="39"/>
        <v>5.7970087932074597</v>
      </c>
      <c r="AP79" s="8">
        <f t="shared" si="40"/>
        <v>0.57874077398983159</v>
      </c>
      <c r="AQ79" s="8"/>
      <c r="AR79" s="8">
        <f t="shared" si="41"/>
        <v>332.14413765101403</v>
      </c>
      <c r="AS79" s="8">
        <f t="shared" si="42"/>
        <v>56.840596218248002</v>
      </c>
    </row>
    <row r="80" spans="1:45">
      <c r="A80" s="19">
        <v>6.4063999999999997</v>
      </c>
      <c r="B80" s="19">
        <v>889.88213919999998</v>
      </c>
      <c r="C80" s="19">
        <v>-24.598023170000001</v>
      </c>
      <c r="E80" s="9">
        <f t="shared" si="22"/>
        <v>-70.117860800000017</v>
      </c>
      <c r="F80" s="9">
        <f t="shared" si="33"/>
        <v>515.40197682999997</v>
      </c>
      <c r="I80">
        <v>1</v>
      </c>
      <c r="J80">
        <f t="shared" si="23"/>
        <v>0.33229519537893709</v>
      </c>
      <c r="K80">
        <f t="shared" si="34"/>
        <v>1.7060112058058612</v>
      </c>
      <c r="O80">
        <f t="shared" si="35"/>
        <v>-4.3974637424017478E-2</v>
      </c>
      <c r="P80">
        <f t="shared" si="36"/>
        <v>0.32323597440270352</v>
      </c>
      <c r="Q80">
        <f t="shared" si="37"/>
        <v>0.94529611028257221</v>
      </c>
      <c r="R80">
        <f t="shared" si="43"/>
        <v>1</v>
      </c>
      <c r="AG80" s="8">
        <f t="shared" si="25"/>
        <v>0.4838928477710871</v>
      </c>
      <c r="AH80" s="8">
        <f t="shared" si="26"/>
        <v>-0.25533482109641886</v>
      </c>
      <c r="AI80" s="8">
        <f t="shared" si="27"/>
        <v>0.83704948540193691</v>
      </c>
      <c r="AJ80" s="8"/>
      <c r="AK80" s="8"/>
      <c r="AL80" s="8"/>
      <c r="AN80" s="8">
        <f t="shared" si="38"/>
        <v>1</v>
      </c>
      <c r="AO80" s="8">
        <f t="shared" si="39"/>
        <v>5.7976489983071184</v>
      </c>
      <c r="AP80" s="8">
        <f t="shared" si="40"/>
        <v>0.57892830237266824</v>
      </c>
      <c r="AQ80" s="8"/>
      <c r="AR80" s="8">
        <f t="shared" si="41"/>
        <v>332.18081870124723</v>
      </c>
      <c r="AS80" s="8">
        <f t="shared" si="42"/>
        <v>56.829851633372549</v>
      </c>
    </row>
    <row r="81" spans="1:45">
      <c r="A81" s="19">
        <v>6.4397666669999998</v>
      </c>
      <c r="B81" s="19">
        <v>891.15891350000004</v>
      </c>
      <c r="C81" s="19">
        <v>-24.958656990000001</v>
      </c>
      <c r="E81" s="9">
        <f t="shared" si="22"/>
        <v>-68.84108649999996</v>
      </c>
      <c r="F81" s="9">
        <f t="shared" si="33"/>
        <v>515.04134300999999</v>
      </c>
      <c r="I81">
        <v>1</v>
      </c>
      <c r="J81">
        <f t="shared" si="23"/>
        <v>0.33197930403223264</v>
      </c>
      <c r="K81">
        <f t="shared" si="34"/>
        <v>1.7036700661351016</v>
      </c>
      <c r="O81">
        <f t="shared" si="35"/>
        <v>-4.3178213995196758E-2</v>
      </c>
      <c r="P81">
        <f t="shared" si="36"/>
        <v>0.32304204444622381</v>
      </c>
      <c r="Q81">
        <f t="shared" si="37"/>
        <v>0.94539911114628672</v>
      </c>
      <c r="R81">
        <f t="shared" si="43"/>
        <v>1</v>
      </c>
      <c r="AG81" s="8">
        <f t="shared" si="25"/>
        <v>0.48434443781736902</v>
      </c>
      <c r="AH81" s="8">
        <f t="shared" si="26"/>
        <v>-0.25464491399353428</v>
      </c>
      <c r="AI81" s="8">
        <f t="shared" si="27"/>
        <v>0.83699846674447531</v>
      </c>
      <c r="AJ81" s="8"/>
      <c r="AK81" s="8"/>
      <c r="AL81" s="8"/>
      <c r="AN81" s="8">
        <f t="shared" si="38"/>
        <v>1.0000000000000002</v>
      </c>
      <c r="AO81" s="8">
        <f t="shared" si="39"/>
        <v>5.7991492042425694</v>
      </c>
      <c r="AP81" s="8">
        <f t="shared" si="40"/>
        <v>0.57902154398097228</v>
      </c>
      <c r="AQ81" s="8"/>
      <c r="AR81" s="8">
        <f t="shared" si="41"/>
        <v>332.26677416974906</v>
      </c>
      <c r="AS81" s="8">
        <f t="shared" si="42"/>
        <v>56.824509282741715</v>
      </c>
    </row>
    <row r="82" spans="1:45">
      <c r="A82" s="19">
        <v>6.4731333329999998</v>
      </c>
      <c r="B82" s="19">
        <v>891.7794093</v>
      </c>
      <c r="C82" s="19">
        <v>-25.100199100000001</v>
      </c>
      <c r="E82" s="9">
        <f t="shared" si="22"/>
        <v>-68.220590700000002</v>
      </c>
      <c r="F82" s="9">
        <f t="shared" si="33"/>
        <v>514.89980089999995</v>
      </c>
      <c r="I82">
        <v>1</v>
      </c>
      <c r="J82">
        <f t="shared" si="23"/>
        <v>0.33184638010997369</v>
      </c>
      <c r="K82">
        <f t="shared" si="34"/>
        <v>1.702522058727292</v>
      </c>
      <c r="O82">
        <f t="shared" si="35"/>
        <v>-4.2790824949295363E-2</v>
      </c>
      <c r="P82">
        <f t="shared" si="36"/>
        <v>0.32296682014421446</v>
      </c>
      <c r="Q82">
        <f t="shared" si="37"/>
        <v>0.9454424246806854</v>
      </c>
      <c r="R82">
        <f t="shared" si="43"/>
        <v>1</v>
      </c>
      <c r="AG82" s="8">
        <f t="shared" si="25"/>
        <v>0.48454770012928472</v>
      </c>
      <c r="AH82" s="8">
        <f t="shared" si="26"/>
        <v>-0.25430419137280685</v>
      </c>
      <c r="AI82" s="8">
        <f t="shared" si="27"/>
        <v>0.83698441117481015</v>
      </c>
      <c r="AJ82" s="8"/>
      <c r="AK82" s="8"/>
      <c r="AL82" s="8"/>
      <c r="AN82" s="8">
        <f t="shared" si="38"/>
        <v>1</v>
      </c>
      <c r="AO82" s="8">
        <f t="shared" si="39"/>
        <v>5.7998731655695392</v>
      </c>
      <c r="AP82" s="8">
        <f t="shared" si="40"/>
        <v>0.57904722957884736</v>
      </c>
      <c r="AQ82" s="8"/>
      <c r="AR82" s="8">
        <f t="shared" si="41"/>
        <v>332.3082540983151</v>
      </c>
      <c r="AS82" s="8">
        <f t="shared" si="42"/>
        <v>56.8230376063892</v>
      </c>
    </row>
    <row r="83" spans="1:45">
      <c r="A83" s="19">
        <v>6.5065</v>
      </c>
      <c r="B83" s="19">
        <v>892.48608200000001</v>
      </c>
      <c r="C83" s="19">
        <v>-25.702501399999999</v>
      </c>
      <c r="E83" s="9">
        <f t="shared" si="22"/>
        <v>-67.51391799999999</v>
      </c>
      <c r="F83" s="9">
        <f t="shared" si="33"/>
        <v>514.29749860000004</v>
      </c>
      <c r="I83">
        <v>1</v>
      </c>
      <c r="J83">
        <f t="shared" si="23"/>
        <v>0.33143373774762291</v>
      </c>
      <c r="K83">
        <f t="shared" si="34"/>
        <v>1.7013240072397164</v>
      </c>
      <c r="O83">
        <f t="shared" si="35"/>
        <v>-4.2353081609195889E-2</v>
      </c>
      <c r="P83">
        <f t="shared" si="36"/>
        <v>0.32263101557239082</v>
      </c>
      <c r="Q83">
        <f t="shared" si="37"/>
        <v>0.94557677862188039</v>
      </c>
      <c r="R83">
        <f t="shared" si="43"/>
        <v>1</v>
      </c>
      <c r="AG83" s="8">
        <f t="shared" si="25"/>
        <v>0.48498992114769174</v>
      </c>
      <c r="AH83" s="8">
        <f t="shared" si="26"/>
        <v>-0.25398566448136539</v>
      </c>
      <c r="AI83" s="8">
        <f t="shared" si="27"/>
        <v>0.83682498685395101</v>
      </c>
      <c r="AJ83" s="8"/>
      <c r="AK83" s="8"/>
      <c r="AL83" s="8"/>
      <c r="AN83" s="8">
        <f t="shared" si="38"/>
        <v>1.0000000000000002</v>
      </c>
      <c r="AO83" s="8">
        <f t="shared" si="39"/>
        <v>5.8007637150912927</v>
      </c>
      <c r="AP83" s="8">
        <f t="shared" si="40"/>
        <v>0.57933849608816879</v>
      </c>
      <c r="AQ83" s="8"/>
      <c r="AR83" s="8">
        <f t="shared" si="41"/>
        <v>332.35927882735899</v>
      </c>
      <c r="AS83" s="8">
        <f t="shared" si="42"/>
        <v>56.806349264691576</v>
      </c>
    </row>
    <row r="84" spans="1:45">
      <c r="A84" s="19">
        <v>6.5398666670000001</v>
      </c>
      <c r="B84" s="19">
        <v>893.14396769999996</v>
      </c>
      <c r="C84" s="19">
        <v>-26.14440798</v>
      </c>
      <c r="E84" s="9">
        <f t="shared" si="22"/>
        <v>-66.856032300000038</v>
      </c>
      <c r="F84" s="9">
        <f t="shared" si="33"/>
        <v>513.85559202000002</v>
      </c>
      <c r="I84">
        <v>1</v>
      </c>
      <c r="J84">
        <f t="shared" si="23"/>
        <v>0.33112041850882445</v>
      </c>
      <c r="K84">
        <f t="shared" si="34"/>
        <v>1.7001762120311075</v>
      </c>
      <c r="O84">
        <f t="shared" si="35"/>
        <v>-4.194451320490078E-2</v>
      </c>
      <c r="P84">
        <f t="shared" si="36"/>
        <v>0.32238560864903471</v>
      </c>
      <c r="Q84">
        <f t="shared" si="37"/>
        <v>0.94567868599646221</v>
      </c>
      <c r="R84">
        <f t="shared" si="43"/>
        <v>1</v>
      </c>
      <c r="AG84" s="8">
        <f t="shared" si="25"/>
        <v>0.4853447884420467</v>
      </c>
      <c r="AH84" s="8">
        <f t="shared" si="26"/>
        <v>-0.25367024325632254</v>
      </c>
      <c r="AI84" s="8">
        <f t="shared" si="27"/>
        <v>0.83671491203301929</v>
      </c>
      <c r="AJ84" s="8"/>
      <c r="AK84" s="8"/>
      <c r="AL84" s="8"/>
      <c r="AN84" s="8">
        <f t="shared" si="38"/>
        <v>1</v>
      </c>
      <c r="AO84" s="8">
        <f t="shared" si="39"/>
        <v>5.8015745701465988</v>
      </c>
      <c r="AP84" s="8">
        <f t="shared" si="40"/>
        <v>0.57953952594028346</v>
      </c>
      <c r="AQ84" s="8"/>
      <c r="AR84" s="8">
        <f t="shared" si="41"/>
        <v>332.40573739982489</v>
      </c>
      <c r="AS84" s="8">
        <f t="shared" si="42"/>
        <v>56.794831102609265</v>
      </c>
    </row>
    <row r="85" spans="1:45">
      <c r="A85" s="19">
        <v>6.5732333330000001</v>
      </c>
      <c r="B85" s="19">
        <v>893.63067020000005</v>
      </c>
      <c r="C85" s="19">
        <v>-26.100564110000001</v>
      </c>
      <c r="E85" s="9">
        <f t="shared" si="22"/>
        <v>-66.369329799999946</v>
      </c>
      <c r="F85" s="9">
        <f t="shared" si="33"/>
        <v>513.89943588999995</v>
      </c>
      <c r="I85">
        <v>1</v>
      </c>
      <c r="J85">
        <f t="shared" si="23"/>
        <v>0.33110899243575015</v>
      </c>
      <c r="K85">
        <f t="shared" si="34"/>
        <v>1.6992338690705844</v>
      </c>
      <c r="O85">
        <f t="shared" si="35"/>
        <v>-4.1639312808939753E-2</v>
      </c>
      <c r="P85">
        <f t="shared" si="36"/>
        <v>0.32241427520579607</v>
      </c>
      <c r="Q85">
        <f t="shared" si="37"/>
        <v>0.94568240058294439</v>
      </c>
      <c r="R85">
        <f t="shared" si="43"/>
        <v>1</v>
      </c>
      <c r="AG85" s="8">
        <f t="shared" si="25"/>
        <v>0.48543007079671635</v>
      </c>
      <c r="AH85" s="8">
        <f t="shared" si="26"/>
        <v>-0.25337836731577029</v>
      </c>
      <c r="AI85" s="8">
        <f t="shared" si="27"/>
        <v>0.83675387620416175</v>
      </c>
      <c r="AJ85" s="8"/>
      <c r="AK85" s="8"/>
      <c r="AL85" s="8"/>
      <c r="AN85" s="8">
        <f t="shared" si="38"/>
        <v>1</v>
      </c>
      <c r="AO85" s="8">
        <f t="shared" si="39"/>
        <v>5.8021191096047202</v>
      </c>
      <c r="AP85" s="8">
        <f t="shared" si="40"/>
        <v>0.57946837266246476</v>
      </c>
      <c r="AQ85" s="8"/>
      <c r="AR85" s="8">
        <f t="shared" si="41"/>
        <v>332.43693721255357</v>
      </c>
      <c r="AS85" s="8">
        <f t="shared" si="42"/>
        <v>56.798907885126802</v>
      </c>
    </row>
    <row r="86" spans="1:45">
      <c r="A86" s="19">
        <v>6.6066000000000003</v>
      </c>
      <c r="B86" s="19">
        <v>894.54883259999997</v>
      </c>
      <c r="C86" s="19">
        <v>-26.362761880000001</v>
      </c>
      <c r="E86" s="9">
        <f t="shared" si="22"/>
        <v>-65.451167400000031</v>
      </c>
      <c r="F86" s="9">
        <f t="shared" si="33"/>
        <v>513.63723812000001</v>
      </c>
      <c r="I86">
        <v>1</v>
      </c>
      <c r="J86">
        <f t="shared" si="23"/>
        <v>0.33088334592674706</v>
      </c>
      <c r="K86">
        <f t="shared" si="34"/>
        <v>1.697540102007377</v>
      </c>
      <c r="O86">
        <f t="shared" si="35"/>
        <v>-4.1066184122601219E-2</v>
      </c>
      <c r="P86">
        <f t="shared" si="36"/>
        <v>0.3222726535028968</v>
      </c>
      <c r="Q86">
        <f t="shared" si="37"/>
        <v>0.94575573237798061</v>
      </c>
      <c r="R86">
        <f t="shared" si="43"/>
        <v>1</v>
      </c>
      <c r="AG86" s="8">
        <f t="shared" si="25"/>
        <v>0.48575570426031278</v>
      </c>
      <c r="AH86" s="8">
        <f t="shared" si="26"/>
        <v>-0.25288201412928446</v>
      </c>
      <c r="AI86" s="8">
        <f t="shared" si="27"/>
        <v>0.83671505466824492</v>
      </c>
      <c r="AJ86" s="8"/>
      <c r="AK86" s="8"/>
      <c r="AL86" s="8"/>
      <c r="AN86" s="8">
        <f t="shared" si="38"/>
        <v>1.0000000000000002</v>
      </c>
      <c r="AO86" s="8">
        <f t="shared" si="39"/>
        <v>5.8031977351464512</v>
      </c>
      <c r="AP86" s="8">
        <f t="shared" si="40"/>
        <v>0.57953926548525836</v>
      </c>
      <c r="AQ86" s="8"/>
      <c r="AR86" s="8">
        <f t="shared" si="41"/>
        <v>332.49873790376978</v>
      </c>
      <c r="AS86" s="8">
        <f t="shared" si="42"/>
        <v>56.794846025582956</v>
      </c>
    </row>
    <row r="87" spans="1:45">
      <c r="A87" s="19">
        <v>6.6399666670000004</v>
      </c>
      <c r="B87" s="19">
        <v>895.04878040000006</v>
      </c>
      <c r="C87" s="19">
        <v>-26.840733090000001</v>
      </c>
      <c r="E87" s="9">
        <f t="shared" si="22"/>
        <v>-64.951219599999945</v>
      </c>
      <c r="F87" s="9">
        <f t="shared" si="33"/>
        <v>513.15926691000004</v>
      </c>
      <c r="I87">
        <v>1</v>
      </c>
      <c r="J87">
        <f t="shared" si="23"/>
        <v>0.33056169976573918</v>
      </c>
      <c r="K87">
        <f t="shared" si="34"/>
        <v>1.696698116585714</v>
      </c>
      <c r="O87">
        <f t="shared" si="35"/>
        <v>-4.0756620552960886E-2</v>
      </c>
      <c r="P87">
        <f t="shared" si="36"/>
        <v>0.32200530880695721</v>
      </c>
      <c r="Q87">
        <f t="shared" si="37"/>
        <v>0.94586017940350886</v>
      </c>
      <c r="R87">
        <f t="shared" si="43"/>
        <v>1</v>
      </c>
      <c r="AG87" s="8">
        <f t="shared" si="25"/>
        <v>0.48609320757884406</v>
      </c>
      <c r="AH87" s="8">
        <f t="shared" si="26"/>
        <v>-0.25266446692500777</v>
      </c>
      <c r="AI87" s="8">
        <f t="shared" si="27"/>
        <v>0.83658476002089133</v>
      </c>
      <c r="AJ87" s="8"/>
      <c r="AK87" s="8"/>
      <c r="AL87" s="8"/>
      <c r="AN87" s="8">
        <f t="shared" si="38"/>
        <v>0.99999999999999978</v>
      </c>
      <c r="AO87" s="8">
        <f t="shared" si="39"/>
        <v>5.803834443684833</v>
      </c>
      <c r="AP87" s="8">
        <f t="shared" si="40"/>
        <v>0.57977714316830897</v>
      </c>
      <c r="AQ87" s="8"/>
      <c r="AR87" s="8">
        <f t="shared" si="41"/>
        <v>332.53521861579901</v>
      </c>
      <c r="AS87" s="8">
        <f t="shared" si="42"/>
        <v>56.781216638303803</v>
      </c>
    </row>
    <row r="88" spans="1:45">
      <c r="A88" s="19">
        <v>6.6733333330000004</v>
      </c>
      <c r="B88" s="19">
        <v>896.24737709999999</v>
      </c>
      <c r="C88" s="19">
        <v>-26.97269597</v>
      </c>
      <c r="E88" s="9">
        <f t="shared" si="22"/>
        <v>-63.752622900000006</v>
      </c>
      <c r="F88" s="9">
        <f t="shared" si="33"/>
        <v>513.02730402999998</v>
      </c>
      <c r="I88">
        <v>1</v>
      </c>
      <c r="J88">
        <f t="shared" si="23"/>
        <v>0.3303939509527985</v>
      </c>
      <c r="K88">
        <f t="shared" si="34"/>
        <v>1.6944300302700859</v>
      </c>
      <c r="O88">
        <f t="shared" si="35"/>
        <v>-4.0006613308007713E-2</v>
      </c>
      <c r="P88">
        <f t="shared" si="36"/>
        <v>0.32193945966696769</v>
      </c>
      <c r="Q88">
        <f t="shared" si="37"/>
        <v>0.94591461306027214</v>
      </c>
      <c r="R88">
        <f t="shared" si="43"/>
        <v>1</v>
      </c>
      <c r="AG88" s="8">
        <f t="shared" si="25"/>
        <v>0.48641747144838099</v>
      </c>
      <c r="AH88" s="8">
        <f t="shared" si="26"/>
        <v>-0.25198301849089427</v>
      </c>
      <c r="AI88" s="8">
        <f t="shared" si="27"/>
        <v>0.83660181798868993</v>
      </c>
      <c r="AJ88" s="8"/>
      <c r="AK88" s="8"/>
      <c r="AL88" s="8"/>
      <c r="AN88" s="8">
        <f t="shared" si="38"/>
        <v>1</v>
      </c>
      <c r="AO88" s="8">
        <f t="shared" si="39"/>
        <v>5.8052111896995156</v>
      </c>
      <c r="AP88" s="8">
        <f t="shared" si="40"/>
        <v>0.57974600551710498</v>
      </c>
      <c r="AQ88" s="8"/>
      <c r="AR88" s="8">
        <f t="shared" si="41"/>
        <v>332.61410035190175</v>
      </c>
      <c r="AS88" s="8">
        <f t="shared" si="42"/>
        <v>56.783000694301748</v>
      </c>
    </row>
    <row r="89" spans="1:45">
      <c r="A89" s="19">
        <v>6.7066999999999997</v>
      </c>
      <c r="B89" s="19">
        <v>897.19570969999995</v>
      </c>
      <c r="C89" s="19">
        <v>-27.553298330000001</v>
      </c>
      <c r="E89" s="9">
        <f t="shared" si="22"/>
        <v>-62.804290300000048</v>
      </c>
      <c r="F89" s="9">
        <f t="shared" si="33"/>
        <v>512.44670167000004</v>
      </c>
      <c r="I89">
        <v>1</v>
      </c>
      <c r="J89">
        <f t="shared" si="23"/>
        <v>0.32997920307200379</v>
      </c>
      <c r="K89">
        <f t="shared" si="34"/>
        <v>1.6927458790222241</v>
      </c>
      <c r="O89">
        <f t="shared" si="35"/>
        <v>-3.9416634417288619E-2</v>
      </c>
      <c r="P89">
        <f t="shared" si="36"/>
        <v>0.32161695007756119</v>
      </c>
      <c r="Q89">
        <f t="shared" si="37"/>
        <v>0.9460490824233283</v>
      </c>
      <c r="R89">
        <f t="shared" si="43"/>
        <v>1</v>
      </c>
      <c r="AG89" s="8">
        <f t="shared" si="25"/>
        <v>0.48690156121486794</v>
      </c>
      <c r="AH89" s="8">
        <f t="shared" si="26"/>
        <v>-0.2515185784044246</v>
      </c>
      <c r="AI89" s="8">
        <f t="shared" si="27"/>
        <v>0.83645996581064286</v>
      </c>
      <c r="AJ89" s="8"/>
      <c r="AK89" s="8"/>
      <c r="AL89" s="8"/>
      <c r="AN89" s="8">
        <f t="shared" si="38"/>
        <v>1.0000000000000002</v>
      </c>
      <c r="AO89" s="8">
        <f t="shared" si="39"/>
        <v>5.8063700027088991</v>
      </c>
      <c r="AP89" s="8">
        <f t="shared" si="40"/>
        <v>0.58000489776874964</v>
      </c>
      <c r="AQ89" s="8"/>
      <c r="AR89" s="8">
        <f t="shared" si="41"/>
        <v>332.6804954465843</v>
      </c>
      <c r="AS89" s="8">
        <f t="shared" si="42"/>
        <v>56.768167260933865</v>
      </c>
    </row>
    <row r="90" spans="1:45">
      <c r="A90" s="19">
        <v>6.7400666669999998</v>
      </c>
      <c r="B90" s="19">
        <v>897.63689339999996</v>
      </c>
      <c r="C90" s="19">
        <v>-28.00111317</v>
      </c>
      <c r="E90" s="9">
        <f t="shared" si="22"/>
        <v>-62.363106600000037</v>
      </c>
      <c r="F90" s="9">
        <f t="shared" si="33"/>
        <v>511.99888683</v>
      </c>
      <c r="I90">
        <v>1</v>
      </c>
      <c r="J90">
        <f t="shared" si="23"/>
        <v>0.32968081574762331</v>
      </c>
      <c r="K90">
        <f t="shared" si="34"/>
        <v>1.6920024816517998</v>
      </c>
      <c r="O90">
        <f t="shared" si="35"/>
        <v>-3.9143401152258402E-2</v>
      </c>
      <c r="P90">
        <f t="shared" si="36"/>
        <v>0.32136593106630834</v>
      </c>
      <c r="Q90">
        <f t="shared" si="37"/>
        <v>0.94614572476765868</v>
      </c>
      <c r="R90">
        <f t="shared" si="43"/>
        <v>1</v>
      </c>
      <c r="AG90" s="8">
        <f t="shared" si="25"/>
        <v>0.48721171724942447</v>
      </c>
      <c r="AH90" s="8">
        <f t="shared" si="26"/>
        <v>-0.2513303612723089</v>
      </c>
      <c r="AI90" s="8">
        <f t="shared" si="27"/>
        <v>0.83633593255198457</v>
      </c>
      <c r="AJ90" s="8"/>
      <c r="AK90" s="8"/>
      <c r="AL90" s="8"/>
      <c r="AN90" s="8">
        <f t="shared" si="38"/>
        <v>1.0000000000000002</v>
      </c>
      <c r="AO90" s="8">
        <f t="shared" si="39"/>
        <v>5.8069346881878587</v>
      </c>
      <c r="AP90" s="8">
        <f t="shared" si="40"/>
        <v>0.58023118517785233</v>
      </c>
      <c r="AQ90" s="8"/>
      <c r="AR90" s="8">
        <f t="shared" si="41"/>
        <v>332.712849541281</v>
      </c>
      <c r="AS90" s="8">
        <f t="shared" si="42"/>
        <v>56.755201947435332</v>
      </c>
    </row>
    <row r="91" spans="1:45">
      <c r="A91" s="19">
        <v>6.7734333329999998</v>
      </c>
      <c r="B91" s="19">
        <v>898.41051140000002</v>
      </c>
      <c r="C91" s="19">
        <v>-28.08928538</v>
      </c>
      <c r="E91" s="9">
        <f t="shared" si="22"/>
        <v>-61.589488599999981</v>
      </c>
      <c r="F91" s="9">
        <f t="shared" si="33"/>
        <v>511.91071462000002</v>
      </c>
      <c r="I91">
        <v>1</v>
      </c>
      <c r="J91">
        <f t="shared" si="23"/>
        <v>0.32957265004120029</v>
      </c>
      <c r="K91">
        <f t="shared" si="34"/>
        <v>1.6905337496208495</v>
      </c>
      <c r="O91">
        <f t="shared" si="35"/>
        <v>-3.8659133709421575E-2</v>
      </c>
      <c r="P91">
        <f t="shared" si="36"/>
        <v>0.3213214659454105</v>
      </c>
      <c r="Q91">
        <f t="shared" si="37"/>
        <v>0.94618073691210258</v>
      </c>
      <c r="R91">
        <f t="shared" ref="R91:R154" si="44">SQRT(O91^2+P91^2+Q91^2)</f>
        <v>1</v>
      </c>
      <c r="AG91" s="8">
        <f t="shared" si="25"/>
        <v>0.48742215558955299</v>
      </c>
      <c r="AH91" s="8">
        <f t="shared" si="26"/>
        <v>-0.25089065090659118</v>
      </c>
      <c r="AI91" s="8">
        <f t="shared" si="27"/>
        <v>0.83634533748213169</v>
      </c>
      <c r="AJ91" s="8"/>
      <c r="AK91" s="8"/>
      <c r="AL91" s="8"/>
      <c r="AN91" s="8">
        <f t="shared" si="38"/>
        <v>1.0000000000000002</v>
      </c>
      <c r="AO91" s="8">
        <f t="shared" si="39"/>
        <v>5.8078235104759663</v>
      </c>
      <c r="AP91" s="8">
        <f t="shared" si="40"/>
        <v>0.58021402947476974</v>
      </c>
      <c r="AQ91" s="8"/>
      <c r="AR91" s="8">
        <f t="shared" si="41"/>
        <v>332.76377530712671</v>
      </c>
      <c r="AS91" s="8">
        <f t="shared" si="42"/>
        <v>56.756184896816542</v>
      </c>
    </row>
    <row r="92" spans="1:45">
      <c r="A92" s="19">
        <v>6.8068</v>
      </c>
      <c r="B92" s="19">
        <v>898.99841189999995</v>
      </c>
      <c r="C92" s="19">
        <v>-28.20187718</v>
      </c>
      <c r="E92" s="9">
        <f t="shared" si="22"/>
        <v>-61.001588100000049</v>
      </c>
      <c r="F92" s="9">
        <f t="shared" si="33"/>
        <v>511.79812282</v>
      </c>
      <c r="I92">
        <v>1</v>
      </c>
      <c r="J92">
        <f t="shared" si="23"/>
        <v>0.32946376425987545</v>
      </c>
      <c r="K92">
        <f t="shared" si="34"/>
        <v>1.6894273873944547</v>
      </c>
      <c r="O92">
        <f t="shared" si="35"/>
        <v>-3.8291418570024348E-2</v>
      </c>
      <c r="P92">
        <f t="shared" si="36"/>
        <v>0.32126173686047588</v>
      </c>
      <c r="Q92">
        <f t="shared" si="37"/>
        <v>0.94621597095657051</v>
      </c>
      <c r="R92">
        <f t="shared" si="44"/>
        <v>1</v>
      </c>
      <c r="AG92" s="8">
        <f t="shared" si="25"/>
        <v>0.48760380834632117</v>
      </c>
      <c r="AH92" s="8">
        <f t="shared" si="26"/>
        <v>-0.25056359703063819</v>
      </c>
      <c r="AI92" s="8">
        <f t="shared" si="27"/>
        <v>0.83633749762236065</v>
      </c>
      <c r="AJ92" s="8"/>
      <c r="AK92" s="8"/>
      <c r="AL92" s="8"/>
      <c r="AN92" s="8">
        <f t="shared" si="38"/>
        <v>1</v>
      </c>
      <c r="AO92" s="8">
        <f t="shared" si="39"/>
        <v>5.8085055928990119</v>
      </c>
      <c r="AP92" s="8">
        <f t="shared" si="40"/>
        <v>0.58022833033583132</v>
      </c>
      <c r="AQ92" s="8"/>
      <c r="AR92" s="8">
        <f t="shared" si="41"/>
        <v>332.80285575124731</v>
      </c>
      <c r="AS92" s="8">
        <f t="shared" si="42"/>
        <v>56.755365517834313</v>
      </c>
    </row>
    <row r="93" spans="1:45">
      <c r="A93" s="19">
        <v>6.8401666670000001</v>
      </c>
      <c r="B93" s="19">
        <v>899.47694490000003</v>
      </c>
      <c r="C93" s="19">
        <v>-28.37378399</v>
      </c>
      <c r="E93" s="9">
        <f t="shared" si="22"/>
        <v>-60.523055099999965</v>
      </c>
      <c r="F93" s="9">
        <f t="shared" si="33"/>
        <v>511.62621601000001</v>
      </c>
      <c r="I93">
        <v>1</v>
      </c>
      <c r="J93">
        <f t="shared" si="23"/>
        <v>0.3293276378014488</v>
      </c>
      <c r="K93">
        <f t="shared" si="34"/>
        <v>1.688544565750544</v>
      </c>
      <c r="O93">
        <f t="shared" si="35"/>
        <v>-3.799265497532256E-2</v>
      </c>
      <c r="P93">
        <f t="shared" si="36"/>
        <v>0.32116750003913513</v>
      </c>
      <c r="Q93">
        <f t="shared" si="37"/>
        <v>0.94626000395585685</v>
      </c>
      <c r="R93">
        <f t="shared" si="44"/>
        <v>1</v>
      </c>
      <c r="AG93" s="8">
        <f t="shared" si="25"/>
        <v>0.48779001597949778</v>
      </c>
      <c r="AH93" s="8">
        <f t="shared" si="26"/>
        <v>-0.25030994126437511</v>
      </c>
      <c r="AI93" s="8">
        <f t="shared" si="27"/>
        <v>0.83630486882173927</v>
      </c>
      <c r="AJ93" s="8"/>
      <c r="AK93" s="8"/>
      <c r="AL93" s="8"/>
      <c r="AN93" s="8">
        <f t="shared" si="38"/>
        <v>1.0000000000000002</v>
      </c>
      <c r="AO93" s="8">
        <f t="shared" si="39"/>
        <v>5.809072323281371</v>
      </c>
      <c r="AP93" s="8">
        <f t="shared" si="40"/>
        <v>0.58028784589936711</v>
      </c>
      <c r="AQ93" s="8"/>
      <c r="AR93" s="8">
        <f t="shared" si="41"/>
        <v>332.83532701027832</v>
      </c>
      <c r="AS93" s="8">
        <f t="shared" si="42"/>
        <v>56.751955527228368</v>
      </c>
    </row>
    <row r="94" spans="1:45">
      <c r="A94" s="19">
        <v>6.8735333330000001</v>
      </c>
      <c r="B94" s="19">
        <v>900.33941470000002</v>
      </c>
      <c r="C94" s="19">
        <v>-29.138939740000001</v>
      </c>
      <c r="E94" s="9">
        <f t="shared" si="22"/>
        <v>-59.66058529999998</v>
      </c>
      <c r="F94" s="9">
        <f t="shared" si="33"/>
        <v>510.86106025999999</v>
      </c>
      <c r="I94">
        <v>1</v>
      </c>
      <c r="J94">
        <f t="shared" si="23"/>
        <v>0.32881174661611112</v>
      </c>
      <c r="K94">
        <f t="shared" si="34"/>
        <v>1.6870540714371329</v>
      </c>
      <c r="O94">
        <f t="shared" si="35"/>
        <v>-3.7457284170154474E-2</v>
      </c>
      <c r="P94">
        <f t="shared" si="36"/>
        <v>0.32073885647288924</v>
      </c>
      <c r="Q94">
        <f t="shared" si="37"/>
        <v>0.94642672078247014</v>
      </c>
      <c r="R94">
        <f t="shared" si="44"/>
        <v>1</v>
      </c>
      <c r="AG94" s="8">
        <f t="shared" si="25"/>
        <v>0.48834335479127255</v>
      </c>
      <c r="AH94" s="8">
        <f t="shared" si="26"/>
        <v>-0.24992407870727829</v>
      </c>
      <c r="AI94" s="8">
        <f t="shared" si="27"/>
        <v>0.83609731653290442</v>
      </c>
      <c r="AJ94" s="8"/>
      <c r="AK94" s="8"/>
      <c r="AL94" s="8"/>
      <c r="AN94" s="8">
        <f t="shared" si="38"/>
        <v>1.0000000000000004</v>
      </c>
      <c r="AO94" s="8">
        <f t="shared" si="39"/>
        <v>5.8101586307648612</v>
      </c>
      <c r="AP94" s="8">
        <f t="shared" si="40"/>
        <v>0.58066629887718901</v>
      </c>
      <c r="AQ94" s="8"/>
      <c r="AR94" s="8">
        <f t="shared" si="41"/>
        <v>332.89756784433575</v>
      </c>
      <c r="AS94" s="8">
        <f t="shared" si="42"/>
        <v>56.730271768855019</v>
      </c>
    </row>
    <row r="95" spans="1:45">
      <c r="A95" s="19">
        <v>6.9069000000000003</v>
      </c>
      <c r="B95" s="19">
        <v>901.45305740000003</v>
      </c>
      <c r="C95" s="19">
        <v>-29.697681899999999</v>
      </c>
      <c r="E95" s="9">
        <f t="shared" si="22"/>
        <v>-58.546942599999966</v>
      </c>
      <c r="F95" s="9">
        <f t="shared" si="33"/>
        <v>510.30231809999998</v>
      </c>
      <c r="I95">
        <v>1</v>
      </c>
      <c r="J95">
        <f t="shared" si="23"/>
        <v>0.32840214194920608</v>
      </c>
      <c r="K95">
        <f t="shared" si="34"/>
        <v>1.6850267876228564</v>
      </c>
      <c r="O95">
        <f t="shared" si="35"/>
        <v>-3.676278943397239E-2</v>
      </c>
      <c r="P95">
        <f t="shared" si="36"/>
        <v>0.32042897263055953</v>
      </c>
      <c r="Q95">
        <f t="shared" si="37"/>
        <v>0.9465589103758717</v>
      </c>
      <c r="R95">
        <f t="shared" si="44"/>
        <v>1</v>
      </c>
      <c r="AG95" s="8">
        <f t="shared" si="25"/>
        <v>0.48885237028284056</v>
      </c>
      <c r="AH95" s="8">
        <f t="shared" si="26"/>
        <v>-0.24935820461517899</v>
      </c>
      <c r="AI95" s="8">
        <f t="shared" si="27"/>
        <v>0.83596880675055285</v>
      </c>
      <c r="AJ95" s="8"/>
      <c r="AK95" s="8"/>
      <c r="AL95" s="8"/>
      <c r="AN95" s="8">
        <f t="shared" si="38"/>
        <v>1</v>
      </c>
      <c r="AO95" s="8">
        <f t="shared" si="39"/>
        <v>5.811499132171444</v>
      </c>
      <c r="AP95" s="8">
        <f t="shared" si="40"/>
        <v>0.58090051554800315</v>
      </c>
      <c r="AQ95" s="8"/>
      <c r="AR95" s="8">
        <f t="shared" si="41"/>
        <v>332.97437291736429</v>
      </c>
      <c r="AS95" s="8">
        <f t="shared" si="42"/>
        <v>56.716852142125759</v>
      </c>
    </row>
    <row r="96" spans="1:45">
      <c r="A96" s="19">
        <v>6.9402666670000004</v>
      </c>
      <c r="B96" s="19">
        <v>901.70203330000004</v>
      </c>
      <c r="C96" s="19">
        <v>-29.98817756</v>
      </c>
      <c r="E96" s="9">
        <f t="shared" ref="E96:E159" si="45">(B96-($B$15/2))</f>
        <v>-58.297966699999961</v>
      </c>
      <c r="F96" s="9">
        <f t="shared" si="33"/>
        <v>510.01182244</v>
      </c>
      <c r="I96">
        <v>1</v>
      </c>
      <c r="J96">
        <f t="shared" ref="J96:J159" si="46">ATAN((SQRT(E96^2+F96^2)^$B$16)/($F$24))</f>
        <v>0.32821205937870629</v>
      </c>
      <c r="K96">
        <f t="shared" si="34"/>
        <v>1.6846094328691652</v>
      </c>
      <c r="O96">
        <f t="shared" si="35"/>
        <v>-3.6608619451180643E-2</v>
      </c>
      <c r="P96">
        <f t="shared" si="36"/>
        <v>0.3202655217700604</v>
      </c>
      <c r="Q96">
        <f t="shared" si="37"/>
        <v>0.94662020079186437</v>
      </c>
      <c r="R96">
        <f t="shared" si="44"/>
        <v>1</v>
      </c>
      <c r="AG96" s="8">
        <f t="shared" ref="AG96:AG159" si="47">$O96*$Z$27+$P96*$Z$31+$Q96*$Z$35</f>
        <v>0.48904537141773685</v>
      </c>
      <c r="AH96" s="8">
        <f t="shared" ref="AH96:AH159" si="48">$O96*$AA$27+$P96*$AA$31+$Q96*$AA$35</f>
        <v>-0.24925759757035984</v>
      </c>
      <c r="AI96" s="8">
        <f t="shared" ref="AI96:AI159" si="49">$AB$27*$O96+$P96*$AB$31+$AB$35*$Q96</f>
        <v>0.83588592209005441</v>
      </c>
      <c r="AJ96" s="8"/>
      <c r="AK96" s="8"/>
      <c r="AL96" s="8"/>
      <c r="AN96" s="8">
        <f t="shared" si="38"/>
        <v>1.0000000000000002</v>
      </c>
      <c r="AO96" s="8">
        <f t="shared" si="39"/>
        <v>5.8118221739874949</v>
      </c>
      <c r="AP96" s="8">
        <f t="shared" si="40"/>
        <v>0.58105153341831817</v>
      </c>
      <c r="AQ96" s="8"/>
      <c r="AR96" s="8">
        <f t="shared" si="41"/>
        <v>332.9928818500303</v>
      </c>
      <c r="AS96" s="8">
        <f t="shared" si="42"/>
        <v>56.708199455525659</v>
      </c>
    </row>
    <row r="97" spans="1:45">
      <c r="A97" s="19">
        <v>6.9736333330000004</v>
      </c>
      <c r="B97" s="19">
        <v>902.58428240000001</v>
      </c>
      <c r="C97" s="19">
        <v>-30.09695851</v>
      </c>
      <c r="E97" s="9">
        <f t="shared" si="45"/>
        <v>-57.415717599999994</v>
      </c>
      <c r="F97" s="9">
        <f t="shared" ref="F97:F160" si="50">(($C$15/2)+C97)</f>
        <v>509.90304149000002</v>
      </c>
      <c r="I97">
        <v>1</v>
      </c>
      <c r="J97">
        <f t="shared" si="46"/>
        <v>0.32808757199124816</v>
      </c>
      <c r="K97">
        <f t="shared" ref="K97:K160" si="51">ATAN2(E97,F97)</f>
        <v>1.6829252683077216</v>
      </c>
      <c r="O97">
        <f t="shared" ref="O97:O160" si="52">COS(K97)*SIN(J97)</f>
        <v>-3.6056001807865043E-2</v>
      </c>
      <c r="P97">
        <f t="shared" ref="P97:P160" si="53">SIN(K97)*SIN(J97)</f>
        <v>0.32020961775455281</v>
      </c>
      <c r="Q97">
        <f t="shared" ref="Q97:Q160" si="54">COS(J97)</f>
        <v>0.94666032209611195</v>
      </c>
      <c r="R97">
        <f t="shared" si="44"/>
        <v>1</v>
      </c>
      <c r="AG97" s="8">
        <f t="shared" si="47"/>
        <v>0.4892887227301459</v>
      </c>
      <c r="AH97" s="8">
        <f t="shared" si="48"/>
        <v>-0.24875674304829204</v>
      </c>
      <c r="AI97" s="8">
        <f t="shared" si="49"/>
        <v>0.8358927135686185</v>
      </c>
      <c r="AJ97" s="8"/>
      <c r="AK97" s="8"/>
      <c r="AL97" s="8"/>
      <c r="AN97" s="8">
        <f t="shared" ref="AN97:AN160" si="55">AG97^2+AH97^2+AI97^2</f>
        <v>1</v>
      </c>
      <c r="AO97" s="8">
        <f t="shared" ref="AO97:AO160" si="56">IF(ATAN2(AG97,AH97)&gt;=0,ATAN2(AG97,AH97),ATAN2(AG97,AH97)+2*PI())</f>
        <v>5.8128364750496102</v>
      </c>
      <c r="AP97" s="8">
        <f t="shared" ref="AP97:AP160" si="57">ACOS(AI97/AN97)</f>
        <v>0.58103916048531024</v>
      </c>
      <c r="AQ97" s="8"/>
      <c r="AR97" s="8">
        <f t="shared" ref="AR97:AR160" si="58">DEGREES(AO97)</f>
        <v>333.05099702004514</v>
      </c>
      <c r="AS97" s="8">
        <f t="shared" ref="AS97:AS160" si="59">90-DEGREES(AP97)</f>
        <v>56.708908372367212</v>
      </c>
    </row>
    <row r="98" spans="1:45">
      <c r="A98" s="19">
        <v>7.0069999999999997</v>
      </c>
      <c r="B98" s="19">
        <v>903.41745119999996</v>
      </c>
      <c r="C98" s="19">
        <v>-30.19359274</v>
      </c>
      <c r="E98" s="9">
        <f t="shared" si="45"/>
        <v>-56.582548800000041</v>
      </c>
      <c r="F98" s="9">
        <f t="shared" si="50"/>
        <v>509.80640726000001</v>
      </c>
      <c r="I98">
        <v>1</v>
      </c>
      <c r="J98">
        <f t="shared" si="46"/>
        <v>0.3279744369284936</v>
      </c>
      <c r="K98">
        <f t="shared" si="51"/>
        <v>1.6813322374325286</v>
      </c>
      <c r="O98">
        <f t="shared" si="52"/>
        <v>-3.5534037882184552E-2</v>
      </c>
      <c r="P98">
        <f t="shared" si="53"/>
        <v>0.32016020084548164</v>
      </c>
      <c r="Q98">
        <f t="shared" si="54"/>
        <v>0.94669677191082058</v>
      </c>
      <c r="R98">
        <f t="shared" si="44"/>
        <v>1</v>
      </c>
      <c r="AG98" s="8">
        <f t="shared" si="47"/>
        <v>0.48951549159068297</v>
      </c>
      <c r="AH98" s="8">
        <f t="shared" si="48"/>
        <v>-0.24828269023021732</v>
      </c>
      <c r="AI98" s="8">
        <f t="shared" si="49"/>
        <v>0.83590088480918479</v>
      </c>
      <c r="AJ98" s="8"/>
      <c r="AK98" s="8"/>
      <c r="AL98" s="8"/>
      <c r="AN98" s="8">
        <f t="shared" si="55"/>
        <v>1</v>
      </c>
      <c r="AO98" s="8">
        <f t="shared" si="56"/>
        <v>5.81379359910611</v>
      </c>
      <c r="AP98" s="8">
        <f t="shared" si="57"/>
        <v>0.58102427354872832</v>
      </c>
      <c r="AQ98" s="8"/>
      <c r="AR98" s="8">
        <f t="shared" si="58"/>
        <v>333.10583618895299</v>
      </c>
      <c r="AS98" s="8">
        <f t="shared" si="59"/>
        <v>56.709761331003236</v>
      </c>
    </row>
    <row r="99" spans="1:45">
      <c r="A99" s="19">
        <v>7.0403666669999998</v>
      </c>
      <c r="B99" s="19">
        <v>904.41195459999994</v>
      </c>
      <c r="C99" s="19">
        <v>-30.471498270000001</v>
      </c>
      <c r="E99" s="9">
        <f t="shared" si="45"/>
        <v>-55.588045400000055</v>
      </c>
      <c r="F99" s="9">
        <f t="shared" si="50"/>
        <v>509.52850173000002</v>
      </c>
      <c r="I99">
        <v>1</v>
      </c>
      <c r="J99">
        <f t="shared" si="46"/>
        <v>0.3277434543520279</v>
      </c>
      <c r="K99">
        <f t="shared" si="51"/>
        <v>1.6794635899259811</v>
      </c>
      <c r="O99">
        <f t="shared" si="52"/>
        <v>-3.4911993116525236E-2</v>
      </c>
      <c r="P99">
        <f t="shared" si="53"/>
        <v>0.32000865324671368</v>
      </c>
      <c r="Q99">
        <f t="shared" si="54"/>
        <v>0.94677115217134511</v>
      </c>
      <c r="R99">
        <f t="shared" si="44"/>
        <v>1</v>
      </c>
      <c r="AG99" s="8">
        <f t="shared" si="47"/>
        <v>0.48986381229065645</v>
      </c>
      <c r="AH99" s="8">
        <f t="shared" si="48"/>
        <v>-0.24774213095853076</v>
      </c>
      <c r="AI99" s="8">
        <f t="shared" si="49"/>
        <v>0.83585721385664358</v>
      </c>
      <c r="AJ99" s="8"/>
      <c r="AK99" s="8"/>
      <c r="AL99" s="8"/>
      <c r="AN99" s="8">
        <f t="shared" si="55"/>
        <v>1</v>
      </c>
      <c r="AO99" s="8">
        <f t="shared" si="56"/>
        <v>5.8149588396597514</v>
      </c>
      <c r="AP99" s="8">
        <f t="shared" si="57"/>
        <v>0.58110383242142727</v>
      </c>
      <c r="AQ99" s="8"/>
      <c r="AR99" s="8">
        <f t="shared" si="58"/>
        <v>333.17259955479415</v>
      </c>
      <c r="AS99" s="8">
        <f t="shared" si="59"/>
        <v>56.705202943374765</v>
      </c>
    </row>
    <row r="100" spans="1:45">
      <c r="A100" s="19">
        <v>7.0737333329999998</v>
      </c>
      <c r="B100" s="19">
        <v>904.86080170000002</v>
      </c>
      <c r="C100" s="19">
        <v>-30.968746849999999</v>
      </c>
      <c r="E100" s="9">
        <f t="shared" si="45"/>
        <v>-55.139198299999975</v>
      </c>
      <c r="F100" s="9">
        <f t="shared" si="50"/>
        <v>509.03125315</v>
      </c>
      <c r="I100">
        <v>1</v>
      </c>
      <c r="J100">
        <f t="shared" si="46"/>
        <v>0.32741772960615756</v>
      </c>
      <c r="K100">
        <f t="shared" si="51"/>
        <v>1.6786974484823678</v>
      </c>
      <c r="O100">
        <f t="shared" si="52"/>
        <v>-3.4633598414625585E-2</v>
      </c>
      <c r="P100">
        <f t="shared" si="53"/>
        <v>0.3197286965648673</v>
      </c>
      <c r="Q100">
        <f t="shared" si="54"/>
        <v>0.9468759551566327</v>
      </c>
      <c r="R100">
        <f t="shared" si="44"/>
        <v>1</v>
      </c>
      <c r="AG100" s="8">
        <f t="shared" si="47"/>
        <v>0.49019893789961144</v>
      </c>
      <c r="AH100" s="8">
        <f t="shared" si="48"/>
        <v>-0.24755623176729477</v>
      </c>
      <c r="AI100" s="8">
        <f t="shared" si="49"/>
        <v>0.83571580898967712</v>
      </c>
      <c r="AJ100" s="8"/>
      <c r="AK100" s="8"/>
      <c r="AL100" s="8"/>
      <c r="AN100" s="8">
        <f t="shared" si="55"/>
        <v>1</v>
      </c>
      <c r="AO100" s="8">
        <f t="shared" si="56"/>
        <v>5.8155363276216541</v>
      </c>
      <c r="AP100" s="8">
        <f t="shared" si="57"/>
        <v>0.58136137489711148</v>
      </c>
      <c r="AQ100" s="8"/>
      <c r="AR100" s="8">
        <f t="shared" si="58"/>
        <v>333.20568717773079</v>
      </c>
      <c r="AS100" s="8">
        <f t="shared" si="59"/>
        <v>56.69044684647271</v>
      </c>
    </row>
    <row r="101" spans="1:45">
      <c r="A101" s="19">
        <v>7.1071</v>
      </c>
      <c r="B101" s="19">
        <v>905.39464940000005</v>
      </c>
      <c r="C101" s="19">
        <v>-31.068063120000001</v>
      </c>
      <c r="E101" s="9">
        <f t="shared" si="45"/>
        <v>-54.605350599999952</v>
      </c>
      <c r="F101" s="9">
        <f t="shared" si="50"/>
        <v>508.93193688000002</v>
      </c>
      <c r="I101">
        <v>1</v>
      </c>
      <c r="J101">
        <f t="shared" si="46"/>
        <v>0.32732413230903551</v>
      </c>
      <c r="K101">
        <f t="shared" si="51"/>
        <v>1.6776814388467658</v>
      </c>
      <c r="O101">
        <f t="shared" si="52"/>
        <v>-3.4299278338166067E-2</v>
      </c>
      <c r="P101">
        <f t="shared" si="53"/>
        <v>0.31967559893716957</v>
      </c>
      <c r="Q101">
        <f t="shared" si="54"/>
        <v>0.94690605180748688</v>
      </c>
      <c r="R101">
        <f t="shared" si="44"/>
        <v>1</v>
      </c>
      <c r="AG101" s="8">
        <f t="shared" si="47"/>
        <v>0.49036195364390966</v>
      </c>
      <c r="AH101" s="8">
        <f t="shared" si="48"/>
        <v>-0.24725812702672095</v>
      </c>
      <c r="AI101" s="8">
        <f t="shared" si="49"/>
        <v>0.83570842585064686</v>
      </c>
      <c r="AJ101" s="8"/>
      <c r="AK101" s="8"/>
      <c r="AL101" s="8"/>
      <c r="AN101" s="8">
        <f t="shared" si="55"/>
        <v>1</v>
      </c>
      <c r="AO101" s="8">
        <f t="shared" si="56"/>
        <v>5.8161546808014526</v>
      </c>
      <c r="AP101" s="8">
        <f t="shared" si="57"/>
        <v>0.58137481912895395</v>
      </c>
      <c r="AQ101" s="8"/>
      <c r="AR101" s="8">
        <f t="shared" si="58"/>
        <v>333.2411162051817</v>
      </c>
      <c r="AS101" s="8">
        <f t="shared" si="59"/>
        <v>56.689676548729338</v>
      </c>
    </row>
    <row r="102" spans="1:45">
      <c r="A102" s="19">
        <v>7.1404666670000001</v>
      </c>
      <c r="B102" s="19">
        <v>906.31856159999995</v>
      </c>
      <c r="C102" s="19">
        <v>-31.326609609999998</v>
      </c>
      <c r="E102" s="9">
        <f t="shared" si="45"/>
        <v>-53.681438400000047</v>
      </c>
      <c r="F102" s="9">
        <f t="shared" si="50"/>
        <v>508.67339039000001</v>
      </c>
      <c r="I102">
        <v>1</v>
      </c>
      <c r="J102">
        <f t="shared" si="46"/>
        <v>0.32711115456421452</v>
      </c>
      <c r="K102">
        <f t="shared" si="51"/>
        <v>1.6759393837097152</v>
      </c>
      <c r="O102">
        <f t="shared" si="52"/>
        <v>-3.3721168146406043E-2</v>
      </c>
      <c r="P102">
        <f t="shared" si="53"/>
        <v>0.31953430161706747</v>
      </c>
      <c r="Q102">
        <f t="shared" si="54"/>
        <v>0.94697450488856072</v>
      </c>
      <c r="R102">
        <f t="shared" si="44"/>
        <v>1</v>
      </c>
      <c r="AG102" s="8">
        <f t="shared" si="47"/>
        <v>0.49068545100454974</v>
      </c>
      <c r="AH102" s="8">
        <f t="shared" si="48"/>
        <v>-0.24675563223315267</v>
      </c>
      <c r="AI102" s="8">
        <f t="shared" si="49"/>
        <v>0.83566706656040879</v>
      </c>
      <c r="AJ102" s="8"/>
      <c r="AK102" s="8"/>
      <c r="AL102" s="8"/>
      <c r="AN102" s="8">
        <f t="shared" si="55"/>
        <v>1</v>
      </c>
      <c r="AO102" s="8">
        <f t="shared" si="56"/>
        <v>5.8172367883000575</v>
      </c>
      <c r="AP102" s="8">
        <f t="shared" si="57"/>
        <v>0.58145012670990337</v>
      </c>
      <c r="AQ102" s="8"/>
      <c r="AR102" s="8">
        <f t="shared" si="58"/>
        <v>333.30311639783122</v>
      </c>
      <c r="AS102" s="8">
        <f t="shared" si="59"/>
        <v>56.685361742175601</v>
      </c>
    </row>
    <row r="103" spans="1:45">
      <c r="A103" s="19">
        <v>7.1738333330000001</v>
      </c>
      <c r="B103" s="19">
        <v>907.18605879999996</v>
      </c>
      <c r="C103" s="19">
        <v>-31.858743140000001</v>
      </c>
      <c r="E103" s="9">
        <f t="shared" si="45"/>
        <v>-52.813941200000045</v>
      </c>
      <c r="F103" s="9">
        <f t="shared" si="50"/>
        <v>508.14125686</v>
      </c>
      <c r="I103">
        <v>1</v>
      </c>
      <c r="J103">
        <f t="shared" si="46"/>
        <v>0.32673921492012126</v>
      </c>
      <c r="K103">
        <f t="shared" si="51"/>
        <v>1.6743600263722056</v>
      </c>
      <c r="O103">
        <f t="shared" si="52"/>
        <v>-3.3180053396457417E-2</v>
      </c>
      <c r="P103">
        <f t="shared" si="53"/>
        <v>0.31923680854853143</v>
      </c>
      <c r="Q103">
        <f t="shared" si="54"/>
        <v>0.94709394683122994</v>
      </c>
      <c r="R103">
        <f t="shared" si="44"/>
        <v>1</v>
      </c>
      <c r="AG103" s="8">
        <f t="shared" si="47"/>
        <v>0.49112761440014852</v>
      </c>
      <c r="AH103" s="8">
        <f t="shared" si="48"/>
        <v>-0.24632884018775339</v>
      </c>
      <c r="AI103" s="8">
        <f t="shared" si="49"/>
        <v>0.83553322427380206</v>
      </c>
      <c r="AJ103" s="8"/>
      <c r="AK103" s="8"/>
      <c r="AL103" s="8"/>
      <c r="AN103" s="8">
        <f t="shared" si="55"/>
        <v>1.0000000000000004</v>
      </c>
      <c r="AO103" s="8">
        <f t="shared" si="56"/>
        <v>5.818292309098017</v>
      </c>
      <c r="AP103" s="8">
        <f t="shared" si="57"/>
        <v>0.58169376952003993</v>
      </c>
      <c r="AQ103" s="8"/>
      <c r="AR103" s="8">
        <f t="shared" si="58"/>
        <v>333.36359328474259</v>
      </c>
      <c r="AS103" s="8">
        <f t="shared" si="59"/>
        <v>56.671402037446065</v>
      </c>
    </row>
    <row r="104" spans="1:45">
      <c r="A104" s="19">
        <v>7.2072000000000003</v>
      </c>
      <c r="B104" s="19">
        <v>907.79101419999995</v>
      </c>
      <c r="C104" s="19">
        <v>-32.178353370000004</v>
      </c>
      <c r="E104" s="9">
        <f t="shared" si="45"/>
        <v>-52.20898580000005</v>
      </c>
      <c r="F104" s="9">
        <f t="shared" si="50"/>
        <v>507.82164662999998</v>
      </c>
      <c r="I104">
        <v>1</v>
      </c>
      <c r="J104">
        <f t="shared" si="46"/>
        <v>0.3265109883624388</v>
      </c>
      <c r="K104">
        <f t="shared" si="51"/>
        <v>1.6732460692205198</v>
      </c>
      <c r="O104">
        <f t="shared" si="52"/>
        <v>-3.280230990494034E-2</v>
      </c>
      <c r="P104">
        <f t="shared" si="53"/>
        <v>0.31905854469202044</v>
      </c>
      <c r="Q104">
        <f t="shared" si="54"/>
        <v>0.94716717295518127</v>
      </c>
      <c r="R104">
        <f t="shared" si="44"/>
        <v>1</v>
      </c>
      <c r="AG104" s="8">
        <f t="shared" si="47"/>
        <v>0.49141125623042947</v>
      </c>
      <c r="AH104" s="8">
        <f t="shared" si="48"/>
        <v>-0.24602306774524324</v>
      </c>
      <c r="AI104" s="8">
        <f t="shared" si="49"/>
        <v>0.83545653829942035</v>
      </c>
      <c r="AJ104" s="8"/>
      <c r="AK104" s="8"/>
      <c r="AL104" s="8"/>
      <c r="AN104" s="8">
        <f t="shared" si="55"/>
        <v>1.0000000000000002</v>
      </c>
      <c r="AO104" s="8">
        <f t="shared" si="56"/>
        <v>5.8190210513243708</v>
      </c>
      <c r="AP104" s="8">
        <f t="shared" si="57"/>
        <v>0.58183332588413783</v>
      </c>
      <c r="AQ104" s="8"/>
      <c r="AR104" s="8">
        <f t="shared" si="58"/>
        <v>333.40534713866566</v>
      </c>
      <c r="AS104" s="8">
        <f t="shared" si="59"/>
        <v>56.663406046779066</v>
      </c>
    </row>
    <row r="105" spans="1:45">
      <c r="A105" s="19">
        <v>7.2405666670000004</v>
      </c>
      <c r="B105" s="19">
        <v>908.42254079999998</v>
      </c>
      <c r="C105" s="19">
        <v>-32.154086829999997</v>
      </c>
      <c r="E105" s="9">
        <f t="shared" si="45"/>
        <v>-51.577459200000021</v>
      </c>
      <c r="F105" s="9">
        <f t="shared" si="50"/>
        <v>507.84591317000002</v>
      </c>
      <c r="I105">
        <v>1</v>
      </c>
      <c r="J105">
        <f t="shared" si="46"/>
        <v>0.32648693553068492</v>
      </c>
      <c r="K105">
        <f t="shared" si="51"/>
        <v>1.6720105184603811</v>
      </c>
      <c r="O105">
        <f t="shared" si="52"/>
        <v>-3.2405769998621645E-2</v>
      </c>
      <c r="P105">
        <f t="shared" si="53"/>
        <v>0.31907616451426518</v>
      </c>
      <c r="Q105">
        <f t="shared" si="54"/>
        <v>0.94717488739390787</v>
      </c>
      <c r="R105">
        <f t="shared" si="44"/>
        <v>1</v>
      </c>
      <c r="AG105" s="8">
        <f t="shared" si="47"/>
        <v>0.49153591633866101</v>
      </c>
      <c r="AH105" s="8">
        <f t="shared" si="48"/>
        <v>-0.24564796544539153</v>
      </c>
      <c r="AI105" s="8">
        <f t="shared" si="49"/>
        <v>0.83549357868367413</v>
      </c>
      <c r="AJ105" s="8"/>
      <c r="AK105" s="8"/>
      <c r="AL105" s="8"/>
      <c r="AN105" s="8">
        <f t="shared" si="55"/>
        <v>1.0000000000000002</v>
      </c>
      <c r="AO105" s="8">
        <f t="shared" si="56"/>
        <v>5.8197330115815538</v>
      </c>
      <c r="AP105" s="8">
        <f t="shared" si="57"/>
        <v>0.58176592193103349</v>
      </c>
      <c r="AQ105" s="8"/>
      <c r="AR105" s="8">
        <f t="shared" si="58"/>
        <v>333.4461394565833</v>
      </c>
      <c r="AS105" s="8">
        <f t="shared" si="59"/>
        <v>56.667268008814439</v>
      </c>
    </row>
    <row r="106" spans="1:45">
      <c r="A106" s="19">
        <v>7.2739333329999996</v>
      </c>
      <c r="B106" s="19">
        <v>909.38503609999998</v>
      </c>
      <c r="C106" s="19">
        <v>-32.943870279999999</v>
      </c>
      <c r="E106" s="9">
        <f t="shared" si="45"/>
        <v>-50.614963900000021</v>
      </c>
      <c r="F106" s="9">
        <f t="shared" si="50"/>
        <v>507.05612972</v>
      </c>
      <c r="I106">
        <v>1</v>
      </c>
      <c r="J106">
        <f t="shared" si="46"/>
        <v>0.32595709678022267</v>
      </c>
      <c r="K106">
        <f t="shared" si="51"/>
        <v>1.6702879709847787</v>
      </c>
      <c r="O106">
        <f t="shared" si="52"/>
        <v>-3.1806246337127829E-2</v>
      </c>
      <c r="P106">
        <f t="shared" si="53"/>
        <v>0.31863209861194758</v>
      </c>
      <c r="Q106">
        <f t="shared" si="54"/>
        <v>0.94734468301040675</v>
      </c>
      <c r="R106">
        <f t="shared" si="44"/>
        <v>1</v>
      </c>
      <c r="AG106" s="8">
        <f t="shared" si="47"/>
        <v>0.49212169437041392</v>
      </c>
      <c r="AH106" s="8">
        <f t="shared" si="48"/>
        <v>-0.24520501568314537</v>
      </c>
      <c r="AI106" s="8">
        <f t="shared" si="49"/>
        <v>0.83527883860051277</v>
      </c>
      <c r="AJ106" s="8"/>
      <c r="AK106" s="8"/>
      <c r="AL106" s="8"/>
      <c r="AN106" s="8">
        <f t="shared" si="55"/>
        <v>1</v>
      </c>
      <c r="AO106" s="8">
        <f t="shared" si="56"/>
        <v>5.8209299175611253</v>
      </c>
      <c r="AP106" s="8">
        <f t="shared" si="57"/>
        <v>0.58215659754022364</v>
      </c>
      <c r="AQ106" s="8"/>
      <c r="AR106" s="8">
        <f t="shared" si="58"/>
        <v>333.5147171176867</v>
      </c>
      <c r="AS106" s="8">
        <f t="shared" si="59"/>
        <v>56.644883945249141</v>
      </c>
    </row>
    <row r="107" spans="1:45">
      <c r="A107" s="19">
        <v>7.3072999999999997</v>
      </c>
      <c r="B107" s="19">
        <v>909.99864830000001</v>
      </c>
      <c r="C107" s="19">
        <v>-33.233141570000001</v>
      </c>
      <c r="E107" s="9">
        <f t="shared" si="45"/>
        <v>-50.001351699999987</v>
      </c>
      <c r="F107" s="9">
        <f t="shared" si="50"/>
        <v>506.76685843000001</v>
      </c>
      <c r="I107">
        <v>1</v>
      </c>
      <c r="J107">
        <f t="shared" si="46"/>
        <v>0.3257477765313665</v>
      </c>
      <c r="K107">
        <f t="shared" si="51"/>
        <v>1.6691453675106958</v>
      </c>
      <c r="O107">
        <f t="shared" si="52"/>
        <v>-3.1422683787281525E-2</v>
      </c>
      <c r="P107">
        <f t="shared" si="53"/>
        <v>0.31847088538448393</v>
      </c>
      <c r="Q107">
        <f t="shared" si="54"/>
        <v>0.94741168987195179</v>
      </c>
      <c r="R107">
        <f t="shared" si="44"/>
        <v>1</v>
      </c>
      <c r="AG107" s="8">
        <f t="shared" si="47"/>
        <v>0.4923924861927505</v>
      </c>
      <c r="AH107" s="8">
        <f t="shared" si="48"/>
        <v>-0.24488911319419066</v>
      </c>
      <c r="AI107" s="8">
        <f t="shared" si="49"/>
        <v>0.83521192626774965</v>
      </c>
      <c r="AJ107" s="8"/>
      <c r="AK107" s="8"/>
      <c r="AL107" s="8"/>
      <c r="AN107" s="8">
        <f t="shared" si="55"/>
        <v>1</v>
      </c>
      <c r="AO107" s="8">
        <f t="shared" si="56"/>
        <v>5.8216636727735196</v>
      </c>
      <c r="AP107" s="8">
        <f t="shared" si="57"/>
        <v>0.58227828345334287</v>
      </c>
      <c r="AQ107" s="8"/>
      <c r="AR107" s="8">
        <f t="shared" si="58"/>
        <v>333.55675819455263</v>
      </c>
      <c r="AS107" s="8">
        <f t="shared" si="59"/>
        <v>56.637911856001217</v>
      </c>
    </row>
    <row r="108" spans="1:45">
      <c r="A108" s="19">
        <v>7.3406666669999998</v>
      </c>
      <c r="B108" s="19">
        <v>910.64167190000001</v>
      </c>
      <c r="C108" s="19">
        <v>-33.207825210000003</v>
      </c>
      <c r="E108" s="9">
        <f t="shared" si="45"/>
        <v>-49.358328099999994</v>
      </c>
      <c r="F108" s="9">
        <f t="shared" si="50"/>
        <v>506.79217478999999</v>
      </c>
      <c r="I108">
        <v>1</v>
      </c>
      <c r="J108">
        <f t="shared" si="46"/>
        <v>0.32572522457442105</v>
      </c>
      <c r="K108">
        <f t="shared" si="51"/>
        <v>1.6678837517085128</v>
      </c>
      <c r="O108">
        <f t="shared" si="52"/>
        <v>-3.1018799865671028E-2</v>
      </c>
      <c r="P108">
        <f t="shared" si="53"/>
        <v>0.31848900982728356</v>
      </c>
      <c r="Q108">
        <f t="shared" si="54"/>
        <v>0.9474189066480202</v>
      </c>
      <c r="R108">
        <f t="shared" si="44"/>
        <v>1</v>
      </c>
      <c r="AG108" s="8">
        <f t="shared" si="47"/>
        <v>0.49251887970943931</v>
      </c>
      <c r="AH108" s="8">
        <f t="shared" si="48"/>
        <v>-0.24450685209580858</v>
      </c>
      <c r="AI108" s="8">
        <f t="shared" si="49"/>
        <v>0.83524939533528397</v>
      </c>
      <c r="AJ108" s="8"/>
      <c r="AK108" s="8"/>
      <c r="AL108" s="8"/>
      <c r="AN108" s="8">
        <f t="shared" si="55"/>
        <v>1.0000000000000002</v>
      </c>
      <c r="AO108" s="8">
        <f t="shared" si="56"/>
        <v>5.8223884821109015</v>
      </c>
      <c r="AP108" s="8">
        <f t="shared" si="57"/>
        <v>0.5822101454571299</v>
      </c>
      <c r="AQ108" s="8"/>
      <c r="AR108" s="8">
        <f t="shared" si="58"/>
        <v>333.59828671053629</v>
      </c>
      <c r="AS108" s="8">
        <f t="shared" si="59"/>
        <v>56.6418158756087</v>
      </c>
    </row>
    <row r="109" spans="1:45">
      <c r="A109" s="19">
        <v>7.3740333329999999</v>
      </c>
      <c r="B109" s="19">
        <v>911.43356719999997</v>
      </c>
      <c r="C109" s="19">
        <v>-33.882566500000003</v>
      </c>
      <c r="E109" s="9">
        <f t="shared" si="45"/>
        <v>-48.56643280000003</v>
      </c>
      <c r="F109" s="9">
        <f t="shared" si="50"/>
        <v>506.1174335</v>
      </c>
      <c r="I109">
        <v>1</v>
      </c>
      <c r="J109">
        <f t="shared" si="46"/>
        <v>0.32527590698672615</v>
      </c>
      <c r="K109">
        <f t="shared" si="51"/>
        <v>1.6664622329245014</v>
      </c>
      <c r="O109">
        <f t="shared" si="52"/>
        <v>-3.0525365364595897E-2</v>
      </c>
      <c r="P109">
        <f t="shared" si="53"/>
        <v>0.31810900418815802</v>
      </c>
      <c r="Q109">
        <f t="shared" si="54"/>
        <v>0.94756259082119554</v>
      </c>
      <c r="R109">
        <f t="shared" si="44"/>
        <v>1</v>
      </c>
      <c r="AG109" s="8">
        <f t="shared" si="47"/>
        <v>0.4930125666062346</v>
      </c>
      <c r="AH109" s="8">
        <f t="shared" si="48"/>
        <v>-0.24414584724364002</v>
      </c>
      <c r="AI109" s="8">
        <f t="shared" si="49"/>
        <v>0.83506371879157715</v>
      </c>
      <c r="AJ109" s="8"/>
      <c r="AK109" s="8"/>
      <c r="AL109" s="8"/>
      <c r="AN109" s="8">
        <f t="shared" si="55"/>
        <v>0.99999999999999989</v>
      </c>
      <c r="AO109" s="8">
        <f t="shared" si="56"/>
        <v>5.8233752532987104</v>
      </c>
      <c r="AP109" s="8">
        <f t="shared" si="57"/>
        <v>0.58254773163876272</v>
      </c>
      <c r="AQ109" s="8"/>
      <c r="AR109" s="8">
        <f t="shared" si="58"/>
        <v>333.65482453494286</v>
      </c>
      <c r="AS109" s="8">
        <f t="shared" si="59"/>
        <v>56.622473612179199</v>
      </c>
    </row>
    <row r="110" spans="1:45">
      <c r="A110" s="19">
        <v>7.4074</v>
      </c>
      <c r="B110" s="19">
        <v>912.25017809999997</v>
      </c>
      <c r="C110" s="19">
        <v>-33.973376000000002</v>
      </c>
      <c r="E110" s="9">
        <f t="shared" si="45"/>
        <v>-47.749821900000029</v>
      </c>
      <c r="F110" s="9">
        <f t="shared" si="50"/>
        <v>506.02662399999997</v>
      </c>
      <c r="I110">
        <v>1</v>
      </c>
      <c r="J110">
        <f t="shared" si="46"/>
        <v>0.32517509126078087</v>
      </c>
      <c r="K110">
        <f t="shared" si="51"/>
        <v>1.6648800108686628</v>
      </c>
      <c r="O110">
        <f t="shared" si="52"/>
        <v>-3.0013033644057392E-2</v>
      </c>
      <c r="P110">
        <f t="shared" si="53"/>
        <v>0.31806179555406444</v>
      </c>
      <c r="Q110">
        <f t="shared" si="54"/>
        <v>0.947594803711167</v>
      </c>
      <c r="R110">
        <f t="shared" si="44"/>
        <v>1</v>
      </c>
      <c r="AG110" s="8">
        <f t="shared" si="47"/>
        <v>0.49323176730006713</v>
      </c>
      <c r="AH110" s="8">
        <f t="shared" si="48"/>
        <v>-0.24367931260813691</v>
      </c>
      <c r="AI110" s="8">
        <f t="shared" si="49"/>
        <v>0.83507054572226314</v>
      </c>
      <c r="AJ110" s="8"/>
      <c r="AK110" s="8"/>
      <c r="AL110" s="8"/>
      <c r="AN110" s="8">
        <f t="shared" si="55"/>
        <v>1</v>
      </c>
      <c r="AO110" s="8">
        <f t="shared" si="56"/>
        <v>5.8243120196916314</v>
      </c>
      <c r="AP110" s="8">
        <f t="shared" si="57"/>
        <v>0.58253532237802041</v>
      </c>
      <c r="AQ110" s="8"/>
      <c r="AR110" s="8">
        <f t="shared" si="58"/>
        <v>333.70849729564691</v>
      </c>
      <c r="AS110" s="8">
        <f t="shared" si="59"/>
        <v>56.623184610446614</v>
      </c>
    </row>
    <row r="111" spans="1:45">
      <c r="A111" s="19">
        <v>7.4407666670000001</v>
      </c>
      <c r="B111" s="19">
        <v>912.48213750000002</v>
      </c>
      <c r="C111" s="19">
        <v>-34.137554119999997</v>
      </c>
      <c r="E111" s="9">
        <f t="shared" si="45"/>
        <v>-47.517862499999978</v>
      </c>
      <c r="F111" s="9">
        <f t="shared" si="50"/>
        <v>505.86244588</v>
      </c>
      <c r="I111">
        <v>1</v>
      </c>
      <c r="J111">
        <f t="shared" si="46"/>
        <v>0.32506378919523249</v>
      </c>
      <c r="K111">
        <f t="shared" si="51"/>
        <v>1.6644558534878298</v>
      </c>
      <c r="O111">
        <f t="shared" si="52"/>
        <v>-2.9868258739993943E-2</v>
      </c>
      <c r="P111">
        <f t="shared" si="53"/>
        <v>0.31796948821908932</v>
      </c>
      <c r="Q111">
        <f t="shared" si="54"/>
        <v>0.94763035603632451</v>
      </c>
      <c r="R111">
        <f t="shared" si="44"/>
        <v>1</v>
      </c>
      <c r="AG111" s="8">
        <f t="shared" si="47"/>
        <v>0.49336030457725827</v>
      </c>
      <c r="AH111" s="8">
        <f t="shared" si="48"/>
        <v>-0.24356828653449908</v>
      </c>
      <c r="AI111" s="8">
        <f t="shared" si="49"/>
        <v>0.83502700534897856</v>
      </c>
      <c r="AJ111" s="8"/>
      <c r="AK111" s="8"/>
      <c r="AL111" s="8"/>
      <c r="AN111" s="8">
        <f t="shared" si="55"/>
        <v>1</v>
      </c>
      <c r="AO111" s="8">
        <f t="shared" si="56"/>
        <v>5.8245964111691606</v>
      </c>
      <c r="AP111" s="8">
        <f t="shared" si="57"/>
        <v>0.58261446138033868</v>
      </c>
      <c r="AQ111" s="8"/>
      <c r="AR111" s="8">
        <f t="shared" si="58"/>
        <v>333.72479172703879</v>
      </c>
      <c r="AS111" s="8">
        <f t="shared" si="59"/>
        <v>56.618650279618898</v>
      </c>
    </row>
    <row r="112" spans="1:45">
      <c r="A112" s="19">
        <v>7.4741333330000002</v>
      </c>
      <c r="B112" s="19">
        <v>913.6223407</v>
      </c>
      <c r="C112" s="19">
        <v>-34.714394349999999</v>
      </c>
      <c r="E112" s="9">
        <f t="shared" si="45"/>
        <v>-46.377659300000005</v>
      </c>
      <c r="F112" s="9">
        <f t="shared" si="50"/>
        <v>505.28560564999998</v>
      </c>
      <c r="I112">
        <v>1</v>
      </c>
      <c r="J112">
        <f t="shared" si="46"/>
        <v>0.32465517058153737</v>
      </c>
      <c r="K112">
        <f t="shared" si="51"/>
        <v>1.6623249139047802</v>
      </c>
      <c r="O112">
        <f t="shared" si="52"/>
        <v>-2.9155223053515325E-2</v>
      </c>
      <c r="P112">
        <f t="shared" si="53"/>
        <v>0.31764678857900758</v>
      </c>
      <c r="Q112">
        <f t="shared" si="54"/>
        <v>0.94776077713426343</v>
      </c>
      <c r="R112">
        <f t="shared" si="44"/>
        <v>1</v>
      </c>
      <c r="AG112" s="8">
        <f t="shared" si="47"/>
        <v>0.49388175103198828</v>
      </c>
      <c r="AH112" s="8">
        <f t="shared" si="48"/>
        <v>-0.24298656705499874</v>
      </c>
      <c r="AI112" s="8">
        <f t="shared" si="49"/>
        <v>0.83488822259533868</v>
      </c>
      <c r="AJ112" s="8"/>
      <c r="AK112" s="8"/>
      <c r="AL112" s="8"/>
      <c r="AN112" s="8">
        <f t="shared" si="55"/>
        <v>1</v>
      </c>
      <c r="AO112" s="8">
        <f t="shared" si="56"/>
        <v>5.8259634610286595</v>
      </c>
      <c r="AP112" s="8">
        <f t="shared" si="57"/>
        <v>0.58286664957001133</v>
      </c>
      <c r="AQ112" s="8"/>
      <c r="AR112" s="8">
        <f t="shared" si="58"/>
        <v>333.80311791437202</v>
      </c>
      <c r="AS112" s="8">
        <f t="shared" si="59"/>
        <v>56.604200960707608</v>
      </c>
    </row>
    <row r="113" spans="1:45">
      <c r="A113" s="19">
        <v>7.5075000000000003</v>
      </c>
      <c r="B113" s="19">
        <v>914.4919281</v>
      </c>
      <c r="C113" s="19">
        <v>-35.043449109999997</v>
      </c>
      <c r="E113" s="9">
        <f t="shared" si="45"/>
        <v>-45.508071900000004</v>
      </c>
      <c r="F113" s="9">
        <f t="shared" si="50"/>
        <v>504.95655089000002</v>
      </c>
      <c r="I113">
        <v>1</v>
      </c>
      <c r="J113">
        <f t="shared" si="46"/>
        <v>0.32441079408864026</v>
      </c>
      <c r="K113">
        <f t="shared" si="51"/>
        <v>1.6606762612093862</v>
      </c>
      <c r="O113">
        <f t="shared" si="52"/>
        <v>-2.8610704463486614E-2</v>
      </c>
      <c r="P113">
        <f t="shared" si="53"/>
        <v>0.31746373865633642</v>
      </c>
      <c r="Q113">
        <f t="shared" si="54"/>
        <v>0.94783870053318897</v>
      </c>
      <c r="R113">
        <f t="shared" si="44"/>
        <v>1</v>
      </c>
      <c r="AG113" s="8">
        <f t="shared" si="47"/>
        <v>0.49422618158400133</v>
      </c>
      <c r="AH113" s="8">
        <f t="shared" si="48"/>
        <v>-0.242525502326357</v>
      </c>
      <c r="AI113" s="8">
        <f t="shared" si="49"/>
        <v>0.83481846059981568</v>
      </c>
      <c r="AJ113" s="8"/>
      <c r="AK113" s="8"/>
      <c r="AL113" s="8"/>
      <c r="AN113" s="8">
        <f t="shared" si="55"/>
        <v>1</v>
      </c>
      <c r="AO113" s="8">
        <f t="shared" si="56"/>
        <v>5.8269911279138675</v>
      </c>
      <c r="AP113" s="8">
        <f t="shared" si="57"/>
        <v>0.58299338070472184</v>
      </c>
      <c r="AQ113" s="8"/>
      <c r="AR113" s="8">
        <f t="shared" si="58"/>
        <v>333.86199888963984</v>
      </c>
      <c r="AS113" s="8">
        <f t="shared" si="59"/>
        <v>56.596939801555799</v>
      </c>
    </row>
    <row r="114" spans="1:45">
      <c r="A114" s="19">
        <v>7.5408666670000004</v>
      </c>
      <c r="B114" s="19">
        <v>914.82500770000001</v>
      </c>
      <c r="C114" s="19">
        <v>-34.963262120000003</v>
      </c>
      <c r="E114" s="9">
        <f t="shared" si="45"/>
        <v>-45.174992299999985</v>
      </c>
      <c r="F114" s="9">
        <f t="shared" si="50"/>
        <v>505.03673787999998</v>
      </c>
      <c r="I114">
        <v>1</v>
      </c>
      <c r="J114">
        <f t="shared" si="46"/>
        <v>0.32444090496126271</v>
      </c>
      <c r="K114">
        <f t="shared" si="51"/>
        <v>1.6600078250434023</v>
      </c>
      <c r="O114">
        <f t="shared" si="52"/>
        <v>-2.8401036572923442E-2</v>
      </c>
      <c r="P114">
        <f t="shared" si="53"/>
        <v>0.3175112187722462</v>
      </c>
      <c r="Q114">
        <f t="shared" si="54"/>
        <v>0.94782910225174366</v>
      </c>
      <c r="R114">
        <f t="shared" si="44"/>
        <v>1</v>
      </c>
      <c r="AG114" s="8">
        <f t="shared" si="47"/>
        <v>0.4942592556270391</v>
      </c>
      <c r="AH114" s="8">
        <f t="shared" si="48"/>
        <v>-0.24231685960088184</v>
      </c>
      <c r="AI114" s="8">
        <f t="shared" si="49"/>
        <v>0.83485946588642801</v>
      </c>
      <c r="AJ114" s="8"/>
      <c r="AK114" s="8"/>
      <c r="AL114" s="8"/>
      <c r="AN114" s="8">
        <f t="shared" si="55"/>
        <v>1.0000000000000002</v>
      </c>
      <c r="AO114" s="8">
        <f t="shared" si="56"/>
        <v>5.8273578668509778</v>
      </c>
      <c r="AP114" s="8">
        <f t="shared" si="57"/>
        <v>0.58291889257405971</v>
      </c>
      <c r="AQ114" s="8"/>
      <c r="AR114" s="8">
        <f t="shared" si="58"/>
        <v>333.88301148291936</v>
      </c>
      <c r="AS114" s="8">
        <f t="shared" si="59"/>
        <v>56.601207657066553</v>
      </c>
    </row>
    <row r="115" spans="1:45">
      <c r="A115" s="19">
        <v>7.5742333329999996</v>
      </c>
      <c r="B115" s="19">
        <v>915.53538490000005</v>
      </c>
      <c r="C115" s="19">
        <v>-35.729990340000001</v>
      </c>
      <c r="E115" s="9">
        <f t="shared" si="45"/>
        <v>-44.464615099999946</v>
      </c>
      <c r="F115" s="9">
        <f t="shared" si="50"/>
        <v>504.27000966000003</v>
      </c>
      <c r="I115">
        <v>1</v>
      </c>
      <c r="J115">
        <f t="shared" si="46"/>
        <v>0.32394385061445807</v>
      </c>
      <c r="K115">
        <f t="shared" si="51"/>
        <v>1.6587450661107714</v>
      </c>
      <c r="O115">
        <f t="shared" si="52"/>
        <v>-2.7958689209801026E-2</v>
      </c>
      <c r="P115">
        <f t="shared" si="53"/>
        <v>0.31707748838485622</v>
      </c>
      <c r="Q115">
        <f t="shared" si="54"/>
        <v>0.94798743560092669</v>
      </c>
      <c r="R115">
        <f t="shared" si="44"/>
        <v>1</v>
      </c>
      <c r="AG115" s="8">
        <f t="shared" si="47"/>
        <v>0.49477911129534924</v>
      </c>
      <c r="AH115" s="8">
        <f t="shared" si="48"/>
        <v>-0.24201728648142476</v>
      </c>
      <c r="AI115" s="8">
        <f t="shared" si="49"/>
        <v>0.83463840318424865</v>
      </c>
      <c r="AJ115" s="8"/>
      <c r="AK115" s="8"/>
      <c r="AL115" s="8"/>
      <c r="AN115" s="8">
        <f t="shared" si="55"/>
        <v>1</v>
      </c>
      <c r="AO115" s="8">
        <f t="shared" si="56"/>
        <v>5.828261698996851</v>
      </c>
      <c r="AP115" s="8">
        <f t="shared" si="57"/>
        <v>0.5833203643703383</v>
      </c>
      <c r="AQ115" s="8"/>
      <c r="AR115" s="8">
        <f t="shared" si="58"/>
        <v>333.93479725026617</v>
      </c>
      <c r="AS115" s="8">
        <f t="shared" si="59"/>
        <v>56.578205017546253</v>
      </c>
    </row>
    <row r="116" spans="1:45">
      <c r="A116" s="19">
        <v>7.6075999999999997</v>
      </c>
      <c r="B116" s="19">
        <v>916.22595750000005</v>
      </c>
      <c r="C116" s="19">
        <v>-36.004191339999998</v>
      </c>
      <c r="E116" s="9">
        <f t="shared" si="45"/>
        <v>-43.77404249999995</v>
      </c>
      <c r="F116" s="9">
        <f t="shared" si="50"/>
        <v>503.99580866000002</v>
      </c>
      <c r="I116">
        <v>1</v>
      </c>
      <c r="J116">
        <f t="shared" si="46"/>
        <v>0.32374333851050474</v>
      </c>
      <c r="K116">
        <f t="shared" si="51"/>
        <v>1.6574328935856906</v>
      </c>
      <c r="O116">
        <f t="shared" si="52"/>
        <v>-2.7526156796433457E-2</v>
      </c>
      <c r="P116">
        <f t="shared" si="53"/>
        <v>0.31692452562315809</v>
      </c>
      <c r="Q116">
        <f t="shared" si="54"/>
        <v>0.9480512410996329</v>
      </c>
      <c r="R116">
        <f t="shared" si="44"/>
        <v>1</v>
      </c>
      <c r="AG116" s="8">
        <f t="shared" si="47"/>
        <v>0.49505862420460112</v>
      </c>
      <c r="AH116" s="8">
        <f t="shared" si="48"/>
        <v>-0.24165285943097684</v>
      </c>
      <c r="AI116" s="8">
        <f t="shared" si="49"/>
        <v>0.83457824925496349</v>
      </c>
      <c r="AJ116" s="8"/>
      <c r="AK116" s="8"/>
      <c r="AL116" s="8"/>
      <c r="AN116" s="8">
        <f t="shared" si="55"/>
        <v>0.99999999999999989</v>
      </c>
      <c r="AO116" s="8">
        <f t="shared" si="56"/>
        <v>5.8290788849852477</v>
      </c>
      <c r="AP116" s="8">
        <f t="shared" si="57"/>
        <v>0.58342956760469211</v>
      </c>
      <c r="AQ116" s="8"/>
      <c r="AR116" s="8">
        <f t="shared" si="58"/>
        <v>333.98161855847849</v>
      </c>
      <c r="AS116" s="8">
        <f t="shared" si="59"/>
        <v>56.571948133108606</v>
      </c>
    </row>
    <row r="117" spans="1:45">
      <c r="A117" s="19">
        <v>7.6409666669999998</v>
      </c>
      <c r="B117" s="19">
        <v>917.60608260000004</v>
      </c>
      <c r="C117" s="19">
        <v>-36.181449739999998</v>
      </c>
      <c r="E117" s="9">
        <f t="shared" si="45"/>
        <v>-42.393917399999964</v>
      </c>
      <c r="F117" s="9">
        <f t="shared" si="50"/>
        <v>503.81855025999999</v>
      </c>
      <c r="I117">
        <v>1</v>
      </c>
      <c r="J117">
        <f t="shared" si="46"/>
        <v>0.32356636939367917</v>
      </c>
      <c r="K117">
        <f t="shared" si="51"/>
        <v>1.6547437812379997</v>
      </c>
      <c r="O117">
        <f t="shared" si="52"/>
        <v>-2.6659744411683828E-2</v>
      </c>
      <c r="P117">
        <f t="shared" si="53"/>
        <v>0.31683021064235756</v>
      </c>
      <c r="Q117">
        <f t="shared" si="54"/>
        <v>0.94810752325473246</v>
      </c>
      <c r="R117">
        <f t="shared" si="44"/>
        <v>1</v>
      </c>
      <c r="AG117" s="8">
        <f t="shared" si="47"/>
        <v>0.49543930239673328</v>
      </c>
      <c r="AH117" s="8">
        <f t="shared" si="48"/>
        <v>-0.24086684684519513</v>
      </c>
      <c r="AI117" s="8">
        <f t="shared" si="49"/>
        <v>0.83457957064110533</v>
      </c>
      <c r="AJ117" s="8"/>
      <c r="AK117" s="8"/>
      <c r="AL117" s="8"/>
      <c r="AN117" s="8">
        <f t="shared" si="55"/>
        <v>1.0000000000000002</v>
      </c>
      <c r="AO117" s="8">
        <f t="shared" si="56"/>
        <v>5.8306642203842873</v>
      </c>
      <c r="AP117" s="8">
        <f t="shared" si="57"/>
        <v>0.58342716895895674</v>
      </c>
      <c r="AQ117" s="8"/>
      <c r="AR117" s="8">
        <f t="shared" si="58"/>
        <v>334.07245158595617</v>
      </c>
      <c r="AS117" s="8">
        <f t="shared" si="59"/>
        <v>56.572085565385784</v>
      </c>
    </row>
    <row r="118" spans="1:45">
      <c r="A118" s="19">
        <v>7.6743333329999999</v>
      </c>
      <c r="B118" s="19">
        <v>917.76099729999999</v>
      </c>
      <c r="C118" s="19">
        <v>-36.115331259999998</v>
      </c>
      <c r="E118" s="9">
        <f t="shared" si="45"/>
        <v>-42.239002700000015</v>
      </c>
      <c r="F118" s="9">
        <f t="shared" si="50"/>
        <v>503.88466874</v>
      </c>
      <c r="I118">
        <v>1</v>
      </c>
      <c r="J118">
        <f t="shared" si="46"/>
        <v>0.32359820615857326</v>
      </c>
      <c r="K118">
        <f t="shared" si="51"/>
        <v>1.6544275298532451</v>
      </c>
      <c r="O118">
        <f t="shared" si="52"/>
        <v>-2.6562066513020784E-2</v>
      </c>
      <c r="P118">
        <f t="shared" si="53"/>
        <v>0.31686870499817293</v>
      </c>
      <c r="Q118">
        <f t="shared" si="54"/>
        <v>0.94809740027875766</v>
      </c>
      <c r="R118">
        <f t="shared" si="44"/>
        <v>1</v>
      </c>
      <c r="AG118" s="8">
        <f t="shared" si="47"/>
        <v>0.4954407791663239</v>
      </c>
      <c r="AH118" s="8">
        <f t="shared" si="48"/>
        <v>-0.24076528452123103</v>
      </c>
      <c r="AI118" s="8">
        <f t="shared" si="49"/>
        <v>0.83460799906811145</v>
      </c>
      <c r="AJ118" s="8"/>
      <c r="AK118" s="8"/>
      <c r="AL118" s="8"/>
      <c r="AN118" s="8">
        <f t="shared" si="55"/>
        <v>1.0000000000000002</v>
      </c>
      <c r="AO118" s="8">
        <f t="shared" si="56"/>
        <v>5.8308312104499995</v>
      </c>
      <c r="AP118" s="8">
        <f t="shared" si="57"/>
        <v>0.58337556215551234</v>
      </c>
      <c r="AQ118" s="8"/>
      <c r="AR118" s="8">
        <f t="shared" si="58"/>
        <v>334.0820194119421</v>
      </c>
      <c r="AS118" s="8">
        <f t="shared" si="59"/>
        <v>56.575042417417315</v>
      </c>
    </row>
    <row r="119" spans="1:45">
      <c r="A119" s="19">
        <v>7.7077</v>
      </c>
      <c r="B119" s="19">
        <v>918.22142919999999</v>
      </c>
      <c r="C119" s="19">
        <v>-36.391490650000001</v>
      </c>
      <c r="E119" s="9">
        <f t="shared" si="45"/>
        <v>-41.778570800000011</v>
      </c>
      <c r="F119" s="9">
        <f t="shared" si="50"/>
        <v>503.60850935000002</v>
      </c>
      <c r="I119">
        <v>1</v>
      </c>
      <c r="J119">
        <f t="shared" si="46"/>
        <v>0.32340961918655781</v>
      </c>
      <c r="K119">
        <f t="shared" si="51"/>
        <v>1.6535652284278599</v>
      </c>
      <c r="O119">
        <f t="shared" si="52"/>
        <v>-2.6274037777865543E-2</v>
      </c>
      <c r="P119">
        <f t="shared" si="53"/>
        <v>0.31671329934331993</v>
      </c>
      <c r="Q119">
        <f t="shared" si="54"/>
        <v>0.9481573503158196</v>
      </c>
      <c r="R119">
        <f t="shared" si="44"/>
        <v>1</v>
      </c>
      <c r="AG119" s="8">
        <f t="shared" si="47"/>
        <v>0.49567172059897557</v>
      </c>
      <c r="AH119" s="8">
        <f t="shared" si="48"/>
        <v>-0.240536582642907</v>
      </c>
      <c r="AI119" s="8">
        <f t="shared" si="49"/>
        <v>0.83453681632922772</v>
      </c>
      <c r="AJ119" s="8"/>
      <c r="AK119" s="8"/>
      <c r="AL119" s="8"/>
      <c r="AN119" s="8">
        <f t="shared" si="55"/>
        <v>1</v>
      </c>
      <c r="AO119" s="8">
        <f t="shared" si="56"/>
        <v>5.8313877742361875</v>
      </c>
      <c r="AP119" s="8">
        <f t="shared" si="57"/>
        <v>0.58350477428784131</v>
      </c>
      <c r="AQ119" s="8"/>
      <c r="AR119" s="8">
        <f t="shared" si="58"/>
        <v>334.1139081679205</v>
      </c>
      <c r="AS119" s="8">
        <f t="shared" si="59"/>
        <v>56.56763910757298</v>
      </c>
    </row>
    <row r="120" spans="1:45">
      <c r="A120" s="19">
        <v>7.7410666670000001</v>
      </c>
      <c r="B120" s="19">
        <v>919.63854779999997</v>
      </c>
      <c r="C120" s="19">
        <v>-37.04284122</v>
      </c>
      <c r="E120" s="9">
        <f t="shared" si="45"/>
        <v>-40.361452200000031</v>
      </c>
      <c r="F120" s="9">
        <f t="shared" si="50"/>
        <v>502.95715877999999</v>
      </c>
      <c r="I120">
        <v>1</v>
      </c>
      <c r="J120">
        <f t="shared" si="46"/>
        <v>0.32294961815242224</v>
      </c>
      <c r="K120">
        <f t="shared" si="51"/>
        <v>1.6508730192050163</v>
      </c>
      <c r="O120">
        <f t="shared" si="52"/>
        <v>-2.5386394032112226E-2</v>
      </c>
      <c r="P120">
        <f t="shared" si="53"/>
        <v>0.3163480974567292</v>
      </c>
      <c r="Q120">
        <f t="shared" si="54"/>
        <v>0.94830343890210278</v>
      </c>
      <c r="R120">
        <f t="shared" si="44"/>
        <v>1</v>
      </c>
      <c r="AG120" s="8">
        <f t="shared" si="47"/>
        <v>0.49628710572351897</v>
      </c>
      <c r="AH120" s="8">
        <f t="shared" si="48"/>
        <v>-0.23980164296042342</v>
      </c>
      <c r="AI120" s="8">
        <f t="shared" si="49"/>
        <v>0.83438257455801079</v>
      </c>
      <c r="AJ120" s="8"/>
      <c r="AK120" s="8"/>
      <c r="AL120" s="8"/>
      <c r="AN120" s="8">
        <f t="shared" si="55"/>
        <v>1.0000000000000002</v>
      </c>
      <c r="AO120" s="8">
        <f t="shared" si="56"/>
        <v>5.8330748026339281</v>
      </c>
      <c r="AP120" s="8">
        <f t="shared" si="57"/>
        <v>0.58378466987588451</v>
      </c>
      <c r="AQ120" s="8"/>
      <c r="AR120" s="8">
        <f t="shared" si="58"/>
        <v>334.21056777502974</v>
      </c>
      <c r="AS120" s="8">
        <f t="shared" si="59"/>
        <v>56.551602271673772</v>
      </c>
    </row>
    <row r="121" spans="1:45">
      <c r="A121" s="19">
        <v>7.7744333330000002</v>
      </c>
      <c r="B121" s="19">
        <v>919.79234729999996</v>
      </c>
      <c r="C121" s="19">
        <v>-37.205451660000001</v>
      </c>
      <c r="E121" s="9">
        <f t="shared" si="45"/>
        <v>-40.20765270000004</v>
      </c>
      <c r="F121" s="9">
        <f t="shared" si="50"/>
        <v>502.79454834000001</v>
      </c>
      <c r="I121">
        <v>1</v>
      </c>
      <c r="J121">
        <f t="shared" si="46"/>
        <v>0.32284467232507269</v>
      </c>
      <c r="K121">
        <f t="shared" si="51"/>
        <v>1.650594868206227</v>
      </c>
      <c r="O121">
        <f t="shared" si="52"/>
        <v>-2.5290467208503274E-2</v>
      </c>
      <c r="P121">
        <f t="shared" si="53"/>
        <v>0.31625594093452242</v>
      </c>
      <c r="Q121">
        <f t="shared" si="54"/>
        <v>0.94833673981977284</v>
      </c>
      <c r="R121">
        <f t="shared" si="44"/>
        <v>1</v>
      </c>
      <c r="AG121" s="8">
        <f t="shared" si="47"/>
        <v>0.49639794591266262</v>
      </c>
      <c r="AH121" s="8">
        <f t="shared" si="48"/>
        <v>-0.23973606391031274</v>
      </c>
      <c r="AI121" s="8">
        <f t="shared" si="49"/>
        <v>0.83433548345643294</v>
      </c>
      <c r="AJ121" s="8"/>
      <c r="AK121" s="8"/>
      <c r="AL121" s="8"/>
      <c r="AN121" s="8">
        <f t="shared" si="55"/>
        <v>1</v>
      </c>
      <c r="AO121" s="8">
        <f t="shared" si="56"/>
        <v>5.8332693942689016</v>
      </c>
      <c r="AP121" s="8">
        <f t="shared" si="57"/>
        <v>0.58387010034597475</v>
      </c>
      <c r="AQ121" s="8"/>
      <c r="AR121" s="8">
        <f t="shared" si="58"/>
        <v>334.22171705444225</v>
      </c>
      <c r="AS121" s="8">
        <f t="shared" si="59"/>
        <v>56.546707466295778</v>
      </c>
    </row>
    <row r="122" spans="1:45">
      <c r="A122" s="19">
        <v>7.8078000000000003</v>
      </c>
      <c r="B122" s="19">
        <v>921.14673649999997</v>
      </c>
      <c r="C122" s="19">
        <v>-38.012421850000003</v>
      </c>
      <c r="E122" s="9">
        <f t="shared" si="45"/>
        <v>-38.853263500000025</v>
      </c>
      <c r="F122" s="9">
        <f t="shared" si="50"/>
        <v>501.98757814999999</v>
      </c>
      <c r="I122">
        <v>1</v>
      </c>
      <c r="J122">
        <f t="shared" si="46"/>
        <v>0.32229643979798311</v>
      </c>
      <c r="K122">
        <f t="shared" si="51"/>
        <v>1.6480411796632997</v>
      </c>
      <c r="O122">
        <f t="shared" si="52"/>
        <v>-2.4442642400488421E-2</v>
      </c>
      <c r="P122">
        <f t="shared" si="53"/>
        <v>0.31580108739662743</v>
      </c>
      <c r="Q122">
        <f t="shared" si="54"/>
        <v>0.94851053258864215</v>
      </c>
      <c r="R122">
        <f t="shared" si="44"/>
        <v>1</v>
      </c>
      <c r="AG122" s="8">
        <f t="shared" si="47"/>
        <v>0.49707422702492421</v>
      </c>
      <c r="AH122" s="8">
        <f t="shared" si="48"/>
        <v>-0.23906167553043112</v>
      </c>
      <c r="AI122" s="8">
        <f t="shared" si="49"/>
        <v>0.8341263262361146</v>
      </c>
      <c r="AJ122" s="8"/>
      <c r="AK122" s="8"/>
      <c r="AL122" s="8"/>
      <c r="AN122" s="8">
        <f t="shared" si="55"/>
        <v>1</v>
      </c>
      <c r="AO122" s="8">
        <f t="shared" si="56"/>
        <v>5.8349035989147771</v>
      </c>
      <c r="AP122" s="8">
        <f t="shared" si="57"/>
        <v>0.58424941017370691</v>
      </c>
      <c r="AQ122" s="8"/>
      <c r="AR122" s="8">
        <f t="shared" si="58"/>
        <v>334.31535008351159</v>
      </c>
      <c r="AS122" s="8">
        <f t="shared" si="59"/>
        <v>56.524974614038896</v>
      </c>
    </row>
    <row r="123" spans="1:45">
      <c r="A123" s="19">
        <v>7.8411666670000004</v>
      </c>
      <c r="B123" s="19">
        <v>921.69471020000003</v>
      </c>
      <c r="C123" s="19">
        <v>-38.11572511</v>
      </c>
      <c r="E123" s="9">
        <f t="shared" si="45"/>
        <v>-38.305289799999969</v>
      </c>
      <c r="F123" s="9">
        <f t="shared" si="50"/>
        <v>501.88427489000003</v>
      </c>
      <c r="I123">
        <v>1</v>
      </c>
      <c r="J123">
        <f t="shared" si="46"/>
        <v>0.32220913980244759</v>
      </c>
      <c r="K123">
        <f t="shared" si="51"/>
        <v>1.6469715967276977</v>
      </c>
      <c r="O123">
        <f t="shared" si="52"/>
        <v>-2.4098551345529528E-2</v>
      </c>
      <c r="P123">
        <f t="shared" si="53"/>
        <v>0.31574448414564832</v>
      </c>
      <c r="Q123">
        <f t="shared" si="54"/>
        <v>0.94853818086287145</v>
      </c>
      <c r="R123">
        <f t="shared" si="44"/>
        <v>1</v>
      </c>
      <c r="AG123" s="8">
        <f t="shared" si="47"/>
        <v>0.4972407410273304</v>
      </c>
      <c r="AH123" s="8">
        <f t="shared" si="48"/>
        <v>-0.2387542428829604</v>
      </c>
      <c r="AI123" s="8">
        <f t="shared" si="49"/>
        <v>0.83411513411997018</v>
      </c>
      <c r="AJ123" s="8"/>
      <c r="AK123" s="8"/>
      <c r="AL123" s="8"/>
      <c r="AN123" s="8">
        <f t="shared" si="55"/>
        <v>1</v>
      </c>
      <c r="AO123" s="8">
        <f t="shared" si="56"/>
        <v>5.8355367251444941</v>
      </c>
      <c r="AP123" s="8">
        <f t="shared" si="57"/>
        <v>0.5842697011148501</v>
      </c>
      <c r="AQ123" s="8"/>
      <c r="AR123" s="8">
        <f t="shared" si="58"/>
        <v>334.35162554437341</v>
      </c>
      <c r="AS123" s="8">
        <f t="shared" si="59"/>
        <v>56.523812028749042</v>
      </c>
    </row>
    <row r="124" spans="1:45">
      <c r="A124" s="19">
        <v>7.8745333329999996</v>
      </c>
      <c r="B124" s="19">
        <v>922.34282729999995</v>
      </c>
      <c r="C124" s="19">
        <v>-38.203511349999999</v>
      </c>
      <c r="E124" s="9">
        <f t="shared" si="45"/>
        <v>-37.657172700000046</v>
      </c>
      <c r="F124" s="9">
        <f t="shared" si="50"/>
        <v>501.79648865000001</v>
      </c>
      <c r="I124">
        <v>1</v>
      </c>
      <c r="J124">
        <f t="shared" si="46"/>
        <v>0.32212698050284161</v>
      </c>
      <c r="K124">
        <f t="shared" si="51"/>
        <v>1.6457006357174793</v>
      </c>
      <c r="O124">
        <f t="shared" si="52"/>
        <v>-2.3691401053298668E-2</v>
      </c>
      <c r="P124">
        <f t="shared" si="53"/>
        <v>0.31569714366113838</v>
      </c>
      <c r="Q124">
        <f t="shared" si="54"/>
        <v>0.94856419445408668</v>
      </c>
      <c r="R124">
        <f t="shared" si="44"/>
        <v>1</v>
      </c>
      <c r="AG124" s="8">
        <f t="shared" si="47"/>
        <v>0.49742112004195549</v>
      </c>
      <c r="AH124" s="8">
        <f t="shared" si="48"/>
        <v>-0.23838525976137634</v>
      </c>
      <c r="AI124" s="8">
        <f t="shared" si="49"/>
        <v>0.83411312018497097</v>
      </c>
      <c r="AJ124" s="8"/>
      <c r="AK124" s="8"/>
      <c r="AL124" s="8"/>
      <c r="AN124" s="8">
        <f t="shared" si="55"/>
        <v>1</v>
      </c>
      <c r="AO124" s="8">
        <f t="shared" si="56"/>
        <v>5.8362813003928018</v>
      </c>
      <c r="AP124" s="8">
        <f t="shared" si="57"/>
        <v>0.58427335224715171</v>
      </c>
      <c r="AQ124" s="8"/>
      <c r="AR124" s="8">
        <f t="shared" si="58"/>
        <v>334.39428656363134</v>
      </c>
      <c r="AS124" s="8">
        <f t="shared" si="59"/>
        <v>56.52360283427771</v>
      </c>
    </row>
    <row r="125" spans="1:45">
      <c r="A125" s="19">
        <v>7.9078999999999997</v>
      </c>
      <c r="B125" s="19">
        <v>923.34240509999995</v>
      </c>
      <c r="C125" s="19">
        <v>-38.482167259999997</v>
      </c>
      <c r="E125" s="9">
        <f t="shared" si="45"/>
        <v>-36.657594900000049</v>
      </c>
      <c r="F125" s="9">
        <f t="shared" si="50"/>
        <v>501.51783274000002</v>
      </c>
      <c r="I125">
        <v>1</v>
      </c>
      <c r="J125">
        <f t="shared" si="46"/>
        <v>0.32191517367846001</v>
      </c>
      <c r="K125">
        <f t="shared" si="51"/>
        <v>1.6437598752824663</v>
      </c>
      <c r="O125">
        <f t="shared" si="52"/>
        <v>-2.3064017501056192E-2</v>
      </c>
      <c r="P125">
        <f t="shared" si="53"/>
        <v>0.31554214353018423</v>
      </c>
      <c r="Q125">
        <f t="shared" si="54"/>
        <v>0.94863122800859112</v>
      </c>
      <c r="R125">
        <f t="shared" si="44"/>
        <v>1</v>
      </c>
      <c r="AG125" s="8">
        <f t="shared" si="47"/>
        <v>0.4977678752177076</v>
      </c>
      <c r="AH125" s="8">
        <f t="shared" si="48"/>
        <v>-0.23783815739963968</v>
      </c>
      <c r="AI125" s="8">
        <f t="shared" si="49"/>
        <v>0.8340624396806231</v>
      </c>
      <c r="AJ125" s="8"/>
      <c r="AK125" s="8"/>
      <c r="AL125" s="8"/>
      <c r="AN125" s="8">
        <f t="shared" si="55"/>
        <v>1.0000000000000002</v>
      </c>
      <c r="AO125" s="8">
        <f t="shared" si="56"/>
        <v>5.8374472698433753</v>
      </c>
      <c r="AP125" s="8">
        <f t="shared" si="57"/>
        <v>0.58436522604793928</v>
      </c>
      <c r="AQ125" s="8"/>
      <c r="AR125" s="8">
        <f t="shared" si="58"/>
        <v>334.46109169219039</v>
      </c>
      <c r="AS125" s="8">
        <f t="shared" si="59"/>
        <v>56.518338853244757</v>
      </c>
    </row>
    <row r="126" spans="1:45">
      <c r="A126" s="19">
        <v>7.9412666669999998</v>
      </c>
      <c r="B126" s="19">
        <v>923.650081</v>
      </c>
      <c r="C126" s="19">
        <v>-38.648759830000003</v>
      </c>
      <c r="E126" s="9">
        <f t="shared" si="45"/>
        <v>-36.349919</v>
      </c>
      <c r="F126" s="9">
        <f t="shared" si="50"/>
        <v>501.35124016999998</v>
      </c>
      <c r="I126">
        <v>1</v>
      </c>
      <c r="J126">
        <f t="shared" si="46"/>
        <v>0.3218016546853239</v>
      </c>
      <c r="K126">
        <f t="shared" si="51"/>
        <v>1.6431735771247611</v>
      </c>
      <c r="O126">
        <f t="shared" si="52"/>
        <v>-2.287122428899472E-2</v>
      </c>
      <c r="P126">
        <f t="shared" si="53"/>
        <v>0.31544820392842587</v>
      </c>
      <c r="Q126">
        <f t="shared" si="54"/>
        <v>0.94866713748176856</v>
      </c>
      <c r="R126">
        <f t="shared" si="44"/>
        <v>1</v>
      </c>
      <c r="AG126" s="8">
        <f t="shared" si="47"/>
        <v>0.49791333881709876</v>
      </c>
      <c r="AH126" s="8">
        <f t="shared" si="48"/>
        <v>-0.23768217954284088</v>
      </c>
      <c r="AI126" s="8">
        <f t="shared" si="49"/>
        <v>0.83402007683015267</v>
      </c>
      <c r="AJ126" s="8"/>
      <c r="AK126" s="8"/>
      <c r="AL126" s="8"/>
      <c r="AN126" s="8">
        <f t="shared" si="55"/>
        <v>1</v>
      </c>
      <c r="AO126" s="8">
        <f t="shared" si="56"/>
        <v>5.837816017270308</v>
      </c>
      <c r="AP126" s="8">
        <f t="shared" si="57"/>
        <v>0.58444201178515831</v>
      </c>
      <c r="AQ126" s="8"/>
      <c r="AR126" s="8">
        <f t="shared" si="58"/>
        <v>334.48221936345993</v>
      </c>
      <c r="AS126" s="8">
        <f t="shared" si="59"/>
        <v>56.513939354575307</v>
      </c>
    </row>
    <row r="127" spans="1:45">
      <c r="A127" s="19">
        <v>7.9746333329999999</v>
      </c>
      <c r="B127" s="19">
        <v>924.42610930000001</v>
      </c>
      <c r="C127" s="19">
        <v>-38.93543992</v>
      </c>
      <c r="E127" s="9">
        <f t="shared" si="45"/>
        <v>-35.573890699999993</v>
      </c>
      <c r="F127" s="9">
        <f t="shared" si="50"/>
        <v>501.06456007999998</v>
      </c>
      <c r="I127">
        <v>1</v>
      </c>
      <c r="J127">
        <f t="shared" si="46"/>
        <v>0.32159597665032502</v>
      </c>
      <c r="K127">
        <f t="shared" si="51"/>
        <v>1.6416740206896598</v>
      </c>
      <c r="O127">
        <f t="shared" si="52"/>
        <v>-2.2384347814759873E-2</v>
      </c>
      <c r="P127">
        <f t="shared" si="53"/>
        <v>0.31528750917538506</v>
      </c>
      <c r="Q127">
        <f t="shared" si="54"/>
        <v>0.94873216849166098</v>
      </c>
      <c r="R127">
        <f t="shared" si="44"/>
        <v>1</v>
      </c>
      <c r="AG127" s="8">
        <f t="shared" si="47"/>
        <v>0.49821612938967313</v>
      </c>
      <c r="AH127" s="8">
        <f t="shared" si="48"/>
        <v>-0.23726810323182052</v>
      </c>
      <c r="AI127" s="8">
        <f t="shared" si="49"/>
        <v>0.83395715453777763</v>
      </c>
      <c r="AJ127" s="8"/>
      <c r="AK127" s="8"/>
      <c r="AL127" s="8"/>
      <c r="AN127" s="8">
        <f t="shared" si="55"/>
        <v>1</v>
      </c>
      <c r="AO127" s="8">
        <f t="shared" si="56"/>
        <v>5.8387295670140711</v>
      </c>
      <c r="AP127" s="8">
        <f t="shared" si="57"/>
        <v>0.58455604655358662</v>
      </c>
      <c r="AQ127" s="8"/>
      <c r="AR127" s="8">
        <f t="shared" si="58"/>
        <v>334.53456190815285</v>
      </c>
      <c r="AS127" s="8">
        <f t="shared" si="59"/>
        <v>56.507405643626612</v>
      </c>
    </row>
    <row r="128" spans="1:45">
      <c r="A128" s="19">
        <v>8.0079999999999991</v>
      </c>
      <c r="B128" s="19">
        <v>925.62671109999997</v>
      </c>
      <c r="C128" s="19">
        <v>-39.360881429999999</v>
      </c>
      <c r="E128" s="9">
        <f t="shared" si="45"/>
        <v>-34.373288900000034</v>
      </c>
      <c r="F128" s="9">
        <f t="shared" si="50"/>
        <v>500.63911856999999</v>
      </c>
      <c r="I128">
        <v>1</v>
      </c>
      <c r="J128">
        <f t="shared" si="46"/>
        <v>0.3212899297184017</v>
      </c>
      <c r="K128">
        <f t="shared" si="51"/>
        <v>1.6393475598321654</v>
      </c>
      <c r="O128">
        <f t="shared" si="52"/>
        <v>-2.1630894121883001E-2</v>
      </c>
      <c r="P128">
        <f t="shared" si="53"/>
        <v>0.315049042835715</v>
      </c>
      <c r="Q128">
        <f t="shared" si="54"/>
        <v>0.94882885971485276</v>
      </c>
      <c r="R128">
        <f t="shared" si="44"/>
        <v>1</v>
      </c>
      <c r="AG128" s="8">
        <f t="shared" si="47"/>
        <v>0.49867570839733488</v>
      </c>
      <c r="AH128" s="8">
        <f t="shared" si="48"/>
        <v>-0.2366244695535803</v>
      </c>
      <c r="AI128" s="8">
        <f t="shared" si="49"/>
        <v>0.83386533580842837</v>
      </c>
      <c r="AJ128" s="8"/>
      <c r="AK128" s="8"/>
      <c r="AL128" s="8"/>
      <c r="AN128" s="8">
        <f t="shared" si="55"/>
        <v>1</v>
      </c>
      <c r="AO128" s="8">
        <f t="shared" si="56"/>
        <v>5.840140346774608</v>
      </c>
      <c r="AP128" s="8">
        <f t="shared" si="57"/>
        <v>0.58472241540219039</v>
      </c>
      <c r="AQ128" s="8"/>
      <c r="AR128" s="8">
        <f t="shared" si="58"/>
        <v>334.61539363425408</v>
      </c>
      <c r="AS128" s="8">
        <f t="shared" si="59"/>
        <v>56.497873410759169</v>
      </c>
    </row>
    <row r="129" spans="1:45">
      <c r="A129" s="19">
        <v>8.0413666670000001</v>
      </c>
      <c r="B129" s="19">
        <v>925.80928129999995</v>
      </c>
      <c r="C129" s="19">
        <v>-39.541063219999998</v>
      </c>
      <c r="E129" s="9">
        <f t="shared" si="45"/>
        <v>-34.190718700000048</v>
      </c>
      <c r="F129" s="9">
        <f t="shared" si="50"/>
        <v>500.45893677999999</v>
      </c>
      <c r="I129">
        <v>1</v>
      </c>
      <c r="J129">
        <f t="shared" si="46"/>
        <v>0.32117411014927505</v>
      </c>
      <c r="K129">
        <f t="shared" si="51"/>
        <v>1.6390090615260364</v>
      </c>
      <c r="O129">
        <f t="shared" si="52"/>
        <v>-2.1516758886194514E-2</v>
      </c>
      <c r="P129">
        <f t="shared" si="53"/>
        <v>0.31494670731026558</v>
      </c>
      <c r="Q129">
        <f t="shared" si="54"/>
        <v>0.94886542809897723</v>
      </c>
      <c r="R129">
        <f t="shared" si="44"/>
        <v>1</v>
      </c>
      <c r="AG129" s="8">
        <f t="shared" si="47"/>
        <v>0.49880097804369894</v>
      </c>
      <c r="AH129" s="8">
        <f t="shared" si="48"/>
        <v>-0.2365443440598109</v>
      </c>
      <c r="AI129" s="8">
        <f t="shared" si="49"/>
        <v>0.83381314309380083</v>
      </c>
      <c r="AJ129" s="8"/>
      <c r="AK129" s="8"/>
      <c r="AL129" s="8"/>
      <c r="AN129" s="8">
        <f t="shared" si="55"/>
        <v>1</v>
      </c>
      <c r="AO129" s="8">
        <f t="shared" si="56"/>
        <v>5.8403687541705143</v>
      </c>
      <c r="AP129" s="8">
        <f t="shared" si="57"/>
        <v>0.58481696616146817</v>
      </c>
      <c r="AQ129" s="8"/>
      <c r="AR129" s="8">
        <f t="shared" si="58"/>
        <v>334.62848041404908</v>
      </c>
      <c r="AS129" s="8">
        <f t="shared" si="59"/>
        <v>56.492456051302796</v>
      </c>
    </row>
    <row r="130" spans="1:45">
      <c r="A130" s="19">
        <v>8.0747333329999993</v>
      </c>
      <c r="B130" s="19">
        <v>926.1622903</v>
      </c>
      <c r="C130" s="19">
        <v>-39.751613040000002</v>
      </c>
      <c r="E130" s="9">
        <f t="shared" si="45"/>
        <v>-33.837709700000005</v>
      </c>
      <c r="F130" s="9">
        <f t="shared" si="50"/>
        <v>500.24838696</v>
      </c>
      <c r="I130">
        <v>1</v>
      </c>
      <c r="J130">
        <f t="shared" si="46"/>
        <v>0.32103311198946133</v>
      </c>
      <c r="K130">
        <f t="shared" si="51"/>
        <v>1.6383352626547925</v>
      </c>
      <c r="O130">
        <f t="shared" si="52"/>
        <v>-2.1295514020254213E-2</v>
      </c>
      <c r="P130">
        <f t="shared" si="53"/>
        <v>0.31482764739589481</v>
      </c>
      <c r="Q130">
        <f t="shared" si="54"/>
        <v>0.94890992908588501</v>
      </c>
      <c r="R130">
        <f t="shared" si="44"/>
        <v>1</v>
      </c>
      <c r="AG130" s="8">
        <f t="shared" si="47"/>
        <v>0.49897705203427667</v>
      </c>
      <c r="AH130" s="8">
        <f t="shared" si="48"/>
        <v>-0.23636817804613042</v>
      </c>
      <c r="AI130" s="8">
        <f t="shared" si="49"/>
        <v>0.83375775015908293</v>
      </c>
      <c r="AJ130" s="8"/>
      <c r="AK130" s="8"/>
      <c r="AL130" s="8"/>
      <c r="AN130" s="8">
        <f t="shared" si="55"/>
        <v>1.0000000000000002</v>
      </c>
      <c r="AO130" s="8">
        <f t="shared" si="56"/>
        <v>5.8407936895872981</v>
      </c>
      <c r="AP130" s="8">
        <f t="shared" si="57"/>
        <v>0.58491729957586491</v>
      </c>
      <c r="AQ130" s="8"/>
      <c r="AR130" s="8">
        <f t="shared" si="58"/>
        <v>334.65282741999641</v>
      </c>
      <c r="AS130" s="8">
        <f t="shared" si="59"/>
        <v>56.48670737011372</v>
      </c>
    </row>
    <row r="131" spans="1:45">
      <c r="A131" s="19">
        <v>8.1081000000000003</v>
      </c>
      <c r="B131" s="19">
        <v>927.39056440000002</v>
      </c>
      <c r="C131" s="19">
        <v>-40.316245209999998</v>
      </c>
      <c r="E131" s="9">
        <f t="shared" si="45"/>
        <v>-32.609435599999983</v>
      </c>
      <c r="F131" s="9">
        <f t="shared" si="50"/>
        <v>499.68375479000002</v>
      </c>
      <c r="I131">
        <v>1</v>
      </c>
      <c r="J131">
        <f t="shared" si="46"/>
        <v>0.32064451233462676</v>
      </c>
      <c r="K131">
        <f t="shared" si="51"/>
        <v>1.6359640652393046</v>
      </c>
      <c r="O131">
        <f t="shared" si="52"/>
        <v>-2.0524921454940729E-2</v>
      </c>
      <c r="P131">
        <f t="shared" si="53"/>
        <v>0.31450927103364662</v>
      </c>
      <c r="Q131">
        <f t="shared" si="54"/>
        <v>0.9490324789137371</v>
      </c>
      <c r="R131">
        <f t="shared" si="44"/>
        <v>1</v>
      </c>
      <c r="AG131" s="8">
        <f t="shared" si="47"/>
        <v>0.49950895780038446</v>
      </c>
      <c r="AH131" s="8">
        <f t="shared" si="48"/>
        <v>-0.23572916428019902</v>
      </c>
      <c r="AI131" s="8">
        <f t="shared" si="49"/>
        <v>0.83362015461775685</v>
      </c>
      <c r="AJ131" s="8"/>
      <c r="AK131" s="8"/>
      <c r="AL131" s="8"/>
      <c r="AN131" s="8">
        <f t="shared" si="55"/>
        <v>1.0000000000000002</v>
      </c>
      <c r="AO131" s="8">
        <f t="shared" si="56"/>
        <v>5.8422515037825402</v>
      </c>
      <c r="AP131" s="8">
        <f t="shared" si="57"/>
        <v>0.58516646110419157</v>
      </c>
      <c r="AQ131" s="8"/>
      <c r="AR131" s="8">
        <f t="shared" si="58"/>
        <v>334.73635402069806</v>
      </c>
      <c r="AS131" s="8">
        <f t="shared" si="59"/>
        <v>56.472431466123574</v>
      </c>
    </row>
    <row r="132" spans="1:45">
      <c r="A132" s="19">
        <v>8.1414666669999995</v>
      </c>
      <c r="B132" s="19">
        <v>928.13000030000001</v>
      </c>
      <c r="C132" s="19">
        <v>-40.721810259999998</v>
      </c>
      <c r="E132" s="9">
        <f t="shared" si="45"/>
        <v>-31.869999699999994</v>
      </c>
      <c r="F132" s="9">
        <f t="shared" si="50"/>
        <v>499.27818974000002</v>
      </c>
      <c r="I132">
        <v>1</v>
      </c>
      <c r="J132">
        <f t="shared" si="46"/>
        <v>0.32037185065309659</v>
      </c>
      <c r="K132">
        <f t="shared" si="51"/>
        <v>1.6345419913104826</v>
      </c>
      <c r="O132">
        <f t="shared" si="52"/>
        <v>-2.0061160706637469E-2</v>
      </c>
      <c r="P132">
        <f t="shared" si="53"/>
        <v>0.31427989005262563</v>
      </c>
      <c r="Q132">
        <f t="shared" si="54"/>
        <v>0.94911838067735887</v>
      </c>
      <c r="R132">
        <f t="shared" si="44"/>
        <v>1</v>
      </c>
      <c r="AG132" s="8">
        <f t="shared" si="47"/>
        <v>0.49986055896375864</v>
      </c>
      <c r="AH132" s="8">
        <f t="shared" si="48"/>
        <v>-0.23535440115205131</v>
      </c>
      <c r="AI132" s="8">
        <f t="shared" si="49"/>
        <v>0.83351528327367697</v>
      </c>
      <c r="AJ132" s="8"/>
      <c r="AK132" s="8"/>
      <c r="AL132" s="8"/>
      <c r="AN132" s="8">
        <f t="shared" si="55"/>
        <v>0.99999999999999989</v>
      </c>
      <c r="AO132" s="8">
        <f t="shared" si="56"/>
        <v>5.8431365343806521</v>
      </c>
      <c r="AP132" s="8">
        <f t="shared" si="57"/>
        <v>0.58535630191468069</v>
      </c>
      <c r="AQ132" s="8"/>
      <c r="AR132" s="8">
        <f t="shared" si="58"/>
        <v>334.78706253870979</v>
      </c>
      <c r="AS132" s="8">
        <f t="shared" si="59"/>
        <v>56.46155438890321</v>
      </c>
    </row>
    <row r="133" spans="1:45">
      <c r="A133" s="19">
        <v>8.1748333330000005</v>
      </c>
      <c r="B133" s="19">
        <v>928.89722159999997</v>
      </c>
      <c r="C133" s="19">
        <v>-40.951131320000002</v>
      </c>
      <c r="E133" s="9">
        <f t="shared" si="45"/>
        <v>-31.102778400000034</v>
      </c>
      <c r="F133" s="9">
        <f t="shared" si="50"/>
        <v>499.04886868</v>
      </c>
      <c r="I133">
        <v>1</v>
      </c>
      <c r="J133">
        <f t="shared" si="46"/>
        <v>0.32020476192508379</v>
      </c>
      <c r="K133">
        <f t="shared" si="51"/>
        <v>1.6330399328898284</v>
      </c>
      <c r="O133">
        <f t="shared" si="52"/>
        <v>-1.9579206571560009E-2</v>
      </c>
      <c r="P133">
        <f t="shared" si="53"/>
        <v>0.31415138427598022</v>
      </c>
      <c r="Q133">
        <f t="shared" si="54"/>
        <v>0.94917098692886392</v>
      </c>
      <c r="R133">
        <f t="shared" si="44"/>
        <v>1</v>
      </c>
      <c r="AG133" s="8">
        <f t="shared" si="47"/>
        <v>0.50013339303104998</v>
      </c>
      <c r="AH133" s="8">
        <f t="shared" si="48"/>
        <v>-0.2349360234149746</v>
      </c>
      <c r="AI133" s="8">
        <f t="shared" si="49"/>
        <v>0.83346964796398426</v>
      </c>
      <c r="AJ133" s="8"/>
      <c r="AK133" s="8"/>
      <c r="AL133" s="8"/>
      <c r="AN133" s="8">
        <f t="shared" si="55"/>
        <v>1</v>
      </c>
      <c r="AO133" s="8">
        <f t="shared" si="56"/>
        <v>5.8440318895832508</v>
      </c>
      <c r="AP133" s="8">
        <f t="shared" si="57"/>
        <v>0.58543889515281367</v>
      </c>
      <c r="AQ133" s="8"/>
      <c r="AR133" s="8">
        <f t="shared" si="58"/>
        <v>334.83836261298381</v>
      </c>
      <c r="AS133" s="8">
        <f t="shared" si="59"/>
        <v>56.456822144941867</v>
      </c>
    </row>
    <row r="134" spans="1:45">
      <c r="A134" s="19">
        <v>8.2081999999999997</v>
      </c>
      <c r="B134" s="19">
        <v>929.58131200000003</v>
      </c>
      <c r="C134" s="19">
        <v>-41.117707070000002</v>
      </c>
      <c r="E134" s="9">
        <f t="shared" si="45"/>
        <v>-30.418687999999975</v>
      </c>
      <c r="F134" s="9">
        <f t="shared" si="50"/>
        <v>498.88229293000001</v>
      </c>
      <c r="I134">
        <v>1</v>
      </c>
      <c r="J134">
        <f t="shared" si="46"/>
        <v>0.32007914450011038</v>
      </c>
      <c r="K134">
        <f t="shared" si="51"/>
        <v>1.6316946098950931</v>
      </c>
      <c r="O134">
        <f t="shared" si="52"/>
        <v>-1.9149297186533926E-2</v>
      </c>
      <c r="P134">
        <f t="shared" si="53"/>
        <v>0.31405842646520726</v>
      </c>
      <c r="Q134">
        <f t="shared" si="54"/>
        <v>0.94921051889634045</v>
      </c>
      <c r="R134">
        <f t="shared" si="44"/>
        <v>1</v>
      </c>
      <c r="AG134" s="8">
        <f t="shared" si="47"/>
        <v>0.5003583900180435</v>
      </c>
      <c r="AH134" s="8">
        <f t="shared" si="48"/>
        <v>-0.23455707650615187</v>
      </c>
      <c r="AI134" s="8">
        <f t="shared" si="49"/>
        <v>0.83344133530767417</v>
      </c>
      <c r="AJ134" s="8"/>
      <c r="AK134" s="8"/>
      <c r="AL134" s="8"/>
      <c r="AN134" s="8">
        <f t="shared" si="55"/>
        <v>1.0000000000000002</v>
      </c>
      <c r="AO134" s="8">
        <f t="shared" si="56"/>
        <v>5.8448256750240164</v>
      </c>
      <c r="AP134" s="8">
        <f t="shared" si="57"/>
        <v>0.58549013174932318</v>
      </c>
      <c r="AQ134" s="8"/>
      <c r="AR134" s="8">
        <f t="shared" si="58"/>
        <v>334.88384316857861</v>
      </c>
      <c r="AS134" s="8">
        <f t="shared" si="59"/>
        <v>56.453886504205258</v>
      </c>
    </row>
    <row r="135" spans="1:45">
      <c r="A135" s="19">
        <v>8.2415666670000007</v>
      </c>
      <c r="B135" s="19">
        <v>930.43394650000005</v>
      </c>
      <c r="C135" s="19">
        <v>-41.394314029999997</v>
      </c>
      <c r="E135" s="9">
        <f t="shared" si="45"/>
        <v>-29.566053499999953</v>
      </c>
      <c r="F135" s="9">
        <f t="shared" si="50"/>
        <v>498.60568597000002</v>
      </c>
      <c r="I135">
        <v>1</v>
      </c>
      <c r="J135">
        <f t="shared" si="46"/>
        <v>0.31988179992223031</v>
      </c>
      <c r="K135">
        <f t="shared" si="51"/>
        <v>1.6300244382561488</v>
      </c>
      <c r="O135">
        <f t="shared" si="52"/>
        <v>-1.8613650666637921E-2</v>
      </c>
      <c r="P135">
        <f t="shared" si="53"/>
        <v>0.31390297183372734</v>
      </c>
      <c r="Q135">
        <f t="shared" si="54"/>
        <v>0.94927259324327617</v>
      </c>
      <c r="R135">
        <f t="shared" si="44"/>
        <v>1</v>
      </c>
      <c r="AG135" s="8">
        <f t="shared" si="47"/>
        <v>0.50067181641325298</v>
      </c>
      <c r="AH135" s="8">
        <f t="shared" si="48"/>
        <v>-0.23409524076376681</v>
      </c>
      <c r="AI135" s="8">
        <f t="shared" si="49"/>
        <v>0.83338295548997632</v>
      </c>
      <c r="AJ135" s="8"/>
      <c r="AK135" s="8"/>
      <c r="AL135" s="8"/>
      <c r="AN135" s="8">
        <f t="shared" si="55"/>
        <v>0.99999999999999989</v>
      </c>
      <c r="AO135" s="8">
        <f t="shared" si="56"/>
        <v>5.8458229759149338</v>
      </c>
      <c r="AP135" s="8">
        <f t="shared" si="57"/>
        <v>0.5855957675227671</v>
      </c>
      <c r="AQ135" s="8"/>
      <c r="AR135" s="8">
        <f t="shared" si="58"/>
        <v>334.94098430053282</v>
      </c>
      <c r="AS135" s="8">
        <f t="shared" si="59"/>
        <v>56.447834020221322</v>
      </c>
    </row>
    <row r="136" spans="1:45">
      <c r="A136" s="19">
        <v>8.2749333329999999</v>
      </c>
      <c r="B136" s="19">
        <v>931.19694709999999</v>
      </c>
      <c r="C136" s="19">
        <v>-41.853575489999997</v>
      </c>
      <c r="E136" s="9">
        <f t="shared" si="45"/>
        <v>-28.803052900000012</v>
      </c>
      <c r="F136" s="9">
        <f t="shared" si="50"/>
        <v>498.14642450999997</v>
      </c>
      <c r="I136">
        <v>1</v>
      </c>
      <c r="J136">
        <f t="shared" si="46"/>
        <v>0.31957841132688936</v>
      </c>
      <c r="K136">
        <f t="shared" si="51"/>
        <v>1.6285524754837817</v>
      </c>
      <c r="O136">
        <f t="shared" si="52"/>
        <v>-1.8134951908036927E-2</v>
      </c>
      <c r="P136">
        <f t="shared" si="53"/>
        <v>0.31364249765514968</v>
      </c>
      <c r="Q136">
        <f t="shared" si="54"/>
        <v>0.94936795142027652</v>
      </c>
      <c r="R136">
        <f t="shared" si="44"/>
        <v>1</v>
      </c>
      <c r="AG136" s="8">
        <f t="shared" si="47"/>
        <v>0.50105381898806922</v>
      </c>
      <c r="AH136" s="8">
        <f t="shared" si="48"/>
        <v>-0.23371429754639583</v>
      </c>
      <c r="AI136" s="8">
        <f t="shared" si="49"/>
        <v>0.83326028202468994</v>
      </c>
      <c r="AJ136" s="8"/>
      <c r="AK136" s="8"/>
      <c r="AL136" s="8"/>
      <c r="AN136" s="8">
        <f t="shared" si="55"/>
        <v>0.99999999999999978</v>
      </c>
      <c r="AO136" s="8">
        <f t="shared" si="56"/>
        <v>5.8467397803086421</v>
      </c>
      <c r="AP136" s="8">
        <f t="shared" si="57"/>
        <v>0.58581768508525556</v>
      </c>
      <c r="AQ136" s="8"/>
      <c r="AR136" s="8">
        <f t="shared" si="58"/>
        <v>334.99351332293134</v>
      </c>
      <c r="AS136" s="8">
        <f t="shared" si="59"/>
        <v>56.4351190804909</v>
      </c>
    </row>
    <row r="137" spans="1:45">
      <c r="A137" s="19">
        <v>8.3082999999999991</v>
      </c>
      <c r="B137" s="19">
        <v>931.91918469999996</v>
      </c>
      <c r="C137" s="19">
        <v>-42.074857430000002</v>
      </c>
      <c r="E137" s="9">
        <f t="shared" si="45"/>
        <v>-28.08081530000004</v>
      </c>
      <c r="F137" s="9">
        <f t="shared" si="50"/>
        <v>497.92514256999999</v>
      </c>
      <c r="I137">
        <v>1</v>
      </c>
      <c r="J137">
        <f t="shared" si="46"/>
        <v>0.31942032540668752</v>
      </c>
      <c r="K137">
        <f t="shared" si="51"/>
        <v>1.6271323088904019</v>
      </c>
      <c r="O137">
        <f t="shared" si="52"/>
        <v>-1.7681058422688425E-2</v>
      </c>
      <c r="P137">
        <f t="shared" si="53"/>
        <v>0.31351808848319401</v>
      </c>
      <c r="Q137">
        <f t="shared" si="54"/>
        <v>0.94941760483303528</v>
      </c>
      <c r="R137">
        <f t="shared" si="44"/>
        <v>1</v>
      </c>
      <c r="AG137" s="8">
        <f t="shared" si="47"/>
        <v>0.50131287377140576</v>
      </c>
      <c r="AH137" s="8">
        <f t="shared" si="48"/>
        <v>-0.2333208803276052</v>
      </c>
      <c r="AI137" s="8">
        <f t="shared" si="49"/>
        <v>0.83321471986169671</v>
      </c>
      <c r="AJ137" s="8"/>
      <c r="AK137" s="8"/>
      <c r="AL137" s="8"/>
      <c r="AN137" s="8">
        <f t="shared" si="55"/>
        <v>0.99999999999999978</v>
      </c>
      <c r="AO137" s="8">
        <f t="shared" si="56"/>
        <v>5.8475826169850214</v>
      </c>
      <c r="AP137" s="8">
        <f t="shared" si="57"/>
        <v>0.58590008860657339</v>
      </c>
      <c r="AQ137" s="8"/>
      <c r="AR137" s="8">
        <f t="shared" si="58"/>
        <v>335.04180430730668</v>
      </c>
      <c r="AS137" s="8">
        <f t="shared" si="59"/>
        <v>56.430397706502376</v>
      </c>
    </row>
    <row r="138" spans="1:45">
      <c r="A138" s="19">
        <v>8.3416666670000001</v>
      </c>
      <c r="B138" s="19">
        <v>932.40840009999999</v>
      </c>
      <c r="C138" s="19">
        <v>-42.303595649999998</v>
      </c>
      <c r="E138" s="9">
        <f t="shared" si="45"/>
        <v>-27.591599900000006</v>
      </c>
      <c r="F138" s="9">
        <f t="shared" si="50"/>
        <v>497.69640435000002</v>
      </c>
      <c r="I138">
        <v>1</v>
      </c>
      <c r="J138">
        <f t="shared" si="46"/>
        <v>0.31926608816504626</v>
      </c>
      <c r="K138">
        <f t="shared" si="51"/>
        <v>1.6261782516540404</v>
      </c>
      <c r="O138">
        <f t="shared" si="52"/>
        <v>-1.7373830275739147E-2</v>
      </c>
      <c r="P138">
        <f t="shared" si="53"/>
        <v>0.31338859976809685</v>
      </c>
      <c r="Q138">
        <f t="shared" si="54"/>
        <v>0.94946602654173018</v>
      </c>
      <c r="R138">
        <f t="shared" si="44"/>
        <v>1</v>
      </c>
      <c r="AG138" s="8">
        <f t="shared" si="47"/>
        <v>0.50152614795014039</v>
      </c>
      <c r="AH138" s="8">
        <f t="shared" si="48"/>
        <v>-0.23306641755924984</v>
      </c>
      <c r="AI138" s="8">
        <f t="shared" si="49"/>
        <v>0.83315758889203639</v>
      </c>
      <c r="AJ138" s="8"/>
      <c r="AK138" s="8"/>
      <c r="AL138" s="8"/>
      <c r="AN138" s="8">
        <f t="shared" si="55"/>
        <v>1.0000000000000002</v>
      </c>
      <c r="AO138" s="8">
        <f t="shared" si="56"/>
        <v>5.8481624937372052</v>
      </c>
      <c r="AP138" s="8">
        <f t="shared" si="57"/>
        <v>0.58600340096250336</v>
      </c>
      <c r="AQ138" s="8"/>
      <c r="AR138" s="8">
        <f t="shared" si="58"/>
        <v>335.0750287978446</v>
      </c>
      <c r="AS138" s="8">
        <f t="shared" si="59"/>
        <v>56.424478344536034</v>
      </c>
    </row>
    <row r="139" spans="1:45">
      <c r="A139" s="19">
        <v>8.3750333329999993</v>
      </c>
      <c r="B139" s="19">
        <v>933.39777070000002</v>
      </c>
      <c r="C139" s="19">
        <v>-42.77509122</v>
      </c>
      <c r="E139" s="9">
        <f t="shared" si="45"/>
        <v>-26.602229299999976</v>
      </c>
      <c r="F139" s="9">
        <f t="shared" si="50"/>
        <v>497.22490878000002</v>
      </c>
      <c r="I139">
        <v>1</v>
      </c>
      <c r="J139">
        <f t="shared" si="46"/>
        <v>0.31894959197787415</v>
      </c>
      <c r="K139">
        <f t="shared" si="51"/>
        <v>1.624246767955271</v>
      </c>
      <c r="O139">
        <f t="shared" si="52"/>
        <v>-1.6752438095358525E-2</v>
      </c>
      <c r="P139">
        <f t="shared" si="53"/>
        <v>0.31312148353699371</v>
      </c>
      <c r="Q139">
        <f t="shared" si="54"/>
        <v>0.94956531758771257</v>
      </c>
      <c r="R139">
        <f t="shared" si="44"/>
        <v>1</v>
      </c>
      <c r="AG139" s="8">
        <f t="shared" si="47"/>
        <v>0.5019616223917357</v>
      </c>
      <c r="AH139" s="8">
        <f t="shared" si="48"/>
        <v>-0.23255301024318792</v>
      </c>
      <c r="AI139" s="8">
        <f t="shared" si="49"/>
        <v>0.83303879085711752</v>
      </c>
      <c r="AJ139" s="8"/>
      <c r="AK139" s="8"/>
      <c r="AL139" s="8"/>
      <c r="AN139" s="8">
        <f t="shared" si="55"/>
        <v>1</v>
      </c>
      <c r="AO139" s="8">
        <f t="shared" si="56"/>
        <v>5.8493358384357244</v>
      </c>
      <c r="AP139" s="8">
        <f t="shared" si="57"/>
        <v>0.58621817702477153</v>
      </c>
      <c r="AQ139" s="8"/>
      <c r="AR139" s="8">
        <f t="shared" si="58"/>
        <v>335.1422564969838</v>
      </c>
      <c r="AS139" s="8">
        <f t="shared" si="59"/>
        <v>56.412172582627626</v>
      </c>
    </row>
    <row r="140" spans="1:45">
      <c r="A140" s="19">
        <v>8.4084000000000003</v>
      </c>
      <c r="B140" s="19">
        <v>933.57029990000001</v>
      </c>
      <c r="C140" s="19">
        <v>-42.98612455</v>
      </c>
      <c r="E140" s="9">
        <f t="shared" si="45"/>
        <v>-26.429700099999991</v>
      </c>
      <c r="F140" s="9">
        <f t="shared" si="50"/>
        <v>497.01387545</v>
      </c>
      <c r="I140">
        <v>1</v>
      </c>
      <c r="J140">
        <f t="shared" si="46"/>
        <v>0.31881689367833221</v>
      </c>
      <c r="K140">
        <f t="shared" si="51"/>
        <v>1.6239232735941629</v>
      </c>
      <c r="O140">
        <f t="shared" si="52"/>
        <v>-1.6644452890073051E-2</v>
      </c>
      <c r="P140">
        <f t="shared" si="53"/>
        <v>0.31300105579480919</v>
      </c>
      <c r="Q140">
        <f t="shared" si="54"/>
        <v>0.94960691934048425</v>
      </c>
      <c r="R140">
        <f t="shared" si="44"/>
        <v>1</v>
      </c>
      <c r="AG140" s="8">
        <f t="shared" si="47"/>
        <v>0.50209938937820742</v>
      </c>
      <c r="AH140" s="8">
        <f t="shared" si="48"/>
        <v>-0.23248316612028755</v>
      </c>
      <c r="AI140" s="8">
        <f t="shared" si="49"/>
        <v>0.83297525812998685</v>
      </c>
      <c r="AJ140" s="8"/>
      <c r="AK140" s="8"/>
      <c r="AL140" s="8"/>
      <c r="AN140" s="8">
        <f t="shared" si="55"/>
        <v>1.0000000000000002</v>
      </c>
      <c r="AO140" s="8">
        <f t="shared" si="56"/>
        <v>5.8495550391952467</v>
      </c>
      <c r="AP140" s="8">
        <f t="shared" si="57"/>
        <v>0.58633300992496806</v>
      </c>
      <c r="AQ140" s="8"/>
      <c r="AR140" s="8">
        <f t="shared" si="58"/>
        <v>335.15481577537048</v>
      </c>
      <c r="AS140" s="8">
        <f t="shared" si="59"/>
        <v>56.405593142097118</v>
      </c>
    </row>
    <row r="141" spans="1:45">
      <c r="A141" s="19">
        <v>8.4417666669999996</v>
      </c>
      <c r="B141" s="19">
        <v>934.70787889999997</v>
      </c>
      <c r="C141" s="19">
        <v>-43.68854511</v>
      </c>
      <c r="E141" s="9">
        <f t="shared" si="45"/>
        <v>-25.292121100000031</v>
      </c>
      <c r="F141" s="9">
        <f t="shared" si="50"/>
        <v>496.31145488999999</v>
      </c>
      <c r="I141">
        <v>1</v>
      </c>
      <c r="J141">
        <f t="shared" si="46"/>
        <v>0.31835786016980061</v>
      </c>
      <c r="K141">
        <f t="shared" si="51"/>
        <v>1.621712461940412</v>
      </c>
      <c r="O141">
        <f t="shared" si="52"/>
        <v>-1.5930239889688461E-2</v>
      </c>
      <c r="P141">
        <f t="shared" si="53"/>
        <v>0.31260171913371049</v>
      </c>
      <c r="Q141">
        <f t="shared" si="54"/>
        <v>0.94975070026386699</v>
      </c>
      <c r="R141">
        <f t="shared" si="44"/>
        <v>1</v>
      </c>
      <c r="AG141" s="8">
        <f t="shared" si="47"/>
        <v>0.50267684460280437</v>
      </c>
      <c r="AH141" s="8">
        <f t="shared" si="48"/>
        <v>-0.23191703547577774</v>
      </c>
      <c r="AI141" s="8">
        <f t="shared" si="49"/>
        <v>0.83278477324954436</v>
      </c>
      <c r="AJ141" s="8"/>
      <c r="AK141" s="8"/>
      <c r="AL141" s="8"/>
      <c r="AN141" s="8">
        <f t="shared" si="55"/>
        <v>1</v>
      </c>
      <c r="AO141" s="8">
        <f t="shared" si="56"/>
        <v>5.8509213069206547</v>
      </c>
      <c r="AP141" s="8">
        <f t="shared" si="57"/>
        <v>0.58667718492034748</v>
      </c>
      <c r="AQ141" s="8"/>
      <c r="AR141" s="8">
        <f t="shared" si="58"/>
        <v>335.23309714972129</v>
      </c>
      <c r="AS141" s="8">
        <f t="shared" si="59"/>
        <v>56.385873367447942</v>
      </c>
    </row>
    <row r="142" spans="1:45">
      <c r="A142" s="19">
        <v>8.4751333330000005</v>
      </c>
      <c r="B142" s="19">
        <v>935.06248059999996</v>
      </c>
      <c r="C142" s="19">
        <v>-44.013808679999997</v>
      </c>
      <c r="E142" s="9">
        <f t="shared" si="45"/>
        <v>-24.937519400000042</v>
      </c>
      <c r="F142" s="9">
        <f t="shared" si="50"/>
        <v>495.98619131999999</v>
      </c>
      <c r="I142">
        <v>1</v>
      </c>
      <c r="J142">
        <f t="shared" si="46"/>
        <v>0.31815095346964584</v>
      </c>
      <c r="K142">
        <f t="shared" si="51"/>
        <v>1.6210326803590116</v>
      </c>
      <c r="O142">
        <f t="shared" si="52"/>
        <v>-1.5707867214803359E-2</v>
      </c>
      <c r="P142">
        <f t="shared" si="53"/>
        <v>0.3124162074288197</v>
      </c>
      <c r="Q142">
        <f t="shared" si="54"/>
        <v>0.94981544325376954</v>
      </c>
      <c r="R142">
        <f t="shared" si="44"/>
        <v>1</v>
      </c>
      <c r="AG142" s="8">
        <f t="shared" si="47"/>
        <v>0.502907853182474</v>
      </c>
      <c r="AH142" s="8">
        <f t="shared" si="48"/>
        <v>-0.23175674255106413</v>
      </c>
      <c r="AI142" s="8">
        <f t="shared" si="49"/>
        <v>0.83268992037223244</v>
      </c>
      <c r="AJ142" s="8"/>
      <c r="AK142" s="8"/>
      <c r="AL142" s="8"/>
      <c r="AN142" s="8">
        <f t="shared" si="55"/>
        <v>0.99999999999999978</v>
      </c>
      <c r="AO142" s="8">
        <f t="shared" si="56"/>
        <v>5.8513589224085143</v>
      </c>
      <c r="AP142" s="8">
        <f t="shared" si="57"/>
        <v>0.58684850209680284</v>
      </c>
      <c r="AQ142" s="8"/>
      <c r="AR142" s="8">
        <f t="shared" si="58"/>
        <v>335.25817067022518</v>
      </c>
      <c r="AS142" s="8">
        <f t="shared" si="59"/>
        <v>56.376057616278956</v>
      </c>
    </row>
    <row r="143" spans="1:45">
      <c r="A143" s="19">
        <v>8.5084999999999997</v>
      </c>
      <c r="B143" s="19">
        <v>935.49071160000005</v>
      </c>
      <c r="C143" s="19">
        <v>-43.989656330000003</v>
      </c>
      <c r="E143" s="9">
        <f t="shared" si="45"/>
        <v>-24.509288399999946</v>
      </c>
      <c r="F143" s="9">
        <f t="shared" si="50"/>
        <v>496.01034367</v>
      </c>
      <c r="I143">
        <v>1</v>
      </c>
      <c r="J143">
        <f t="shared" si="46"/>
        <v>0.31815264576199442</v>
      </c>
      <c r="K143">
        <f t="shared" si="51"/>
        <v>1.6201690270671938</v>
      </c>
      <c r="O143">
        <f t="shared" si="52"/>
        <v>-1.5438121431868054E-2</v>
      </c>
      <c r="P143">
        <f t="shared" si="53"/>
        <v>0.31243126246946051</v>
      </c>
      <c r="Q143">
        <f t="shared" si="54"/>
        <v>0.9498149138850126</v>
      </c>
      <c r="R143">
        <f t="shared" si="44"/>
        <v>1</v>
      </c>
      <c r="AG143" s="8">
        <f t="shared" si="47"/>
        <v>0.50298658997742218</v>
      </c>
      <c r="AH143" s="8">
        <f t="shared" si="48"/>
        <v>-0.23149942319040803</v>
      </c>
      <c r="AI143" s="8">
        <f t="shared" si="49"/>
        <v>0.83271394089770889</v>
      </c>
      <c r="AJ143" s="8"/>
      <c r="AK143" s="8"/>
      <c r="AL143" s="8"/>
      <c r="AN143" s="8">
        <f t="shared" si="55"/>
        <v>1</v>
      </c>
      <c r="AO143" s="8">
        <f t="shared" si="56"/>
        <v>5.8518405013620667</v>
      </c>
      <c r="AP143" s="8">
        <f t="shared" si="57"/>
        <v>0.58680512193966483</v>
      </c>
      <c r="AQ143" s="8"/>
      <c r="AR143" s="8">
        <f t="shared" si="58"/>
        <v>335.28576311176607</v>
      </c>
      <c r="AS143" s="8">
        <f t="shared" si="59"/>
        <v>56.378543116197577</v>
      </c>
    </row>
    <row r="144" spans="1:45">
      <c r="A144" s="19">
        <v>8.5418666670000007</v>
      </c>
      <c r="B144" s="19">
        <v>936.89319599999999</v>
      </c>
      <c r="C144" s="19">
        <v>-44.214760820000002</v>
      </c>
      <c r="E144" s="9">
        <f t="shared" si="45"/>
        <v>-23.106804000000011</v>
      </c>
      <c r="F144" s="9">
        <f t="shared" si="50"/>
        <v>495.78523918000002</v>
      </c>
      <c r="I144">
        <v>1</v>
      </c>
      <c r="J144">
        <f t="shared" si="46"/>
        <v>0.31797630568240398</v>
      </c>
      <c r="K144">
        <f t="shared" si="51"/>
        <v>1.6173691033896</v>
      </c>
      <c r="O144">
        <f t="shared" si="52"/>
        <v>-1.4555480469837402E-2</v>
      </c>
      <c r="P144">
        <f t="shared" si="53"/>
        <v>0.31230594962930303</v>
      </c>
      <c r="Q144">
        <f t="shared" si="54"/>
        <v>0.94987006048955525</v>
      </c>
      <c r="R144">
        <f t="shared" si="44"/>
        <v>1</v>
      </c>
      <c r="AG144" s="8">
        <f t="shared" si="47"/>
        <v>0.50339028441941769</v>
      </c>
      <c r="AH144" s="8">
        <f t="shared" si="48"/>
        <v>-0.23070299025351532</v>
      </c>
      <c r="AI144" s="8">
        <f t="shared" si="49"/>
        <v>0.83269103023884194</v>
      </c>
      <c r="AJ144" s="8"/>
      <c r="AK144" s="8"/>
      <c r="AL144" s="8"/>
      <c r="AN144" s="8">
        <f t="shared" si="55"/>
        <v>0.99999999999999978</v>
      </c>
      <c r="AO144" s="8">
        <f t="shared" si="56"/>
        <v>5.8534518508241895</v>
      </c>
      <c r="AP144" s="8">
        <f t="shared" si="57"/>
        <v>0.58684649778219522</v>
      </c>
      <c r="AQ144" s="8"/>
      <c r="AR144" s="8">
        <f t="shared" si="58"/>
        <v>335.37808663526641</v>
      </c>
      <c r="AS144" s="8">
        <f t="shared" si="59"/>
        <v>56.376172455046792</v>
      </c>
    </row>
    <row r="145" spans="1:45">
      <c r="A145" s="19">
        <v>8.5752333329999999</v>
      </c>
      <c r="B145" s="19">
        <v>937.49524480000002</v>
      </c>
      <c r="C145" s="19">
        <v>-44.360138079999999</v>
      </c>
      <c r="E145" s="9">
        <f t="shared" si="45"/>
        <v>-22.504755199999977</v>
      </c>
      <c r="F145" s="9">
        <f t="shared" si="50"/>
        <v>495.63986191999999</v>
      </c>
      <c r="I145">
        <v>1</v>
      </c>
      <c r="J145">
        <f t="shared" si="46"/>
        <v>0.31787192219753613</v>
      </c>
      <c r="K145">
        <f t="shared" si="51"/>
        <v>1.6161706204006516</v>
      </c>
      <c r="O145">
        <f t="shared" si="52"/>
        <v>-1.4176679309220383E-2</v>
      </c>
      <c r="P145">
        <f t="shared" si="53"/>
        <v>0.3122241194299305</v>
      </c>
      <c r="Q145">
        <f t="shared" si="54"/>
        <v>0.94990269028462493</v>
      </c>
      <c r="R145">
        <f t="shared" si="44"/>
        <v>1</v>
      </c>
      <c r="AG145" s="8">
        <f t="shared" si="47"/>
        <v>0.50358687605509533</v>
      </c>
      <c r="AH145" s="8">
        <f t="shared" si="48"/>
        <v>-0.23036845509349349</v>
      </c>
      <c r="AI145" s="8">
        <f t="shared" si="49"/>
        <v>0.83266477838497965</v>
      </c>
      <c r="AJ145" s="8"/>
      <c r="AK145" s="8"/>
      <c r="AL145" s="8"/>
      <c r="AN145" s="8">
        <f t="shared" si="55"/>
        <v>1.0000000000000002</v>
      </c>
      <c r="AO145" s="8">
        <f t="shared" si="56"/>
        <v>5.8541489249571548</v>
      </c>
      <c r="AP145" s="8">
        <f t="shared" si="57"/>
        <v>0.58689390454045642</v>
      </c>
      <c r="AQ145" s="8"/>
      <c r="AR145" s="8">
        <f t="shared" si="58"/>
        <v>335.41802604109307</v>
      </c>
      <c r="AS145" s="8">
        <f t="shared" si="59"/>
        <v>56.373456247878025</v>
      </c>
    </row>
    <row r="146" spans="1:45">
      <c r="A146" s="19">
        <v>8.6085999999999991</v>
      </c>
      <c r="B146" s="19">
        <v>938.355457</v>
      </c>
      <c r="C146" s="19">
        <v>-44.775564770000003</v>
      </c>
      <c r="E146" s="9">
        <f t="shared" si="45"/>
        <v>-21.644542999999999</v>
      </c>
      <c r="F146" s="9">
        <f t="shared" si="50"/>
        <v>495.22443522999998</v>
      </c>
      <c r="I146">
        <v>1</v>
      </c>
      <c r="J146">
        <f t="shared" si="46"/>
        <v>0.31759820754703966</v>
      </c>
      <c r="K146">
        <f t="shared" si="51"/>
        <v>1.6144750611103407</v>
      </c>
      <c r="O146">
        <f t="shared" si="52"/>
        <v>-1.3635911207117933E-2</v>
      </c>
      <c r="P146">
        <f t="shared" si="53"/>
        <v>0.31198794201344154</v>
      </c>
      <c r="Q146">
        <f t="shared" si="54"/>
        <v>0.94998820306557974</v>
      </c>
      <c r="R146">
        <f t="shared" si="44"/>
        <v>1</v>
      </c>
      <c r="AG146" s="8">
        <f t="shared" si="47"/>
        <v>0.50396741842544657</v>
      </c>
      <c r="AH146" s="8">
        <f t="shared" si="48"/>
        <v>-0.2299220333549698</v>
      </c>
      <c r="AI146" s="8">
        <f t="shared" si="49"/>
        <v>0.83255792575862686</v>
      </c>
      <c r="AJ146" s="8"/>
      <c r="AK146" s="8"/>
      <c r="AL146" s="8"/>
      <c r="AN146" s="8">
        <f t="shared" si="55"/>
        <v>1.0000000000000002</v>
      </c>
      <c r="AO146" s="8">
        <f t="shared" si="56"/>
        <v>5.8551675677116313</v>
      </c>
      <c r="AP146" s="8">
        <f t="shared" si="57"/>
        <v>0.58708682887884234</v>
      </c>
      <c r="AQ146" s="8"/>
      <c r="AR146" s="8">
        <f t="shared" si="58"/>
        <v>335.47638997175613</v>
      </c>
      <c r="AS146" s="8">
        <f t="shared" si="59"/>
        <v>56.362402497523156</v>
      </c>
    </row>
    <row r="147" spans="1:45">
      <c r="A147" s="19">
        <v>8.6419666670000002</v>
      </c>
      <c r="B147" s="19">
        <v>939.27332690000003</v>
      </c>
      <c r="C147" s="19">
        <v>-45.339161470000001</v>
      </c>
      <c r="E147" s="9">
        <f t="shared" si="45"/>
        <v>-20.726673099999971</v>
      </c>
      <c r="F147" s="9">
        <f t="shared" si="50"/>
        <v>494.66083852999998</v>
      </c>
      <c r="I147">
        <v>1</v>
      </c>
      <c r="J147">
        <f t="shared" si="46"/>
        <v>0.31723443348811814</v>
      </c>
      <c r="K147">
        <f t="shared" si="51"/>
        <v>1.6126726074309763</v>
      </c>
      <c r="O147">
        <f t="shared" si="52"/>
        <v>-1.3059077262097627E-2</v>
      </c>
      <c r="P147">
        <f t="shared" si="53"/>
        <v>0.31166671456295142</v>
      </c>
      <c r="Q147">
        <f t="shared" si="54"/>
        <v>0.95010174167538408</v>
      </c>
      <c r="R147">
        <f t="shared" si="44"/>
        <v>1</v>
      </c>
      <c r="AG147" s="8">
        <f t="shared" si="47"/>
        <v>0.50443113211956925</v>
      </c>
      <c r="AH147" s="8">
        <f t="shared" si="48"/>
        <v>-0.22946384577318329</v>
      </c>
      <c r="AI147" s="8">
        <f t="shared" si="49"/>
        <v>0.83240349376462286</v>
      </c>
      <c r="AJ147" s="8"/>
      <c r="AK147" s="8"/>
      <c r="AL147" s="8"/>
      <c r="AN147" s="8">
        <f t="shared" si="55"/>
        <v>1</v>
      </c>
      <c r="AO147" s="8">
        <f t="shared" si="56"/>
        <v>5.8562670994588597</v>
      </c>
      <c r="AP147" s="8">
        <f t="shared" si="57"/>
        <v>0.58736555981409255</v>
      </c>
      <c r="AQ147" s="8"/>
      <c r="AR147" s="8">
        <f t="shared" si="58"/>
        <v>335.53938850031295</v>
      </c>
      <c r="AS147" s="8">
        <f t="shared" si="59"/>
        <v>56.346432391313584</v>
      </c>
    </row>
    <row r="148" spans="1:45">
      <c r="A148" s="19">
        <v>8.6753333329999993</v>
      </c>
      <c r="B148" s="19">
        <v>939.36860679999995</v>
      </c>
      <c r="C148" s="19">
        <v>-45.774255940000003</v>
      </c>
      <c r="E148" s="9">
        <f t="shared" si="45"/>
        <v>-20.631393200000048</v>
      </c>
      <c r="F148" s="9">
        <f t="shared" si="50"/>
        <v>494.22574406000001</v>
      </c>
      <c r="I148">
        <v>1</v>
      </c>
      <c r="J148">
        <f t="shared" si="46"/>
        <v>0.31696943479416745</v>
      </c>
      <c r="K148">
        <f t="shared" si="51"/>
        <v>1.6125169810401661</v>
      </c>
      <c r="O148">
        <f t="shared" si="52"/>
        <v>-1.300007188077195E-2</v>
      </c>
      <c r="P148">
        <f t="shared" si="53"/>
        <v>0.31141717555496956</v>
      </c>
      <c r="Q148">
        <f t="shared" si="54"/>
        <v>0.95018437205652884</v>
      </c>
      <c r="R148">
        <f t="shared" si="44"/>
        <v>1</v>
      </c>
      <c r="AG148" s="8">
        <f t="shared" si="47"/>
        <v>0.50466015837861689</v>
      </c>
      <c r="AH148" s="8">
        <f t="shared" si="48"/>
        <v>-0.22947362858375131</v>
      </c>
      <c r="AI148" s="8">
        <f t="shared" si="49"/>
        <v>0.83226196496648575</v>
      </c>
      <c r="AJ148" s="8"/>
      <c r="AK148" s="8"/>
      <c r="AL148" s="8"/>
      <c r="AN148" s="8">
        <f t="shared" si="55"/>
        <v>1</v>
      </c>
      <c r="AO148" s="8">
        <f t="shared" si="56"/>
        <v>5.8564220963704088</v>
      </c>
      <c r="AP148" s="8">
        <f t="shared" si="57"/>
        <v>0.58762089961233988</v>
      </c>
      <c r="AQ148" s="8"/>
      <c r="AR148" s="8">
        <f t="shared" si="58"/>
        <v>335.54826916918228</v>
      </c>
      <c r="AS148" s="8">
        <f t="shared" si="59"/>
        <v>56.331802498532291</v>
      </c>
    </row>
    <row r="149" spans="1:45">
      <c r="A149" s="19">
        <v>8.7087000000000003</v>
      </c>
      <c r="B149" s="19">
        <v>940.64553869999997</v>
      </c>
      <c r="C149" s="19">
        <v>-45.977167489999999</v>
      </c>
      <c r="E149" s="9">
        <f t="shared" si="45"/>
        <v>-19.354461300000025</v>
      </c>
      <c r="F149" s="9">
        <f t="shared" si="50"/>
        <v>494.02283251</v>
      </c>
      <c r="I149">
        <v>1</v>
      </c>
      <c r="J149">
        <f t="shared" si="46"/>
        <v>0.31681576012161611</v>
      </c>
      <c r="K149">
        <f t="shared" si="51"/>
        <v>1.6099535620905221</v>
      </c>
      <c r="O149">
        <f t="shared" si="52"/>
        <v>-1.2196020959499943E-2</v>
      </c>
      <c r="P149">
        <f t="shared" si="53"/>
        <v>0.31130356595166486</v>
      </c>
      <c r="Q149">
        <f t="shared" si="54"/>
        <v>0.95023225944951628</v>
      </c>
      <c r="R149">
        <f t="shared" si="44"/>
        <v>1</v>
      </c>
      <c r="AG149" s="8">
        <f t="shared" si="47"/>
        <v>0.50502586303473496</v>
      </c>
      <c r="AH149" s="8">
        <f t="shared" si="48"/>
        <v>-0.22874735125720508</v>
      </c>
      <c r="AI149" s="8">
        <f t="shared" si="49"/>
        <v>0.83224006570149811</v>
      </c>
      <c r="AJ149" s="8"/>
      <c r="AK149" s="8"/>
      <c r="AL149" s="8"/>
      <c r="AN149" s="8">
        <f t="shared" si="55"/>
        <v>0.99999999999999989</v>
      </c>
      <c r="AO149" s="8">
        <f t="shared" si="56"/>
        <v>5.8578876271345264</v>
      </c>
      <c r="AP149" s="8">
        <f t="shared" si="57"/>
        <v>0.58766040052257118</v>
      </c>
      <c r="AQ149" s="8"/>
      <c r="AR149" s="8">
        <f t="shared" si="58"/>
        <v>335.63223789671281</v>
      </c>
      <c r="AS149" s="8">
        <f t="shared" si="59"/>
        <v>56.329539263089117</v>
      </c>
    </row>
    <row r="150" spans="1:45">
      <c r="A150" s="19">
        <v>8.7420666669999996</v>
      </c>
      <c r="B150" s="19">
        <v>941.01731029999996</v>
      </c>
      <c r="C150" s="19">
        <v>-46.00252931</v>
      </c>
      <c r="E150" s="9">
        <f t="shared" si="45"/>
        <v>-18.982689700000037</v>
      </c>
      <c r="F150" s="9">
        <f t="shared" si="50"/>
        <v>493.99747069</v>
      </c>
      <c r="I150">
        <v>1</v>
      </c>
      <c r="J150">
        <f t="shared" si="46"/>
        <v>0.31679173979065839</v>
      </c>
      <c r="K150">
        <f t="shared" si="51"/>
        <v>1.6092041238921826</v>
      </c>
      <c r="O150">
        <f t="shared" si="52"/>
        <v>-1.1961838330936151E-2</v>
      </c>
      <c r="P150">
        <f t="shared" si="53"/>
        <v>0.31128981054171534</v>
      </c>
      <c r="Q150">
        <f t="shared" si="54"/>
        <v>0.95023974252640453</v>
      </c>
      <c r="R150">
        <f t="shared" si="44"/>
        <v>1</v>
      </c>
      <c r="AG150" s="8">
        <f t="shared" si="47"/>
        <v>0.50511607937529557</v>
      </c>
      <c r="AH150" s="8">
        <f t="shared" si="48"/>
        <v>-0.22853072934463725</v>
      </c>
      <c r="AI150" s="8">
        <f t="shared" si="49"/>
        <v>0.83224482702011326</v>
      </c>
      <c r="AJ150" s="8"/>
      <c r="AK150" s="8"/>
      <c r="AL150" s="8"/>
      <c r="AN150" s="8">
        <f t="shared" si="55"/>
        <v>1</v>
      </c>
      <c r="AO150" s="8">
        <f t="shared" si="56"/>
        <v>5.8583106852049482</v>
      </c>
      <c r="AP150" s="8">
        <f t="shared" si="57"/>
        <v>0.58765181246925036</v>
      </c>
      <c r="AQ150" s="8"/>
      <c r="AR150" s="8">
        <f t="shared" si="58"/>
        <v>335.65647733863693</v>
      </c>
      <c r="AS150" s="8">
        <f t="shared" si="59"/>
        <v>56.33003132229863</v>
      </c>
    </row>
    <row r="151" spans="1:45">
      <c r="A151" s="19">
        <v>8.7754333330000005</v>
      </c>
      <c r="B151" s="19">
        <v>942.12728919999995</v>
      </c>
      <c r="C151" s="19">
        <v>-46.715575739999998</v>
      </c>
      <c r="E151" s="9">
        <f t="shared" si="45"/>
        <v>-17.87271080000005</v>
      </c>
      <c r="F151" s="9">
        <f t="shared" si="50"/>
        <v>493.28442425999998</v>
      </c>
      <c r="I151">
        <v>1</v>
      </c>
      <c r="J151">
        <f t="shared" si="46"/>
        <v>0.31633615135828413</v>
      </c>
      <c r="K151">
        <f t="shared" si="51"/>
        <v>1.6070125444635666</v>
      </c>
      <c r="O151">
        <f t="shared" si="52"/>
        <v>-1.1263917401556127E-2</v>
      </c>
      <c r="P151">
        <f t="shared" si="53"/>
        <v>0.31088261162592179</v>
      </c>
      <c r="Q151">
        <f t="shared" si="54"/>
        <v>0.95038156860990164</v>
      </c>
      <c r="R151">
        <f t="shared" si="44"/>
        <v>1</v>
      </c>
      <c r="AG151" s="8">
        <f t="shared" si="47"/>
        <v>0.50569148509156581</v>
      </c>
      <c r="AH151" s="8">
        <f t="shared" si="48"/>
        <v>-0.22798074755287032</v>
      </c>
      <c r="AI151" s="8">
        <f t="shared" si="49"/>
        <v>0.83204621305016535</v>
      </c>
      <c r="AJ151" s="8"/>
      <c r="AK151" s="8"/>
      <c r="AL151" s="8"/>
      <c r="AN151" s="8">
        <f t="shared" si="55"/>
        <v>1</v>
      </c>
      <c r="AO151" s="8">
        <f t="shared" si="56"/>
        <v>5.8596416045474609</v>
      </c>
      <c r="AP151" s="8">
        <f t="shared" si="57"/>
        <v>0.58800996115296389</v>
      </c>
      <c r="AQ151" s="8"/>
      <c r="AR151" s="8">
        <f t="shared" si="58"/>
        <v>335.73273339983524</v>
      </c>
      <c r="AS151" s="8">
        <f t="shared" si="59"/>
        <v>56.309510914283678</v>
      </c>
    </row>
    <row r="152" spans="1:45">
      <c r="A152" s="19">
        <v>8.8087999999999997</v>
      </c>
      <c r="B152" s="19">
        <v>942.57176379999999</v>
      </c>
      <c r="C152" s="19">
        <v>-46.728071120000003</v>
      </c>
      <c r="E152" s="9">
        <f t="shared" si="45"/>
        <v>-17.428236200000015</v>
      </c>
      <c r="F152" s="9">
        <f t="shared" si="50"/>
        <v>493.27192888000002</v>
      </c>
      <c r="I152">
        <v>1</v>
      </c>
      <c r="J152">
        <f t="shared" si="46"/>
        <v>0.31631899898116905</v>
      </c>
      <c r="K152">
        <f t="shared" si="51"/>
        <v>1.606113539200164</v>
      </c>
      <c r="O152">
        <f t="shared" si="52"/>
        <v>-1.0983852184719768E-2</v>
      </c>
      <c r="P152">
        <f t="shared" si="53"/>
        <v>0.31087632113280245</v>
      </c>
      <c r="Q152">
        <f t="shared" si="54"/>
        <v>0.9503869043448141</v>
      </c>
      <c r="R152">
        <f t="shared" si="44"/>
        <v>1</v>
      </c>
      <c r="AG152" s="8">
        <f t="shared" si="47"/>
        <v>0.50579065500506526</v>
      </c>
      <c r="AH152" s="8">
        <f t="shared" si="48"/>
        <v>-0.22771894683240759</v>
      </c>
      <c r="AI152" s="8">
        <f t="shared" si="49"/>
        <v>0.83205762694845009</v>
      </c>
      <c r="AJ152" s="8"/>
      <c r="AK152" s="8"/>
      <c r="AL152" s="8"/>
      <c r="AN152" s="8">
        <f t="shared" si="55"/>
        <v>1</v>
      </c>
      <c r="AO152" s="8">
        <f t="shared" si="56"/>
        <v>5.8601453564830717</v>
      </c>
      <c r="AP152" s="8">
        <f t="shared" si="57"/>
        <v>0.58798938436474479</v>
      </c>
      <c r="AQ152" s="8"/>
      <c r="AR152" s="8">
        <f t="shared" si="58"/>
        <v>335.76159625966727</v>
      </c>
      <c r="AS152" s="8">
        <f t="shared" si="59"/>
        <v>56.31068987740457</v>
      </c>
    </row>
    <row r="153" spans="1:45">
      <c r="A153" s="19">
        <v>8.8421666670000008</v>
      </c>
      <c r="B153" s="19">
        <v>943.31294479999997</v>
      </c>
      <c r="C153" s="19">
        <v>-47.077559639999997</v>
      </c>
      <c r="E153" s="9">
        <f t="shared" si="45"/>
        <v>-16.687055200000032</v>
      </c>
      <c r="F153" s="9">
        <f t="shared" si="50"/>
        <v>492.92244036</v>
      </c>
      <c r="I153">
        <v>1</v>
      </c>
      <c r="J153">
        <f t="shared" si="46"/>
        <v>0.31609240762136992</v>
      </c>
      <c r="K153">
        <f t="shared" si="51"/>
        <v>1.6046367112053341</v>
      </c>
      <c r="O153">
        <f t="shared" si="52"/>
        <v>-1.0517443131785164E-2</v>
      </c>
      <c r="P153">
        <f t="shared" si="53"/>
        <v>0.31067696922744426</v>
      </c>
      <c r="Q153">
        <f t="shared" si="54"/>
        <v>0.95045736578850248</v>
      </c>
      <c r="R153">
        <f t="shared" si="44"/>
        <v>1</v>
      </c>
      <c r="AG153" s="8">
        <f t="shared" si="47"/>
        <v>0.50611385894312466</v>
      </c>
      <c r="AH153" s="8">
        <f t="shared" si="48"/>
        <v>-0.22733224379458294</v>
      </c>
      <c r="AI153" s="8">
        <f t="shared" si="49"/>
        <v>0.83196683390446469</v>
      </c>
      <c r="AJ153" s="8"/>
      <c r="AK153" s="8"/>
      <c r="AL153" s="8"/>
      <c r="AN153" s="8">
        <f t="shared" si="55"/>
        <v>0.99999999999999989</v>
      </c>
      <c r="AO153" s="8">
        <f t="shared" si="56"/>
        <v>5.8610200455060006</v>
      </c>
      <c r="AP153" s="8">
        <f t="shared" si="57"/>
        <v>0.58815304700921867</v>
      </c>
      <c r="AQ153" s="8"/>
      <c r="AR153" s="8">
        <f t="shared" si="58"/>
        <v>335.81171224906751</v>
      </c>
      <c r="AS153" s="8">
        <f t="shared" si="59"/>
        <v>56.301312698612264</v>
      </c>
    </row>
    <row r="154" spans="1:45">
      <c r="A154" s="19">
        <v>8.8755333329999999</v>
      </c>
      <c r="B154" s="19">
        <v>943.84246289999999</v>
      </c>
      <c r="C154" s="19">
        <v>-47.314940020000002</v>
      </c>
      <c r="E154" s="9">
        <f t="shared" si="45"/>
        <v>-16.157537100000013</v>
      </c>
      <c r="F154" s="9">
        <f t="shared" si="50"/>
        <v>492.68505998000001</v>
      </c>
      <c r="I154">
        <v>1</v>
      </c>
      <c r="J154">
        <f t="shared" si="46"/>
        <v>0.31593833736801297</v>
      </c>
      <c r="K154">
        <f t="shared" si="51"/>
        <v>1.603579436442399</v>
      </c>
      <c r="O154">
        <f t="shared" si="52"/>
        <v>-1.018416646756431E-2</v>
      </c>
      <c r="P154">
        <f t="shared" si="53"/>
        <v>0.31054155319985299</v>
      </c>
      <c r="Q154">
        <f t="shared" si="54"/>
        <v>0.95050524800738678</v>
      </c>
      <c r="R154">
        <f t="shared" si="44"/>
        <v>1</v>
      </c>
      <c r="AG154" s="8">
        <f t="shared" si="47"/>
        <v>0.50633879503451817</v>
      </c>
      <c r="AH154" s="8">
        <f t="shared" si="48"/>
        <v>-0.22705403717175621</v>
      </c>
      <c r="AI154" s="8">
        <f t="shared" si="49"/>
        <v>0.83190593749954633</v>
      </c>
      <c r="AJ154" s="8"/>
      <c r="AK154" s="8"/>
      <c r="AL154" s="8"/>
      <c r="AN154" s="8">
        <f t="shared" si="55"/>
        <v>1.0000000000000002</v>
      </c>
      <c r="AO154" s="8">
        <f t="shared" si="56"/>
        <v>5.8616434647473366</v>
      </c>
      <c r="AP154" s="8">
        <f t="shared" si="57"/>
        <v>0.58826279576673335</v>
      </c>
      <c r="AQ154" s="8"/>
      <c r="AR154" s="8">
        <f t="shared" si="58"/>
        <v>335.84743154046333</v>
      </c>
      <c r="AS154" s="8">
        <f t="shared" si="59"/>
        <v>56.295024557999866</v>
      </c>
    </row>
    <row r="155" spans="1:45">
      <c r="A155" s="19">
        <v>8.9088999999999992</v>
      </c>
      <c r="B155" s="19">
        <v>944.92661499999997</v>
      </c>
      <c r="C155" s="19">
        <v>-47.791336989999998</v>
      </c>
      <c r="E155" s="9">
        <f t="shared" si="45"/>
        <v>-15.07338500000003</v>
      </c>
      <c r="F155" s="9">
        <f t="shared" si="50"/>
        <v>492.20866301000001</v>
      </c>
      <c r="I155">
        <v>1</v>
      </c>
      <c r="J155">
        <f t="shared" si="46"/>
        <v>0.31562969947656089</v>
      </c>
      <c r="K155">
        <f t="shared" si="51"/>
        <v>1.6014107322342186</v>
      </c>
      <c r="O155">
        <f t="shared" si="52"/>
        <v>-9.5016901215441828E-3</v>
      </c>
      <c r="P155">
        <f t="shared" si="53"/>
        <v>0.31026967008807943</v>
      </c>
      <c r="Q155">
        <f t="shared" si="54"/>
        <v>0.95060109915162028</v>
      </c>
      <c r="R155">
        <f t="shared" ref="R155:R218" si="60">SQRT(O155^2+P155^2+Q155^2)</f>
        <v>1</v>
      </c>
      <c r="AG155" s="8">
        <f t="shared" si="47"/>
        <v>0.50679456181572824</v>
      </c>
      <c r="AH155" s="8">
        <f t="shared" si="48"/>
        <v>-0.22648279464356813</v>
      </c>
      <c r="AI155" s="8">
        <f t="shared" si="49"/>
        <v>0.83178411612896497</v>
      </c>
      <c r="AJ155" s="8"/>
      <c r="AK155" s="8"/>
      <c r="AL155" s="8"/>
      <c r="AN155" s="8">
        <f t="shared" si="55"/>
        <v>1</v>
      </c>
      <c r="AO155" s="8">
        <f t="shared" si="56"/>
        <v>5.8629184092760473</v>
      </c>
      <c r="AP155" s="8">
        <f t="shared" si="57"/>
        <v>0.58848229058149049</v>
      </c>
      <c r="AQ155" s="8"/>
      <c r="AR155" s="8">
        <f t="shared" si="58"/>
        <v>335.92048048107176</v>
      </c>
      <c r="AS155" s="8">
        <f t="shared" si="59"/>
        <v>56.282448431489279</v>
      </c>
    </row>
    <row r="156" spans="1:45">
      <c r="A156" s="19">
        <v>8.9422666670000002</v>
      </c>
      <c r="B156" s="19">
        <v>945.36248279999995</v>
      </c>
      <c r="C156" s="19">
        <v>-48.062687769999997</v>
      </c>
      <c r="E156" s="9">
        <f t="shared" si="45"/>
        <v>-14.637517200000048</v>
      </c>
      <c r="F156" s="9">
        <f t="shared" si="50"/>
        <v>491.93731222999997</v>
      </c>
      <c r="I156">
        <v>1</v>
      </c>
      <c r="J156">
        <f t="shared" si="46"/>
        <v>0.31545774970814489</v>
      </c>
      <c r="K156">
        <f t="shared" si="51"/>
        <v>1.6005423927082292</v>
      </c>
      <c r="O156">
        <f t="shared" si="52"/>
        <v>-9.2274055732783147E-3</v>
      </c>
      <c r="P156">
        <f t="shared" si="53"/>
        <v>0.31011441589114902</v>
      </c>
      <c r="Q156">
        <f t="shared" si="54"/>
        <v>0.95065446090726247</v>
      </c>
      <c r="R156">
        <f t="shared" si="60"/>
        <v>1</v>
      </c>
      <c r="AG156" s="8">
        <f t="shared" si="47"/>
        <v>0.50701610173327571</v>
      </c>
      <c r="AH156" s="8">
        <f t="shared" si="48"/>
        <v>-0.22626517170402533</v>
      </c>
      <c r="AI156" s="8">
        <f t="shared" si="49"/>
        <v>0.83170832907753223</v>
      </c>
      <c r="AJ156" s="8"/>
      <c r="AK156" s="8"/>
      <c r="AL156" s="8"/>
      <c r="AN156" s="8">
        <f t="shared" si="55"/>
        <v>1</v>
      </c>
      <c r="AO156" s="8">
        <f t="shared" si="56"/>
        <v>5.8634390648225807</v>
      </c>
      <c r="AP156" s="8">
        <f t="shared" si="57"/>
        <v>0.58861880544822576</v>
      </c>
      <c r="AQ156" s="8"/>
      <c r="AR156" s="8">
        <f t="shared" si="58"/>
        <v>335.9503118464682</v>
      </c>
      <c r="AS156" s="8">
        <f t="shared" si="59"/>
        <v>56.274626705784556</v>
      </c>
    </row>
    <row r="157" spans="1:45">
      <c r="A157" s="19">
        <v>8.9756333329999993</v>
      </c>
      <c r="B157" s="19">
        <v>946.29966709999997</v>
      </c>
      <c r="C157" s="19">
        <v>-48.126378330000001</v>
      </c>
      <c r="E157" s="9">
        <f t="shared" si="45"/>
        <v>-13.700332900000035</v>
      </c>
      <c r="F157" s="9">
        <f t="shared" si="50"/>
        <v>491.87362166999998</v>
      </c>
      <c r="I157">
        <v>1</v>
      </c>
      <c r="J157">
        <f t="shared" si="46"/>
        <v>0.31540293584681212</v>
      </c>
      <c r="K157">
        <f t="shared" si="51"/>
        <v>1.598642486854549</v>
      </c>
      <c r="O157">
        <f t="shared" si="52"/>
        <v>-8.6367502176867735E-3</v>
      </c>
      <c r="P157">
        <f t="shared" si="53"/>
        <v>0.31007929807550533</v>
      </c>
      <c r="Q157">
        <f t="shared" si="54"/>
        <v>0.95067146557087701</v>
      </c>
      <c r="R157">
        <f t="shared" si="60"/>
        <v>1</v>
      </c>
      <c r="AG157" s="8">
        <f t="shared" si="47"/>
        <v>0.50724253138605802</v>
      </c>
      <c r="AH157" s="8">
        <f t="shared" si="48"/>
        <v>-0.22571834893245624</v>
      </c>
      <c r="AI157" s="8">
        <f t="shared" si="49"/>
        <v>0.83171884751295011</v>
      </c>
      <c r="AJ157" s="8"/>
      <c r="AK157" s="8"/>
      <c r="AL157" s="8"/>
      <c r="AN157" s="8">
        <f t="shared" si="55"/>
        <v>1</v>
      </c>
      <c r="AO157" s="8">
        <f t="shared" si="56"/>
        <v>5.8645046884560239</v>
      </c>
      <c r="AP157" s="8">
        <f t="shared" si="57"/>
        <v>0.58859986030747768</v>
      </c>
      <c r="AQ157" s="8"/>
      <c r="AR157" s="8">
        <f t="shared" si="58"/>
        <v>336.01136758321388</v>
      </c>
      <c r="AS157" s="8">
        <f t="shared" si="59"/>
        <v>56.2757121823917</v>
      </c>
    </row>
    <row r="158" spans="1:45">
      <c r="A158" s="19">
        <v>9.0090000000000003</v>
      </c>
      <c r="B158" s="19">
        <v>947.28248770000005</v>
      </c>
      <c r="C158" s="19">
        <v>-48.371734959999998</v>
      </c>
      <c r="E158" s="9">
        <f t="shared" si="45"/>
        <v>-12.717512299999953</v>
      </c>
      <c r="F158" s="9">
        <f t="shared" si="50"/>
        <v>491.62826503999997</v>
      </c>
      <c r="I158">
        <v>1</v>
      </c>
      <c r="J158">
        <f t="shared" si="46"/>
        <v>0.3152386554851217</v>
      </c>
      <c r="K158">
        <f t="shared" si="51"/>
        <v>1.5966587062686179</v>
      </c>
      <c r="O158">
        <f t="shared" si="52"/>
        <v>-8.0175655772444961E-3</v>
      </c>
      <c r="P158">
        <f t="shared" si="53"/>
        <v>0.3099396927326078</v>
      </c>
      <c r="Q158">
        <f t="shared" si="54"/>
        <v>0.95072241243752698</v>
      </c>
      <c r="R158">
        <f t="shared" si="60"/>
        <v>1</v>
      </c>
      <c r="AG158" s="8">
        <f t="shared" si="47"/>
        <v>0.50756562759387713</v>
      </c>
      <c r="AH158" s="8">
        <f t="shared" si="48"/>
        <v>-0.22517182772637401</v>
      </c>
      <c r="AI158" s="8">
        <f t="shared" si="49"/>
        <v>0.83166987542149062</v>
      </c>
      <c r="AJ158" s="8"/>
      <c r="AK158" s="8"/>
      <c r="AL158" s="8"/>
      <c r="AN158" s="8">
        <f t="shared" si="55"/>
        <v>1</v>
      </c>
      <c r="AO158" s="8">
        <f t="shared" si="56"/>
        <v>5.8656404822893204</v>
      </c>
      <c r="AP158" s="8">
        <f t="shared" si="57"/>
        <v>0.58868806116668149</v>
      </c>
      <c r="AQ158" s="8"/>
      <c r="AR158" s="8">
        <f t="shared" si="58"/>
        <v>336.07644377625877</v>
      </c>
      <c r="AS158" s="8">
        <f t="shared" si="59"/>
        <v>56.270658645409895</v>
      </c>
    </row>
    <row r="159" spans="1:45">
      <c r="A159" s="19">
        <v>9.0423666669999996</v>
      </c>
      <c r="B159" s="19">
        <v>947.40873509999994</v>
      </c>
      <c r="C159" s="19">
        <v>-48.544604679999999</v>
      </c>
      <c r="E159" s="9">
        <f t="shared" si="45"/>
        <v>-12.591264900000056</v>
      </c>
      <c r="F159" s="9">
        <f t="shared" si="50"/>
        <v>491.45539531999998</v>
      </c>
      <c r="I159">
        <v>1</v>
      </c>
      <c r="J159">
        <f t="shared" si="46"/>
        <v>0.31513217644952152</v>
      </c>
      <c r="K159">
        <f t="shared" si="51"/>
        <v>1.5964110847634947</v>
      </c>
      <c r="O159">
        <f t="shared" si="52"/>
        <v>-7.9382248042256312E-3</v>
      </c>
      <c r="P159">
        <f t="shared" si="53"/>
        <v>0.30984046799775872</v>
      </c>
      <c r="Q159">
        <f t="shared" si="54"/>
        <v>0.95075542016750414</v>
      </c>
      <c r="R159">
        <f t="shared" si="60"/>
        <v>1</v>
      </c>
      <c r="AG159" s="8">
        <f t="shared" si="47"/>
        <v>0.50767506295293363</v>
      </c>
      <c r="AH159" s="8">
        <f t="shared" si="48"/>
        <v>-0.22512301285747466</v>
      </c>
      <c r="AI159" s="8">
        <f t="shared" si="49"/>
        <v>0.83161629345372268</v>
      </c>
      <c r="AJ159" s="8"/>
      <c r="AK159" s="8"/>
      <c r="AL159" s="8"/>
      <c r="AN159" s="8">
        <f t="shared" si="55"/>
        <v>1</v>
      </c>
      <c r="AO159" s="8">
        <f t="shared" si="56"/>
        <v>5.8658007395953726</v>
      </c>
      <c r="AP159" s="8">
        <f t="shared" si="57"/>
        <v>0.58878455126624818</v>
      </c>
      <c r="AQ159" s="8"/>
      <c r="AR159" s="8">
        <f t="shared" si="58"/>
        <v>336.08562584353172</v>
      </c>
      <c r="AS159" s="8">
        <f t="shared" si="59"/>
        <v>56.26513016993993</v>
      </c>
    </row>
    <row r="160" spans="1:45">
      <c r="A160" s="19">
        <v>9.0757333330000005</v>
      </c>
      <c r="B160" s="19">
        <v>948.41670929999998</v>
      </c>
      <c r="C160" s="19">
        <v>-49.247115870000002</v>
      </c>
      <c r="E160" s="9">
        <f t="shared" ref="E160:E223" si="61">(B160-($B$15/2))</f>
        <v>-11.58329070000002</v>
      </c>
      <c r="F160" s="9">
        <f t="shared" si="50"/>
        <v>490.75288412999998</v>
      </c>
      <c r="I160">
        <v>1</v>
      </c>
      <c r="J160">
        <f t="shared" ref="J160:J223" si="62">ATAN((SQRT(E160^2+F160^2)^$B$16)/($F$24))</f>
        <v>0.31469236441894288</v>
      </c>
      <c r="K160">
        <f t="shared" si="51"/>
        <v>1.5943950477626914</v>
      </c>
      <c r="O160">
        <f t="shared" si="52"/>
        <v>-7.3036915644821851E-3</v>
      </c>
      <c r="P160">
        <f t="shared" si="53"/>
        <v>0.30943777488598984</v>
      </c>
      <c r="Q160">
        <f t="shared" si="54"/>
        <v>0.9508916444911788</v>
      </c>
      <c r="R160">
        <f t="shared" si="60"/>
        <v>1</v>
      </c>
      <c r="AG160" s="8">
        <f t="shared" ref="AG160:AG223" si="63">$O160*$Z$27+$P160*$Z$31+$Q160*$Z$35</f>
        <v>0.5082229644443661</v>
      </c>
      <c r="AH160" s="8">
        <f t="shared" ref="AH160:AH223" si="64">$O160*$AA$27+$P160*$AA$31+$Q160*$AA$35</f>
        <v>-0.22463051874942855</v>
      </c>
      <c r="AI160" s="8">
        <f t="shared" ref="AI160:AI223" si="65">$AB$27*$O160+$P160*$AB$31+$AB$35*$Q160</f>
        <v>0.83141478724986795</v>
      </c>
      <c r="AJ160" s="8"/>
      <c r="AK160" s="8"/>
      <c r="AL160" s="8"/>
      <c r="AN160" s="8">
        <f t="shared" si="55"/>
        <v>0.99999999999999989</v>
      </c>
      <c r="AO160" s="8">
        <f t="shared" si="56"/>
        <v>5.867010701562644</v>
      </c>
      <c r="AP160" s="8">
        <f t="shared" si="57"/>
        <v>0.58914729774985752</v>
      </c>
      <c r="AQ160" s="8"/>
      <c r="AR160" s="8">
        <f t="shared" si="58"/>
        <v>336.15495155762767</v>
      </c>
      <c r="AS160" s="8">
        <f t="shared" si="59"/>
        <v>56.244346327395903</v>
      </c>
    </row>
    <row r="161" spans="1:45">
      <c r="A161" s="19">
        <v>9.1090999999999998</v>
      </c>
      <c r="B161" s="19">
        <v>948.86546810000004</v>
      </c>
      <c r="C161" s="19">
        <v>-49.680346210000003</v>
      </c>
      <c r="E161" s="9">
        <f t="shared" si="61"/>
        <v>-11.134531899999956</v>
      </c>
      <c r="F161" s="9">
        <f t="shared" ref="F161:F224" si="66">(($C$15/2)+C161)</f>
        <v>490.31965379000002</v>
      </c>
      <c r="I161">
        <v>1</v>
      </c>
      <c r="J161">
        <f t="shared" si="62"/>
        <v>0.31442403684790565</v>
      </c>
      <c r="K161">
        <f t="shared" ref="K161:K224" si="67">ATAN2(E161,F161)</f>
        <v>1.5935011448292917</v>
      </c>
      <c r="O161">
        <f t="shared" ref="O161:O224" si="68">COS(K161)*SIN(J161)</f>
        <v>-7.0212884489794045E-3</v>
      </c>
      <c r="P161">
        <f t="shared" ref="P161:P224" si="69">SIN(K161)*SIN(J161)</f>
        <v>0.30918908422754199</v>
      </c>
      <c r="Q161">
        <f t="shared" ref="Q161:Q224" si="70">COS(J161)</f>
        <v>0.95097466407000042</v>
      </c>
      <c r="R161">
        <f t="shared" si="60"/>
        <v>1</v>
      </c>
      <c r="AG161" s="8">
        <f t="shared" si="63"/>
        <v>0.50852475616068649</v>
      </c>
      <c r="AH161" s="8">
        <f t="shared" si="64"/>
        <v>-0.22442938725562106</v>
      </c>
      <c r="AI161" s="8">
        <f t="shared" si="65"/>
        <v>0.83128456169219267</v>
      </c>
      <c r="AJ161" s="8"/>
      <c r="AK161" s="8"/>
      <c r="AL161" s="8"/>
      <c r="AN161" s="8">
        <f t="shared" ref="AN161:AN224" si="71">AG161^2+AH161^2+AI161^2</f>
        <v>1</v>
      </c>
      <c r="AO161" s="8">
        <f t="shared" ref="AO161:AO224" si="72">IF(ATAN2(AG161,AH161)&gt;=0,ATAN2(AG161,AH161),ATAN2(AG161,AH161)+2*PI())</f>
        <v>5.867561153388376</v>
      </c>
      <c r="AP161" s="8">
        <f t="shared" ref="AP161:AP224" si="73">ACOS(AI161/AN161)</f>
        <v>0.58938162187480692</v>
      </c>
      <c r="AQ161" s="8"/>
      <c r="AR161" s="8">
        <f t="shared" ref="AR161:AR224" si="74">DEGREES(AO161)</f>
        <v>336.1864901240674</v>
      </c>
      <c r="AS161" s="8">
        <f t="shared" ref="AS161:AS224" si="75">90-DEGREES(AP161)</f>
        <v>56.230920543998202</v>
      </c>
    </row>
    <row r="162" spans="1:45">
      <c r="A162" s="19">
        <v>9.1424666670000008</v>
      </c>
      <c r="B162" s="19">
        <v>949.03757970000004</v>
      </c>
      <c r="C162" s="19">
        <v>-49.748642689999997</v>
      </c>
      <c r="E162" s="9">
        <f t="shared" si="61"/>
        <v>-10.962420299999962</v>
      </c>
      <c r="F162" s="9">
        <f t="shared" si="66"/>
        <v>490.25135731</v>
      </c>
      <c r="I162">
        <v>1</v>
      </c>
      <c r="J162">
        <f t="shared" si="62"/>
        <v>0.31438037649438988</v>
      </c>
      <c r="K162">
        <f t="shared" si="67"/>
        <v>1.5931534168717074</v>
      </c>
      <c r="O162">
        <f t="shared" si="68"/>
        <v>-6.9128461447097965E-3</v>
      </c>
      <c r="P162">
        <f t="shared" si="69"/>
        <v>0.30914999722453596</v>
      </c>
      <c r="Q162">
        <f t="shared" si="70"/>
        <v>0.95098816594858271</v>
      </c>
      <c r="R162">
        <f t="shared" si="60"/>
        <v>1</v>
      </c>
      <c r="AG162" s="8">
        <f t="shared" si="63"/>
        <v>0.50859344951609831</v>
      </c>
      <c r="AH162" s="8">
        <f t="shared" si="64"/>
        <v>-0.22433743601472617</v>
      </c>
      <c r="AI162" s="8">
        <f t="shared" si="65"/>
        <v>0.83126735645738836</v>
      </c>
      <c r="AJ162" s="8"/>
      <c r="AK162" s="8"/>
      <c r="AL162" s="8"/>
      <c r="AN162" s="8">
        <f t="shared" si="71"/>
        <v>1.0000000000000002</v>
      </c>
      <c r="AO162" s="8">
        <f t="shared" si="72"/>
        <v>5.867762383999426</v>
      </c>
      <c r="AP162" s="8">
        <f t="shared" si="73"/>
        <v>0.58941257433850813</v>
      </c>
      <c r="AQ162" s="8"/>
      <c r="AR162" s="8">
        <f t="shared" si="74"/>
        <v>336.1980197887894</v>
      </c>
      <c r="AS162" s="8">
        <f t="shared" si="75"/>
        <v>56.229147098462597</v>
      </c>
    </row>
    <row r="163" spans="1:45">
      <c r="A163" s="19">
        <v>9.1758333329999999</v>
      </c>
      <c r="B163" s="19">
        <v>950.78028459999996</v>
      </c>
      <c r="C163" s="19">
        <v>-50.229733320000001</v>
      </c>
      <c r="E163" s="9">
        <f t="shared" si="61"/>
        <v>-9.219715400000041</v>
      </c>
      <c r="F163" s="9">
        <f t="shared" si="66"/>
        <v>489.77026668000002</v>
      </c>
      <c r="I163">
        <v>1</v>
      </c>
      <c r="J163">
        <f t="shared" si="62"/>
        <v>0.3140675964218021</v>
      </c>
      <c r="K163">
        <f t="shared" si="67"/>
        <v>1.5896186751734447</v>
      </c>
      <c r="O163">
        <f t="shared" si="68"/>
        <v>-5.8144411838690494E-3</v>
      </c>
      <c r="P163">
        <f t="shared" si="69"/>
        <v>0.3088750884022668</v>
      </c>
      <c r="Q163">
        <f t="shared" si="70"/>
        <v>0.95108483955860168</v>
      </c>
      <c r="R163">
        <f t="shared" si="60"/>
        <v>1</v>
      </c>
      <c r="AG163" s="8">
        <f t="shared" si="63"/>
        <v>0.5091875199254291</v>
      </c>
      <c r="AH163" s="8">
        <f t="shared" si="64"/>
        <v>-0.22337431036367045</v>
      </c>
      <c r="AI163" s="8">
        <f t="shared" si="65"/>
        <v>0.8311630327569588</v>
      </c>
      <c r="AJ163" s="8"/>
      <c r="AK163" s="8"/>
      <c r="AL163" s="8"/>
      <c r="AN163" s="8">
        <f t="shared" si="71"/>
        <v>1</v>
      </c>
      <c r="AO163" s="8">
        <f t="shared" si="72"/>
        <v>5.8697783975247102</v>
      </c>
      <c r="AP163" s="8">
        <f t="shared" si="73"/>
        <v>0.58960022349778518</v>
      </c>
      <c r="AQ163" s="8"/>
      <c r="AR163" s="8">
        <f t="shared" si="74"/>
        <v>336.31352885522949</v>
      </c>
      <c r="AS163" s="8">
        <f t="shared" si="75"/>
        <v>56.218395593606843</v>
      </c>
    </row>
    <row r="164" spans="1:45">
      <c r="A164" s="19">
        <v>9.2091999999999992</v>
      </c>
      <c r="B164" s="19">
        <v>951.41374150000001</v>
      </c>
      <c r="C164" s="19">
        <v>-50.256297240000002</v>
      </c>
      <c r="E164" s="9">
        <f t="shared" si="61"/>
        <v>-8.5862584999999854</v>
      </c>
      <c r="F164" s="9">
        <f t="shared" si="66"/>
        <v>489.74370276000002</v>
      </c>
      <c r="I164">
        <v>1</v>
      </c>
      <c r="J164">
        <f t="shared" si="62"/>
        <v>0.31404455446995327</v>
      </c>
      <c r="K164">
        <f t="shared" si="67"/>
        <v>1.5883266776227616</v>
      </c>
      <c r="O164">
        <f t="shared" si="68"/>
        <v>-5.4149864275220647E-3</v>
      </c>
      <c r="P164">
        <f t="shared" si="69"/>
        <v>0.30886043128212781</v>
      </c>
      <c r="Q164">
        <f t="shared" si="70"/>
        <v>0.95109195765194432</v>
      </c>
      <c r="R164">
        <f t="shared" si="60"/>
        <v>1</v>
      </c>
      <c r="AG164" s="8">
        <f t="shared" si="63"/>
        <v>0.509332006186623</v>
      </c>
      <c r="AH164" s="8">
        <f t="shared" si="64"/>
        <v>-0.22300172400972162</v>
      </c>
      <c r="AI164" s="8">
        <f t="shared" si="65"/>
        <v>0.83117455360628201</v>
      </c>
      <c r="AJ164" s="8"/>
      <c r="AK164" s="8"/>
      <c r="AL164" s="8"/>
      <c r="AN164" s="8">
        <f t="shared" si="71"/>
        <v>1.0000000000000004</v>
      </c>
      <c r="AO164" s="8">
        <f t="shared" si="72"/>
        <v>5.8704964463726217</v>
      </c>
      <c r="AP164" s="8">
        <f t="shared" si="73"/>
        <v>0.58957950329769027</v>
      </c>
      <c r="AQ164" s="8"/>
      <c r="AR164" s="8">
        <f t="shared" si="74"/>
        <v>336.35467002369904</v>
      </c>
      <c r="AS164" s="8">
        <f t="shared" si="75"/>
        <v>56.219582773622946</v>
      </c>
    </row>
    <row r="165" spans="1:45">
      <c r="A165" s="19">
        <v>9.2425666670000002</v>
      </c>
      <c r="B165" s="19">
        <v>952.02969770000004</v>
      </c>
      <c r="C165" s="19">
        <v>-50.982166569999997</v>
      </c>
      <c r="E165" s="9">
        <f t="shared" si="61"/>
        <v>-7.9703022999999575</v>
      </c>
      <c r="F165" s="9">
        <f t="shared" si="66"/>
        <v>489.01783343</v>
      </c>
      <c r="I165">
        <v>1</v>
      </c>
      <c r="J165">
        <f t="shared" si="62"/>
        <v>0.31359894652969994</v>
      </c>
      <c r="K165">
        <f t="shared" si="67"/>
        <v>1.5870934761277609</v>
      </c>
      <c r="O165">
        <f t="shared" si="68"/>
        <v>-5.0271881049734632E-3</v>
      </c>
      <c r="P165">
        <f t="shared" si="69"/>
        <v>0.30844308569566153</v>
      </c>
      <c r="Q165">
        <f t="shared" si="70"/>
        <v>0.95122951503109698</v>
      </c>
      <c r="R165">
        <f t="shared" si="60"/>
        <v>1</v>
      </c>
      <c r="AG165" s="8">
        <f t="shared" si="63"/>
        <v>0.50980903615392248</v>
      </c>
      <c r="AH165" s="8">
        <f t="shared" si="64"/>
        <v>-0.22274498785552466</v>
      </c>
      <c r="AI165" s="8">
        <f t="shared" si="65"/>
        <v>0.83095091133053756</v>
      </c>
      <c r="AJ165" s="8"/>
      <c r="AK165" s="8"/>
      <c r="AL165" s="8"/>
      <c r="AN165" s="8">
        <f t="shared" si="71"/>
        <v>1.0000000000000002</v>
      </c>
      <c r="AO165" s="8">
        <f t="shared" si="72"/>
        <v>5.8712630674293802</v>
      </c>
      <c r="AP165" s="8">
        <f t="shared" si="73"/>
        <v>0.58998160839727021</v>
      </c>
      <c r="AQ165" s="8"/>
      <c r="AR165" s="8">
        <f t="shared" si="74"/>
        <v>336.39859417473718</v>
      </c>
      <c r="AS165" s="8">
        <f t="shared" si="75"/>
        <v>56.196543848496326</v>
      </c>
    </row>
    <row r="166" spans="1:45">
      <c r="A166" s="19">
        <v>9.2759333329999993</v>
      </c>
      <c r="B166" s="19">
        <v>952.42864940000004</v>
      </c>
      <c r="C166" s="19">
        <v>-51.244840500000002</v>
      </c>
      <c r="E166" s="9">
        <f t="shared" si="61"/>
        <v>-7.5713505999999597</v>
      </c>
      <c r="F166" s="9">
        <f t="shared" si="66"/>
        <v>488.75515949999999</v>
      </c>
      <c r="I166">
        <v>1</v>
      </c>
      <c r="J166">
        <f t="shared" si="62"/>
        <v>0.31343610293283714</v>
      </c>
      <c r="K166">
        <f t="shared" si="67"/>
        <v>1.5862861787133153</v>
      </c>
      <c r="O166">
        <f t="shared" si="68"/>
        <v>-4.7757818174601159E-3</v>
      </c>
      <c r="P166">
        <f t="shared" si="69"/>
        <v>0.30829215647865543</v>
      </c>
      <c r="Q166">
        <f t="shared" si="70"/>
        <v>0.95127973707094815</v>
      </c>
      <c r="R166">
        <f t="shared" si="60"/>
        <v>1</v>
      </c>
      <c r="AG166" s="8">
        <f t="shared" si="63"/>
        <v>0.51001821661097324</v>
      </c>
      <c r="AH166" s="8">
        <f t="shared" si="64"/>
        <v>-0.22254734188679282</v>
      </c>
      <c r="AI166" s="8">
        <f t="shared" si="65"/>
        <v>0.83087550171134872</v>
      </c>
      <c r="AJ166" s="8"/>
      <c r="AK166" s="8"/>
      <c r="AL166" s="8"/>
      <c r="AN166" s="8">
        <f t="shared" si="71"/>
        <v>1</v>
      </c>
      <c r="AO166" s="8">
        <f t="shared" si="72"/>
        <v>5.8717390479989557</v>
      </c>
      <c r="AP166" s="8">
        <f t="shared" si="73"/>
        <v>0.59011713920523678</v>
      </c>
      <c r="AQ166" s="8"/>
      <c r="AR166" s="8">
        <f t="shared" si="74"/>
        <v>336.42586585250405</v>
      </c>
      <c r="AS166" s="8">
        <f t="shared" si="75"/>
        <v>56.188778505205846</v>
      </c>
    </row>
    <row r="167" spans="1:45">
      <c r="A167" s="19">
        <v>9.3093000000000004</v>
      </c>
      <c r="B167" s="19">
        <v>953.27045199999998</v>
      </c>
      <c r="C167" s="19">
        <v>-51.669895510000003</v>
      </c>
      <c r="E167" s="9">
        <f t="shared" si="61"/>
        <v>-6.7295480000000225</v>
      </c>
      <c r="F167" s="9">
        <f t="shared" si="66"/>
        <v>488.33010449</v>
      </c>
      <c r="I167">
        <v>1</v>
      </c>
      <c r="J167">
        <f t="shared" si="62"/>
        <v>0.31317130523981496</v>
      </c>
      <c r="K167">
        <f t="shared" si="67"/>
        <v>1.5845761900202526</v>
      </c>
      <c r="O167">
        <f t="shared" si="68"/>
        <v>-4.2451278494450235E-3</v>
      </c>
      <c r="P167">
        <f t="shared" si="69"/>
        <v>0.30804798870487388</v>
      </c>
      <c r="Q167">
        <f t="shared" si="70"/>
        <v>0.9513613485655299</v>
      </c>
      <c r="R167">
        <f t="shared" si="60"/>
        <v>1</v>
      </c>
      <c r="AG167" s="8">
        <f t="shared" si="63"/>
        <v>0.5103973804120211</v>
      </c>
      <c r="AH167" s="8">
        <f t="shared" si="64"/>
        <v>-0.22211070637040872</v>
      </c>
      <c r="AI167" s="8">
        <f t="shared" si="65"/>
        <v>0.83075950080885896</v>
      </c>
      <c r="AJ167" s="8"/>
      <c r="AK167" s="8"/>
      <c r="AL167" s="8"/>
      <c r="AN167" s="8">
        <f t="shared" si="71"/>
        <v>0.99999999999999978</v>
      </c>
      <c r="AO167" s="8">
        <f t="shared" si="72"/>
        <v>5.8727304335867911</v>
      </c>
      <c r="AP167" s="8">
        <f t="shared" si="73"/>
        <v>0.5903255696373787</v>
      </c>
      <c r="AQ167" s="8"/>
      <c r="AR167" s="8">
        <f t="shared" si="74"/>
        <v>336.48266806255714</v>
      </c>
      <c r="AS167" s="8">
        <f t="shared" si="75"/>
        <v>56.176836321122025</v>
      </c>
    </row>
    <row r="168" spans="1:45">
      <c r="A168" s="19">
        <v>9.3426666669999996</v>
      </c>
      <c r="B168" s="19">
        <v>954.26240659999996</v>
      </c>
      <c r="C168" s="19">
        <v>-52.172618149999998</v>
      </c>
      <c r="E168" s="9">
        <f t="shared" si="61"/>
        <v>-5.737593400000037</v>
      </c>
      <c r="F168" s="9">
        <f t="shared" si="66"/>
        <v>487.82738184999999</v>
      </c>
      <c r="I168">
        <v>1</v>
      </c>
      <c r="J168">
        <f t="shared" si="62"/>
        <v>0.31285921153746077</v>
      </c>
      <c r="K168">
        <f t="shared" si="67"/>
        <v>1.5825573083805977</v>
      </c>
      <c r="O168">
        <f t="shared" si="68"/>
        <v>-3.6197150974338929E-3</v>
      </c>
      <c r="P168">
        <f t="shared" si="69"/>
        <v>0.30775902297713997</v>
      </c>
      <c r="Q168">
        <f t="shared" si="70"/>
        <v>0.95145745119725122</v>
      </c>
      <c r="R168">
        <f t="shared" si="60"/>
        <v>1</v>
      </c>
      <c r="AG168" s="8">
        <f t="shared" si="63"/>
        <v>0.51084490737022148</v>
      </c>
      <c r="AH168" s="8">
        <f t="shared" si="64"/>
        <v>-0.22159627921230773</v>
      </c>
      <c r="AI168" s="8">
        <f t="shared" si="65"/>
        <v>0.83062179700100025</v>
      </c>
      <c r="AJ168" s="8"/>
      <c r="AK168" s="8"/>
      <c r="AL168" s="8"/>
      <c r="AN168" s="8">
        <f t="shared" si="71"/>
        <v>1</v>
      </c>
      <c r="AO168" s="8">
        <f t="shared" si="72"/>
        <v>5.8738982327746019</v>
      </c>
      <c r="AP168" s="8">
        <f t="shared" si="73"/>
        <v>0.59057291171478166</v>
      </c>
      <c r="AQ168" s="8"/>
      <c r="AR168" s="8">
        <f t="shared" si="74"/>
        <v>336.54957802733747</v>
      </c>
      <c r="AS168" s="8">
        <f t="shared" si="75"/>
        <v>56.162664663990839</v>
      </c>
    </row>
    <row r="169" spans="1:45">
      <c r="A169" s="19">
        <v>9.3760333330000005</v>
      </c>
      <c r="B169" s="19">
        <v>954.72402060000002</v>
      </c>
      <c r="C169" s="19">
        <v>-52.155872119999998</v>
      </c>
      <c r="E169" s="9">
        <f t="shared" si="61"/>
        <v>-5.2759793999999829</v>
      </c>
      <c r="F169" s="9">
        <f t="shared" si="66"/>
        <v>487.84412787999997</v>
      </c>
      <c r="I169">
        <v>1</v>
      </c>
      <c r="J169">
        <f t="shared" si="62"/>
        <v>0.31286619744993138</v>
      </c>
      <c r="K169">
        <f t="shared" si="67"/>
        <v>1.5816107927624514</v>
      </c>
      <c r="O169">
        <f t="shared" si="68"/>
        <v>-3.3284866777130479E-3</v>
      </c>
      <c r="P169">
        <f t="shared" si="69"/>
        <v>0.30776895763640383</v>
      </c>
      <c r="Q169">
        <f t="shared" si="70"/>
        <v>0.9514553010477359</v>
      </c>
      <c r="R169">
        <f t="shared" si="60"/>
        <v>1</v>
      </c>
      <c r="AG169" s="8">
        <f t="shared" si="63"/>
        <v>0.51093254041742975</v>
      </c>
      <c r="AH169" s="8">
        <f t="shared" si="64"/>
        <v>-0.2213190832900151</v>
      </c>
      <c r="AI169" s="8">
        <f t="shared" si="65"/>
        <v>0.8306418015692798</v>
      </c>
      <c r="AJ169" s="8"/>
      <c r="AK169" s="8"/>
      <c r="AL169" s="8"/>
      <c r="AN169" s="8">
        <f t="shared" si="71"/>
        <v>0.99999999999999989</v>
      </c>
      <c r="AO169" s="8">
        <f t="shared" si="72"/>
        <v>5.8744175776132117</v>
      </c>
      <c r="AP169" s="8">
        <f t="shared" si="73"/>
        <v>0.59053698539382105</v>
      </c>
      <c r="AQ169" s="8"/>
      <c r="AR169" s="8">
        <f t="shared" si="74"/>
        <v>336.57933429470177</v>
      </c>
      <c r="AS169" s="8">
        <f t="shared" si="75"/>
        <v>56.164723090555313</v>
      </c>
    </row>
    <row r="170" spans="1:45">
      <c r="A170" s="19">
        <v>9.4093999999999998</v>
      </c>
      <c r="B170" s="19">
        <v>955.60634010000001</v>
      </c>
      <c r="C170" s="19">
        <v>-52.269954370000001</v>
      </c>
      <c r="E170" s="9">
        <f t="shared" si="61"/>
        <v>-4.3936598999999887</v>
      </c>
      <c r="F170" s="9">
        <f t="shared" si="66"/>
        <v>487.73004563000001</v>
      </c>
      <c r="I170">
        <v>1</v>
      </c>
      <c r="J170">
        <f t="shared" si="62"/>
        <v>0.31279180864055733</v>
      </c>
      <c r="K170">
        <f t="shared" si="67"/>
        <v>1.5798044678663636</v>
      </c>
      <c r="O170">
        <f t="shared" si="68"/>
        <v>-2.771913245602972E-3</v>
      </c>
      <c r="P170">
        <f t="shared" si="69"/>
        <v>0.30770369225900901</v>
      </c>
      <c r="Q170">
        <f t="shared" si="70"/>
        <v>0.95147819432035963</v>
      </c>
      <c r="R170">
        <f t="shared" si="60"/>
        <v>1</v>
      </c>
      <c r="AG170" s="8">
        <f t="shared" si="63"/>
        <v>0.51117017956922417</v>
      </c>
      <c r="AH170" s="8">
        <f t="shared" si="64"/>
        <v>-0.22081118221183801</v>
      </c>
      <c r="AI170" s="8">
        <f t="shared" si="65"/>
        <v>0.83063076594199048</v>
      </c>
      <c r="AJ170" s="8"/>
      <c r="AK170" s="8"/>
      <c r="AL170" s="8"/>
      <c r="AN170" s="8">
        <f t="shared" si="71"/>
        <v>1.0000000000000002</v>
      </c>
      <c r="AO170" s="8">
        <f t="shared" si="72"/>
        <v>5.8754242023515122</v>
      </c>
      <c r="AP170" s="8">
        <f t="shared" si="73"/>
        <v>0.59055680457940041</v>
      </c>
      <c r="AQ170" s="8"/>
      <c r="AR170" s="8">
        <f t="shared" si="74"/>
        <v>336.63700964375982</v>
      </c>
      <c r="AS170" s="8">
        <f t="shared" si="75"/>
        <v>56.163587534868228</v>
      </c>
    </row>
    <row r="171" spans="1:45">
      <c r="A171" s="19">
        <v>9.4427666670000008</v>
      </c>
      <c r="B171" s="19">
        <v>956.58146079999995</v>
      </c>
      <c r="C171" s="19">
        <v>-52.673619610000003</v>
      </c>
      <c r="E171" s="9">
        <f t="shared" si="61"/>
        <v>-3.4185392000000547</v>
      </c>
      <c r="F171" s="9">
        <f t="shared" si="66"/>
        <v>487.32638039</v>
      </c>
      <c r="I171">
        <v>1</v>
      </c>
      <c r="J171">
        <f t="shared" si="62"/>
        <v>0.31254257367671845</v>
      </c>
      <c r="K171">
        <f t="shared" si="67"/>
        <v>1.577811098137752</v>
      </c>
      <c r="O171">
        <f t="shared" si="68"/>
        <v>-2.1568773714317506E-3</v>
      </c>
      <c r="P171">
        <f t="shared" si="69"/>
        <v>0.30747146101613687</v>
      </c>
      <c r="Q171">
        <f t="shared" si="70"/>
        <v>0.95155485839787857</v>
      </c>
      <c r="R171">
        <f t="shared" si="60"/>
        <v>1</v>
      </c>
      <c r="AG171" s="8">
        <f t="shared" si="63"/>
        <v>0.51156615146690498</v>
      </c>
      <c r="AH171" s="8">
        <f t="shared" si="64"/>
        <v>-0.22029147765195198</v>
      </c>
      <c r="AI171" s="8">
        <f t="shared" si="65"/>
        <v>0.83052497707610162</v>
      </c>
      <c r="AJ171" s="8"/>
      <c r="AK171" s="8"/>
      <c r="AL171" s="8"/>
      <c r="AN171" s="8">
        <f t="shared" si="71"/>
        <v>1</v>
      </c>
      <c r="AO171" s="8">
        <f t="shared" si="72"/>
        <v>5.8765626950806507</v>
      </c>
      <c r="AP171" s="8">
        <f t="shared" si="73"/>
        <v>0.59074676398213499</v>
      </c>
      <c r="AQ171" s="8"/>
      <c r="AR171" s="8">
        <f t="shared" si="74"/>
        <v>336.70224047214577</v>
      </c>
      <c r="AS171" s="8">
        <f t="shared" si="75"/>
        <v>56.152703662812712</v>
      </c>
    </row>
    <row r="172" spans="1:45">
      <c r="A172" s="19">
        <v>9.4761333329999999</v>
      </c>
      <c r="B172" s="19">
        <v>957.41005959999995</v>
      </c>
      <c r="C172" s="19">
        <v>-52.968165849999998</v>
      </c>
      <c r="E172" s="9">
        <f t="shared" si="61"/>
        <v>-2.5899404000000459</v>
      </c>
      <c r="F172" s="9">
        <f t="shared" si="66"/>
        <v>487.03183415000001</v>
      </c>
      <c r="I172">
        <v>1</v>
      </c>
      <c r="J172">
        <f t="shared" si="62"/>
        <v>0.31236104361970624</v>
      </c>
      <c r="K172">
        <f t="shared" si="67"/>
        <v>1.5761140818267585</v>
      </c>
      <c r="O172">
        <f t="shared" si="68"/>
        <v>-1.6341718422935715E-3</v>
      </c>
      <c r="P172">
        <f t="shared" si="69"/>
        <v>0.30730194010198802</v>
      </c>
      <c r="Q172">
        <f t="shared" si="70"/>
        <v>0.95161065940433009</v>
      </c>
      <c r="R172">
        <f t="shared" si="60"/>
        <v>1</v>
      </c>
      <c r="AG172" s="8">
        <f t="shared" si="63"/>
        <v>0.5118791751643027</v>
      </c>
      <c r="AH172" s="8">
        <f t="shared" si="64"/>
        <v>-0.21984244686717266</v>
      </c>
      <c r="AI172" s="8">
        <f t="shared" si="65"/>
        <v>0.83045108741488649</v>
      </c>
      <c r="AJ172" s="8"/>
      <c r="AK172" s="8"/>
      <c r="AL172" s="8"/>
      <c r="AN172" s="8">
        <f t="shared" si="71"/>
        <v>1</v>
      </c>
      <c r="AO172" s="8">
        <f t="shared" si="72"/>
        <v>5.8775252327529888</v>
      </c>
      <c r="AP172" s="8">
        <f t="shared" si="73"/>
        <v>0.59087941178112646</v>
      </c>
      <c r="AQ172" s="8"/>
      <c r="AR172" s="8">
        <f t="shared" si="74"/>
        <v>336.75738981839311</v>
      </c>
      <c r="AS172" s="8">
        <f t="shared" si="75"/>
        <v>56.145103503768802</v>
      </c>
    </row>
    <row r="173" spans="1:45">
      <c r="A173" s="19">
        <v>9.5094999999999992</v>
      </c>
      <c r="B173" s="19">
        <v>957.7940006</v>
      </c>
      <c r="C173" s="19">
        <v>-53.620049530000003</v>
      </c>
      <c r="E173" s="9">
        <f t="shared" si="61"/>
        <v>-2.2059993999999961</v>
      </c>
      <c r="F173" s="9">
        <f t="shared" si="66"/>
        <v>486.37995046999998</v>
      </c>
      <c r="I173">
        <v>1</v>
      </c>
      <c r="J173">
        <f t="shared" si="62"/>
        <v>0.31196491652463226</v>
      </c>
      <c r="K173">
        <f t="shared" si="67"/>
        <v>1.5753318432597017</v>
      </c>
      <c r="O173">
        <f t="shared" si="68"/>
        <v>-1.3920781314185361E-3</v>
      </c>
      <c r="P173">
        <f t="shared" si="69"/>
        <v>0.3069261454059089</v>
      </c>
      <c r="Q173">
        <f t="shared" si="70"/>
        <v>0.95173231708540129</v>
      </c>
      <c r="R173">
        <f t="shared" si="60"/>
        <v>1</v>
      </c>
      <c r="AG173" s="8">
        <f t="shared" si="63"/>
        <v>0.51227210902301057</v>
      </c>
      <c r="AH173" s="8">
        <f t="shared" si="64"/>
        <v>-0.21971174113271214</v>
      </c>
      <c r="AI173" s="8">
        <f t="shared" si="65"/>
        <v>0.83024336018154876</v>
      </c>
      <c r="AJ173" s="8"/>
      <c r="AK173" s="8"/>
      <c r="AL173" s="8"/>
      <c r="AN173" s="8">
        <f t="shared" si="71"/>
        <v>1</v>
      </c>
      <c r="AO173" s="8">
        <f t="shared" si="72"/>
        <v>5.8780188801763158</v>
      </c>
      <c r="AP173" s="8">
        <f t="shared" si="73"/>
        <v>0.5912521863085487</v>
      </c>
      <c r="AQ173" s="8"/>
      <c r="AR173" s="8">
        <f t="shared" si="74"/>
        <v>336.78567373231726</v>
      </c>
      <c r="AS173" s="8">
        <f t="shared" si="75"/>
        <v>56.123745096637521</v>
      </c>
    </row>
    <row r="174" spans="1:45">
      <c r="A174" s="19">
        <v>9.5428666670000002</v>
      </c>
      <c r="B174" s="19">
        <v>958.32445280000002</v>
      </c>
      <c r="C174" s="19">
        <v>-53.936225190000002</v>
      </c>
      <c r="E174" s="9">
        <f t="shared" si="61"/>
        <v>-1.6755471999999827</v>
      </c>
      <c r="F174" s="9">
        <f t="shared" si="66"/>
        <v>486.06377480999998</v>
      </c>
      <c r="I174">
        <v>1</v>
      </c>
      <c r="J174">
        <f t="shared" si="62"/>
        <v>0.31177202485543432</v>
      </c>
      <c r="K174">
        <f t="shared" si="67"/>
        <v>1.5742434887724555</v>
      </c>
      <c r="O174">
        <f t="shared" si="68"/>
        <v>-1.0574000726106627E-3</v>
      </c>
      <c r="P174">
        <f t="shared" si="69"/>
        <v>0.30674389284737275</v>
      </c>
      <c r="Q174">
        <f t="shared" si="70"/>
        <v>0.95179150348483677</v>
      </c>
      <c r="R174">
        <f t="shared" si="60"/>
        <v>1</v>
      </c>
      <c r="AG174" s="8">
        <f t="shared" si="63"/>
        <v>0.51253379448158132</v>
      </c>
      <c r="AH174" s="8">
        <f t="shared" si="64"/>
        <v>-0.21944330884086544</v>
      </c>
      <c r="AI174" s="8">
        <f t="shared" si="65"/>
        <v>0.83015284358923014</v>
      </c>
      <c r="AJ174" s="8"/>
      <c r="AK174" s="8"/>
      <c r="AL174" s="8"/>
      <c r="AN174" s="8">
        <f t="shared" si="71"/>
        <v>1</v>
      </c>
      <c r="AO174" s="8">
        <f t="shared" si="72"/>
        <v>5.8786463701729534</v>
      </c>
      <c r="AP174" s="8">
        <f t="shared" si="73"/>
        <v>0.59141455708920421</v>
      </c>
      <c r="AQ174" s="8"/>
      <c r="AR174" s="8">
        <f t="shared" si="74"/>
        <v>336.82162626081129</v>
      </c>
      <c r="AS174" s="8">
        <f t="shared" si="75"/>
        <v>56.114441936189721</v>
      </c>
    </row>
    <row r="175" spans="1:45">
      <c r="A175" s="19">
        <v>9.5762333329999993</v>
      </c>
      <c r="B175" s="19">
        <v>958.9800113</v>
      </c>
      <c r="C175" s="19">
        <v>-54.057194879999997</v>
      </c>
      <c r="E175" s="9">
        <f t="shared" si="61"/>
        <v>-1.019988699999999</v>
      </c>
      <c r="F175" s="9">
        <f t="shared" si="66"/>
        <v>485.94280512</v>
      </c>
      <c r="I175">
        <v>1</v>
      </c>
      <c r="J175">
        <f t="shared" si="62"/>
        <v>0.31169760676108277</v>
      </c>
      <c r="K175">
        <f t="shared" si="67"/>
        <v>1.5728953129128447</v>
      </c>
      <c r="O175">
        <f t="shared" si="68"/>
        <v>-6.4370585158170116E-4</v>
      </c>
      <c r="P175">
        <f t="shared" si="69"/>
        <v>0.30667420843953791</v>
      </c>
      <c r="Q175">
        <f t="shared" si="70"/>
        <v>0.95181432828086776</v>
      </c>
      <c r="R175">
        <f t="shared" si="60"/>
        <v>1</v>
      </c>
      <c r="AG175" s="8">
        <f t="shared" si="63"/>
        <v>0.51272734596007985</v>
      </c>
      <c r="AH175" s="8">
        <f t="shared" si="64"/>
        <v>-0.21907100706450491</v>
      </c>
      <c r="AI175" s="8">
        <f t="shared" si="65"/>
        <v>0.83013165375648479</v>
      </c>
      <c r="AJ175" s="8"/>
      <c r="AK175" s="8"/>
      <c r="AL175" s="8"/>
      <c r="AN175" s="8">
        <f t="shared" si="71"/>
        <v>1.0000000000000002</v>
      </c>
      <c r="AO175" s="8">
        <f t="shared" si="72"/>
        <v>5.8793968300403003</v>
      </c>
      <c r="AP175" s="8">
        <f t="shared" si="73"/>
        <v>0.59145256223653053</v>
      </c>
      <c r="AQ175" s="8"/>
      <c r="AR175" s="8">
        <f t="shared" si="74"/>
        <v>336.86462444390418</v>
      </c>
      <c r="AS175" s="8">
        <f t="shared" si="75"/>
        <v>56.112264401648147</v>
      </c>
    </row>
    <row r="176" spans="1:45">
      <c r="A176" s="19">
        <v>9.6096000000000004</v>
      </c>
      <c r="B176" s="19">
        <v>960.24826670000004</v>
      </c>
      <c r="C176" s="19">
        <v>-54.188457159999999</v>
      </c>
      <c r="E176" s="9">
        <f t="shared" si="61"/>
        <v>0.24826670000004469</v>
      </c>
      <c r="F176" s="9">
        <f t="shared" si="66"/>
        <v>485.81154284000002</v>
      </c>
      <c r="I176">
        <v>1</v>
      </c>
      <c r="J176">
        <f t="shared" si="62"/>
        <v>0.31161743797817137</v>
      </c>
      <c r="K176">
        <f t="shared" si="67"/>
        <v>1.5702852918430785</v>
      </c>
      <c r="O176">
        <f t="shared" si="68"/>
        <v>1.5668258231883169E-4</v>
      </c>
      <c r="P176">
        <f t="shared" si="69"/>
        <v>0.30659853718779129</v>
      </c>
      <c r="Q176">
        <f t="shared" si="70"/>
        <v>0.95183891097437012</v>
      </c>
      <c r="R176">
        <f t="shared" si="60"/>
        <v>1</v>
      </c>
      <c r="AG176" s="8">
        <f t="shared" si="63"/>
        <v>0.51305210560265213</v>
      </c>
      <c r="AH176" s="8">
        <f t="shared" si="64"/>
        <v>-0.21833518295164361</v>
      </c>
      <c r="AI176" s="8">
        <f t="shared" si="65"/>
        <v>0.83012486098306759</v>
      </c>
      <c r="AJ176" s="8"/>
      <c r="AK176" s="8"/>
      <c r="AL176" s="8"/>
      <c r="AN176" s="8">
        <f t="shared" si="71"/>
        <v>1</v>
      </c>
      <c r="AO176" s="8">
        <f t="shared" si="72"/>
        <v>5.8808392274771064</v>
      </c>
      <c r="AP176" s="8">
        <f t="shared" si="73"/>
        <v>0.59146474499948409</v>
      </c>
      <c r="AQ176" s="8"/>
      <c r="AR176" s="8">
        <f t="shared" si="74"/>
        <v>336.94726772941368</v>
      </c>
      <c r="AS176" s="8">
        <f t="shared" si="75"/>
        <v>56.111566380748101</v>
      </c>
    </row>
    <row r="177" spans="1:45">
      <c r="A177" s="19">
        <v>9.6429666669999996</v>
      </c>
      <c r="B177" s="19">
        <v>960.68537949999995</v>
      </c>
      <c r="C177" s="19">
        <v>-54.22345078</v>
      </c>
      <c r="E177" s="9">
        <f t="shared" si="61"/>
        <v>0.68537949999995362</v>
      </c>
      <c r="F177" s="9">
        <f t="shared" si="66"/>
        <v>485.77654921999999</v>
      </c>
      <c r="I177">
        <v>1</v>
      </c>
      <c r="J177">
        <f t="shared" si="62"/>
        <v>0.31159648220287212</v>
      </c>
      <c r="K177">
        <f t="shared" si="67"/>
        <v>1.569385433151876</v>
      </c>
      <c r="O177">
        <f t="shared" si="68"/>
        <v>4.3254969753935452E-4</v>
      </c>
      <c r="P177">
        <f t="shared" si="69"/>
        <v>0.30657832549241165</v>
      </c>
      <c r="Q177">
        <f t="shared" si="70"/>
        <v>0.95184533577626362</v>
      </c>
      <c r="R177">
        <f t="shared" si="60"/>
        <v>1</v>
      </c>
      <c r="AG177" s="8">
        <f t="shared" si="63"/>
        <v>0.51315902930878843</v>
      </c>
      <c r="AH177" s="8">
        <f t="shared" si="64"/>
        <v>-0.2180799990934057</v>
      </c>
      <c r="AI177" s="8">
        <f t="shared" si="65"/>
        <v>0.83012584867252648</v>
      </c>
      <c r="AJ177" s="8"/>
      <c r="AK177" s="8"/>
      <c r="AL177" s="8"/>
      <c r="AN177" s="8">
        <f t="shared" si="71"/>
        <v>1</v>
      </c>
      <c r="AO177" s="8">
        <f t="shared" si="72"/>
        <v>5.8813354379972376</v>
      </c>
      <c r="AP177" s="8">
        <f t="shared" si="73"/>
        <v>0.59146297360324374</v>
      </c>
      <c r="AQ177" s="8"/>
      <c r="AR177" s="8">
        <f t="shared" si="74"/>
        <v>336.97569849796719</v>
      </c>
      <c r="AS177" s="8">
        <f t="shared" si="75"/>
        <v>56.11166787427652</v>
      </c>
    </row>
    <row r="178" spans="1:45">
      <c r="A178" s="19">
        <v>9.6763333330000005</v>
      </c>
      <c r="B178" s="19">
        <v>961.36659269999996</v>
      </c>
      <c r="C178" s="19">
        <v>-54.712676070000001</v>
      </c>
      <c r="E178" s="9">
        <f t="shared" si="61"/>
        <v>1.3665926999999556</v>
      </c>
      <c r="F178" s="9">
        <f t="shared" si="66"/>
        <v>485.28732393000001</v>
      </c>
      <c r="I178">
        <v>1</v>
      </c>
      <c r="J178">
        <f t="shared" si="62"/>
        <v>0.31130079677624234</v>
      </c>
      <c r="K178">
        <f t="shared" si="67"/>
        <v>1.5679802856163823</v>
      </c>
      <c r="O178">
        <f t="shared" si="68"/>
        <v>8.6254430481485817E-4</v>
      </c>
      <c r="P178">
        <f t="shared" si="69"/>
        <v>0.30629595596017017</v>
      </c>
      <c r="Q178">
        <f t="shared" si="70"/>
        <v>0.95193594499827972</v>
      </c>
      <c r="R178">
        <f t="shared" si="60"/>
        <v>1</v>
      </c>
      <c r="AG178" s="8">
        <f t="shared" si="63"/>
        <v>0.51353474388433717</v>
      </c>
      <c r="AH178" s="8">
        <f t="shared" si="64"/>
        <v>-0.21774737170206407</v>
      </c>
      <c r="AI178" s="8">
        <f t="shared" si="65"/>
        <v>0.82998081239296817</v>
      </c>
      <c r="AJ178" s="8"/>
      <c r="AK178" s="8"/>
      <c r="AL178" s="8"/>
      <c r="AN178" s="8">
        <f t="shared" si="71"/>
        <v>1</v>
      </c>
      <c r="AO178" s="8">
        <f t="shared" si="72"/>
        <v>5.8821477123348265</v>
      </c>
      <c r="AP178" s="8">
        <f t="shared" si="73"/>
        <v>0.59172304252568719</v>
      </c>
      <c r="AQ178" s="8"/>
      <c r="AR178" s="8">
        <f t="shared" si="74"/>
        <v>337.02223838931781</v>
      </c>
      <c r="AS178" s="8">
        <f t="shared" si="75"/>
        <v>56.096767022637991</v>
      </c>
    </row>
    <row r="179" spans="1:45">
      <c r="A179" s="19">
        <v>9.7096999999999998</v>
      </c>
      <c r="B179" s="19">
        <v>962.32012659999998</v>
      </c>
      <c r="C179" s="19">
        <v>-55.143163790000003</v>
      </c>
      <c r="E179" s="9">
        <f t="shared" si="61"/>
        <v>2.3201265999999805</v>
      </c>
      <c r="F179" s="9">
        <f t="shared" si="66"/>
        <v>484.85683620999998</v>
      </c>
      <c r="I179">
        <v>1</v>
      </c>
      <c r="J179">
        <f t="shared" si="62"/>
        <v>0.31104199816022005</v>
      </c>
      <c r="K179">
        <f t="shared" si="67"/>
        <v>1.5660111846286517</v>
      </c>
      <c r="O179">
        <f t="shared" si="68"/>
        <v>1.464491001496783E-3</v>
      </c>
      <c r="P179">
        <f t="shared" si="69"/>
        <v>0.30604729657585766</v>
      </c>
      <c r="Q179">
        <f t="shared" si="70"/>
        <v>0.95201518240242133</v>
      </c>
      <c r="R179">
        <f t="shared" si="60"/>
        <v>1</v>
      </c>
      <c r="AG179" s="8">
        <f t="shared" si="63"/>
        <v>0.51393815048737879</v>
      </c>
      <c r="AH179" s="8">
        <f t="shared" si="64"/>
        <v>-0.21724352045076206</v>
      </c>
      <c r="AI179" s="8">
        <f t="shared" si="65"/>
        <v>0.82986313949697266</v>
      </c>
      <c r="AJ179" s="8"/>
      <c r="AK179" s="8"/>
      <c r="AL179" s="8"/>
      <c r="AN179" s="8">
        <f t="shared" si="71"/>
        <v>1</v>
      </c>
      <c r="AO179" s="8">
        <f t="shared" si="72"/>
        <v>5.8832613147663704</v>
      </c>
      <c r="AP179" s="8">
        <f t="shared" si="73"/>
        <v>0.59193397141256843</v>
      </c>
      <c r="AQ179" s="8"/>
      <c r="AR179" s="8">
        <f t="shared" si="74"/>
        <v>337.08604310870078</v>
      </c>
      <c r="AS179" s="8">
        <f t="shared" si="75"/>
        <v>56.084681687642302</v>
      </c>
    </row>
    <row r="180" spans="1:45">
      <c r="A180" s="19">
        <v>9.7430666670000008</v>
      </c>
      <c r="B180" s="19">
        <v>962.75464499999998</v>
      </c>
      <c r="C180" s="19">
        <v>-55.266053679999999</v>
      </c>
      <c r="E180" s="9">
        <f t="shared" si="61"/>
        <v>2.7546449999999822</v>
      </c>
      <c r="F180" s="9">
        <f t="shared" si="66"/>
        <v>484.73394631999997</v>
      </c>
      <c r="I180">
        <v>1</v>
      </c>
      <c r="J180">
        <f t="shared" si="62"/>
        <v>0.31096886447473632</v>
      </c>
      <c r="K180">
        <f t="shared" si="67"/>
        <v>1.5651135901751969</v>
      </c>
      <c r="O180">
        <f t="shared" si="68"/>
        <v>1.738801071029352E-3</v>
      </c>
      <c r="P180">
        <f t="shared" si="69"/>
        <v>0.30597623469648383</v>
      </c>
      <c r="Q180">
        <f t="shared" si="70"/>
        <v>0.95203756247944205</v>
      </c>
      <c r="R180">
        <f t="shared" si="60"/>
        <v>0.99999999999999989</v>
      </c>
      <c r="AG180" s="8">
        <f t="shared" si="63"/>
        <v>0.5140866612543713</v>
      </c>
      <c r="AH180" s="8">
        <f t="shared" si="64"/>
        <v>-0.21700289963167069</v>
      </c>
      <c r="AI180" s="8">
        <f t="shared" si="65"/>
        <v>0.82983410768163801</v>
      </c>
      <c r="AJ180" s="8"/>
      <c r="AK180" s="8"/>
      <c r="AL180" s="8"/>
      <c r="AN180" s="8">
        <f t="shared" si="71"/>
        <v>1</v>
      </c>
      <c r="AO180" s="8">
        <f t="shared" si="72"/>
        <v>5.8837621228462993</v>
      </c>
      <c r="AP180" s="8">
        <f t="shared" si="73"/>
        <v>0.59198600081979358</v>
      </c>
      <c r="AQ180" s="8"/>
      <c r="AR180" s="8">
        <f t="shared" si="74"/>
        <v>337.11473729802674</v>
      </c>
      <c r="AS180" s="8">
        <f t="shared" si="75"/>
        <v>56.081700622197737</v>
      </c>
    </row>
    <row r="181" spans="1:45">
      <c r="A181" s="19">
        <v>9.7764333329999999</v>
      </c>
      <c r="B181" s="19">
        <v>963.18521339999995</v>
      </c>
      <c r="C181" s="19">
        <v>-55.126688459999997</v>
      </c>
      <c r="E181" s="9">
        <f t="shared" si="61"/>
        <v>3.1852133999999523</v>
      </c>
      <c r="F181" s="9">
        <f t="shared" si="66"/>
        <v>484.87331154000003</v>
      </c>
      <c r="I181">
        <v>1</v>
      </c>
      <c r="J181">
        <f t="shared" si="62"/>
        <v>0.31105496525587778</v>
      </c>
      <c r="K181">
        <f t="shared" si="67"/>
        <v>1.5642272550245926</v>
      </c>
      <c r="O181">
        <f t="shared" si="68"/>
        <v>2.0105363078160125E-3</v>
      </c>
      <c r="P181">
        <f t="shared" si="69"/>
        <v>0.30605654162517348</v>
      </c>
      <c r="Q181">
        <f t="shared" si="70"/>
        <v>0.95201121373237685</v>
      </c>
      <c r="R181">
        <f t="shared" si="60"/>
        <v>1</v>
      </c>
      <c r="AG181" s="8">
        <f t="shared" si="63"/>
        <v>0.51410811901313647</v>
      </c>
      <c r="AH181" s="8">
        <f t="shared" si="64"/>
        <v>-0.21672538384780735</v>
      </c>
      <c r="AI181" s="8">
        <f t="shared" si="65"/>
        <v>0.82989333649620023</v>
      </c>
      <c r="AJ181" s="8"/>
      <c r="AK181" s="8"/>
      <c r="AL181" s="8"/>
      <c r="AN181" s="8">
        <f t="shared" si="71"/>
        <v>1.0000000000000002</v>
      </c>
      <c r="AO181" s="8">
        <f t="shared" si="72"/>
        <v>5.8842353357178361</v>
      </c>
      <c r="AP181" s="8">
        <f t="shared" si="73"/>
        <v>0.59187984954727169</v>
      </c>
      <c r="AQ181" s="8"/>
      <c r="AR181" s="8">
        <f t="shared" si="74"/>
        <v>337.14185039837707</v>
      </c>
      <c r="AS181" s="8">
        <f t="shared" si="75"/>
        <v>56.087782642103186</v>
      </c>
    </row>
    <row r="182" spans="1:45">
      <c r="A182" s="19">
        <v>9.8097999999999992</v>
      </c>
      <c r="B182" s="19">
        <v>964.55215199999998</v>
      </c>
      <c r="C182" s="19">
        <v>-55.624139339999999</v>
      </c>
      <c r="E182" s="9">
        <f t="shared" si="61"/>
        <v>4.5521519999999782</v>
      </c>
      <c r="F182" s="9">
        <f t="shared" si="66"/>
        <v>484.37586066</v>
      </c>
      <c r="I182">
        <v>1</v>
      </c>
      <c r="J182">
        <f t="shared" si="62"/>
        <v>0.31075994688628733</v>
      </c>
      <c r="K182">
        <f t="shared" si="67"/>
        <v>1.5613986289355877</v>
      </c>
      <c r="O182">
        <f t="shared" si="68"/>
        <v>2.8736070972603129E-3</v>
      </c>
      <c r="P182">
        <f t="shared" si="69"/>
        <v>0.30576876847129825</v>
      </c>
      <c r="Q182">
        <f t="shared" si="70"/>
        <v>0.95210146655164662</v>
      </c>
      <c r="R182">
        <f t="shared" si="60"/>
        <v>1</v>
      </c>
      <c r="AG182" s="8">
        <f t="shared" si="63"/>
        <v>0.51462829973051782</v>
      </c>
      <c r="AH182" s="8">
        <f t="shared" si="64"/>
        <v>-0.21598475243914711</v>
      </c>
      <c r="AI182" s="8">
        <f t="shared" si="65"/>
        <v>0.8297640024912365</v>
      </c>
      <c r="AJ182" s="8"/>
      <c r="AK182" s="8"/>
      <c r="AL182" s="8"/>
      <c r="AN182" s="8">
        <f t="shared" si="71"/>
        <v>1</v>
      </c>
      <c r="AO182" s="8">
        <f t="shared" si="72"/>
        <v>5.8858201975843825</v>
      </c>
      <c r="AP182" s="8">
        <f t="shared" si="73"/>
        <v>0.59211162333727074</v>
      </c>
      <c r="AQ182" s="8"/>
      <c r="AR182" s="8">
        <f t="shared" si="74"/>
        <v>337.23265629444143</v>
      </c>
      <c r="AS182" s="8">
        <f t="shared" si="75"/>
        <v>56.074502982134483</v>
      </c>
    </row>
    <row r="183" spans="1:45">
      <c r="A183" s="19">
        <v>9.8431666670000002</v>
      </c>
      <c r="B183" s="19">
        <v>964.8193364</v>
      </c>
      <c r="C183" s="19">
        <v>-55.999228430000002</v>
      </c>
      <c r="E183" s="9">
        <f t="shared" si="61"/>
        <v>4.8193363999999974</v>
      </c>
      <c r="F183" s="9">
        <f t="shared" si="66"/>
        <v>484.00077156999998</v>
      </c>
      <c r="I183">
        <v>1</v>
      </c>
      <c r="J183">
        <f t="shared" si="62"/>
        <v>0.31053404236333737</v>
      </c>
      <c r="K183">
        <f t="shared" si="67"/>
        <v>1.560839365117817</v>
      </c>
      <c r="O183">
        <f t="shared" si="68"/>
        <v>3.0424704220552681E-3</v>
      </c>
      <c r="P183">
        <f t="shared" si="69"/>
        <v>0.30555203238222617</v>
      </c>
      <c r="Q183">
        <f t="shared" si="70"/>
        <v>0.9521705198549375</v>
      </c>
      <c r="R183">
        <f t="shared" si="60"/>
        <v>1</v>
      </c>
      <c r="AG183" s="8">
        <f t="shared" si="63"/>
        <v>0.51486365994402217</v>
      </c>
      <c r="AH183" s="8">
        <f t="shared" si="64"/>
        <v>-0.21588145368006428</v>
      </c>
      <c r="AI183" s="8">
        <f t="shared" si="65"/>
        <v>0.82964486958338302</v>
      </c>
      <c r="AJ183" s="8"/>
      <c r="AK183" s="8"/>
      <c r="AL183" s="8"/>
      <c r="AN183" s="8">
        <f t="shared" si="71"/>
        <v>1</v>
      </c>
      <c r="AO183" s="8">
        <f t="shared" si="72"/>
        <v>5.8861539519005524</v>
      </c>
      <c r="AP183" s="8">
        <f t="shared" si="73"/>
        <v>0.59232504554621512</v>
      </c>
      <c r="AQ183" s="8"/>
      <c r="AR183" s="8">
        <f t="shared" si="74"/>
        <v>337.2517790081522</v>
      </c>
      <c r="AS183" s="8">
        <f t="shared" si="75"/>
        <v>56.062274790307612</v>
      </c>
    </row>
    <row r="184" spans="1:45">
      <c r="A184" s="19">
        <v>9.8765333329999994</v>
      </c>
      <c r="B184" s="19">
        <v>965.27997210000001</v>
      </c>
      <c r="C184" s="19">
        <v>-56.290174399999998</v>
      </c>
      <c r="E184" s="9">
        <f t="shared" si="61"/>
        <v>5.279972100000009</v>
      </c>
      <c r="F184" s="9">
        <f t="shared" si="66"/>
        <v>483.70982559999999</v>
      </c>
      <c r="I184">
        <v>1</v>
      </c>
      <c r="J184">
        <f t="shared" si="62"/>
        <v>0.31036049386502967</v>
      </c>
      <c r="K184">
        <f t="shared" si="67"/>
        <v>1.5598811827705967</v>
      </c>
      <c r="O184">
        <f t="shared" si="68"/>
        <v>3.3334398266298909E-3</v>
      </c>
      <c r="P184">
        <f t="shared" si="69"/>
        <v>0.30538373435481397</v>
      </c>
      <c r="Q184">
        <f t="shared" si="70"/>
        <v>0.95222353624053557</v>
      </c>
      <c r="R184">
        <f t="shared" si="60"/>
        <v>1</v>
      </c>
      <c r="AG184" s="8">
        <f t="shared" si="63"/>
        <v>0.51509820207987567</v>
      </c>
      <c r="AH184" s="8">
        <f t="shared" si="64"/>
        <v>-0.21565017974421263</v>
      </c>
      <c r="AI184" s="8">
        <f t="shared" si="65"/>
        <v>0.82955942655747594</v>
      </c>
      <c r="AJ184" s="8"/>
      <c r="AK184" s="8"/>
      <c r="AL184" s="8"/>
      <c r="AN184" s="8">
        <f t="shared" si="71"/>
        <v>1</v>
      </c>
      <c r="AO184" s="8">
        <f t="shared" si="72"/>
        <v>5.886698305588852</v>
      </c>
      <c r="AP184" s="8">
        <f t="shared" si="73"/>
        <v>0.59247807190161328</v>
      </c>
      <c r="AQ184" s="8"/>
      <c r="AR184" s="8">
        <f t="shared" si="74"/>
        <v>337.28296817705416</v>
      </c>
      <c r="AS184" s="8">
        <f t="shared" si="75"/>
        <v>56.053507025989028</v>
      </c>
    </row>
    <row r="185" spans="1:45">
      <c r="A185" s="19">
        <v>9.9099000000000004</v>
      </c>
      <c r="B185" s="19">
        <v>966.47676760000002</v>
      </c>
      <c r="C185" s="19">
        <v>-56.939607440000003</v>
      </c>
      <c r="E185" s="9">
        <f t="shared" si="61"/>
        <v>6.4767676000000165</v>
      </c>
      <c r="F185" s="9">
        <f t="shared" si="66"/>
        <v>483.06039255999997</v>
      </c>
      <c r="I185">
        <v>1</v>
      </c>
      <c r="J185">
        <f t="shared" si="62"/>
        <v>0.3099753698177416</v>
      </c>
      <c r="K185">
        <f t="shared" si="67"/>
        <v>1.5573893498719613</v>
      </c>
      <c r="O185">
        <f t="shared" si="68"/>
        <v>4.0894771071817845E-3</v>
      </c>
      <c r="P185">
        <f t="shared" si="69"/>
        <v>0.30500776602828017</v>
      </c>
      <c r="Q185">
        <f t="shared" si="70"/>
        <v>0.95234108324666311</v>
      </c>
      <c r="R185">
        <f t="shared" si="60"/>
        <v>1</v>
      </c>
      <c r="AG185" s="8">
        <f t="shared" si="63"/>
        <v>0.51565614718428621</v>
      </c>
      <c r="AH185" s="8">
        <f t="shared" si="64"/>
        <v>-0.21503318682436395</v>
      </c>
      <c r="AI185" s="8">
        <f t="shared" si="65"/>
        <v>0.82937293567804349</v>
      </c>
      <c r="AJ185" s="8"/>
      <c r="AK185" s="8"/>
      <c r="AL185" s="8"/>
      <c r="AN185" s="8">
        <f t="shared" si="71"/>
        <v>1.0000000000000002</v>
      </c>
      <c r="AO185" s="8">
        <f t="shared" si="72"/>
        <v>5.888102642066567</v>
      </c>
      <c r="AP185" s="8">
        <f t="shared" si="73"/>
        <v>0.59281195171390377</v>
      </c>
      <c r="AQ185" s="8"/>
      <c r="AR185" s="8">
        <f t="shared" si="74"/>
        <v>337.36343073024352</v>
      </c>
      <c r="AS185" s="8">
        <f t="shared" si="75"/>
        <v>56.034377121880162</v>
      </c>
    </row>
    <row r="186" spans="1:45">
      <c r="A186" s="19">
        <v>9.9432666669999996</v>
      </c>
      <c r="B186" s="19">
        <v>966.61749680000003</v>
      </c>
      <c r="C186" s="19">
        <v>-57.388521240000003</v>
      </c>
      <c r="E186" s="9">
        <f t="shared" si="61"/>
        <v>6.6174968000000263</v>
      </c>
      <c r="F186" s="9">
        <f t="shared" si="66"/>
        <v>482.61147876000001</v>
      </c>
      <c r="I186">
        <v>1</v>
      </c>
      <c r="J186">
        <f t="shared" si="62"/>
        <v>0.30970416209963608</v>
      </c>
      <c r="K186">
        <f t="shared" si="67"/>
        <v>1.5570853348091147</v>
      </c>
      <c r="O186">
        <f t="shared" si="68"/>
        <v>4.1786625232280664E-3</v>
      </c>
      <c r="P186">
        <f t="shared" si="69"/>
        <v>0.3047482394814453</v>
      </c>
      <c r="Q186">
        <f t="shared" si="70"/>
        <v>0.95242377611674345</v>
      </c>
      <c r="R186">
        <f t="shared" si="60"/>
        <v>1</v>
      </c>
      <c r="AG186" s="8">
        <f t="shared" si="63"/>
        <v>0.51590105473593184</v>
      </c>
      <c r="AH186" s="8">
        <f t="shared" si="64"/>
        <v>-0.21501618047462537</v>
      </c>
      <c r="AI186" s="8">
        <f t="shared" si="65"/>
        <v>0.82922502606738568</v>
      </c>
      <c r="AJ186" s="8"/>
      <c r="AK186" s="8"/>
      <c r="AL186" s="8"/>
      <c r="AN186" s="8">
        <f t="shared" si="71"/>
        <v>1</v>
      </c>
      <c r="AO186" s="8">
        <f t="shared" si="72"/>
        <v>5.8882993757394422</v>
      </c>
      <c r="AP186" s="8">
        <f t="shared" si="73"/>
        <v>0.59307664077920552</v>
      </c>
      <c r="AQ186" s="8"/>
      <c r="AR186" s="8">
        <f t="shared" si="74"/>
        <v>337.37470273938737</v>
      </c>
      <c r="AS186" s="8">
        <f t="shared" si="75"/>
        <v>56.01921155555511</v>
      </c>
    </row>
    <row r="187" spans="1:45">
      <c r="A187" s="19">
        <v>9.9766333330000005</v>
      </c>
      <c r="B187" s="19">
        <v>968.22340980000001</v>
      </c>
      <c r="C187" s="19">
        <v>-57.377017889999998</v>
      </c>
      <c r="E187" s="9">
        <f t="shared" si="61"/>
        <v>8.2234098000000131</v>
      </c>
      <c r="F187" s="9">
        <f t="shared" si="66"/>
        <v>482.62298211000001</v>
      </c>
      <c r="I187">
        <v>1</v>
      </c>
      <c r="J187">
        <f t="shared" si="62"/>
        <v>0.3097261234159901</v>
      </c>
      <c r="K187">
        <f t="shared" si="67"/>
        <v>1.5537589820835513</v>
      </c>
      <c r="O187">
        <f t="shared" si="68"/>
        <v>5.1926940160155676E-3</v>
      </c>
      <c r="P187">
        <f t="shared" si="69"/>
        <v>0.30475356721176311</v>
      </c>
      <c r="Q187">
        <f t="shared" si="70"/>
        <v>0.95241708258544033</v>
      </c>
      <c r="R187">
        <f t="shared" si="60"/>
        <v>1</v>
      </c>
      <c r="AG187" s="8">
        <f t="shared" si="63"/>
        <v>0.51622427303540097</v>
      </c>
      <c r="AH187" s="8">
        <f t="shared" si="64"/>
        <v>-0.21405616317725526</v>
      </c>
      <c r="AI187" s="8">
        <f t="shared" si="65"/>
        <v>0.82927224657220033</v>
      </c>
      <c r="AJ187" s="8"/>
      <c r="AK187" s="8"/>
      <c r="AL187" s="8"/>
      <c r="AN187" s="8">
        <f t="shared" si="71"/>
        <v>1.0000000000000002</v>
      </c>
      <c r="AO187" s="8">
        <f t="shared" si="72"/>
        <v>5.8901075312768549</v>
      </c>
      <c r="AP187" s="8">
        <f t="shared" si="73"/>
        <v>0.59299214944536693</v>
      </c>
      <c r="AQ187" s="8"/>
      <c r="AR187" s="8">
        <f t="shared" si="74"/>
        <v>337.4783024203843</v>
      </c>
      <c r="AS187" s="8">
        <f t="shared" si="75"/>
        <v>56.024052552389492</v>
      </c>
    </row>
    <row r="188" spans="1:45">
      <c r="A188" s="19">
        <v>10.01</v>
      </c>
      <c r="B188" s="19">
        <v>968.26814639999998</v>
      </c>
      <c r="C188" s="19">
        <v>-57.731478840000001</v>
      </c>
      <c r="E188" s="9">
        <f t="shared" si="61"/>
        <v>8.2681463999999778</v>
      </c>
      <c r="F188" s="9">
        <f t="shared" si="66"/>
        <v>482.26852115999998</v>
      </c>
      <c r="I188">
        <v>1</v>
      </c>
      <c r="J188">
        <f t="shared" si="62"/>
        <v>0.30951151109219649</v>
      </c>
      <c r="K188">
        <f t="shared" si="67"/>
        <v>1.5536537265529191</v>
      </c>
      <c r="O188">
        <f t="shared" si="68"/>
        <v>5.2212670818511343E-3</v>
      </c>
      <c r="P188">
        <f t="shared" si="69"/>
        <v>0.30454864153660322</v>
      </c>
      <c r="Q188">
        <f t="shared" si="70"/>
        <v>0.95248247401633035</v>
      </c>
      <c r="R188">
        <f t="shared" si="60"/>
        <v>1</v>
      </c>
      <c r="AG188" s="8">
        <f t="shared" si="63"/>
        <v>0.51640405277332935</v>
      </c>
      <c r="AH188" s="8">
        <f t="shared" si="64"/>
        <v>-0.21408226633952229</v>
      </c>
      <c r="AI188" s="8">
        <f t="shared" si="65"/>
        <v>0.82915356690917896</v>
      </c>
      <c r="AJ188" s="8"/>
      <c r="AK188" s="8"/>
      <c r="AL188" s="8"/>
      <c r="AN188" s="8">
        <f t="shared" si="71"/>
        <v>1</v>
      </c>
      <c r="AO188" s="8">
        <f t="shared" si="72"/>
        <v>5.8901875805719408</v>
      </c>
      <c r="AP188" s="8">
        <f t="shared" si="73"/>
        <v>0.59320448203606235</v>
      </c>
      <c r="AQ188" s="8"/>
      <c r="AR188" s="8">
        <f t="shared" si="74"/>
        <v>337.48288890714576</v>
      </c>
      <c r="AS188" s="8">
        <f t="shared" si="75"/>
        <v>56.011886791089566</v>
      </c>
    </row>
    <row r="189" spans="1:45">
      <c r="A189" s="19">
        <v>10.043366669999999</v>
      </c>
      <c r="B189" s="19">
        <v>969.28238250000004</v>
      </c>
      <c r="C189" s="19">
        <v>-58.011849220000002</v>
      </c>
      <c r="E189" s="9">
        <f t="shared" si="61"/>
        <v>9.2823825000000397</v>
      </c>
      <c r="F189" s="9">
        <f t="shared" si="66"/>
        <v>481.98815078000001</v>
      </c>
      <c r="I189">
        <v>1</v>
      </c>
      <c r="J189">
        <f t="shared" si="62"/>
        <v>0.30935257698193858</v>
      </c>
      <c r="K189">
        <f t="shared" si="67"/>
        <v>1.551540178782743</v>
      </c>
      <c r="O189">
        <f t="shared" si="68"/>
        <v>5.8620181156985793E-3</v>
      </c>
      <c r="P189">
        <f t="shared" si="69"/>
        <v>0.30438556819053858</v>
      </c>
      <c r="Q189">
        <f t="shared" si="70"/>
        <v>0.95253087226658129</v>
      </c>
      <c r="R189">
        <f t="shared" si="60"/>
        <v>1</v>
      </c>
      <c r="AG189" s="8">
        <f t="shared" si="63"/>
        <v>0.51674637045980043</v>
      </c>
      <c r="AH189" s="8">
        <f t="shared" si="64"/>
        <v>-0.21351861666795419</v>
      </c>
      <c r="AI189" s="8">
        <f t="shared" si="65"/>
        <v>0.82908563426996251</v>
      </c>
      <c r="AJ189" s="8"/>
      <c r="AK189" s="8"/>
      <c r="AL189" s="8"/>
      <c r="AN189" s="8">
        <f t="shared" si="71"/>
        <v>1</v>
      </c>
      <c r="AO189" s="8">
        <f t="shared" si="72"/>
        <v>5.8913532908635222</v>
      </c>
      <c r="AP189" s="8">
        <f t="shared" si="73"/>
        <v>0.59332599183786328</v>
      </c>
      <c r="AQ189" s="8"/>
      <c r="AR189" s="8">
        <f t="shared" si="74"/>
        <v>337.54967918698833</v>
      </c>
      <c r="AS189" s="8">
        <f t="shared" si="75"/>
        <v>56.004924792276903</v>
      </c>
    </row>
    <row r="190" spans="1:45">
      <c r="A190" s="19">
        <v>10.07673333</v>
      </c>
      <c r="B190" s="19">
        <v>970.29503820000002</v>
      </c>
      <c r="C190" s="19">
        <v>-58.14740845</v>
      </c>
      <c r="E190" s="9">
        <f t="shared" si="61"/>
        <v>10.295038200000022</v>
      </c>
      <c r="F190" s="9">
        <f t="shared" si="66"/>
        <v>481.85259155</v>
      </c>
      <c r="I190">
        <v>1</v>
      </c>
      <c r="J190">
        <f t="shared" si="62"/>
        <v>0.30928279577403389</v>
      </c>
      <c r="K190">
        <f t="shared" si="67"/>
        <v>1.5494340423627007</v>
      </c>
      <c r="O190">
        <f t="shared" si="68"/>
        <v>6.5016623389693978E-3</v>
      </c>
      <c r="P190">
        <f t="shared" si="69"/>
        <v>0.30430609256169977</v>
      </c>
      <c r="Q190">
        <f t="shared" si="70"/>
        <v>0.9525521142786153</v>
      </c>
      <c r="R190">
        <f t="shared" si="60"/>
        <v>1</v>
      </c>
      <c r="AG190" s="8">
        <f t="shared" si="63"/>
        <v>0.51701844371329186</v>
      </c>
      <c r="AH190" s="8">
        <f t="shared" si="64"/>
        <v>-0.21293422380286867</v>
      </c>
      <c r="AI190" s="8">
        <f t="shared" si="65"/>
        <v>0.82906630928638969</v>
      </c>
      <c r="AJ190" s="8"/>
      <c r="AK190" s="8"/>
      <c r="AL190" s="8"/>
      <c r="AN190" s="8">
        <f t="shared" si="71"/>
        <v>1</v>
      </c>
      <c r="AO190" s="8">
        <f t="shared" si="72"/>
        <v>5.8925050427221919</v>
      </c>
      <c r="AP190" s="8">
        <f t="shared" si="73"/>
        <v>0.59336055406353783</v>
      </c>
      <c r="AQ190" s="8"/>
      <c r="AR190" s="8">
        <f t="shared" si="74"/>
        <v>337.61566970753643</v>
      </c>
      <c r="AS190" s="8">
        <f t="shared" si="75"/>
        <v>56.002944522615174</v>
      </c>
    </row>
    <row r="191" spans="1:45">
      <c r="A191" s="19">
        <v>10.110099999999999</v>
      </c>
      <c r="B191" s="19">
        <v>970.73187419999999</v>
      </c>
      <c r="C191" s="19">
        <v>-58.526888290000002</v>
      </c>
      <c r="E191" s="9">
        <f t="shared" si="61"/>
        <v>10.731874199999993</v>
      </c>
      <c r="F191" s="9">
        <f t="shared" si="66"/>
        <v>481.47311171000001</v>
      </c>
      <c r="I191">
        <v>1</v>
      </c>
      <c r="J191">
        <f t="shared" si="62"/>
        <v>0.30905828380372702</v>
      </c>
      <c r="K191">
        <f t="shared" si="67"/>
        <v>1.5485103524258077</v>
      </c>
      <c r="O191">
        <f t="shared" si="68"/>
        <v>6.7779781603858873E-3</v>
      </c>
      <c r="P191">
        <f t="shared" si="69"/>
        <v>0.30408614331161399</v>
      </c>
      <c r="Q191">
        <f t="shared" si="70"/>
        <v>0.95262042622333365</v>
      </c>
      <c r="R191">
        <f t="shared" si="60"/>
        <v>1</v>
      </c>
      <c r="AG191" s="8">
        <f t="shared" si="63"/>
        <v>0.51729029056672227</v>
      </c>
      <c r="AH191" s="8">
        <f t="shared" si="64"/>
        <v>-0.21272982341250182</v>
      </c>
      <c r="AI191" s="8">
        <f t="shared" si="65"/>
        <v>0.8289492008056234</v>
      </c>
      <c r="AJ191" s="8"/>
      <c r="AK191" s="8"/>
      <c r="AL191" s="8"/>
      <c r="AN191" s="8">
        <f t="shared" si="71"/>
        <v>1</v>
      </c>
      <c r="AO191" s="8">
        <f t="shared" si="72"/>
        <v>5.8930280365039733</v>
      </c>
      <c r="AP191" s="8">
        <f t="shared" si="73"/>
        <v>0.59356996163124465</v>
      </c>
      <c r="AQ191" s="8"/>
      <c r="AR191" s="8">
        <f t="shared" si="74"/>
        <v>337.64563504394408</v>
      </c>
      <c r="AS191" s="8">
        <f t="shared" si="75"/>
        <v>55.990946352787475</v>
      </c>
    </row>
    <row r="192" spans="1:45">
      <c r="A192" s="19">
        <v>10.14346667</v>
      </c>
      <c r="B192" s="19">
        <v>971.45096590000003</v>
      </c>
      <c r="C192" s="19">
        <v>-58.976022989999997</v>
      </c>
      <c r="E192" s="9">
        <f t="shared" si="61"/>
        <v>11.450965900000028</v>
      </c>
      <c r="F192" s="9">
        <f t="shared" si="66"/>
        <v>481.02397701000001</v>
      </c>
      <c r="I192">
        <v>1</v>
      </c>
      <c r="J192">
        <f t="shared" si="62"/>
        <v>0.30879573933069965</v>
      </c>
      <c r="K192">
        <f t="shared" si="67"/>
        <v>1.5469954268253303</v>
      </c>
      <c r="O192">
        <f t="shared" si="68"/>
        <v>7.2326856727920798E-3</v>
      </c>
      <c r="P192">
        <f t="shared" si="69"/>
        <v>0.30382548137617688</v>
      </c>
      <c r="Q192">
        <f t="shared" si="70"/>
        <v>0.95270024935679165</v>
      </c>
      <c r="R192">
        <f t="shared" si="60"/>
        <v>1</v>
      </c>
      <c r="AG192" s="8">
        <f t="shared" si="63"/>
        <v>0.51765320062108944</v>
      </c>
      <c r="AH192" s="8">
        <f t="shared" si="64"/>
        <v>-0.2123671501972195</v>
      </c>
      <c r="AI192" s="8">
        <f t="shared" si="65"/>
        <v>0.82881563535194824</v>
      </c>
      <c r="AJ192" s="8"/>
      <c r="AK192" s="8"/>
      <c r="AL192" s="8"/>
      <c r="AN192" s="8">
        <f t="shared" si="71"/>
        <v>0.99999999999999978</v>
      </c>
      <c r="AO192" s="8">
        <f t="shared" si="72"/>
        <v>5.8938741967382127</v>
      </c>
      <c r="AP192" s="8">
        <f t="shared" si="73"/>
        <v>0.59380871743741626</v>
      </c>
      <c r="AQ192" s="8"/>
      <c r="AR192" s="8">
        <f t="shared" si="74"/>
        <v>337.69411645415784</v>
      </c>
      <c r="AS192" s="8">
        <f t="shared" si="75"/>
        <v>55.977266652759596</v>
      </c>
    </row>
    <row r="193" spans="1:45">
      <c r="A193" s="19">
        <v>10.176833329999999</v>
      </c>
      <c r="B193" s="19">
        <v>971.9347434</v>
      </c>
      <c r="C193" s="19">
        <v>-59.130711150000003</v>
      </c>
      <c r="E193" s="9">
        <f t="shared" si="61"/>
        <v>11.934743400000002</v>
      </c>
      <c r="F193" s="9">
        <f t="shared" si="66"/>
        <v>480.86928884999998</v>
      </c>
      <c r="I193">
        <v>1</v>
      </c>
      <c r="J193">
        <f t="shared" si="62"/>
        <v>0.30870898309824379</v>
      </c>
      <c r="K193">
        <f t="shared" si="67"/>
        <v>1.5459823200991167</v>
      </c>
      <c r="O193">
        <f t="shared" si="68"/>
        <v>7.538438784984218E-3</v>
      </c>
      <c r="P193">
        <f t="shared" si="69"/>
        <v>0.30373536959115677</v>
      </c>
      <c r="Q193">
        <f t="shared" si="70"/>
        <v>0.95272661199318265</v>
      </c>
      <c r="R193">
        <f t="shared" si="60"/>
        <v>1</v>
      </c>
      <c r="AG193" s="8">
        <f t="shared" si="63"/>
        <v>0.51782629520060064</v>
      </c>
      <c r="AH193" s="8">
        <f t="shared" si="64"/>
        <v>-0.21210118692988114</v>
      </c>
      <c r="AI193" s="8">
        <f t="shared" si="65"/>
        <v>0.82877561167167324</v>
      </c>
      <c r="AJ193" s="8"/>
      <c r="AK193" s="8"/>
      <c r="AL193" s="8"/>
      <c r="AN193" s="8">
        <f t="shared" si="71"/>
        <v>1</v>
      </c>
      <c r="AO193" s="8">
        <f t="shared" si="72"/>
        <v>5.8944313272620539</v>
      </c>
      <c r="AP193" s="8">
        <f t="shared" si="73"/>
        <v>0.5938802455891653</v>
      </c>
      <c r="AQ193" s="8"/>
      <c r="AR193" s="8">
        <f t="shared" si="74"/>
        <v>337.72603768181182</v>
      </c>
      <c r="AS193" s="8">
        <f t="shared" si="75"/>
        <v>55.973168391548008</v>
      </c>
    </row>
    <row r="194" spans="1:45">
      <c r="A194" s="19">
        <v>10.2102</v>
      </c>
      <c r="B194" s="19">
        <v>972.13529740000001</v>
      </c>
      <c r="C194" s="19">
        <v>-58.822787210000001</v>
      </c>
      <c r="E194" s="9">
        <f t="shared" si="61"/>
        <v>12.135297400000013</v>
      </c>
      <c r="F194" s="9">
        <f t="shared" si="66"/>
        <v>481.17721279</v>
      </c>
      <c r="I194">
        <v>1</v>
      </c>
      <c r="J194">
        <f t="shared" si="62"/>
        <v>0.30889892917290501</v>
      </c>
      <c r="K194">
        <f t="shared" si="67"/>
        <v>1.5455816549927353</v>
      </c>
      <c r="O194">
        <f t="shared" si="68"/>
        <v>7.6646967345515406E-3</v>
      </c>
      <c r="P194">
        <f t="shared" si="69"/>
        <v>0.30391322849756486</v>
      </c>
      <c r="Q194">
        <f t="shared" si="70"/>
        <v>0.95266888369892411</v>
      </c>
      <c r="R194">
        <f t="shared" si="60"/>
        <v>1</v>
      </c>
      <c r="AG194" s="8">
        <f t="shared" si="63"/>
        <v>0.51771890159638134</v>
      </c>
      <c r="AH194" s="8">
        <f t="shared" si="64"/>
        <v>-0.21193566105479678</v>
      </c>
      <c r="AI194" s="8">
        <f t="shared" si="65"/>
        <v>0.82888504299637511</v>
      </c>
      <c r="AJ194" s="8"/>
      <c r="AK194" s="8"/>
      <c r="AL194" s="8"/>
      <c r="AN194" s="8">
        <f t="shared" si="71"/>
        <v>1</v>
      </c>
      <c r="AO194" s="8">
        <f t="shared" si="72"/>
        <v>5.8946323727686947</v>
      </c>
      <c r="AP194" s="8">
        <f t="shared" si="73"/>
        <v>0.59368465788711555</v>
      </c>
      <c r="AQ194" s="8"/>
      <c r="AR194" s="8">
        <f t="shared" si="74"/>
        <v>337.73755674083242</v>
      </c>
      <c r="AS194" s="8">
        <f t="shared" si="75"/>
        <v>55.984374741400117</v>
      </c>
    </row>
    <row r="195" spans="1:45">
      <c r="A195" s="19">
        <v>10.24356667</v>
      </c>
      <c r="B195" s="19">
        <v>973.54804730000001</v>
      </c>
      <c r="C195" s="19">
        <v>-60.043052660000001</v>
      </c>
      <c r="E195" s="9">
        <f t="shared" si="61"/>
        <v>13.548047300000007</v>
      </c>
      <c r="F195" s="9">
        <f t="shared" si="66"/>
        <v>479.95694734</v>
      </c>
      <c r="I195">
        <v>1</v>
      </c>
      <c r="J195">
        <f t="shared" si="62"/>
        <v>0.30818109667173504</v>
      </c>
      <c r="K195">
        <f t="shared" si="67"/>
        <v>1.5425761900992672</v>
      </c>
      <c r="O195">
        <f t="shared" si="68"/>
        <v>8.558763105247497E-3</v>
      </c>
      <c r="P195">
        <f t="shared" si="69"/>
        <v>0.30320515732188208</v>
      </c>
      <c r="Q195">
        <f t="shared" si="70"/>
        <v>0.95288686639470532</v>
      </c>
      <c r="R195">
        <f t="shared" si="60"/>
        <v>1</v>
      </c>
      <c r="AG195" s="8">
        <f t="shared" si="63"/>
        <v>0.5185941140200645</v>
      </c>
      <c r="AH195" s="8">
        <f t="shared" si="64"/>
        <v>-0.21127281465266826</v>
      </c>
      <c r="AI195" s="8">
        <f t="shared" si="65"/>
        <v>0.8285070565133914</v>
      </c>
      <c r="AJ195" s="8"/>
      <c r="AK195" s="8"/>
      <c r="AL195" s="8"/>
      <c r="AN195" s="8">
        <f t="shared" si="71"/>
        <v>1.0000000000000004</v>
      </c>
      <c r="AO195" s="8">
        <f t="shared" si="72"/>
        <v>5.8963199568479716</v>
      </c>
      <c r="AP195" s="8">
        <f t="shared" si="73"/>
        <v>0.59435999696378117</v>
      </c>
      <c r="AQ195" s="8"/>
      <c r="AR195" s="8">
        <f t="shared" si="74"/>
        <v>337.83424818614844</v>
      </c>
      <c r="AS195" s="8">
        <f t="shared" si="75"/>
        <v>55.945680662566915</v>
      </c>
    </row>
    <row r="196" spans="1:45">
      <c r="A196" s="19">
        <v>10.27693333</v>
      </c>
      <c r="B196" s="19">
        <v>974.37155529999995</v>
      </c>
      <c r="C196" s="19">
        <v>-60.040901230000003</v>
      </c>
      <c r="E196" s="9">
        <f t="shared" si="61"/>
        <v>14.371555299999955</v>
      </c>
      <c r="F196" s="9">
        <f t="shared" si="66"/>
        <v>479.95909876999997</v>
      </c>
      <c r="I196">
        <v>1</v>
      </c>
      <c r="J196">
        <f t="shared" si="62"/>
        <v>0.30819694488749028</v>
      </c>
      <c r="K196">
        <f t="shared" si="67"/>
        <v>1.5408619793396414</v>
      </c>
      <c r="O196">
        <f t="shared" si="68"/>
        <v>9.0789598053058768E-3</v>
      </c>
      <c r="P196">
        <f t="shared" si="69"/>
        <v>0.30320513507147479</v>
      </c>
      <c r="Q196">
        <f t="shared" si="70"/>
        <v>0.95288205910025525</v>
      </c>
      <c r="R196">
        <f t="shared" si="60"/>
        <v>1</v>
      </c>
      <c r="AG196" s="8">
        <f t="shared" si="63"/>
        <v>0.51876056802293713</v>
      </c>
      <c r="AH196" s="8">
        <f t="shared" si="64"/>
        <v>-0.21078040147377278</v>
      </c>
      <c r="AI196" s="8">
        <f t="shared" si="65"/>
        <v>0.82852827074220881</v>
      </c>
      <c r="AJ196" s="8"/>
      <c r="AK196" s="8"/>
      <c r="AL196" s="8"/>
      <c r="AN196" s="8">
        <f t="shared" si="71"/>
        <v>1</v>
      </c>
      <c r="AO196" s="8">
        <f t="shared" si="72"/>
        <v>5.8972465139070884</v>
      </c>
      <c r="AP196" s="8">
        <f t="shared" si="73"/>
        <v>0.59432211190433237</v>
      </c>
      <c r="AQ196" s="8"/>
      <c r="AR196" s="8">
        <f t="shared" si="74"/>
        <v>337.88733599511392</v>
      </c>
      <c r="AS196" s="8">
        <f t="shared" si="75"/>
        <v>55.947851316579936</v>
      </c>
    </row>
    <row r="197" spans="1:45">
      <c r="A197" s="19">
        <v>10.3103</v>
      </c>
      <c r="B197" s="19">
        <v>975.29067069999996</v>
      </c>
      <c r="C197" s="19">
        <v>-60.42580237</v>
      </c>
      <c r="E197" s="9">
        <f t="shared" si="61"/>
        <v>15.290670699999964</v>
      </c>
      <c r="F197" s="9">
        <f t="shared" si="66"/>
        <v>479.57419763000001</v>
      </c>
      <c r="I197">
        <v>1</v>
      </c>
      <c r="J197">
        <f t="shared" si="62"/>
        <v>0.30798050921526293</v>
      </c>
      <c r="K197">
        <f t="shared" si="67"/>
        <v>1.5389232766219665</v>
      </c>
      <c r="O197">
        <f t="shared" si="68"/>
        <v>9.6601944574990408E-3</v>
      </c>
      <c r="P197">
        <f t="shared" si="69"/>
        <v>0.30298082384998787</v>
      </c>
      <c r="Q197">
        <f t="shared" si="70"/>
        <v>0.95294769060123441</v>
      </c>
      <c r="R197">
        <f t="shared" si="60"/>
        <v>1</v>
      </c>
      <c r="AG197" s="8">
        <f t="shared" si="63"/>
        <v>0.51913268600336804</v>
      </c>
      <c r="AH197" s="8">
        <f t="shared" si="64"/>
        <v>-0.21028813938736468</v>
      </c>
      <c r="AI197" s="8">
        <f t="shared" si="65"/>
        <v>0.82842027543749119</v>
      </c>
      <c r="AJ197" s="8"/>
      <c r="AK197" s="8"/>
      <c r="AL197" s="8"/>
      <c r="AN197" s="8">
        <f t="shared" si="71"/>
        <v>1</v>
      </c>
      <c r="AO197" s="8">
        <f t="shared" si="72"/>
        <v>5.8983108285880359</v>
      </c>
      <c r="AP197" s="8">
        <f t="shared" si="73"/>
        <v>0.59451495132494425</v>
      </c>
      <c r="AQ197" s="8"/>
      <c r="AR197" s="8">
        <f t="shared" si="74"/>
        <v>337.94831673440603</v>
      </c>
      <c r="AS197" s="8">
        <f t="shared" si="75"/>
        <v>55.936802431655124</v>
      </c>
    </row>
    <row r="198" spans="1:45">
      <c r="A198" s="19">
        <v>10.343666669999999</v>
      </c>
      <c r="B198" s="19">
        <v>975.52217580000001</v>
      </c>
      <c r="C198" s="19">
        <v>-61.010855569999997</v>
      </c>
      <c r="E198" s="9">
        <f t="shared" si="61"/>
        <v>15.522175800000014</v>
      </c>
      <c r="F198" s="9">
        <f t="shared" si="66"/>
        <v>478.98914443000001</v>
      </c>
      <c r="I198">
        <v>1</v>
      </c>
      <c r="J198">
        <f t="shared" si="62"/>
        <v>0.30762977574974787</v>
      </c>
      <c r="K198">
        <f t="shared" si="67"/>
        <v>1.5384015516055241</v>
      </c>
      <c r="O198">
        <f t="shared" si="68"/>
        <v>9.8074397742258061E-3</v>
      </c>
      <c r="P198">
        <f t="shared" si="69"/>
        <v>0.30264166873468706</v>
      </c>
      <c r="Q198">
        <f t="shared" si="70"/>
        <v>0.95305395150041683</v>
      </c>
      <c r="R198">
        <f t="shared" si="60"/>
        <v>1</v>
      </c>
      <c r="AG198" s="8">
        <f t="shared" si="63"/>
        <v>0.51946144566180008</v>
      </c>
      <c r="AH198" s="8">
        <f t="shared" si="64"/>
        <v>-0.21023642706446091</v>
      </c>
      <c r="AI198" s="8">
        <f t="shared" si="65"/>
        <v>0.82822729441024967</v>
      </c>
      <c r="AJ198" s="8"/>
      <c r="AK198" s="8"/>
      <c r="AL198" s="8"/>
      <c r="AN198" s="8">
        <f t="shared" si="71"/>
        <v>1</v>
      </c>
      <c r="AO198" s="8">
        <f t="shared" si="72"/>
        <v>5.8986166139845242</v>
      </c>
      <c r="AP198" s="8">
        <f t="shared" si="73"/>
        <v>0.59485940673527149</v>
      </c>
      <c r="AQ198" s="8"/>
      <c r="AR198" s="8">
        <f t="shared" si="74"/>
        <v>337.96583694706152</v>
      </c>
      <c r="AS198" s="8">
        <f t="shared" si="75"/>
        <v>55.917066590412929</v>
      </c>
    </row>
    <row r="199" spans="1:45">
      <c r="A199" s="19">
        <v>10.37703333</v>
      </c>
      <c r="B199" s="19">
        <v>976.28888710000001</v>
      </c>
      <c r="C199" s="19">
        <v>-61.027721829999997</v>
      </c>
      <c r="E199" s="9">
        <f t="shared" si="61"/>
        <v>16.288887100000011</v>
      </c>
      <c r="F199" s="9">
        <f t="shared" si="66"/>
        <v>478.97227816999998</v>
      </c>
      <c r="I199">
        <v>1</v>
      </c>
      <c r="J199">
        <f t="shared" si="62"/>
        <v>0.30763499447594217</v>
      </c>
      <c r="K199">
        <f t="shared" si="67"/>
        <v>1.5368014327425423</v>
      </c>
      <c r="O199">
        <f t="shared" si="68"/>
        <v>1.0291858703696265E-2</v>
      </c>
      <c r="P199">
        <f t="shared" si="69"/>
        <v>0.30263055908301717</v>
      </c>
      <c r="Q199">
        <f t="shared" si="70"/>
        <v>0.95305237125434172</v>
      </c>
      <c r="R199">
        <f t="shared" si="60"/>
        <v>1</v>
      </c>
      <c r="AG199" s="8">
        <f t="shared" si="63"/>
        <v>0.51962520471251872</v>
      </c>
      <c r="AH199" s="8">
        <f t="shared" si="64"/>
        <v>-0.2097805705851106</v>
      </c>
      <c r="AI199" s="8">
        <f t="shared" si="65"/>
        <v>0.82824015770334292</v>
      </c>
      <c r="AJ199" s="8"/>
      <c r="AK199" s="8"/>
      <c r="AL199" s="8"/>
      <c r="AN199" s="8">
        <f t="shared" si="71"/>
        <v>1</v>
      </c>
      <c r="AO199" s="8">
        <f t="shared" si="72"/>
        <v>5.8994803179993882</v>
      </c>
      <c r="AP199" s="8">
        <f t="shared" si="73"/>
        <v>0.59483645226050952</v>
      </c>
      <c r="AQ199" s="8"/>
      <c r="AR199" s="8">
        <f t="shared" si="74"/>
        <v>338.01532354186173</v>
      </c>
      <c r="AS199" s="8">
        <f t="shared" si="75"/>
        <v>55.918381784937729</v>
      </c>
    </row>
    <row r="200" spans="1:45">
      <c r="A200" s="19">
        <v>10.410399999999999</v>
      </c>
      <c r="B200" s="19">
        <v>977.3383781</v>
      </c>
      <c r="C200" s="19">
        <v>-61.428185550000002</v>
      </c>
      <c r="E200" s="9">
        <f t="shared" si="61"/>
        <v>17.3383781</v>
      </c>
      <c r="F200" s="9">
        <f t="shared" si="66"/>
        <v>478.57181444999998</v>
      </c>
      <c r="I200">
        <v>1</v>
      </c>
      <c r="J200">
        <f t="shared" si="62"/>
        <v>0.3074141918846468</v>
      </c>
      <c r="K200">
        <f t="shared" si="67"/>
        <v>1.5345827479831788</v>
      </c>
      <c r="O200">
        <f t="shared" si="68"/>
        <v>1.0955655372830489E-2</v>
      </c>
      <c r="P200">
        <f t="shared" si="69"/>
        <v>0.30239667401556952</v>
      </c>
      <c r="Q200">
        <f t="shared" si="70"/>
        <v>0.95311920826288732</v>
      </c>
      <c r="R200">
        <f t="shared" si="60"/>
        <v>1</v>
      </c>
      <c r="AG200" s="8">
        <f t="shared" si="63"/>
        <v>0.52003090697193954</v>
      </c>
      <c r="AH200" s="8">
        <f t="shared" si="64"/>
        <v>-0.20921232676024878</v>
      </c>
      <c r="AI200" s="8">
        <f t="shared" si="65"/>
        <v>0.82812925206486021</v>
      </c>
      <c r="AJ200" s="8"/>
      <c r="AK200" s="8"/>
      <c r="AL200" s="8"/>
      <c r="AN200" s="8">
        <f t="shared" si="71"/>
        <v>0.99999999999999989</v>
      </c>
      <c r="AO200" s="8">
        <f t="shared" si="72"/>
        <v>5.9006913022523317</v>
      </c>
      <c r="AP200" s="8">
        <f t="shared" si="73"/>
        <v>0.59503433717380549</v>
      </c>
      <c r="AQ200" s="8"/>
      <c r="AR200" s="8">
        <f t="shared" si="74"/>
        <v>338.08470782861218</v>
      </c>
      <c r="AS200" s="8">
        <f t="shared" si="75"/>
        <v>55.907043814576554</v>
      </c>
    </row>
    <row r="201" spans="1:45">
      <c r="A201" s="19">
        <v>10.44376667</v>
      </c>
      <c r="B201" s="19">
        <v>977.77296039999999</v>
      </c>
      <c r="C201" s="19">
        <v>-61.634063900000001</v>
      </c>
      <c r="E201" s="9">
        <f t="shared" si="61"/>
        <v>17.772960399999988</v>
      </c>
      <c r="F201" s="9">
        <f t="shared" si="66"/>
        <v>478.3659361</v>
      </c>
      <c r="I201">
        <v>1</v>
      </c>
      <c r="J201">
        <f t="shared" si="62"/>
        <v>0.30729884881378389</v>
      </c>
      <c r="K201">
        <f t="shared" si="67"/>
        <v>1.5336599255477714</v>
      </c>
      <c r="O201">
        <f t="shared" si="68"/>
        <v>1.1230627350948813E-2</v>
      </c>
      <c r="P201">
        <f t="shared" si="69"/>
        <v>0.3022765732222582</v>
      </c>
      <c r="Q201">
        <f t="shared" si="70"/>
        <v>0.95315410416695623</v>
      </c>
      <c r="R201">
        <f t="shared" si="60"/>
        <v>1</v>
      </c>
      <c r="AG201" s="8">
        <f t="shared" si="63"/>
        <v>0.52021812962943592</v>
      </c>
      <c r="AH201" s="8">
        <f t="shared" si="64"/>
        <v>-0.20898289315646221</v>
      </c>
      <c r="AI201" s="8">
        <f t="shared" si="65"/>
        <v>0.8280695912619942</v>
      </c>
      <c r="AJ201" s="8"/>
      <c r="AK201" s="8"/>
      <c r="AL201" s="8"/>
      <c r="AN201" s="8">
        <f t="shared" si="71"/>
        <v>1</v>
      </c>
      <c r="AO201" s="8">
        <f t="shared" si="72"/>
        <v>5.9011956178680904</v>
      </c>
      <c r="AP201" s="8">
        <f t="shared" si="73"/>
        <v>0.59514076385527304</v>
      </c>
      <c r="AQ201" s="8"/>
      <c r="AR201" s="8">
        <f t="shared" si="74"/>
        <v>338.1136029849377</v>
      </c>
      <c r="AS201" s="8">
        <f t="shared" si="75"/>
        <v>55.900946014900882</v>
      </c>
    </row>
    <row r="202" spans="1:45">
      <c r="A202" s="19">
        <v>10.477133329999999</v>
      </c>
      <c r="B202" s="19">
        <v>978.38289610000004</v>
      </c>
      <c r="C202" s="19">
        <v>-61.832168860000003</v>
      </c>
      <c r="E202" s="9">
        <f t="shared" si="61"/>
        <v>18.382896100000039</v>
      </c>
      <c r="F202" s="9">
        <f t="shared" si="66"/>
        <v>478.16783113999998</v>
      </c>
      <c r="I202">
        <v>1</v>
      </c>
      <c r="J202">
        <f t="shared" si="62"/>
        <v>0.30719254111325561</v>
      </c>
      <c r="K202">
        <f t="shared" si="67"/>
        <v>1.5323708066369397</v>
      </c>
      <c r="O202">
        <f t="shared" si="68"/>
        <v>1.1616395684065505E-2</v>
      </c>
      <c r="P202">
        <f t="shared" si="69"/>
        <v>0.30216058991453681</v>
      </c>
      <c r="Q202">
        <f t="shared" si="70"/>
        <v>0.95318625527952838</v>
      </c>
      <c r="R202">
        <f t="shared" si="60"/>
        <v>1</v>
      </c>
      <c r="AG202" s="8">
        <f t="shared" si="63"/>
        <v>0.52043707992087851</v>
      </c>
      <c r="AH202" s="8">
        <f t="shared" si="64"/>
        <v>-0.2086473980651376</v>
      </c>
      <c r="AI202" s="8">
        <f t="shared" si="65"/>
        <v>0.82801661162326767</v>
      </c>
      <c r="AJ202" s="8"/>
      <c r="AK202" s="8"/>
      <c r="AL202" s="8"/>
      <c r="AN202" s="8">
        <f t="shared" si="71"/>
        <v>1.0000000000000002</v>
      </c>
      <c r="AO202" s="8">
        <f t="shared" si="72"/>
        <v>5.9018964013376163</v>
      </c>
      <c r="AP202" s="8">
        <f t="shared" si="73"/>
        <v>0.59523525823449919</v>
      </c>
      <c r="AQ202" s="8"/>
      <c r="AR202" s="8">
        <f t="shared" si="74"/>
        <v>338.15375492009406</v>
      </c>
      <c r="AS202" s="8">
        <f t="shared" si="75"/>
        <v>55.895531885783512</v>
      </c>
    </row>
    <row r="203" spans="1:45">
      <c r="A203" s="19">
        <v>10.5105</v>
      </c>
      <c r="B203" s="19">
        <v>979.2310569</v>
      </c>
      <c r="C203" s="19">
        <v>-62.241270839999999</v>
      </c>
      <c r="E203" s="9">
        <f t="shared" si="61"/>
        <v>19.231056899999999</v>
      </c>
      <c r="F203" s="9">
        <f t="shared" si="66"/>
        <v>477.75872916000003</v>
      </c>
      <c r="I203">
        <v>1</v>
      </c>
      <c r="J203">
        <f t="shared" si="62"/>
        <v>0.30696435237186748</v>
      </c>
      <c r="K203">
        <f t="shared" si="67"/>
        <v>1.5305653916563493</v>
      </c>
      <c r="O203">
        <f t="shared" si="68"/>
        <v>1.215315327032512E-2</v>
      </c>
      <c r="P203">
        <f t="shared" si="69"/>
        <v>0.3019217868216712</v>
      </c>
      <c r="Q203">
        <f t="shared" si="70"/>
        <v>0.95325523104150722</v>
      </c>
      <c r="R203">
        <f t="shared" si="60"/>
        <v>1</v>
      </c>
      <c r="AG203" s="8">
        <f t="shared" si="63"/>
        <v>0.52080578325949267</v>
      </c>
      <c r="AH203" s="8">
        <f t="shared" si="64"/>
        <v>-0.20820051130849393</v>
      </c>
      <c r="AI203" s="8">
        <f t="shared" si="65"/>
        <v>0.82789726609909031</v>
      </c>
      <c r="AJ203" s="8"/>
      <c r="AK203" s="8"/>
      <c r="AL203" s="8"/>
      <c r="AN203" s="8">
        <f t="shared" si="71"/>
        <v>0.99999999999999989</v>
      </c>
      <c r="AO203" s="8">
        <f t="shared" si="72"/>
        <v>5.9028805602922487</v>
      </c>
      <c r="AP203" s="8">
        <f t="shared" si="73"/>
        <v>0.59544807438408653</v>
      </c>
      <c r="AQ203" s="8"/>
      <c r="AR203" s="8">
        <f t="shared" si="74"/>
        <v>338.21014307456454</v>
      </c>
      <c r="AS203" s="8">
        <f t="shared" si="75"/>
        <v>55.883338418599934</v>
      </c>
    </row>
    <row r="204" spans="1:45">
      <c r="A204" s="19">
        <v>10.54386667</v>
      </c>
      <c r="B204" s="19">
        <v>980.27422590000003</v>
      </c>
      <c r="C204" s="19">
        <v>-62.868694750000003</v>
      </c>
      <c r="E204" s="9">
        <f t="shared" si="61"/>
        <v>20.274225900000033</v>
      </c>
      <c r="F204" s="9">
        <f t="shared" si="66"/>
        <v>477.13130524999997</v>
      </c>
      <c r="I204">
        <v>1</v>
      </c>
      <c r="J204">
        <f t="shared" si="62"/>
        <v>0.30660948022763834</v>
      </c>
      <c r="K204">
        <f t="shared" si="67"/>
        <v>1.5283299517199926</v>
      </c>
      <c r="O204">
        <f t="shared" si="68"/>
        <v>1.2813688188640321E-2</v>
      </c>
      <c r="P204">
        <f t="shared" si="69"/>
        <v>0.30155586707320142</v>
      </c>
      <c r="Q204">
        <f t="shared" si="70"/>
        <v>0.95336240141340478</v>
      </c>
      <c r="R204">
        <f t="shared" si="60"/>
        <v>1</v>
      </c>
      <c r="AG204" s="8">
        <f t="shared" si="63"/>
        <v>0.52131892201729757</v>
      </c>
      <c r="AH204" s="8">
        <f t="shared" si="64"/>
        <v>-0.20766903281017762</v>
      </c>
      <c r="AI204" s="8">
        <f t="shared" si="65"/>
        <v>0.82770777111152471</v>
      </c>
      <c r="AJ204" s="8"/>
      <c r="AK204" s="8"/>
      <c r="AL204" s="8"/>
      <c r="AN204" s="8">
        <f t="shared" si="71"/>
        <v>1</v>
      </c>
      <c r="AO204" s="8">
        <f t="shared" si="72"/>
        <v>5.9040994372581661</v>
      </c>
      <c r="AP204" s="8">
        <f t="shared" si="73"/>
        <v>0.59578584332258644</v>
      </c>
      <c r="AQ204" s="8"/>
      <c r="AR204" s="8">
        <f t="shared" si="74"/>
        <v>338.27997958045728</v>
      </c>
      <c r="AS204" s="8">
        <f t="shared" si="75"/>
        <v>55.863985683973276</v>
      </c>
    </row>
    <row r="205" spans="1:45">
      <c r="A205" s="19">
        <v>10.57723333</v>
      </c>
      <c r="B205" s="19">
        <v>980.43836009999995</v>
      </c>
      <c r="C205" s="19">
        <v>-62.985770860000002</v>
      </c>
      <c r="E205" s="9">
        <f t="shared" si="61"/>
        <v>20.438360099999954</v>
      </c>
      <c r="F205" s="9">
        <f t="shared" si="66"/>
        <v>477.01422914</v>
      </c>
      <c r="I205">
        <v>1</v>
      </c>
      <c r="J205">
        <f t="shared" si="62"/>
        <v>0.30654261933172205</v>
      </c>
      <c r="K205">
        <f t="shared" si="67"/>
        <v>1.5279760803959073</v>
      </c>
      <c r="O205">
        <f t="shared" si="68"/>
        <v>1.2917670686654496E-2</v>
      </c>
      <c r="P205">
        <f t="shared" si="69"/>
        <v>0.30148762888656983</v>
      </c>
      <c r="Q205">
        <f t="shared" si="70"/>
        <v>0.9533825797718275</v>
      </c>
      <c r="R205">
        <f t="shared" si="60"/>
        <v>1</v>
      </c>
      <c r="AG205" s="8">
        <f t="shared" si="63"/>
        <v>0.52140848333388967</v>
      </c>
      <c r="AH205" s="8">
        <f t="shared" si="64"/>
        <v>-0.20758809648997822</v>
      </c>
      <c r="AI205" s="8">
        <f t="shared" si="65"/>
        <v>0.82767165935721176</v>
      </c>
      <c r="AJ205" s="8"/>
      <c r="AK205" s="8"/>
      <c r="AL205" s="8"/>
      <c r="AN205" s="8">
        <f t="shared" si="71"/>
        <v>1</v>
      </c>
      <c r="AO205" s="8">
        <f t="shared" si="72"/>
        <v>5.9042924731677457</v>
      </c>
      <c r="AP205" s="8">
        <f t="shared" si="73"/>
        <v>0.59585019231536429</v>
      </c>
      <c r="AQ205" s="8"/>
      <c r="AR205" s="8">
        <f t="shared" si="74"/>
        <v>338.29103972337066</v>
      </c>
      <c r="AS205" s="8">
        <f t="shared" si="75"/>
        <v>55.860298758271192</v>
      </c>
    </row>
    <row r="206" spans="1:45">
      <c r="A206" s="19">
        <v>10.6106</v>
      </c>
      <c r="B206" s="19">
        <v>981.42488639999999</v>
      </c>
      <c r="C206" s="19">
        <v>-62.740822450000003</v>
      </c>
      <c r="E206" s="9">
        <f t="shared" si="61"/>
        <v>21.424886399999991</v>
      </c>
      <c r="F206" s="9">
        <f t="shared" si="66"/>
        <v>477.25917755</v>
      </c>
      <c r="I206">
        <v>1</v>
      </c>
      <c r="J206">
        <f t="shared" si="62"/>
        <v>0.3067176805437245</v>
      </c>
      <c r="K206">
        <f t="shared" si="67"/>
        <v>1.525934933589925</v>
      </c>
      <c r="O206">
        <f t="shared" si="68"/>
        <v>1.3540508522609036E-2</v>
      </c>
      <c r="P206">
        <f t="shared" si="69"/>
        <v>0.30162736177257726</v>
      </c>
      <c r="Q206">
        <f t="shared" si="70"/>
        <v>0.95332973794960574</v>
      </c>
      <c r="R206">
        <f t="shared" si="60"/>
        <v>1</v>
      </c>
      <c r="AG206" s="8">
        <f t="shared" si="63"/>
        <v>0.52148971639780428</v>
      </c>
      <c r="AH206" s="8">
        <f t="shared" si="64"/>
        <v>-0.20696162035489168</v>
      </c>
      <c r="AI206" s="8">
        <f t="shared" si="65"/>
        <v>0.82777736342051267</v>
      </c>
      <c r="AJ206" s="8"/>
      <c r="AK206" s="8"/>
      <c r="AL206" s="8"/>
      <c r="AN206" s="8">
        <f t="shared" si="71"/>
        <v>1.0000000000000002</v>
      </c>
      <c r="AO206" s="8">
        <f t="shared" si="72"/>
        <v>5.9053834337092823</v>
      </c>
      <c r="AP206" s="8">
        <f t="shared" si="73"/>
        <v>0.59566181674787844</v>
      </c>
      <c r="AQ206" s="8"/>
      <c r="AR206" s="8">
        <f t="shared" si="74"/>
        <v>338.35354715801606</v>
      </c>
      <c r="AS206" s="8">
        <f t="shared" si="75"/>
        <v>55.871091883251509</v>
      </c>
    </row>
    <row r="207" spans="1:45">
      <c r="A207" s="19">
        <v>10.643966669999999</v>
      </c>
      <c r="B207" s="19">
        <v>981.99567609999997</v>
      </c>
      <c r="C207" s="19">
        <v>-63.09054965</v>
      </c>
      <c r="E207" s="9">
        <f t="shared" si="61"/>
        <v>21.995676099999969</v>
      </c>
      <c r="F207" s="9">
        <f t="shared" si="66"/>
        <v>476.90945034999999</v>
      </c>
      <c r="I207">
        <v>1</v>
      </c>
      <c r="J207">
        <f t="shared" si="62"/>
        <v>0.30652105468108193</v>
      </c>
      <c r="K207">
        <f t="shared" si="67"/>
        <v>1.5247077039803871</v>
      </c>
      <c r="O207">
        <f t="shared" si="68"/>
        <v>1.3902027772580454E-2</v>
      </c>
      <c r="P207">
        <f t="shared" si="69"/>
        <v>0.30142326126414437</v>
      </c>
      <c r="Q207">
        <f t="shared" si="70"/>
        <v>0.95338908699056224</v>
      </c>
      <c r="R207">
        <f t="shared" si="60"/>
        <v>1</v>
      </c>
      <c r="AG207" s="8">
        <f t="shared" si="63"/>
        <v>0.52177336122480322</v>
      </c>
      <c r="AH207" s="8">
        <f t="shared" si="64"/>
        <v>-0.20667157687867591</v>
      </c>
      <c r="AI207" s="8">
        <f t="shared" si="65"/>
        <v>0.82767108130383105</v>
      </c>
      <c r="AJ207" s="8"/>
      <c r="AK207" s="8"/>
      <c r="AL207" s="8"/>
      <c r="AN207" s="8">
        <f t="shared" si="71"/>
        <v>1.0000000000000002</v>
      </c>
      <c r="AO207" s="8">
        <f t="shared" si="72"/>
        <v>5.9060502376832726</v>
      </c>
      <c r="AP207" s="8">
        <f t="shared" si="73"/>
        <v>0.59585122232235899</v>
      </c>
      <c r="AQ207" s="8"/>
      <c r="AR207" s="8">
        <f t="shared" si="74"/>
        <v>338.39175221148821</v>
      </c>
      <c r="AS207" s="8">
        <f t="shared" si="75"/>
        <v>55.860239743217527</v>
      </c>
    </row>
    <row r="208" spans="1:45">
      <c r="A208" s="19">
        <v>10.67733333</v>
      </c>
      <c r="B208" s="19">
        <v>983.01114800000005</v>
      </c>
      <c r="C208" s="19">
        <v>-63.593610779999999</v>
      </c>
      <c r="E208" s="9">
        <f t="shared" si="61"/>
        <v>23.011148000000048</v>
      </c>
      <c r="F208" s="9">
        <f t="shared" si="66"/>
        <v>476.40638921999999</v>
      </c>
      <c r="I208">
        <v>1</v>
      </c>
      <c r="J208">
        <f t="shared" si="62"/>
        <v>0.30624462772945221</v>
      </c>
      <c r="K208">
        <f t="shared" si="67"/>
        <v>1.522532327295971</v>
      </c>
      <c r="O208">
        <f t="shared" si="68"/>
        <v>1.4544988265549745E-2</v>
      </c>
      <c r="P208">
        <f t="shared" si="69"/>
        <v>0.30112905887345631</v>
      </c>
      <c r="Q208">
        <f t="shared" si="70"/>
        <v>0.95347246065019697</v>
      </c>
      <c r="R208">
        <f t="shared" si="60"/>
        <v>1</v>
      </c>
      <c r="AG208" s="8">
        <f t="shared" si="63"/>
        <v>0.52222044091561215</v>
      </c>
      <c r="AH208" s="8">
        <f t="shared" si="64"/>
        <v>-0.2061378547457404</v>
      </c>
      <c r="AI208" s="8">
        <f t="shared" si="65"/>
        <v>0.82752220268143117</v>
      </c>
      <c r="AJ208" s="8"/>
      <c r="AK208" s="8"/>
      <c r="AL208" s="8"/>
      <c r="AN208" s="8">
        <f t="shared" si="71"/>
        <v>1</v>
      </c>
      <c r="AO208" s="8">
        <f t="shared" si="72"/>
        <v>5.907227323838252</v>
      </c>
      <c r="AP208" s="8">
        <f t="shared" si="73"/>
        <v>0.59611645028857518</v>
      </c>
      <c r="AQ208" s="8"/>
      <c r="AR208" s="8">
        <f t="shared" si="74"/>
        <v>338.45919428029185</v>
      </c>
      <c r="AS208" s="8">
        <f t="shared" si="75"/>
        <v>55.845043300144496</v>
      </c>
    </row>
    <row r="209" spans="1:45">
      <c r="A209" s="19">
        <v>10.710699999999999</v>
      </c>
      <c r="B209" s="19">
        <v>983.56035989999998</v>
      </c>
      <c r="C209" s="19">
        <v>-63.797835769999999</v>
      </c>
      <c r="E209" s="9">
        <f t="shared" si="61"/>
        <v>23.56035989999998</v>
      </c>
      <c r="F209" s="9">
        <f t="shared" si="66"/>
        <v>476.20216422999999</v>
      </c>
      <c r="I209">
        <v>1</v>
      </c>
      <c r="J209">
        <f t="shared" si="62"/>
        <v>0.30613689139790862</v>
      </c>
      <c r="K209">
        <f t="shared" si="67"/>
        <v>1.5213610954145287</v>
      </c>
      <c r="O209">
        <f t="shared" si="68"/>
        <v>1.4892593978297401E-2</v>
      </c>
      <c r="P209">
        <f t="shared" si="69"/>
        <v>0.30100921690351201</v>
      </c>
      <c r="Q209">
        <f t="shared" si="70"/>
        <v>0.95350493547948245</v>
      </c>
      <c r="R209">
        <f t="shared" si="60"/>
        <v>1</v>
      </c>
      <c r="AG209" s="8">
        <f t="shared" si="63"/>
        <v>0.52242946811509061</v>
      </c>
      <c r="AH209" s="8">
        <f t="shared" si="64"/>
        <v>-0.20583912603366833</v>
      </c>
      <c r="AI209" s="8">
        <f t="shared" si="65"/>
        <v>0.82746462464487214</v>
      </c>
      <c r="AJ209" s="8"/>
      <c r="AK209" s="8"/>
      <c r="AL209" s="8"/>
      <c r="AN209" s="8">
        <f t="shared" si="71"/>
        <v>1</v>
      </c>
      <c r="AO209" s="8">
        <f t="shared" si="72"/>
        <v>5.9078588471925624</v>
      </c>
      <c r="AP209" s="8">
        <f t="shared" si="73"/>
        <v>0.59621899803050005</v>
      </c>
      <c r="AQ209" s="8"/>
      <c r="AR209" s="8">
        <f t="shared" si="74"/>
        <v>338.49537790315776</v>
      </c>
      <c r="AS209" s="8">
        <f t="shared" si="75"/>
        <v>55.839167747333605</v>
      </c>
    </row>
    <row r="210" spans="1:45">
      <c r="A210" s="19">
        <v>10.74406667</v>
      </c>
      <c r="B210" s="19">
        <v>984.38995869999997</v>
      </c>
      <c r="C210" s="19">
        <v>-63.93805674</v>
      </c>
      <c r="E210" s="9">
        <f t="shared" si="61"/>
        <v>24.389958699999966</v>
      </c>
      <c r="F210" s="9">
        <f t="shared" si="66"/>
        <v>476.06194326000002</v>
      </c>
      <c r="I210">
        <v>1</v>
      </c>
      <c r="J210">
        <f t="shared" si="62"/>
        <v>0.30607709647826248</v>
      </c>
      <c r="K210">
        <f t="shared" si="67"/>
        <v>1.5196083394932502</v>
      </c>
      <c r="O210">
        <f t="shared" si="68"/>
        <v>1.5417249295700458E-2</v>
      </c>
      <c r="P210">
        <f t="shared" si="69"/>
        <v>0.30092571085145114</v>
      </c>
      <c r="Q210">
        <f t="shared" si="70"/>
        <v>0.95352295461236958</v>
      </c>
      <c r="R210">
        <f t="shared" si="60"/>
        <v>1</v>
      </c>
      <c r="AG210" s="8">
        <f t="shared" si="63"/>
        <v>0.52266402552343283</v>
      </c>
      <c r="AH210" s="8">
        <f t="shared" si="64"/>
        <v>-0.20536304406262659</v>
      </c>
      <c r="AI210" s="8">
        <f t="shared" si="65"/>
        <v>0.82743479293354105</v>
      </c>
      <c r="AJ210" s="8"/>
      <c r="AK210" s="8"/>
      <c r="AL210" s="8"/>
      <c r="AN210" s="8">
        <f t="shared" si="71"/>
        <v>1</v>
      </c>
      <c r="AO210" s="8">
        <f t="shared" si="72"/>
        <v>5.9088007278664687</v>
      </c>
      <c r="AP210" s="8">
        <f t="shared" si="73"/>
        <v>0.59627212286657216</v>
      </c>
      <c r="AQ210" s="8"/>
      <c r="AR210" s="8">
        <f t="shared" si="74"/>
        <v>338.54934369057753</v>
      </c>
      <c r="AS210" s="8">
        <f t="shared" si="75"/>
        <v>55.836123918439348</v>
      </c>
    </row>
    <row r="211" spans="1:45">
      <c r="A211" s="19">
        <v>10.777433329999999</v>
      </c>
      <c r="B211" s="19">
        <v>985.16477840000005</v>
      </c>
      <c r="C211" s="19">
        <v>-65.119231009999993</v>
      </c>
      <c r="E211" s="9">
        <f t="shared" si="61"/>
        <v>25.164778400000046</v>
      </c>
      <c r="F211" s="9">
        <f t="shared" si="66"/>
        <v>474.88076898999998</v>
      </c>
      <c r="I211">
        <v>1</v>
      </c>
      <c r="J211">
        <f t="shared" si="62"/>
        <v>0.30538410480265404</v>
      </c>
      <c r="K211">
        <f t="shared" si="67"/>
        <v>1.5178540635250486</v>
      </c>
      <c r="O211">
        <f t="shared" si="68"/>
        <v>1.5910161186259122E-2</v>
      </c>
      <c r="P211">
        <f t="shared" si="69"/>
        <v>0.30023827187310242</v>
      </c>
      <c r="Q211">
        <f t="shared" si="70"/>
        <v>0.95373153815614187</v>
      </c>
      <c r="R211">
        <f t="shared" si="60"/>
        <v>1</v>
      </c>
      <c r="AG211" s="8">
        <f t="shared" si="63"/>
        <v>0.52338895270655073</v>
      </c>
      <c r="AH211" s="8">
        <f t="shared" si="64"/>
        <v>-0.20507273471689846</v>
      </c>
      <c r="AI211" s="8">
        <f t="shared" si="65"/>
        <v>0.82704847358572198</v>
      </c>
      <c r="AJ211" s="8"/>
      <c r="AK211" s="8"/>
      <c r="AL211" s="8"/>
      <c r="AN211" s="8">
        <f t="shared" si="71"/>
        <v>1</v>
      </c>
      <c r="AO211" s="8">
        <f t="shared" si="72"/>
        <v>5.9097530087934969</v>
      </c>
      <c r="AP211" s="8">
        <f t="shared" si="73"/>
        <v>0.59695971197325903</v>
      </c>
      <c r="AQ211" s="8"/>
      <c r="AR211" s="8">
        <f t="shared" si="74"/>
        <v>338.60390536860706</v>
      </c>
      <c r="AS211" s="8">
        <f t="shared" si="75"/>
        <v>55.796727964587021</v>
      </c>
    </row>
    <row r="212" spans="1:45">
      <c r="A212" s="19">
        <v>10.8108</v>
      </c>
      <c r="B212" s="19">
        <v>985.4432845</v>
      </c>
      <c r="C212" s="19">
        <v>-65.133682879999995</v>
      </c>
      <c r="E212" s="9">
        <f t="shared" si="61"/>
        <v>25.443284500000004</v>
      </c>
      <c r="F212" s="9">
        <f t="shared" si="66"/>
        <v>474.86631712000002</v>
      </c>
      <c r="I212">
        <v>1</v>
      </c>
      <c r="J212">
        <f t="shared" si="62"/>
        <v>0.30538434087224381</v>
      </c>
      <c r="K212">
        <f t="shared" si="67"/>
        <v>1.5172676222502655</v>
      </c>
      <c r="O212">
        <f t="shared" si="68"/>
        <v>1.608624260127724E-2</v>
      </c>
      <c r="P212">
        <f t="shared" si="69"/>
        <v>0.30022911469497504</v>
      </c>
      <c r="Q212">
        <f t="shared" si="70"/>
        <v>0.95373146717954338</v>
      </c>
      <c r="R212">
        <f t="shared" si="60"/>
        <v>1</v>
      </c>
      <c r="AG212" s="8">
        <f t="shared" si="63"/>
        <v>0.52345190829067567</v>
      </c>
      <c r="AH212" s="8">
        <f t="shared" si="64"/>
        <v>-0.20490804056856554</v>
      </c>
      <c r="AI212" s="8">
        <f t="shared" si="65"/>
        <v>0.82704945113167283</v>
      </c>
      <c r="AJ212" s="8"/>
      <c r="AK212" s="8"/>
      <c r="AL212" s="8"/>
      <c r="AN212" s="8">
        <f t="shared" si="71"/>
        <v>1</v>
      </c>
      <c r="AO212" s="8">
        <f t="shared" si="72"/>
        <v>5.9100666565953031</v>
      </c>
      <c r="AP212" s="8">
        <f t="shared" si="73"/>
        <v>0.59695797296957454</v>
      </c>
      <c r="AQ212" s="8"/>
      <c r="AR212" s="8">
        <f t="shared" si="74"/>
        <v>338.6218760639041</v>
      </c>
      <c r="AS212" s="8">
        <f t="shared" si="75"/>
        <v>55.7968276021587</v>
      </c>
    </row>
    <row r="213" spans="1:45">
      <c r="A213" s="19">
        <v>10.84416667</v>
      </c>
      <c r="B213" s="19">
        <v>986.22095760000002</v>
      </c>
      <c r="C213" s="19">
        <v>-65.26746507</v>
      </c>
      <c r="E213" s="9">
        <f t="shared" si="61"/>
        <v>26.22095760000002</v>
      </c>
      <c r="F213" s="9">
        <f t="shared" si="66"/>
        <v>474.73253492999999</v>
      </c>
      <c r="I213">
        <v>1</v>
      </c>
      <c r="J213">
        <f t="shared" si="62"/>
        <v>0.30532876948449583</v>
      </c>
      <c r="K213">
        <f t="shared" si="67"/>
        <v>1.5156192738111094</v>
      </c>
      <c r="O213">
        <f t="shared" si="68"/>
        <v>1.6578179780449953E-2</v>
      </c>
      <c r="P213">
        <f t="shared" si="69"/>
        <v>0.30014927111961326</v>
      </c>
      <c r="Q213">
        <f t="shared" si="70"/>
        <v>0.95374817378673493</v>
      </c>
      <c r="R213">
        <f t="shared" si="60"/>
        <v>1</v>
      </c>
      <c r="AG213" s="8">
        <f t="shared" si="63"/>
        <v>0.52367262461022457</v>
      </c>
      <c r="AH213" s="8">
        <f t="shared" si="64"/>
        <v>-0.20446185430443131</v>
      </c>
      <c r="AI213" s="8">
        <f t="shared" si="65"/>
        <v>0.82702015233501547</v>
      </c>
      <c r="AJ213" s="8"/>
      <c r="AK213" s="8"/>
      <c r="AL213" s="8"/>
      <c r="AN213" s="8">
        <f t="shared" si="71"/>
        <v>0.99999999999999989</v>
      </c>
      <c r="AO213" s="8">
        <f t="shared" si="72"/>
        <v>5.9109488457833201</v>
      </c>
      <c r="AP213" s="8">
        <f t="shared" si="73"/>
        <v>0.59701009208179956</v>
      </c>
      <c r="AQ213" s="8"/>
      <c r="AR213" s="8">
        <f t="shared" si="74"/>
        <v>338.67242178110956</v>
      </c>
      <c r="AS213" s="8">
        <f t="shared" si="75"/>
        <v>55.793841396996235</v>
      </c>
    </row>
    <row r="214" spans="1:45">
      <c r="A214" s="19">
        <v>10.87753333</v>
      </c>
      <c r="B214" s="19">
        <v>986.86063239999999</v>
      </c>
      <c r="C214" s="19">
        <v>-65.458557949999999</v>
      </c>
      <c r="E214" s="9">
        <f t="shared" si="61"/>
        <v>26.860632399999986</v>
      </c>
      <c r="F214" s="9">
        <f t="shared" si="66"/>
        <v>474.54144205</v>
      </c>
      <c r="I214">
        <v>1</v>
      </c>
      <c r="J214">
        <f t="shared" si="62"/>
        <v>0.30523441021679321</v>
      </c>
      <c r="K214">
        <f t="shared" si="67"/>
        <v>1.5142533182449414</v>
      </c>
      <c r="O214">
        <f t="shared" si="68"/>
        <v>1.6983068802980877E-2</v>
      </c>
      <c r="P214">
        <f t="shared" si="69"/>
        <v>0.300036493563752</v>
      </c>
      <c r="Q214">
        <f t="shared" si="70"/>
        <v>0.95377653457400691</v>
      </c>
      <c r="R214">
        <f t="shared" si="60"/>
        <v>1</v>
      </c>
      <c r="AG214" s="8">
        <f t="shared" si="63"/>
        <v>0.52389313085185585</v>
      </c>
      <c r="AH214" s="8">
        <f t="shared" si="64"/>
        <v>-0.20410669411139928</v>
      </c>
      <c r="AI214" s="8">
        <f t="shared" si="65"/>
        <v>0.8269682248219431</v>
      </c>
      <c r="AJ214" s="8"/>
      <c r="AK214" s="8"/>
      <c r="AL214" s="8"/>
      <c r="AN214" s="8">
        <f t="shared" si="71"/>
        <v>0.99999999999999989</v>
      </c>
      <c r="AO214" s="8">
        <f t="shared" si="72"/>
        <v>5.9116799023552362</v>
      </c>
      <c r="AP214" s="8">
        <f t="shared" si="73"/>
        <v>0.59710245520206184</v>
      </c>
      <c r="AQ214" s="8"/>
      <c r="AR214" s="8">
        <f t="shared" si="74"/>
        <v>338.71430823726564</v>
      </c>
      <c r="AS214" s="8">
        <f t="shared" si="75"/>
        <v>55.788549380022552</v>
      </c>
    </row>
    <row r="215" spans="1:45">
      <c r="A215" s="19">
        <v>10.9109</v>
      </c>
      <c r="B215" s="19">
        <v>987.51714270000002</v>
      </c>
      <c r="C215" s="19">
        <v>-65.660760150000002</v>
      </c>
      <c r="E215" s="9">
        <f t="shared" si="61"/>
        <v>27.517142700000022</v>
      </c>
      <c r="F215" s="9">
        <f t="shared" si="66"/>
        <v>474.33923985000001</v>
      </c>
      <c r="I215">
        <v>1</v>
      </c>
      <c r="J215">
        <f t="shared" si="62"/>
        <v>0.30513442999925677</v>
      </c>
      <c r="K215">
        <f t="shared" si="67"/>
        <v>1.512849746758397</v>
      </c>
      <c r="O215">
        <f t="shared" si="68"/>
        <v>1.7398651892963513E-2</v>
      </c>
      <c r="P215">
        <f t="shared" si="69"/>
        <v>0.29991716085126374</v>
      </c>
      <c r="Q215">
        <f t="shared" si="70"/>
        <v>0.95380657553784176</v>
      </c>
      <c r="R215">
        <f t="shared" si="60"/>
        <v>1</v>
      </c>
      <c r="AG215" s="8">
        <f t="shared" si="63"/>
        <v>0.52412228208971068</v>
      </c>
      <c r="AH215" s="8">
        <f t="shared" si="64"/>
        <v>-0.20374301996262834</v>
      </c>
      <c r="AI215" s="8">
        <f t="shared" si="65"/>
        <v>0.82691270109581816</v>
      </c>
      <c r="AJ215" s="8"/>
      <c r="AK215" s="8"/>
      <c r="AL215" s="8"/>
      <c r="AN215" s="8">
        <f t="shared" si="71"/>
        <v>1</v>
      </c>
      <c r="AO215" s="8">
        <f t="shared" si="72"/>
        <v>5.9124304419782989</v>
      </c>
      <c r="AP215" s="8">
        <f t="shared" si="73"/>
        <v>0.5972012010034109</v>
      </c>
      <c r="AQ215" s="8"/>
      <c r="AR215" s="8">
        <f t="shared" si="74"/>
        <v>338.75731099002451</v>
      </c>
      <c r="AS215" s="8">
        <f t="shared" si="75"/>
        <v>55.782891662360612</v>
      </c>
    </row>
    <row r="216" spans="1:45">
      <c r="A216" s="19">
        <v>10.944266669999999</v>
      </c>
      <c r="B216" s="19">
        <v>988.32928579999998</v>
      </c>
      <c r="C216" s="19">
        <v>-65.888453999999996</v>
      </c>
      <c r="E216" s="9">
        <f t="shared" si="61"/>
        <v>28.32928579999998</v>
      </c>
      <c r="F216" s="9">
        <f t="shared" si="66"/>
        <v>474.11154599999998</v>
      </c>
      <c r="I216">
        <v>1</v>
      </c>
      <c r="J216">
        <f t="shared" si="62"/>
        <v>0.30502516192234702</v>
      </c>
      <c r="K216">
        <f t="shared" si="67"/>
        <v>1.5111149227635439</v>
      </c>
      <c r="O216">
        <f t="shared" si="68"/>
        <v>1.7912712490007313E-2</v>
      </c>
      <c r="P216">
        <f t="shared" si="69"/>
        <v>0.29978248910499783</v>
      </c>
      <c r="Q216">
        <f t="shared" si="70"/>
        <v>0.95383939631222103</v>
      </c>
      <c r="R216">
        <f t="shared" si="60"/>
        <v>1</v>
      </c>
      <c r="AG216" s="8">
        <f t="shared" si="63"/>
        <v>0.52439481846534364</v>
      </c>
      <c r="AH216" s="8">
        <f t="shared" si="64"/>
        <v>-0.20328975811882621</v>
      </c>
      <c r="AI216" s="8">
        <f t="shared" si="65"/>
        <v>0.82685146707899626</v>
      </c>
      <c r="AJ216" s="8"/>
      <c r="AK216" s="8"/>
      <c r="AL216" s="8"/>
      <c r="AN216" s="8">
        <f t="shared" si="71"/>
        <v>1</v>
      </c>
      <c r="AO216" s="8">
        <f t="shared" si="72"/>
        <v>5.9133571683577832</v>
      </c>
      <c r="AP216" s="8">
        <f t="shared" si="73"/>
        <v>0.59731008560962062</v>
      </c>
      <c r="AQ216" s="8"/>
      <c r="AR216" s="8">
        <f t="shared" si="74"/>
        <v>338.81040850033236</v>
      </c>
      <c r="AS216" s="8">
        <f t="shared" si="75"/>
        <v>55.776653033970852</v>
      </c>
    </row>
    <row r="217" spans="1:45">
      <c r="A217" s="19">
        <v>10.97763333</v>
      </c>
      <c r="B217" s="19">
        <v>989.36303659999999</v>
      </c>
      <c r="C217" s="19">
        <v>-66.585914450000004</v>
      </c>
      <c r="E217" s="9">
        <f t="shared" si="61"/>
        <v>29.363036599999987</v>
      </c>
      <c r="F217" s="9">
        <f t="shared" si="66"/>
        <v>473.41408554999998</v>
      </c>
      <c r="I217">
        <v>1</v>
      </c>
      <c r="J217">
        <f t="shared" si="62"/>
        <v>0.30463969915626998</v>
      </c>
      <c r="K217">
        <f t="shared" si="67"/>
        <v>1.5088516758175452</v>
      </c>
      <c r="O217">
        <f t="shared" si="68"/>
        <v>1.8568385855251082E-2</v>
      </c>
      <c r="P217">
        <f t="shared" si="69"/>
        <v>0.29937419380539271</v>
      </c>
      <c r="Q217">
        <f t="shared" si="70"/>
        <v>0.95395508653715022</v>
      </c>
      <c r="R217">
        <f t="shared" si="60"/>
        <v>1</v>
      </c>
      <c r="AG217" s="8">
        <f t="shared" si="63"/>
        <v>0.52493795432594015</v>
      </c>
      <c r="AH217" s="8">
        <f t="shared" si="64"/>
        <v>-0.20277242443266519</v>
      </c>
      <c r="AI217" s="8">
        <f t="shared" si="65"/>
        <v>0.82663382945400699</v>
      </c>
      <c r="AJ217" s="8"/>
      <c r="AK217" s="8"/>
      <c r="AL217" s="8"/>
      <c r="AN217" s="8">
        <f t="shared" si="71"/>
        <v>1</v>
      </c>
      <c r="AO217" s="8">
        <f t="shared" si="72"/>
        <v>5.9145631883859746</v>
      </c>
      <c r="AP217" s="8">
        <f t="shared" si="73"/>
        <v>0.59769694173536869</v>
      </c>
      <c r="AQ217" s="8"/>
      <c r="AR217" s="8">
        <f t="shared" si="74"/>
        <v>338.87950835795601</v>
      </c>
      <c r="AS217" s="8">
        <f t="shared" si="75"/>
        <v>55.754487810686705</v>
      </c>
    </row>
    <row r="218" spans="1:45">
      <c r="A218" s="19">
        <v>11.010999999999999</v>
      </c>
      <c r="B218" s="19">
        <v>990.24672889999999</v>
      </c>
      <c r="C218" s="19">
        <v>-67.089710400000001</v>
      </c>
      <c r="E218" s="9">
        <f t="shared" si="61"/>
        <v>30.246728899999994</v>
      </c>
      <c r="F218" s="9">
        <f t="shared" si="66"/>
        <v>472.9102896</v>
      </c>
      <c r="I218">
        <v>1</v>
      </c>
      <c r="J218">
        <f t="shared" si="62"/>
        <v>0.30436744601203353</v>
      </c>
      <c r="K218">
        <f t="shared" si="67"/>
        <v>1.5069246223532236</v>
      </c>
      <c r="O218">
        <f t="shared" si="68"/>
        <v>1.9128683080984449E-2</v>
      </c>
      <c r="P218">
        <f t="shared" si="69"/>
        <v>0.29907865691535956</v>
      </c>
      <c r="Q218">
        <f t="shared" si="70"/>
        <v>0.95403671337181351</v>
      </c>
      <c r="R218">
        <f t="shared" si="60"/>
        <v>1</v>
      </c>
      <c r="AG218" s="8">
        <f t="shared" si="63"/>
        <v>0.52535754666754197</v>
      </c>
      <c r="AH218" s="8">
        <f t="shared" si="64"/>
        <v>-0.20231646339561743</v>
      </c>
      <c r="AI218" s="8">
        <f t="shared" si="65"/>
        <v>0.82647897541229165</v>
      </c>
      <c r="AJ218" s="8"/>
      <c r="AK218" s="8"/>
      <c r="AL218" s="8"/>
      <c r="AN218" s="8">
        <f t="shared" si="71"/>
        <v>1.0000000000000002</v>
      </c>
      <c r="AO218" s="8">
        <f t="shared" si="72"/>
        <v>5.9155872681759458</v>
      </c>
      <c r="AP218" s="8">
        <f t="shared" si="73"/>
        <v>0.59797206472049058</v>
      </c>
      <c r="AQ218" s="8"/>
      <c r="AR218" s="8">
        <f t="shared" si="74"/>
        <v>338.93818380780596</v>
      </c>
      <c r="AS218" s="8">
        <f t="shared" si="75"/>
        <v>55.738724424792181</v>
      </c>
    </row>
    <row r="219" spans="1:45">
      <c r="A219" s="19">
        <v>11.04436667</v>
      </c>
      <c r="B219" s="19">
        <v>990.04396380000003</v>
      </c>
      <c r="C219" s="19">
        <v>-66.889277230000005</v>
      </c>
      <c r="E219" s="9">
        <f t="shared" si="61"/>
        <v>30.043963800000029</v>
      </c>
      <c r="F219" s="9">
        <f t="shared" si="66"/>
        <v>473.11072277</v>
      </c>
      <c r="I219">
        <v>1</v>
      </c>
      <c r="J219">
        <f t="shared" si="62"/>
        <v>0.30448136449605334</v>
      </c>
      <c r="K219">
        <f t="shared" si="67"/>
        <v>1.5073784536669794</v>
      </c>
      <c r="O219">
        <f t="shared" si="68"/>
        <v>1.8999837521297819E-2</v>
      </c>
      <c r="P219">
        <f t="shared" si="69"/>
        <v>0.29919576930836844</v>
      </c>
      <c r="Q219">
        <f t="shared" si="70"/>
        <v>0.95400256697879893</v>
      </c>
      <c r="R219">
        <f t="shared" ref="R219:R282" si="76">SQRT(O219^2+P219^2+Q219^2)</f>
        <v>1</v>
      </c>
      <c r="AG219" s="8">
        <f t="shared" si="63"/>
        <v>0.52522040249780599</v>
      </c>
      <c r="AH219" s="8">
        <f t="shared" si="64"/>
        <v>-0.20240867339725893</v>
      </c>
      <c r="AI219" s="8">
        <f t="shared" si="65"/>
        <v>0.82654356069937673</v>
      </c>
      <c r="AJ219" s="8"/>
      <c r="AK219" s="8"/>
      <c r="AL219" s="8"/>
      <c r="AN219" s="8">
        <f t="shared" si="71"/>
        <v>0.99999999999999978</v>
      </c>
      <c r="AO219" s="8">
        <f t="shared" si="72"/>
        <v>5.9153468302928989</v>
      </c>
      <c r="AP219" s="8">
        <f t="shared" si="73"/>
        <v>0.59785733213462455</v>
      </c>
      <c r="AQ219" s="8"/>
      <c r="AR219" s="8">
        <f t="shared" si="74"/>
        <v>338.92440773187235</v>
      </c>
      <c r="AS219" s="8">
        <f t="shared" si="75"/>
        <v>55.745298117734926</v>
      </c>
    </row>
    <row r="220" spans="1:45">
      <c r="A220" s="19">
        <v>11.077733329999999</v>
      </c>
      <c r="B220" s="19">
        <v>991.3750953</v>
      </c>
      <c r="C220" s="19">
        <v>-67.228891110000006</v>
      </c>
      <c r="E220" s="9">
        <f t="shared" si="61"/>
        <v>31.375095299999998</v>
      </c>
      <c r="F220" s="9">
        <f t="shared" si="66"/>
        <v>472.77110888999999</v>
      </c>
      <c r="I220">
        <v>1</v>
      </c>
      <c r="J220">
        <f t="shared" si="62"/>
        <v>0.30432756053176963</v>
      </c>
      <c r="K220">
        <f t="shared" si="67"/>
        <v>1.5045292576239273</v>
      </c>
      <c r="O220">
        <f t="shared" si="68"/>
        <v>1.9842510204711835E-2</v>
      </c>
      <c r="P220">
        <f t="shared" si="69"/>
        <v>0.29899400983310348</v>
      </c>
      <c r="Q220">
        <f t="shared" si="70"/>
        <v>0.95404866588277237</v>
      </c>
      <c r="R220">
        <f t="shared" si="76"/>
        <v>1</v>
      </c>
      <c r="AG220" s="8">
        <f t="shared" si="63"/>
        <v>0.52565015395342574</v>
      </c>
      <c r="AH220" s="8">
        <f t="shared" si="64"/>
        <v>-0.20166027850375789</v>
      </c>
      <c r="AI220" s="8">
        <f t="shared" si="65"/>
        <v>0.82645329433823811</v>
      </c>
      <c r="AJ220" s="8"/>
      <c r="AK220" s="8"/>
      <c r="AL220" s="8"/>
      <c r="AN220" s="8">
        <f t="shared" si="71"/>
        <v>0.99999999999999989</v>
      </c>
      <c r="AO220" s="8">
        <f t="shared" si="72"/>
        <v>5.9168616846950952</v>
      </c>
      <c r="AP220" s="8">
        <f t="shared" si="73"/>
        <v>0.59801768051582049</v>
      </c>
      <c r="AQ220" s="8"/>
      <c r="AR220" s="8">
        <f t="shared" si="74"/>
        <v>339.01120249569499</v>
      </c>
      <c r="AS220" s="8">
        <f t="shared" si="75"/>
        <v>55.736110832240641</v>
      </c>
    </row>
    <row r="221" spans="1:45">
      <c r="A221" s="19">
        <v>11.1111</v>
      </c>
      <c r="B221" s="19">
        <v>991.53050150000001</v>
      </c>
      <c r="C221" s="19">
        <v>-67.353688939999998</v>
      </c>
      <c r="E221" s="9">
        <f t="shared" si="61"/>
        <v>31.530501500000014</v>
      </c>
      <c r="F221" s="9">
        <f t="shared" si="66"/>
        <v>472.64631106000002</v>
      </c>
      <c r="I221">
        <v>1</v>
      </c>
      <c r="J221">
        <f t="shared" si="62"/>
        <v>0.30425803131916745</v>
      </c>
      <c r="K221">
        <f t="shared" si="67"/>
        <v>1.5041844610671633</v>
      </c>
      <c r="O221">
        <f t="shared" si="68"/>
        <v>1.994118569870645E-2</v>
      </c>
      <c r="P221">
        <f t="shared" si="69"/>
        <v>0.29892096256876916</v>
      </c>
      <c r="Q221">
        <f t="shared" si="70"/>
        <v>0.95406949812363784</v>
      </c>
      <c r="R221">
        <f t="shared" si="76"/>
        <v>1</v>
      </c>
      <c r="AG221" s="8">
        <f t="shared" si="63"/>
        <v>0.52574133689505076</v>
      </c>
      <c r="AH221" s="8">
        <f t="shared" si="64"/>
        <v>-0.20158534747192347</v>
      </c>
      <c r="AI221" s="8">
        <f t="shared" si="65"/>
        <v>0.8264135734391278</v>
      </c>
      <c r="AJ221" s="8"/>
      <c r="AK221" s="8"/>
      <c r="AL221" s="8"/>
      <c r="AN221" s="8">
        <f t="shared" si="71"/>
        <v>1</v>
      </c>
      <c r="AO221" s="8">
        <f t="shared" si="72"/>
        <v>5.917043937277799</v>
      </c>
      <c r="AP221" s="8">
        <f t="shared" si="73"/>
        <v>0.59808822841916331</v>
      </c>
      <c r="AQ221" s="8"/>
      <c r="AR221" s="8">
        <f t="shared" si="74"/>
        <v>339.02164479948925</v>
      </c>
      <c r="AS221" s="8">
        <f t="shared" si="75"/>
        <v>55.732068735125601</v>
      </c>
    </row>
    <row r="222" spans="1:45">
      <c r="A222" s="19">
        <v>11.14446667</v>
      </c>
      <c r="B222" s="19">
        <v>992.52128110000001</v>
      </c>
      <c r="C222" s="19">
        <v>-68.027580290000003</v>
      </c>
      <c r="E222" s="9">
        <f t="shared" si="61"/>
        <v>32.52128110000001</v>
      </c>
      <c r="F222" s="9">
        <f t="shared" si="66"/>
        <v>471.97241971</v>
      </c>
      <c r="I222">
        <v>1</v>
      </c>
      <c r="J222">
        <f t="shared" si="62"/>
        <v>0.30388945835801762</v>
      </c>
      <c r="K222">
        <f t="shared" si="67"/>
        <v>1.5020000231330253</v>
      </c>
      <c r="O222">
        <f t="shared" si="68"/>
        <v>2.0569937749708465E-2</v>
      </c>
      <c r="P222">
        <f t="shared" si="69"/>
        <v>0.29852585644339696</v>
      </c>
      <c r="Q222">
        <f t="shared" si="70"/>
        <v>0.95417985238408254</v>
      </c>
      <c r="R222">
        <f t="shared" si="76"/>
        <v>1</v>
      </c>
      <c r="AG222" s="8">
        <f t="shared" si="63"/>
        <v>0.52626388230292398</v>
      </c>
      <c r="AH222" s="8">
        <f t="shared" si="64"/>
        <v>-0.20108969092899337</v>
      </c>
      <c r="AI222" s="8">
        <f t="shared" si="65"/>
        <v>0.82620170805048343</v>
      </c>
      <c r="AJ222" s="8"/>
      <c r="AK222" s="8"/>
      <c r="AL222" s="8"/>
      <c r="AN222" s="8">
        <f t="shared" si="71"/>
        <v>1</v>
      </c>
      <c r="AO222" s="8">
        <f t="shared" si="72"/>
        <v>5.9181974892638758</v>
      </c>
      <c r="AP222" s="8">
        <f t="shared" si="73"/>
        <v>0.59846439716401389</v>
      </c>
      <c r="AQ222" s="8"/>
      <c r="AR222" s="8">
        <f t="shared" si="74"/>
        <v>339.08773845974042</v>
      </c>
      <c r="AS222" s="8">
        <f t="shared" si="75"/>
        <v>55.71051585366093</v>
      </c>
    </row>
    <row r="223" spans="1:45">
      <c r="A223" s="19">
        <v>11.17783333</v>
      </c>
      <c r="B223" s="19">
        <v>993.5266815</v>
      </c>
      <c r="C223" s="19">
        <v>-68.33249601</v>
      </c>
      <c r="E223" s="9">
        <f t="shared" si="61"/>
        <v>33.526681499999995</v>
      </c>
      <c r="F223" s="9">
        <f t="shared" si="66"/>
        <v>471.66750399</v>
      </c>
      <c r="I223">
        <v>1</v>
      </c>
      <c r="J223">
        <f t="shared" si="62"/>
        <v>0.30374697312940457</v>
      </c>
      <c r="K223">
        <f t="shared" si="67"/>
        <v>1.4998345011886394</v>
      </c>
      <c r="O223">
        <f t="shared" si="68"/>
        <v>2.1206713462071942E-2</v>
      </c>
      <c r="P223">
        <f t="shared" si="69"/>
        <v>0.29834499446318874</v>
      </c>
      <c r="Q223">
        <f t="shared" si="70"/>
        <v>0.9542224790806898</v>
      </c>
      <c r="R223">
        <f t="shared" si="76"/>
        <v>1</v>
      </c>
      <c r="AG223" s="8">
        <f t="shared" si="63"/>
        <v>0.52661132063417937</v>
      </c>
      <c r="AH223" s="8">
        <f t="shared" si="64"/>
        <v>-0.2005311522454904</v>
      </c>
      <c r="AI223" s="8">
        <f t="shared" si="65"/>
        <v>0.82611607777540663</v>
      </c>
      <c r="AJ223" s="8"/>
      <c r="AK223" s="8"/>
      <c r="AL223" s="8"/>
      <c r="AN223" s="8">
        <f t="shared" si="71"/>
        <v>1.0000000000000002</v>
      </c>
      <c r="AO223" s="8">
        <f t="shared" si="72"/>
        <v>5.9193434710983128</v>
      </c>
      <c r="AP223" s="8">
        <f t="shared" si="73"/>
        <v>0.59861637554771641</v>
      </c>
      <c r="AQ223" s="8"/>
      <c r="AR223" s="8">
        <f t="shared" si="74"/>
        <v>339.15339838225231</v>
      </c>
      <c r="AS223" s="8">
        <f t="shared" si="75"/>
        <v>55.701808133697554</v>
      </c>
    </row>
    <row r="224" spans="1:45">
      <c r="A224" s="19">
        <v>11.2112</v>
      </c>
      <c r="B224" s="19">
        <v>994.3849093</v>
      </c>
      <c r="C224" s="19">
        <v>-68.898531329999997</v>
      </c>
      <c r="E224" s="9">
        <f t="shared" ref="E224:E287" si="77">(B224-($B$15/2))</f>
        <v>34.384909300000004</v>
      </c>
      <c r="F224" s="9">
        <f t="shared" si="66"/>
        <v>471.10146867000003</v>
      </c>
      <c r="I224">
        <v>1</v>
      </c>
      <c r="J224">
        <f t="shared" ref="J224:J287" si="78">ATAN((SQRT(E224^2+F224^2)^$B$16)/($F$24))</f>
        <v>0.30344066839489964</v>
      </c>
      <c r="K224">
        <f t="shared" si="67"/>
        <v>1.4979371945708893</v>
      </c>
      <c r="O224">
        <f t="shared" si="68"/>
        <v>2.1751449224351668E-2</v>
      </c>
      <c r="P224">
        <f t="shared" si="69"/>
        <v>0.29801270045208467</v>
      </c>
      <c r="Q224">
        <f t="shared" si="70"/>
        <v>0.95431404937048714</v>
      </c>
      <c r="R224">
        <f t="shared" si="76"/>
        <v>1</v>
      </c>
      <c r="AG224" s="8">
        <f t="shared" ref="AG224:AG287" si="79">$O224*$Z$27+$P224*$Z$31+$Q224*$Z$35</f>
        <v>0.52705509451176713</v>
      </c>
      <c r="AH224" s="8">
        <f t="shared" ref="AH224:AH287" si="80">$O224*$AA$27+$P224*$AA$31+$Q224*$AA$35</f>
        <v>-0.20009889410927223</v>
      </c>
      <c r="AI224" s="8">
        <f t="shared" ref="AI224:AI287" si="81">$AB$27*$O224+$P224*$AB$31+$AB$35*$Q224</f>
        <v>0.82593786686738047</v>
      </c>
      <c r="AJ224" s="8"/>
      <c r="AK224" s="8"/>
      <c r="AL224" s="8"/>
      <c r="AN224" s="8">
        <f t="shared" si="71"/>
        <v>1.0000000000000002</v>
      </c>
      <c r="AO224" s="8">
        <f t="shared" si="72"/>
        <v>5.9203401443747135</v>
      </c>
      <c r="AP224" s="8">
        <f t="shared" si="73"/>
        <v>0.59893255944012791</v>
      </c>
      <c r="AQ224" s="8"/>
      <c r="AR224" s="8">
        <f t="shared" si="74"/>
        <v>339.21050355454355</v>
      </c>
      <c r="AS224" s="8">
        <f t="shared" si="75"/>
        <v>55.683692131112359</v>
      </c>
    </row>
    <row r="225" spans="1:45">
      <c r="A225" s="19">
        <v>11.244566669999999</v>
      </c>
      <c r="B225" s="19">
        <v>995.59716360000004</v>
      </c>
      <c r="C225" s="19">
        <v>-68.901287199999999</v>
      </c>
      <c r="E225" s="9">
        <f t="shared" si="77"/>
        <v>35.597163600000044</v>
      </c>
      <c r="F225" s="9">
        <f t="shared" ref="F225:F288" si="82">(($C$15/2)+C225)</f>
        <v>471.09871279999999</v>
      </c>
      <c r="I225">
        <v>1</v>
      </c>
      <c r="J225">
        <f t="shared" si="78"/>
        <v>0.30349368820150779</v>
      </c>
      <c r="K225">
        <f t="shared" ref="K225:K288" si="83">ATAN2(E225,F225)</f>
        <v>1.4953776405112837</v>
      </c>
      <c r="O225">
        <f t="shared" ref="O225:O288" si="84">COS(K225)*SIN(J225)</f>
        <v>2.2517969110760837E-2</v>
      </c>
      <c r="P225">
        <f t="shared" ref="P225:P288" si="85">SIN(K225)*SIN(J225)</f>
        <v>0.29800650361225867</v>
      </c>
      <c r="Q225">
        <f t="shared" ref="Q225:Q288" si="86">COS(J225)</f>
        <v>0.9542982054221435</v>
      </c>
      <c r="R225">
        <f t="shared" si="76"/>
        <v>1</v>
      </c>
      <c r="AG225" s="8">
        <f t="shared" si="79"/>
        <v>0.5272976458174139</v>
      </c>
      <c r="AH225" s="8">
        <f t="shared" si="80"/>
        <v>-0.19937186592539891</v>
      </c>
      <c r="AI225" s="8">
        <f t="shared" si="81"/>
        <v>0.82595886809988173</v>
      </c>
      <c r="AJ225" s="8"/>
      <c r="AK225" s="8"/>
      <c r="AL225" s="8"/>
      <c r="AN225" s="8">
        <f t="shared" ref="AN225:AN288" si="87">AG225^2+AH225^2+AI225^2</f>
        <v>1</v>
      </c>
      <c r="AO225" s="8">
        <f t="shared" ref="AO225:AO288" si="88">IF(ATAN2(AG225,AH225)&gt;=0,ATAN2(AG225,AH225),ATAN2(AG225,AH225)+2*PI())</f>
        <v>5.9216985637084658</v>
      </c>
      <c r="AP225" s="8">
        <f t="shared" ref="AP225:AP288" si="89">ACOS(AI225/AN225)</f>
        <v>0.59889530642007316</v>
      </c>
      <c r="AQ225" s="8"/>
      <c r="AR225" s="8">
        <f t="shared" ref="AR225:AR288" si="90">DEGREES(AO225)</f>
        <v>339.28833524917655</v>
      </c>
      <c r="AS225" s="8">
        <f t="shared" ref="AS225:AS288" si="91">90-DEGREES(AP225)</f>
        <v>55.685826571935614</v>
      </c>
    </row>
    <row r="226" spans="1:45">
      <c r="A226" s="19">
        <v>11.27793333</v>
      </c>
      <c r="B226" s="19">
        <v>995.50435259999995</v>
      </c>
      <c r="C226" s="19">
        <v>-69.060066660000004</v>
      </c>
      <c r="E226" s="9">
        <f t="shared" si="77"/>
        <v>35.504352599999947</v>
      </c>
      <c r="F226" s="9">
        <f t="shared" si="82"/>
        <v>470.93993333999998</v>
      </c>
      <c r="I226">
        <v>1</v>
      </c>
      <c r="J226">
        <f t="shared" si="78"/>
        <v>0.30339299214040844</v>
      </c>
      <c r="K226">
        <f t="shared" si="83"/>
        <v>1.4955482685290493</v>
      </c>
      <c r="O226">
        <f t="shared" si="84"/>
        <v>2.2459896340066614E-2</v>
      </c>
      <c r="P226">
        <f t="shared" si="85"/>
        <v>0.29791451781645167</v>
      </c>
      <c r="Q226">
        <f t="shared" si="86"/>
        <v>0.95432829421042764</v>
      </c>
      <c r="R226">
        <f t="shared" si="76"/>
        <v>1</v>
      </c>
      <c r="AG226" s="8">
        <f t="shared" si="79"/>
        <v>0.52735571910485179</v>
      </c>
      <c r="AH226" s="8">
        <f t="shared" si="80"/>
        <v>-0.19945071828995528</v>
      </c>
      <c r="AI226" s="8">
        <f t="shared" si="81"/>
        <v>0.82590275244790501</v>
      </c>
      <c r="AJ226" s="8"/>
      <c r="AK226" s="8"/>
      <c r="AL226" s="8"/>
      <c r="AN226" s="8">
        <f t="shared" si="87"/>
        <v>1</v>
      </c>
      <c r="AO226" s="8">
        <f t="shared" si="88"/>
        <v>5.9216041745575172</v>
      </c>
      <c r="AP226" s="8">
        <f t="shared" si="89"/>
        <v>0.59899484258466729</v>
      </c>
      <c r="AQ226" s="8"/>
      <c r="AR226" s="8">
        <f t="shared" si="90"/>
        <v>339.28292714919536</v>
      </c>
      <c r="AS226" s="8">
        <f t="shared" si="91"/>
        <v>55.680123569795448</v>
      </c>
    </row>
    <row r="227" spans="1:45">
      <c r="A227" s="19">
        <v>11.311299999999999</v>
      </c>
      <c r="B227" s="19">
        <v>996.13535100000001</v>
      </c>
      <c r="C227" s="19">
        <v>-69.575172319999993</v>
      </c>
      <c r="E227" s="9">
        <f t="shared" si="77"/>
        <v>36.135351000000014</v>
      </c>
      <c r="F227" s="9">
        <f t="shared" si="82"/>
        <v>470.42482768000002</v>
      </c>
      <c r="I227">
        <v>1</v>
      </c>
      <c r="J227">
        <f t="shared" si="78"/>
        <v>0.30310926950030243</v>
      </c>
      <c r="K227">
        <f t="shared" si="83"/>
        <v>1.4941325794865383</v>
      </c>
      <c r="O227">
        <f t="shared" si="84"/>
        <v>2.2860889593132514E-2</v>
      </c>
      <c r="P227">
        <f t="shared" si="85"/>
        <v>0.2976124418290792</v>
      </c>
      <c r="Q227">
        <f t="shared" si="86"/>
        <v>0.9544130207596413</v>
      </c>
      <c r="R227">
        <f t="shared" si="76"/>
        <v>1</v>
      </c>
      <c r="AG227" s="8">
        <f t="shared" si="79"/>
        <v>0.52772944391241494</v>
      </c>
      <c r="AH227" s="8">
        <f t="shared" si="80"/>
        <v>-0.19914711733708734</v>
      </c>
      <c r="AI227" s="8">
        <f t="shared" si="81"/>
        <v>0.82573728248409706</v>
      </c>
      <c r="AJ227" s="8"/>
      <c r="AK227" s="8"/>
      <c r="AL227" s="8"/>
      <c r="AN227" s="8">
        <f t="shared" si="87"/>
        <v>0.99999999999999978</v>
      </c>
      <c r="AO227" s="8">
        <f t="shared" si="88"/>
        <v>5.9223420038445926</v>
      </c>
      <c r="AP227" s="8">
        <f t="shared" si="89"/>
        <v>0.5992882635084581</v>
      </c>
      <c r="AQ227" s="8"/>
      <c r="AR227" s="8">
        <f t="shared" si="90"/>
        <v>339.32520165334591</v>
      </c>
      <c r="AS227" s="8">
        <f t="shared" si="91"/>
        <v>55.663311789241405</v>
      </c>
    </row>
    <row r="228" spans="1:45">
      <c r="A228" s="19">
        <v>11.344666670000001</v>
      </c>
      <c r="B228" s="19">
        <v>997.39179769999998</v>
      </c>
      <c r="C228" s="19">
        <v>-70.053158379999999</v>
      </c>
      <c r="E228" s="9">
        <f t="shared" si="77"/>
        <v>37.391797699999984</v>
      </c>
      <c r="F228" s="9">
        <f t="shared" si="82"/>
        <v>469.94684161999999</v>
      </c>
      <c r="I228">
        <v>1</v>
      </c>
      <c r="J228">
        <f t="shared" si="78"/>
        <v>0.30287860196462352</v>
      </c>
      <c r="K228">
        <f t="shared" si="83"/>
        <v>1.4913975805622317</v>
      </c>
      <c r="O228">
        <f t="shared" si="84"/>
        <v>2.3657310714197868E-2</v>
      </c>
      <c r="P228">
        <f t="shared" si="85"/>
        <v>0.29732933785529858</v>
      </c>
      <c r="Q228">
        <f t="shared" si="86"/>
        <v>0.954481847129793</v>
      </c>
      <c r="R228">
        <f t="shared" si="76"/>
        <v>1</v>
      </c>
      <c r="AG228" s="8">
        <f t="shared" si="79"/>
        <v>0.52820937853102667</v>
      </c>
      <c r="AH228" s="8">
        <f t="shared" si="80"/>
        <v>-0.19846253436074163</v>
      </c>
      <c r="AI228" s="8">
        <f t="shared" si="81"/>
        <v>0.82559522460281842</v>
      </c>
      <c r="AJ228" s="8"/>
      <c r="AK228" s="8"/>
      <c r="AL228" s="8"/>
      <c r="AN228" s="8">
        <f t="shared" si="87"/>
        <v>1</v>
      </c>
      <c r="AO228" s="8">
        <f t="shared" si="88"/>
        <v>5.9237774041842082</v>
      </c>
      <c r="AP228" s="8">
        <f t="shared" si="89"/>
        <v>0.59954006825712391</v>
      </c>
      <c r="AQ228" s="8"/>
      <c r="AR228" s="8">
        <f t="shared" si="90"/>
        <v>339.40744403471751</v>
      </c>
      <c r="AS228" s="8">
        <f t="shared" si="91"/>
        <v>55.648884439881499</v>
      </c>
    </row>
    <row r="229" spans="1:45">
      <c r="A229" s="19">
        <v>11.378033329999999</v>
      </c>
      <c r="B229" s="19">
        <v>997.56633150000005</v>
      </c>
      <c r="C229" s="19">
        <v>-70.107681720000002</v>
      </c>
      <c r="E229" s="9">
        <f t="shared" si="77"/>
        <v>37.566331500000047</v>
      </c>
      <c r="F229" s="9">
        <f t="shared" si="82"/>
        <v>469.89231827999998</v>
      </c>
      <c r="I229">
        <v>1</v>
      </c>
      <c r="J229">
        <f t="shared" si="78"/>
        <v>0.30285393964086377</v>
      </c>
      <c r="K229">
        <f t="shared" si="83"/>
        <v>1.4910193207574614</v>
      </c>
      <c r="O229">
        <f t="shared" si="84"/>
        <v>2.3767900810460332E-2</v>
      </c>
      <c r="P229">
        <f t="shared" si="85"/>
        <v>0.2972969030121107</v>
      </c>
      <c r="Q229">
        <f t="shared" si="86"/>
        <v>0.95448920284646055</v>
      </c>
      <c r="R229">
        <f t="shared" si="76"/>
        <v>1</v>
      </c>
      <c r="AG229" s="8">
        <f t="shared" si="79"/>
        <v>0.52827029692488447</v>
      </c>
      <c r="AH229" s="8">
        <f t="shared" si="80"/>
        <v>-0.19836569092128056</v>
      </c>
      <c r="AI229" s="8">
        <f t="shared" si="81"/>
        <v>0.82557952133771906</v>
      </c>
      <c r="AJ229" s="8"/>
      <c r="AK229" s="8"/>
      <c r="AL229" s="8"/>
      <c r="AN229" s="8">
        <f t="shared" si="87"/>
        <v>1</v>
      </c>
      <c r="AO229" s="8">
        <f t="shared" si="88"/>
        <v>5.92397603025805</v>
      </c>
      <c r="AP229" s="8">
        <f t="shared" si="89"/>
        <v>0.59956789739094352</v>
      </c>
      <c r="AQ229" s="8"/>
      <c r="AR229" s="8">
        <f t="shared" si="90"/>
        <v>339.41882447044992</v>
      </c>
      <c r="AS229" s="8">
        <f t="shared" si="91"/>
        <v>55.647289947966136</v>
      </c>
    </row>
    <row r="230" spans="1:45">
      <c r="A230" s="19">
        <v>11.4114</v>
      </c>
      <c r="B230" s="19">
        <v>998.08187610000004</v>
      </c>
      <c r="C230" s="19">
        <v>-70.311580109999994</v>
      </c>
      <c r="E230" s="9">
        <f t="shared" si="77"/>
        <v>38.081876100000045</v>
      </c>
      <c r="F230" s="9">
        <f t="shared" si="82"/>
        <v>469.68841988999998</v>
      </c>
      <c r="I230">
        <v>1</v>
      </c>
      <c r="J230">
        <f t="shared" si="78"/>
        <v>0.30275530615402435</v>
      </c>
      <c r="K230">
        <f t="shared" si="83"/>
        <v>1.4898942767192722</v>
      </c>
      <c r="O230">
        <f t="shared" si="84"/>
        <v>2.409474950396236E-2</v>
      </c>
      <c r="P230">
        <f t="shared" si="85"/>
        <v>0.29717613681751948</v>
      </c>
      <c r="Q230">
        <f t="shared" si="86"/>
        <v>0.95451861519435865</v>
      </c>
      <c r="R230">
        <f t="shared" si="76"/>
        <v>1</v>
      </c>
      <c r="AG230" s="8">
        <f t="shared" si="79"/>
        <v>0.52847085463471366</v>
      </c>
      <c r="AH230" s="8">
        <f t="shared" si="80"/>
        <v>-0.19808584287634537</v>
      </c>
      <c r="AI230" s="8">
        <f t="shared" si="81"/>
        <v>0.82551835512823268</v>
      </c>
      <c r="AJ230" s="8"/>
      <c r="AK230" s="8"/>
      <c r="AL230" s="8"/>
      <c r="AN230" s="8">
        <f t="shared" si="87"/>
        <v>0.99999999999999978</v>
      </c>
      <c r="AO230" s="8">
        <f t="shared" si="88"/>
        <v>5.924565158937285</v>
      </c>
      <c r="AP230" s="8">
        <f t="shared" si="89"/>
        <v>0.59967628459688282</v>
      </c>
      <c r="AQ230" s="8"/>
      <c r="AR230" s="8">
        <f t="shared" si="90"/>
        <v>339.4525790573602</v>
      </c>
      <c r="AS230" s="8">
        <f t="shared" si="91"/>
        <v>55.641079818512594</v>
      </c>
    </row>
    <row r="231" spans="1:45">
      <c r="A231" s="19">
        <v>11.44476667</v>
      </c>
      <c r="B231" s="19">
        <v>999.39042029999996</v>
      </c>
      <c r="C231" s="19">
        <v>-70.948264519999995</v>
      </c>
      <c r="E231" s="9">
        <f t="shared" si="77"/>
        <v>39.39042029999996</v>
      </c>
      <c r="F231" s="9">
        <f t="shared" si="82"/>
        <v>469.05173547999999</v>
      </c>
      <c r="I231">
        <v>1</v>
      </c>
      <c r="J231">
        <f t="shared" si="78"/>
        <v>0.3024341988942022</v>
      </c>
      <c r="K231">
        <f t="shared" si="83"/>
        <v>1.4870140750734628</v>
      </c>
      <c r="O231">
        <f t="shared" si="84"/>
        <v>2.4924924826035526E-2</v>
      </c>
      <c r="P231">
        <f t="shared" si="85"/>
        <v>0.29680006350073196</v>
      </c>
      <c r="Q231">
        <f t="shared" si="86"/>
        <v>0.95461430453789975</v>
      </c>
      <c r="R231">
        <f t="shared" si="76"/>
        <v>1</v>
      </c>
      <c r="AG231" s="8">
        <f t="shared" si="79"/>
        <v>0.52903709233869223</v>
      </c>
      <c r="AH231" s="8">
        <f t="shared" si="80"/>
        <v>-0.19739268010589786</v>
      </c>
      <c r="AI231" s="8">
        <f t="shared" si="81"/>
        <v>0.82532168562956887</v>
      </c>
      <c r="AJ231" s="8"/>
      <c r="AK231" s="8"/>
      <c r="AL231" s="8"/>
      <c r="AN231" s="8">
        <f t="shared" si="87"/>
        <v>1.0000000000000002</v>
      </c>
      <c r="AO231" s="8">
        <f t="shared" si="88"/>
        <v>5.9260665947456967</v>
      </c>
      <c r="AP231" s="8">
        <f t="shared" si="89"/>
        <v>0.60002466875879745</v>
      </c>
      <c r="AQ231" s="8"/>
      <c r="AR231" s="8">
        <f t="shared" si="90"/>
        <v>339.53860499239204</v>
      </c>
      <c r="AS231" s="8">
        <f t="shared" si="91"/>
        <v>55.621118876385687</v>
      </c>
    </row>
    <row r="232" spans="1:45">
      <c r="A232" s="19">
        <v>11.47813333</v>
      </c>
      <c r="B232" s="19">
        <v>999.52874029999998</v>
      </c>
      <c r="C232" s="19">
        <v>-70.938394250000002</v>
      </c>
      <c r="E232" s="9">
        <f t="shared" si="77"/>
        <v>39.528740299999981</v>
      </c>
      <c r="F232" s="9">
        <f t="shared" si="82"/>
        <v>469.06160575000001</v>
      </c>
      <c r="I232">
        <v>1</v>
      </c>
      <c r="J232">
        <f t="shared" si="78"/>
        <v>0.30244726057149907</v>
      </c>
      <c r="K232">
        <f t="shared" si="83"/>
        <v>1.4867230154226796</v>
      </c>
      <c r="O232">
        <f t="shared" si="84"/>
        <v>2.5012357353919629E-2</v>
      </c>
      <c r="P232">
        <f t="shared" si="85"/>
        <v>0.29680522108675378</v>
      </c>
      <c r="Q232">
        <f t="shared" si="86"/>
        <v>0.95461041410370284</v>
      </c>
      <c r="R232">
        <f t="shared" si="76"/>
        <v>1</v>
      </c>
      <c r="AG232" s="8">
        <f t="shared" si="79"/>
        <v>0.52905972608947838</v>
      </c>
      <c r="AH232" s="8">
        <f t="shared" si="80"/>
        <v>-0.19730817316381777</v>
      </c>
      <c r="AI232" s="8">
        <f t="shared" si="81"/>
        <v>0.82532738415302986</v>
      </c>
      <c r="AJ232" s="8"/>
      <c r="AK232" s="8"/>
      <c r="AL232" s="8"/>
      <c r="AN232" s="8">
        <f t="shared" si="87"/>
        <v>1</v>
      </c>
      <c r="AO232" s="8">
        <f t="shared" si="88"/>
        <v>5.9262208261298461</v>
      </c>
      <c r="AP232" s="8">
        <f t="shared" si="89"/>
        <v>0.60001457677973558</v>
      </c>
      <c r="AQ232" s="8"/>
      <c r="AR232" s="8">
        <f t="shared" si="90"/>
        <v>339.54744179977223</v>
      </c>
      <c r="AS232" s="8">
        <f t="shared" si="91"/>
        <v>55.621697104192869</v>
      </c>
    </row>
    <row r="233" spans="1:45">
      <c r="A233" s="19">
        <v>11.5115</v>
      </c>
      <c r="B233" s="19">
        <v>1000.394588</v>
      </c>
      <c r="C233" s="19">
        <v>-71.170531130000001</v>
      </c>
      <c r="E233" s="9">
        <f t="shared" si="77"/>
        <v>40.394587999999999</v>
      </c>
      <c r="F233" s="9">
        <f t="shared" si="82"/>
        <v>468.82946887000003</v>
      </c>
      <c r="I233">
        <v>1</v>
      </c>
      <c r="J233">
        <f t="shared" si="78"/>
        <v>0.30235109364396395</v>
      </c>
      <c r="K233">
        <f t="shared" si="83"/>
        <v>1.4848480762142058</v>
      </c>
      <c r="O233">
        <f t="shared" si="84"/>
        <v>2.5560924185448971E-2</v>
      </c>
      <c r="P233">
        <f t="shared" si="85"/>
        <v>0.29666633831468631</v>
      </c>
      <c r="Q233">
        <f t="shared" si="86"/>
        <v>0.95463905370864743</v>
      </c>
      <c r="R233">
        <f t="shared" si="76"/>
        <v>1</v>
      </c>
      <c r="AG233" s="8">
        <f t="shared" si="79"/>
        <v>0.52934299638761639</v>
      </c>
      <c r="AH233" s="8">
        <f t="shared" si="80"/>
        <v>-0.19682186101271559</v>
      </c>
      <c r="AI233" s="8">
        <f t="shared" si="81"/>
        <v>0.8252618658358517</v>
      </c>
      <c r="AJ233" s="8"/>
      <c r="AK233" s="8"/>
      <c r="AL233" s="8"/>
      <c r="AN233" s="8">
        <f t="shared" si="87"/>
        <v>1</v>
      </c>
      <c r="AO233" s="8">
        <f t="shared" si="88"/>
        <v>5.9272029233126746</v>
      </c>
      <c r="AP233" s="8">
        <f t="shared" si="89"/>
        <v>0.60013059951907965</v>
      </c>
      <c r="AQ233" s="8"/>
      <c r="AR233" s="8">
        <f t="shared" si="90"/>
        <v>339.60371182341999</v>
      </c>
      <c r="AS233" s="8">
        <f t="shared" si="91"/>
        <v>55.615049490900901</v>
      </c>
    </row>
    <row r="234" spans="1:45">
      <c r="A234" s="19">
        <v>11.544866669999999</v>
      </c>
      <c r="B234" s="19">
        <v>1001.389872</v>
      </c>
      <c r="C234" s="19">
        <v>-71.67354315</v>
      </c>
      <c r="E234" s="9">
        <f t="shared" si="77"/>
        <v>41.389871999999968</v>
      </c>
      <c r="F234" s="9">
        <f t="shared" si="82"/>
        <v>468.32645685</v>
      </c>
      <c r="I234">
        <v>1</v>
      </c>
      <c r="J234">
        <f t="shared" si="78"/>
        <v>0.30209838309117348</v>
      </c>
      <c r="K234">
        <f t="shared" si="83"/>
        <v>1.4826471049929348</v>
      </c>
      <c r="O234">
        <f t="shared" si="84"/>
        <v>2.6192576744537167E-2</v>
      </c>
      <c r="P234">
        <f t="shared" si="85"/>
        <v>0.29636904077743492</v>
      </c>
      <c r="Q234">
        <f t="shared" si="86"/>
        <v>0.95471427170234791</v>
      </c>
      <c r="R234">
        <f t="shared" si="76"/>
        <v>1</v>
      </c>
      <c r="AG234" s="8">
        <f t="shared" si="79"/>
        <v>0.52978226605897349</v>
      </c>
      <c r="AH234" s="8">
        <f t="shared" si="80"/>
        <v>-0.19629702010014138</v>
      </c>
      <c r="AI234" s="8">
        <f t="shared" si="81"/>
        <v>0.82510498148370404</v>
      </c>
      <c r="AJ234" s="8"/>
      <c r="AK234" s="8"/>
      <c r="AL234" s="8"/>
      <c r="AN234" s="8">
        <f t="shared" si="87"/>
        <v>0.99999999999999989</v>
      </c>
      <c r="AO234" s="8">
        <f t="shared" si="88"/>
        <v>5.9283446044672772</v>
      </c>
      <c r="AP234" s="8">
        <f t="shared" si="89"/>
        <v>0.60040833737322175</v>
      </c>
      <c r="AQ234" s="8"/>
      <c r="AR234" s="8">
        <f t="shared" si="90"/>
        <v>339.66912533512834</v>
      </c>
      <c r="AS234" s="8">
        <f t="shared" si="91"/>
        <v>55.599136284047539</v>
      </c>
    </row>
    <row r="235" spans="1:45">
      <c r="A235" s="19">
        <v>11.57823333</v>
      </c>
      <c r="B235" s="19">
        <v>1002.173484</v>
      </c>
      <c r="C235" s="19">
        <v>-71.98787016</v>
      </c>
      <c r="E235" s="9">
        <f t="shared" si="77"/>
        <v>42.17348400000003</v>
      </c>
      <c r="F235" s="9">
        <f t="shared" si="82"/>
        <v>468.01212984</v>
      </c>
      <c r="I235">
        <v>1</v>
      </c>
      <c r="J235">
        <f t="shared" si="78"/>
        <v>0.30194998271372636</v>
      </c>
      <c r="K235">
        <f t="shared" si="83"/>
        <v>1.4809271067077188</v>
      </c>
      <c r="O235">
        <f t="shared" si="84"/>
        <v>2.6689576162079138E-2</v>
      </c>
      <c r="P235">
        <f t="shared" si="85"/>
        <v>0.29618243975625891</v>
      </c>
      <c r="Q235">
        <f t="shared" si="86"/>
        <v>0.95475841389553551</v>
      </c>
      <c r="R235">
        <f t="shared" si="76"/>
        <v>1</v>
      </c>
      <c r="AG235" s="8">
        <f t="shared" si="79"/>
        <v>0.53008857915189478</v>
      </c>
      <c r="AH235" s="8">
        <f t="shared" si="80"/>
        <v>-0.1958718235087191</v>
      </c>
      <c r="AI235" s="8">
        <f t="shared" si="81"/>
        <v>0.82500928904352022</v>
      </c>
      <c r="AJ235" s="8"/>
      <c r="AK235" s="8"/>
      <c r="AL235" s="8"/>
      <c r="AN235" s="8">
        <f t="shared" si="87"/>
        <v>1.0000000000000002</v>
      </c>
      <c r="AO235" s="8">
        <f t="shared" si="88"/>
        <v>5.9292384573960835</v>
      </c>
      <c r="AP235" s="8">
        <f t="shared" si="89"/>
        <v>0.60057768974515402</v>
      </c>
      <c r="AQ235" s="8"/>
      <c r="AR235" s="8">
        <f t="shared" si="90"/>
        <v>339.72033933545436</v>
      </c>
      <c r="AS235" s="8">
        <f t="shared" si="91"/>
        <v>55.589433107885291</v>
      </c>
    </row>
    <row r="236" spans="1:45">
      <c r="A236" s="19">
        <v>11.611599999999999</v>
      </c>
      <c r="B236" s="19">
        <v>1002.708005</v>
      </c>
      <c r="C236" s="19">
        <v>-72.082483769999996</v>
      </c>
      <c r="E236" s="9">
        <f t="shared" si="77"/>
        <v>42.708004999999957</v>
      </c>
      <c r="F236" s="9">
        <f t="shared" si="82"/>
        <v>467.91751622999999</v>
      </c>
      <c r="I236">
        <v>1</v>
      </c>
      <c r="J236">
        <f t="shared" si="78"/>
        <v>0.30192196978242852</v>
      </c>
      <c r="K236">
        <f t="shared" si="83"/>
        <v>1.4797760136735689</v>
      </c>
      <c r="O236">
        <f t="shared" si="84"/>
        <v>2.7028060906118222E-2</v>
      </c>
      <c r="P236">
        <f t="shared" si="85"/>
        <v>0.2961248863697567</v>
      </c>
      <c r="Q236">
        <f t="shared" si="86"/>
        <v>0.95476674407739703</v>
      </c>
      <c r="R236">
        <f t="shared" si="76"/>
        <v>1</v>
      </c>
      <c r="AG236" s="8">
        <f t="shared" si="79"/>
        <v>0.5302396955141182</v>
      </c>
      <c r="AH236" s="8">
        <f t="shared" si="80"/>
        <v>-0.19556436075233585</v>
      </c>
      <c r="AI236" s="8">
        <f t="shared" si="81"/>
        <v>0.82498511871707447</v>
      </c>
      <c r="AJ236" s="8"/>
      <c r="AK236" s="8"/>
      <c r="AL236" s="8"/>
      <c r="AN236" s="8">
        <f t="shared" si="87"/>
        <v>1</v>
      </c>
      <c r="AO236" s="8">
        <f t="shared" si="88"/>
        <v>5.9298414449915446</v>
      </c>
      <c r="AP236" s="8">
        <f t="shared" si="89"/>
        <v>0.60062045872789871</v>
      </c>
      <c r="AQ236" s="8"/>
      <c r="AR236" s="8">
        <f t="shared" si="90"/>
        <v>339.754887979773</v>
      </c>
      <c r="AS236" s="8">
        <f t="shared" si="91"/>
        <v>55.586982625679951</v>
      </c>
    </row>
    <row r="237" spans="1:45">
      <c r="A237" s="19">
        <v>11.644966670000001</v>
      </c>
      <c r="B237" s="19">
        <v>1003.392003</v>
      </c>
      <c r="C237" s="19">
        <v>-72.426233859999996</v>
      </c>
      <c r="E237" s="9">
        <f t="shared" si="77"/>
        <v>43.392003000000045</v>
      </c>
      <c r="F237" s="9">
        <f t="shared" si="82"/>
        <v>467.57376613999998</v>
      </c>
      <c r="I237">
        <v>1</v>
      </c>
      <c r="J237">
        <f t="shared" si="78"/>
        <v>0.3017514886451621</v>
      </c>
      <c r="K237">
        <f t="shared" si="83"/>
        <v>1.4782588972307964</v>
      </c>
      <c r="O237">
        <f t="shared" si="84"/>
        <v>2.746224436043071E-2</v>
      </c>
      <c r="P237">
        <f t="shared" si="85"/>
        <v>0.29592146327662117</v>
      </c>
      <c r="Q237">
        <f t="shared" si="86"/>
        <v>0.95481742375540646</v>
      </c>
      <c r="R237">
        <f t="shared" si="76"/>
        <v>1</v>
      </c>
      <c r="AG237" s="8">
        <f t="shared" si="79"/>
        <v>0.53054033275145573</v>
      </c>
      <c r="AH237" s="8">
        <f t="shared" si="80"/>
        <v>-0.19520314966823199</v>
      </c>
      <c r="AI237" s="8">
        <f t="shared" si="81"/>
        <v>0.82487737614967749</v>
      </c>
      <c r="AJ237" s="8"/>
      <c r="AK237" s="8"/>
      <c r="AL237" s="8"/>
      <c r="AN237" s="8">
        <f t="shared" si="87"/>
        <v>1</v>
      </c>
      <c r="AO237" s="8">
        <f t="shared" si="88"/>
        <v>5.9306249551063583</v>
      </c>
      <c r="AP237" s="8">
        <f t="shared" si="89"/>
        <v>0.60081107490382679</v>
      </c>
      <c r="AQ237" s="8"/>
      <c r="AR237" s="8">
        <f t="shared" si="90"/>
        <v>339.79977980255768</v>
      </c>
      <c r="AS237" s="8">
        <f t="shared" si="91"/>
        <v>55.576061123292355</v>
      </c>
    </row>
    <row r="238" spans="1:45">
      <c r="A238" s="19">
        <v>11.678333329999999</v>
      </c>
      <c r="B238" s="19">
        <v>1004.177469</v>
      </c>
      <c r="C238" s="19">
        <v>-72.955723660000004</v>
      </c>
      <c r="E238" s="9">
        <f t="shared" si="77"/>
        <v>44.177468999999974</v>
      </c>
      <c r="F238" s="9">
        <f t="shared" si="82"/>
        <v>467.04427634000001</v>
      </c>
      <c r="I238">
        <v>1</v>
      </c>
      <c r="J238">
        <f t="shared" si="78"/>
        <v>0.30147470513751867</v>
      </c>
      <c r="K238">
        <f t="shared" si="83"/>
        <v>1.4764874579381364</v>
      </c>
      <c r="O238">
        <f t="shared" si="84"/>
        <v>2.7961520031056491E-2</v>
      </c>
      <c r="P238">
        <f t="shared" si="85"/>
        <v>0.29560923665118044</v>
      </c>
      <c r="Q238">
        <f t="shared" si="86"/>
        <v>0.95489964530523275</v>
      </c>
      <c r="R238">
        <f t="shared" si="76"/>
        <v>1</v>
      </c>
      <c r="AG238" s="8">
        <f t="shared" si="79"/>
        <v>0.53095040821138972</v>
      </c>
      <c r="AH238" s="8">
        <f t="shared" si="80"/>
        <v>-0.19480777144658806</v>
      </c>
      <c r="AI238" s="8">
        <f t="shared" si="81"/>
        <v>0.82470697596429521</v>
      </c>
      <c r="AJ238" s="8"/>
      <c r="AK238" s="8"/>
      <c r="AL238" s="8"/>
      <c r="AN238" s="8">
        <f t="shared" si="87"/>
        <v>1</v>
      </c>
      <c r="AO238" s="8">
        <f t="shared" si="88"/>
        <v>5.9315314173953277</v>
      </c>
      <c r="AP238" s="8">
        <f t="shared" si="89"/>
        <v>0.6011124356080455</v>
      </c>
      <c r="AQ238" s="8"/>
      <c r="AR238" s="8">
        <f t="shared" si="90"/>
        <v>339.85171626600339</v>
      </c>
      <c r="AS238" s="8">
        <f t="shared" si="91"/>
        <v>55.558794426829529</v>
      </c>
    </row>
    <row r="239" spans="1:45">
      <c r="A239" s="19">
        <v>11.7117</v>
      </c>
      <c r="B239" s="19">
        <v>1005.398427</v>
      </c>
      <c r="C239" s="19">
        <v>-72.965658660000003</v>
      </c>
      <c r="E239" s="9">
        <f t="shared" si="77"/>
        <v>45.39842699999997</v>
      </c>
      <c r="F239" s="9">
        <f t="shared" si="82"/>
        <v>467.03434133999997</v>
      </c>
      <c r="I239">
        <v>1</v>
      </c>
      <c r="J239">
        <f t="shared" si="78"/>
        <v>0.30153974990130072</v>
      </c>
      <c r="K239">
        <f t="shared" si="83"/>
        <v>1.4738950094269332</v>
      </c>
      <c r="O239">
        <f t="shared" si="84"/>
        <v>2.8733786120208188E-2</v>
      </c>
      <c r="P239">
        <f t="shared" si="85"/>
        <v>0.29559757378500962</v>
      </c>
      <c r="Q239">
        <f t="shared" si="86"/>
        <v>0.95488032962650027</v>
      </c>
      <c r="R239">
        <f t="shared" si="76"/>
        <v>1</v>
      </c>
      <c r="AG239" s="8">
        <f t="shared" si="79"/>
        <v>0.53119556689169978</v>
      </c>
      <c r="AH239" s="8">
        <f t="shared" si="80"/>
        <v>-0.19407525443159301</v>
      </c>
      <c r="AI239" s="8">
        <f t="shared" si="81"/>
        <v>0.82472181087438079</v>
      </c>
      <c r="AJ239" s="8"/>
      <c r="AK239" s="8"/>
      <c r="AL239" s="8"/>
      <c r="AN239" s="8">
        <f t="shared" si="87"/>
        <v>0.99999999999999978</v>
      </c>
      <c r="AO239" s="8">
        <f t="shared" si="88"/>
        <v>5.9328967273545921</v>
      </c>
      <c r="AP239" s="8">
        <f t="shared" si="89"/>
        <v>0.60108620463859352</v>
      </c>
      <c r="AQ239" s="8"/>
      <c r="AR239" s="8">
        <f t="shared" si="90"/>
        <v>339.9299427643964</v>
      </c>
      <c r="AS239" s="8">
        <f t="shared" si="91"/>
        <v>55.560297350671668</v>
      </c>
    </row>
    <row r="240" spans="1:45">
      <c r="A240" s="19">
        <v>11.74506667</v>
      </c>
      <c r="B240" s="19">
        <v>1005.504951</v>
      </c>
      <c r="C240" s="19">
        <v>-73.235640959999998</v>
      </c>
      <c r="E240" s="9">
        <f t="shared" si="77"/>
        <v>45.504951000000005</v>
      </c>
      <c r="F240" s="9">
        <f t="shared" si="82"/>
        <v>466.76435903999999</v>
      </c>
      <c r="I240">
        <v>1</v>
      </c>
      <c r="J240">
        <f t="shared" si="78"/>
        <v>0.30138217404501655</v>
      </c>
      <c r="K240">
        <f t="shared" si="83"/>
        <v>1.4736132367281369</v>
      </c>
      <c r="O240">
        <f t="shared" si="84"/>
        <v>2.8802476194407227E-2</v>
      </c>
      <c r="P240">
        <f t="shared" si="85"/>
        <v>0.29543970588271473</v>
      </c>
      <c r="Q240">
        <f t="shared" si="86"/>
        <v>0.95492711635653404</v>
      </c>
      <c r="R240">
        <f t="shared" si="76"/>
        <v>1</v>
      </c>
      <c r="AG240" s="8">
        <f t="shared" si="79"/>
        <v>0.53134668820244801</v>
      </c>
      <c r="AH240" s="8">
        <f t="shared" si="80"/>
        <v>-0.19405028181845399</v>
      </c>
      <c r="AI240" s="8">
        <f t="shared" si="81"/>
        <v>0.82463033236867345</v>
      </c>
      <c r="AJ240" s="8"/>
      <c r="AK240" s="8"/>
      <c r="AL240" s="8"/>
      <c r="AN240" s="8">
        <f t="shared" si="87"/>
        <v>0.99999999999999978</v>
      </c>
      <c r="AO240" s="8">
        <f t="shared" si="88"/>
        <v>5.933029872091482</v>
      </c>
      <c r="AP240" s="8">
        <f t="shared" si="89"/>
        <v>0.60124794022234429</v>
      </c>
      <c r="AQ240" s="8"/>
      <c r="AR240" s="8">
        <f t="shared" si="90"/>
        <v>339.93757139588456</v>
      </c>
      <c r="AS240" s="8">
        <f t="shared" si="91"/>
        <v>55.551030584325659</v>
      </c>
    </row>
    <row r="241" spans="1:45">
      <c r="A241" s="19">
        <v>11.77843333</v>
      </c>
      <c r="B241" s="19">
        <v>1006.368902</v>
      </c>
      <c r="C241" s="19">
        <v>-73.77946154</v>
      </c>
      <c r="E241" s="9">
        <f t="shared" si="77"/>
        <v>46.368902000000048</v>
      </c>
      <c r="F241" s="9">
        <f t="shared" si="82"/>
        <v>466.22053846</v>
      </c>
      <c r="I241">
        <v>1</v>
      </c>
      <c r="J241">
        <f t="shared" si="78"/>
        <v>0.30110372638002725</v>
      </c>
      <c r="K241">
        <f t="shared" si="83"/>
        <v>1.4716653143752285</v>
      </c>
      <c r="O241">
        <f t="shared" si="84"/>
        <v>2.9351598143397387E-2</v>
      </c>
      <c r="P241">
        <f t="shared" si="85"/>
        <v>0.2951184371602385</v>
      </c>
      <c r="Q241">
        <f t="shared" si="86"/>
        <v>0.95500973384281629</v>
      </c>
      <c r="R241">
        <f t="shared" si="76"/>
        <v>1</v>
      </c>
      <c r="AG241" s="8">
        <f t="shared" si="79"/>
        <v>0.53177874863385155</v>
      </c>
      <c r="AH241" s="8">
        <f t="shared" si="80"/>
        <v>-0.19360948537578995</v>
      </c>
      <c r="AI241" s="8">
        <f t="shared" si="81"/>
        <v>0.82445541400001532</v>
      </c>
      <c r="AJ241" s="8"/>
      <c r="AK241" s="8"/>
      <c r="AL241" s="8"/>
      <c r="AN241" s="8">
        <f t="shared" si="87"/>
        <v>1</v>
      </c>
      <c r="AO241" s="8">
        <f t="shared" si="88"/>
        <v>5.9340234003900942</v>
      </c>
      <c r="AP241" s="8">
        <f t="shared" si="89"/>
        <v>0.60155709281142877</v>
      </c>
      <c r="AQ241" s="8"/>
      <c r="AR241" s="8">
        <f t="shared" si="90"/>
        <v>339.99449637422185</v>
      </c>
      <c r="AS241" s="8">
        <f t="shared" si="91"/>
        <v>55.533317445745581</v>
      </c>
    </row>
    <row r="242" spans="1:45">
      <c r="A242" s="19">
        <v>11.8118</v>
      </c>
      <c r="B242" s="19">
        <v>1007.114357</v>
      </c>
      <c r="C242" s="19">
        <v>-74.055234100000007</v>
      </c>
      <c r="E242" s="9">
        <f t="shared" si="77"/>
        <v>47.114357000000041</v>
      </c>
      <c r="F242" s="9">
        <f t="shared" si="82"/>
        <v>465.94476589999999</v>
      </c>
      <c r="I242">
        <v>1</v>
      </c>
      <c r="J242">
        <f t="shared" si="78"/>
        <v>0.30098172291989217</v>
      </c>
      <c r="K242">
        <f t="shared" si="83"/>
        <v>1.4700230884153609</v>
      </c>
      <c r="O242">
        <f t="shared" si="84"/>
        <v>2.9824487603303709E-2</v>
      </c>
      <c r="P242">
        <f t="shared" si="85"/>
        <v>0.2949539117006052</v>
      </c>
      <c r="Q242">
        <f t="shared" si="86"/>
        <v>0.95504590984502524</v>
      </c>
      <c r="R242">
        <f t="shared" si="76"/>
        <v>1</v>
      </c>
      <c r="AG242" s="8">
        <f t="shared" si="79"/>
        <v>0.53205814894228043</v>
      </c>
      <c r="AH242" s="8">
        <f t="shared" si="80"/>
        <v>-0.19320106881006163</v>
      </c>
      <c r="AI242" s="8">
        <f t="shared" si="81"/>
        <v>0.82437095603542709</v>
      </c>
      <c r="AJ242" s="8"/>
      <c r="AK242" s="8"/>
      <c r="AL242" s="8"/>
      <c r="AN242" s="8">
        <f t="shared" si="87"/>
        <v>1</v>
      </c>
      <c r="AO242" s="8">
        <f t="shared" si="88"/>
        <v>5.9348702486898501</v>
      </c>
      <c r="AP242" s="8">
        <f t="shared" si="89"/>
        <v>0.60170631488209592</v>
      </c>
      <c r="AQ242" s="8"/>
      <c r="AR242" s="8">
        <f t="shared" si="90"/>
        <v>340.04301720768569</v>
      </c>
      <c r="AS242" s="8">
        <f t="shared" si="91"/>
        <v>55.524767650886147</v>
      </c>
    </row>
    <row r="243" spans="1:45">
      <c r="A243" s="19">
        <v>11.845166669999999</v>
      </c>
      <c r="B243" s="19">
        <v>1007.727894</v>
      </c>
      <c r="C243" s="19">
        <v>-74.188393930000004</v>
      </c>
      <c r="E243" s="9">
        <f t="shared" si="77"/>
        <v>47.727893999999992</v>
      </c>
      <c r="F243" s="9">
        <f t="shared" si="82"/>
        <v>465.81160606999998</v>
      </c>
      <c r="I243">
        <v>1</v>
      </c>
      <c r="J243">
        <f t="shared" si="78"/>
        <v>0.3009388112746369</v>
      </c>
      <c r="K243">
        <f t="shared" si="83"/>
        <v>1.4686908507833869</v>
      </c>
      <c r="O243">
        <f t="shared" si="84"/>
        <v>3.0213232413251322E-2</v>
      </c>
      <c r="P243">
        <f t="shared" si="85"/>
        <v>0.29487314724137564</v>
      </c>
      <c r="Q243">
        <f t="shared" si="86"/>
        <v>0.95505863046365314</v>
      </c>
      <c r="R243">
        <f t="shared" si="76"/>
        <v>1</v>
      </c>
      <c r="AG243" s="8">
        <f t="shared" si="79"/>
        <v>0.53224278489921906</v>
      </c>
      <c r="AH243" s="8">
        <f t="shared" si="80"/>
        <v>-0.1928513174678731</v>
      </c>
      <c r="AI243" s="8">
        <f t="shared" si="81"/>
        <v>0.8243336625867157</v>
      </c>
      <c r="AJ243" s="8"/>
      <c r="AK243" s="8"/>
      <c r="AL243" s="8"/>
      <c r="AN243" s="8">
        <f t="shared" si="87"/>
        <v>1</v>
      </c>
      <c r="AO243" s="8">
        <f t="shared" si="88"/>
        <v>5.9355622898577174</v>
      </c>
      <c r="AP243" s="8">
        <f t="shared" si="89"/>
        <v>0.60177219539469406</v>
      </c>
      <c r="AQ243" s="8"/>
      <c r="AR243" s="8">
        <f t="shared" si="90"/>
        <v>340.08266824585382</v>
      </c>
      <c r="AS243" s="8">
        <f t="shared" si="91"/>
        <v>55.520992975562116</v>
      </c>
    </row>
    <row r="244" spans="1:45">
      <c r="A244" s="19">
        <v>11.87853333</v>
      </c>
      <c r="B244" s="19">
        <v>1008.450212</v>
      </c>
      <c r="C244" s="19">
        <v>-74.88148606</v>
      </c>
      <c r="E244" s="9">
        <f t="shared" si="77"/>
        <v>48.450211999999965</v>
      </c>
      <c r="F244" s="9">
        <f t="shared" si="82"/>
        <v>465.11851394000001</v>
      </c>
      <c r="I244">
        <v>1</v>
      </c>
      <c r="J244">
        <f t="shared" si="78"/>
        <v>0.30056348869203842</v>
      </c>
      <c r="K244">
        <f t="shared" si="83"/>
        <v>1.4670032061913181</v>
      </c>
      <c r="O244">
        <f t="shared" si="84"/>
        <v>3.0673689656795657E-2</v>
      </c>
      <c r="P244">
        <f t="shared" si="85"/>
        <v>0.29446519140567556</v>
      </c>
      <c r="Q244">
        <f t="shared" si="86"/>
        <v>0.95516981517071475</v>
      </c>
      <c r="R244">
        <f t="shared" si="76"/>
        <v>1</v>
      </c>
      <c r="AG244" s="8">
        <f t="shared" si="79"/>
        <v>0.53271864036756211</v>
      </c>
      <c r="AH244" s="8">
        <f t="shared" si="80"/>
        <v>-0.19251692708634555</v>
      </c>
      <c r="AI244" s="8">
        <f t="shared" si="81"/>
        <v>0.82410441267485446</v>
      </c>
      <c r="AJ244" s="8"/>
      <c r="AK244" s="8"/>
      <c r="AL244" s="8"/>
      <c r="AN244" s="8">
        <f t="shared" si="87"/>
        <v>1</v>
      </c>
      <c r="AO244" s="8">
        <f t="shared" si="88"/>
        <v>5.9364035042482151</v>
      </c>
      <c r="AP244" s="8">
        <f t="shared" si="89"/>
        <v>0.60217703667385114</v>
      </c>
      <c r="AQ244" s="8"/>
      <c r="AR244" s="8">
        <f t="shared" si="90"/>
        <v>340.13086628009501</v>
      </c>
      <c r="AS244" s="8">
        <f t="shared" si="91"/>
        <v>55.497797278893735</v>
      </c>
    </row>
    <row r="245" spans="1:45">
      <c r="A245" s="19">
        <v>11.911899999999999</v>
      </c>
      <c r="B245" s="19">
        <v>1008.981407</v>
      </c>
      <c r="C245" s="19">
        <v>-74.912521810000001</v>
      </c>
      <c r="E245" s="9">
        <f t="shared" si="77"/>
        <v>48.98140699999999</v>
      </c>
      <c r="F245" s="9">
        <f t="shared" si="82"/>
        <v>465.08747819000001</v>
      </c>
      <c r="I245">
        <v>1</v>
      </c>
      <c r="J245">
        <f t="shared" si="78"/>
        <v>0.30057841845731481</v>
      </c>
      <c r="K245">
        <f t="shared" si="83"/>
        <v>1.4658665848832351</v>
      </c>
      <c r="O245">
        <f t="shared" si="84"/>
        <v>3.1009858780683665E-2</v>
      </c>
      <c r="P245">
        <f t="shared" si="85"/>
        <v>0.29444431882767641</v>
      </c>
      <c r="Q245">
        <f t="shared" si="86"/>
        <v>0.95516539498063247</v>
      </c>
      <c r="R245">
        <f t="shared" si="76"/>
        <v>1</v>
      </c>
      <c r="AG245" s="8">
        <f t="shared" si="79"/>
        <v>0.53283772634547699</v>
      </c>
      <c r="AH245" s="8">
        <f t="shared" si="80"/>
        <v>-0.19220185321464739</v>
      </c>
      <c r="AI245" s="8">
        <f t="shared" si="81"/>
        <v>0.824100967724124</v>
      </c>
      <c r="AJ245" s="8"/>
      <c r="AK245" s="8"/>
      <c r="AL245" s="8"/>
      <c r="AN245" s="8">
        <f t="shared" si="87"/>
        <v>1</v>
      </c>
      <c r="AO245" s="8">
        <f t="shared" si="88"/>
        <v>5.9369980779571971</v>
      </c>
      <c r="AP245" s="8">
        <f t="shared" si="89"/>
        <v>0.60218311842680061</v>
      </c>
      <c r="AQ245" s="8"/>
      <c r="AR245" s="8">
        <f t="shared" si="90"/>
        <v>340.1649328442291</v>
      </c>
      <c r="AS245" s="8">
        <f t="shared" si="91"/>
        <v>55.49744882011769</v>
      </c>
    </row>
    <row r="246" spans="1:45">
      <c r="A246" s="19">
        <v>11.945266670000001</v>
      </c>
      <c r="B246" s="19">
        <v>1009.683621</v>
      </c>
      <c r="C246" s="19">
        <v>-75.189652109999997</v>
      </c>
      <c r="E246" s="9">
        <f t="shared" si="77"/>
        <v>49.683621000000016</v>
      </c>
      <c r="F246" s="9">
        <f t="shared" si="82"/>
        <v>464.81034789</v>
      </c>
      <c r="I246">
        <v>1</v>
      </c>
      <c r="J246">
        <f t="shared" si="78"/>
        <v>0.30045547310169946</v>
      </c>
      <c r="K246">
        <f t="shared" si="83"/>
        <v>1.4643105569431876</v>
      </c>
      <c r="O246">
        <f t="shared" si="84"/>
        <v>3.1455503064058143E-2</v>
      </c>
      <c r="P246">
        <f t="shared" si="85"/>
        <v>0.29427893998023646</v>
      </c>
      <c r="Q246">
        <f t="shared" si="86"/>
        <v>0.95520178853009663</v>
      </c>
      <c r="R246">
        <f t="shared" si="76"/>
        <v>1</v>
      </c>
      <c r="AG246" s="8">
        <f t="shared" si="79"/>
        <v>0.5331088948667817</v>
      </c>
      <c r="AH246" s="8">
        <f t="shared" si="80"/>
        <v>-0.19181936089593013</v>
      </c>
      <c r="AI246" s="8">
        <f t="shared" si="81"/>
        <v>0.82401470799943599</v>
      </c>
      <c r="AJ246" s="8"/>
      <c r="AK246" s="8"/>
      <c r="AL246" s="8"/>
      <c r="AN246" s="8">
        <f t="shared" si="87"/>
        <v>1.0000000000000002</v>
      </c>
      <c r="AO246" s="8">
        <f t="shared" si="88"/>
        <v>5.9377955307270067</v>
      </c>
      <c r="AP246" s="8">
        <f t="shared" si="89"/>
        <v>0.60233538473074133</v>
      </c>
      <c r="AQ246" s="8"/>
      <c r="AR246" s="8">
        <f t="shared" si="90"/>
        <v>340.21062352230018</v>
      </c>
      <c r="AS246" s="8">
        <f t="shared" si="91"/>
        <v>55.488724603539829</v>
      </c>
    </row>
    <row r="247" spans="1:45">
      <c r="A247" s="19">
        <v>11.978633329999999</v>
      </c>
      <c r="B247" s="19">
        <v>1010.4921869999999</v>
      </c>
      <c r="C247" s="19">
        <v>-75.913534720000001</v>
      </c>
      <c r="E247" s="9">
        <f t="shared" si="77"/>
        <v>50.492186999999944</v>
      </c>
      <c r="F247" s="9">
        <f t="shared" si="82"/>
        <v>464.08646527999997</v>
      </c>
      <c r="I247">
        <v>1</v>
      </c>
      <c r="J247">
        <f t="shared" si="78"/>
        <v>0.30006916692773017</v>
      </c>
      <c r="K247">
        <f t="shared" si="83"/>
        <v>1.4624235030279706</v>
      </c>
      <c r="O247">
        <f t="shared" si="84"/>
        <v>3.1970853188514406E-2</v>
      </c>
      <c r="P247">
        <f t="shared" si="85"/>
        <v>0.29385220030662312</v>
      </c>
      <c r="Q247">
        <f t="shared" si="86"/>
        <v>0.95531604661564995</v>
      </c>
      <c r="R247">
        <f t="shared" si="76"/>
        <v>1</v>
      </c>
      <c r="AG247" s="8">
        <f t="shared" si="79"/>
        <v>0.53361617125456906</v>
      </c>
      <c r="AH247" s="8">
        <f t="shared" si="80"/>
        <v>-0.19143718916980909</v>
      </c>
      <c r="AI247" s="8">
        <f t="shared" si="81"/>
        <v>0.82377520257554315</v>
      </c>
      <c r="AJ247" s="8"/>
      <c r="AK247" s="8"/>
      <c r="AL247" s="8"/>
      <c r="AN247" s="8">
        <f t="shared" si="87"/>
        <v>1</v>
      </c>
      <c r="AO247" s="8">
        <f t="shared" si="88"/>
        <v>5.9387327891608681</v>
      </c>
      <c r="AP247" s="8">
        <f t="shared" si="89"/>
        <v>0.60275798480318921</v>
      </c>
      <c r="AQ247" s="8"/>
      <c r="AR247" s="8">
        <f t="shared" si="90"/>
        <v>340.26432447487349</v>
      </c>
      <c r="AS247" s="8">
        <f t="shared" si="91"/>
        <v>55.464511402966643</v>
      </c>
    </row>
    <row r="248" spans="1:45">
      <c r="A248" s="19">
        <v>12.012</v>
      </c>
      <c r="B248" s="19">
        <v>1011.327541</v>
      </c>
      <c r="C248" s="19">
        <v>-75.918335810000002</v>
      </c>
      <c r="E248" s="9">
        <f t="shared" si="77"/>
        <v>51.327540999999997</v>
      </c>
      <c r="F248" s="9">
        <f t="shared" si="82"/>
        <v>464.08166418999997</v>
      </c>
      <c r="I248">
        <v>1</v>
      </c>
      <c r="J248">
        <f t="shared" si="78"/>
        <v>0.30012184967898198</v>
      </c>
      <c r="K248">
        <f t="shared" si="83"/>
        <v>1.4606437800432455</v>
      </c>
      <c r="O248">
        <f t="shared" si="84"/>
        <v>3.2499310377613749E-2</v>
      </c>
      <c r="P248">
        <f t="shared" si="85"/>
        <v>0.29384485894366791</v>
      </c>
      <c r="Q248">
        <f t="shared" si="86"/>
        <v>0.95530047299127585</v>
      </c>
      <c r="R248">
        <f t="shared" si="76"/>
        <v>1</v>
      </c>
      <c r="AG248" s="8">
        <f t="shared" si="79"/>
        <v>0.53378182552373965</v>
      </c>
      <c r="AH248" s="8">
        <f t="shared" si="80"/>
        <v>-0.19093515570392064</v>
      </c>
      <c r="AI248" s="8">
        <f t="shared" si="81"/>
        <v>0.82378439476410548</v>
      </c>
      <c r="AJ248" s="8"/>
      <c r="AK248" s="8"/>
      <c r="AL248" s="8"/>
      <c r="AN248" s="8">
        <f t="shared" si="87"/>
        <v>1</v>
      </c>
      <c r="AO248" s="8">
        <f t="shared" si="88"/>
        <v>5.9396650165165106</v>
      </c>
      <c r="AP248" s="8">
        <f t="shared" si="89"/>
        <v>0.60274177025403375</v>
      </c>
      <c r="AQ248" s="8"/>
      <c r="AR248" s="8">
        <f t="shared" si="90"/>
        <v>340.31773716789849</v>
      </c>
      <c r="AS248" s="8">
        <f t="shared" si="91"/>
        <v>55.465440428199962</v>
      </c>
    </row>
    <row r="249" spans="1:45">
      <c r="A249" s="19">
        <v>12.04536667</v>
      </c>
      <c r="B249" s="19">
        <v>1011.796885</v>
      </c>
      <c r="C249" s="19">
        <v>-76.131545119999998</v>
      </c>
      <c r="E249" s="9">
        <f t="shared" si="77"/>
        <v>51.796884999999975</v>
      </c>
      <c r="F249" s="9">
        <f t="shared" si="82"/>
        <v>463.86845488</v>
      </c>
      <c r="I249">
        <v>1</v>
      </c>
      <c r="J249">
        <f t="shared" si="78"/>
        <v>0.30002415660573628</v>
      </c>
      <c r="K249">
        <f t="shared" si="83"/>
        <v>1.4595941042443856</v>
      </c>
      <c r="O249">
        <f t="shared" si="84"/>
        <v>3.2797377387993452E-2</v>
      </c>
      <c r="P249">
        <f t="shared" si="85"/>
        <v>0.2937178321260977</v>
      </c>
      <c r="Q249">
        <f t="shared" si="86"/>
        <v>0.95532935008174802</v>
      </c>
      <c r="R249">
        <f t="shared" si="76"/>
        <v>1</v>
      </c>
      <c r="AG249" s="8">
        <f t="shared" si="79"/>
        <v>0.53397633359529695</v>
      </c>
      <c r="AH249" s="8">
        <f t="shared" si="80"/>
        <v>-0.1906833794830543</v>
      </c>
      <c r="AI249" s="8">
        <f t="shared" si="81"/>
        <v>0.82371665270834837</v>
      </c>
      <c r="AJ249" s="8"/>
      <c r="AK249" s="8"/>
      <c r="AL249" s="8"/>
      <c r="AN249" s="8">
        <f t="shared" si="87"/>
        <v>1.0000000000000002</v>
      </c>
      <c r="AO249" s="8">
        <f t="shared" si="88"/>
        <v>5.9401986608652306</v>
      </c>
      <c r="AP249" s="8">
        <f t="shared" si="89"/>
        <v>0.60286125480106456</v>
      </c>
      <c r="AQ249" s="8"/>
      <c r="AR249" s="8">
        <f t="shared" si="90"/>
        <v>340.34831273684114</v>
      </c>
      <c r="AS249" s="8">
        <f t="shared" si="91"/>
        <v>55.458594467938063</v>
      </c>
    </row>
    <row r="250" spans="1:45">
      <c r="A250" s="19">
        <v>12.07873333</v>
      </c>
      <c r="B250" s="19">
        <v>1012.495454</v>
      </c>
      <c r="C250" s="19">
        <v>-76.629051590000003</v>
      </c>
      <c r="E250" s="9">
        <f t="shared" si="77"/>
        <v>52.495453999999995</v>
      </c>
      <c r="F250" s="9">
        <f t="shared" si="82"/>
        <v>463.37094840999998</v>
      </c>
      <c r="I250">
        <v>1</v>
      </c>
      <c r="J250">
        <f t="shared" si="78"/>
        <v>0.29977004304089089</v>
      </c>
      <c r="K250">
        <f t="shared" si="83"/>
        <v>1.457986967132723</v>
      </c>
      <c r="O250">
        <f t="shared" si="84"/>
        <v>3.3242050789166817E-2</v>
      </c>
      <c r="P250">
        <f t="shared" si="85"/>
        <v>0.29342351437268466</v>
      </c>
      <c r="Q250">
        <f t="shared" si="86"/>
        <v>0.95540442079389254</v>
      </c>
      <c r="R250">
        <f t="shared" si="76"/>
        <v>1</v>
      </c>
      <c r="AG250" s="8">
        <f t="shared" si="79"/>
        <v>0.53435262320786636</v>
      </c>
      <c r="AH250" s="8">
        <f t="shared" si="80"/>
        <v>-0.19033449849523909</v>
      </c>
      <c r="AI250" s="8">
        <f t="shared" si="81"/>
        <v>0.82355330899307166</v>
      </c>
      <c r="AJ250" s="8"/>
      <c r="AK250" s="8"/>
      <c r="AL250" s="8"/>
      <c r="AN250" s="8">
        <f t="shared" si="87"/>
        <v>1</v>
      </c>
      <c r="AO250" s="8">
        <f t="shared" si="88"/>
        <v>5.9410009806031567</v>
      </c>
      <c r="AP250" s="8">
        <f t="shared" si="89"/>
        <v>0.60314927785995753</v>
      </c>
      <c r="AQ250" s="8"/>
      <c r="AR250" s="8">
        <f t="shared" si="90"/>
        <v>340.39428227164433</v>
      </c>
      <c r="AS250" s="8">
        <f t="shared" si="91"/>
        <v>55.442091962261046</v>
      </c>
    </row>
    <row r="251" spans="1:45">
      <c r="A251" s="19">
        <v>12.1121</v>
      </c>
      <c r="B251" s="19">
        <v>1013.274918</v>
      </c>
      <c r="C251" s="19">
        <v>-76.461240959999998</v>
      </c>
      <c r="E251" s="9">
        <f t="shared" si="77"/>
        <v>53.274917999999957</v>
      </c>
      <c r="F251" s="9">
        <f t="shared" si="82"/>
        <v>463.53875904</v>
      </c>
      <c r="I251">
        <v>1</v>
      </c>
      <c r="J251">
        <f t="shared" si="78"/>
        <v>0.29992575989775488</v>
      </c>
      <c r="K251">
        <f t="shared" si="83"/>
        <v>1.456367517297193</v>
      </c>
      <c r="O251">
        <f t="shared" si="84"/>
        <v>3.3734177985274644E-2</v>
      </c>
      <c r="P251">
        <f t="shared" si="85"/>
        <v>0.29351709186166602</v>
      </c>
      <c r="Q251">
        <f t="shared" si="86"/>
        <v>0.95535842594323106</v>
      </c>
      <c r="R251">
        <f t="shared" si="76"/>
        <v>1</v>
      </c>
      <c r="AG251" s="8">
        <f t="shared" si="79"/>
        <v>0.53442377347317094</v>
      </c>
      <c r="AH251" s="8">
        <f t="shared" si="80"/>
        <v>-0.18984112747828361</v>
      </c>
      <c r="AI251" s="8">
        <f t="shared" si="81"/>
        <v>0.82362101519113207</v>
      </c>
      <c r="AJ251" s="8"/>
      <c r="AK251" s="8"/>
      <c r="AL251" s="8"/>
      <c r="AN251" s="8">
        <f t="shared" si="87"/>
        <v>1</v>
      </c>
      <c r="AO251" s="8">
        <f t="shared" si="88"/>
        <v>5.9418625686654796</v>
      </c>
      <c r="AP251" s="8">
        <f t="shared" si="89"/>
        <v>0.60302990651888866</v>
      </c>
      <c r="AQ251" s="8"/>
      <c r="AR251" s="8">
        <f t="shared" si="90"/>
        <v>340.44364763129431</v>
      </c>
      <c r="AS251" s="8">
        <f t="shared" si="91"/>
        <v>55.448931436299112</v>
      </c>
    </row>
    <row r="252" spans="1:45">
      <c r="A252" s="19">
        <v>12.145466669999999</v>
      </c>
      <c r="B252" s="19">
        <v>1013.658725</v>
      </c>
      <c r="C252" s="19">
        <v>-76.464798990000006</v>
      </c>
      <c r="E252" s="9">
        <f t="shared" si="77"/>
        <v>53.658725000000004</v>
      </c>
      <c r="F252" s="9">
        <f t="shared" si="82"/>
        <v>463.53520100999998</v>
      </c>
      <c r="I252">
        <v>1</v>
      </c>
      <c r="J252">
        <f t="shared" si="78"/>
        <v>0.29995044627883705</v>
      </c>
      <c r="K252">
        <f t="shared" si="83"/>
        <v>1.4555495185640277</v>
      </c>
      <c r="O252">
        <f t="shared" si="84"/>
        <v>3.3976975278755088E-2</v>
      </c>
      <c r="P252">
        <f t="shared" si="85"/>
        <v>0.2935128269549741</v>
      </c>
      <c r="Q252">
        <f t="shared" si="86"/>
        <v>0.95535113207857048</v>
      </c>
      <c r="R252">
        <f t="shared" si="76"/>
        <v>1</v>
      </c>
      <c r="AG252" s="8">
        <f t="shared" si="79"/>
        <v>0.5345003147760492</v>
      </c>
      <c r="AH252" s="8">
        <f t="shared" si="80"/>
        <v>-0.18961058134336062</v>
      </c>
      <c r="AI252" s="8">
        <f t="shared" si="81"/>
        <v>0.82362445383010408</v>
      </c>
      <c r="AJ252" s="8"/>
      <c r="AK252" s="8"/>
      <c r="AL252" s="8"/>
      <c r="AN252" s="8">
        <f t="shared" si="87"/>
        <v>1</v>
      </c>
      <c r="AO252" s="8">
        <f t="shared" si="88"/>
        <v>5.9422908040606117</v>
      </c>
      <c r="AP252" s="8">
        <f t="shared" si="89"/>
        <v>0.60302384337633153</v>
      </c>
      <c r="AQ252" s="8"/>
      <c r="AR252" s="8">
        <f t="shared" si="90"/>
        <v>340.46818371207348</v>
      </c>
      <c r="AS252" s="8">
        <f t="shared" si="91"/>
        <v>55.449278828778219</v>
      </c>
    </row>
    <row r="253" spans="1:45">
      <c r="A253" s="19">
        <v>12.17883333</v>
      </c>
      <c r="B253" s="19">
        <v>1015.040626</v>
      </c>
      <c r="C253" s="19">
        <v>-77.249309999999994</v>
      </c>
      <c r="E253" s="9">
        <f t="shared" si="77"/>
        <v>55.040625999999975</v>
      </c>
      <c r="F253" s="9">
        <f t="shared" si="82"/>
        <v>462.75069000000002</v>
      </c>
      <c r="I253">
        <v>1</v>
      </c>
      <c r="J253">
        <f t="shared" si="78"/>
        <v>0.29957312818563803</v>
      </c>
      <c r="K253">
        <f t="shared" si="83"/>
        <v>1.4524102277055384</v>
      </c>
      <c r="O253">
        <f t="shared" si="84"/>
        <v>3.4855650818774432E-2</v>
      </c>
      <c r="P253">
        <f t="shared" si="85"/>
        <v>0.29304674817446552</v>
      </c>
      <c r="Q253">
        <f t="shared" si="86"/>
        <v>0.95546255132808378</v>
      </c>
      <c r="R253">
        <f t="shared" si="76"/>
        <v>1</v>
      </c>
      <c r="AG253" s="8">
        <f t="shared" si="79"/>
        <v>0.5351477544992489</v>
      </c>
      <c r="AH253" s="8">
        <f t="shared" si="80"/>
        <v>-0.18889126017006019</v>
      </c>
      <c r="AI253" s="8">
        <f t="shared" si="81"/>
        <v>0.82336928087327754</v>
      </c>
      <c r="AJ253" s="8"/>
      <c r="AK253" s="8"/>
      <c r="AL253" s="8"/>
      <c r="AN253" s="8">
        <f t="shared" si="87"/>
        <v>1</v>
      </c>
      <c r="AO253" s="8">
        <f t="shared" si="88"/>
        <v>5.9438668008737006</v>
      </c>
      <c r="AP253" s="8">
        <f t="shared" si="89"/>
        <v>0.6034736293966988</v>
      </c>
      <c r="AQ253" s="8"/>
      <c r="AR253" s="8">
        <f t="shared" si="90"/>
        <v>340.55848167798956</v>
      </c>
      <c r="AS253" s="8">
        <f t="shared" si="91"/>
        <v>55.423507988127191</v>
      </c>
    </row>
    <row r="254" spans="1:45">
      <c r="A254" s="19">
        <v>12.212199999999999</v>
      </c>
      <c r="B254" s="19">
        <v>1015.498393</v>
      </c>
      <c r="C254" s="19">
        <v>-77.890795510000004</v>
      </c>
      <c r="E254" s="9">
        <f t="shared" si="77"/>
        <v>55.498392999999965</v>
      </c>
      <c r="F254" s="9">
        <f t="shared" si="82"/>
        <v>462.10920449000002</v>
      </c>
      <c r="I254">
        <v>1</v>
      </c>
      <c r="J254">
        <f t="shared" si="78"/>
        <v>0.29921739022550509</v>
      </c>
      <c r="K254">
        <f t="shared" si="83"/>
        <v>1.4512707893113515</v>
      </c>
      <c r="O254">
        <f t="shared" si="84"/>
        <v>3.5149005225209647E-2</v>
      </c>
      <c r="P254">
        <f t="shared" si="85"/>
        <v>0.29266935428628549</v>
      </c>
      <c r="Q254">
        <f t="shared" si="86"/>
        <v>0.95556747354298688</v>
      </c>
      <c r="R254">
        <f t="shared" si="76"/>
        <v>1</v>
      </c>
      <c r="AG254" s="8">
        <f t="shared" si="79"/>
        <v>0.53554614816228219</v>
      </c>
      <c r="AH254" s="8">
        <f t="shared" si="80"/>
        <v>-0.18870768556027628</v>
      </c>
      <c r="AI254" s="8">
        <f t="shared" si="81"/>
        <v>0.82315231433740543</v>
      </c>
      <c r="AJ254" s="8"/>
      <c r="AK254" s="8"/>
      <c r="AL254" s="8"/>
      <c r="AN254" s="8">
        <f t="shared" si="87"/>
        <v>0.99999999999999989</v>
      </c>
      <c r="AO254" s="8">
        <f t="shared" si="88"/>
        <v>5.9444051939017912</v>
      </c>
      <c r="AP254" s="8">
        <f t="shared" si="89"/>
        <v>0.60385583929662201</v>
      </c>
      <c r="AQ254" s="8"/>
      <c r="AR254" s="8">
        <f t="shared" si="90"/>
        <v>340.58932932621838</v>
      </c>
      <c r="AS254" s="8">
        <f t="shared" si="91"/>
        <v>55.401608973973474</v>
      </c>
    </row>
    <row r="255" spans="1:45">
      <c r="A255" s="19">
        <v>12.245566670000001</v>
      </c>
      <c r="B255" s="19">
        <v>1015.694358</v>
      </c>
      <c r="C255" s="19">
        <v>-77.885161120000006</v>
      </c>
      <c r="E255" s="9">
        <f t="shared" si="77"/>
        <v>55.694357999999966</v>
      </c>
      <c r="F255" s="9">
        <f t="shared" si="82"/>
        <v>462.11483887999998</v>
      </c>
      <c r="I255">
        <v>1</v>
      </c>
      <c r="J255">
        <f t="shared" si="78"/>
        <v>0.29923509970736573</v>
      </c>
      <c r="K255">
        <f t="shared" si="83"/>
        <v>1.4508542219015881</v>
      </c>
      <c r="O255">
        <f t="shared" si="84"/>
        <v>3.5272943550993995E-2</v>
      </c>
      <c r="P255">
        <f t="shared" si="85"/>
        <v>0.29267148794301445</v>
      </c>
      <c r="Q255">
        <f t="shared" si="86"/>
        <v>0.9555622531255985</v>
      </c>
      <c r="R255">
        <f t="shared" si="76"/>
        <v>1</v>
      </c>
      <c r="AG255" s="8">
        <f t="shared" si="79"/>
        <v>0.53558154504815336</v>
      </c>
      <c r="AH255" s="8">
        <f t="shared" si="80"/>
        <v>-0.18858884996927108</v>
      </c>
      <c r="AI255" s="8">
        <f t="shared" si="81"/>
        <v>0.82315651869562489</v>
      </c>
      <c r="AJ255" s="8"/>
      <c r="AK255" s="8"/>
      <c r="AL255" s="8"/>
      <c r="AN255" s="8">
        <f t="shared" si="87"/>
        <v>1</v>
      </c>
      <c r="AO255" s="8">
        <f t="shared" si="88"/>
        <v>5.94462330166344</v>
      </c>
      <c r="AP255" s="8">
        <f t="shared" si="89"/>
        <v>0.6038484348795139</v>
      </c>
      <c r="AQ255" s="8"/>
      <c r="AR255" s="8">
        <f t="shared" si="90"/>
        <v>340.60182598043991</v>
      </c>
      <c r="AS255" s="8">
        <f t="shared" si="91"/>
        <v>55.402033215823522</v>
      </c>
    </row>
    <row r="256" spans="1:45">
      <c r="A256" s="19">
        <v>12.278933329999999</v>
      </c>
      <c r="B256" s="19">
        <v>1016.60076</v>
      </c>
      <c r="C256" s="19">
        <v>-78.179483070000003</v>
      </c>
      <c r="E256" s="9">
        <f t="shared" si="77"/>
        <v>56.600760000000037</v>
      </c>
      <c r="F256" s="9">
        <f t="shared" si="82"/>
        <v>461.82051693</v>
      </c>
      <c r="I256">
        <v>1</v>
      </c>
      <c r="J256">
        <f t="shared" si="78"/>
        <v>0.29912346465193551</v>
      </c>
      <c r="K256">
        <f t="shared" si="83"/>
        <v>1.4488444309731499</v>
      </c>
      <c r="O256">
        <f t="shared" si="84"/>
        <v>3.5848103290260537E-2</v>
      </c>
      <c r="P256">
        <f t="shared" si="85"/>
        <v>0.29249412185398449</v>
      </c>
      <c r="Q256">
        <f t="shared" si="86"/>
        <v>0.9555951560003626</v>
      </c>
      <c r="R256">
        <f t="shared" si="76"/>
        <v>1</v>
      </c>
      <c r="AG256" s="8">
        <f t="shared" si="79"/>
        <v>0.53589964623106168</v>
      </c>
      <c r="AH256" s="8">
        <f t="shared" si="80"/>
        <v>-0.18808512680510248</v>
      </c>
      <c r="AI256" s="8">
        <f t="shared" si="81"/>
        <v>0.82306473271798708</v>
      </c>
      <c r="AJ256" s="8"/>
      <c r="AK256" s="8"/>
      <c r="AL256" s="8"/>
      <c r="AN256" s="8">
        <f t="shared" si="87"/>
        <v>1</v>
      </c>
      <c r="AO256" s="8">
        <f t="shared" si="88"/>
        <v>5.9456458957362219</v>
      </c>
      <c r="AP256" s="8">
        <f t="shared" si="89"/>
        <v>0.60401006375728039</v>
      </c>
      <c r="AQ256" s="8"/>
      <c r="AR256" s="8">
        <f t="shared" si="90"/>
        <v>340.66041630496539</v>
      </c>
      <c r="AS256" s="8">
        <f t="shared" si="91"/>
        <v>55.392772563280069</v>
      </c>
    </row>
    <row r="257" spans="1:45">
      <c r="A257" s="19">
        <v>12.3123</v>
      </c>
      <c r="B257" s="19">
        <v>1017.457279</v>
      </c>
      <c r="C257" s="19">
        <v>-78.532693159999994</v>
      </c>
      <c r="E257" s="9">
        <f t="shared" si="77"/>
        <v>57.457278999999971</v>
      </c>
      <c r="F257" s="9">
        <f t="shared" si="82"/>
        <v>461.46730683999999</v>
      </c>
      <c r="I257">
        <v>1</v>
      </c>
      <c r="J257">
        <f t="shared" si="78"/>
        <v>0.29897351712487402</v>
      </c>
      <c r="K257">
        <f t="shared" si="83"/>
        <v>1.4469238556553097</v>
      </c>
      <c r="O257">
        <f t="shared" si="84"/>
        <v>3.639208919113384E-2</v>
      </c>
      <c r="P257">
        <f t="shared" si="85"/>
        <v>0.29228253898541934</v>
      </c>
      <c r="Q257">
        <f t="shared" si="86"/>
        <v>0.95563933220046016</v>
      </c>
      <c r="R257">
        <f t="shared" si="76"/>
        <v>1</v>
      </c>
      <c r="AG257" s="8">
        <f t="shared" si="79"/>
        <v>0.53623628131884438</v>
      </c>
      <c r="AH257" s="8">
        <f t="shared" si="80"/>
        <v>-0.18761979374670948</v>
      </c>
      <c r="AI257" s="8">
        <f t="shared" si="81"/>
        <v>0.82295167755572352</v>
      </c>
      <c r="AJ257" s="8"/>
      <c r="AK257" s="8"/>
      <c r="AL257" s="8"/>
      <c r="AN257" s="8">
        <f t="shared" si="87"/>
        <v>1</v>
      </c>
      <c r="AO257" s="8">
        <f t="shared" si="88"/>
        <v>5.9466149974776439</v>
      </c>
      <c r="AP257" s="8">
        <f t="shared" si="89"/>
        <v>0.60420909420707691</v>
      </c>
      <c r="AQ257" s="8"/>
      <c r="AR257" s="8">
        <f t="shared" si="90"/>
        <v>340.7159417446677</v>
      </c>
      <c r="AS257" s="8">
        <f t="shared" si="91"/>
        <v>55.381368958512134</v>
      </c>
    </row>
    <row r="258" spans="1:45">
      <c r="A258" s="19">
        <v>12.34566667</v>
      </c>
      <c r="B258" s="19">
        <v>1017.9689499999999</v>
      </c>
      <c r="C258" s="19">
        <v>-78.615358520000001</v>
      </c>
      <c r="E258" s="9">
        <f t="shared" si="77"/>
        <v>57.96894999999995</v>
      </c>
      <c r="F258" s="9">
        <f t="shared" si="82"/>
        <v>461.38464148000003</v>
      </c>
      <c r="I258">
        <v>1</v>
      </c>
      <c r="J258">
        <f t="shared" si="78"/>
        <v>0.29896220429206055</v>
      </c>
      <c r="K258">
        <f t="shared" si="83"/>
        <v>1.4458099827918098</v>
      </c>
      <c r="O258">
        <f t="shared" si="84"/>
        <v>3.6716284423487587E-2</v>
      </c>
      <c r="P258">
        <f t="shared" si="85"/>
        <v>0.29223109483971216</v>
      </c>
      <c r="Q258">
        <f t="shared" si="86"/>
        <v>0.95564266421446287</v>
      </c>
      <c r="R258">
        <f t="shared" si="76"/>
        <v>1</v>
      </c>
      <c r="AG258" s="8">
        <f t="shared" si="79"/>
        <v>0.53637541710087699</v>
      </c>
      <c r="AH258" s="8">
        <f t="shared" si="80"/>
        <v>-0.18732337243797403</v>
      </c>
      <c r="AI258" s="8">
        <f t="shared" si="81"/>
        <v>0.8229285303526207</v>
      </c>
      <c r="AJ258" s="8"/>
      <c r="AK258" s="8"/>
      <c r="AL258" s="8"/>
      <c r="AN258" s="8">
        <f t="shared" si="87"/>
        <v>0.99999999999999989</v>
      </c>
      <c r="AO258" s="8">
        <f t="shared" si="88"/>
        <v>5.9471883368069705</v>
      </c>
      <c r="AP258" s="8">
        <f t="shared" si="89"/>
        <v>0.60424983713357272</v>
      </c>
      <c r="AQ258" s="8"/>
      <c r="AR258" s="8">
        <f t="shared" si="90"/>
        <v>340.74879166846694</v>
      </c>
      <c r="AS258" s="8">
        <f t="shared" si="91"/>
        <v>55.379034560778912</v>
      </c>
    </row>
    <row r="259" spans="1:45">
      <c r="A259" s="19">
        <v>12.37903333</v>
      </c>
      <c r="B259" s="19">
        <v>1019.2653790000001</v>
      </c>
      <c r="C259" s="19">
        <v>-79.161849529999998</v>
      </c>
      <c r="E259" s="9">
        <f t="shared" si="77"/>
        <v>59.265379000000053</v>
      </c>
      <c r="F259" s="9">
        <f t="shared" si="82"/>
        <v>460.83815047000002</v>
      </c>
      <c r="I259">
        <v>1</v>
      </c>
      <c r="J259">
        <f t="shared" si="78"/>
        <v>0.29873094176545734</v>
      </c>
      <c r="K259">
        <f t="shared" si="83"/>
        <v>1.4428949013456396</v>
      </c>
      <c r="O259">
        <f t="shared" si="84"/>
        <v>3.753981388884995E-2</v>
      </c>
      <c r="P259">
        <f t="shared" si="85"/>
        <v>0.29190361545693683</v>
      </c>
      <c r="Q259">
        <f t="shared" si="86"/>
        <v>0.95571075208786849</v>
      </c>
      <c r="R259">
        <f t="shared" si="76"/>
        <v>1</v>
      </c>
      <c r="AG259" s="8">
        <f t="shared" si="79"/>
        <v>0.53689021641436785</v>
      </c>
      <c r="AH259" s="8">
        <f t="shared" si="80"/>
        <v>-0.18662046488039299</v>
      </c>
      <c r="AI259" s="8">
        <f t="shared" si="81"/>
        <v>0.82275251297480656</v>
      </c>
      <c r="AJ259" s="8"/>
      <c r="AK259" s="8"/>
      <c r="AL259" s="8"/>
      <c r="AN259" s="8">
        <f t="shared" si="87"/>
        <v>1</v>
      </c>
      <c r="AO259" s="8">
        <f t="shared" si="88"/>
        <v>5.9486544483804735</v>
      </c>
      <c r="AP259" s="8">
        <f t="shared" si="89"/>
        <v>0.60455957836880414</v>
      </c>
      <c r="AQ259" s="8"/>
      <c r="AR259" s="8">
        <f t="shared" si="90"/>
        <v>340.83279367392396</v>
      </c>
      <c r="AS259" s="8">
        <f t="shared" si="91"/>
        <v>55.361287695258987</v>
      </c>
    </row>
    <row r="260" spans="1:45">
      <c r="A260" s="19">
        <v>12.4124</v>
      </c>
      <c r="B260" s="19">
        <v>1019.457339</v>
      </c>
      <c r="C260" s="19">
        <v>-79.366049759999996</v>
      </c>
      <c r="E260" s="9">
        <f t="shared" si="77"/>
        <v>59.457339000000047</v>
      </c>
      <c r="F260" s="9">
        <f t="shared" si="82"/>
        <v>460.63395023999999</v>
      </c>
      <c r="I260">
        <v>1</v>
      </c>
      <c r="J260">
        <f t="shared" si="78"/>
        <v>0.29862221546801365</v>
      </c>
      <c r="K260">
        <f t="shared" si="83"/>
        <v>1.4424288966745591</v>
      </c>
      <c r="O260">
        <f t="shared" si="84"/>
        <v>3.7662535862374773E-2</v>
      </c>
      <c r="P260">
        <f t="shared" si="85"/>
        <v>0.29178303237454567</v>
      </c>
      <c r="Q260">
        <f t="shared" si="86"/>
        <v>0.95574274541360249</v>
      </c>
      <c r="R260">
        <f t="shared" si="76"/>
        <v>1</v>
      </c>
      <c r="AG260" s="8">
        <f t="shared" si="79"/>
        <v>0.53702586095767779</v>
      </c>
      <c r="AH260" s="8">
        <f t="shared" si="80"/>
        <v>-0.18653400896528965</v>
      </c>
      <c r="AI260" s="8">
        <f t="shared" si="81"/>
        <v>0.82268358933553687</v>
      </c>
      <c r="AJ260" s="8"/>
      <c r="AK260" s="8"/>
      <c r="AL260" s="8"/>
      <c r="AN260" s="8">
        <f t="shared" si="87"/>
        <v>1</v>
      </c>
      <c r="AO260" s="8">
        <f t="shared" si="88"/>
        <v>5.9488764341845961</v>
      </c>
      <c r="AP260" s="8">
        <f t="shared" si="89"/>
        <v>0.60468082681918245</v>
      </c>
      <c r="AQ260" s="8"/>
      <c r="AR260" s="8">
        <f t="shared" si="90"/>
        <v>340.845512523612</v>
      </c>
      <c r="AS260" s="8">
        <f t="shared" si="91"/>
        <v>55.354340670779806</v>
      </c>
    </row>
    <row r="261" spans="1:45">
      <c r="A261" s="19">
        <v>12.445766669999999</v>
      </c>
      <c r="B261" s="19">
        <v>1020.503378</v>
      </c>
      <c r="C261" s="19">
        <v>-79.799521769999998</v>
      </c>
      <c r="E261" s="9">
        <f t="shared" si="77"/>
        <v>60.503377999999998</v>
      </c>
      <c r="F261" s="9">
        <f t="shared" si="82"/>
        <v>460.20047822999999</v>
      </c>
      <c r="I261">
        <v>1</v>
      </c>
      <c r="J261">
        <f t="shared" si="78"/>
        <v>0.29844218175752829</v>
      </c>
      <c r="K261">
        <f t="shared" si="83"/>
        <v>1.4400742715255306</v>
      </c>
      <c r="O261">
        <f t="shared" si="84"/>
        <v>3.8327041062862534E-2</v>
      </c>
      <c r="P261">
        <f t="shared" si="85"/>
        <v>0.29152293986412114</v>
      </c>
      <c r="Q261">
        <f t="shared" si="86"/>
        <v>0.95579569650440765</v>
      </c>
      <c r="R261">
        <f t="shared" si="76"/>
        <v>1</v>
      </c>
      <c r="AG261" s="8">
        <f t="shared" si="79"/>
        <v>0.5374373138354438</v>
      </c>
      <c r="AH261" s="8">
        <f t="shared" si="80"/>
        <v>-0.18596556994243649</v>
      </c>
      <c r="AI261" s="8">
        <f t="shared" si="81"/>
        <v>0.82254357969248515</v>
      </c>
      <c r="AJ261" s="8"/>
      <c r="AK261" s="8"/>
      <c r="AL261" s="8"/>
      <c r="AN261" s="8">
        <f t="shared" si="87"/>
        <v>1.0000000000000002</v>
      </c>
      <c r="AO261" s="8">
        <f t="shared" si="88"/>
        <v>5.950058025237869</v>
      </c>
      <c r="AP261" s="8">
        <f t="shared" si="89"/>
        <v>0.60492706221160575</v>
      </c>
      <c r="AQ261" s="8"/>
      <c r="AR261" s="8">
        <f t="shared" si="90"/>
        <v>340.91321270407497</v>
      </c>
      <c r="AS261" s="8">
        <f t="shared" si="91"/>
        <v>55.340232422027206</v>
      </c>
    </row>
    <row r="262" spans="1:45">
      <c r="A262" s="19">
        <v>12.47913333</v>
      </c>
      <c r="B262" s="19">
        <v>1021.507763</v>
      </c>
      <c r="C262" s="19">
        <v>-80.041587609999993</v>
      </c>
      <c r="E262" s="9">
        <f t="shared" si="77"/>
        <v>61.507762999999954</v>
      </c>
      <c r="F262" s="9">
        <f t="shared" si="82"/>
        <v>459.95841239000003</v>
      </c>
      <c r="I262">
        <v>1</v>
      </c>
      <c r="J262">
        <f t="shared" si="78"/>
        <v>0.29837623715492373</v>
      </c>
      <c r="K262">
        <f t="shared" si="83"/>
        <v>1.4378603642075491</v>
      </c>
      <c r="O262">
        <f t="shared" si="84"/>
        <v>3.8963997053652014E-2</v>
      </c>
      <c r="P262">
        <f t="shared" si="85"/>
        <v>0.29137489889148538</v>
      </c>
      <c r="Q262">
        <f t="shared" si="86"/>
        <v>0.95581508422371098</v>
      </c>
      <c r="R262">
        <f t="shared" si="76"/>
        <v>1</v>
      </c>
      <c r="AG262" s="8">
        <f t="shared" si="79"/>
        <v>0.53774817226771321</v>
      </c>
      <c r="AH262" s="8">
        <f t="shared" si="80"/>
        <v>-0.18539473761546088</v>
      </c>
      <c r="AI262" s="8">
        <f t="shared" si="81"/>
        <v>0.82246926659129838</v>
      </c>
      <c r="AJ262" s="8"/>
      <c r="AK262" s="8"/>
      <c r="AL262" s="8"/>
      <c r="AN262" s="8">
        <f t="shared" si="87"/>
        <v>1</v>
      </c>
      <c r="AO262" s="8">
        <f t="shared" si="88"/>
        <v>5.9511851182720781</v>
      </c>
      <c r="AP262" s="8">
        <f t="shared" si="89"/>
        <v>0.60505772127271906</v>
      </c>
      <c r="AQ262" s="8"/>
      <c r="AR262" s="8">
        <f t="shared" si="90"/>
        <v>340.97779037805373</v>
      </c>
      <c r="AS262" s="8">
        <f t="shared" si="91"/>
        <v>55.332746209270269</v>
      </c>
    </row>
    <row r="263" spans="1:45">
      <c r="A263" s="19">
        <v>12.512499999999999</v>
      </c>
      <c r="B263" s="19">
        <v>1021.698859</v>
      </c>
      <c r="C263" s="19">
        <v>-80.330330950000004</v>
      </c>
      <c r="E263" s="9">
        <f t="shared" si="77"/>
        <v>61.69885899999997</v>
      </c>
      <c r="F263" s="9">
        <f t="shared" si="82"/>
        <v>459.66966904999998</v>
      </c>
      <c r="I263">
        <v>1</v>
      </c>
      <c r="J263">
        <f t="shared" si="78"/>
        <v>0.2982168897952181</v>
      </c>
      <c r="K263">
        <f t="shared" si="83"/>
        <v>1.4373694514133761</v>
      </c>
      <c r="O263">
        <f t="shared" si="84"/>
        <v>3.9086769970707855E-2</v>
      </c>
      <c r="P263">
        <f t="shared" si="85"/>
        <v>0.2912047792758819</v>
      </c>
      <c r="Q263">
        <f t="shared" si="86"/>
        <v>0.95586191520540342</v>
      </c>
      <c r="R263">
        <f t="shared" si="76"/>
        <v>1</v>
      </c>
      <c r="AG263" s="8">
        <f t="shared" si="79"/>
        <v>0.53792432559817271</v>
      </c>
      <c r="AH263" s="8">
        <f t="shared" si="80"/>
        <v>-0.18532078839247068</v>
      </c>
      <c r="AI263" s="8">
        <f t="shared" si="81"/>
        <v>0.82237073471722244</v>
      </c>
      <c r="AJ263" s="8"/>
      <c r="AK263" s="8"/>
      <c r="AL263" s="8"/>
      <c r="AN263" s="8">
        <f t="shared" si="87"/>
        <v>1</v>
      </c>
      <c r="AO263" s="8">
        <f t="shared" si="88"/>
        <v>5.9514089078023957</v>
      </c>
      <c r="AP263" s="8">
        <f t="shared" si="89"/>
        <v>0.60523092430283254</v>
      </c>
      <c r="AQ263" s="8"/>
      <c r="AR263" s="8">
        <f t="shared" si="90"/>
        <v>340.99061257364013</v>
      </c>
      <c r="AS263" s="8">
        <f t="shared" si="91"/>
        <v>55.322822406645891</v>
      </c>
    </row>
    <row r="264" spans="1:45">
      <c r="A264" s="19">
        <v>12.545866670000001</v>
      </c>
      <c r="B264" s="19">
        <v>1021.955867</v>
      </c>
      <c r="C264" s="19">
        <v>-80.770016850000005</v>
      </c>
      <c r="E264" s="9">
        <f t="shared" si="77"/>
        <v>61.955867000000012</v>
      </c>
      <c r="F264" s="9">
        <f t="shared" si="82"/>
        <v>459.22998315000001</v>
      </c>
      <c r="I264">
        <v>1</v>
      </c>
      <c r="J264">
        <f t="shared" si="78"/>
        <v>0.29797156806392916</v>
      </c>
      <c r="K264">
        <f t="shared" si="83"/>
        <v>1.4366935296349714</v>
      </c>
      <c r="O264">
        <f t="shared" si="84"/>
        <v>3.9252239404267933E-2</v>
      </c>
      <c r="P264">
        <f t="shared" si="85"/>
        <v>0.29094589605568311</v>
      </c>
      <c r="Q264">
        <f t="shared" si="86"/>
        <v>0.95593396595690938</v>
      </c>
      <c r="R264">
        <f t="shared" si="76"/>
        <v>1</v>
      </c>
      <c r="AG264" s="8">
        <f t="shared" si="79"/>
        <v>0.53818598521747207</v>
      </c>
      <c r="AH264" s="8">
        <f t="shared" si="80"/>
        <v>-0.1852286433068209</v>
      </c>
      <c r="AI264" s="8">
        <f t="shared" si="81"/>
        <v>0.82222028375260447</v>
      </c>
      <c r="AJ264" s="8"/>
      <c r="AK264" s="8"/>
      <c r="AL264" s="8"/>
      <c r="AN264" s="8">
        <f t="shared" si="87"/>
        <v>0.99999999999999989</v>
      </c>
      <c r="AO264" s="8">
        <f t="shared" si="88"/>
        <v>5.9517117149278835</v>
      </c>
      <c r="AP264" s="8">
        <f t="shared" si="89"/>
        <v>0.60549530904117088</v>
      </c>
      <c r="AQ264" s="8"/>
      <c r="AR264" s="8">
        <f t="shared" si="90"/>
        <v>341.00796214393711</v>
      </c>
      <c r="AS264" s="8">
        <f t="shared" si="91"/>
        <v>55.307674276971433</v>
      </c>
    </row>
    <row r="265" spans="1:45">
      <c r="A265" s="19">
        <v>12.579233329999999</v>
      </c>
      <c r="B265" s="19">
        <v>1022.583041</v>
      </c>
      <c r="C265" s="19">
        <v>-80.959368400000002</v>
      </c>
      <c r="E265" s="9">
        <f t="shared" si="77"/>
        <v>62.58304099999998</v>
      </c>
      <c r="F265" s="9">
        <f t="shared" si="82"/>
        <v>459.04063159999998</v>
      </c>
      <c r="I265">
        <v>1</v>
      </c>
      <c r="J265">
        <f t="shared" si="78"/>
        <v>0.29790841380652944</v>
      </c>
      <c r="K265">
        <f t="shared" si="83"/>
        <v>1.4352972900755747</v>
      </c>
      <c r="O265">
        <f t="shared" si="84"/>
        <v>3.9650275857723925E-2</v>
      </c>
      <c r="P265">
        <f t="shared" si="85"/>
        <v>0.29083098842774074</v>
      </c>
      <c r="Q265">
        <f t="shared" si="86"/>
        <v>0.95595250498889839</v>
      </c>
      <c r="R265">
        <f t="shared" si="76"/>
        <v>1</v>
      </c>
      <c r="AG265" s="8">
        <f t="shared" si="79"/>
        <v>0.53839834070092385</v>
      </c>
      <c r="AH265" s="8">
        <f t="shared" si="80"/>
        <v>-0.18487752319739092</v>
      </c>
      <c r="AI265" s="8">
        <f t="shared" si="81"/>
        <v>0.82216028129975371</v>
      </c>
      <c r="AJ265" s="8"/>
      <c r="AK265" s="8"/>
      <c r="AL265" s="8"/>
      <c r="AN265" s="8">
        <f t="shared" si="87"/>
        <v>1</v>
      </c>
      <c r="AO265" s="8">
        <f t="shared" si="88"/>
        <v>5.9524163447125646</v>
      </c>
      <c r="AP265" s="8">
        <f t="shared" si="89"/>
        <v>0.60560072209539806</v>
      </c>
      <c r="AQ265" s="8"/>
      <c r="AR265" s="8">
        <f t="shared" si="90"/>
        <v>341.04833445671852</v>
      </c>
      <c r="AS265" s="8">
        <f t="shared" si="91"/>
        <v>55.301634553858634</v>
      </c>
    </row>
    <row r="266" spans="1:45">
      <c r="A266" s="19">
        <v>12.6126</v>
      </c>
      <c r="B266" s="19">
        <v>1023.8829940000001</v>
      </c>
      <c r="C266" s="19">
        <v>-81.194065440000003</v>
      </c>
      <c r="E266" s="9">
        <f t="shared" si="77"/>
        <v>63.882994000000053</v>
      </c>
      <c r="F266" s="9">
        <f t="shared" si="82"/>
        <v>458.80593455999997</v>
      </c>
      <c r="I266">
        <v>1</v>
      </c>
      <c r="J266">
        <f t="shared" si="78"/>
        <v>0.29787476473808933</v>
      </c>
      <c r="K266">
        <f t="shared" si="83"/>
        <v>1.4324483000257042</v>
      </c>
      <c r="O266">
        <f t="shared" si="84"/>
        <v>4.0474252344758849E-2</v>
      </c>
      <c r="P266">
        <f t="shared" si="85"/>
        <v>0.2906849853132169</v>
      </c>
      <c r="Q266">
        <f t="shared" si="86"/>
        <v>0.95596238116914811</v>
      </c>
      <c r="R266">
        <f t="shared" si="76"/>
        <v>1</v>
      </c>
      <c r="AG266" s="8">
        <f t="shared" si="79"/>
        <v>0.53876212379432475</v>
      </c>
      <c r="AH266" s="8">
        <f t="shared" si="80"/>
        <v>-0.18412710563192941</v>
      </c>
      <c r="AI266" s="8">
        <f t="shared" si="81"/>
        <v>0.8220903739469505</v>
      </c>
      <c r="AJ266" s="8"/>
      <c r="AK266" s="8"/>
      <c r="AL266" s="8"/>
      <c r="AN266" s="8">
        <f t="shared" si="87"/>
        <v>0.99999999999999989</v>
      </c>
      <c r="AO266" s="8">
        <f t="shared" si="88"/>
        <v>5.9538704163043388</v>
      </c>
      <c r="AP266" s="8">
        <f t="shared" si="89"/>
        <v>0.60572351596340857</v>
      </c>
      <c r="AQ266" s="8"/>
      <c r="AR266" s="8">
        <f t="shared" si="90"/>
        <v>341.13164662203707</v>
      </c>
      <c r="AS266" s="8">
        <f t="shared" si="91"/>
        <v>55.294598983471545</v>
      </c>
    </row>
    <row r="267" spans="1:45">
      <c r="A267" s="19">
        <v>12.64596667</v>
      </c>
      <c r="B267" s="19">
        <v>1024.5285940000001</v>
      </c>
      <c r="C267" s="19">
        <v>-81.541837380000004</v>
      </c>
      <c r="E267" s="9">
        <f t="shared" si="77"/>
        <v>64.528594000000112</v>
      </c>
      <c r="F267" s="9">
        <f t="shared" si="82"/>
        <v>458.45816262</v>
      </c>
      <c r="I267">
        <v>1</v>
      </c>
      <c r="J267">
        <f t="shared" si="78"/>
        <v>0.29771897991692348</v>
      </c>
      <c r="K267">
        <f t="shared" si="83"/>
        <v>1.4309635790172737</v>
      </c>
      <c r="O267">
        <f t="shared" si="84"/>
        <v>4.0885036469717813E-2</v>
      </c>
      <c r="P267">
        <f t="shared" si="85"/>
        <v>0.2904770976190571</v>
      </c>
      <c r="Q267">
        <f t="shared" si="86"/>
        <v>0.95600809073547</v>
      </c>
      <c r="R267">
        <f t="shared" si="76"/>
        <v>1</v>
      </c>
      <c r="AG267" s="8">
        <f t="shared" si="79"/>
        <v>0.5390541505828601</v>
      </c>
      <c r="AH267" s="8">
        <f t="shared" si="80"/>
        <v>-0.1837873244559099</v>
      </c>
      <c r="AI267" s="8">
        <f t="shared" si="81"/>
        <v>0.82197496440507811</v>
      </c>
      <c r="AJ267" s="8"/>
      <c r="AK267" s="8"/>
      <c r="AL267" s="8"/>
      <c r="AN267" s="8">
        <f t="shared" si="87"/>
        <v>1</v>
      </c>
      <c r="AO267" s="8">
        <f t="shared" si="88"/>
        <v>5.9546007858714942</v>
      </c>
      <c r="AP267" s="8">
        <f t="shared" si="89"/>
        <v>0.60592618784486785</v>
      </c>
      <c r="AQ267" s="8"/>
      <c r="AR267" s="8">
        <f t="shared" si="90"/>
        <v>341.17349371571987</v>
      </c>
      <c r="AS267" s="8">
        <f t="shared" si="91"/>
        <v>55.282986740037948</v>
      </c>
    </row>
    <row r="268" spans="1:45">
      <c r="A268" s="19">
        <v>12.67933333</v>
      </c>
      <c r="B268" s="19">
        <v>1024.8789710000001</v>
      </c>
      <c r="C268" s="19">
        <v>-81.694802629999998</v>
      </c>
      <c r="E268" s="9">
        <f t="shared" si="77"/>
        <v>64.878971000000092</v>
      </c>
      <c r="F268" s="9">
        <f t="shared" si="82"/>
        <v>458.30519736999997</v>
      </c>
      <c r="I268">
        <v>1</v>
      </c>
      <c r="J268">
        <f t="shared" si="78"/>
        <v>0.29765633891541582</v>
      </c>
      <c r="K268">
        <f t="shared" si="83"/>
        <v>1.4301679488374506</v>
      </c>
      <c r="O268">
        <f t="shared" si="84"/>
        <v>4.1107741926760408E-2</v>
      </c>
      <c r="P268">
        <f t="shared" si="85"/>
        <v>0.2903851816203884</v>
      </c>
      <c r="Q268">
        <f t="shared" si="86"/>
        <v>0.95602646398987146</v>
      </c>
      <c r="R268">
        <f t="shared" si="76"/>
        <v>1</v>
      </c>
      <c r="AG268" s="8">
        <f t="shared" si="79"/>
        <v>0.53919534577493544</v>
      </c>
      <c r="AH268" s="8">
        <f t="shared" si="80"/>
        <v>-0.18359779265289441</v>
      </c>
      <c r="AI268" s="8">
        <f t="shared" si="81"/>
        <v>0.82192471043741755</v>
      </c>
      <c r="AJ268" s="8"/>
      <c r="AK268" s="8"/>
      <c r="AL268" s="8"/>
      <c r="AN268" s="8">
        <f t="shared" si="87"/>
        <v>1.0000000000000002</v>
      </c>
      <c r="AO268" s="8">
        <f t="shared" si="88"/>
        <v>5.9549957254602885</v>
      </c>
      <c r="AP268" s="8">
        <f t="shared" si="89"/>
        <v>0.60601442082779899</v>
      </c>
      <c r="AQ268" s="8"/>
      <c r="AR268" s="8">
        <f t="shared" si="90"/>
        <v>341.19612208732042</v>
      </c>
      <c r="AS268" s="8">
        <f t="shared" si="91"/>
        <v>55.277931362502144</v>
      </c>
    </row>
    <row r="269" spans="1:45">
      <c r="A269" s="19">
        <v>12.7127</v>
      </c>
      <c r="B269" s="19">
        <v>1025.862922</v>
      </c>
      <c r="C269" s="19">
        <v>-82.427347800000007</v>
      </c>
      <c r="E269" s="9">
        <f t="shared" si="77"/>
        <v>65.862922000000026</v>
      </c>
      <c r="F269" s="9">
        <f t="shared" si="82"/>
        <v>457.57265219999999</v>
      </c>
      <c r="I269">
        <v>1</v>
      </c>
      <c r="J269">
        <f t="shared" si="78"/>
        <v>0.29729805288773598</v>
      </c>
      <c r="K269">
        <f t="shared" si="83"/>
        <v>1.4278384166286642</v>
      </c>
      <c r="O269">
        <f t="shared" si="84"/>
        <v>4.1735287843324302E-2</v>
      </c>
      <c r="P269">
        <f t="shared" si="85"/>
        <v>0.28994957661915305</v>
      </c>
      <c r="Q269">
        <f t="shared" si="86"/>
        <v>0.95613148089946753</v>
      </c>
      <c r="R269">
        <f t="shared" si="76"/>
        <v>1</v>
      </c>
      <c r="AG269" s="8">
        <f t="shared" si="79"/>
        <v>0.53973782099102974</v>
      </c>
      <c r="AH269" s="8">
        <f t="shared" si="80"/>
        <v>-0.18310858159413476</v>
      </c>
      <c r="AI269" s="8">
        <f t="shared" si="81"/>
        <v>0.82167775431639822</v>
      </c>
      <c r="AJ269" s="8"/>
      <c r="AK269" s="8"/>
      <c r="AL269" s="8"/>
      <c r="AN269" s="8">
        <f t="shared" si="87"/>
        <v>1</v>
      </c>
      <c r="AO269" s="8">
        <f t="shared" si="88"/>
        <v>5.9561150412607091</v>
      </c>
      <c r="AP269" s="8">
        <f t="shared" si="89"/>
        <v>0.60644784883963421</v>
      </c>
      <c r="AQ269" s="8"/>
      <c r="AR269" s="8">
        <f t="shared" si="90"/>
        <v>341.26025415862682</v>
      </c>
      <c r="AS269" s="8">
        <f t="shared" si="91"/>
        <v>55.253097766701238</v>
      </c>
    </row>
    <row r="270" spans="1:45">
      <c r="A270" s="19">
        <v>12.746066669999999</v>
      </c>
      <c r="B270" s="19">
        <v>1026.28603</v>
      </c>
      <c r="C270" s="19">
        <v>-82.419857669999999</v>
      </c>
      <c r="E270" s="9">
        <f t="shared" si="77"/>
        <v>66.286029999999982</v>
      </c>
      <c r="F270" s="9">
        <f t="shared" si="82"/>
        <v>457.58014233</v>
      </c>
      <c r="I270">
        <v>1</v>
      </c>
      <c r="J270">
        <f t="shared" si="78"/>
        <v>0.29733955101924209</v>
      </c>
      <c r="K270">
        <f t="shared" si="83"/>
        <v>1.4269349474010076</v>
      </c>
      <c r="O270">
        <f t="shared" si="84"/>
        <v>4.2002919673733402E-2</v>
      </c>
      <c r="P270">
        <f t="shared" si="85"/>
        <v>0.2899510192808723</v>
      </c>
      <c r="Q270">
        <f t="shared" si="86"/>
        <v>0.95611932370225905</v>
      </c>
      <c r="R270">
        <f t="shared" si="76"/>
        <v>1</v>
      </c>
      <c r="AG270" s="8">
        <f t="shared" si="79"/>
        <v>0.539815503235198</v>
      </c>
      <c r="AH270" s="8">
        <f t="shared" si="80"/>
        <v>-0.18285225070905195</v>
      </c>
      <c r="AI270" s="8">
        <f t="shared" si="81"/>
        <v>0.82168380589954682</v>
      </c>
      <c r="AJ270" s="8"/>
      <c r="AK270" s="8"/>
      <c r="AL270" s="8"/>
      <c r="AN270" s="8">
        <f t="shared" si="87"/>
        <v>1.0000000000000002</v>
      </c>
      <c r="AO270" s="8">
        <f t="shared" si="88"/>
        <v>5.9565847353803507</v>
      </c>
      <c r="AP270" s="8">
        <f t="shared" si="89"/>
        <v>0.60643723105801017</v>
      </c>
      <c r="AQ270" s="8"/>
      <c r="AR270" s="8">
        <f t="shared" si="90"/>
        <v>341.28716564934439</v>
      </c>
      <c r="AS270" s="8">
        <f t="shared" si="91"/>
        <v>55.253706120776087</v>
      </c>
    </row>
    <row r="271" spans="1:45">
      <c r="A271" s="19">
        <v>12.77943333</v>
      </c>
      <c r="B271" s="19">
        <v>1026.516967</v>
      </c>
      <c r="C271" s="19">
        <v>-82.372356120000006</v>
      </c>
      <c r="E271" s="9">
        <f t="shared" si="77"/>
        <v>66.516967000000022</v>
      </c>
      <c r="F271" s="9">
        <f t="shared" si="82"/>
        <v>457.62764387999999</v>
      </c>
      <c r="I271">
        <v>1</v>
      </c>
      <c r="J271">
        <f t="shared" si="78"/>
        <v>0.29738856045428652</v>
      </c>
      <c r="K271">
        <f t="shared" si="83"/>
        <v>1.4264554409988246</v>
      </c>
      <c r="O271">
        <f t="shared" si="84"/>
        <v>4.2148688348041495E-2</v>
      </c>
      <c r="P271">
        <f t="shared" si="85"/>
        <v>0.28997721650998659</v>
      </c>
      <c r="Q271">
        <f t="shared" si="86"/>
        <v>0.95610496389029376</v>
      </c>
      <c r="R271">
        <f t="shared" si="76"/>
        <v>1</v>
      </c>
      <c r="AG271" s="8">
        <f t="shared" si="79"/>
        <v>0.5398369491479651</v>
      </c>
      <c r="AH271" s="8">
        <f t="shared" si="80"/>
        <v>-0.18270616083712171</v>
      </c>
      <c r="AI271" s="8">
        <f t="shared" si="81"/>
        <v>0.82170221316896619</v>
      </c>
      <c r="AJ271" s="8"/>
      <c r="AK271" s="8"/>
      <c r="AL271" s="8"/>
      <c r="AN271" s="8">
        <f t="shared" si="87"/>
        <v>1</v>
      </c>
      <c r="AO271" s="8">
        <f t="shared" si="88"/>
        <v>5.956839593023763</v>
      </c>
      <c r="AP271" s="8">
        <f t="shared" si="89"/>
        <v>0.6064049336560754</v>
      </c>
      <c r="AQ271" s="8"/>
      <c r="AR271" s="8">
        <f t="shared" si="90"/>
        <v>341.30176791668856</v>
      </c>
      <c r="AS271" s="8">
        <f t="shared" si="91"/>
        <v>55.255556625596192</v>
      </c>
    </row>
    <row r="272" spans="1:45">
      <c r="A272" s="19">
        <v>12.812799999999999</v>
      </c>
      <c r="B272" s="19">
        <v>1028.0406190000001</v>
      </c>
      <c r="C272" s="19">
        <v>-82.398586730000005</v>
      </c>
      <c r="E272" s="9">
        <f t="shared" si="77"/>
        <v>68.040619000000106</v>
      </c>
      <c r="F272" s="9">
        <f t="shared" si="82"/>
        <v>457.60141326999997</v>
      </c>
      <c r="I272">
        <v>1</v>
      </c>
      <c r="J272">
        <f t="shared" si="78"/>
        <v>0.2975081701580245</v>
      </c>
      <c r="K272">
        <f t="shared" si="83"/>
        <v>1.4231880872690097</v>
      </c>
      <c r="O272">
        <f t="shared" si="84"/>
        <v>4.3112738675012453E-2</v>
      </c>
      <c r="P272">
        <f t="shared" si="85"/>
        <v>0.28995106801755943</v>
      </c>
      <c r="Q272">
        <f t="shared" si="86"/>
        <v>0.95606990848965467</v>
      </c>
      <c r="R272">
        <f t="shared" si="76"/>
        <v>1</v>
      </c>
      <c r="AG272" s="8">
        <f t="shared" si="79"/>
        <v>0.54014191735621975</v>
      </c>
      <c r="AH272" s="8">
        <f t="shared" si="80"/>
        <v>-0.18179057742451987</v>
      </c>
      <c r="AI272" s="8">
        <f t="shared" si="81"/>
        <v>0.82170487102998635</v>
      </c>
      <c r="AJ272" s="8"/>
      <c r="AK272" s="8"/>
      <c r="AL272" s="8"/>
      <c r="AN272" s="8">
        <f t="shared" si="87"/>
        <v>1</v>
      </c>
      <c r="AO272" s="8">
        <f t="shared" si="88"/>
        <v>5.9585328812640244</v>
      </c>
      <c r="AP272" s="8">
        <f t="shared" si="89"/>
        <v>0.60640027004785857</v>
      </c>
      <c r="AQ272" s="8"/>
      <c r="AR272" s="8">
        <f t="shared" si="90"/>
        <v>341.3987861863547</v>
      </c>
      <c r="AS272" s="8">
        <f t="shared" si="91"/>
        <v>55.255823830664319</v>
      </c>
    </row>
    <row r="273" spans="1:45">
      <c r="A273" s="19">
        <v>12.846166670000001</v>
      </c>
      <c r="B273" s="19">
        <v>1028.411787</v>
      </c>
      <c r="C273" s="19">
        <v>-83.035823870000002</v>
      </c>
      <c r="E273" s="9">
        <f t="shared" si="77"/>
        <v>68.411787000000004</v>
      </c>
      <c r="F273" s="9">
        <f t="shared" si="82"/>
        <v>456.96417613</v>
      </c>
      <c r="I273">
        <v>1</v>
      </c>
      <c r="J273">
        <f t="shared" si="78"/>
        <v>0.29715636707322368</v>
      </c>
      <c r="K273">
        <f t="shared" si="83"/>
        <v>1.4221906943386466</v>
      </c>
      <c r="O273">
        <f t="shared" si="84"/>
        <v>4.3352110150924231E-2</v>
      </c>
      <c r="P273">
        <f t="shared" si="85"/>
        <v>0.28957526425401081</v>
      </c>
      <c r="Q273">
        <f t="shared" si="86"/>
        <v>0.95617297644185795</v>
      </c>
      <c r="R273">
        <f t="shared" si="76"/>
        <v>1</v>
      </c>
      <c r="AG273" s="8">
        <f t="shared" si="79"/>
        <v>0.54052036576764606</v>
      </c>
      <c r="AH273" s="8">
        <f t="shared" si="80"/>
        <v>-0.18165716727766551</v>
      </c>
      <c r="AI273" s="8">
        <f t="shared" si="81"/>
        <v>0.82148548847016423</v>
      </c>
      <c r="AJ273" s="8"/>
      <c r="AK273" s="8"/>
      <c r="AL273" s="8"/>
      <c r="AN273" s="8">
        <f t="shared" si="87"/>
        <v>0.99999999999999989</v>
      </c>
      <c r="AO273" s="8">
        <f t="shared" si="88"/>
        <v>5.9589663178118339</v>
      </c>
      <c r="AP273" s="8">
        <f t="shared" si="89"/>
        <v>0.60678510356744364</v>
      </c>
      <c r="AQ273" s="8"/>
      <c r="AR273" s="8">
        <f t="shared" si="90"/>
        <v>341.4236202712309</v>
      </c>
      <c r="AS273" s="8">
        <f t="shared" si="91"/>
        <v>55.233774494176927</v>
      </c>
    </row>
    <row r="274" spans="1:45">
      <c r="A274" s="19">
        <v>12.879533329999999</v>
      </c>
      <c r="B274" s="19">
        <v>1029.597473</v>
      </c>
      <c r="C274" s="19">
        <v>-83.619493469999995</v>
      </c>
      <c r="E274" s="9">
        <f t="shared" si="77"/>
        <v>69.597473000000036</v>
      </c>
      <c r="F274" s="9">
        <f t="shared" si="82"/>
        <v>456.38050652999999</v>
      </c>
      <c r="I274">
        <v>1</v>
      </c>
      <c r="J274">
        <f t="shared" si="78"/>
        <v>0.29691181967699143</v>
      </c>
      <c r="K274">
        <f t="shared" si="83"/>
        <v>1.4194634794798595</v>
      </c>
      <c r="O274">
        <f t="shared" si="84"/>
        <v>4.410642940695364E-2</v>
      </c>
      <c r="P274">
        <f t="shared" si="85"/>
        <v>0.28922479116411559</v>
      </c>
      <c r="Q274">
        <f t="shared" si="86"/>
        <v>0.956244551911823</v>
      </c>
      <c r="R274">
        <f t="shared" si="76"/>
        <v>1</v>
      </c>
      <c r="AG274" s="8">
        <f t="shared" si="79"/>
        <v>0.54102886087572866</v>
      </c>
      <c r="AH274" s="8">
        <f t="shared" si="80"/>
        <v>-0.18102445524487412</v>
      </c>
      <c r="AI274" s="8">
        <f t="shared" si="81"/>
        <v>0.82129039827749595</v>
      </c>
      <c r="AJ274" s="8"/>
      <c r="AK274" s="8"/>
      <c r="AL274" s="8"/>
      <c r="AN274" s="8">
        <f t="shared" si="87"/>
        <v>0.99999999999999989</v>
      </c>
      <c r="AO274" s="8">
        <f t="shared" si="88"/>
        <v>5.9603015054712447</v>
      </c>
      <c r="AP274" s="8">
        <f t="shared" si="89"/>
        <v>0.60712714509600896</v>
      </c>
      <c r="AQ274" s="8"/>
      <c r="AR274" s="8">
        <f t="shared" si="90"/>
        <v>341.50012088897307</v>
      </c>
      <c r="AS274" s="8">
        <f t="shared" si="91"/>
        <v>55.214176958171933</v>
      </c>
    </row>
    <row r="275" spans="1:45">
      <c r="A275" s="19">
        <v>12.9129</v>
      </c>
      <c r="B275" s="19">
        <v>1029.7608439999999</v>
      </c>
      <c r="C275" s="19">
        <v>-84.074814480000001</v>
      </c>
      <c r="E275" s="9">
        <f t="shared" si="77"/>
        <v>69.760843999999906</v>
      </c>
      <c r="F275" s="9">
        <f t="shared" si="82"/>
        <v>455.92518552000001</v>
      </c>
      <c r="I275">
        <v>1</v>
      </c>
      <c r="J275">
        <f t="shared" si="78"/>
        <v>0.29665166595285908</v>
      </c>
      <c r="K275">
        <f t="shared" si="83"/>
        <v>1.4189644974182087</v>
      </c>
      <c r="O275">
        <f t="shared" si="84"/>
        <v>4.4213114058995452E-2</v>
      </c>
      <c r="P275">
        <f t="shared" si="85"/>
        <v>0.28895682841458237</v>
      </c>
      <c r="Q275">
        <f t="shared" si="86"/>
        <v>0.9563206323497323</v>
      </c>
      <c r="R275">
        <f t="shared" si="76"/>
        <v>1</v>
      </c>
      <c r="AG275" s="8">
        <f t="shared" si="79"/>
        <v>0.54127969474528537</v>
      </c>
      <c r="AH275" s="8">
        <f t="shared" si="80"/>
        <v>-0.1809904744783821</v>
      </c>
      <c r="AI275" s="8">
        <f t="shared" si="81"/>
        <v>0.82113259599442334</v>
      </c>
      <c r="AJ275" s="8"/>
      <c r="AK275" s="8"/>
      <c r="AL275" s="8"/>
      <c r="AN275" s="8">
        <f t="shared" si="87"/>
        <v>1</v>
      </c>
      <c r="AO275" s="8">
        <f t="shared" si="88"/>
        <v>5.9604974187359456</v>
      </c>
      <c r="AP275" s="8">
        <f t="shared" si="89"/>
        <v>0.60740368850155202</v>
      </c>
      <c r="AQ275" s="8"/>
      <c r="AR275" s="8">
        <f t="shared" si="90"/>
        <v>341.51134589219106</v>
      </c>
      <c r="AS275" s="8">
        <f t="shared" si="91"/>
        <v>55.198332188182135</v>
      </c>
    </row>
    <row r="276" spans="1:45">
      <c r="A276" s="19">
        <v>12.94626667</v>
      </c>
      <c r="B276" s="19">
        <v>1031.141631</v>
      </c>
      <c r="C276" s="19">
        <v>-84.262268640000002</v>
      </c>
      <c r="E276" s="9">
        <f t="shared" si="77"/>
        <v>71.141630999999961</v>
      </c>
      <c r="F276" s="9">
        <f t="shared" si="82"/>
        <v>455.73773136</v>
      </c>
      <c r="I276">
        <v>1</v>
      </c>
      <c r="J276">
        <f t="shared" si="78"/>
        <v>0.29666735186604076</v>
      </c>
      <c r="K276">
        <f t="shared" si="83"/>
        <v>1.415943933169683</v>
      </c>
      <c r="O276">
        <f t="shared" si="84"/>
        <v>4.5088037327161976E-2</v>
      </c>
      <c r="P276">
        <f t="shared" si="85"/>
        <v>0.28883678310602423</v>
      </c>
      <c r="Q276">
        <f t="shared" si="86"/>
        <v>0.95631604692954308</v>
      </c>
      <c r="R276">
        <f t="shared" si="76"/>
        <v>1</v>
      </c>
      <c r="AG276" s="8">
        <f t="shared" si="79"/>
        <v>0.54163401242276121</v>
      </c>
      <c r="AH276" s="8">
        <f t="shared" si="80"/>
        <v>-0.18018348797240002</v>
      </c>
      <c r="AI276" s="8">
        <f t="shared" si="81"/>
        <v>0.82107643203840674</v>
      </c>
      <c r="AJ276" s="8"/>
      <c r="AK276" s="8"/>
      <c r="AL276" s="8"/>
      <c r="AN276" s="8">
        <f t="shared" si="87"/>
        <v>1.0000000000000002</v>
      </c>
      <c r="AO276" s="8">
        <f t="shared" si="88"/>
        <v>5.9620350281495487</v>
      </c>
      <c r="AP276" s="8">
        <f t="shared" si="89"/>
        <v>0.60750208747445655</v>
      </c>
      <c r="AQ276" s="8"/>
      <c r="AR276" s="8">
        <f t="shared" si="90"/>
        <v>341.59944442213009</v>
      </c>
      <c r="AS276" s="8">
        <f t="shared" si="91"/>
        <v>55.192694342326284</v>
      </c>
    </row>
    <row r="277" spans="1:45">
      <c r="A277" s="19">
        <v>12.97963333</v>
      </c>
      <c r="B277" s="19">
        <v>1031.6131789999999</v>
      </c>
      <c r="C277" s="19">
        <v>-84.267451699999995</v>
      </c>
      <c r="E277" s="9">
        <f t="shared" si="77"/>
        <v>71.613178999999946</v>
      </c>
      <c r="F277" s="9">
        <f t="shared" si="82"/>
        <v>455.73254830000002</v>
      </c>
      <c r="I277">
        <v>1</v>
      </c>
      <c r="J277">
        <f t="shared" si="78"/>
        <v>0.29670884112177176</v>
      </c>
      <c r="K277">
        <f t="shared" si="83"/>
        <v>1.4149322705586536</v>
      </c>
      <c r="O277">
        <f t="shared" si="84"/>
        <v>4.5386378723878094E-2</v>
      </c>
      <c r="P277">
        <f t="shared" si="85"/>
        <v>0.28883021704624906</v>
      </c>
      <c r="Q277">
        <f t="shared" si="86"/>
        <v>0.95630391735438858</v>
      </c>
      <c r="R277">
        <f t="shared" si="76"/>
        <v>1</v>
      </c>
      <c r="AG277" s="8">
        <f t="shared" si="79"/>
        <v>0.54172653960075845</v>
      </c>
      <c r="AH277" s="8">
        <f t="shared" si="80"/>
        <v>-0.17989952485528879</v>
      </c>
      <c r="AI277" s="8">
        <f t="shared" si="81"/>
        <v>0.82107765604054106</v>
      </c>
      <c r="AJ277" s="8"/>
      <c r="AK277" s="8"/>
      <c r="AL277" s="8"/>
      <c r="AN277" s="8">
        <f t="shared" si="87"/>
        <v>0.99999999999999978</v>
      </c>
      <c r="AO277" s="8">
        <f t="shared" si="88"/>
        <v>5.9625582293843911</v>
      </c>
      <c r="AP277" s="8">
        <f t="shared" si="89"/>
        <v>0.60749994317723377</v>
      </c>
      <c r="AQ277" s="8"/>
      <c r="AR277" s="8">
        <f t="shared" si="90"/>
        <v>341.62942164472258</v>
      </c>
      <c r="AS277" s="8">
        <f t="shared" si="91"/>
        <v>55.192817201507175</v>
      </c>
    </row>
    <row r="278" spans="1:45">
      <c r="A278" s="19">
        <v>13.013</v>
      </c>
      <c r="B278" s="19">
        <v>1032.37888</v>
      </c>
      <c r="C278" s="19">
        <v>-84.224443199999996</v>
      </c>
      <c r="E278" s="9">
        <f t="shared" si="77"/>
        <v>72.378879999999981</v>
      </c>
      <c r="F278" s="9">
        <f t="shared" si="82"/>
        <v>455.7755568</v>
      </c>
      <c r="I278">
        <v>1</v>
      </c>
      <c r="J278">
        <f t="shared" si="78"/>
        <v>0.296807881377598</v>
      </c>
      <c r="K278">
        <f t="shared" si="83"/>
        <v>1.4133076456163096</v>
      </c>
      <c r="O278">
        <f t="shared" si="84"/>
        <v>4.5870413747049893E-2</v>
      </c>
      <c r="P278">
        <f t="shared" si="85"/>
        <v>0.28884963909648825</v>
      </c>
      <c r="Q278">
        <f t="shared" si="86"/>
        <v>0.956274955824162</v>
      </c>
      <c r="R278">
        <f t="shared" si="76"/>
        <v>1</v>
      </c>
      <c r="AG278" s="8">
        <f t="shared" si="79"/>
        <v>0.54185187324880257</v>
      </c>
      <c r="AH278" s="8">
        <f t="shared" si="80"/>
        <v>-0.17943111735597059</v>
      </c>
      <c r="AI278" s="8">
        <f t="shared" si="81"/>
        <v>0.82109744950349928</v>
      </c>
      <c r="AJ278" s="8"/>
      <c r="AK278" s="8"/>
      <c r="AL278" s="8"/>
      <c r="AN278" s="8">
        <f t="shared" si="87"/>
        <v>1</v>
      </c>
      <c r="AO278" s="8">
        <f t="shared" si="88"/>
        <v>5.9634062445935738</v>
      </c>
      <c r="AP278" s="8">
        <f t="shared" si="89"/>
        <v>0.6074652666105339</v>
      </c>
      <c r="AQ278" s="8"/>
      <c r="AR278" s="8">
        <f t="shared" si="90"/>
        <v>341.67800933717166</v>
      </c>
      <c r="AS278" s="8">
        <f t="shared" si="91"/>
        <v>55.194804022427078</v>
      </c>
    </row>
    <row r="279" spans="1:45">
      <c r="A279" s="19">
        <v>13.046366669999999</v>
      </c>
      <c r="B279" s="19">
        <v>1033.0092299999999</v>
      </c>
      <c r="C279" s="19">
        <v>-84.906557090000007</v>
      </c>
      <c r="E279" s="9">
        <f t="shared" si="77"/>
        <v>73.009229999999889</v>
      </c>
      <c r="F279" s="9">
        <f t="shared" si="82"/>
        <v>455.09344291000002</v>
      </c>
      <c r="I279">
        <v>1</v>
      </c>
      <c r="J279">
        <f t="shared" si="78"/>
        <v>0.29645670431199278</v>
      </c>
      <c r="K279">
        <f t="shared" si="83"/>
        <v>1.4117248487516065</v>
      </c>
      <c r="O279">
        <f t="shared" si="84"/>
        <v>4.6274348871422184E-2</v>
      </c>
      <c r="P279">
        <f t="shared" si="85"/>
        <v>0.2884450739490611</v>
      </c>
      <c r="Q279">
        <f t="shared" si="86"/>
        <v>0.95637760531656457</v>
      </c>
      <c r="R279">
        <f t="shared" si="76"/>
        <v>1</v>
      </c>
      <c r="AG279" s="8">
        <f t="shared" si="79"/>
        <v>0.54230098842870089</v>
      </c>
      <c r="AH279" s="8">
        <f t="shared" si="80"/>
        <v>-0.17914708906384544</v>
      </c>
      <c r="AI279" s="8">
        <f t="shared" si="81"/>
        <v>0.82086293522682863</v>
      </c>
      <c r="AJ279" s="8"/>
      <c r="AK279" s="8"/>
      <c r="AL279" s="8"/>
      <c r="AN279" s="8">
        <f t="shared" si="87"/>
        <v>1</v>
      </c>
      <c r="AO279" s="8">
        <f t="shared" si="88"/>
        <v>5.9641255472582797</v>
      </c>
      <c r="AP279" s="8">
        <f t="shared" si="89"/>
        <v>0.60787600581223933</v>
      </c>
      <c r="AQ279" s="8"/>
      <c r="AR279" s="8">
        <f t="shared" si="90"/>
        <v>341.71922234405184</v>
      </c>
      <c r="AS279" s="8">
        <f t="shared" si="91"/>
        <v>55.171270399688787</v>
      </c>
    </row>
    <row r="280" spans="1:45">
      <c r="A280" s="19">
        <v>13.07973333</v>
      </c>
      <c r="B280" s="19">
        <v>1033.5400810000001</v>
      </c>
      <c r="C280" s="19">
        <v>-85.212124579999994</v>
      </c>
      <c r="E280" s="9">
        <f t="shared" si="77"/>
        <v>73.5400810000001</v>
      </c>
      <c r="F280" s="9">
        <f t="shared" si="82"/>
        <v>454.78787541999998</v>
      </c>
      <c r="I280">
        <v>1</v>
      </c>
      <c r="J280">
        <f t="shared" si="78"/>
        <v>0.29632381436512872</v>
      </c>
      <c r="K280">
        <f t="shared" si="83"/>
        <v>1.4104820503373636</v>
      </c>
      <c r="O280">
        <f t="shared" si="84"/>
        <v>4.6612504056395485E-2</v>
      </c>
      <c r="P280">
        <f t="shared" si="85"/>
        <v>0.28826187569489081</v>
      </c>
      <c r="Q280">
        <f t="shared" si="86"/>
        <v>0.95641641845299574</v>
      </c>
      <c r="R280">
        <f t="shared" si="76"/>
        <v>1</v>
      </c>
      <c r="AG280" s="8">
        <f t="shared" si="79"/>
        <v>0.54254946928806214</v>
      </c>
      <c r="AH280" s="8">
        <f t="shared" si="80"/>
        <v>-0.17886975192680965</v>
      </c>
      <c r="AI280" s="8">
        <f t="shared" si="81"/>
        <v>0.82075921269327445</v>
      </c>
      <c r="AJ280" s="8"/>
      <c r="AK280" s="8"/>
      <c r="AL280" s="8"/>
      <c r="AN280" s="8">
        <f t="shared" si="87"/>
        <v>1</v>
      </c>
      <c r="AO280" s="8">
        <f t="shared" si="88"/>
        <v>5.9647229522767526</v>
      </c>
      <c r="AP280" s="8">
        <f t="shared" si="89"/>
        <v>0.6080575929546933</v>
      </c>
      <c r="AQ280" s="8"/>
      <c r="AR280" s="8">
        <f t="shared" si="90"/>
        <v>341.75345113027026</v>
      </c>
      <c r="AS280" s="8">
        <f t="shared" si="91"/>
        <v>55.160866222812331</v>
      </c>
    </row>
    <row r="281" spans="1:45">
      <c r="A281" s="19">
        <v>13.113099999999999</v>
      </c>
      <c r="B281" s="19">
        <v>1034.3375880000001</v>
      </c>
      <c r="C281" s="19">
        <v>-85.915151519999995</v>
      </c>
      <c r="E281" s="9">
        <f t="shared" si="77"/>
        <v>74.337588000000096</v>
      </c>
      <c r="F281" s="9">
        <f t="shared" si="82"/>
        <v>454.08484848000001</v>
      </c>
      <c r="I281">
        <v>1</v>
      </c>
      <c r="J281">
        <f t="shared" si="78"/>
        <v>0.29597768016498621</v>
      </c>
      <c r="K281">
        <f t="shared" si="83"/>
        <v>1.4085271562378705</v>
      </c>
      <c r="O281">
        <f t="shared" si="84"/>
        <v>4.7122449728507397E-2</v>
      </c>
      <c r="P281">
        <f t="shared" si="85"/>
        <v>0.28784348565325618</v>
      </c>
      <c r="Q281">
        <f t="shared" si="86"/>
        <v>0.95651743449796456</v>
      </c>
      <c r="R281">
        <f t="shared" si="76"/>
        <v>1</v>
      </c>
      <c r="AG281" s="8">
        <f t="shared" si="79"/>
        <v>0.54304029590640646</v>
      </c>
      <c r="AH281" s="8">
        <f t="shared" si="80"/>
        <v>-0.17848751743834024</v>
      </c>
      <c r="AI281" s="8">
        <f t="shared" si="81"/>
        <v>0.82051778965515465</v>
      </c>
      <c r="AJ281" s="8"/>
      <c r="AK281" s="8"/>
      <c r="AL281" s="8"/>
      <c r="AN281" s="8">
        <f t="shared" si="87"/>
        <v>1</v>
      </c>
      <c r="AO281" s="8">
        <f t="shared" si="88"/>
        <v>5.9656268660635421</v>
      </c>
      <c r="AP281" s="8">
        <f t="shared" si="89"/>
        <v>0.60848006916675956</v>
      </c>
      <c r="AQ281" s="8"/>
      <c r="AR281" s="8">
        <f t="shared" si="90"/>
        <v>341.80524157529698</v>
      </c>
      <c r="AS281" s="8">
        <f t="shared" si="91"/>
        <v>55.136660118916261</v>
      </c>
    </row>
    <row r="282" spans="1:45">
      <c r="A282" s="19">
        <v>13.146466670000001</v>
      </c>
      <c r="B282" s="19">
        <v>1034.7697499999999</v>
      </c>
      <c r="C282" s="19">
        <v>-86.232216059999999</v>
      </c>
      <c r="E282" s="9">
        <f t="shared" si="77"/>
        <v>74.769749999999931</v>
      </c>
      <c r="F282" s="9">
        <f t="shared" si="82"/>
        <v>453.76778394000002</v>
      </c>
      <c r="I282">
        <v>1</v>
      </c>
      <c r="J282">
        <f t="shared" si="78"/>
        <v>0.29582911122977196</v>
      </c>
      <c r="K282">
        <f t="shared" si="83"/>
        <v>1.4074884020317069</v>
      </c>
      <c r="O282">
        <f t="shared" si="84"/>
        <v>4.739831788848109E-2</v>
      </c>
      <c r="P282">
        <f t="shared" si="85"/>
        <v>0.28765416054941667</v>
      </c>
      <c r="Q282">
        <f t="shared" si="86"/>
        <v>0.95656075780890826</v>
      </c>
      <c r="R282">
        <f t="shared" si="76"/>
        <v>1</v>
      </c>
      <c r="AG282" s="8">
        <f t="shared" si="79"/>
        <v>0.54327539184120033</v>
      </c>
      <c r="AH282" s="8">
        <f t="shared" si="80"/>
        <v>-0.1782712896607519</v>
      </c>
      <c r="AI282" s="8">
        <f t="shared" si="81"/>
        <v>0.8204091637119143</v>
      </c>
      <c r="AJ282" s="8"/>
      <c r="AK282" s="8"/>
      <c r="AL282" s="8"/>
      <c r="AN282" s="8">
        <f t="shared" si="87"/>
        <v>1</v>
      </c>
      <c r="AO282" s="8">
        <f t="shared" si="88"/>
        <v>5.9661145121721635</v>
      </c>
      <c r="AP282" s="8">
        <f t="shared" si="89"/>
        <v>0.60867007466775069</v>
      </c>
      <c r="AQ282" s="8"/>
      <c r="AR282" s="8">
        <f t="shared" si="90"/>
        <v>341.833181639217</v>
      </c>
      <c r="AS282" s="8">
        <f t="shared" si="91"/>
        <v>55.125773605625199</v>
      </c>
    </row>
    <row r="283" spans="1:45">
      <c r="A283" s="19">
        <v>13.179833329999999</v>
      </c>
      <c r="B283" s="19">
        <v>1035.5415230000001</v>
      </c>
      <c r="C283" s="19">
        <v>-86.421881470000002</v>
      </c>
      <c r="E283" s="9">
        <f t="shared" si="77"/>
        <v>75.541523000000097</v>
      </c>
      <c r="F283" s="9">
        <f t="shared" si="82"/>
        <v>453.57811852999998</v>
      </c>
      <c r="I283">
        <v>1</v>
      </c>
      <c r="J283">
        <f t="shared" si="78"/>
        <v>0.29579179931800137</v>
      </c>
      <c r="K283">
        <f t="shared" si="83"/>
        <v>1.4057652680162198</v>
      </c>
      <c r="O283">
        <f t="shared" si="84"/>
        <v>4.7888050469711452E-2</v>
      </c>
      <c r="P283">
        <f t="shared" si="85"/>
        <v>0.2875368535013702</v>
      </c>
      <c r="Q283">
        <f t="shared" si="86"/>
        <v>0.95657163479832596</v>
      </c>
      <c r="R283">
        <f t="shared" ref="R283:R346" si="92">SQRT(O283^2+P283^2+Q283^2)</f>
        <v>1</v>
      </c>
      <c r="AG283" s="8">
        <f t="shared" si="79"/>
        <v>0.54351353560404203</v>
      </c>
      <c r="AH283" s="8">
        <f t="shared" si="80"/>
        <v>-0.1778318404191461</v>
      </c>
      <c r="AI283" s="8">
        <f t="shared" si="81"/>
        <v>0.82034680053519626</v>
      </c>
      <c r="AJ283" s="8"/>
      <c r="AK283" s="8"/>
      <c r="AL283" s="8"/>
      <c r="AN283" s="8">
        <f t="shared" si="87"/>
        <v>1</v>
      </c>
      <c r="AO283" s="8">
        <f t="shared" si="88"/>
        <v>5.966974492056095</v>
      </c>
      <c r="AP283" s="8">
        <f t="shared" si="89"/>
        <v>0.60877913521151128</v>
      </c>
      <c r="AQ283" s="8"/>
      <c r="AR283" s="8">
        <f t="shared" si="90"/>
        <v>341.88245485703243</v>
      </c>
      <c r="AS283" s="8">
        <f t="shared" si="91"/>
        <v>55.119524896756317</v>
      </c>
    </row>
    <row r="284" spans="1:45">
      <c r="A284" s="19">
        <v>13.213200000000001</v>
      </c>
      <c r="B284" s="19">
        <v>1036.1765780000001</v>
      </c>
      <c r="C284" s="19">
        <v>-86.571062589999997</v>
      </c>
      <c r="E284" s="9">
        <f t="shared" si="77"/>
        <v>76.176578000000063</v>
      </c>
      <c r="F284" s="9">
        <f t="shared" si="82"/>
        <v>453.42893741</v>
      </c>
      <c r="I284">
        <v>1</v>
      </c>
      <c r="J284">
        <f t="shared" si="78"/>
        <v>0.29576587795475801</v>
      </c>
      <c r="K284">
        <f t="shared" si="83"/>
        <v>1.4043495253835301</v>
      </c>
      <c r="O284">
        <f t="shared" si="84"/>
        <v>4.829097238315639E-2</v>
      </c>
      <c r="P284">
        <f t="shared" si="85"/>
        <v>0.28744431515669072</v>
      </c>
      <c r="Q284">
        <f t="shared" si="86"/>
        <v>0.95657919048575912</v>
      </c>
      <c r="R284">
        <f t="shared" si="92"/>
        <v>1</v>
      </c>
      <c r="AG284" s="8">
        <f t="shared" si="79"/>
        <v>0.54370606837908397</v>
      </c>
      <c r="AH284" s="8">
        <f t="shared" si="80"/>
        <v>-0.1774692236622408</v>
      </c>
      <c r="AI284" s="8">
        <f t="shared" si="81"/>
        <v>0.8202977422012574</v>
      </c>
      <c r="AJ284" s="8"/>
      <c r="AK284" s="8"/>
      <c r="AL284" s="8"/>
      <c r="AN284" s="8">
        <f t="shared" si="87"/>
        <v>1</v>
      </c>
      <c r="AO284" s="8">
        <f t="shared" si="88"/>
        <v>5.9676817554097408</v>
      </c>
      <c r="AP284" s="8">
        <f t="shared" si="89"/>
        <v>0.60886491629556561</v>
      </c>
      <c r="AQ284" s="8"/>
      <c r="AR284" s="8">
        <f t="shared" si="90"/>
        <v>341.92297806220057</v>
      </c>
      <c r="AS284" s="8">
        <f t="shared" si="91"/>
        <v>55.114610002677949</v>
      </c>
    </row>
    <row r="285" spans="1:45">
      <c r="A285" s="19">
        <v>13.24656667</v>
      </c>
      <c r="B285" s="19">
        <v>1036.8846860000001</v>
      </c>
      <c r="C285" s="19">
        <v>-86.838259960000002</v>
      </c>
      <c r="E285" s="9">
        <f t="shared" si="77"/>
        <v>76.884686000000102</v>
      </c>
      <c r="F285" s="9">
        <f t="shared" si="82"/>
        <v>453.16174003999998</v>
      </c>
      <c r="I285">
        <v>1</v>
      </c>
      <c r="J285">
        <f t="shared" si="78"/>
        <v>0.29567679654290629</v>
      </c>
      <c r="K285">
        <f t="shared" si="83"/>
        <v>1.402733924405807</v>
      </c>
      <c r="O285">
        <f t="shared" si="84"/>
        <v>4.8741050429397005E-2</v>
      </c>
      <c r="P285">
        <f t="shared" si="85"/>
        <v>0.28728190714029711</v>
      </c>
      <c r="Q285">
        <f t="shared" si="86"/>
        <v>0.95660515147728153</v>
      </c>
      <c r="R285">
        <f t="shared" si="92"/>
        <v>1</v>
      </c>
      <c r="AG285" s="8">
        <f t="shared" si="79"/>
        <v>0.5439692750070807</v>
      </c>
      <c r="AH285" s="8">
        <f t="shared" si="80"/>
        <v>-0.17707908487380999</v>
      </c>
      <c r="AI285" s="8">
        <f t="shared" si="81"/>
        <v>0.82020755028744097</v>
      </c>
      <c r="AJ285" s="8"/>
      <c r="AK285" s="8"/>
      <c r="AL285" s="8"/>
      <c r="AN285" s="8">
        <f t="shared" si="87"/>
        <v>1</v>
      </c>
      <c r="AO285" s="8">
        <f t="shared" si="88"/>
        <v>5.968472841389195</v>
      </c>
      <c r="AP285" s="8">
        <f t="shared" si="89"/>
        <v>0.60902259408309023</v>
      </c>
      <c r="AQ285" s="8"/>
      <c r="AR285" s="8">
        <f t="shared" si="90"/>
        <v>341.96830395005526</v>
      </c>
      <c r="AS285" s="8">
        <f t="shared" si="91"/>
        <v>55.105575730929829</v>
      </c>
    </row>
    <row r="286" spans="1:45">
      <c r="A286" s="19">
        <v>13.27993333</v>
      </c>
      <c r="B286" s="19">
        <v>1037.628391</v>
      </c>
      <c r="C286" s="19">
        <v>-87.03821198</v>
      </c>
      <c r="E286" s="9">
        <f t="shared" si="77"/>
        <v>77.628390999999965</v>
      </c>
      <c r="F286" s="9">
        <f t="shared" si="82"/>
        <v>452.96178801999997</v>
      </c>
      <c r="I286">
        <v>1</v>
      </c>
      <c r="J286">
        <f t="shared" si="78"/>
        <v>0.29563268179277435</v>
      </c>
      <c r="K286">
        <f t="shared" si="83"/>
        <v>1.4010656674172675</v>
      </c>
      <c r="O286">
        <f t="shared" si="84"/>
        <v>4.9213114023687755E-2</v>
      </c>
      <c r="P286">
        <f t="shared" si="85"/>
        <v>0.28715860054605202</v>
      </c>
      <c r="Q286">
        <f t="shared" si="86"/>
        <v>0.95661800502631378</v>
      </c>
      <c r="R286">
        <f t="shared" si="92"/>
        <v>1</v>
      </c>
      <c r="AG286" s="8">
        <f t="shared" si="79"/>
        <v>0.54420668147545759</v>
      </c>
      <c r="AH286" s="8">
        <f t="shared" si="80"/>
        <v>-0.17665788621353437</v>
      </c>
      <c r="AI286" s="8">
        <f t="shared" si="81"/>
        <v>0.82014088977201716</v>
      </c>
      <c r="AJ286" s="8"/>
      <c r="AK286" s="8"/>
      <c r="AL286" s="8"/>
      <c r="AN286" s="8">
        <f t="shared" si="87"/>
        <v>1.0000000000000002</v>
      </c>
      <c r="AO286" s="8">
        <f t="shared" si="88"/>
        <v>5.9693012773242096</v>
      </c>
      <c r="AP286" s="8">
        <f t="shared" si="89"/>
        <v>0.60913911025651668</v>
      </c>
      <c r="AQ286" s="8"/>
      <c r="AR286" s="8">
        <f t="shared" si="90"/>
        <v>342.01576983272861</v>
      </c>
      <c r="AS286" s="8">
        <f t="shared" si="91"/>
        <v>55.098899845947479</v>
      </c>
    </row>
    <row r="287" spans="1:45">
      <c r="A287" s="19">
        <v>13.3133</v>
      </c>
      <c r="B287" s="19">
        <v>1038.40426</v>
      </c>
      <c r="C287" s="19">
        <v>-87.328531170000005</v>
      </c>
      <c r="E287" s="9">
        <f t="shared" si="77"/>
        <v>78.404260000000022</v>
      </c>
      <c r="F287" s="9">
        <f t="shared" si="82"/>
        <v>452.67146882999998</v>
      </c>
      <c r="I287">
        <v>1</v>
      </c>
      <c r="J287">
        <f t="shared" si="78"/>
        <v>0.29553821856913787</v>
      </c>
      <c r="K287">
        <f t="shared" si="83"/>
        <v>1.39929435630495</v>
      </c>
      <c r="O287">
        <f t="shared" si="84"/>
        <v>4.9706261599554095E-2</v>
      </c>
      <c r="P287">
        <f t="shared" si="85"/>
        <v>0.28698193756714729</v>
      </c>
      <c r="Q287">
        <f t="shared" si="86"/>
        <v>0.9566455221595942</v>
      </c>
      <c r="R287">
        <f t="shared" si="92"/>
        <v>1</v>
      </c>
      <c r="AG287" s="8">
        <f t="shared" si="79"/>
        <v>0.54449362653764799</v>
      </c>
      <c r="AH287" s="8">
        <f t="shared" si="80"/>
        <v>-0.17622993360026218</v>
      </c>
      <c r="AI287" s="8">
        <f t="shared" si="81"/>
        <v>0.82004249960787245</v>
      </c>
      <c r="AJ287" s="8"/>
      <c r="AK287" s="8"/>
      <c r="AL287" s="8"/>
      <c r="AN287" s="8">
        <f t="shared" si="87"/>
        <v>1</v>
      </c>
      <c r="AO287" s="8">
        <f t="shared" si="88"/>
        <v>5.9701673214883986</v>
      </c>
      <c r="AP287" s="8">
        <f t="shared" si="89"/>
        <v>0.60931105125667961</v>
      </c>
      <c r="AQ287" s="8"/>
      <c r="AR287" s="8">
        <f t="shared" si="90"/>
        <v>342.06539050820857</v>
      </c>
      <c r="AS287" s="8">
        <f t="shared" si="91"/>
        <v>55.089048352312886</v>
      </c>
    </row>
    <row r="288" spans="1:45">
      <c r="A288" s="19">
        <v>13.346666669999999</v>
      </c>
      <c r="B288" s="19">
        <v>1039.214776</v>
      </c>
      <c r="C288" s="19">
        <v>-87.93636592</v>
      </c>
      <c r="E288" s="9">
        <f t="shared" ref="E288:E351" si="93">(B288-($B$15/2))</f>
        <v>79.214776000000029</v>
      </c>
      <c r="F288" s="9">
        <f t="shared" si="82"/>
        <v>452.06363407999999</v>
      </c>
      <c r="I288">
        <v>1</v>
      </c>
      <c r="J288">
        <f t="shared" ref="J288:J351" si="94">ATAN((SQRT(E288^2+F288^2)^$B$16)/($F$24))</f>
        <v>0.29525688027187702</v>
      </c>
      <c r="K288">
        <f t="shared" si="83"/>
        <v>1.3973282216175391</v>
      </c>
      <c r="O288">
        <f t="shared" si="84"/>
        <v>5.0223954726143383E-2</v>
      </c>
      <c r="P288">
        <f t="shared" si="85"/>
        <v>0.2866185406037095</v>
      </c>
      <c r="Q288">
        <f t="shared" si="86"/>
        <v>0.95672742542161193</v>
      </c>
      <c r="R288">
        <f t="shared" si="92"/>
        <v>1</v>
      </c>
      <c r="AG288" s="8">
        <f t="shared" ref="AG288:AG351" si="95">$O288*$Z$27+$P288*$Z$31+$Q288*$Z$35</f>
        <v>0.5449400998320324</v>
      </c>
      <c r="AH288" s="8">
        <f t="shared" ref="AH288:AH351" si="96">$O288*$AA$27+$P288*$AA$31+$Q288*$AA$35</f>
        <v>-0.17582569856942037</v>
      </c>
      <c r="AI288" s="8">
        <f t="shared" ref="AI288:AI351" si="97">$AB$27*$O288+$P288*$AB$31+$AB$35*$Q288</f>
        <v>0.81983267275562377</v>
      </c>
      <c r="AJ288" s="8"/>
      <c r="AK288" s="8"/>
      <c r="AL288" s="8"/>
      <c r="AN288" s="8">
        <f t="shared" si="87"/>
        <v>0.99999999999999978</v>
      </c>
      <c r="AO288" s="8">
        <f t="shared" si="88"/>
        <v>5.9710790801169349</v>
      </c>
      <c r="AP288" s="8">
        <f t="shared" si="89"/>
        <v>0.60967759119453702</v>
      </c>
      <c r="AQ288" s="8"/>
      <c r="AR288" s="8">
        <f t="shared" si="90"/>
        <v>342.11763042955835</v>
      </c>
      <c r="AS288" s="8">
        <f t="shared" si="91"/>
        <v>55.068047160850668</v>
      </c>
    </row>
    <row r="289" spans="1:45">
      <c r="A289" s="19">
        <v>13.38003333</v>
      </c>
      <c r="B289" s="19">
        <v>1039.602613</v>
      </c>
      <c r="C289" s="19">
        <v>-88.013133429999996</v>
      </c>
      <c r="E289" s="9">
        <f t="shared" si="93"/>
        <v>79.602613000000019</v>
      </c>
      <c r="F289" s="9">
        <f t="shared" ref="F289:F352" si="98">(($C$15/2)+C289)</f>
        <v>451.98686657000002</v>
      </c>
      <c r="I289">
        <v>1</v>
      </c>
      <c r="J289">
        <f t="shared" si="94"/>
        <v>0.29525167497719362</v>
      </c>
      <c r="K289">
        <f t="shared" ref="K289:K352" si="99">ATAN2(E289,F289)</f>
        <v>1.3964669677499726</v>
      </c>
      <c r="O289">
        <f t="shared" ref="O289:O352" si="100">COS(K289)*SIN(J289)</f>
        <v>5.0469923616633335E-2</v>
      </c>
      <c r="P289">
        <f t="shared" ref="P289:P352" si="101">SIN(K289)*SIN(J289)</f>
        <v>0.28657027416310243</v>
      </c>
      <c r="Q289">
        <f t="shared" ref="Q289:Q352" si="102">COS(J289)</f>
        <v>0.95672894007457276</v>
      </c>
      <c r="R289">
        <f t="shared" si="92"/>
        <v>1</v>
      </c>
      <c r="AG289" s="8">
        <f t="shared" si="95"/>
        <v>0.5450504467919991</v>
      </c>
      <c r="AH289" s="8">
        <f t="shared" si="96"/>
        <v>-0.17560206995643687</v>
      </c>
      <c r="AI289" s="8">
        <f t="shared" si="97"/>
        <v>0.81980724775940894</v>
      </c>
      <c r="AJ289" s="8"/>
      <c r="AK289" s="8"/>
      <c r="AL289" s="8"/>
      <c r="AN289" s="8">
        <f t="shared" ref="AN289:AN352" si="103">AG289^2+AH289^2+AI289^2</f>
        <v>1</v>
      </c>
      <c r="AO289" s="8">
        <f t="shared" ref="AO289:AO352" si="104">IF(ATAN2(AG289,AH289)&gt;=0,ATAN2(AG289,AH289),ATAN2(AG289,AH289)+2*PI())</f>
        <v>5.9715099068585751</v>
      </c>
      <c r="AP289" s="8">
        <f t="shared" ref="AP289:AP352" si="105">ACOS(AI289/AN289)</f>
        <v>0.60972199225531798</v>
      </c>
      <c r="AQ289" s="8"/>
      <c r="AR289" s="8">
        <f t="shared" ref="AR289:AR352" si="106">DEGREES(AO289)</f>
        <v>342.14231498355565</v>
      </c>
      <c r="AS289" s="8">
        <f t="shared" ref="AS289:AS352" si="107">90-DEGREES(AP289)</f>
        <v>55.065503167462012</v>
      </c>
    </row>
    <row r="290" spans="1:45">
      <c r="A290" s="19">
        <v>13.413399999999999</v>
      </c>
      <c r="B290" s="19">
        <v>1040.2652519999999</v>
      </c>
      <c r="C290" s="19">
        <v>-88.617490660000001</v>
      </c>
      <c r="E290" s="9">
        <f t="shared" si="93"/>
        <v>80.265251999999919</v>
      </c>
      <c r="F290" s="9">
        <f t="shared" si="98"/>
        <v>451.38250934000001</v>
      </c>
      <c r="I290">
        <v>1</v>
      </c>
      <c r="J290">
        <f t="shared" si="94"/>
        <v>0.29495808863015271</v>
      </c>
      <c r="K290">
        <f t="shared" si="99"/>
        <v>1.3948148834902561</v>
      </c>
      <c r="O290">
        <f t="shared" si="100"/>
        <v>5.0894115195165728E-2</v>
      </c>
      <c r="P290">
        <f t="shared" si="101"/>
        <v>0.28620994583600068</v>
      </c>
      <c r="Q290">
        <f t="shared" si="102"/>
        <v>0.9568143267860566</v>
      </c>
      <c r="R290">
        <f t="shared" si="92"/>
        <v>1</v>
      </c>
      <c r="AG290" s="8">
        <f t="shared" si="95"/>
        <v>0.54546708424092682</v>
      </c>
      <c r="AH290" s="8">
        <f t="shared" si="96"/>
        <v>-0.17528656974502335</v>
      </c>
      <c r="AI290" s="8">
        <f t="shared" si="97"/>
        <v>0.81959763205900282</v>
      </c>
      <c r="AJ290" s="8"/>
      <c r="AK290" s="8"/>
      <c r="AL290" s="8"/>
      <c r="AN290" s="8">
        <f t="shared" si="103"/>
        <v>0.99999999999999989</v>
      </c>
      <c r="AO290" s="8">
        <f t="shared" si="104"/>
        <v>5.9722570419610834</v>
      </c>
      <c r="AP290" s="8">
        <f t="shared" si="105"/>
        <v>0.61008794812083833</v>
      </c>
      <c r="AQ290" s="8"/>
      <c r="AR290" s="8">
        <f t="shared" si="106"/>
        <v>342.18512267165551</v>
      </c>
      <c r="AS290" s="8">
        <f t="shared" si="107"/>
        <v>55.044535440879642</v>
      </c>
    </row>
    <row r="291" spans="1:45">
      <c r="A291" s="19">
        <v>13.446766670000001</v>
      </c>
      <c r="B291" s="19">
        <v>1041.364705</v>
      </c>
      <c r="C291" s="19">
        <v>-88.678657659999999</v>
      </c>
      <c r="E291" s="9">
        <f t="shared" si="93"/>
        <v>81.364704999999958</v>
      </c>
      <c r="F291" s="9">
        <f t="shared" si="98"/>
        <v>451.32134234</v>
      </c>
      <c r="I291">
        <v>1</v>
      </c>
      <c r="J291">
        <f t="shared" si="94"/>
        <v>0.29503984983236758</v>
      </c>
      <c r="K291">
        <f t="shared" si="99"/>
        <v>1.3924311302737453</v>
      </c>
      <c r="O291">
        <f t="shared" si="100"/>
        <v>5.159010335022015E-2</v>
      </c>
      <c r="P291">
        <f t="shared" si="101"/>
        <v>0.28616480199222388</v>
      </c>
      <c r="Q291">
        <f t="shared" si="102"/>
        <v>0.95679055562702164</v>
      </c>
      <c r="R291">
        <f t="shared" si="92"/>
        <v>1</v>
      </c>
      <c r="AG291" s="8">
        <f t="shared" si="95"/>
        <v>0.54570409204021031</v>
      </c>
      <c r="AH291" s="8">
        <f t="shared" si="96"/>
        <v>-0.17463043228560993</v>
      </c>
      <c r="AI291" s="8">
        <f t="shared" si="97"/>
        <v>0.81957992657843359</v>
      </c>
      <c r="AJ291" s="8"/>
      <c r="AK291" s="8"/>
      <c r="AL291" s="8"/>
      <c r="AN291" s="8">
        <f t="shared" si="103"/>
        <v>0.99999999999999989</v>
      </c>
      <c r="AO291" s="8">
        <f t="shared" si="104"/>
        <v>5.9734738470895827</v>
      </c>
      <c r="AP291" s="8">
        <f t="shared" si="105"/>
        <v>0.61011885031533664</v>
      </c>
      <c r="AQ291" s="8"/>
      <c r="AR291" s="8">
        <f t="shared" si="106"/>
        <v>342.25484047000839</v>
      </c>
      <c r="AS291" s="8">
        <f t="shared" si="107"/>
        <v>55.042764875557197</v>
      </c>
    </row>
    <row r="292" spans="1:45">
      <c r="A292" s="19">
        <v>13.480133329999999</v>
      </c>
      <c r="B292" s="19">
        <v>1041.62573</v>
      </c>
      <c r="C292" s="19">
        <v>-89.070776230000007</v>
      </c>
      <c r="E292" s="9">
        <f t="shared" si="93"/>
        <v>81.625729999999976</v>
      </c>
      <c r="F292" s="9">
        <f t="shared" si="98"/>
        <v>450.92922377000002</v>
      </c>
      <c r="I292">
        <v>1</v>
      </c>
      <c r="J292">
        <f t="shared" si="94"/>
        <v>0.29483204012679409</v>
      </c>
      <c r="K292">
        <f t="shared" si="99"/>
        <v>1.3917187492729419</v>
      </c>
      <c r="O292">
        <f t="shared" si="100"/>
        <v>5.1758531434635685E-2</v>
      </c>
      <c r="P292">
        <f t="shared" si="101"/>
        <v>0.28593232064565205</v>
      </c>
      <c r="Q292">
        <f t="shared" si="102"/>
        <v>0.95685096145320447</v>
      </c>
      <c r="R292">
        <f t="shared" si="92"/>
        <v>1</v>
      </c>
      <c r="AG292" s="8">
        <f t="shared" si="95"/>
        <v>0.5459424028156149</v>
      </c>
      <c r="AH292" s="8">
        <f t="shared" si="96"/>
        <v>-0.17452774240923086</v>
      </c>
      <c r="AI292" s="8">
        <f t="shared" si="97"/>
        <v>0.81944307913207137</v>
      </c>
      <c r="AJ292" s="8"/>
      <c r="AK292" s="8"/>
      <c r="AL292" s="8"/>
      <c r="AN292" s="8">
        <f t="shared" si="103"/>
        <v>1.0000000000000002</v>
      </c>
      <c r="AO292" s="8">
        <f t="shared" si="104"/>
        <v>5.9737712111010355</v>
      </c>
      <c r="AP292" s="8">
        <f t="shared" si="105"/>
        <v>0.61035765043380397</v>
      </c>
      <c r="AQ292" s="8"/>
      <c r="AR292" s="8">
        <f t="shared" si="106"/>
        <v>342.27187817284369</v>
      </c>
      <c r="AS292" s="8">
        <f t="shared" si="107"/>
        <v>55.029082636621794</v>
      </c>
    </row>
    <row r="293" spans="1:45">
      <c r="A293" s="19">
        <v>13.513500000000001</v>
      </c>
      <c r="B293" s="19">
        <v>1041.66389</v>
      </c>
      <c r="C293" s="19">
        <v>-89.802264489999999</v>
      </c>
      <c r="E293" s="9">
        <f t="shared" si="93"/>
        <v>81.663890000000038</v>
      </c>
      <c r="F293" s="9">
        <f t="shared" si="98"/>
        <v>450.19773551000003</v>
      </c>
      <c r="I293">
        <v>1</v>
      </c>
      <c r="J293">
        <f t="shared" si="94"/>
        <v>0.2943955126056611</v>
      </c>
      <c r="K293">
        <f t="shared" si="99"/>
        <v>1.3913519130602692</v>
      </c>
      <c r="O293">
        <f t="shared" si="100"/>
        <v>5.1788862485403972E-2</v>
      </c>
      <c r="P293">
        <f t="shared" si="101"/>
        <v>0.28550230237094587</v>
      </c>
      <c r="Q293">
        <f t="shared" si="102"/>
        <v>0.95697771607459958</v>
      </c>
      <c r="R293">
        <f t="shared" si="92"/>
        <v>1</v>
      </c>
      <c r="AG293" s="8">
        <f t="shared" si="95"/>
        <v>0.5463023191268892</v>
      </c>
      <c r="AH293" s="8">
        <f t="shared" si="96"/>
        <v>-0.17460751522409326</v>
      </c>
      <c r="AI293" s="8">
        <f t="shared" si="97"/>
        <v>0.8191861764848396</v>
      </c>
      <c r="AJ293" s="8"/>
      <c r="AK293" s="8"/>
      <c r="AL293" s="8"/>
      <c r="AN293" s="8">
        <f t="shared" si="103"/>
        <v>1.0000000000000002</v>
      </c>
      <c r="AO293" s="8">
        <f t="shared" si="104"/>
        <v>5.9738298136091679</v>
      </c>
      <c r="AP293" s="8">
        <f t="shared" si="105"/>
        <v>0.61080572800163513</v>
      </c>
      <c r="AQ293" s="8"/>
      <c r="AR293" s="8">
        <f t="shared" si="106"/>
        <v>342.27523584922858</v>
      </c>
      <c r="AS293" s="8">
        <f t="shared" si="107"/>
        <v>55.003409683090581</v>
      </c>
    </row>
    <row r="294" spans="1:45">
      <c r="A294" s="19">
        <v>13.54686667</v>
      </c>
      <c r="B294" s="19">
        <v>1043.6158620000001</v>
      </c>
      <c r="C294" s="19">
        <v>-89.789130610000001</v>
      </c>
      <c r="E294" s="9">
        <f t="shared" si="93"/>
        <v>83.615862000000106</v>
      </c>
      <c r="F294" s="9">
        <f t="shared" si="98"/>
        <v>450.21086938999997</v>
      </c>
      <c r="I294">
        <v>1</v>
      </c>
      <c r="J294">
        <f t="shared" si="94"/>
        <v>0.29461921075393727</v>
      </c>
      <c r="K294">
        <f t="shared" si="99"/>
        <v>1.3871626810572852</v>
      </c>
      <c r="O294">
        <f t="shared" si="100"/>
        <v>5.302352925505284E-2</v>
      </c>
      <c r="P294">
        <f t="shared" si="101"/>
        <v>0.28549330991819954</v>
      </c>
      <c r="Q294">
        <f t="shared" si="102"/>
        <v>0.95691278355829767</v>
      </c>
      <c r="R294">
        <f t="shared" si="92"/>
        <v>1</v>
      </c>
      <c r="AG294" s="8">
        <f t="shared" si="95"/>
        <v>0.54666357889879957</v>
      </c>
      <c r="AH294" s="8">
        <f t="shared" si="96"/>
        <v>-0.17342510795067911</v>
      </c>
      <c r="AI294" s="8">
        <f t="shared" si="97"/>
        <v>0.81919635218783249</v>
      </c>
      <c r="AJ294" s="8"/>
      <c r="AK294" s="8"/>
      <c r="AL294" s="8"/>
      <c r="AN294" s="8">
        <f t="shared" si="103"/>
        <v>1</v>
      </c>
      <c r="AO294" s="8">
        <f t="shared" si="104"/>
        <v>5.9759854101938723</v>
      </c>
      <c r="AP294" s="8">
        <f t="shared" si="105"/>
        <v>0.610787985472102</v>
      </c>
      <c r="AQ294" s="8"/>
      <c r="AR294" s="8">
        <f t="shared" si="106"/>
        <v>342.3987424358649</v>
      </c>
      <c r="AS294" s="8">
        <f t="shared" si="107"/>
        <v>55.004426255150712</v>
      </c>
    </row>
    <row r="295" spans="1:45">
      <c r="A295" s="19">
        <v>13.58023333</v>
      </c>
      <c r="B295" s="19">
        <v>1044.3031309999999</v>
      </c>
      <c r="C295" s="19">
        <v>-89.958254650000001</v>
      </c>
      <c r="E295" s="9">
        <f t="shared" si="93"/>
        <v>84.303130999999894</v>
      </c>
      <c r="F295" s="9">
        <f t="shared" si="98"/>
        <v>450.04174534999999</v>
      </c>
      <c r="I295">
        <v>1</v>
      </c>
      <c r="J295">
        <f t="shared" si="94"/>
        <v>0.29459457422728058</v>
      </c>
      <c r="K295">
        <f t="shared" si="99"/>
        <v>1.3856194543882649</v>
      </c>
      <c r="O295">
        <f t="shared" si="100"/>
        <v>5.3459706175181809E-2</v>
      </c>
      <c r="P295">
        <f t="shared" si="101"/>
        <v>0.28538797061970356</v>
      </c>
      <c r="Q295">
        <f t="shared" si="102"/>
        <v>0.95691993711137113</v>
      </c>
      <c r="R295">
        <f t="shared" si="92"/>
        <v>1</v>
      </c>
      <c r="AG295" s="8">
        <f t="shared" si="95"/>
        <v>0.54687434083428277</v>
      </c>
      <c r="AH295" s="8">
        <f t="shared" si="96"/>
        <v>-0.17303314137136677</v>
      </c>
      <c r="AI295" s="8">
        <f t="shared" si="97"/>
        <v>0.81913856417838449</v>
      </c>
      <c r="AJ295" s="8"/>
      <c r="AK295" s="8"/>
      <c r="AL295" s="8"/>
      <c r="AN295" s="8">
        <f t="shared" si="103"/>
        <v>1</v>
      </c>
      <c r="AO295" s="8">
        <f t="shared" si="104"/>
        <v>5.9767478789655097</v>
      </c>
      <c r="AP295" s="8">
        <f t="shared" si="105"/>
        <v>0.61088873965926394</v>
      </c>
      <c r="AQ295" s="8"/>
      <c r="AR295" s="8">
        <f t="shared" si="106"/>
        <v>342.44242867849027</v>
      </c>
      <c r="AS295" s="8">
        <f t="shared" si="107"/>
        <v>54.998653465458062</v>
      </c>
    </row>
    <row r="296" spans="1:45">
      <c r="A296" s="19">
        <v>13.6136</v>
      </c>
      <c r="B296" s="19">
        <v>1044.4633759999999</v>
      </c>
      <c r="C296" s="19">
        <v>-89.976264999999998</v>
      </c>
      <c r="E296" s="9">
        <f t="shared" si="93"/>
        <v>84.463375999999926</v>
      </c>
      <c r="F296" s="9">
        <f t="shared" si="98"/>
        <v>450.02373499999999</v>
      </c>
      <c r="I296">
        <v>1</v>
      </c>
      <c r="J296">
        <f t="shared" si="94"/>
        <v>0.2946018175838126</v>
      </c>
      <c r="K296">
        <f t="shared" si="99"/>
        <v>1.3852682248753232</v>
      </c>
      <c r="O296">
        <f t="shared" si="100"/>
        <v>5.3561218140850082E-2</v>
      </c>
      <c r="P296">
        <f t="shared" si="101"/>
        <v>0.28537598874682829</v>
      </c>
      <c r="Q296">
        <f t="shared" si="102"/>
        <v>0.95691783396383534</v>
      </c>
      <c r="R296">
        <f t="shared" si="92"/>
        <v>1</v>
      </c>
      <c r="AG296" s="8">
        <f t="shared" si="95"/>
        <v>0.5469131362242392</v>
      </c>
      <c r="AH296" s="8">
        <f t="shared" si="96"/>
        <v>-0.17293873798679071</v>
      </c>
      <c r="AI296" s="8">
        <f t="shared" si="97"/>
        <v>0.81913259874632183</v>
      </c>
      <c r="AJ296" s="8"/>
      <c r="AK296" s="8"/>
      <c r="AL296" s="8"/>
      <c r="AN296" s="8">
        <f t="shared" si="103"/>
        <v>0.99999999999999978</v>
      </c>
      <c r="AO296" s="8">
        <f t="shared" si="104"/>
        <v>5.9769251941045383</v>
      </c>
      <c r="AP296" s="8">
        <f t="shared" si="105"/>
        <v>0.61089913964638731</v>
      </c>
      <c r="AQ296" s="8"/>
      <c r="AR296" s="8">
        <f t="shared" si="106"/>
        <v>342.45258808760036</v>
      </c>
      <c r="AS296" s="8">
        <f t="shared" si="107"/>
        <v>54.998057590088905</v>
      </c>
    </row>
    <row r="297" spans="1:45">
      <c r="A297" s="19">
        <v>13.646966669999999</v>
      </c>
      <c r="B297" s="19">
        <v>1046.1642409999999</v>
      </c>
      <c r="C297" s="19">
        <v>-90.093555089999995</v>
      </c>
      <c r="E297" s="9">
        <f t="shared" si="93"/>
        <v>86.164240999999947</v>
      </c>
      <c r="F297" s="9">
        <f t="shared" si="98"/>
        <v>449.90644491</v>
      </c>
      <c r="I297">
        <v>1</v>
      </c>
      <c r="J297">
        <f t="shared" si="94"/>
        <v>0.29472525035588226</v>
      </c>
      <c r="K297">
        <f t="shared" si="99"/>
        <v>1.381571698165404</v>
      </c>
      <c r="O297">
        <f t="shared" si="100"/>
        <v>5.4637966479710323E-2</v>
      </c>
      <c r="P297">
        <f t="shared" si="101"/>
        <v>0.28529205353295256</v>
      </c>
      <c r="Q297">
        <f t="shared" si="102"/>
        <v>0.95688198687712422</v>
      </c>
      <c r="R297">
        <f t="shared" si="92"/>
        <v>1</v>
      </c>
      <c r="AG297" s="8">
        <f t="shared" si="95"/>
        <v>0.54728891747050779</v>
      </c>
      <c r="AH297" s="8">
        <f t="shared" si="96"/>
        <v>-0.17192627940019892</v>
      </c>
      <c r="AI297" s="8">
        <f t="shared" si="97"/>
        <v>0.81909474132457005</v>
      </c>
      <c r="AJ297" s="8"/>
      <c r="AK297" s="8"/>
      <c r="AL297" s="8"/>
      <c r="AN297" s="8">
        <f t="shared" si="103"/>
        <v>0.99999999999999989</v>
      </c>
      <c r="AO297" s="8">
        <f t="shared" si="104"/>
        <v>5.9788054832609365</v>
      </c>
      <c r="AP297" s="8">
        <f t="shared" si="105"/>
        <v>0.6109651357417667</v>
      </c>
      <c r="AQ297" s="8"/>
      <c r="AR297" s="8">
        <f t="shared" si="106"/>
        <v>342.56032072052625</v>
      </c>
      <c r="AS297" s="8">
        <f t="shared" si="107"/>
        <v>54.994276292359324</v>
      </c>
    </row>
    <row r="298" spans="1:45">
      <c r="A298" s="19">
        <v>13.68033333</v>
      </c>
      <c r="B298" s="19">
        <v>1045.940638</v>
      </c>
      <c r="C298" s="19">
        <v>-90.744297810000006</v>
      </c>
      <c r="E298" s="9">
        <f t="shared" si="93"/>
        <v>85.940638000000035</v>
      </c>
      <c r="F298" s="9">
        <f t="shared" si="98"/>
        <v>449.25570218999997</v>
      </c>
      <c r="I298">
        <v>1</v>
      </c>
      <c r="J298">
        <f t="shared" si="94"/>
        <v>0.2943081616679048</v>
      </c>
      <c r="K298">
        <f t="shared" si="99"/>
        <v>1.381784221875215</v>
      </c>
      <c r="O298">
        <f t="shared" si="100"/>
        <v>5.4502341926972439E-2</v>
      </c>
      <c r="P298">
        <f t="shared" si="101"/>
        <v>0.28491163741885961</v>
      </c>
      <c r="Q298">
        <f t="shared" si="102"/>
        <v>0.95700305829593857</v>
      </c>
      <c r="R298">
        <f t="shared" si="92"/>
        <v>1</v>
      </c>
      <c r="AG298" s="8">
        <f t="shared" si="95"/>
        <v>0.54756077956584281</v>
      </c>
      <c r="AH298" s="8">
        <f t="shared" si="96"/>
        <v>-0.17215274229118427</v>
      </c>
      <c r="AI298" s="8">
        <f t="shared" si="97"/>
        <v>0.81886545048797332</v>
      </c>
      <c r="AJ298" s="8"/>
      <c r="AK298" s="8"/>
      <c r="AL298" s="8"/>
      <c r="AN298" s="8">
        <f t="shared" si="103"/>
        <v>0.99999999999999978</v>
      </c>
      <c r="AO298" s="8">
        <f t="shared" si="104"/>
        <v>5.9785710251186348</v>
      </c>
      <c r="AP298" s="8">
        <f t="shared" si="105"/>
        <v>0.61136472111336271</v>
      </c>
      <c r="AQ298" s="8"/>
      <c r="AR298" s="8">
        <f t="shared" si="106"/>
        <v>342.54688725849985</v>
      </c>
      <c r="AS298" s="8">
        <f t="shared" si="107"/>
        <v>54.971381737011704</v>
      </c>
    </row>
    <row r="299" spans="1:45">
      <c r="A299" s="19">
        <v>13.713699999999999</v>
      </c>
      <c r="B299" s="19">
        <v>1046.7602220000001</v>
      </c>
      <c r="C299" s="19">
        <v>-90.991352849999998</v>
      </c>
      <c r="E299" s="9">
        <f t="shared" si="93"/>
        <v>86.760222000000113</v>
      </c>
      <c r="F299" s="9">
        <f t="shared" si="98"/>
        <v>449.00864715</v>
      </c>
      <c r="I299">
        <v>1</v>
      </c>
      <c r="J299">
        <f t="shared" si="94"/>
        <v>0.29425434979863763</v>
      </c>
      <c r="K299">
        <f t="shared" si="99"/>
        <v>1.3799224664877701</v>
      </c>
      <c r="O299">
        <f t="shared" si="100"/>
        <v>5.5022912793333392E-2</v>
      </c>
      <c r="P299">
        <f t="shared" si="101"/>
        <v>0.28475911040876556</v>
      </c>
      <c r="Q299">
        <f t="shared" si="102"/>
        <v>0.95701866654049428</v>
      </c>
      <c r="R299">
        <f t="shared" si="92"/>
        <v>1</v>
      </c>
      <c r="AG299" s="8">
        <f t="shared" si="95"/>
        <v>0.5478335313179854</v>
      </c>
      <c r="AH299" s="8">
        <f t="shared" si="96"/>
        <v>-0.17169145763854432</v>
      </c>
      <c r="AI299" s="8">
        <f t="shared" si="97"/>
        <v>0.81877986378367784</v>
      </c>
      <c r="AJ299" s="8"/>
      <c r="AK299" s="8"/>
      <c r="AL299" s="8"/>
      <c r="AN299" s="8">
        <f t="shared" si="103"/>
        <v>1.0000000000000002</v>
      </c>
      <c r="AO299" s="8">
        <f t="shared" si="104"/>
        <v>5.9794800072754155</v>
      </c>
      <c r="AP299" s="8">
        <f t="shared" si="105"/>
        <v>0.61151381477652278</v>
      </c>
      <c r="AQ299" s="8"/>
      <c r="AR299" s="8">
        <f t="shared" si="106"/>
        <v>342.59896809973611</v>
      </c>
      <c r="AS299" s="8">
        <f t="shared" si="107"/>
        <v>54.962839299360489</v>
      </c>
    </row>
    <row r="300" spans="1:45">
      <c r="A300" s="19">
        <v>13.747066670000001</v>
      </c>
      <c r="B300" s="19">
        <v>1047.8937960000001</v>
      </c>
      <c r="C300" s="19">
        <v>-91.28303287</v>
      </c>
      <c r="E300" s="9">
        <f t="shared" si="93"/>
        <v>87.893796000000066</v>
      </c>
      <c r="F300" s="9">
        <f t="shared" si="98"/>
        <v>448.71696713</v>
      </c>
      <c r="I300">
        <v>1</v>
      </c>
      <c r="J300">
        <f t="shared" si="94"/>
        <v>0.29421158426169641</v>
      </c>
      <c r="K300">
        <f t="shared" si="99"/>
        <v>1.3773673221186957</v>
      </c>
      <c r="O300">
        <f t="shared" si="100"/>
        <v>5.574246569662674E-2</v>
      </c>
      <c r="P300">
        <f t="shared" si="101"/>
        <v>0.28457742509765294</v>
      </c>
      <c r="Q300">
        <f t="shared" si="102"/>
        <v>0.95703106879706379</v>
      </c>
      <c r="R300">
        <f t="shared" si="92"/>
        <v>1</v>
      </c>
      <c r="AG300" s="8">
        <f t="shared" si="95"/>
        <v>0.54818639289461468</v>
      </c>
      <c r="AH300" s="8">
        <f t="shared" si="96"/>
        <v>-0.17104634051660822</v>
      </c>
      <c r="AI300" s="8">
        <f t="shared" si="97"/>
        <v>0.81867870867701686</v>
      </c>
      <c r="AJ300" s="8"/>
      <c r="AK300" s="8"/>
      <c r="AL300" s="8"/>
      <c r="AN300" s="8">
        <f t="shared" si="103"/>
        <v>1.0000000000000002</v>
      </c>
      <c r="AO300" s="8">
        <f t="shared" si="104"/>
        <v>5.9807357621775905</v>
      </c>
      <c r="AP300" s="8">
        <f t="shared" si="105"/>
        <v>0.61168998802559049</v>
      </c>
      <c r="AQ300" s="8"/>
      <c r="AR300" s="8">
        <f t="shared" si="106"/>
        <v>342.67091755573358</v>
      </c>
      <c r="AS300" s="8">
        <f t="shared" si="107"/>
        <v>54.952745315725799</v>
      </c>
    </row>
    <row r="301" spans="1:45">
      <c r="A301" s="19">
        <v>13.780433329999999</v>
      </c>
      <c r="B301" s="19">
        <v>1048.4360569999999</v>
      </c>
      <c r="C301" s="19">
        <v>-91.923318210000005</v>
      </c>
      <c r="E301" s="9">
        <f t="shared" si="93"/>
        <v>88.436056999999892</v>
      </c>
      <c r="F301" s="9">
        <f t="shared" si="98"/>
        <v>448.07668179000001</v>
      </c>
      <c r="I301">
        <v>1</v>
      </c>
      <c r="J301">
        <f t="shared" si="94"/>
        <v>0.2938908712383671</v>
      </c>
      <c r="K301">
        <f t="shared" si="99"/>
        <v>1.375932686776655</v>
      </c>
      <c r="O301">
        <f t="shared" si="100"/>
        <v>5.6091237984541575E-2</v>
      </c>
      <c r="P301">
        <f t="shared" si="101"/>
        <v>0.28419602418057421</v>
      </c>
      <c r="Q301">
        <f t="shared" si="102"/>
        <v>0.9571240216718605</v>
      </c>
      <c r="R301">
        <f t="shared" si="92"/>
        <v>1</v>
      </c>
      <c r="AG301" s="8">
        <f t="shared" si="95"/>
        <v>0.54859653232632011</v>
      </c>
      <c r="AH301" s="8">
        <f t="shared" si="96"/>
        <v>-0.17080773092840623</v>
      </c>
      <c r="AI301" s="8">
        <f t="shared" si="97"/>
        <v>0.81845376398097536</v>
      </c>
      <c r="AJ301" s="8"/>
      <c r="AK301" s="8"/>
      <c r="AL301" s="8"/>
      <c r="AN301" s="8">
        <f t="shared" si="103"/>
        <v>1.0000000000000002</v>
      </c>
      <c r="AO301" s="8">
        <f t="shared" si="104"/>
        <v>5.9813448115666477</v>
      </c>
      <c r="AP301" s="8">
        <f t="shared" si="105"/>
        <v>0.61208159657127958</v>
      </c>
      <c r="AQ301" s="8"/>
      <c r="AR301" s="8">
        <f t="shared" si="106"/>
        <v>342.70581351524157</v>
      </c>
      <c r="AS301" s="8">
        <f t="shared" si="107"/>
        <v>54.930307798836559</v>
      </c>
    </row>
    <row r="302" spans="1:45">
      <c r="A302" s="19">
        <v>13.813800000000001</v>
      </c>
      <c r="B302" s="19">
        <v>1048.695068</v>
      </c>
      <c r="C302" s="19">
        <v>-92.180422300000004</v>
      </c>
      <c r="E302" s="9">
        <f t="shared" si="93"/>
        <v>88.695067999999992</v>
      </c>
      <c r="F302" s="9">
        <f t="shared" si="98"/>
        <v>447.81957769999997</v>
      </c>
      <c r="I302">
        <v>1</v>
      </c>
      <c r="J302">
        <f t="shared" si="94"/>
        <v>0.29376714625697892</v>
      </c>
      <c r="K302">
        <f t="shared" si="99"/>
        <v>1.3752670122416151</v>
      </c>
      <c r="O302">
        <f t="shared" si="100"/>
        <v>5.6257399815662218E-2</v>
      </c>
      <c r="P302">
        <f t="shared" si="101"/>
        <v>0.28404245688102875</v>
      </c>
      <c r="Q302">
        <f t="shared" si="102"/>
        <v>0.95715985480742438</v>
      </c>
      <c r="R302">
        <f t="shared" si="92"/>
        <v>1</v>
      </c>
      <c r="AG302" s="8">
        <f t="shared" si="95"/>
        <v>0.54876891222283952</v>
      </c>
      <c r="AH302" s="8">
        <f t="shared" si="96"/>
        <v>-0.17068691445753548</v>
      </c>
      <c r="AI302" s="8">
        <f t="shared" si="97"/>
        <v>0.81836340229187154</v>
      </c>
      <c r="AJ302" s="8"/>
      <c r="AK302" s="8"/>
      <c r="AL302" s="8"/>
      <c r="AN302" s="8">
        <f t="shared" si="103"/>
        <v>1.0000000000000002</v>
      </c>
      <c r="AO302" s="8">
        <f t="shared" si="104"/>
        <v>5.9816347000515142</v>
      </c>
      <c r="AP302" s="8">
        <f t="shared" si="105"/>
        <v>0.61223884667794071</v>
      </c>
      <c r="AQ302" s="8"/>
      <c r="AR302" s="8">
        <f t="shared" si="106"/>
        <v>342.72242290195385</v>
      </c>
      <c r="AS302" s="8">
        <f t="shared" si="107"/>
        <v>54.921298031396894</v>
      </c>
    </row>
    <row r="303" spans="1:45">
      <c r="A303" s="19">
        <v>13.84716667</v>
      </c>
      <c r="B303" s="19">
        <v>1049.334396</v>
      </c>
      <c r="C303" s="19">
        <v>-92.160379469999995</v>
      </c>
      <c r="E303" s="9">
        <f t="shared" si="93"/>
        <v>89.33439599999997</v>
      </c>
      <c r="F303" s="9">
        <f t="shared" si="98"/>
        <v>447.83962052999999</v>
      </c>
      <c r="I303">
        <v>1</v>
      </c>
      <c r="J303">
        <f t="shared" si="94"/>
        <v>0.2938555370115073</v>
      </c>
      <c r="K303">
        <f t="shared" si="99"/>
        <v>1.3739022160048031</v>
      </c>
      <c r="O303">
        <f t="shared" si="100"/>
        <v>5.6661557778485389E-2</v>
      </c>
      <c r="P303">
        <f t="shared" si="101"/>
        <v>0.28404838080682365</v>
      </c>
      <c r="Q303">
        <f t="shared" si="102"/>
        <v>0.95713425663860607</v>
      </c>
      <c r="R303">
        <f t="shared" si="92"/>
        <v>1</v>
      </c>
      <c r="AG303" s="8">
        <f t="shared" si="95"/>
        <v>0.54887868483839686</v>
      </c>
      <c r="AH303" s="8">
        <f t="shared" si="96"/>
        <v>-0.17029713702900165</v>
      </c>
      <c r="AI303" s="8">
        <f t="shared" si="97"/>
        <v>0.81837098827475385</v>
      </c>
      <c r="AJ303" s="8"/>
      <c r="AK303" s="8"/>
      <c r="AL303" s="8"/>
      <c r="AN303" s="8">
        <f t="shared" si="103"/>
        <v>1</v>
      </c>
      <c r="AO303" s="8">
        <f t="shared" si="104"/>
        <v>5.982339065836487</v>
      </c>
      <c r="AP303" s="8">
        <f t="shared" si="105"/>
        <v>0.61222564667828394</v>
      </c>
      <c r="AQ303" s="8"/>
      <c r="AR303" s="8">
        <f t="shared" si="106"/>
        <v>342.76278008866626</v>
      </c>
      <c r="AS303" s="8">
        <f t="shared" si="107"/>
        <v>54.9220543356668</v>
      </c>
    </row>
    <row r="304" spans="1:45">
      <c r="A304" s="19">
        <v>13.88053333</v>
      </c>
      <c r="B304" s="19">
        <v>1049.6833770000001</v>
      </c>
      <c r="C304" s="19">
        <v>-92.158928309999993</v>
      </c>
      <c r="E304" s="9">
        <f t="shared" si="93"/>
        <v>89.683377000000064</v>
      </c>
      <c r="F304" s="9">
        <f t="shared" si="98"/>
        <v>447.84107169000004</v>
      </c>
      <c r="I304">
        <v>1</v>
      </c>
      <c r="J304">
        <f t="shared" si="94"/>
        <v>0.29389830417138013</v>
      </c>
      <c r="K304">
        <f t="shared" si="99"/>
        <v>1.37315351885218</v>
      </c>
      <c r="O304">
        <f t="shared" si="100"/>
        <v>5.6882245764787447E-2</v>
      </c>
      <c r="P304">
        <f t="shared" si="101"/>
        <v>0.2840460156115257</v>
      </c>
      <c r="Q304">
        <f t="shared" si="102"/>
        <v>0.95712186848487124</v>
      </c>
      <c r="R304">
        <f t="shared" si="92"/>
        <v>1</v>
      </c>
      <c r="AG304" s="8">
        <f t="shared" si="95"/>
        <v>0.54894313876970324</v>
      </c>
      <c r="AH304" s="8">
        <f t="shared" si="96"/>
        <v>-0.17008569580743121</v>
      </c>
      <c r="AI304" s="8">
        <f t="shared" si="97"/>
        <v>0.81837172878794417</v>
      </c>
      <c r="AJ304" s="8"/>
      <c r="AK304" s="8"/>
      <c r="AL304" s="8"/>
      <c r="AN304" s="8">
        <f t="shared" si="103"/>
        <v>1.0000000000000002</v>
      </c>
      <c r="AO304" s="8">
        <f t="shared" si="104"/>
        <v>5.982723698255664</v>
      </c>
      <c r="AP304" s="8">
        <f t="shared" si="105"/>
        <v>0.61222435813402509</v>
      </c>
      <c r="AQ304" s="8"/>
      <c r="AR304" s="8">
        <f t="shared" si="106"/>
        <v>342.78481790294899</v>
      </c>
      <c r="AS304" s="8">
        <f t="shared" si="107"/>
        <v>54.922128163814548</v>
      </c>
    </row>
    <row r="305" spans="1:45">
      <c r="A305" s="19">
        <v>13.9139</v>
      </c>
      <c r="B305" s="19">
        <v>1050.6350660000001</v>
      </c>
      <c r="C305" s="19">
        <v>-92.750949270000007</v>
      </c>
      <c r="E305" s="9">
        <f t="shared" si="93"/>
        <v>90.635066000000052</v>
      </c>
      <c r="F305" s="9">
        <f t="shared" si="98"/>
        <v>447.24905073000002</v>
      </c>
      <c r="I305">
        <v>1</v>
      </c>
      <c r="J305">
        <f t="shared" si="94"/>
        <v>0.29365792294899334</v>
      </c>
      <c r="K305">
        <f t="shared" si="99"/>
        <v>1.3708538948922369</v>
      </c>
      <c r="O305">
        <f t="shared" si="100"/>
        <v>5.7489596454770572E-2</v>
      </c>
      <c r="P305">
        <f t="shared" si="101"/>
        <v>0.28368895810421657</v>
      </c>
      <c r="Q305">
        <f t="shared" si="102"/>
        <v>0.95719147580262731</v>
      </c>
      <c r="R305">
        <f t="shared" si="92"/>
        <v>1</v>
      </c>
      <c r="AG305" s="8">
        <f t="shared" si="95"/>
        <v>0.54940611568172926</v>
      </c>
      <c r="AH305" s="8">
        <f t="shared" si="96"/>
        <v>-0.16959226894564183</v>
      </c>
      <c r="AI305" s="8">
        <f t="shared" si="97"/>
        <v>0.81816342032957168</v>
      </c>
      <c r="AJ305" s="8"/>
      <c r="AK305" s="8"/>
      <c r="AL305" s="8"/>
      <c r="AN305" s="8">
        <f t="shared" si="103"/>
        <v>1</v>
      </c>
      <c r="AO305" s="8">
        <f t="shared" si="104"/>
        <v>5.9837817151212889</v>
      </c>
      <c r="AP305" s="8">
        <f t="shared" si="105"/>
        <v>0.61258673612529124</v>
      </c>
      <c r="AQ305" s="8"/>
      <c r="AR305" s="8">
        <f t="shared" si="106"/>
        <v>342.84543780400293</v>
      </c>
      <c r="AS305" s="8">
        <f t="shared" si="107"/>
        <v>54.901365434326571</v>
      </c>
    </row>
    <row r="306" spans="1:45">
      <c r="A306" s="19">
        <v>13.947266669999999</v>
      </c>
      <c r="B306" s="19">
        <v>1051.5839329999999</v>
      </c>
      <c r="C306" s="19">
        <v>-93.224554859999998</v>
      </c>
      <c r="E306" s="9">
        <f t="shared" si="93"/>
        <v>91.583932999999888</v>
      </c>
      <c r="F306" s="9">
        <f t="shared" si="98"/>
        <v>446.77544513999999</v>
      </c>
      <c r="I306">
        <v>1</v>
      </c>
      <c r="J306">
        <f t="shared" si="94"/>
        <v>0.29348971490354525</v>
      </c>
      <c r="K306">
        <f t="shared" si="99"/>
        <v>1.3686085413223306</v>
      </c>
      <c r="O306">
        <f t="shared" si="100"/>
        <v>5.8094099827047767E-2</v>
      </c>
      <c r="P306">
        <f t="shared" si="101"/>
        <v>0.28340142708478028</v>
      </c>
      <c r="Q306">
        <f t="shared" si="102"/>
        <v>0.9572401510026598</v>
      </c>
      <c r="R306">
        <f t="shared" si="92"/>
        <v>1</v>
      </c>
      <c r="AG306" s="8">
        <f t="shared" si="95"/>
        <v>0.5498112517939675</v>
      </c>
      <c r="AH306" s="8">
        <f t="shared" si="96"/>
        <v>-0.16908387841507311</v>
      </c>
      <c r="AI306" s="8">
        <f t="shared" si="97"/>
        <v>0.81799647276798648</v>
      </c>
      <c r="AJ306" s="8"/>
      <c r="AK306" s="8"/>
      <c r="AL306" s="8"/>
      <c r="AN306" s="8">
        <f t="shared" si="103"/>
        <v>1</v>
      </c>
      <c r="AO306" s="8">
        <f t="shared" si="104"/>
        <v>5.9848339478347796</v>
      </c>
      <c r="AP306" s="8">
        <f t="shared" si="105"/>
        <v>0.61287702695401902</v>
      </c>
      <c r="AQ306" s="8"/>
      <c r="AR306" s="8">
        <f t="shared" si="106"/>
        <v>342.90572629755155</v>
      </c>
      <c r="AS306" s="8">
        <f t="shared" si="107"/>
        <v>54.884732995009117</v>
      </c>
    </row>
    <row r="307" spans="1:45">
      <c r="A307" s="19">
        <v>13.98063333</v>
      </c>
      <c r="B307" s="19">
        <v>1052.275369</v>
      </c>
      <c r="C307" s="19">
        <v>-93.512978810000007</v>
      </c>
      <c r="E307" s="9">
        <f t="shared" si="93"/>
        <v>92.275368999999955</v>
      </c>
      <c r="F307" s="9">
        <f t="shared" si="98"/>
        <v>446.48702119000001</v>
      </c>
      <c r="I307">
        <v>1</v>
      </c>
      <c r="J307">
        <f t="shared" si="94"/>
        <v>0.29340203607789189</v>
      </c>
      <c r="K307">
        <f t="shared" si="99"/>
        <v>1.366995831637803</v>
      </c>
      <c r="O307">
        <f t="shared" si="100"/>
        <v>5.8534081332697663E-2</v>
      </c>
      <c r="P307">
        <f t="shared" si="101"/>
        <v>0.28322517585737716</v>
      </c>
      <c r="Q307">
        <f t="shared" si="102"/>
        <v>0.95726551232304136</v>
      </c>
      <c r="R307">
        <f t="shared" si="92"/>
        <v>1</v>
      </c>
      <c r="AG307" s="8">
        <f t="shared" si="95"/>
        <v>0.55007900283277888</v>
      </c>
      <c r="AH307" s="8">
        <f t="shared" si="96"/>
        <v>-0.16870543207608016</v>
      </c>
      <c r="AI307" s="8">
        <f t="shared" si="97"/>
        <v>0.81789459457225833</v>
      </c>
      <c r="AJ307" s="8"/>
      <c r="AK307" s="8"/>
      <c r="AL307" s="8"/>
      <c r="AN307" s="8">
        <f t="shared" si="103"/>
        <v>1</v>
      </c>
      <c r="AO307" s="8">
        <f t="shared" si="104"/>
        <v>5.9855994257392648</v>
      </c>
      <c r="AP307" s="8">
        <f t="shared" si="105"/>
        <v>0.61305411536714727</v>
      </c>
      <c r="AQ307" s="8"/>
      <c r="AR307" s="8">
        <f t="shared" si="106"/>
        <v>342.94958495078907</v>
      </c>
      <c r="AS307" s="8">
        <f t="shared" si="107"/>
        <v>54.874586576336199</v>
      </c>
    </row>
    <row r="308" spans="1:45">
      <c r="A308" s="19">
        <v>14.013999999999999</v>
      </c>
      <c r="B308" s="19">
        <v>1052.8390380000001</v>
      </c>
      <c r="C308" s="19">
        <v>-93.793601260000003</v>
      </c>
      <c r="E308" s="9">
        <f t="shared" si="93"/>
        <v>92.839038000000073</v>
      </c>
      <c r="F308" s="9">
        <f t="shared" si="98"/>
        <v>446.20639874</v>
      </c>
      <c r="I308">
        <v>1</v>
      </c>
      <c r="J308">
        <f t="shared" si="94"/>
        <v>0.29330380201835704</v>
      </c>
      <c r="K308">
        <f t="shared" si="99"/>
        <v>1.3656600482370072</v>
      </c>
      <c r="O308">
        <f t="shared" si="100"/>
        <v>5.8893200999109871E-2</v>
      </c>
      <c r="P308">
        <f t="shared" si="101"/>
        <v>0.28305466853376654</v>
      </c>
      <c r="Q308">
        <f t="shared" si="102"/>
        <v>0.95729391803004682</v>
      </c>
      <c r="R308">
        <f t="shared" si="92"/>
        <v>1</v>
      </c>
      <c r="AG308" s="8">
        <f t="shared" si="95"/>
        <v>0.5503191258919764</v>
      </c>
      <c r="AH308" s="8">
        <f t="shared" si="96"/>
        <v>-0.16840321376242309</v>
      </c>
      <c r="AI308" s="8">
        <f t="shared" si="97"/>
        <v>0.8177953394780253</v>
      </c>
      <c r="AJ308" s="8"/>
      <c r="AK308" s="8"/>
      <c r="AL308" s="8"/>
      <c r="AN308" s="8">
        <f t="shared" si="103"/>
        <v>1</v>
      </c>
      <c r="AO308" s="8">
        <f t="shared" si="104"/>
        <v>5.9862238157909653</v>
      </c>
      <c r="AP308" s="8">
        <f t="shared" si="105"/>
        <v>0.61322660134736118</v>
      </c>
      <c r="AQ308" s="8"/>
      <c r="AR308" s="8">
        <f t="shared" si="106"/>
        <v>342.9853598655215</v>
      </c>
      <c r="AS308" s="8">
        <f t="shared" si="107"/>
        <v>54.864703857644763</v>
      </c>
    </row>
    <row r="309" spans="1:45">
      <c r="A309" s="19">
        <v>14.047366670000001</v>
      </c>
      <c r="B309" s="19">
        <v>1053.5852179999999</v>
      </c>
      <c r="C309" s="19">
        <v>-94.157969570000006</v>
      </c>
      <c r="E309" s="9">
        <f t="shared" si="93"/>
        <v>93.585217999999941</v>
      </c>
      <c r="F309" s="9">
        <f t="shared" si="98"/>
        <v>445.84203043000002</v>
      </c>
      <c r="I309">
        <v>1</v>
      </c>
      <c r="J309">
        <f t="shared" si="94"/>
        <v>0.29317878749486603</v>
      </c>
      <c r="K309">
        <f t="shared" si="99"/>
        <v>1.3638935178462064</v>
      </c>
      <c r="O309">
        <f t="shared" si="100"/>
        <v>5.9368548119132898E-2</v>
      </c>
      <c r="P309">
        <f t="shared" si="101"/>
        <v>0.28283306490898374</v>
      </c>
      <c r="Q309">
        <f t="shared" si="102"/>
        <v>0.95733005431168661</v>
      </c>
      <c r="R309">
        <f t="shared" si="92"/>
        <v>1</v>
      </c>
      <c r="AG309" s="8">
        <f t="shared" si="95"/>
        <v>0.5506334479302033</v>
      </c>
      <c r="AH309" s="8">
        <f t="shared" si="96"/>
        <v>-0.1680020802053645</v>
      </c>
      <c r="AI309" s="8">
        <f t="shared" si="97"/>
        <v>0.81766625652962255</v>
      </c>
      <c r="AJ309" s="8"/>
      <c r="AK309" s="8"/>
      <c r="AL309" s="8"/>
      <c r="AN309" s="8">
        <f t="shared" si="103"/>
        <v>1</v>
      </c>
      <c r="AO309" s="8">
        <f t="shared" si="104"/>
        <v>5.9870498672820789</v>
      </c>
      <c r="AP309" s="8">
        <f t="shared" si="105"/>
        <v>0.61345085909408625</v>
      </c>
      <c r="AQ309" s="8"/>
      <c r="AR309" s="8">
        <f t="shared" si="106"/>
        <v>343.03268912962278</v>
      </c>
      <c r="AS309" s="8">
        <f t="shared" si="107"/>
        <v>54.851854835234299</v>
      </c>
    </row>
    <row r="310" spans="1:45">
      <c r="A310" s="19">
        <v>14.080733329999999</v>
      </c>
      <c r="B310" s="19">
        <v>1054.1534529999999</v>
      </c>
      <c r="C310" s="19">
        <v>-94.418522409999994</v>
      </c>
      <c r="E310" s="9">
        <f t="shared" si="93"/>
        <v>94.153452999999899</v>
      </c>
      <c r="F310" s="9">
        <f t="shared" si="98"/>
        <v>445.58147759000002</v>
      </c>
      <c r="I310">
        <v>1</v>
      </c>
      <c r="J310">
        <f t="shared" si="94"/>
        <v>0.29309431097350053</v>
      </c>
      <c r="K310">
        <f t="shared" si="99"/>
        <v>1.3625548840995971</v>
      </c>
      <c r="O310">
        <f t="shared" si="100"/>
        <v>5.9730385054449206E-2</v>
      </c>
      <c r="P310">
        <f t="shared" si="101"/>
        <v>0.28267421301671375</v>
      </c>
      <c r="Q310">
        <f t="shared" si="102"/>
        <v>0.95735446434255933</v>
      </c>
      <c r="R310">
        <f t="shared" si="92"/>
        <v>1</v>
      </c>
      <c r="AG310" s="8">
        <f t="shared" si="95"/>
        <v>0.5508645622445858</v>
      </c>
      <c r="AH310" s="8">
        <f t="shared" si="96"/>
        <v>-0.16769419966562046</v>
      </c>
      <c r="AI310" s="8">
        <f t="shared" si="97"/>
        <v>0.81757378227386179</v>
      </c>
      <c r="AJ310" s="8"/>
      <c r="AK310" s="8"/>
      <c r="AL310" s="8"/>
      <c r="AN310" s="8">
        <f t="shared" si="103"/>
        <v>1</v>
      </c>
      <c r="AO310" s="8">
        <f t="shared" si="104"/>
        <v>5.9876784000063941</v>
      </c>
      <c r="AP310" s="8">
        <f t="shared" si="105"/>
        <v>0.61361147210246381</v>
      </c>
      <c r="AQ310" s="8"/>
      <c r="AR310" s="8">
        <f t="shared" si="106"/>
        <v>343.06870140201187</v>
      </c>
      <c r="AS310" s="8">
        <f t="shared" si="107"/>
        <v>54.842652387719369</v>
      </c>
    </row>
    <row r="311" spans="1:45">
      <c r="A311" s="19">
        <v>14.114100000000001</v>
      </c>
      <c r="B311" s="19">
        <v>1054.734909</v>
      </c>
      <c r="C311" s="19">
        <v>-94.727103799999995</v>
      </c>
      <c r="E311" s="9">
        <f t="shared" si="93"/>
        <v>94.734909000000016</v>
      </c>
      <c r="F311" s="9">
        <f t="shared" si="98"/>
        <v>445.27289619999999</v>
      </c>
      <c r="I311">
        <v>1</v>
      </c>
      <c r="J311">
        <f t="shared" si="94"/>
        <v>0.29298322709566971</v>
      </c>
      <c r="K311">
        <f t="shared" si="99"/>
        <v>1.3611650860631881</v>
      </c>
      <c r="O311">
        <f t="shared" si="100"/>
        <v>6.0101056282529611E-2</v>
      </c>
      <c r="P311">
        <f t="shared" si="101"/>
        <v>0.28248690665445358</v>
      </c>
      <c r="Q311">
        <f t="shared" si="102"/>
        <v>0.9573865523405487</v>
      </c>
      <c r="R311">
        <f t="shared" si="92"/>
        <v>1</v>
      </c>
      <c r="AG311" s="8">
        <f t="shared" si="95"/>
        <v>0.55112120388675334</v>
      </c>
      <c r="AH311" s="8">
        <f t="shared" si="96"/>
        <v>-0.16738495161238115</v>
      </c>
      <c r="AI311" s="8">
        <f t="shared" si="97"/>
        <v>0.81746418673856069</v>
      </c>
      <c r="AJ311" s="8"/>
      <c r="AK311" s="8"/>
      <c r="AL311" s="8"/>
      <c r="AN311" s="8">
        <f t="shared" si="103"/>
        <v>0.99999999999999989</v>
      </c>
      <c r="AO311" s="8">
        <f t="shared" si="104"/>
        <v>5.9883217980318033</v>
      </c>
      <c r="AP311" s="8">
        <f t="shared" si="105"/>
        <v>0.61380177462468943</v>
      </c>
      <c r="AQ311" s="8"/>
      <c r="AR311" s="8">
        <f t="shared" si="106"/>
        <v>343.10556539341491</v>
      </c>
      <c r="AS311" s="8">
        <f t="shared" si="107"/>
        <v>54.831748856365145</v>
      </c>
    </row>
    <row r="312" spans="1:45">
      <c r="A312" s="19">
        <v>14.14746667</v>
      </c>
      <c r="B312" s="19">
        <v>1055.4897390000001</v>
      </c>
      <c r="C312" s="19">
        <v>-95.042238920000003</v>
      </c>
      <c r="E312" s="9">
        <f t="shared" si="93"/>
        <v>95.4897390000001</v>
      </c>
      <c r="F312" s="9">
        <f t="shared" si="98"/>
        <v>444.95776108000001</v>
      </c>
      <c r="I312">
        <v>1</v>
      </c>
      <c r="J312">
        <f t="shared" si="94"/>
        <v>0.29289102427390268</v>
      </c>
      <c r="K312">
        <f t="shared" si="99"/>
        <v>1.359398650437166</v>
      </c>
      <c r="O312">
        <f t="shared" si="100"/>
        <v>6.0581434749832075E-2</v>
      </c>
      <c r="P312">
        <f t="shared" si="101"/>
        <v>0.28229399149681794</v>
      </c>
      <c r="Q312">
        <f t="shared" si="102"/>
        <v>0.95741317733173403</v>
      </c>
      <c r="R312">
        <f t="shared" si="92"/>
        <v>1</v>
      </c>
      <c r="AG312" s="8">
        <f t="shared" si="95"/>
        <v>0.55141304739006536</v>
      </c>
      <c r="AH312" s="8">
        <f t="shared" si="96"/>
        <v>-0.16697153705080228</v>
      </c>
      <c r="AI312" s="8">
        <f t="shared" si="97"/>
        <v>0.81735191746449964</v>
      </c>
      <c r="AJ312" s="8"/>
      <c r="AK312" s="8"/>
      <c r="AL312" s="8"/>
      <c r="AN312" s="8">
        <f t="shared" si="103"/>
        <v>1</v>
      </c>
      <c r="AO312" s="8">
        <f t="shared" si="104"/>
        <v>5.9891555986223262</v>
      </c>
      <c r="AP312" s="8">
        <f t="shared" si="105"/>
        <v>0.61399666656730445</v>
      </c>
      <c r="AQ312" s="8"/>
      <c r="AR312" s="8">
        <f t="shared" si="106"/>
        <v>343.15333864820735</v>
      </c>
      <c r="AS312" s="8">
        <f t="shared" si="107"/>
        <v>54.820582370592199</v>
      </c>
    </row>
    <row r="313" spans="1:45">
      <c r="A313" s="19">
        <v>14.18083333</v>
      </c>
      <c r="B313" s="19">
        <v>1056.1448519999999</v>
      </c>
      <c r="C313" s="19">
        <v>-95.250492269999995</v>
      </c>
      <c r="E313" s="9">
        <f t="shared" si="93"/>
        <v>96.144851999999901</v>
      </c>
      <c r="F313" s="9">
        <f t="shared" si="98"/>
        <v>444.74950773</v>
      </c>
      <c r="I313">
        <v>1</v>
      </c>
      <c r="J313">
        <f t="shared" si="94"/>
        <v>0.29285079289025367</v>
      </c>
      <c r="K313">
        <f t="shared" si="99"/>
        <v>1.3578949317514917</v>
      </c>
      <c r="O313">
        <f t="shared" si="100"/>
        <v>6.0997718060668407E-2</v>
      </c>
      <c r="P313">
        <f t="shared" si="101"/>
        <v>0.2821649263148861</v>
      </c>
      <c r="Q313">
        <f t="shared" si="102"/>
        <v>0.95742479221561105</v>
      </c>
      <c r="R313">
        <f t="shared" si="92"/>
        <v>1</v>
      </c>
      <c r="AG313" s="8">
        <f t="shared" si="95"/>
        <v>0.55163476826170832</v>
      </c>
      <c r="AH313" s="8">
        <f t="shared" si="96"/>
        <v>-0.16660361203039761</v>
      </c>
      <c r="AI313" s="8">
        <f t="shared" si="97"/>
        <v>0.81727738186204324</v>
      </c>
      <c r="AJ313" s="8"/>
      <c r="AK313" s="8"/>
      <c r="AL313" s="8"/>
      <c r="AN313" s="8">
        <f t="shared" si="103"/>
        <v>1</v>
      </c>
      <c r="AO313" s="8">
        <f t="shared" si="104"/>
        <v>5.9898781952972948</v>
      </c>
      <c r="AP313" s="8">
        <f t="shared" si="105"/>
        <v>0.61412602562499496</v>
      </c>
      <c r="AQ313" s="8"/>
      <c r="AR313" s="8">
        <f t="shared" si="106"/>
        <v>343.19474038797324</v>
      </c>
      <c r="AS313" s="8">
        <f t="shared" si="107"/>
        <v>54.81317064254474</v>
      </c>
    </row>
    <row r="314" spans="1:45">
      <c r="A314" s="19">
        <v>14.2142</v>
      </c>
      <c r="B314" s="19">
        <v>1057.2228709999999</v>
      </c>
      <c r="C314" s="19">
        <v>-95.659569189999999</v>
      </c>
      <c r="E314" s="9">
        <f t="shared" si="93"/>
        <v>97.222870999999941</v>
      </c>
      <c r="F314" s="9">
        <f t="shared" si="98"/>
        <v>444.34043080999999</v>
      </c>
      <c r="I314">
        <v>1</v>
      </c>
      <c r="J314">
        <f t="shared" si="94"/>
        <v>0.29274621210973123</v>
      </c>
      <c r="K314">
        <f t="shared" si="99"/>
        <v>1.3553883664409458</v>
      </c>
      <c r="O314">
        <f t="shared" si="100"/>
        <v>6.1683388171655369E-2</v>
      </c>
      <c r="P314">
        <f t="shared" si="101"/>
        <v>0.28191332957050635</v>
      </c>
      <c r="Q314">
        <f t="shared" si="102"/>
        <v>0.95745497765385079</v>
      </c>
      <c r="R314">
        <f t="shared" si="92"/>
        <v>1</v>
      </c>
      <c r="AG314" s="8">
        <f t="shared" si="95"/>
        <v>0.55203139655254452</v>
      </c>
      <c r="AH314" s="8">
        <f t="shared" si="96"/>
        <v>-0.16600730207002126</v>
      </c>
      <c r="AI314" s="8">
        <f t="shared" si="97"/>
        <v>0.81713090314813097</v>
      </c>
      <c r="AJ314" s="8"/>
      <c r="AK314" s="8"/>
      <c r="AL314" s="8"/>
      <c r="AN314" s="8">
        <f t="shared" si="103"/>
        <v>1</v>
      </c>
      <c r="AO314" s="8">
        <f t="shared" si="104"/>
        <v>5.9910673946538582</v>
      </c>
      <c r="AP314" s="8">
        <f t="shared" si="105"/>
        <v>0.61438017526129696</v>
      </c>
      <c r="AQ314" s="8"/>
      <c r="AR314" s="8">
        <f t="shared" si="106"/>
        <v>343.262876492104</v>
      </c>
      <c r="AS314" s="8">
        <f t="shared" si="107"/>
        <v>54.798608941019857</v>
      </c>
    </row>
    <row r="315" spans="1:45">
      <c r="A315" s="19">
        <v>14.247566669999999</v>
      </c>
      <c r="B315" s="19">
        <v>1057.5868049999999</v>
      </c>
      <c r="C315" s="19">
        <v>-96.851141949999999</v>
      </c>
      <c r="E315" s="9">
        <f t="shared" si="93"/>
        <v>97.586804999999913</v>
      </c>
      <c r="F315" s="9">
        <f t="shared" si="98"/>
        <v>443.14885805</v>
      </c>
      <c r="I315">
        <v>1</v>
      </c>
      <c r="J315">
        <f t="shared" si="94"/>
        <v>0.29208054744732836</v>
      </c>
      <c r="K315">
        <f t="shared" si="99"/>
        <v>1.3540435840381049</v>
      </c>
      <c r="O315">
        <f t="shared" si="100"/>
        <v>6.1925363764298018E-2</v>
      </c>
      <c r="P315">
        <f t="shared" si="101"/>
        <v>0.28120763085213762</v>
      </c>
      <c r="Q315">
        <f t="shared" si="102"/>
        <v>0.95764686480622241</v>
      </c>
      <c r="R315">
        <f t="shared" si="92"/>
        <v>1</v>
      </c>
      <c r="AG315" s="8">
        <f t="shared" si="95"/>
        <v>0.55267304611198531</v>
      </c>
      <c r="AH315" s="8">
        <f t="shared" si="96"/>
        <v>-0.1659522076278952</v>
      </c>
      <c r="AI315" s="8">
        <f t="shared" si="97"/>
        <v>0.81670825199989694</v>
      </c>
      <c r="AJ315" s="8"/>
      <c r="AK315" s="8"/>
      <c r="AL315" s="8"/>
      <c r="AN315" s="8">
        <f t="shared" si="103"/>
        <v>0.99999999999999978</v>
      </c>
      <c r="AO315" s="8">
        <f t="shared" si="104"/>
        <v>5.9914790453289575</v>
      </c>
      <c r="AP315" s="8">
        <f t="shared" si="105"/>
        <v>0.61511298851635976</v>
      </c>
      <c r="AQ315" s="8"/>
      <c r="AR315" s="8">
        <f t="shared" si="106"/>
        <v>343.2864623384209</v>
      </c>
      <c r="AS315" s="8">
        <f t="shared" si="107"/>
        <v>54.756621834333515</v>
      </c>
    </row>
    <row r="316" spans="1:45">
      <c r="A316" s="19">
        <v>14.28093333</v>
      </c>
      <c r="B316" s="19">
        <v>1058.2303609999999</v>
      </c>
      <c r="C316" s="19">
        <v>-96.793075999999999</v>
      </c>
      <c r="E316" s="9">
        <f t="shared" si="93"/>
        <v>98.230360999999903</v>
      </c>
      <c r="F316" s="9">
        <f t="shared" si="98"/>
        <v>443.20692400000001</v>
      </c>
      <c r="I316">
        <v>1</v>
      </c>
      <c r="J316">
        <f t="shared" si="94"/>
        <v>0.29220043338646429</v>
      </c>
      <c r="K316">
        <f t="shared" si="99"/>
        <v>1.3526866206103987</v>
      </c>
      <c r="O316">
        <f t="shared" si="100"/>
        <v>6.2331737413950566E-2</v>
      </c>
      <c r="P316">
        <f t="shared" si="101"/>
        <v>0.28123542788173983</v>
      </c>
      <c r="Q316">
        <f t="shared" si="102"/>
        <v>0.95761233733444195</v>
      </c>
      <c r="R316">
        <f t="shared" si="92"/>
        <v>1</v>
      </c>
      <c r="AG316" s="8">
        <f t="shared" si="95"/>
        <v>0.55276392347235237</v>
      </c>
      <c r="AH316" s="8">
        <f t="shared" si="96"/>
        <v>-0.16555412025286173</v>
      </c>
      <c r="AI316" s="8">
        <f t="shared" si="97"/>
        <v>0.81672754219185761</v>
      </c>
      <c r="AJ316" s="8"/>
      <c r="AK316" s="8"/>
      <c r="AL316" s="8"/>
      <c r="AN316" s="8">
        <f t="shared" si="103"/>
        <v>1.0000000000000002</v>
      </c>
      <c r="AO316" s="8">
        <f t="shared" si="104"/>
        <v>5.9921850913861876</v>
      </c>
      <c r="AP316" s="8">
        <f t="shared" si="105"/>
        <v>0.61507955879377041</v>
      </c>
      <c r="AQ316" s="8"/>
      <c r="AR316" s="8">
        <f t="shared" si="106"/>
        <v>343.32691579764207</v>
      </c>
      <c r="AS316" s="8">
        <f t="shared" si="107"/>
        <v>54.758537216348174</v>
      </c>
    </row>
    <row r="317" spans="1:45">
      <c r="A317" s="19">
        <v>14.314299999999999</v>
      </c>
      <c r="B317" s="19">
        <v>1058.93487</v>
      </c>
      <c r="C317" s="19">
        <v>-96.816941310000004</v>
      </c>
      <c r="E317" s="9">
        <f t="shared" si="93"/>
        <v>98.934870000000046</v>
      </c>
      <c r="F317" s="9">
        <f t="shared" si="98"/>
        <v>443.18305869</v>
      </c>
      <c r="I317">
        <v>1</v>
      </c>
      <c r="J317">
        <f t="shared" si="94"/>
        <v>0.29227993692909449</v>
      </c>
      <c r="K317">
        <f t="shared" si="99"/>
        <v>1.3511605363818231</v>
      </c>
      <c r="O317">
        <f t="shared" si="100"/>
        <v>6.2777440956442457E-2</v>
      </c>
      <c r="P317">
        <f t="shared" si="101"/>
        <v>0.28121428066572518</v>
      </c>
      <c r="Q317">
        <f t="shared" si="102"/>
        <v>0.95758943251093742</v>
      </c>
      <c r="R317">
        <f t="shared" si="92"/>
        <v>1</v>
      </c>
      <c r="AG317" s="8">
        <f t="shared" si="95"/>
        <v>0.55290543613436438</v>
      </c>
      <c r="AH317" s="8">
        <f t="shared" si="96"/>
        <v>-0.16513044906032226</v>
      </c>
      <c r="AI317" s="8">
        <f t="shared" si="97"/>
        <v>0.81671752368013062</v>
      </c>
      <c r="AJ317" s="8"/>
      <c r="AK317" s="8"/>
      <c r="AL317" s="8"/>
      <c r="AN317" s="8">
        <f t="shared" si="103"/>
        <v>1</v>
      </c>
      <c r="AO317" s="8">
        <f t="shared" si="104"/>
        <v>5.9929588024941625</v>
      </c>
      <c r="AP317" s="8">
        <f t="shared" si="105"/>
        <v>0.61509692097848845</v>
      </c>
      <c r="AQ317" s="8"/>
      <c r="AR317" s="8">
        <f t="shared" si="106"/>
        <v>343.37124617869142</v>
      </c>
      <c r="AS317" s="8">
        <f t="shared" si="107"/>
        <v>54.757542436440708</v>
      </c>
    </row>
    <row r="318" spans="1:45">
      <c r="A318" s="19">
        <v>14.347666670000001</v>
      </c>
      <c r="B318" s="19">
        <v>1059.5870179999999</v>
      </c>
      <c r="C318" s="19">
        <v>-96.856998250000004</v>
      </c>
      <c r="E318" s="9">
        <f t="shared" si="93"/>
        <v>99.587017999999944</v>
      </c>
      <c r="F318" s="9">
        <f t="shared" si="98"/>
        <v>443.14300175</v>
      </c>
      <c r="I318">
        <v>1</v>
      </c>
      <c r="J318">
        <f t="shared" si="94"/>
        <v>0.29234335991859317</v>
      </c>
      <c r="K318">
        <f t="shared" si="99"/>
        <v>1.3497399821170177</v>
      </c>
      <c r="O318">
        <f t="shared" si="100"/>
        <v>6.3190173880545902E-2</v>
      </c>
      <c r="P318">
        <f t="shared" si="101"/>
        <v>0.28118407295346043</v>
      </c>
      <c r="Q318">
        <f t="shared" si="102"/>
        <v>0.95757115612483301</v>
      </c>
      <c r="R318">
        <f t="shared" si="92"/>
        <v>1</v>
      </c>
      <c r="AG318" s="8">
        <f t="shared" si="95"/>
        <v>0.55304498371688948</v>
      </c>
      <c r="AH318" s="8">
        <f t="shared" si="96"/>
        <v>-0.16474074098036801</v>
      </c>
      <c r="AI318" s="8">
        <f t="shared" si="97"/>
        <v>0.81670174130267692</v>
      </c>
      <c r="AJ318" s="8"/>
      <c r="AK318" s="8"/>
      <c r="AL318" s="8"/>
      <c r="AN318" s="8">
        <f t="shared" si="103"/>
        <v>0.99999999999999989</v>
      </c>
      <c r="AO318" s="8">
        <f t="shared" si="104"/>
        <v>5.9936750960870651</v>
      </c>
      <c r="AP318" s="8">
        <f t="shared" si="105"/>
        <v>0.61512427113685975</v>
      </c>
      <c r="AQ318" s="8"/>
      <c r="AR318" s="8">
        <f t="shared" si="106"/>
        <v>343.41228677845697</v>
      </c>
      <c r="AS318" s="8">
        <f t="shared" si="107"/>
        <v>54.755975387797015</v>
      </c>
    </row>
    <row r="319" spans="1:45">
      <c r="A319" s="19">
        <v>14.381033329999999</v>
      </c>
      <c r="B319" s="19">
        <v>1060.2828400000001</v>
      </c>
      <c r="C319" s="19">
        <v>-96.983933710000002</v>
      </c>
      <c r="E319" s="9">
        <f t="shared" si="93"/>
        <v>100.28284000000008</v>
      </c>
      <c r="F319" s="9">
        <f t="shared" si="98"/>
        <v>443.01606629000003</v>
      </c>
      <c r="I319">
        <v>1</v>
      </c>
      <c r="J319">
        <f t="shared" si="94"/>
        <v>0.29236130393244747</v>
      </c>
      <c r="K319">
        <f t="shared" si="99"/>
        <v>1.348184094318668</v>
      </c>
      <c r="O319">
        <f t="shared" si="100"/>
        <v>6.3631381635090217E-2</v>
      </c>
      <c r="P319">
        <f t="shared" si="101"/>
        <v>0.2811021744555241</v>
      </c>
      <c r="Q319">
        <f t="shared" si="102"/>
        <v>0.95756598456063879</v>
      </c>
      <c r="R319">
        <f t="shared" si="92"/>
        <v>1</v>
      </c>
      <c r="AG319" s="8">
        <f t="shared" si="95"/>
        <v>0.55323434766091906</v>
      </c>
      <c r="AH319" s="8">
        <f t="shared" si="96"/>
        <v>-0.1643365792497023</v>
      </c>
      <c r="AI319" s="8">
        <f t="shared" si="97"/>
        <v>0.81665491199692397</v>
      </c>
      <c r="AJ319" s="8"/>
      <c r="AK319" s="8"/>
      <c r="AL319" s="8"/>
      <c r="AN319" s="8">
        <f t="shared" si="103"/>
        <v>1</v>
      </c>
      <c r="AO319" s="8">
        <f t="shared" si="104"/>
        <v>5.9944399239449613</v>
      </c>
      <c r="AP319" s="8">
        <f t="shared" si="105"/>
        <v>0.6152054180112434</v>
      </c>
      <c r="AQ319" s="8"/>
      <c r="AR319" s="8">
        <f t="shared" si="106"/>
        <v>343.45610818676846</v>
      </c>
      <c r="AS319" s="8">
        <f t="shared" si="107"/>
        <v>54.75132601437415</v>
      </c>
    </row>
    <row r="320" spans="1:45">
      <c r="A320" s="19">
        <v>14.414400000000001</v>
      </c>
      <c r="B320" s="19">
        <v>1061.305523</v>
      </c>
      <c r="C320" s="19">
        <v>-97.322578620000002</v>
      </c>
      <c r="E320" s="9">
        <f t="shared" si="93"/>
        <v>101.30552299999999</v>
      </c>
      <c r="F320" s="9">
        <f t="shared" si="98"/>
        <v>442.67742138</v>
      </c>
      <c r="I320">
        <v>1</v>
      </c>
      <c r="J320">
        <f t="shared" si="94"/>
        <v>0.292298012274674</v>
      </c>
      <c r="K320">
        <f t="shared" si="99"/>
        <v>1.3458230206526631</v>
      </c>
      <c r="O320">
        <f t="shared" si="100"/>
        <v>6.4281386475923741E-2</v>
      </c>
      <c r="P320">
        <f t="shared" si="101"/>
        <v>0.28089207345480194</v>
      </c>
      <c r="Q320">
        <f t="shared" si="102"/>
        <v>0.95758422419283573</v>
      </c>
      <c r="R320">
        <f t="shared" si="92"/>
        <v>1</v>
      </c>
      <c r="AG320" s="8">
        <f t="shared" si="95"/>
        <v>0.55358575768044171</v>
      </c>
      <c r="AH320" s="8">
        <f t="shared" si="96"/>
        <v>-0.16376355671078194</v>
      </c>
      <c r="AI320" s="8">
        <f t="shared" si="97"/>
        <v>0.81653187714063302</v>
      </c>
      <c r="AJ320" s="8"/>
      <c r="AK320" s="8"/>
      <c r="AL320" s="8"/>
      <c r="AN320" s="8">
        <f t="shared" si="103"/>
        <v>1</v>
      </c>
      <c r="AO320" s="8">
        <f t="shared" si="104"/>
        <v>5.9955647535839205</v>
      </c>
      <c r="AP320" s="8">
        <f t="shared" si="105"/>
        <v>0.61541857119326204</v>
      </c>
      <c r="AQ320" s="8"/>
      <c r="AR320" s="8">
        <f t="shared" si="106"/>
        <v>343.52055617775204</v>
      </c>
      <c r="AS320" s="8">
        <f t="shared" si="107"/>
        <v>54.739113236654703</v>
      </c>
    </row>
    <row r="321" spans="1:45">
      <c r="A321" s="19">
        <v>14.44776667</v>
      </c>
      <c r="B321" s="19">
        <v>1062.333104</v>
      </c>
      <c r="C321" s="19">
        <v>-98.042636610000002</v>
      </c>
      <c r="E321" s="9">
        <f t="shared" si="93"/>
        <v>102.33310400000005</v>
      </c>
      <c r="F321" s="9">
        <f t="shared" si="98"/>
        <v>441.95736339000001</v>
      </c>
      <c r="I321">
        <v>1</v>
      </c>
      <c r="J321">
        <f t="shared" si="94"/>
        <v>0.29200910901300492</v>
      </c>
      <c r="K321">
        <f t="shared" si="99"/>
        <v>1.3432608737826675</v>
      </c>
      <c r="O321">
        <f t="shared" si="100"/>
        <v>6.4938452983360428E-2</v>
      </c>
      <c r="P321">
        <f t="shared" si="101"/>
        <v>0.28045692294403024</v>
      </c>
      <c r="Q321">
        <f t="shared" si="102"/>
        <v>0.95766743272228594</v>
      </c>
      <c r="R321">
        <f t="shared" si="92"/>
        <v>1</v>
      </c>
      <c r="AG321" s="8">
        <f t="shared" si="95"/>
        <v>0.55412164947864251</v>
      </c>
      <c r="AH321" s="8">
        <f t="shared" si="96"/>
        <v>-0.16324021330337279</v>
      </c>
      <c r="AI321" s="8">
        <f t="shared" si="97"/>
        <v>0.81627313464289508</v>
      </c>
      <c r="AJ321" s="8"/>
      <c r="AK321" s="8"/>
      <c r="AL321" s="8"/>
      <c r="AN321" s="8">
        <f t="shared" si="103"/>
        <v>1</v>
      </c>
      <c r="AO321" s="8">
        <f t="shared" si="104"/>
        <v>5.9966966574881617</v>
      </c>
      <c r="AP321" s="8">
        <f t="shared" si="105"/>
        <v>0.61586662314226093</v>
      </c>
      <c r="AQ321" s="8"/>
      <c r="AR321" s="8">
        <f t="shared" si="106"/>
        <v>343.58540949427947</v>
      </c>
      <c r="AS321" s="8">
        <f t="shared" si="107"/>
        <v>54.713441750974454</v>
      </c>
    </row>
    <row r="322" spans="1:45">
      <c r="A322" s="19">
        <v>14.48113333</v>
      </c>
      <c r="B322" s="19">
        <v>1062.633292</v>
      </c>
      <c r="C322" s="19">
        <v>-98.220176899999998</v>
      </c>
      <c r="E322" s="9">
        <f t="shared" si="93"/>
        <v>102.63329199999998</v>
      </c>
      <c r="F322" s="9">
        <f t="shared" si="98"/>
        <v>441.77982309999999</v>
      </c>
      <c r="I322">
        <v>1</v>
      </c>
      <c r="J322">
        <f t="shared" si="94"/>
        <v>0.29194464563314237</v>
      </c>
      <c r="K322">
        <f t="shared" si="99"/>
        <v>1.3425277605010475</v>
      </c>
      <c r="O322">
        <f t="shared" si="100"/>
        <v>6.5130072095654495E-2</v>
      </c>
      <c r="P322">
        <f t="shared" si="101"/>
        <v>0.28034910669053165</v>
      </c>
      <c r="Q322">
        <f t="shared" si="102"/>
        <v>0.95768598824804563</v>
      </c>
      <c r="R322">
        <f t="shared" si="92"/>
        <v>1</v>
      </c>
      <c r="AG322" s="8">
        <f t="shared" si="95"/>
        <v>0.55426233409500059</v>
      </c>
      <c r="AH322" s="8">
        <f t="shared" si="96"/>
        <v>-0.16308275619824275</v>
      </c>
      <c r="AI322" s="8">
        <f t="shared" si="97"/>
        <v>0.81620909063446889</v>
      </c>
      <c r="AJ322" s="8"/>
      <c r="AK322" s="8"/>
      <c r="AL322" s="8"/>
      <c r="AN322" s="8">
        <f t="shared" si="103"/>
        <v>1</v>
      </c>
      <c r="AO322" s="8">
        <f t="shared" si="104"/>
        <v>5.997026891597514</v>
      </c>
      <c r="AP322" s="8">
        <f t="shared" si="105"/>
        <v>0.61597748128035046</v>
      </c>
      <c r="AQ322" s="8"/>
      <c r="AR322" s="8">
        <f t="shared" si="106"/>
        <v>343.6043305149966</v>
      </c>
      <c r="AS322" s="8">
        <f t="shared" si="107"/>
        <v>54.70709004753725</v>
      </c>
    </row>
    <row r="323" spans="1:45">
      <c r="A323" s="19">
        <v>14.5145</v>
      </c>
      <c r="B323" s="19">
        <v>1063.434626</v>
      </c>
      <c r="C323" s="19">
        <v>-98.164110070000007</v>
      </c>
      <c r="E323" s="9">
        <f t="shared" si="93"/>
        <v>103.43462599999998</v>
      </c>
      <c r="F323" s="9">
        <f t="shared" si="98"/>
        <v>441.83588993000001</v>
      </c>
      <c r="I323">
        <v>1</v>
      </c>
      <c r="J323">
        <f t="shared" si="94"/>
        <v>0.29208972277781753</v>
      </c>
      <c r="K323">
        <f t="shared" si="99"/>
        <v>1.3408356245140591</v>
      </c>
      <c r="O323">
        <f t="shared" si="100"/>
        <v>6.5636036251322624E-2</v>
      </c>
      <c r="P323">
        <f t="shared" si="101"/>
        <v>0.28037377433530697</v>
      </c>
      <c r="Q323">
        <f t="shared" si="102"/>
        <v>0.95764422277283612</v>
      </c>
      <c r="R323">
        <f t="shared" si="92"/>
        <v>1</v>
      </c>
      <c r="AG323" s="8">
        <f t="shared" si="95"/>
        <v>0.55438232594299297</v>
      </c>
      <c r="AH323" s="8">
        <f t="shared" si="96"/>
        <v>-0.16258913089114468</v>
      </c>
      <c r="AI323" s="8">
        <f t="shared" si="97"/>
        <v>0.81622607848444739</v>
      </c>
      <c r="AJ323" s="8"/>
      <c r="AK323" s="8"/>
      <c r="AL323" s="8"/>
      <c r="AN323" s="8">
        <f t="shared" si="103"/>
        <v>1</v>
      </c>
      <c r="AO323" s="8">
        <f t="shared" si="104"/>
        <v>5.997905191007729</v>
      </c>
      <c r="AP323" s="8">
        <f t="shared" si="105"/>
        <v>0.61594807754525205</v>
      </c>
      <c r="AQ323" s="8"/>
      <c r="AR323" s="8">
        <f t="shared" si="106"/>
        <v>343.65465336435074</v>
      </c>
      <c r="AS323" s="8">
        <f t="shared" si="107"/>
        <v>54.708774757460304</v>
      </c>
    </row>
    <row r="324" spans="1:45">
      <c r="A324" s="19">
        <v>14.547866669999999</v>
      </c>
      <c r="B324" s="19">
        <v>1063.646178</v>
      </c>
      <c r="C324" s="19">
        <v>-98.372416259999994</v>
      </c>
      <c r="E324" s="9">
        <f t="shared" si="93"/>
        <v>103.64617799999996</v>
      </c>
      <c r="F324" s="9">
        <f t="shared" si="98"/>
        <v>441.62758373999998</v>
      </c>
      <c r="I324">
        <v>1</v>
      </c>
      <c r="J324">
        <f t="shared" si="94"/>
        <v>0.29199496857659757</v>
      </c>
      <c r="K324">
        <f t="shared" si="99"/>
        <v>1.3402768743916558</v>
      </c>
      <c r="O324">
        <f t="shared" si="100"/>
        <v>6.5771951825324401E-2</v>
      </c>
      <c r="P324">
        <f t="shared" si="101"/>
        <v>0.28024871464610779</v>
      </c>
      <c r="Q324">
        <f t="shared" si="102"/>
        <v>0.9576715033310178</v>
      </c>
      <c r="R324">
        <f t="shared" si="92"/>
        <v>1</v>
      </c>
      <c r="AG324" s="8">
        <f t="shared" si="95"/>
        <v>0.55452151110686643</v>
      </c>
      <c r="AH324" s="8">
        <f t="shared" si="96"/>
        <v>-0.16248963713084147</v>
      </c>
      <c r="AI324" s="8">
        <f t="shared" si="97"/>
        <v>0.81615134107887422</v>
      </c>
      <c r="AJ324" s="8"/>
      <c r="AK324" s="8"/>
      <c r="AL324" s="8"/>
      <c r="AN324" s="8">
        <f t="shared" si="103"/>
        <v>1</v>
      </c>
      <c r="AO324" s="8">
        <f t="shared" si="104"/>
        <v>5.9981382023717913</v>
      </c>
      <c r="AP324" s="8">
        <f t="shared" si="105"/>
        <v>0.61607742903721174</v>
      </c>
      <c r="AQ324" s="8"/>
      <c r="AR324" s="8">
        <f t="shared" si="106"/>
        <v>343.66800393209013</v>
      </c>
      <c r="AS324" s="8">
        <f t="shared" si="107"/>
        <v>54.701363462897298</v>
      </c>
    </row>
    <row r="325" spans="1:45">
      <c r="A325" s="19">
        <v>14.58123333</v>
      </c>
      <c r="B325" s="19">
        <v>1064.579868</v>
      </c>
      <c r="C325" s="19">
        <v>-98.759394450000002</v>
      </c>
      <c r="E325" s="9">
        <f t="shared" si="93"/>
        <v>104.57986800000003</v>
      </c>
      <c r="F325" s="9">
        <f t="shared" si="98"/>
        <v>441.24060555</v>
      </c>
      <c r="I325">
        <v>1</v>
      </c>
      <c r="J325">
        <f t="shared" si="94"/>
        <v>0.29189543744288582</v>
      </c>
      <c r="K325">
        <f t="shared" si="99"/>
        <v>1.3380773409763411</v>
      </c>
      <c r="O325">
        <f t="shared" si="100"/>
        <v>6.6366225656911984E-2</v>
      </c>
      <c r="P325">
        <f t="shared" si="101"/>
        <v>0.28001061922284859</v>
      </c>
      <c r="Q325">
        <f t="shared" si="102"/>
        <v>0.95770014995012542</v>
      </c>
      <c r="R325">
        <f t="shared" si="92"/>
        <v>1</v>
      </c>
      <c r="AG325" s="8">
        <f t="shared" si="95"/>
        <v>0.55487907525858993</v>
      </c>
      <c r="AH325" s="8">
        <f t="shared" si="96"/>
        <v>-0.16197689209501265</v>
      </c>
      <c r="AI325" s="8">
        <f t="shared" si="97"/>
        <v>0.81601023171735587</v>
      </c>
      <c r="AJ325" s="8"/>
      <c r="AK325" s="8"/>
      <c r="AL325" s="8"/>
      <c r="AN325" s="8">
        <f t="shared" si="103"/>
        <v>1</v>
      </c>
      <c r="AO325" s="8">
        <f t="shared" si="104"/>
        <v>5.9991634007267312</v>
      </c>
      <c r="AP325" s="8">
        <f t="shared" si="105"/>
        <v>0.61632158914151691</v>
      </c>
      <c r="AQ325" s="8"/>
      <c r="AR325" s="8">
        <f t="shared" si="106"/>
        <v>343.72674347099195</v>
      </c>
      <c r="AS325" s="8">
        <f t="shared" si="107"/>
        <v>54.687374119395137</v>
      </c>
    </row>
    <row r="326" spans="1:45">
      <c r="A326" s="19">
        <v>14.614599999999999</v>
      </c>
      <c r="B326" s="19">
        <v>1065.4577830000001</v>
      </c>
      <c r="C326" s="19">
        <v>-99.018253920000006</v>
      </c>
      <c r="E326" s="9">
        <f t="shared" si="93"/>
        <v>105.45778300000006</v>
      </c>
      <c r="F326" s="9">
        <f t="shared" si="98"/>
        <v>440.98174607999999</v>
      </c>
      <c r="I326">
        <v>1</v>
      </c>
      <c r="J326">
        <f t="shared" si="94"/>
        <v>0.29186570073329948</v>
      </c>
      <c r="K326">
        <f t="shared" si="99"/>
        <v>1.3360616458202903</v>
      </c>
      <c r="O326">
        <f t="shared" si="100"/>
        <v>6.6923882717877123E-2</v>
      </c>
      <c r="P326">
        <f t="shared" si="101"/>
        <v>0.27984857841533195</v>
      </c>
      <c r="Q326">
        <f t="shared" si="102"/>
        <v>0.95770870680018438</v>
      </c>
      <c r="R326">
        <f t="shared" si="92"/>
        <v>1</v>
      </c>
      <c r="AG326" s="8">
        <f t="shared" si="95"/>
        <v>0.55516447626835652</v>
      </c>
      <c r="AH326" s="8">
        <f t="shared" si="96"/>
        <v>-0.16148020036282484</v>
      </c>
      <c r="AI326" s="8">
        <f t="shared" si="97"/>
        <v>0.81591454771959016</v>
      </c>
      <c r="AJ326" s="8"/>
      <c r="AK326" s="8"/>
      <c r="AL326" s="8"/>
      <c r="AN326" s="8">
        <f t="shared" si="103"/>
        <v>1</v>
      </c>
      <c r="AO326" s="8">
        <f t="shared" si="104"/>
        <v>6.0001263782817791</v>
      </c>
      <c r="AP326" s="8">
        <f t="shared" si="105"/>
        <v>0.61648710232737647</v>
      </c>
      <c r="AQ326" s="8"/>
      <c r="AR326" s="8">
        <f t="shared" si="106"/>
        <v>343.78191802066198</v>
      </c>
      <c r="AS326" s="8">
        <f t="shared" si="107"/>
        <v>54.677890912391618</v>
      </c>
    </row>
    <row r="327" spans="1:45">
      <c r="A327" s="19">
        <v>14.647966670000001</v>
      </c>
      <c r="B327" s="19">
        <v>1065.6217220000001</v>
      </c>
      <c r="C327" s="19">
        <v>-99.160051580000001</v>
      </c>
      <c r="E327" s="9">
        <f t="shared" si="93"/>
        <v>105.62172200000009</v>
      </c>
      <c r="F327" s="9">
        <f t="shared" si="98"/>
        <v>440.83994841999998</v>
      </c>
      <c r="I327">
        <v>1</v>
      </c>
      <c r="J327">
        <f t="shared" si="94"/>
        <v>0.29180453655187327</v>
      </c>
      <c r="K327">
        <f t="shared" si="99"/>
        <v>1.3356371671669545</v>
      </c>
      <c r="O327">
        <f t="shared" si="100"/>
        <v>6.7029017887843031E-2</v>
      </c>
      <c r="P327">
        <f t="shared" si="101"/>
        <v>0.27976317966412206</v>
      </c>
      <c r="Q327">
        <f t="shared" si="102"/>
        <v>0.95772630436112138</v>
      </c>
      <c r="R327">
        <f t="shared" si="92"/>
        <v>1</v>
      </c>
      <c r="AG327" s="8">
        <f t="shared" si="95"/>
        <v>0.55526279245662347</v>
      </c>
      <c r="AH327" s="8">
        <f t="shared" si="96"/>
        <v>-0.16140033406014503</v>
      </c>
      <c r="AI327" s="8">
        <f t="shared" si="97"/>
        <v>0.81586344658805876</v>
      </c>
      <c r="AJ327" s="8"/>
      <c r="AK327" s="8"/>
      <c r="AL327" s="8"/>
      <c r="AN327" s="8">
        <f t="shared" si="103"/>
        <v>0.99999999999999989</v>
      </c>
      <c r="AO327" s="8">
        <f t="shared" si="104"/>
        <v>6.0003064875371335</v>
      </c>
      <c r="AP327" s="8">
        <f t="shared" si="105"/>
        <v>0.61657548069941148</v>
      </c>
      <c r="AQ327" s="8"/>
      <c r="AR327" s="8">
        <f t="shared" si="106"/>
        <v>343.79223752084505</v>
      </c>
      <c r="AS327" s="8">
        <f t="shared" si="107"/>
        <v>54.672827204673773</v>
      </c>
    </row>
    <row r="328" spans="1:45">
      <c r="A328" s="19">
        <v>14.681333329999999</v>
      </c>
      <c r="B328" s="19">
        <v>1066.6190509999999</v>
      </c>
      <c r="C328" s="19">
        <v>-99.989819650000001</v>
      </c>
      <c r="E328" s="9">
        <f t="shared" si="93"/>
        <v>106.6190509999999</v>
      </c>
      <c r="F328" s="9">
        <f t="shared" si="98"/>
        <v>440.01018034999998</v>
      </c>
      <c r="I328">
        <v>1</v>
      </c>
      <c r="J328">
        <f t="shared" si="94"/>
        <v>0.29145306814134109</v>
      </c>
      <c r="K328">
        <f t="shared" si="99"/>
        <v>1.3330679078779077</v>
      </c>
      <c r="O328">
        <f t="shared" si="100"/>
        <v>6.7668305548020932E-2</v>
      </c>
      <c r="P328">
        <f t="shared" si="101"/>
        <v>0.27926288077881706</v>
      </c>
      <c r="Q328">
        <f t="shared" si="102"/>
        <v>0.95782735596942303</v>
      </c>
      <c r="R328">
        <f t="shared" si="92"/>
        <v>1</v>
      </c>
      <c r="AG328" s="8">
        <f t="shared" si="95"/>
        <v>0.55584490668680819</v>
      </c>
      <c r="AH328" s="8">
        <f t="shared" si="96"/>
        <v>-0.16090981080239289</v>
      </c>
      <c r="AI328" s="8">
        <f t="shared" si="97"/>
        <v>0.81556389847630673</v>
      </c>
      <c r="AJ328" s="8"/>
      <c r="AK328" s="8"/>
      <c r="AL328" s="8"/>
      <c r="AN328" s="8">
        <f t="shared" si="103"/>
        <v>1</v>
      </c>
      <c r="AO328" s="8">
        <f t="shared" si="104"/>
        <v>6.0014012594264639</v>
      </c>
      <c r="AP328" s="8">
        <f t="shared" si="105"/>
        <v>0.61709332163718922</v>
      </c>
      <c r="AQ328" s="8"/>
      <c r="AR328" s="8">
        <f t="shared" si="106"/>
        <v>343.85496332963322</v>
      </c>
      <c r="AS328" s="8">
        <f t="shared" si="107"/>
        <v>54.643157104480011</v>
      </c>
    </row>
    <row r="329" spans="1:45">
      <c r="A329" s="19">
        <v>14.714700000000001</v>
      </c>
      <c r="B329" s="19">
        <v>1067.3417460000001</v>
      </c>
      <c r="C329" s="19">
        <v>-100.1976014</v>
      </c>
      <c r="E329" s="9">
        <f t="shared" si="93"/>
        <v>107.34174600000006</v>
      </c>
      <c r="F329" s="9">
        <f t="shared" si="98"/>
        <v>439.8023986</v>
      </c>
      <c r="I329">
        <v>1</v>
      </c>
      <c r="J329">
        <f t="shared" si="94"/>
        <v>0.29143397777437957</v>
      </c>
      <c r="K329">
        <f t="shared" si="99"/>
        <v>1.3314083515058284</v>
      </c>
      <c r="O329">
        <f t="shared" si="100"/>
        <v>6.8127329045643739E-2</v>
      </c>
      <c r="P329">
        <f t="shared" si="101"/>
        <v>0.27913243300966584</v>
      </c>
      <c r="Q329">
        <f t="shared" si="102"/>
        <v>0.95783284130333046</v>
      </c>
      <c r="R329">
        <f t="shared" si="92"/>
        <v>1</v>
      </c>
      <c r="AG329" s="8">
        <f t="shared" si="95"/>
        <v>0.55607693395068336</v>
      </c>
      <c r="AH329" s="8">
        <f t="shared" si="96"/>
        <v>-0.16050003346820371</v>
      </c>
      <c r="AI329" s="8">
        <f t="shared" si="97"/>
        <v>0.81548647001940688</v>
      </c>
      <c r="AJ329" s="8"/>
      <c r="AK329" s="8"/>
      <c r="AL329" s="8"/>
      <c r="AN329" s="8">
        <f t="shared" si="103"/>
        <v>1.0000000000000002</v>
      </c>
      <c r="AO329" s="8">
        <f t="shared" si="104"/>
        <v>6.0021928191736267</v>
      </c>
      <c r="AP329" s="8">
        <f t="shared" si="105"/>
        <v>0.6172271138771942</v>
      </c>
      <c r="AQ329" s="8"/>
      <c r="AR329" s="8">
        <f t="shared" si="106"/>
        <v>343.90031636237813</v>
      </c>
      <c r="AS329" s="8">
        <f t="shared" si="107"/>
        <v>54.635491373796128</v>
      </c>
    </row>
    <row r="330" spans="1:45">
      <c r="A330" s="19">
        <v>14.74806667</v>
      </c>
      <c r="B330" s="19">
        <v>1067.775468</v>
      </c>
      <c r="C330" s="19">
        <v>-100.4781705</v>
      </c>
      <c r="E330" s="9">
        <f t="shared" si="93"/>
        <v>107.77546800000005</v>
      </c>
      <c r="F330" s="9">
        <f t="shared" si="98"/>
        <v>439.52182949999997</v>
      </c>
      <c r="I330">
        <v>1</v>
      </c>
      <c r="J330">
        <f t="shared" si="94"/>
        <v>0.29133002657577528</v>
      </c>
      <c r="K330">
        <f t="shared" si="99"/>
        <v>1.3303302679225135</v>
      </c>
      <c r="O330">
        <f t="shared" si="100"/>
        <v>6.8404504503771363E-2</v>
      </c>
      <c r="P330">
        <f t="shared" si="101"/>
        <v>0.27896211933441634</v>
      </c>
      <c r="Q330">
        <f t="shared" si="102"/>
        <v>0.95786270401349505</v>
      </c>
      <c r="R330">
        <f t="shared" si="92"/>
        <v>1</v>
      </c>
      <c r="AG330" s="8">
        <f t="shared" si="95"/>
        <v>0.556291234485631</v>
      </c>
      <c r="AH330" s="8">
        <f t="shared" si="96"/>
        <v>-0.16027554930402838</v>
      </c>
      <c r="AI330" s="8">
        <f t="shared" si="97"/>
        <v>0.81538445578128649</v>
      </c>
      <c r="AJ330" s="8"/>
      <c r="AK330" s="8"/>
      <c r="AL330" s="8"/>
      <c r="AN330" s="8">
        <f t="shared" si="103"/>
        <v>1</v>
      </c>
      <c r="AO330" s="8">
        <f t="shared" si="104"/>
        <v>6.002668027620123</v>
      </c>
      <c r="AP330" s="8">
        <f t="shared" si="105"/>
        <v>0.61740335053902928</v>
      </c>
      <c r="AQ330" s="8"/>
      <c r="AR330" s="8">
        <f t="shared" si="106"/>
        <v>343.92754380075132</v>
      </c>
      <c r="AS330" s="8">
        <f t="shared" si="107"/>
        <v>54.6253937568775</v>
      </c>
    </row>
    <row r="331" spans="1:45">
      <c r="A331" s="19">
        <v>14.78143333</v>
      </c>
      <c r="B331" s="19">
        <v>1068.9106899999999</v>
      </c>
      <c r="C331" s="19">
        <v>-100.7371469</v>
      </c>
      <c r="E331" s="9">
        <f t="shared" si="93"/>
        <v>108.91068999999993</v>
      </c>
      <c r="F331" s="9">
        <f t="shared" si="98"/>
        <v>439.26285310000003</v>
      </c>
      <c r="I331">
        <v>1</v>
      </c>
      <c r="J331">
        <f t="shared" si="94"/>
        <v>0.29134249847900473</v>
      </c>
      <c r="K331">
        <f t="shared" si="99"/>
        <v>1.3277577290924638</v>
      </c>
      <c r="O331">
        <f t="shared" si="100"/>
        <v>6.9124793172432308E-2</v>
      </c>
      <c r="P331">
        <f t="shared" si="101"/>
        <v>0.27879681846538706</v>
      </c>
      <c r="Q331">
        <f t="shared" si="102"/>
        <v>0.95785912167836373</v>
      </c>
      <c r="R331">
        <f t="shared" si="92"/>
        <v>1</v>
      </c>
      <c r="AG331" s="8">
        <f t="shared" si="95"/>
        <v>0.55662283884660457</v>
      </c>
      <c r="AH331" s="8">
        <f t="shared" si="96"/>
        <v>-0.15962244150340982</v>
      </c>
      <c r="AI331" s="8">
        <f t="shared" si="97"/>
        <v>0.81528626349450861</v>
      </c>
      <c r="AJ331" s="8"/>
      <c r="AK331" s="8"/>
      <c r="AL331" s="8"/>
      <c r="AN331" s="8">
        <f t="shared" si="103"/>
        <v>1</v>
      </c>
      <c r="AO331" s="8">
        <f t="shared" si="104"/>
        <v>6.0039103642552965</v>
      </c>
      <c r="AP331" s="8">
        <f t="shared" si="105"/>
        <v>0.61757294320689837</v>
      </c>
      <c r="AQ331" s="8"/>
      <c r="AR331" s="8">
        <f t="shared" si="106"/>
        <v>343.99872444668125</v>
      </c>
      <c r="AS331" s="8">
        <f t="shared" si="107"/>
        <v>54.615676812772236</v>
      </c>
    </row>
    <row r="332" spans="1:45">
      <c r="A332" s="19">
        <v>14.8148</v>
      </c>
      <c r="B332" s="19">
        <v>1069.419181</v>
      </c>
      <c r="C332" s="19">
        <v>-100.8006022</v>
      </c>
      <c r="E332" s="9">
        <f t="shared" si="93"/>
        <v>109.41918099999998</v>
      </c>
      <c r="F332" s="9">
        <f t="shared" si="98"/>
        <v>439.19939779999999</v>
      </c>
      <c r="I332">
        <v>1</v>
      </c>
      <c r="J332">
        <f t="shared" si="94"/>
        <v>0.29137995670610967</v>
      </c>
      <c r="K332">
        <f t="shared" si="99"/>
        <v>1.3266335782417265</v>
      </c>
      <c r="O332">
        <f t="shared" si="100"/>
        <v>6.9446832764311697E-2</v>
      </c>
      <c r="P332">
        <f t="shared" si="101"/>
        <v>0.27875375094612526</v>
      </c>
      <c r="Q332">
        <f t="shared" si="102"/>
        <v>0.95784836156485198</v>
      </c>
      <c r="R332">
        <f t="shared" si="92"/>
        <v>1</v>
      </c>
      <c r="AG332" s="8">
        <f t="shared" si="95"/>
        <v>0.55674594817773282</v>
      </c>
      <c r="AH332" s="8">
        <f t="shared" si="96"/>
        <v>-0.15932264483849368</v>
      </c>
      <c r="AI332" s="8">
        <f t="shared" si="97"/>
        <v>0.81526084416543931</v>
      </c>
      <c r="AJ332" s="8"/>
      <c r="AK332" s="8"/>
      <c r="AL332" s="8"/>
      <c r="AN332" s="8">
        <f t="shared" si="103"/>
        <v>1.0000000000000002</v>
      </c>
      <c r="AO332" s="8">
        <f t="shared" si="104"/>
        <v>6.0044666080479221</v>
      </c>
      <c r="AP332" s="8">
        <f t="shared" si="105"/>
        <v>0.61761683956657631</v>
      </c>
      <c r="AQ332" s="8"/>
      <c r="AR332" s="8">
        <f t="shared" si="106"/>
        <v>344.03059486837907</v>
      </c>
      <c r="AS332" s="8">
        <f t="shared" si="107"/>
        <v>54.613161736626708</v>
      </c>
    </row>
    <row r="333" spans="1:45">
      <c r="A333" s="19">
        <v>14.848166669999999</v>
      </c>
      <c r="B333" s="19">
        <v>1070.059937</v>
      </c>
      <c r="C333" s="19">
        <v>-101.03775640000001</v>
      </c>
      <c r="E333" s="9">
        <f t="shared" si="93"/>
        <v>110.05993699999999</v>
      </c>
      <c r="F333" s="9">
        <f t="shared" si="98"/>
        <v>438.96224359999997</v>
      </c>
      <c r="I333">
        <v>1</v>
      </c>
      <c r="J333">
        <f t="shared" si="94"/>
        <v>0.29133412755820204</v>
      </c>
      <c r="K333">
        <f t="shared" si="99"/>
        <v>1.3251330084886805</v>
      </c>
      <c r="O333">
        <f t="shared" si="100"/>
        <v>6.985436796234118E-2</v>
      </c>
      <c r="P333">
        <f t="shared" si="101"/>
        <v>0.27860664763063814</v>
      </c>
      <c r="Q333">
        <f t="shared" si="102"/>
        <v>0.95786152609476871</v>
      </c>
      <c r="R333">
        <f t="shared" si="92"/>
        <v>1</v>
      </c>
      <c r="AG333" s="8">
        <f t="shared" si="95"/>
        <v>0.55697673627087085</v>
      </c>
      <c r="AH333" s="8">
        <f t="shared" si="96"/>
        <v>-0.15896645594280928</v>
      </c>
      <c r="AI333" s="8">
        <f t="shared" si="97"/>
        <v>0.81517273086017272</v>
      </c>
      <c r="AJ333" s="8"/>
      <c r="AK333" s="8"/>
      <c r="AL333" s="8"/>
      <c r="AN333" s="8">
        <f t="shared" si="103"/>
        <v>1</v>
      </c>
      <c r="AO333" s="8">
        <f t="shared" si="104"/>
        <v>6.0051674470138909</v>
      </c>
      <c r="AP333" s="8">
        <f t="shared" si="105"/>
        <v>0.6177689804694686</v>
      </c>
      <c r="AQ333" s="8"/>
      <c r="AR333" s="8">
        <f t="shared" si="106"/>
        <v>344.07074998324737</v>
      </c>
      <c r="AS333" s="8">
        <f t="shared" si="107"/>
        <v>54.604444704999665</v>
      </c>
    </row>
    <row r="334" spans="1:45">
      <c r="A334" s="19">
        <v>14.88153333</v>
      </c>
      <c r="B334" s="19">
        <v>1070.8889810000001</v>
      </c>
      <c r="C334" s="19">
        <v>-101.2329251</v>
      </c>
      <c r="E334" s="9">
        <f t="shared" si="93"/>
        <v>110.88898100000006</v>
      </c>
      <c r="F334" s="9">
        <f t="shared" si="98"/>
        <v>438.76707490000001</v>
      </c>
      <c r="I334">
        <v>1</v>
      </c>
      <c r="J334">
        <f t="shared" si="94"/>
        <v>0.29134217291387354</v>
      </c>
      <c r="K334">
        <f t="shared" si="99"/>
        <v>1.323251239111688</v>
      </c>
      <c r="O334">
        <f t="shared" si="100"/>
        <v>7.0380405671530866E-2</v>
      </c>
      <c r="P334">
        <f t="shared" si="101"/>
        <v>0.27848217603129516</v>
      </c>
      <c r="Q334">
        <f t="shared" si="102"/>
        <v>0.957859215193123</v>
      </c>
      <c r="R334">
        <f t="shared" si="92"/>
        <v>1</v>
      </c>
      <c r="AG334" s="8">
        <f t="shared" si="95"/>
        <v>0.55722137876813893</v>
      </c>
      <c r="AH334" s="8">
        <f t="shared" si="96"/>
        <v>-0.15849019971831313</v>
      </c>
      <c r="AI334" s="8">
        <f t="shared" si="97"/>
        <v>0.81509827115322953</v>
      </c>
      <c r="AJ334" s="8"/>
      <c r="AK334" s="8"/>
      <c r="AL334" s="8"/>
      <c r="AN334" s="8">
        <f t="shared" si="103"/>
        <v>1.0000000000000002</v>
      </c>
      <c r="AO334" s="8">
        <f t="shared" si="104"/>
        <v>6.006073869026312</v>
      </c>
      <c r="AP334" s="8">
        <f t="shared" si="105"/>
        <v>0.61789752098581718</v>
      </c>
      <c r="AQ334" s="8"/>
      <c r="AR334" s="8">
        <f t="shared" si="106"/>
        <v>344.12268413901683</v>
      </c>
      <c r="AS334" s="8">
        <f t="shared" si="107"/>
        <v>54.597079875916464</v>
      </c>
    </row>
    <row r="335" spans="1:45">
      <c r="A335" s="19">
        <v>14.914899999999999</v>
      </c>
      <c r="B335" s="19">
        <v>1071.3368499999999</v>
      </c>
      <c r="C335" s="19">
        <v>-101.9667888</v>
      </c>
      <c r="E335" s="9">
        <f t="shared" si="93"/>
        <v>111.33684999999991</v>
      </c>
      <c r="F335" s="9">
        <f t="shared" si="98"/>
        <v>438.03321119999998</v>
      </c>
      <c r="I335">
        <v>1</v>
      </c>
      <c r="J335">
        <f t="shared" si="94"/>
        <v>0.29097326352650066</v>
      </c>
      <c r="K335">
        <f t="shared" si="99"/>
        <v>1.3218926461267479</v>
      </c>
      <c r="O335">
        <f t="shared" si="100"/>
        <v>7.0671631659279116E-2</v>
      </c>
      <c r="P335">
        <f t="shared" si="101"/>
        <v>0.27804380810538148</v>
      </c>
      <c r="Q335">
        <f t="shared" si="102"/>
        <v>0.95796511484128322</v>
      </c>
      <c r="R335">
        <f t="shared" si="92"/>
        <v>1</v>
      </c>
      <c r="AG335" s="8">
        <f t="shared" si="95"/>
        <v>0.55765627078098912</v>
      </c>
      <c r="AH335" s="8">
        <f t="shared" si="96"/>
        <v>-0.15831918214428176</v>
      </c>
      <c r="AI335" s="8">
        <f t="shared" si="97"/>
        <v>0.81483404459055708</v>
      </c>
      <c r="AJ335" s="8"/>
      <c r="AK335" s="8"/>
      <c r="AL335" s="8"/>
      <c r="AN335" s="8">
        <f t="shared" si="103"/>
        <v>1</v>
      </c>
      <c r="AO335" s="8">
        <f t="shared" si="104"/>
        <v>6.0065628686398718</v>
      </c>
      <c r="AP335" s="8">
        <f t="shared" si="105"/>
        <v>0.61835347038941679</v>
      </c>
      <c r="AQ335" s="8"/>
      <c r="AR335" s="8">
        <f t="shared" si="106"/>
        <v>344.15070175305738</v>
      </c>
      <c r="AS335" s="8">
        <f t="shared" si="107"/>
        <v>54.570955899418699</v>
      </c>
    </row>
    <row r="336" spans="1:45">
      <c r="A336" s="19">
        <v>14.948266670000001</v>
      </c>
      <c r="B336" s="19">
        <v>1072.266112</v>
      </c>
      <c r="C336" s="19">
        <v>-101.60083160000001</v>
      </c>
      <c r="E336" s="9">
        <f t="shared" si="93"/>
        <v>112.26611200000002</v>
      </c>
      <c r="F336" s="9">
        <f t="shared" si="98"/>
        <v>438.39916840000001</v>
      </c>
      <c r="I336">
        <v>1</v>
      </c>
      <c r="J336">
        <f t="shared" si="94"/>
        <v>0.2913317349388207</v>
      </c>
      <c r="K336">
        <f t="shared" si="99"/>
        <v>1.3201017216759003</v>
      </c>
      <c r="O336">
        <f t="shared" si="100"/>
        <v>7.1254659318666771E-2</v>
      </c>
      <c r="P336">
        <f t="shared" si="101"/>
        <v>0.2782494452994756</v>
      </c>
      <c r="Q336">
        <f t="shared" si="102"/>
        <v>0.95786221332502453</v>
      </c>
      <c r="R336">
        <f t="shared" si="92"/>
        <v>1</v>
      </c>
      <c r="AG336" s="8">
        <f t="shared" si="95"/>
        <v>0.55764844195815166</v>
      </c>
      <c r="AH336" s="8">
        <f t="shared" si="96"/>
        <v>-0.15770497822921042</v>
      </c>
      <c r="AI336" s="8">
        <f t="shared" si="97"/>
        <v>0.81495849895768946</v>
      </c>
      <c r="AJ336" s="8"/>
      <c r="AK336" s="8"/>
      <c r="AL336" s="8"/>
      <c r="AN336" s="8">
        <f t="shared" si="103"/>
        <v>1</v>
      </c>
      <c r="AO336" s="8">
        <f t="shared" si="104"/>
        <v>6.0075787380193892</v>
      </c>
      <c r="AP336" s="8">
        <f t="shared" si="105"/>
        <v>0.61813874833230842</v>
      </c>
      <c r="AQ336" s="8"/>
      <c r="AR336" s="8">
        <f t="shared" si="106"/>
        <v>344.2089067810403</v>
      </c>
      <c r="AS336" s="8">
        <f t="shared" si="107"/>
        <v>54.583258567059374</v>
      </c>
    </row>
    <row r="337" spans="1:45">
      <c r="A337" s="19">
        <v>14.981633329999999</v>
      </c>
      <c r="B337" s="19">
        <v>1072.857737</v>
      </c>
      <c r="C337" s="19">
        <v>-102.28506369999999</v>
      </c>
      <c r="E337" s="9">
        <f t="shared" si="93"/>
        <v>112.85773700000004</v>
      </c>
      <c r="F337" s="9">
        <f t="shared" si="98"/>
        <v>437.71493629999998</v>
      </c>
      <c r="I337">
        <v>1</v>
      </c>
      <c r="J337">
        <f t="shared" si="94"/>
        <v>0.2910155098437513</v>
      </c>
      <c r="K337">
        <f t="shared" si="99"/>
        <v>1.3184583057129304</v>
      </c>
      <c r="O337">
        <f t="shared" si="100"/>
        <v>7.1636214243871288E-2</v>
      </c>
      <c r="P337">
        <f t="shared" si="101"/>
        <v>0.27783864702629352</v>
      </c>
      <c r="Q337">
        <f t="shared" si="102"/>
        <v>0.95795299416380808</v>
      </c>
      <c r="R337">
        <f t="shared" si="92"/>
        <v>1</v>
      </c>
      <c r="AG337" s="8">
        <f t="shared" si="95"/>
        <v>0.55808529027697251</v>
      </c>
      <c r="AH337" s="8">
        <f t="shared" si="96"/>
        <v>-0.15743975793458076</v>
      </c>
      <c r="AI337" s="8">
        <f t="shared" si="97"/>
        <v>0.81471070411402358</v>
      </c>
      <c r="AJ337" s="8"/>
      <c r="AK337" s="8"/>
      <c r="AL337" s="8"/>
      <c r="AN337" s="8">
        <f t="shared" si="103"/>
        <v>1.0000000000000002</v>
      </c>
      <c r="AO337" s="8">
        <f t="shared" si="104"/>
        <v>6.008223869411867</v>
      </c>
      <c r="AP337" s="8">
        <f t="shared" si="105"/>
        <v>0.61856620672200169</v>
      </c>
      <c r="AQ337" s="8"/>
      <c r="AR337" s="8">
        <f t="shared" si="106"/>
        <v>344.24587008706067</v>
      </c>
      <c r="AS337" s="8">
        <f t="shared" si="107"/>
        <v>54.558767005412491</v>
      </c>
    </row>
    <row r="338" spans="1:45">
      <c r="A338" s="19">
        <v>15.015000000000001</v>
      </c>
      <c r="B338" s="19">
        <v>1073.525181</v>
      </c>
      <c r="C338" s="19">
        <v>-102.8343692</v>
      </c>
      <c r="E338" s="9">
        <f t="shared" si="93"/>
        <v>113.52518099999998</v>
      </c>
      <c r="F338" s="9">
        <f t="shared" si="98"/>
        <v>437.16563080000003</v>
      </c>
      <c r="I338">
        <v>1</v>
      </c>
      <c r="J338">
        <f t="shared" si="94"/>
        <v>0.29079180806868615</v>
      </c>
      <c r="K338">
        <f t="shared" si="99"/>
        <v>1.3167237220012327</v>
      </c>
      <c r="O338">
        <f t="shared" si="100"/>
        <v>7.2064176026669979E-2</v>
      </c>
      <c r="P338">
        <f t="shared" si="101"/>
        <v>0.27750654694645621</v>
      </c>
      <c r="Q338">
        <f t="shared" si="102"/>
        <v>0.95801715586697689</v>
      </c>
      <c r="R338">
        <f t="shared" si="92"/>
        <v>1</v>
      </c>
      <c r="AG338" s="8">
        <f t="shared" si="95"/>
        <v>0.55847074195957369</v>
      </c>
      <c r="AH338" s="8">
        <f t="shared" si="96"/>
        <v>-0.1571099204377697</v>
      </c>
      <c r="AI338" s="8">
        <f t="shared" si="97"/>
        <v>0.81451022294085496</v>
      </c>
      <c r="AJ338" s="8"/>
      <c r="AK338" s="8"/>
      <c r="AL338" s="8"/>
      <c r="AN338" s="8">
        <f t="shared" si="103"/>
        <v>1.0000000000000004</v>
      </c>
      <c r="AO338" s="8">
        <f t="shared" si="104"/>
        <v>6.0089514431561719</v>
      </c>
      <c r="AP338" s="8">
        <f t="shared" si="105"/>
        <v>0.61891185889803757</v>
      </c>
      <c r="AQ338" s="8"/>
      <c r="AR338" s="8">
        <f t="shared" si="106"/>
        <v>344.28755699189384</v>
      </c>
      <c r="AS338" s="8">
        <f t="shared" si="107"/>
        <v>54.53896259454612</v>
      </c>
    </row>
    <row r="339" spans="1:45">
      <c r="A339" s="19">
        <v>15.04836667</v>
      </c>
      <c r="B339" s="19">
        <v>1074.5437890000001</v>
      </c>
      <c r="C339" s="19">
        <v>-103.0221043</v>
      </c>
      <c r="E339" s="9">
        <f t="shared" si="93"/>
        <v>114.54378900000006</v>
      </c>
      <c r="F339" s="9">
        <f t="shared" si="98"/>
        <v>436.97789569999998</v>
      </c>
      <c r="I339">
        <v>1</v>
      </c>
      <c r="J339">
        <f t="shared" si="94"/>
        <v>0.29083813375340006</v>
      </c>
      <c r="K339">
        <f t="shared" si="99"/>
        <v>1.3144368029889191</v>
      </c>
      <c r="O339">
        <f t="shared" si="100"/>
        <v>7.2709875174545663E-2</v>
      </c>
      <c r="P339">
        <f t="shared" si="101"/>
        <v>0.27738394659166205</v>
      </c>
      <c r="Q339">
        <f t="shared" si="102"/>
        <v>0.95800387276113652</v>
      </c>
      <c r="R339">
        <f t="shared" si="92"/>
        <v>1</v>
      </c>
      <c r="AG339" s="8">
        <f t="shared" si="95"/>
        <v>0.55874533261022219</v>
      </c>
      <c r="AH339" s="8">
        <f t="shared" si="96"/>
        <v>-0.15651727777220842</v>
      </c>
      <c r="AI339" s="8">
        <f t="shared" si="97"/>
        <v>0.81443599812696732</v>
      </c>
      <c r="AJ339" s="8"/>
      <c r="AK339" s="8"/>
      <c r="AL339" s="8"/>
      <c r="AN339" s="8">
        <f t="shared" si="103"/>
        <v>1</v>
      </c>
      <c r="AO339" s="8">
        <f t="shared" si="104"/>
        <v>6.0100627839198557</v>
      </c>
      <c r="AP339" s="8">
        <f t="shared" si="105"/>
        <v>0.61903978831465512</v>
      </c>
      <c r="AQ339" s="8"/>
      <c r="AR339" s="8">
        <f t="shared" si="106"/>
        <v>344.35123212725375</v>
      </c>
      <c r="AS339" s="8">
        <f t="shared" si="107"/>
        <v>54.531632778898363</v>
      </c>
    </row>
    <row r="340" spans="1:45">
      <c r="A340" s="19">
        <v>15.08173333</v>
      </c>
      <c r="B340" s="19">
        <v>1075.1194290000001</v>
      </c>
      <c r="C340" s="19">
        <v>-103.19847729999999</v>
      </c>
      <c r="E340" s="9">
        <f t="shared" si="93"/>
        <v>115.11942900000008</v>
      </c>
      <c r="F340" s="9">
        <f t="shared" si="98"/>
        <v>436.80152270000002</v>
      </c>
      <c r="I340">
        <v>1</v>
      </c>
      <c r="J340">
        <f t="shared" si="94"/>
        <v>0.29082325480425641</v>
      </c>
      <c r="K340">
        <f t="shared" si="99"/>
        <v>1.3131051074552573</v>
      </c>
      <c r="O340">
        <f t="shared" si="100"/>
        <v>7.3075568911413036E-2</v>
      </c>
      <c r="P340">
        <f t="shared" si="101"/>
        <v>0.27727308978116955</v>
      </c>
      <c r="Q340">
        <f t="shared" si="102"/>
        <v>0.9580081392720402</v>
      </c>
      <c r="R340">
        <f t="shared" si="92"/>
        <v>1</v>
      </c>
      <c r="AG340" s="8">
        <f t="shared" si="95"/>
        <v>0.55893425494781535</v>
      </c>
      <c r="AH340" s="8">
        <f t="shared" si="96"/>
        <v>-0.15619195559457733</v>
      </c>
      <c r="AI340" s="8">
        <f t="shared" si="97"/>
        <v>0.81436881795257365</v>
      </c>
      <c r="AJ340" s="8"/>
      <c r="AK340" s="8"/>
      <c r="AL340" s="8"/>
      <c r="AN340" s="8">
        <f t="shared" si="103"/>
        <v>0.99999999999999978</v>
      </c>
      <c r="AO340" s="8">
        <f t="shared" si="104"/>
        <v>6.0106903791104225</v>
      </c>
      <c r="AP340" s="8">
        <f t="shared" si="105"/>
        <v>0.61915555621407403</v>
      </c>
      <c r="AQ340" s="8"/>
      <c r="AR340" s="8">
        <f t="shared" si="106"/>
        <v>344.38719068291596</v>
      </c>
      <c r="AS340" s="8">
        <f t="shared" si="107"/>
        <v>54.524999766858564</v>
      </c>
    </row>
    <row r="341" spans="1:45">
      <c r="A341" s="19">
        <v>15.1151</v>
      </c>
      <c r="B341" s="19">
        <v>1075.3776869999999</v>
      </c>
      <c r="C341" s="19">
        <v>-103.8135118</v>
      </c>
      <c r="E341" s="9">
        <f t="shared" si="93"/>
        <v>115.37768699999992</v>
      </c>
      <c r="F341" s="9">
        <f t="shared" si="98"/>
        <v>436.18648819999999</v>
      </c>
      <c r="I341">
        <v>1</v>
      </c>
      <c r="J341">
        <f t="shared" si="94"/>
        <v>0.29049879928397221</v>
      </c>
      <c r="K341">
        <f t="shared" si="99"/>
        <v>1.3122042162472904</v>
      </c>
      <c r="O341">
        <f t="shared" si="100"/>
        <v>7.3245842627994273E-2</v>
      </c>
      <c r="P341">
        <f t="shared" si="101"/>
        <v>0.27690663335238042</v>
      </c>
      <c r="Q341">
        <f t="shared" si="102"/>
        <v>0.9581011235475958</v>
      </c>
      <c r="R341">
        <f t="shared" si="92"/>
        <v>1</v>
      </c>
      <c r="AG341" s="8">
        <f t="shared" si="95"/>
        <v>0.559277157767744</v>
      </c>
      <c r="AH341" s="8">
        <f t="shared" si="96"/>
        <v>-0.15611933584328475</v>
      </c>
      <c r="AI341" s="8">
        <f t="shared" si="97"/>
        <v>0.81414729243244777</v>
      </c>
      <c r="AJ341" s="8"/>
      <c r="AK341" s="8"/>
      <c r="AL341" s="8"/>
      <c r="AN341" s="8">
        <f t="shared" si="103"/>
        <v>1</v>
      </c>
      <c r="AO341" s="8">
        <f t="shared" si="104"/>
        <v>6.0109697644734092</v>
      </c>
      <c r="AP341" s="8">
        <f t="shared" si="105"/>
        <v>0.61953716578535578</v>
      </c>
      <c r="AQ341" s="8"/>
      <c r="AR341" s="8">
        <f t="shared" si="106"/>
        <v>344.40319828507285</v>
      </c>
      <c r="AS341" s="8">
        <f t="shared" si="107"/>
        <v>54.503135149002325</v>
      </c>
    </row>
    <row r="342" spans="1:45">
      <c r="A342" s="19">
        <v>15.148466669999999</v>
      </c>
      <c r="B342" s="19">
        <v>1076.5587860000001</v>
      </c>
      <c r="C342" s="19">
        <v>-103.8403196</v>
      </c>
      <c r="E342" s="9">
        <f t="shared" si="93"/>
        <v>116.55878600000005</v>
      </c>
      <c r="F342" s="9">
        <f t="shared" si="98"/>
        <v>436.15968040000001</v>
      </c>
      <c r="I342">
        <v>1</v>
      </c>
      <c r="J342">
        <f t="shared" si="94"/>
        <v>0.29066914192168486</v>
      </c>
      <c r="K342">
        <f t="shared" si="99"/>
        <v>1.3096598694944868</v>
      </c>
      <c r="O342">
        <f t="shared" si="100"/>
        <v>7.3992286370462748E-2</v>
      </c>
      <c r="P342">
        <f t="shared" si="101"/>
        <v>0.27687704276026243</v>
      </c>
      <c r="Q342">
        <f t="shared" si="102"/>
        <v>0.9580523183782832</v>
      </c>
      <c r="R342">
        <f t="shared" si="92"/>
        <v>1</v>
      </c>
      <c r="AG342" s="8">
        <f t="shared" si="95"/>
        <v>0.55950302887272829</v>
      </c>
      <c r="AH342" s="8">
        <f t="shared" si="96"/>
        <v>-0.15540584527096873</v>
      </c>
      <c r="AI342" s="8">
        <f t="shared" si="97"/>
        <v>0.81412860405335152</v>
      </c>
      <c r="AJ342" s="8"/>
      <c r="AK342" s="8"/>
      <c r="AL342" s="8"/>
      <c r="AN342" s="8">
        <f t="shared" si="103"/>
        <v>1</v>
      </c>
      <c r="AO342" s="8">
        <f t="shared" si="104"/>
        <v>6.0122578085986831</v>
      </c>
      <c r="AP342" s="8">
        <f t="shared" si="105"/>
        <v>0.61956934986674406</v>
      </c>
      <c r="AQ342" s="8"/>
      <c r="AR342" s="8">
        <f t="shared" si="106"/>
        <v>344.47699777727763</v>
      </c>
      <c r="AS342" s="8">
        <f t="shared" si="107"/>
        <v>54.501291136971275</v>
      </c>
    </row>
    <row r="343" spans="1:45">
      <c r="A343" s="19">
        <v>15.18183333</v>
      </c>
      <c r="B343" s="19">
        <v>1076.616638</v>
      </c>
      <c r="C343" s="19">
        <v>-104.20367349999999</v>
      </c>
      <c r="E343" s="9">
        <f t="shared" si="93"/>
        <v>116.61663799999997</v>
      </c>
      <c r="F343" s="9">
        <f t="shared" si="98"/>
        <v>435.79632650000002</v>
      </c>
      <c r="I343">
        <v>1</v>
      </c>
      <c r="J343">
        <f t="shared" si="94"/>
        <v>0.29046289744732995</v>
      </c>
      <c r="K343">
        <f t="shared" si="99"/>
        <v>1.3093280338323985</v>
      </c>
      <c r="O343">
        <f t="shared" si="100"/>
        <v>7.4033080761331096E-2</v>
      </c>
      <c r="P343">
        <f t="shared" si="101"/>
        <v>0.27666159124966316</v>
      </c>
      <c r="Q343">
        <f t="shared" si="102"/>
        <v>0.95811140629897029</v>
      </c>
      <c r="R343">
        <f t="shared" si="92"/>
        <v>1</v>
      </c>
      <c r="AG343" s="8">
        <f t="shared" si="95"/>
        <v>0.55968848671627924</v>
      </c>
      <c r="AH343" s="8">
        <f t="shared" si="96"/>
        <v>-0.1554203958803482</v>
      </c>
      <c r="AI343" s="8">
        <f t="shared" si="97"/>
        <v>0.8139983405275697</v>
      </c>
      <c r="AJ343" s="8"/>
      <c r="AK343" s="8"/>
      <c r="AL343" s="8"/>
      <c r="AN343" s="8">
        <f t="shared" si="103"/>
        <v>1</v>
      </c>
      <c r="AO343" s="8">
        <f t="shared" si="104"/>
        <v>6.0123191192525827</v>
      </c>
      <c r="AP343" s="8">
        <f t="shared" si="105"/>
        <v>0.61979364210126975</v>
      </c>
      <c r="AQ343" s="8"/>
      <c r="AR343" s="8">
        <f t="shared" si="106"/>
        <v>344.48051061898531</v>
      </c>
      <c r="AS343" s="8">
        <f t="shared" si="107"/>
        <v>54.48844013855539</v>
      </c>
    </row>
    <row r="344" spans="1:45">
      <c r="A344" s="19">
        <v>15.215199999999999</v>
      </c>
      <c r="B344" s="19">
        <v>1077.6081819999999</v>
      </c>
      <c r="C344" s="19">
        <v>-104.4733703</v>
      </c>
      <c r="E344" s="9">
        <f t="shared" si="93"/>
        <v>117.60818199999994</v>
      </c>
      <c r="F344" s="9">
        <f t="shared" si="98"/>
        <v>435.5266297</v>
      </c>
      <c r="I344">
        <v>1</v>
      </c>
      <c r="J344">
        <f t="shared" si="94"/>
        <v>0.29046102768784049</v>
      </c>
      <c r="K344">
        <f t="shared" si="99"/>
        <v>1.3070502688428907</v>
      </c>
      <c r="O344">
        <f t="shared" si="100"/>
        <v>7.4662591227280514E-2</v>
      </c>
      <c r="P344">
        <f t="shared" si="101"/>
        <v>0.2764905142559409</v>
      </c>
      <c r="Q344">
        <f t="shared" si="102"/>
        <v>0.95811194178849135</v>
      </c>
      <c r="R344">
        <f t="shared" si="92"/>
        <v>1</v>
      </c>
      <c r="AG344" s="8">
        <f t="shared" si="95"/>
        <v>0.55999690065511432</v>
      </c>
      <c r="AH344" s="8">
        <f t="shared" si="96"/>
        <v>-0.15485512197381504</v>
      </c>
      <c r="AI344" s="8">
        <f t="shared" si="97"/>
        <v>0.81389395037384393</v>
      </c>
      <c r="AJ344" s="8"/>
      <c r="AK344" s="8"/>
      <c r="AL344" s="8"/>
      <c r="AN344" s="8">
        <f t="shared" si="103"/>
        <v>1.0000000000000002</v>
      </c>
      <c r="AO344" s="8">
        <f t="shared" si="104"/>
        <v>6.0133985864777921</v>
      </c>
      <c r="AP344" s="8">
        <f t="shared" si="105"/>
        <v>0.61997333379848085</v>
      </c>
      <c r="AQ344" s="8"/>
      <c r="AR344" s="8">
        <f t="shared" si="106"/>
        <v>344.5423595351125</v>
      </c>
      <c r="AS344" s="8">
        <f t="shared" si="107"/>
        <v>54.478144562691654</v>
      </c>
    </row>
    <row r="345" spans="1:45">
      <c r="A345" s="19">
        <v>15.248566670000001</v>
      </c>
      <c r="B345" s="19">
        <v>1078.380371</v>
      </c>
      <c r="C345" s="19">
        <v>-104.8290057</v>
      </c>
      <c r="E345" s="9">
        <f t="shared" si="93"/>
        <v>118.38037099999997</v>
      </c>
      <c r="F345" s="9">
        <f t="shared" si="98"/>
        <v>435.17099430000002</v>
      </c>
      <c r="I345">
        <v>1</v>
      </c>
      <c r="J345">
        <f t="shared" si="94"/>
        <v>0.29037433718739192</v>
      </c>
      <c r="K345">
        <f t="shared" si="99"/>
        <v>1.3051916691569543</v>
      </c>
      <c r="O345">
        <f t="shared" si="100"/>
        <v>7.5154544434478804E-2</v>
      </c>
      <c r="P345">
        <f t="shared" si="101"/>
        <v>0.27627112122934377</v>
      </c>
      <c r="Q345">
        <f t="shared" si="102"/>
        <v>0.95813676582496676</v>
      </c>
      <c r="R345">
        <f t="shared" si="92"/>
        <v>1</v>
      </c>
      <c r="AG345" s="8">
        <f t="shared" si="95"/>
        <v>0.56030704891002403</v>
      </c>
      <c r="AH345" s="8">
        <f t="shared" si="96"/>
        <v>-0.15443472998141816</v>
      </c>
      <c r="AI345" s="8">
        <f t="shared" si="97"/>
        <v>0.81376036098922055</v>
      </c>
      <c r="AJ345" s="8"/>
      <c r="AK345" s="8"/>
      <c r="AL345" s="8"/>
      <c r="AN345" s="8">
        <f t="shared" si="103"/>
        <v>1.0000000000000002</v>
      </c>
      <c r="AO345" s="8">
        <f t="shared" si="104"/>
        <v>6.0142379663958279</v>
      </c>
      <c r="AP345" s="8">
        <f t="shared" si="105"/>
        <v>0.62020322155346685</v>
      </c>
      <c r="AQ345" s="8"/>
      <c r="AR345" s="8">
        <f t="shared" si="106"/>
        <v>344.59045246182399</v>
      </c>
      <c r="AS345" s="8">
        <f t="shared" si="107"/>
        <v>54.464972964569213</v>
      </c>
    </row>
    <row r="346" spans="1:45">
      <c r="A346" s="19">
        <v>15.281933329999999</v>
      </c>
      <c r="B346" s="19">
        <v>1079.378721</v>
      </c>
      <c r="C346" s="19">
        <v>-105.0979299</v>
      </c>
      <c r="E346" s="9">
        <f t="shared" si="93"/>
        <v>119.37872100000004</v>
      </c>
      <c r="F346" s="9">
        <f t="shared" si="98"/>
        <v>434.9020701</v>
      </c>
      <c r="I346">
        <v>1</v>
      </c>
      <c r="J346">
        <f t="shared" si="94"/>
        <v>0.29037663922766566</v>
      </c>
      <c r="K346">
        <f t="shared" si="99"/>
        <v>1.3028990780895073</v>
      </c>
      <c r="O346">
        <f t="shared" si="100"/>
        <v>7.5788306929227042E-2</v>
      </c>
      <c r="P346">
        <f t="shared" si="101"/>
        <v>0.27610022369811632</v>
      </c>
      <c r="Q346">
        <f t="shared" si="102"/>
        <v>0.95813610672317917</v>
      </c>
      <c r="R346">
        <f t="shared" si="92"/>
        <v>1</v>
      </c>
      <c r="AG346" s="8">
        <f t="shared" si="95"/>
        <v>0.56061587065898322</v>
      </c>
      <c r="AH346" s="8">
        <f t="shared" si="96"/>
        <v>-0.15386507301927643</v>
      </c>
      <c r="AI346" s="8">
        <f t="shared" si="97"/>
        <v>0.81365556894182378</v>
      </c>
      <c r="AJ346" s="8"/>
      <c r="AK346" s="8"/>
      <c r="AL346" s="8"/>
      <c r="AN346" s="8">
        <f t="shared" si="103"/>
        <v>1</v>
      </c>
      <c r="AO346" s="8">
        <f t="shared" si="104"/>
        <v>6.0153237850584906</v>
      </c>
      <c r="AP346" s="8">
        <f t="shared" si="105"/>
        <v>0.62038350153546573</v>
      </c>
      <c r="AQ346" s="8"/>
      <c r="AR346" s="8">
        <f t="shared" si="106"/>
        <v>344.65266528851106</v>
      </c>
      <c r="AS346" s="8">
        <f t="shared" si="107"/>
        <v>54.454643682469985</v>
      </c>
    </row>
    <row r="347" spans="1:45">
      <c r="A347" s="19">
        <v>15.315300000000001</v>
      </c>
      <c r="B347" s="19">
        <v>1079.5437280000001</v>
      </c>
      <c r="C347" s="19">
        <v>-105.4775688</v>
      </c>
      <c r="E347" s="9">
        <f t="shared" si="93"/>
        <v>119.5437280000001</v>
      </c>
      <c r="F347" s="9">
        <f t="shared" si="98"/>
        <v>434.52243120000003</v>
      </c>
      <c r="I347">
        <v>1</v>
      </c>
      <c r="J347">
        <f t="shared" si="94"/>
        <v>0.2901787884334931</v>
      </c>
      <c r="K347">
        <f t="shared" si="99"/>
        <v>1.3023230133092163</v>
      </c>
      <c r="O347">
        <f t="shared" si="100"/>
        <v>7.5897059716172707E-2</v>
      </c>
      <c r="P347">
        <f t="shared" si="101"/>
        <v>0.27587373641888524</v>
      </c>
      <c r="Q347">
        <f t="shared" si="102"/>
        <v>0.95819273524731086</v>
      </c>
      <c r="R347">
        <f t="shared" ref="R347:R410" si="108">SQRT(O347^2+P347^2+Q347^2)</f>
        <v>1</v>
      </c>
      <c r="AG347" s="8">
        <f t="shared" si="95"/>
        <v>0.5608283346360825</v>
      </c>
      <c r="AH347" s="8">
        <f t="shared" si="96"/>
        <v>-0.15381663350922231</v>
      </c>
      <c r="AI347" s="8">
        <f t="shared" si="97"/>
        <v>0.81351829870335912</v>
      </c>
      <c r="AJ347" s="8"/>
      <c r="AK347" s="8"/>
      <c r="AL347" s="8"/>
      <c r="AN347" s="8">
        <f t="shared" si="103"/>
        <v>1</v>
      </c>
      <c r="AO347" s="8">
        <f t="shared" si="104"/>
        <v>6.0155008064813718</v>
      </c>
      <c r="AP347" s="8">
        <f t="shared" si="105"/>
        <v>0.62061958688151153</v>
      </c>
      <c r="AQ347" s="8"/>
      <c r="AR347" s="8">
        <f t="shared" si="106"/>
        <v>344.6628078689256</v>
      </c>
      <c r="AS347" s="8">
        <f t="shared" si="107"/>
        <v>54.441116988536677</v>
      </c>
    </row>
    <row r="348" spans="1:45">
      <c r="A348" s="19">
        <v>15.34866667</v>
      </c>
      <c r="B348" s="19">
        <v>1080.2409379999999</v>
      </c>
      <c r="C348" s="19">
        <v>-105.8784369</v>
      </c>
      <c r="E348" s="9">
        <f t="shared" si="93"/>
        <v>120.24093799999991</v>
      </c>
      <c r="F348" s="9">
        <f t="shared" si="98"/>
        <v>434.1215631</v>
      </c>
      <c r="I348">
        <v>1</v>
      </c>
      <c r="J348">
        <f t="shared" si="94"/>
        <v>0.29005547153311212</v>
      </c>
      <c r="K348">
        <f t="shared" si="99"/>
        <v>1.3005946502670271</v>
      </c>
      <c r="O348">
        <f t="shared" si="100"/>
        <v>7.6342215192016394E-2</v>
      </c>
      <c r="P348">
        <f t="shared" si="101"/>
        <v>0.27562827054521766</v>
      </c>
      <c r="Q348">
        <f t="shared" si="102"/>
        <v>0.95822801183008011</v>
      </c>
      <c r="R348">
        <f t="shared" si="108"/>
        <v>1</v>
      </c>
      <c r="AG348" s="8">
        <f t="shared" si="95"/>
        <v>0.56114643941696118</v>
      </c>
      <c r="AH348" s="8">
        <f t="shared" si="96"/>
        <v>-0.15344777548872046</v>
      </c>
      <c r="AI348" s="8">
        <f t="shared" si="97"/>
        <v>0.8133685841776962</v>
      </c>
      <c r="AJ348" s="8"/>
      <c r="AK348" s="8"/>
      <c r="AL348" s="8"/>
      <c r="AN348" s="8">
        <f t="shared" si="103"/>
        <v>1</v>
      </c>
      <c r="AO348" s="8">
        <f t="shared" si="104"/>
        <v>6.0162569060846076</v>
      </c>
      <c r="AP348" s="8">
        <f t="shared" si="105"/>
        <v>0.62087698577672001</v>
      </c>
      <c r="AQ348" s="8"/>
      <c r="AR348" s="8">
        <f t="shared" si="106"/>
        <v>344.70612918508249</v>
      </c>
      <c r="AS348" s="8">
        <f t="shared" si="107"/>
        <v>54.426369118189903</v>
      </c>
    </row>
    <row r="349" spans="1:45">
      <c r="A349" s="19">
        <v>15.382033330000001</v>
      </c>
      <c r="B349" s="19">
        <v>1080.9644780000001</v>
      </c>
      <c r="C349" s="19">
        <v>-105.9639006</v>
      </c>
      <c r="E349" s="9">
        <f t="shared" si="93"/>
        <v>120.9644780000001</v>
      </c>
      <c r="F349" s="9">
        <f t="shared" si="98"/>
        <v>434.03609940000001</v>
      </c>
      <c r="I349">
        <v>1</v>
      </c>
      <c r="J349">
        <f t="shared" si="94"/>
        <v>0.2901238203846081</v>
      </c>
      <c r="K349">
        <f t="shared" si="99"/>
        <v>1.2989964762794981</v>
      </c>
      <c r="O349">
        <f t="shared" si="100"/>
        <v>7.6800202093385173E-2</v>
      </c>
      <c r="P349">
        <f t="shared" si="101"/>
        <v>0.2755689992705509</v>
      </c>
      <c r="Q349">
        <f t="shared" si="102"/>
        <v>0.9582084614526436</v>
      </c>
      <c r="R349">
        <f t="shared" si="108"/>
        <v>1</v>
      </c>
      <c r="AG349" s="8">
        <f t="shared" si="95"/>
        <v>0.56131722787902882</v>
      </c>
      <c r="AH349" s="8">
        <f t="shared" si="96"/>
        <v>-0.15301988270588998</v>
      </c>
      <c r="AI349" s="8">
        <f t="shared" si="97"/>
        <v>0.81333135017831337</v>
      </c>
      <c r="AJ349" s="8"/>
      <c r="AK349" s="8"/>
      <c r="AL349" s="8"/>
      <c r="AN349" s="8">
        <f t="shared" si="103"/>
        <v>1</v>
      </c>
      <c r="AO349" s="8">
        <f t="shared" si="104"/>
        <v>6.0170437530068712</v>
      </c>
      <c r="AP349" s="8">
        <f t="shared" si="105"/>
        <v>0.62094098649351481</v>
      </c>
      <c r="AQ349" s="8"/>
      <c r="AR349" s="8">
        <f t="shared" si="106"/>
        <v>344.75121219285109</v>
      </c>
      <c r="AS349" s="8">
        <f t="shared" si="107"/>
        <v>54.422702147231746</v>
      </c>
    </row>
    <row r="350" spans="1:45">
      <c r="A350" s="19">
        <v>15.4154</v>
      </c>
      <c r="B350" s="19">
        <v>1081.4938159999999</v>
      </c>
      <c r="C350" s="19">
        <v>-105.97336110000001</v>
      </c>
      <c r="E350" s="9">
        <f t="shared" si="93"/>
        <v>121.49381599999992</v>
      </c>
      <c r="F350" s="9">
        <f t="shared" si="98"/>
        <v>434.02663889999997</v>
      </c>
      <c r="I350">
        <v>1</v>
      </c>
      <c r="J350">
        <f t="shared" si="94"/>
        <v>0.29020563559530255</v>
      </c>
      <c r="K350">
        <f t="shared" si="99"/>
        <v>1.2978595033321529</v>
      </c>
      <c r="O350">
        <f t="shared" si="100"/>
        <v>7.7134599113508298E-2</v>
      </c>
      <c r="P350">
        <f t="shared" si="101"/>
        <v>0.27555699457275207</v>
      </c>
      <c r="Q350">
        <f t="shared" si="102"/>
        <v>0.95818505329692483</v>
      </c>
      <c r="R350">
        <f t="shared" si="108"/>
        <v>1</v>
      </c>
      <c r="AG350" s="8">
        <f t="shared" si="95"/>
        <v>0.56141653669832547</v>
      </c>
      <c r="AH350" s="8">
        <f t="shared" si="96"/>
        <v>-0.15269959927062271</v>
      </c>
      <c r="AI350" s="8">
        <f t="shared" si="97"/>
        <v>0.81332300146021264</v>
      </c>
      <c r="AJ350" s="8"/>
      <c r="AK350" s="8"/>
      <c r="AL350" s="8"/>
      <c r="AN350" s="8">
        <f t="shared" si="103"/>
        <v>1</v>
      </c>
      <c r="AO350" s="8">
        <f t="shared" si="104"/>
        <v>6.0176197573655514</v>
      </c>
      <c r="AP350" s="8">
        <f t="shared" si="105"/>
        <v>0.62095533613871123</v>
      </c>
      <c r="AQ350" s="8"/>
      <c r="AR350" s="8">
        <f t="shared" si="106"/>
        <v>344.7842148115846</v>
      </c>
      <c r="AS350" s="8">
        <f t="shared" si="107"/>
        <v>54.421879973124483</v>
      </c>
    </row>
    <row r="351" spans="1:45">
      <c r="A351" s="19">
        <v>15.448766669999999</v>
      </c>
      <c r="B351" s="19">
        <v>1082.1739520000001</v>
      </c>
      <c r="C351" s="19">
        <v>-106.1528856</v>
      </c>
      <c r="E351" s="9">
        <f t="shared" si="93"/>
        <v>122.1739520000001</v>
      </c>
      <c r="F351" s="9">
        <f t="shared" si="98"/>
        <v>433.84711440000001</v>
      </c>
      <c r="I351">
        <v>1</v>
      </c>
      <c r="J351">
        <f t="shared" si="94"/>
        <v>0.29021239219568762</v>
      </c>
      <c r="K351">
        <f t="shared" si="99"/>
        <v>1.2962989990140272</v>
      </c>
      <c r="O351">
        <f t="shared" si="100"/>
        <v>7.7566267781629616E-2</v>
      </c>
      <c r="P351">
        <f t="shared" si="101"/>
        <v>0.2754425219202018</v>
      </c>
      <c r="Q351">
        <f t="shared" si="102"/>
        <v>0.95818311987879834</v>
      </c>
      <c r="R351">
        <f t="shared" si="108"/>
        <v>1</v>
      </c>
      <c r="AG351" s="8">
        <f t="shared" si="95"/>
        <v>0.56162464123786981</v>
      </c>
      <c r="AH351" s="8">
        <f t="shared" si="96"/>
        <v>-0.15231084795936742</v>
      </c>
      <c r="AI351" s="8">
        <f t="shared" si="97"/>
        <v>0.81325221668823777</v>
      </c>
      <c r="AJ351" s="8"/>
      <c r="AK351" s="8"/>
      <c r="AL351" s="8"/>
      <c r="AN351" s="8">
        <f t="shared" si="103"/>
        <v>1</v>
      </c>
      <c r="AO351" s="8">
        <f t="shared" si="104"/>
        <v>6.0183582572199805</v>
      </c>
      <c r="AP351" s="8">
        <f t="shared" si="105"/>
        <v>0.62107698832606861</v>
      </c>
      <c r="AQ351" s="8"/>
      <c r="AR351" s="8">
        <f t="shared" si="106"/>
        <v>344.82652773641439</v>
      </c>
      <c r="AS351" s="8">
        <f t="shared" si="107"/>
        <v>54.414909816220366</v>
      </c>
    </row>
    <row r="352" spans="1:45">
      <c r="A352" s="19">
        <v>15.48213333</v>
      </c>
      <c r="B352" s="19">
        <v>1083.3703109999999</v>
      </c>
      <c r="C352" s="19">
        <v>-106.766807</v>
      </c>
      <c r="E352" s="9">
        <f t="shared" ref="E352:E415" si="109">(B352-($B$15/2))</f>
        <v>123.3703109999999</v>
      </c>
      <c r="F352" s="9">
        <f t="shared" si="98"/>
        <v>433.23319300000003</v>
      </c>
      <c r="I352">
        <v>1</v>
      </c>
      <c r="J352">
        <f t="shared" ref="J352:J415" si="110">ATAN((SQRT(E352^2+F352^2)^$B$16)/($F$24))</f>
        <v>0.29004989682479138</v>
      </c>
      <c r="K352">
        <f t="shared" si="99"/>
        <v>1.2933731183453363</v>
      </c>
      <c r="O352">
        <f t="shared" si="100"/>
        <v>7.8329202595462957E-2</v>
      </c>
      <c r="P352">
        <f t="shared" si="101"/>
        <v>0.27506464294781863</v>
      </c>
      <c r="Q352">
        <f t="shared" si="102"/>
        <v>0.95822960621176179</v>
      </c>
      <c r="R352">
        <f t="shared" si="108"/>
        <v>1</v>
      </c>
      <c r="AG352" s="8">
        <f t="shared" ref="AG352:AG415" si="111">$O352*$Z$27+$P352*$Z$31+$Q352*$Z$35</f>
        <v>0.56213399031065026</v>
      </c>
      <c r="AH352" s="8">
        <f t="shared" ref="AH352:AH415" si="112">$O352*$AA$27+$P352*$AA$31+$Q352*$AA$35</f>
        <v>-0.15166749914800728</v>
      </c>
      <c r="AI352" s="8">
        <f t="shared" ref="AI352:AI415" si="113">$AB$27*$O352+$P352*$AB$31+$AB$35*$Q352</f>
        <v>0.81302050812978577</v>
      </c>
      <c r="AJ352" s="8"/>
      <c r="AK352" s="8"/>
      <c r="AL352" s="8"/>
      <c r="AN352" s="8">
        <f t="shared" si="103"/>
        <v>1.0000000000000002</v>
      </c>
      <c r="AO352" s="8">
        <f t="shared" si="104"/>
        <v>6.0196536767949169</v>
      </c>
      <c r="AP352" s="8">
        <f t="shared" si="105"/>
        <v>0.62147506292084409</v>
      </c>
      <c r="AQ352" s="8"/>
      <c r="AR352" s="8">
        <f t="shared" si="106"/>
        <v>344.90074981075691</v>
      </c>
      <c r="AS352" s="8">
        <f t="shared" si="107"/>
        <v>54.392101822008357</v>
      </c>
    </row>
    <row r="353" spans="1:45">
      <c r="A353" s="19">
        <v>15.515499999999999</v>
      </c>
      <c r="B353" s="19">
        <v>1083.563617</v>
      </c>
      <c r="C353" s="19">
        <v>-107.1767339</v>
      </c>
      <c r="E353" s="9">
        <f t="shared" si="109"/>
        <v>123.56361700000002</v>
      </c>
      <c r="F353" s="9">
        <f t="shared" ref="F353:F416" si="114">(($C$15/2)+C353)</f>
        <v>432.82326610000001</v>
      </c>
      <c r="I353">
        <v>1</v>
      </c>
      <c r="J353">
        <f t="shared" si="110"/>
        <v>0.28984042589883557</v>
      </c>
      <c r="K353">
        <f t="shared" ref="K353:K416" si="115">ATAN2(E353,F353)</f>
        <v>1.2927106551889973</v>
      </c>
      <c r="O353">
        <f t="shared" ref="O353:O416" si="116">COS(K353)*SIN(J353)</f>
        <v>7.8456302798184538E-2</v>
      </c>
      <c r="P353">
        <f t="shared" ref="P353:P416" si="117">SIN(K353)*SIN(J353)</f>
        <v>0.27481967627445525</v>
      </c>
      <c r="Q353">
        <f t="shared" ref="Q353:Q416" si="118">COS(J353)</f>
        <v>0.95828949388149054</v>
      </c>
      <c r="R353">
        <f t="shared" si="108"/>
        <v>1</v>
      </c>
      <c r="AG353" s="8">
        <f t="shared" si="111"/>
        <v>0.56236588889951311</v>
      </c>
      <c r="AH353" s="8">
        <f t="shared" si="112"/>
        <v>-0.15160577773537917</v>
      </c>
      <c r="AI353" s="8">
        <f t="shared" si="113"/>
        <v>0.81287163510575966</v>
      </c>
      <c r="AJ353" s="8"/>
      <c r="AK353" s="8"/>
      <c r="AL353" s="8"/>
      <c r="AN353" s="8">
        <f t="shared" ref="AN353:AN416" si="119">AG353^2+AH353^2+AI353^2</f>
        <v>1</v>
      </c>
      <c r="AO353" s="8">
        <f t="shared" ref="AO353:AO416" si="120">IF(ATAN2(AG353,AH353)&gt;=0,ATAN2(AG353,AH353),ATAN2(AG353,AH353)+2*PI())</f>
        <v>6.0198597025677412</v>
      </c>
      <c r="AP353" s="8">
        <f t="shared" ref="AP353:AP416" si="121">ACOS(AI353/AN353)</f>
        <v>0.62173070960184929</v>
      </c>
      <c r="AQ353" s="8"/>
      <c r="AR353" s="8">
        <f t="shared" ref="AR353:AR416" si="122">DEGREES(AO353)</f>
        <v>344.91255421801065</v>
      </c>
      <c r="AS353" s="8">
        <f t="shared" ref="AS353:AS416" si="123">90-DEGREES(AP353)</f>
        <v>54.377454346140226</v>
      </c>
    </row>
    <row r="354" spans="1:45">
      <c r="A354" s="19">
        <v>15.548866670000001</v>
      </c>
      <c r="B354" s="19">
        <v>1084.4030929999999</v>
      </c>
      <c r="C354" s="19">
        <v>-107.494255</v>
      </c>
      <c r="E354" s="9">
        <f t="shared" si="109"/>
        <v>124.4030929999999</v>
      </c>
      <c r="F354" s="9">
        <f t="shared" si="114"/>
        <v>432.50574499999999</v>
      </c>
      <c r="I354">
        <v>1</v>
      </c>
      <c r="J354">
        <f t="shared" si="110"/>
        <v>0.28979500304865002</v>
      </c>
      <c r="K354">
        <f t="shared" si="115"/>
        <v>1.2907233037439116</v>
      </c>
      <c r="O354">
        <f t="shared" si="116"/>
        <v>7.8990278374066927E-2</v>
      </c>
      <c r="P354">
        <f t="shared" si="117"/>
        <v>0.27462138096464567</v>
      </c>
      <c r="Q354">
        <f t="shared" si="118"/>
        <v>0.95830247471216434</v>
      </c>
      <c r="R354">
        <f t="shared" si="108"/>
        <v>1</v>
      </c>
      <c r="AG354" s="8">
        <f t="shared" si="111"/>
        <v>0.5626684793728276</v>
      </c>
      <c r="AH354" s="8">
        <f t="shared" si="112"/>
        <v>-0.15113880294366477</v>
      </c>
      <c r="AI354" s="8">
        <f t="shared" si="113"/>
        <v>0.81274918921216166</v>
      </c>
      <c r="AJ354" s="8"/>
      <c r="AK354" s="8"/>
      <c r="AL354" s="8"/>
      <c r="AN354" s="8">
        <f t="shared" si="119"/>
        <v>1.0000000000000002</v>
      </c>
      <c r="AO354" s="8">
        <f t="shared" si="120"/>
        <v>6.0207687787553388</v>
      </c>
      <c r="AP354" s="8">
        <f t="shared" si="121"/>
        <v>0.62194090693078452</v>
      </c>
      <c r="AQ354" s="8"/>
      <c r="AR354" s="8">
        <f t="shared" si="122"/>
        <v>344.96464044681579</v>
      </c>
      <c r="AS354" s="8">
        <f t="shared" si="123"/>
        <v>54.365410926327314</v>
      </c>
    </row>
    <row r="355" spans="1:45">
      <c r="A355" s="19">
        <v>15.582233329999999</v>
      </c>
      <c r="B355" s="19">
        <v>1084.9041689999999</v>
      </c>
      <c r="C355" s="19">
        <v>-107.76994670000001</v>
      </c>
      <c r="E355" s="9">
        <f t="shared" si="109"/>
        <v>124.90416899999991</v>
      </c>
      <c r="F355" s="9">
        <f t="shared" si="114"/>
        <v>432.23005330000001</v>
      </c>
      <c r="I355">
        <v>1</v>
      </c>
      <c r="J355">
        <f t="shared" si="110"/>
        <v>0.28971758575873696</v>
      </c>
      <c r="K355">
        <f t="shared" si="115"/>
        <v>1.2894836036887334</v>
      </c>
      <c r="O355">
        <f t="shared" si="116"/>
        <v>7.9310069313494588E-2</v>
      </c>
      <c r="P355">
        <f t="shared" si="117"/>
        <v>0.27445197194817816</v>
      </c>
      <c r="Q355">
        <f t="shared" si="118"/>
        <v>0.95832459427860095</v>
      </c>
      <c r="R355">
        <f t="shared" si="108"/>
        <v>1</v>
      </c>
      <c r="AG355" s="8">
        <f t="shared" si="111"/>
        <v>0.56289049656757695</v>
      </c>
      <c r="AH355" s="8">
        <f t="shared" si="112"/>
        <v>-0.15087174099175829</v>
      </c>
      <c r="AI355" s="8">
        <f t="shared" si="113"/>
        <v>0.81264506806109549</v>
      </c>
      <c r="AJ355" s="8"/>
      <c r="AK355" s="8"/>
      <c r="AL355" s="8"/>
      <c r="AN355" s="8">
        <f t="shared" si="119"/>
        <v>1</v>
      </c>
      <c r="AO355" s="8">
        <f t="shared" si="120"/>
        <v>6.021310192937622</v>
      </c>
      <c r="AP355" s="8">
        <f t="shared" si="121"/>
        <v>0.62211959852504695</v>
      </c>
      <c r="AQ355" s="8"/>
      <c r="AR355" s="8">
        <f t="shared" si="122"/>
        <v>344.99566119442915</v>
      </c>
      <c r="AS355" s="8">
        <f t="shared" si="123"/>
        <v>54.355172652141619</v>
      </c>
    </row>
    <row r="356" spans="1:45">
      <c r="A356" s="19">
        <v>15.615600000000001</v>
      </c>
      <c r="B356" s="19">
        <v>1086.156086</v>
      </c>
      <c r="C356" s="19">
        <v>-107.8475796</v>
      </c>
      <c r="E356" s="9">
        <f t="shared" si="109"/>
        <v>126.15608599999996</v>
      </c>
      <c r="F356" s="9">
        <f t="shared" si="114"/>
        <v>432.15242039999998</v>
      </c>
      <c r="I356">
        <v>1</v>
      </c>
      <c r="J356">
        <f t="shared" si="110"/>
        <v>0.28988619962680723</v>
      </c>
      <c r="K356">
        <f t="shared" si="115"/>
        <v>1.2867641740063236</v>
      </c>
      <c r="O356">
        <f t="shared" si="116"/>
        <v>8.0101408067154434E-2</v>
      </c>
      <c r="P356">
        <f t="shared" si="117"/>
        <v>0.27439038790145159</v>
      </c>
      <c r="Q356">
        <f t="shared" si="118"/>
        <v>0.95827641077767856</v>
      </c>
      <c r="R356">
        <f t="shared" si="108"/>
        <v>1</v>
      </c>
      <c r="AG356" s="8">
        <f t="shared" si="111"/>
        <v>0.56315063111022667</v>
      </c>
      <c r="AH356" s="8">
        <f t="shared" si="112"/>
        <v>-0.15012143606046388</v>
      </c>
      <c r="AI356" s="8">
        <f t="shared" si="113"/>
        <v>0.81260379098014146</v>
      </c>
      <c r="AJ356" s="8"/>
      <c r="AK356" s="8"/>
      <c r="AL356" s="8"/>
      <c r="AN356" s="8">
        <f t="shared" si="119"/>
        <v>1</v>
      </c>
      <c r="AO356" s="8">
        <f t="shared" si="120"/>
        <v>6.0226692334610803</v>
      </c>
      <c r="AP356" s="8">
        <f t="shared" si="121"/>
        <v>0.62219042548139991</v>
      </c>
      <c r="AQ356" s="8"/>
      <c r="AR356" s="8">
        <f t="shared" si="122"/>
        <v>345.07352848061061</v>
      </c>
      <c r="AS356" s="8">
        <f t="shared" si="123"/>
        <v>54.351114566466833</v>
      </c>
    </row>
    <row r="357" spans="1:45">
      <c r="A357" s="19">
        <v>15.64896667</v>
      </c>
      <c r="B357" s="19">
        <v>1086.6389039999999</v>
      </c>
      <c r="C357" s="19">
        <v>-108.07933679999999</v>
      </c>
      <c r="E357" s="9">
        <f t="shared" si="109"/>
        <v>126.63890399999991</v>
      </c>
      <c r="F357" s="9">
        <f t="shared" si="114"/>
        <v>431.92066320000004</v>
      </c>
      <c r="I357">
        <v>1</v>
      </c>
      <c r="J357">
        <f t="shared" si="110"/>
        <v>0.28983287230116628</v>
      </c>
      <c r="K357">
        <f t="shared" si="115"/>
        <v>1.2855901805569585</v>
      </c>
      <c r="O357">
        <f t="shared" si="116"/>
        <v>8.0409107289630535E-2</v>
      </c>
      <c r="P357">
        <f t="shared" si="117"/>
        <v>0.27424712194174705</v>
      </c>
      <c r="Q357">
        <f t="shared" si="118"/>
        <v>0.9582916526671581</v>
      </c>
      <c r="R357">
        <f t="shared" si="108"/>
        <v>1</v>
      </c>
      <c r="AG357" s="8">
        <f t="shared" si="111"/>
        <v>0.56334802509644</v>
      </c>
      <c r="AH357" s="8">
        <f t="shared" si="112"/>
        <v>-0.1498594330013292</v>
      </c>
      <c r="AI357" s="8">
        <f t="shared" si="113"/>
        <v>0.81251532475422328</v>
      </c>
      <c r="AJ357" s="8"/>
      <c r="AK357" s="8"/>
      <c r="AL357" s="8"/>
      <c r="AN357" s="8">
        <f t="shared" si="119"/>
        <v>1</v>
      </c>
      <c r="AO357" s="8">
        <f t="shared" si="120"/>
        <v>6.023190740017716</v>
      </c>
      <c r="AP357" s="8">
        <f t="shared" si="121"/>
        <v>0.62234220029567389</v>
      </c>
      <c r="AQ357" s="8"/>
      <c r="AR357" s="8">
        <f t="shared" si="122"/>
        <v>345.10340860529419</v>
      </c>
      <c r="AS357" s="8">
        <f t="shared" si="123"/>
        <v>54.34241851017255</v>
      </c>
    </row>
    <row r="358" spans="1:45">
      <c r="A358" s="19">
        <v>15.682333330000001</v>
      </c>
      <c r="B358" s="19">
        <v>1087.3858379999999</v>
      </c>
      <c r="C358" s="19">
        <v>-108.3846673</v>
      </c>
      <c r="E358" s="9">
        <f t="shared" si="109"/>
        <v>127.38583799999992</v>
      </c>
      <c r="F358" s="9">
        <f t="shared" si="114"/>
        <v>431.61533270000001</v>
      </c>
      <c r="I358">
        <v>1</v>
      </c>
      <c r="J358">
        <f t="shared" si="110"/>
        <v>0.2897824506466351</v>
      </c>
      <c r="K358">
        <f t="shared" si="115"/>
        <v>1.2838065587042049</v>
      </c>
      <c r="O358">
        <f t="shared" si="116"/>
        <v>8.0884454797826424E-2</v>
      </c>
      <c r="P358">
        <f t="shared" si="117"/>
        <v>0.27405692356337114</v>
      </c>
      <c r="Q358">
        <f t="shared" si="118"/>
        <v>0.95830606155812192</v>
      </c>
      <c r="R358">
        <f t="shared" si="108"/>
        <v>1</v>
      </c>
      <c r="AG358" s="8">
        <f t="shared" si="111"/>
        <v>0.56362766143758813</v>
      </c>
      <c r="AH358" s="8">
        <f t="shared" si="112"/>
        <v>-0.14944684306345732</v>
      </c>
      <c r="AI358" s="8">
        <f t="shared" si="113"/>
        <v>0.8123973783566526</v>
      </c>
      <c r="AJ358" s="8"/>
      <c r="AK358" s="8"/>
      <c r="AL358" s="8"/>
      <c r="AN358" s="8">
        <f t="shared" si="119"/>
        <v>1.0000000000000004</v>
      </c>
      <c r="AO358" s="8">
        <f t="shared" si="120"/>
        <v>6.0239978187713188</v>
      </c>
      <c r="AP358" s="8">
        <f t="shared" si="121"/>
        <v>0.62254450208655354</v>
      </c>
      <c r="AQ358" s="8"/>
      <c r="AR358" s="8">
        <f t="shared" si="122"/>
        <v>345.14965081161034</v>
      </c>
      <c r="AS358" s="8">
        <f t="shared" si="123"/>
        <v>54.330827471367208</v>
      </c>
    </row>
    <row r="359" spans="1:45">
      <c r="A359" s="19">
        <v>15.7157</v>
      </c>
      <c r="B359" s="19">
        <v>1088.0712289999999</v>
      </c>
      <c r="C359" s="19">
        <v>-108.9605826</v>
      </c>
      <c r="E359" s="9">
        <f t="shared" si="109"/>
        <v>128.0712289999999</v>
      </c>
      <c r="F359" s="9">
        <f t="shared" si="114"/>
        <v>431.03941739999999</v>
      </c>
      <c r="I359">
        <v>1</v>
      </c>
      <c r="J359">
        <f t="shared" si="110"/>
        <v>0.28956288472538599</v>
      </c>
      <c r="K359">
        <f t="shared" si="115"/>
        <v>1.2819821243479623</v>
      </c>
      <c r="O359">
        <f t="shared" si="116"/>
        <v>8.1324388346227752E-2</v>
      </c>
      <c r="P359">
        <f t="shared" si="117"/>
        <v>0.2737071959633447</v>
      </c>
      <c r="Q359">
        <f t="shared" si="118"/>
        <v>0.95836877804840614</v>
      </c>
      <c r="R359">
        <f t="shared" si="108"/>
        <v>1</v>
      </c>
      <c r="AG359" s="8">
        <f t="shared" si="111"/>
        <v>0.5640265130239448</v>
      </c>
      <c r="AH359" s="8">
        <f t="shared" si="112"/>
        <v>-0.14910826355760681</v>
      </c>
      <c r="AI359" s="8">
        <f t="shared" si="113"/>
        <v>0.81218274935194545</v>
      </c>
      <c r="AJ359" s="8"/>
      <c r="AK359" s="8"/>
      <c r="AL359" s="8"/>
      <c r="AN359" s="8">
        <f t="shared" si="119"/>
        <v>1</v>
      </c>
      <c r="AO359" s="8">
        <f t="shared" si="120"/>
        <v>6.0247340066054358</v>
      </c>
      <c r="AP359" s="8">
        <f t="shared" si="121"/>
        <v>0.62291248778693109</v>
      </c>
      <c r="AQ359" s="8"/>
      <c r="AR359" s="8">
        <f t="shared" si="122"/>
        <v>345.19183126743411</v>
      </c>
      <c r="AS359" s="8">
        <f t="shared" si="123"/>
        <v>54.309743443814412</v>
      </c>
    </row>
    <row r="360" spans="1:45">
      <c r="A360" s="19">
        <v>15.749066669999999</v>
      </c>
      <c r="B360" s="19">
        <v>1088.55198</v>
      </c>
      <c r="C360" s="19">
        <v>-109.2158371</v>
      </c>
      <c r="E360" s="9">
        <f t="shared" si="109"/>
        <v>128.55197999999996</v>
      </c>
      <c r="F360" s="9">
        <f t="shared" si="114"/>
        <v>430.78416290000001</v>
      </c>
      <c r="I360">
        <v>1</v>
      </c>
      <c r="J360">
        <f t="shared" si="110"/>
        <v>0.28949691135594424</v>
      </c>
      <c r="K360">
        <f t="shared" si="115"/>
        <v>1.2807953089042643</v>
      </c>
      <c r="O360">
        <f t="shared" si="116"/>
        <v>8.1631090834756698E-2</v>
      </c>
      <c r="P360">
        <f t="shared" si="117"/>
        <v>0.27354989889587483</v>
      </c>
      <c r="Q360">
        <f t="shared" si="118"/>
        <v>0.95838761355893176</v>
      </c>
      <c r="R360">
        <f t="shared" si="108"/>
        <v>1</v>
      </c>
      <c r="AG360" s="8">
        <f t="shared" si="111"/>
        <v>0.56423460499850242</v>
      </c>
      <c r="AH360" s="8">
        <f t="shared" si="112"/>
        <v>-0.14885058464083073</v>
      </c>
      <c r="AI360" s="8">
        <f t="shared" si="113"/>
        <v>0.81208547208669291</v>
      </c>
      <c r="AJ360" s="8"/>
      <c r="AK360" s="8"/>
      <c r="AL360" s="8"/>
      <c r="AN360" s="8">
        <f t="shared" si="119"/>
        <v>1</v>
      </c>
      <c r="AO360" s="8">
        <f t="shared" si="120"/>
        <v>6.0252520624373158</v>
      </c>
      <c r="AP360" s="8">
        <f t="shared" si="121"/>
        <v>0.62307920952234752</v>
      </c>
      <c r="AQ360" s="8"/>
      <c r="AR360" s="8">
        <f t="shared" si="122"/>
        <v>345.22151368015295</v>
      </c>
      <c r="AS360" s="8">
        <f t="shared" si="123"/>
        <v>54.300190992021953</v>
      </c>
    </row>
    <row r="361" spans="1:45">
      <c r="A361" s="19">
        <v>15.78243333</v>
      </c>
      <c r="B361" s="19">
        <v>1089.299573</v>
      </c>
      <c r="C361" s="19">
        <v>-109.89244100000001</v>
      </c>
      <c r="E361" s="9">
        <f t="shared" si="109"/>
        <v>129.29957300000001</v>
      </c>
      <c r="F361" s="9">
        <f t="shared" si="114"/>
        <v>430.10755899999998</v>
      </c>
      <c r="I361">
        <v>1</v>
      </c>
      <c r="J361">
        <f t="shared" si="110"/>
        <v>0.28923060335247952</v>
      </c>
      <c r="K361">
        <f t="shared" si="115"/>
        <v>1.2787694603707396</v>
      </c>
      <c r="O361">
        <f t="shared" si="116"/>
        <v>8.2111612609743506E-2</v>
      </c>
      <c r="P361">
        <f t="shared" si="117"/>
        <v>0.27313953515631795</v>
      </c>
      <c r="Q361">
        <f t="shared" si="118"/>
        <v>0.95846360254796215</v>
      </c>
      <c r="R361">
        <f t="shared" si="108"/>
        <v>1</v>
      </c>
      <c r="AG361" s="8">
        <f t="shared" si="111"/>
        <v>0.56469270498941559</v>
      </c>
      <c r="AH361" s="8">
        <f t="shared" si="112"/>
        <v>-0.14848767108385952</v>
      </c>
      <c r="AI361" s="8">
        <f t="shared" si="113"/>
        <v>0.81183345611512492</v>
      </c>
      <c r="AJ361" s="8"/>
      <c r="AK361" s="8"/>
      <c r="AL361" s="8"/>
      <c r="AN361" s="8">
        <f t="shared" si="119"/>
        <v>1</v>
      </c>
      <c r="AO361" s="8">
        <f t="shared" si="120"/>
        <v>6.0260531761527352</v>
      </c>
      <c r="AP361" s="8">
        <f t="shared" si="121"/>
        <v>0.62351095531010214</v>
      </c>
      <c r="AQ361" s="8"/>
      <c r="AR361" s="8">
        <f t="shared" si="122"/>
        <v>345.26741411495652</v>
      </c>
      <c r="AS361" s="8">
        <f t="shared" si="123"/>
        <v>54.275453780561065</v>
      </c>
    </row>
    <row r="362" spans="1:45">
      <c r="A362" s="19">
        <v>15.815799999999999</v>
      </c>
      <c r="B362" s="19">
        <v>1089.723927</v>
      </c>
      <c r="C362" s="19">
        <v>-110.15547290000001</v>
      </c>
      <c r="E362" s="9">
        <f t="shared" si="109"/>
        <v>129.723927</v>
      </c>
      <c r="F362" s="9">
        <f t="shared" si="114"/>
        <v>429.84452709999999</v>
      </c>
      <c r="I362">
        <v>1</v>
      </c>
      <c r="J362">
        <f t="shared" si="110"/>
        <v>0.28915108884223351</v>
      </c>
      <c r="K362">
        <f t="shared" si="115"/>
        <v>1.2776956945901541</v>
      </c>
      <c r="O362">
        <f t="shared" si="116"/>
        <v>8.2382833587007279E-2</v>
      </c>
      <c r="P362">
        <f t="shared" si="117"/>
        <v>0.27297824667584358</v>
      </c>
      <c r="Q362">
        <f t="shared" si="118"/>
        <v>0.95848627823874333</v>
      </c>
      <c r="R362">
        <f t="shared" si="108"/>
        <v>1</v>
      </c>
      <c r="AG362" s="8">
        <f t="shared" si="111"/>
        <v>0.56489440213643882</v>
      </c>
      <c r="AH362" s="8">
        <f t="shared" si="112"/>
        <v>-0.14826524795983306</v>
      </c>
      <c r="AI362" s="8">
        <f t="shared" si="113"/>
        <v>0.81173378067093194</v>
      </c>
      <c r="AJ362" s="8"/>
      <c r="AK362" s="8"/>
      <c r="AL362" s="8"/>
      <c r="AN362" s="8">
        <f t="shared" si="119"/>
        <v>1</v>
      </c>
      <c r="AO362" s="8">
        <f t="shared" si="120"/>
        <v>6.0265093254496316</v>
      </c>
      <c r="AP362" s="8">
        <f t="shared" si="121"/>
        <v>0.623681644614688</v>
      </c>
      <c r="AQ362" s="8"/>
      <c r="AR362" s="8">
        <f t="shared" si="122"/>
        <v>345.29354954449656</v>
      </c>
      <c r="AS362" s="8">
        <f t="shared" si="123"/>
        <v>54.265674003800271</v>
      </c>
    </row>
    <row r="363" spans="1:45">
      <c r="A363" s="19">
        <v>15.849166670000001</v>
      </c>
      <c r="B363" s="19">
        <v>1090.490894</v>
      </c>
      <c r="C363" s="19">
        <v>-110.1499122</v>
      </c>
      <c r="E363" s="9">
        <f t="shared" si="109"/>
        <v>130.49089400000003</v>
      </c>
      <c r="F363" s="9">
        <f t="shared" si="114"/>
        <v>429.85008779999998</v>
      </c>
      <c r="I363">
        <v>1</v>
      </c>
      <c r="J363">
        <f t="shared" si="110"/>
        <v>0.28929081766772019</v>
      </c>
      <c r="K363">
        <f t="shared" si="115"/>
        <v>1.2760647544317272</v>
      </c>
      <c r="O363">
        <f t="shared" si="116"/>
        <v>8.2866838053339512E-2</v>
      </c>
      <c r="P363">
        <f t="shared" si="117"/>
        <v>0.27297167274320583</v>
      </c>
      <c r="Q363">
        <f t="shared" si="118"/>
        <v>0.95844642679224268</v>
      </c>
      <c r="R363">
        <f t="shared" si="108"/>
        <v>1</v>
      </c>
      <c r="AG363" s="8">
        <f t="shared" si="111"/>
        <v>0.56502731049129495</v>
      </c>
      <c r="AH363" s="8">
        <f t="shared" si="112"/>
        <v>-0.14779815757338388</v>
      </c>
      <c r="AI363" s="8">
        <f t="shared" si="113"/>
        <v>0.81172645824617984</v>
      </c>
      <c r="AJ363" s="8"/>
      <c r="AK363" s="8"/>
      <c r="AL363" s="8"/>
      <c r="AN363" s="8">
        <f t="shared" si="119"/>
        <v>1.0000000000000002</v>
      </c>
      <c r="AO363" s="8">
        <f t="shared" si="120"/>
        <v>6.0273406572534522</v>
      </c>
      <c r="AP363" s="8">
        <f t="shared" si="121"/>
        <v>0.62369418231087204</v>
      </c>
      <c r="AQ363" s="8"/>
      <c r="AR363" s="8">
        <f t="shared" si="122"/>
        <v>345.34118134823052</v>
      </c>
      <c r="AS363" s="8">
        <f t="shared" si="123"/>
        <v>54.264955646724104</v>
      </c>
    </row>
    <row r="364" spans="1:45">
      <c r="A364" s="19">
        <v>15.882533329999999</v>
      </c>
      <c r="B364" s="19">
        <v>1091.3979159999999</v>
      </c>
      <c r="C364" s="19">
        <v>-110.2392876</v>
      </c>
      <c r="E364" s="9">
        <f t="shared" si="109"/>
        <v>131.3979159999999</v>
      </c>
      <c r="F364" s="9">
        <f t="shared" si="114"/>
        <v>429.76071239999999</v>
      </c>
      <c r="I364">
        <v>1</v>
      </c>
      <c r="J364">
        <f t="shared" si="110"/>
        <v>0.28940064626699208</v>
      </c>
      <c r="K364">
        <f t="shared" si="115"/>
        <v>1.274075712437778</v>
      </c>
      <c r="O364">
        <f t="shared" si="116"/>
        <v>8.3440403321220533E-2</v>
      </c>
      <c r="P364">
        <f t="shared" si="117"/>
        <v>0.2729069704139836</v>
      </c>
      <c r="Q364">
        <f t="shared" si="118"/>
        <v>0.95841508992349089</v>
      </c>
      <c r="R364">
        <f t="shared" si="108"/>
        <v>1</v>
      </c>
      <c r="AG364" s="8">
        <f t="shared" si="111"/>
        <v>0.56523048600932968</v>
      </c>
      <c r="AH364" s="8">
        <f t="shared" si="112"/>
        <v>-0.14725873157696023</v>
      </c>
      <c r="AI364" s="8">
        <f t="shared" si="113"/>
        <v>0.81168304384162282</v>
      </c>
      <c r="AJ364" s="8"/>
      <c r="AK364" s="8"/>
      <c r="AL364" s="8"/>
      <c r="AN364" s="8">
        <f t="shared" si="119"/>
        <v>1</v>
      </c>
      <c r="AO364" s="8">
        <f t="shared" si="120"/>
        <v>6.0283221427457727</v>
      </c>
      <c r="AP364" s="8">
        <f t="shared" si="121"/>
        <v>0.62376851339326056</v>
      </c>
      <c r="AQ364" s="8"/>
      <c r="AR364" s="8">
        <f t="shared" si="122"/>
        <v>345.39741632459379</v>
      </c>
      <c r="AS364" s="8">
        <f t="shared" si="123"/>
        <v>54.260696789416606</v>
      </c>
    </row>
    <row r="365" spans="1:45">
      <c r="A365" s="19">
        <v>15.915900000000001</v>
      </c>
      <c r="B365" s="19">
        <v>1092.3165730000001</v>
      </c>
      <c r="C365" s="19">
        <v>-110.8216597</v>
      </c>
      <c r="E365" s="9">
        <f t="shared" si="109"/>
        <v>132.31657300000006</v>
      </c>
      <c r="F365" s="9">
        <f t="shared" si="114"/>
        <v>429.1783403</v>
      </c>
      <c r="I365">
        <v>1</v>
      </c>
      <c r="J365">
        <f t="shared" si="110"/>
        <v>0.28922433448639945</v>
      </c>
      <c r="K365">
        <f t="shared" si="115"/>
        <v>1.2717404597471536</v>
      </c>
      <c r="O365">
        <f t="shared" si="116"/>
        <v>8.4027696125002507E-2</v>
      </c>
      <c r="P365">
        <f t="shared" si="117"/>
        <v>0.27254988807910929</v>
      </c>
      <c r="Q365">
        <f t="shared" si="118"/>
        <v>0.95846539050295876</v>
      </c>
      <c r="R365">
        <f t="shared" si="108"/>
        <v>1</v>
      </c>
      <c r="AG365" s="8">
        <f t="shared" si="111"/>
        <v>0.56567279840901386</v>
      </c>
      <c r="AH365" s="8">
        <f t="shared" si="112"/>
        <v>-0.14677876389429845</v>
      </c>
      <c r="AI365" s="8">
        <f t="shared" si="113"/>
        <v>0.81146181648293048</v>
      </c>
      <c r="AJ365" s="8"/>
      <c r="AK365" s="8"/>
      <c r="AL365" s="8"/>
      <c r="AN365" s="8">
        <f t="shared" si="119"/>
        <v>1</v>
      </c>
      <c r="AO365" s="8">
        <f t="shared" si="120"/>
        <v>6.0293077195868072</v>
      </c>
      <c r="AP365" s="8">
        <f t="shared" si="121"/>
        <v>0.6241471641045272</v>
      </c>
      <c r="AQ365" s="8"/>
      <c r="AR365" s="8">
        <f t="shared" si="122"/>
        <v>345.45388571797088</v>
      </c>
      <c r="AS365" s="8">
        <f t="shared" si="123"/>
        <v>54.239001701751398</v>
      </c>
    </row>
    <row r="366" spans="1:45">
      <c r="A366" s="19">
        <v>15.94926667</v>
      </c>
      <c r="B366" s="19">
        <v>1092.559939</v>
      </c>
      <c r="C366" s="19">
        <v>-111.074789</v>
      </c>
      <c r="E366" s="9">
        <f t="shared" si="109"/>
        <v>132.55993899999999</v>
      </c>
      <c r="F366" s="9">
        <f t="shared" si="114"/>
        <v>428.92521099999999</v>
      </c>
      <c r="I366">
        <v>1</v>
      </c>
      <c r="J366">
        <f t="shared" si="110"/>
        <v>0.28911987088298274</v>
      </c>
      <c r="K366">
        <f t="shared" si="115"/>
        <v>1.2710563164138045</v>
      </c>
      <c r="O366">
        <f t="shared" si="116"/>
        <v>8.4184575158666244E-2</v>
      </c>
      <c r="P366">
        <f t="shared" si="117"/>
        <v>0.27239667530984812</v>
      </c>
      <c r="Q366">
        <f t="shared" si="118"/>
        <v>0.95849517921870431</v>
      </c>
      <c r="R366">
        <f t="shared" si="108"/>
        <v>1</v>
      </c>
      <c r="AG366" s="8">
        <f t="shared" si="111"/>
        <v>0.56583751084400669</v>
      </c>
      <c r="AH366" s="8">
        <f t="shared" si="112"/>
        <v>-0.14666493506179412</v>
      </c>
      <c r="AI366" s="8">
        <f t="shared" si="113"/>
        <v>0.81136755428423346</v>
      </c>
      <c r="AJ366" s="8"/>
      <c r="AK366" s="8"/>
      <c r="AL366" s="8"/>
      <c r="AN366" s="8">
        <f t="shared" si="119"/>
        <v>1.0000000000000002</v>
      </c>
      <c r="AO366" s="8">
        <f t="shared" si="120"/>
        <v>6.0295669835095742</v>
      </c>
      <c r="AP366" s="8">
        <f t="shared" si="121"/>
        <v>0.62430844194194324</v>
      </c>
      <c r="AQ366" s="8"/>
      <c r="AR366" s="8">
        <f t="shared" si="122"/>
        <v>345.46874044652543</v>
      </c>
      <c r="AS366" s="8">
        <f t="shared" si="123"/>
        <v>54.229761162338463</v>
      </c>
    </row>
    <row r="367" spans="1:45">
      <c r="A367" s="19">
        <v>15.982633330000001</v>
      </c>
      <c r="B367" s="19">
        <v>1093.403789</v>
      </c>
      <c r="C367" s="19">
        <v>-111.3190409</v>
      </c>
      <c r="E367" s="9">
        <f t="shared" si="109"/>
        <v>133.40378899999996</v>
      </c>
      <c r="F367" s="9">
        <f t="shared" si="114"/>
        <v>428.6809591</v>
      </c>
      <c r="I367">
        <v>1</v>
      </c>
      <c r="J367">
        <f t="shared" si="110"/>
        <v>0.2891301049550713</v>
      </c>
      <c r="K367">
        <f t="shared" si="115"/>
        <v>1.2690999076825245</v>
      </c>
      <c r="O367">
        <f t="shared" si="116"/>
        <v>8.4720247680798805E-2</v>
      </c>
      <c r="P367">
        <f t="shared" si="117"/>
        <v>0.27224082091847013</v>
      </c>
      <c r="Q367">
        <f t="shared" si="118"/>
        <v>0.9584922613451512</v>
      </c>
      <c r="R367">
        <f t="shared" si="108"/>
        <v>1</v>
      </c>
      <c r="AG367" s="8">
        <f t="shared" si="111"/>
        <v>0.56610363231893301</v>
      </c>
      <c r="AH367" s="8">
        <f t="shared" si="112"/>
        <v>-0.14618469768017625</v>
      </c>
      <c r="AI367" s="8">
        <f t="shared" si="113"/>
        <v>0.81126858169133231</v>
      </c>
      <c r="AJ367" s="8"/>
      <c r="AK367" s="8"/>
      <c r="AL367" s="8"/>
      <c r="AN367" s="8">
        <f t="shared" si="119"/>
        <v>1.0000000000000002</v>
      </c>
      <c r="AO367" s="8">
        <f t="shared" si="120"/>
        <v>6.0304762892971109</v>
      </c>
      <c r="AP367" s="8">
        <f t="shared" si="121"/>
        <v>0.62447774017862001</v>
      </c>
      <c r="AQ367" s="8"/>
      <c r="AR367" s="8">
        <f t="shared" si="122"/>
        <v>345.52083983043809</v>
      </c>
      <c r="AS367" s="8">
        <f t="shared" si="123"/>
        <v>54.220061087897875</v>
      </c>
    </row>
    <row r="368" spans="1:45">
      <c r="A368" s="19">
        <v>16.015999999999998</v>
      </c>
      <c r="B368" s="19">
        <v>1093.9539460000001</v>
      </c>
      <c r="C368" s="19">
        <v>-111.6120693</v>
      </c>
      <c r="E368" s="9">
        <f t="shared" si="109"/>
        <v>133.95394600000009</v>
      </c>
      <c r="F368" s="9">
        <f t="shared" si="114"/>
        <v>428.38793069999997</v>
      </c>
      <c r="I368">
        <v>1</v>
      </c>
      <c r="J368">
        <f t="shared" si="110"/>
        <v>0.28905891845829912</v>
      </c>
      <c r="K368">
        <f t="shared" si="115"/>
        <v>1.2677355564264738</v>
      </c>
      <c r="O368">
        <f t="shared" si="116"/>
        <v>8.5071237337362701E-2</v>
      </c>
      <c r="P368">
        <f t="shared" si="117"/>
        <v>0.27205985649009079</v>
      </c>
      <c r="Q368">
        <f t="shared" si="118"/>
        <v>0.95851255550695913</v>
      </c>
      <c r="R368">
        <f t="shared" si="108"/>
        <v>1</v>
      </c>
      <c r="AG368" s="8">
        <f t="shared" si="111"/>
        <v>0.56634142032446844</v>
      </c>
      <c r="AH368" s="8">
        <f t="shared" si="112"/>
        <v>-0.14588961327630962</v>
      </c>
      <c r="AI368" s="8">
        <f t="shared" si="113"/>
        <v>0.81115572879870168</v>
      </c>
      <c r="AJ368" s="8"/>
      <c r="AK368" s="8"/>
      <c r="AL368" s="8"/>
      <c r="AN368" s="8">
        <f t="shared" si="119"/>
        <v>1.0000000000000002</v>
      </c>
      <c r="AO368" s="8">
        <f t="shared" si="120"/>
        <v>6.0310664875403823</v>
      </c>
      <c r="AP368" s="8">
        <f t="shared" si="121"/>
        <v>0.62467073294153708</v>
      </c>
      <c r="AQ368" s="8"/>
      <c r="AR368" s="8">
        <f t="shared" si="122"/>
        <v>345.55465569885359</v>
      </c>
      <c r="AS368" s="8">
        <f t="shared" si="123"/>
        <v>54.20900341710616</v>
      </c>
    </row>
    <row r="369" spans="1:45">
      <c r="A369" s="19">
        <v>16.049366670000001</v>
      </c>
      <c r="B369" s="19">
        <v>1094.547879</v>
      </c>
      <c r="C369" s="19">
        <v>-111.5349099</v>
      </c>
      <c r="E369" s="9">
        <f t="shared" si="109"/>
        <v>134.54787899999997</v>
      </c>
      <c r="F369" s="9">
        <f t="shared" si="114"/>
        <v>428.4650901</v>
      </c>
      <c r="I369">
        <v>1</v>
      </c>
      <c r="J369">
        <f t="shared" si="110"/>
        <v>0.28921321791686089</v>
      </c>
      <c r="K369">
        <f t="shared" si="115"/>
        <v>1.2665245885993457</v>
      </c>
      <c r="O369">
        <f t="shared" si="116"/>
        <v>8.5444939598632016E-2</v>
      </c>
      <c r="P369">
        <f t="shared" si="117"/>
        <v>0.27209773959883038</v>
      </c>
      <c r="Q369">
        <f t="shared" si="118"/>
        <v>0.95846856098788824</v>
      </c>
      <c r="R369">
        <f t="shared" si="108"/>
        <v>1</v>
      </c>
      <c r="AG369" s="8">
        <f t="shared" si="111"/>
        <v>0.5664086624744431</v>
      </c>
      <c r="AH369" s="8">
        <f t="shared" si="112"/>
        <v>-0.14551798127768709</v>
      </c>
      <c r="AI369" s="8">
        <f t="shared" si="113"/>
        <v>0.81117553229789863</v>
      </c>
      <c r="AJ369" s="8"/>
      <c r="AK369" s="8"/>
      <c r="AL369" s="8"/>
      <c r="AN369" s="8">
        <f t="shared" si="119"/>
        <v>1</v>
      </c>
      <c r="AO369" s="8">
        <f t="shared" si="120"/>
        <v>6.0317105632537924</v>
      </c>
      <c r="AP369" s="8">
        <f t="shared" si="121"/>
        <v>0.62463687018330527</v>
      </c>
      <c r="AQ369" s="8"/>
      <c r="AR369" s="8">
        <f t="shared" si="122"/>
        <v>345.59155851891887</v>
      </c>
      <c r="AS369" s="8">
        <f t="shared" si="123"/>
        <v>54.210943610235518</v>
      </c>
    </row>
    <row r="370" spans="1:45">
      <c r="A370" s="19">
        <v>16.08273333</v>
      </c>
      <c r="B370" s="19">
        <v>1095.529399</v>
      </c>
      <c r="C370" s="19">
        <v>-112.1303752</v>
      </c>
      <c r="E370" s="9">
        <f t="shared" si="109"/>
        <v>135.52939900000001</v>
      </c>
      <c r="F370" s="9">
        <f t="shared" si="114"/>
        <v>427.8696248</v>
      </c>
      <c r="I370">
        <v>1</v>
      </c>
      <c r="J370">
        <f t="shared" si="110"/>
        <v>0.28904575039838504</v>
      </c>
      <c r="K370">
        <f t="shared" si="115"/>
        <v>1.2640406697620976</v>
      </c>
      <c r="O370">
        <f t="shared" si="116"/>
        <v>8.6072073318215675E-2</v>
      </c>
      <c r="P370">
        <f t="shared" si="117"/>
        <v>0.27173163895180436</v>
      </c>
      <c r="Q370">
        <f t="shared" si="118"/>
        <v>0.95851630898345697</v>
      </c>
      <c r="R370">
        <f t="shared" si="108"/>
        <v>1</v>
      </c>
      <c r="AG370" s="8">
        <f t="shared" si="111"/>
        <v>0.5668675193450684</v>
      </c>
      <c r="AH370" s="8">
        <f t="shared" si="112"/>
        <v>-0.14500119940548342</v>
      </c>
      <c r="AI370" s="8">
        <f t="shared" si="113"/>
        <v>0.81094751228580741</v>
      </c>
      <c r="AJ370" s="8"/>
      <c r="AK370" s="8"/>
      <c r="AL370" s="8"/>
      <c r="AN370" s="8">
        <f t="shared" si="119"/>
        <v>1</v>
      </c>
      <c r="AO370" s="8">
        <f t="shared" si="120"/>
        <v>6.0327611290959178</v>
      </c>
      <c r="AP370" s="8">
        <f t="shared" si="121"/>
        <v>0.62502667407904855</v>
      </c>
      <c r="AQ370" s="8"/>
      <c r="AR370" s="8">
        <f t="shared" si="122"/>
        <v>345.65175150777327</v>
      </c>
      <c r="AS370" s="8">
        <f t="shared" si="123"/>
        <v>54.188609492171665</v>
      </c>
    </row>
    <row r="371" spans="1:45">
      <c r="A371" s="19">
        <v>16.116099999999999</v>
      </c>
      <c r="B371" s="19">
        <v>1096.052054</v>
      </c>
      <c r="C371" s="19">
        <v>-112.4893471</v>
      </c>
      <c r="E371" s="9">
        <f t="shared" si="109"/>
        <v>136.052054</v>
      </c>
      <c r="F371" s="9">
        <f t="shared" si="114"/>
        <v>427.51065289999997</v>
      </c>
      <c r="I371">
        <v>1</v>
      </c>
      <c r="J371">
        <f t="shared" si="110"/>
        <v>0.28893274405842534</v>
      </c>
      <c r="K371">
        <f t="shared" si="115"/>
        <v>1.2626884540733583</v>
      </c>
      <c r="O371">
        <f t="shared" si="116"/>
        <v>8.6406585521320994E-2</v>
      </c>
      <c r="P371">
        <f t="shared" si="117"/>
        <v>0.2715117832111496</v>
      </c>
      <c r="Q371">
        <f t="shared" si="118"/>
        <v>0.95854851392928897</v>
      </c>
      <c r="R371">
        <f t="shared" si="108"/>
        <v>1</v>
      </c>
      <c r="AG371" s="8">
        <f t="shared" si="111"/>
        <v>0.56713190585291273</v>
      </c>
      <c r="AH371" s="8">
        <f t="shared" si="112"/>
        <v>-0.14473160037433996</v>
      </c>
      <c r="AI371" s="8">
        <f t="shared" si="113"/>
        <v>0.81081080728905264</v>
      </c>
      <c r="AJ371" s="8"/>
      <c r="AK371" s="8"/>
      <c r="AL371" s="8"/>
      <c r="AN371" s="8">
        <f t="shared" si="119"/>
        <v>1</v>
      </c>
      <c r="AO371" s="8">
        <f t="shared" si="120"/>
        <v>6.0333193109307039</v>
      </c>
      <c r="AP371" s="8">
        <f t="shared" si="121"/>
        <v>0.62526027253395311</v>
      </c>
      <c r="AQ371" s="8"/>
      <c r="AR371" s="8">
        <f t="shared" si="122"/>
        <v>345.68373297110736</v>
      </c>
      <c r="AS371" s="8">
        <f t="shared" si="123"/>
        <v>54.175225286604856</v>
      </c>
    </row>
    <row r="372" spans="1:45">
      <c r="A372" s="19">
        <v>16.149466669999999</v>
      </c>
      <c r="B372" s="19">
        <v>1096.57061</v>
      </c>
      <c r="C372" s="19">
        <v>-112.8666053</v>
      </c>
      <c r="E372" s="9">
        <f t="shared" si="109"/>
        <v>136.57060999999999</v>
      </c>
      <c r="F372" s="9">
        <f t="shared" si="114"/>
        <v>427.1333947</v>
      </c>
      <c r="I372">
        <v>1</v>
      </c>
      <c r="J372">
        <f t="shared" si="110"/>
        <v>0.28880876848230524</v>
      </c>
      <c r="K372">
        <f t="shared" si="115"/>
        <v>1.2613314190726652</v>
      </c>
      <c r="O372">
        <f t="shared" si="116"/>
        <v>8.6738764603874224E-2</v>
      </c>
      <c r="P372">
        <f t="shared" si="117"/>
        <v>0.2712810829309249</v>
      </c>
      <c r="Q372">
        <f t="shared" si="118"/>
        <v>0.95858383084570042</v>
      </c>
      <c r="R372">
        <f t="shared" si="108"/>
        <v>1</v>
      </c>
      <c r="AG372" s="8">
        <f t="shared" si="111"/>
        <v>0.56740429490942068</v>
      </c>
      <c r="AH372" s="8">
        <f t="shared" si="112"/>
        <v>-0.14446691356549266</v>
      </c>
      <c r="AI372" s="8">
        <f t="shared" si="113"/>
        <v>0.81066742687936078</v>
      </c>
      <c r="AJ372" s="8"/>
      <c r="AK372" s="8"/>
      <c r="AL372" s="8"/>
      <c r="AN372" s="8">
        <f t="shared" si="119"/>
        <v>1</v>
      </c>
      <c r="AO372" s="8">
        <f t="shared" si="120"/>
        <v>6.03387237340295</v>
      </c>
      <c r="AP372" s="8">
        <f t="shared" si="121"/>
        <v>0.62550519659489123</v>
      </c>
      <c r="AQ372" s="8"/>
      <c r="AR372" s="8">
        <f t="shared" si="122"/>
        <v>345.71542111657413</v>
      </c>
      <c r="AS372" s="8">
        <f t="shared" si="123"/>
        <v>54.161192171611901</v>
      </c>
    </row>
    <row r="373" spans="1:45">
      <c r="A373" s="19">
        <v>16.182833330000001</v>
      </c>
      <c r="B373" s="19">
        <v>1097.5698219999999</v>
      </c>
      <c r="C373" s="19">
        <v>-112.9541768</v>
      </c>
      <c r="E373" s="9">
        <f t="shared" si="109"/>
        <v>137.56982199999993</v>
      </c>
      <c r="F373" s="9">
        <f t="shared" si="114"/>
        <v>427.04582319999997</v>
      </c>
      <c r="I373">
        <v>1</v>
      </c>
      <c r="J373">
        <f t="shared" si="110"/>
        <v>0.28894511491009323</v>
      </c>
      <c r="K373">
        <f t="shared" si="115"/>
        <v>1.2591506540227322</v>
      </c>
      <c r="O373">
        <f t="shared" si="116"/>
        <v>8.7370233161658858E-2</v>
      </c>
      <c r="P373">
        <f t="shared" si="117"/>
        <v>0.27121568234417393</v>
      </c>
      <c r="Q373">
        <f t="shared" si="118"/>
        <v>0.95854498903695773</v>
      </c>
      <c r="R373">
        <f t="shared" si="108"/>
        <v>1</v>
      </c>
      <c r="AG373" s="8">
        <f t="shared" si="111"/>
        <v>0.5676213151543108</v>
      </c>
      <c r="AH373" s="8">
        <f t="shared" si="112"/>
        <v>-0.14387081606952609</v>
      </c>
      <c r="AI373" s="8">
        <f t="shared" si="113"/>
        <v>0.810621509007736</v>
      </c>
      <c r="AJ373" s="8"/>
      <c r="AK373" s="8"/>
      <c r="AL373" s="8"/>
      <c r="AN373" s="8">
        <f t="shared" si="119"/>
        <v>0.99999999999999978</v>
      </c>
      <c r="AO373" s="8">
        <f t="shared" si="120"/>
        <v>6.0349503218344385</v>
      </c>
      <c r="AP373" s="8">
        <f t="shared" si="121"/>
        <v>0.62558361647254856</v>
      </c>
      <c r="AQ373" s="8"/>
      <c r="AR373" s="8">
        <f t="shared" si="122"/>
        <v>345.77718301223121</v>
      </c>
      <c r="AS373" s="8">
        <f t="shared" si="123"/>
        <v>54.156699043592205</v>
      </c>
    </row>
    <row r="374" spans="1:45">
      <c r="A374" s="19">
        <v>16.216200000000001</v>
      </c>
      <c r="B374" s="19">
        <v>1098.357027</v>
      </c>
      <c r="C374" s="19">
        <v>-113.91609269999999</v>
      </c>
      <c r="E374" s="9">
        <f t="shared" si="109"/>
        <v>138.35702700000002</v>
      </c>
      <c r="F374" s="9">
        <f t="shared" si="114"/>
        <v>426.08390730000002</v>
      </c>
      <c r="I374">
        <v>1</v>
      </c>
      <c r="J374">
        <f t="shared" si="110"/>
        <v>0.28853168606639978</v>
      </c>
      <c r="K374">
        <f t="shared" si="115"/>
        <v>1.256819693361614</v>
      </c>
      <c r="O374">
        <f t="shared" si="116"/>
        <v>8.7879789245457515E-2</v>
      </c>
      <c r="P374">
        <f t="shared" si="117"/>
        <v>0.27063434930851071</v>
      </c>
      <c r="Q374">
        <f t="shared" si="118"/>
        <v>0.95866271003754655</v>
      </c>
      <c r="R374">
        <f t="shared" si="108"/>
        <v>1</v>
      </c>
      <c r="AG374" s="8">
        <f t="shared" si="111"/>
        <v>0.56822171990533166</v>
      </c>
      <c r="AH374" s="8">
        <f t="shared" si="112"/>
        <v>-0.1435211362466946</v>
      </c>
      <c r="AI374" s="8">
        <f t="shared" si="113"/>
        <v>0.8102627724869782</v>
      </c>
      <c r="AJ374" s="8"/>
      <c r="AK374" s="8"/>
      <c r="AL374" s="8"/>
      <c r="AN374" s="8">
        <f t="shared" si="119"/>
        <v>1</v>
      </c>
      <c r="AO374" s="8">
        <f t="shared" si="120"/>
        <v>6.0357803925510227</v>
      </c>
      <c r="AP374" s="8">
        <f t="shared" si="121"/>
        <v>0.6261959843693401</v>
      </c>
      <c r="AQ374" s="8"/>
      <c r="AR374" s="8">
        <f t="shared" si="122"/>
        <v>345.82474256098885</v>
      </c>
      <c r="AS374" s="8">
        <f t="shared" si="123"/>
        <v>54.121612947596745</v>
      </c>
    </row>
    <row r="375" spans="1:45">
      <c r="A375" s="19">
        <v>16.24956667</v>
      </c>
      <c r="B375" s="19">
        <v>1098.7369160000001</v>
      </c>
      <c r="C375" s="19">
        <v>-113.89259970000001</v>
      </c>
      <c r="E375" s="9">
        <f t="shared" si="109"/>
        <v>138.73691600000006</v>
      </c>
      <c r="F375" s="9">
        <f t="shared" si="114"/>
        <v>426.10740029999999</v>
      </c>
      <c r="I375">
        <v>1</v>
      </c>
      <c r="J375">
        <f t="shared" si="110"/>
        <v>0.28861758232175511</v>
      </c>
      <c r="K375">
        <f t="shared" si="115"/>
        <v>1.2560295963491022</v>
      </c>
      <c r="O375">
        <f t="shared" si="116"/>
        <v>8.8119082598857632E-2</v>
      </c>
      <c r="P375">
        <f t="shared" si="117"/>
        <v>0.27064313007375901</v>
      </c>
      <c r="Q375">
        <f t="shared" si="118"/>
        <v>0.9586382651583516</v>
      </c>
      <c r="R375">
        <f t="shared" si="108"/>
        <v>1</v>
      </c>
      <c r="AG375" s="8">
        <f t="shared" si="111"/>
        <v>0.56827676283662776</v>
      </c>
      <c r="AH375" s="8">
        <f t="shared" si="112"/>
        <v>-0.14328683296716177</v>
      </c>
      <c r="AI375" s="8">
        <f t="shared" si="113"/>
        <v>0.81026563812009433</v>
      </c>
      <c r="AJ375" s="8"/>
      <c r="AK375" s="8"/>
      <c r="AL375" s="8"/>
      <c r="AN375" s="8">
        <f t="shared" si="119"/>
        <v>0.99999999999999989</v>
      </c>
      <c r="AO375" s="8">
        <f t="shared" si="120"/>
        <v>6.0361910113913311</v>
      </c>
      <c r="AP375" s="8">
        <f t="shared" si="121"/>
        <v>0.6261910947509044</v>
      </c>
      <c r="AQ375" s="8"/>
      <c r="AR375" s="8">
        <f t="shared" si="122"/>
        <v>345.8482692875271</v>
      </c>
      <c r="AS375" s="8">
        <f t="shared" si="123"/>
        <v>54.121893102096543</v>
      </c>
    </row>
    <row r="376" spans="1:45">
      <c r="A376" s="19">
        <v>16.282933329999999</v>
      </c>
      <c r="B376" s="19">
        <v>1099.3343110000001</v>
      </c>
      <c r="C376" s="19">
        <v>-113.8857636</v>
      </c>
      <c r="E376" s="9">
        <f t="shared" si="109"/>
        <v>139.33431100000007</v>
      </c>
      <c r="F376" s="9">
        <f t="shared" si="114"/>
        <v>426.11423639999998</v>
      </c>
      <c r="I376">
        <v>1</v>
      </c>
      <c r="J376">
        <f t="shared" si="110"/>
        <v>0.28873541767872224</v>
      </c>
      <c r="K376">
        <f t="shared" si="115"/>
        <v>1.2547672553421134</v>
      </c>
      <c r="O376">
        <f t="shared" si="116"/>
        <v>8.849576344114797E-2</v>
      </c>
      <c r="P376">
        <f t="shared" si="117"/>
        <v>0.27063904355446072</v>
      </c>
      <c r="Q376">
        <f t="shared" si="118"/>
        <v>0.95860471934833236</v>
      </c>
      <c r="R376">
        <f t="shared" si="108"/>
        <v>1</v>
      </c>
      <c r="AG376" s="8">
        <f t="shared" si="111"/>
        <v>0.56837773203679864</v>
      </c>
      <c r="AH376" s="8">
        <f t="shared" si="112"/>
        <v>-0.14292242391551685</v>
      </c>
      <c r="AI376" s="8">
        <f t="shared" si="113"/>
        <v>0.81025917734192832</v>
      </c>
      <c r="AJ376" s="8"/>
      <c r="AK376" s="8"/>
      <c r="AL376" s="8"/>
      <c r="AN376" s="8">
        <f t="shared" si="119"/>
        <v>1</v>
      </c>
      <c r="AO376" s="8">
        <f t="shared" si="120"/>
        <v>6.0368360448807836</v>
      </c>
      <c r="AP376" s="8">
        <f t="shared" si="121"/>
        <v>0.62620211870435138</v>
      </c>
      <c r="AQ376" s="8"/>
      <c r="AR376" s="8">
        <f t="shared" si="122"/>
        <v>345.88522698411731</v>
      </c>
      <c r="AS376" s="8">
        <f t="shared" si="123"/>
        <v>54.121261476090481</v>
      </c>
    </row>
    <row r="377" spans="1:45">
      <c r="A377" s="19">
        <v>16.316299999999998</v>
      </c>
      <c r="B377" s="19">
        <v>1099.7136439999999</v>
      </c>
      <c r="C377" s="19">
        <v>-114.0108512</v>
      </c>
      <c r="E377" s="9">
        <f t="shared" si="109"/>
        <v>139.71364399999993</v>
      </c>
      <c r="F377" s="9">
        <f t="shared" si="114"/>
        <v>425.98914880000001</v>
      </c>
      <c r="I377">
        <v>1</v>
      </c>
      <c r="J377">
        <f t="shared" si="110"/>
        <v>0.28873491377698879</v>
      </c>
      <c r="K377">
        <f t="shared" si="115"/>
        <v>1.2538763112130979</v>
      </c>
      <c r="O377">
        <f t="shared" si="116"/>
        <v>8.8736702016942365E-2</v>
      </c>
      <c r="P377">
        <f t="shared" si="117"/>
        <v>0.27055963238290848</v>
      </c>
      <c r="Q377">
        <f t="shared" si="118"/>
        <v>0.95860486282930035</v>
      </c>
      <c r="R377">
        <f t="shared" si="108"/>
        <v>1</v>
      </c>
      <c r="AG377" s="8">
        <f t="shared" si="111"/>
        <v>0.5685040650395935</v>
      </c>
      <c r="AH377" s="8">
        <f t="shared" si="112"/>
        <v>-0.14270840068349772</v>
      </c>
      <c r="AI377" s="8">
        <f t="shared" si="113"/>
        <v>0.8102082697725419</v>
      </c>
      <c r="AJ377" s="8"/>
      <c r="AK377" s="8"/>
      <c r="AL377" s="8"/>
      <c r="AN377" s="8">
        <f t="shared" si="119"/>
        <v>1</v>
      </c>
      <c r="AO377" s="8">
        <f t="shared" si="120"/>
        <v>6.0372427208509407</v>
      </c>
      <c r="AP377" s="8">
        <f t="shared" si="121"/>
        <v>0.62628897584318388</v>
      </c>
      <c r="AQ377" s="8"/>
      <c r="AR377" s="8">
        <f t="shared" si="122"/>
        <v>345.90852780083674</v>
      </c>
      <c r="AS377" s="8">
        <f t="shared" si="123"/>
        <v>54.116284928614796</v>
      </c>
    </row>
    <row r="378" spans="1:45">
      <c r="A378" s="19">
        <v>16.349666670000001</v>
      </c>
      <c r="B378" s="19">
        <v>1100.5879299999999</v>
      </c>
      <c r="C378" s="19">
        <v>-114.2144909</v>
      </c>
      <c r="E378" s="9">
        <f t="shared" si="109"/>
        <v>140.58792999999991</v>
      </c>
      <c r="F378" s="9">
        <f t="shared" si="114"/>
        <v>425.78550910000001</v>
      </c>
      <c r="I378">
        <v>1</v>
      </c>
      <c r="J378">
        <f t="shared" si="110"/>
        <v>0.28878397091522395</v>
      </c>
      <c r="K378">
        <f t="shared" si="115"/>
        <v>1.2518820670746498</v>
      </c>
      <c r="O378">
        <f t="shared" si="116"/>
        <v>8.9290831520781294E-2</v>
      </c>
      <c r="P378">
        <f t="shared" si="117"/>
        <v>0.27042678668814757</v>
      </c>
      <c r="Q378">
        <f t="shared" si="118"/>
        <v>0.95859089315925106</v>
      </c>
      <c r="R378">
        <f t="shared" si="108"/>
        <v>1</v>
      </c>
      <c r="AG378" s="8">
        <f t="shared" si="111"/>
        <v>0.56875436525481482</v>
      </c>
      <c r="AH378" s="8">
        <f t="shared" si="112"/>
        <v>-0.14220372834902897</v>
      </c>
      <c r="AI378" s="8">
        <f t="shared" si="113"/>
        <v>0.8101213314357476</v>
      </c>
      <c r="AJ378" s="8"/>
      <c r="AK378" s="8"/>
      <c r="AL378" s="8"/>
      <c r="AN378" s="8">
        <f t="shared" si="119"/>
        <v>1</v>
      </c>
      <c r="AO378" s="8">
        <f t="shared" si="120"/>
        <v>6.0381815953970364</v>
      </c>
      <c r="AP378" s="8">
        <f t="shared" si="121"/>
        <v>0.62643728361189144</v>
      </c>
      <c r="AQ378" s="8"/>
      <c r="AR378" s="8">
        <f t="shared" si="122"/>
        <v>345.96232134982023</v>
      </c>
      <c r="AS378" s="8">
        <f t="shared" si="123"/>
        <v>54.107787519398848</v>
      </c>
    </row>
    <row r="379" spans="1:45">
      <c r="A379" s="19">
        <v>16.38303333</v>
      </c>
      <c r="B379" s="19">
        <v>1101.4766569999999</v>
      </c>
      <c r="C379" s="19">
        <v>-114.9757066</v>
      </c>
      <c r="E379" s="9">
        <f t="shared" si="109"/>
        <v>141.47665699999993</v>
      </c>
      <c r="F379" s="9">
        <f t="shared" si="114"/>
        <v>425.02429340000003</v>
      </c>
      <c r="I379">
        <v>1</v>
      </c>
      <c r="J379">
        <f t="shared" si="110"/>
        <v>0.28851188929532195</v>
      </c>
      <c r="K379">
        <f t="shared" si="115"/>
        <v>1.2494653287565183</v>
      </c>
      <c r="O379">
        <f t="shared" si="116"/>
        <v>8.9861744462388329E-2</v>
      </c>
      <c r="P379">
        <f t="shared" si="117"/>
        <v>0.26996272921417697</v>
      </c>
      <c r="Q379">
        <f t="shared" si="118"/>
        <v>0.95866834292022463</v>
      </c>
      <c r="R379">
        <f t="shared" si="108"/>
        <v>1</v>
      </c>
      <c r="AG379" s="8">
        <f t="shared" si="111"/>
        <v>0.56927518957703149</v>
      </c>
      <c r="AH379" s="8">
        <f t="shared" si="112"/>
        <v>-0.14176494653271363</v>
      </c>
      <c r="AI379" s="8">
        <f t="shared" si="113"/>
        <v>0.80983236442279316</v>
      </c>
      <c r="AJ379" s="8"/>
      <c r="AK379" s="8"/>
      <c r="AL379" s="8"/>
      <c r="AN379" s="8">
        <f t="shared" si="119"/>
        <v>1</v>
      </c>
      <c r="AO379" s="8">
        <f t="shared" si="120"/>
        <v>6.0391225290571207</v>
      </c>
      <c r="AP379" s="8">
        <f t="shared" si="121"/>
        <v>0.62693001307211749</v>
      </c>
      <c r="AQ379" s="8"/>
      <c r="AR379" s="8">
        <f t="shared" si="122"/>
        <v>346.01623287734486</v>
      </c>
      <c r="AS379" s="8">
        <f t="shared" si="123"/>
        <v>54.079556200886138</v>
      </c>
    </row>
    <row r="380" spans="1:45">
      <c r="A380" s="19">
        <v>16.416399999999999</v>
      </c>
      <c r="B380" s="19">
        <v>1102.1417739999999</v>
      </c>
      <c r="C380" s="19">
        <v>-115.27964799999999</v>
      </c>
      <c r="E380" s="9">
        <f t="shared" si="109"/>
        <v>142.14177399999994</v>
      </c>
      <c r="F380" s="9">
        <f t="shared" si="114"/>
        <v>424.72035199999999</v>
      </c>
      <c r="I380">
        <v>1</v>
      </c>
      <c r="J380">
        <f t="shared" si="110"/>
        <v>0.28846413117027103</v>
      </c>
      <c r="K380">
        <f t="shared" si="115"/>
        <v>1.2478419555730067</v>
      </c>
      <c r="O380">
        <f t="shared" si="116"/>
        <v>9.0285345500919822E-2</v>
      </c>
      <c r="P380">
        <f t="shared" si="117"/>
        <v>0.26977307685488916</v>
      </c>
      <c r="Q380">
        <f t="shared" si="118"/>
        <v>0.95868193025216952</v>
      </c>
      <c r="R380">
        <f t="shared" si="108"/>
        <v>1</v>
      </c>
      <c r="AG380" s="8">
        <f t="shared" si="111"/>
        <v>0.56953699160522153</v>
      </c>
      <c r="AH380" s="8">
        <f t="shared" si="112"/>
        <v>-0.14140087883954933</v>
      </c>
      <c r="AI380" s="8">
        <f t="shared" si="113"/>
        <v>0.80971192819216697</v>
      </c>
      <c r="AJ380" s="8"/>
      <c r="AK380" s="8"/>
      <c r="AL380" s="8"/>
      <c r="AN380" s="8">
        <f t="shared" si="119"/>
        <v>1</v>
      </c>
      <c r="AO380" s="8">
        <f t="shared" si="120"/>
        <v>6.0398323491049037</v>
      </c>
      <c r="AP380" s="8">
        <f t="shared" si="121"/>
        <v>0.62713527488293175</v>
      </c>
      <c r="AQ380" s="8"/>
      <c r="AR380" s="8">
        <f t="shared" si="122"/>
        <v>346.05690257029664</v>
      </c>
      <c r="AS380" s="8">
        <f t="shared" si="123"/>
        <v>54.067795565431268</v>
      </c>
    </row>
    <row r="381" spans="1:45">
      <c r="A381" s="19">
        <v>16.449766669999999</v>
      </c>
      <c r="B381" s="19">
        <v>1102.5911189999999</v>
      </c>
      <c r="C381" s="19">
        <v>-115.42042240000001</v>
      </c>
      <c r="E381" s="9">
        <f t="shared" si="109"/>
        <v>142.59111899999994</v>
      </c>
      <c r="F381" s="9">
        <f t="shared" si="114"/>
        <v>424.57957759999999</v>
      </c>
      <c r="I381">
        <v>1</v>
      </c>
      <c r="J381">
        <f t="shared" si="110"/>
        <v>0.28846988160705161</v>
      </c>
      <c r="K381">
        <f t="shared" si="115"/>
        <v>1.2467908075801188</v>
      </c>
      <c r="O381">
        <f t="shared" si="116"/>
        <v>9.0570622098703479E-2</v>
      </c>
      <c r="P381">
        <f t="shared" si="117"/>
        <v>0.26968325056511244</v>
      </c>
      <c r="Q381">
        <f t="shared" si="118"/>
        <v>0.95868029435119229</v>
      </c>
      <c r="R381">
        <f t="shared" si="108"/>
        <v>1</v>
      </c>
      <c r="AG381" s="8">
        <f t="shared" si="111"/>
        <v>0.56968273975248152</v>
      </c>
      <c r="AH381" s="8">
        <f t="shared" si="112"/>
        <v>-0.14114625097101485</v>
      </c>
      <c r="AI381" s="8">
        <f t="shared" si="113"/>
        <v>0.80965382223820437</v>
      </c>
      <c r="AJ381" s="8"/>
      <c r="AK381" s="8"/>
      <c r="AL381" s="8"/>
      <c r="AN381" s="8">
        <f t="shared" si="119"/>
        <v>1.0000000000000002</v>
      </c>
      <c r="AO381" s="8">
        <f t="shared" si="120"/>
        <v>6.0403132502501364</v>
      </c>
      <c r="AP381" s="8">
        <f t="shared" si="121"/>
        <v>0.62723428520301305</v>
      </c>
      <c r="AQ381" s="8"/>
      <c r="AR381" s="8">
        <f t="shared" si="122"/>
        <v>346.08445617628149</v>
      </c>
      <c r="AS381" s="8">
        <f t="shared" si="123"/>
        <v>54.062122691962372</v>
      </c>
    </row>
    <row r="382" spans="1:45">
      <c r="A382" s="19">
        <v>16.483133330000001</v>
      </c>
      <c r="B382" s="19">
        <v>1103.601126</v>
      </c>
      <c r="C382" s="19">
        <v>-115.8625443</v>
      </c>
      <c r="E382" s="9">
        <f t="shared" si="109"/>
        <v>143.60112600000002</v>
      </c>
      <c r="F382" s="9">
        <f t="shared" si="114"/>
        <v>424.13745570000003</v>
      </c>
      <c r="I382">
        <v>1</v>
      </c>
      <c r="J382">
        <f t="shared" si="110"/>
        <v>0.28841076278620903</v>
      </c>
      <c r="K382">
        <f t="shared" si="115"/>
        <v>1.2443382797843905</v>
      </c>
      <c r="O382">
        <f t="shared" si="116"/>
        <v>9.1213579106764212E-2</v>
      </c>
      <c r="P382">
        <f t="shared" si="117"/>
        <v>0.26940662963627204</v>
      </c>
      <c r="Q382">
        <f t="shared" si="118"/>
        <v>0.95869711113289513</v>
      </c>
      <c r="R382">
        <f t="shared" si="108"/>
        <v>1</v>
      </c>
      <c r="AG382" s="8">
        <f t="shared" si="111"/>
        <v>0.57007060255986697</v>
      </c>
      <c r="AH382" s="8">
        <f t="shared" si="112"/>
        <v>-0.14059068223450211</v>
      </c>
      <c r="AI382" s="8">
        <f t="shared" si="113"/>
        <v>0.80947746612606053</v>
      </c>
      <c r="AJ382" s="8"/>
      <c r="AK382" s="8"/>
      <c r="AL382" s="8"/>
      <c r="AN382" s="8">
        <f t="shared" si="119"/>
        <v>1</v>
      </c>
      <c r="AO382" s="8">
        <f t="shared" si="120"/>
        <v>6.0413905563363253</v>
      </c>
      <c r="AP382" s="8">
        <f t="shared" si="121"/>
        <v>0.62753470649205467</v>
      </c>
      <c r="AQ382" s="8"/>
      <c r="AR382" s="8">
        <f t="shared" si="122"/>
        <v>346.14618126826383</v>
      </c>
      <c r="AS382" s="8">
        <f t="shared" si="123"/>
        <v>54.044909820024408</v>
      </c>
    </row>
    <row r="383" spans="1:45">
      <c r="A383" s="19">
        <v>16.516500000000001</v>
      </c>
      <c r="B383" s="19">
        <v>1104.3629639999999</v>
      </c>
      <c r="C383" s="19">
        <v>-116.0575439</v>
      </c>
      <c r="E383" s="9">
        <f t="shared" si="109"/>
        <v>144.36296399999992</v>
      </c>
      <c r="F383" s="9">
        <f t="shared" si="114"/>
        <v>423.94245610000002</v>
      </c>
      <c r="I383">
        <v>1</v>
      </c>
      <c r="J383">
        <f t="shared" si="110"/>
        <v>0.28844781262064906</v>
      </c>
      <c r="K383">
        <f t="shared" si="115"/>
        <v>1.2425873829271004</v>
      </c>
      <c r="O383">
        <f t="shared" si="116"/>
        <v>9.1696591875499375E-2</v>
      </c>
      <c r="P383">
        <f t="shared" si="117"/>
        <v>0.2692801345897729</v>
      </c>
      <c r="Q383">
        <f t="shared" si="118"/>
        <v>0.95868657242799216</v>
      </c>
      <c r="R383">
        <f t="shared" si="108"/>
        <v>1</v>
      </c>
      <c r="AG383" s="8">
        <f t="shared" si="111"/>
        <v>0.57029637855655502</v>
      </c>
      <c r="AH383" s="8">
        <f t="shared" si="112"/>
        <v>-0.14015304630011827</v>
      </c>
      <c r="AI383" s="8">
        <f t="shared" si="113"/>
        <v>0.80939431936360628</v>
      </c>
      <c r="AJ383" s="8"/>
      <c r="AK383" s="8"/>
      <c r="AL383" s="8"/>
      <c r="AN383" s="8">
        <f t="shared" si="119"/>
        <v>1</v>
      </c>
      <c r="AO383" s="8">
        <f t="shared" si="120"/>
        <v>6.0422061432874852</v>
      </c>
      <c r="AP383" s="8">
        <f t="shared" si="121"/>
        <v>0.62767630321198442</v>
      </c>
      <c r="AQ383" s="8"/>
      <c r="AR383" s="8">
        <f t="shared" si="122"/>
        <v>346.19291095839122</v>
      </c>
      <c r="AS383" s="8">
        <f t="shared" si="123"/>
        <v>54.036796925579537</v>
      </c>
    </row>
    <row r="384" spans="1:45">
      <c r="A384" s="19">
        <v>16.54986667</v>
      </c>
      <c r="B384" s="19">
        <v>1104.8125</v>
      </c>
      <c r="C384" s="19">
        <v>-116.2195478</v>
      </c>
      <c r="E384" s="9">
        <f t="shared" si="109"/>
        <v>144.8125</v>
      </c>
      <c r="F384" s="9">
        <f t="shared" si="114"/>
        <v>423.78045220000001</v>
      </c>
      <c r="I384">
        <v>1</v>
      </c>
      <c r="J384">
        <f t="shared" si="110"/>
        <v>0.28844277780425287</v>
      </c>
      <c r="K384">
        <f t="shared" si="115"/>
        <v>1.2415205684208255</v>
      </c>
      <c r="O384">
        <f t="shared" si="116"/>
        <v>9.1982250807197005E-2</v>
      </c>
      <c r="P384">
        <f t="shared" si="117"/>
        <v>0.26917759061854313</v>
      </c>
      <c r="Q384">
        <f t="shared" si="118"/>
        <v>0.958688004642406</v>
      </c>
      <c r="R384">
        <f t="shared" si="108"/>
        <v>1</v>
      </c>
      <c r="AG384" s="8">
        <f t="shared" si="111"/>
        <v>0.57045210498898324</v>
      </c>
      <c r="AH384" s="8">
        <f t="shared" si="112"/>
        <v>-0.13990107039925112</v>
      </c>
      <c r="AI384" s="8">
        <f t="shared" si="113"/>
        <v>0.8093281697894753</v>
      </c>
      <c r="AJ384" s="8"/>
      <c r="AK384" s="8"/>
      <c r="AL384" s="8"/>
      <c r="AN384" s="8">
        <f t="shared" si="119"/>
        <v>1</v>
      </c>
      <c r="AO384" s="8">
        <f t="shared" si="120"/>
        <v>6.0426860214850144</v>
      </c>
      <c r="AP384" s="8">
        <f t="shared" si="121"/>
        <v>0.62778893443894646</v>
      </c>
      <c r="AQ384" s="8"/>
      <c r="AR384" s="8">
        <f t="shared" si="122"/>
        <v>346.22040595379002</v>
      </c>
      <c r="AS384" s="8">
        <f t="shared" si="123"/>
        <v>54.03034363163323</v>
      </c>
    </row>
    <row r="385" spans="1:45">
      <c r="A385" s="19">
        <v>16.583233329999999</v>
      </c>
      <c r="B385" s="19">
        <v>1105.5090499999999</v>
      </c>
      <c r="C385" s="19">
        <v>-116.4715099</v>
      </c>
      <c r="E385" s="9">
        <f t="shared" si="109"/>
        <v>145.50904999999989</v>
      </c>
      <c r="F385" s="9">
        <f t="shared" si="114"/>
        <v>423.5284901</v>
      </c>
      <c r="I385">
        <v>1</v>
      </c>
      <c r="J385">
        <f t="shared" si="110"/>
        <v>0.28843504920651003</v>
      </c>
      <c r="K385">
        <f t="shared" si="115"/>
        <v>1.2398667983605238</v>
      </c>
      <c r="O385">
        <f t="shared" si="116"/>
        <v>9.242487520709794E-2</v>
      </c>
      <c r="P385">
        <f t="shared" si="117"/>
        <v>0.26901809780314789</v>
      </c>
      <c r="Q385">
        <f t="shared" si="118"/>
        <v>0.95869020308821784</v>
      </c>
      <c r="R385">
        <f t="shared" si="108"/>
        <v>1</v>
      </c>
      <c r="AG385" s="8">
        <f t="shared" si="111"/>
        <v>0.57069374607079937</v>
      </c>
      <c r="AH385" s="8">
        <f t="shared" si="112"/>
        <v>-0.13951073295159172</v>
      </c>
      <c r="AI385" s="8">
        <f t="shared" si="113"/>
        <v>0.80922518719265513</v>
      </c>
      <c r="AJ385" s="8"/>
      <c r="AK385" s="8"/>
      <c r="AL385" s="8"/>
      <c r="AN385" s="8">
        <f t="shared" si="119"/>
        <v>1</v>
      </c>
      <c r="AO385" s="8">
        <f t="shared" si="120"/>
        <v>6.0434292728919354</v>
      </c>
      <c r="AP385" s="8">
        <f t="shared" si="121"/>
        <v>0.62796424555285768</v>
      </c>
      <c r="AQ385" s="8"/>
      <c r="AR385" s="8">
        <f t="shared" si="122"/>
        <v>346.26299112252377</v>
      </c>
      <c r="AS385" s="8">
        <f t="shared" si="123"/>
        <v>54.02029904470438</v>
      </c>
    </row>
    <row r="386" spans="1:45">
      <c r="A386" s="19">
        <v>16.616599999999998</v>
      </c>
      <c r="B386" s="19">
        <v>1106.424919</v>
      </c>
      <c r="C386" s="19">
        <v>-117.1809507</v>
      </c>
      <c r="E386" s="9">
        <f t="shared" si="109"/>
        <v>146.42491900000005</v>
      </c>
      <c r="F386" s="9">
        <f t="shared" si="114"/>
        <v>422.81904930000002</v>
      </c>
      <c r="I386">
        <v>1</v>
      </c>
      <c r="J386">
        <f t="shared" si="110"/>
        <v>0.28820645838908326</v>
      </c>
      <c r="K386">
        <f t="shared" si="115"/>
        <v>1.237415852016609</v>
      </c>
      <c r="O386">
        <f t="shared" si="116"/>
        <v>9.3012229681778122E-2</v>
      </c>
      <c r="P386">
        <f t="shared" si="117"/>
        <v>0.26858367275123884</v>
      </c>
      <c r="Q386">
        <f t="shared" si="118"/>
        <v>0.95875520121722391</v>
      </c>
      <c r="R386">
        <f t="shared" si="108"/>
        <v>1</v>
      </c>
      <c r="AG386" s="8">
        <f t="shared" si="111"/>
        <v>0.5711931036983966</v>
      </c>
      <c r="AH386" s="8">
        <f t="shared" si="112"/>
        <v>-0.13904790574907414</v>
      </c>
      <c r="AI386" s="8">
        <f t="shared" si="113"/>
        <v>0.80895248203722647</v>
      </c>
      <c r="AJ386" s="8"/>
      <c r="AK386" s="8"/>
      <c r="AL386" s="8"/>
      <c r="AN386" s="8">
        <f t="shared" si="119"/>
        <v>0.99999999999999978</v>
      </c>
      <c r="AO386" s="8">
        <f t="shared" si="120"/>
        <v>6.0443957534640873</v>
      </c>
      <c r="AP386" s="8">
        <f t="shared" si="121"/>
        <v>0.62842827737384255</v>
      </c>
      <c r="AQ386" s="8"/>
      <c r="AR386" s="8">
        <f t="shared" si="122"/>
        <v>346.31836638028943</v>
      </c>
      <c r="AS386" s="8">
        <f t="shared" si="123"/>
        <v>53.993711979802178</v>
      </c>
    </row>
    <row r="387" spans="1:45">
      <c r="A387" s="19">
        <v>16.649966670000001</v>
      </c>
      <c r="B387" s="19">
        <v>1107.090962</v>
      </c>
      <c r="C387" s="19">
        <v>-117.3103471</v>
      </c>
      <c r="E387" s="9">
        <f t="shared" si="109"/>
        <v>147.09096199999999</v>
      </c>
      <c r="F387" s="9">
        <f t="shared" si="114"/>
        <v>422.6896529</v>
      </c>
      <c r="I387">
        <v>1</v>
      </c>
      <c r="J387">
        <f t="shared" si="110"/>
        <v>0.28826556488342892</v>
      </c>
      <c r="K387">
        <f t="shared" si="115"/>
        <v>1.2359149842869925</v>
      </c>
      <c r="O387">
        <f t="shared" si="116"/>
        <v>9.343385773198587E-2</v>
      </c>
      <c r="P387">
        <f t="shared" si="117"/>
        <v>0.26849729145045004</v>
      </c>
      <c r="Q387">
        <f t="shared" si="118"/>
        <v>0.95873839951943673</v>
      </c>
      <c r="R387">
        <f t="shared" si="108"/>
        <v>1</v>
      </c>
      <c r="AG387" s="8">
        <f t="shared" si="111"/>
        <v>0.57137024311678286</v>
      </c>
      <c r="AH387" s="8">
        <f t="shared" si="112"/>
        <v>-0.13865968128511497</v>
      </c>
      <c r="AI387" s="8">
        <f t="shared" si="113"/>
        <v>0.80889402152975443</v>
      </c>
      <c r="AJ387" s="8"/>
      <c r="AK387" s="8"/>
      <c r="AL387" s="8"/>
      <c r="AN387" s="8">
        <f t="shared" si="119"/>
        <v>1</v>
      </c>
      <c r="AO387" s="8">
        <f t="shared" si="120"/>
        <v>6.0451085753708274</v>
      </c>
      <c r="AP387" s="8">
        <f t="shared" si="121"/>
        <v>0.62852771450606004</v>
      </c>
      <c r="AQ387" s="8"/>
      <c r="AR387" s="8">
        <f t="shared" si="122"/>
        <v>346.35920806709009</v>
      </c>
      <c r="AS387" s="8">
        <f t="shared" si="123"/>
        <v>53.988014651799233</v>
      </c>
    </row>
    <row r="388" spans="1:45">
      <c r="A388" s="19">
        <v>16.68333333</v>
      </c>
      <c r="B388" s="19">
        <v>1107.6219020000001</v>
      </c>
      <c r="C388" s="19">
        <v>-117.4237451</v>
      </c>
      <c r="E388" s="9">
        <f t="shared" si="109"/>
        <v>147.62190200000009</v>
      </c>
      <c r="F388" s="9">
        <f t="shared" si="114"/>
        <v>422.57625489999998</v>
      </c>
      <c r="I388">
        <v>1</v>
      </c>
      <c r="J388">
        <f t="shared" si="110"/>
        <v>0.28830717882779533</v>
      </c>
      <c r="K388">
        <f t="shared" si="115"/>
        <v>1.2347114721296679</v>
      </c>
      <c r="O388">
        <f t="shared" si="116"/>
        <v>9.3770087395306317E-2</v>
      </c>
      <c r="P388">
        <f t="shared" si="117"/>
        <v>0.26842231278902101</v>
      </c>
      <c r="Q388">
        <f t="shared" si="118"/>
        <v>0.95872656827005143</v>
      </c>
      <c r="R388">
        <f t="shared" si="108"/>
        <v>1</v>
      </c>
      <c r="AG388" s="8">
        <f t="shared" si="111"/>
        <v>0.57151629619417432</v>
      </c>
      <c r="AH388" s="8">
        <f t="shared" si="112"/>
        <v>-0.13835156068145188</v>
      </c>
      <c r="AI388" s="8">
        <f t="shared" si="113"/>
        <v>0.80884359974070352</v>
      </c>
      <c r="AJ388" s="8"/>
      <c r="AK388" s="8"/>
      <c r="AL388" s="8"/>
      <c r="AN388" s="8">
        <f t="shared" si="119"/>
        <v>1</v>
      </c>
      <c r="AO388" s="8">
        <f t="shared" si="120"/>
        <v>6.0456763650376875</v>
      </c>
      <c r="AP388" s="8">
        <f t="shared" si="121"/>
        <v>0.62861346742967794</v>
      </c>
      <c r="AQ388" s="8"/>
      <c r="AR388" s="8">
        <f t="shared" si="122"/>
        <v>346.39174001865234</v>
      </c>
      <c r="AS388" s="8">
        <f t="shared" si="123"/>
        <v>53.983101371195019</v>
      </c>
    </row>
    <row r="389" spans="1:45">
      <c r="A389" s="19">
        <v>16.716699999999999</v>
      </c>
      <c r="B389" s="19">
        <v>1108.2586690000001</v>
      </c>
      <c r="C389" s="19">
        <v>-117.80455809999999</v>
      </c>
      <c r="E389" s="9">
        <f t="shared" si="109"/>
        <v>148.25866900000005</v>
      </c>
      <c r="F389" s="9">
        <f t="shared" si="114"/>
        <v>422.19544189999999</v>
      </c>
      <c r="I389">
        <v>1</v>
      </c>
      <c r="J389">
        <f t="shared" si="110"/>
        <v>0.28821567237796164</v>
      </c>
      <c r="K389">
        <f t="shared" si="115"/>
        <v>1.2330873824076378</v>
      </c>
      <c r="O389">
        <f t="shared" si="116"/>
        <v>9.4176837914993289E-2</v>
      </c>
      <c r="P389">
        <f t="shared" si="117"/>
        <v>0.26818689233116794</v>
      </c>
      <c r="Q389">
        <f t="shared" si="118"/>
        <v>0.95875258225575777</v>
      </c>
      <c r="R389">
        <f t="shared" si="108"/>
        <v>1</v>
      </c>
      <c r="AG389" s="8">
        <f t="shared" si="111"/>
        <v>0.5718090664171066</v>
      </c>
      <c r="AH389" s="8">
        <f t="shared" si="112"/>
        <v>-0.13801463525276414</v>
      </c>
      <c r="AI389" s="8">
        <f t="shared" si="113"/>
        <v>0.80869422652770517</v>
      </c>
      <c r="AJ389" s="8"/>
      <c r="AK389" s="8"/>
      <c r="AL389" s="8"/>
      <c r="AN389" s="8">
        <f t="shared" si="119"/>
        <v>1</v>
      </c>
      <c r="AO389" s="8">
        <f t="shared" si="120"/>
        <v>6.0463501680065539</v>
      </c>
      <c r="AP389" s="8">
        <f t="shared" si="121"/>
        <v>0.62886744884627976</v>
      </c>
      <c r="AQ389" s="8"/>
      <c r="AR389" s="8">
        <f t="shared" si="122"/>
        <v>346.43034608499175</v>
      </c>
      <c r="AS389" s="8">
        <f t="shared" si="123"/>
        <v>53.968549307948976</v>
      </c>
    </row>
    <row r="390" spans="1:45">
      <c r="A390" s="19">
        <v>16.750066669999999</v>
      </c>
      <c r="B390" s="19">
        <v>1108.9098859999999</v>
      </c>
      <c r="C390" s="19">
        <v>-118.17656909999999</v>
      </c>
      <c r="E390" s="9">
        <f t="shared" si="109"/>
        <v>148.90988599999991</v>
      </c>
      <c r="F390" s="9">
        <f t="shared" si="114"/>
        <v>421.82343090000001</v>
      </c>
      <c r="I390">
        <v>1</v>
      </c>
      <c r="J390">
        <f t="shared" si="110"/>
        <v>0.28813294353395674</v>
      </c>
      <c r="K390">
        <f t="shared" si="115"/>
        <v>1.2314383047681783</v>
      </c>
      <c r="O390">
        <f t="shared" si="116"/>
        <v>9.4592567326657856E-2</v>
      </c>
      <c r="P390">
        <f t="shared" si="117"/>
        <v>0.26795642894636335</v>
      </c>
      <c r="Q390">
        <f t="shared" si="118"/>
        <v>0.95877609398277353</v>
      </c>
      <c r="R390">
        <f t="shared" si="108"/>
        <v>1</v>
      </c>
      <c r="AG390" s="8">
        <f t="shared" si="111"/>
        <v>0.57209997375589461</v>
      </c>
      <c r="AH390" s="8">
        <f t="shared" si="112"/>
        <v>-0.13766768887832531</v>
      </c>
      <c r="AI390" s="8">
        <f t="shared" si="113"/>
        <v>0.80854760371137413</v>
      </c>
      <c r="AJ390" s="8"/>
      <c r="AK390" s="8"/>
      <c r="AL390" s="8"/>
      <c r="AN390" s="8">
        <f t="shared" si="119"/>
        <v>1</v>
      </c>
      <c r="AO390" s="8">
        <f t="shared" si="120"/>
        <v>6.0470393167726222</v>
      </c>
      <c r="AP390" s="8">
        <f t="shared" si="121"/>
        <v>0.62911666750451434</v>
      </c>
      <c r="AQ390" s="8"/>
      <c r="AR390" s="8">
        <f t="shared" si="122"/>
        <v>346.46983140074411</v>
      </c>
      <c r="AS390" s="8">
        <f t="shared" si="123"/>
        <v>53.954270130656226</v>
      </c>
    </row>
    <row r="391" spans="1:45">
      <c r="A391" s="19">
        <v>16.783433330000001</v>
      </c>
      <c r="B391" s="19">
        <v>1109.4767569999999</v>
      </c>
      <c r="C391" s="19">
        <v>-118.20991480000001</v>
      </c>
      <c r="E391" s="9">
        <f t="shared" si="109"/>
        <v>149.47675699999991</v>
      </c>
      <c r="F391" s="9">
        <f t="shared" si="114"/>
        <v>421.79008520000002</v>
      </c>
      <c r="I391">
        <v>1</v>
      </c>
      <c r="J391">
        <f t="shared" si="110"/>
        <v>0.28822978425812623</v>
      </c>
      <c r="K391">
        <f t="shared" si="115"/>
        <v>1.2302189748961143</v>
      </c>
      <c r="O391">
        <f t="shared" si="116"/>
        <v>9.4950238092788602E-2</v>
      </c>
      <c r="P391">
        <f t="shared" si="117"/>
        <v>0.26792840451387123</v>
      </c>
      <c r="Q391">
        <f t="shared" si="118"/>
        <v>0.95874857097195931</v>
      </c>
      <c r="R391">
        <f t="shared" si="108"/>
        <v>1</v>
      </c>
      <c r="AG391" s="8">
        <f t="shared" si="111"/>
        <v>0.57221345988176719</v>
      </c>
      <c r="AH391" s="8">
        <f t="shared" si="112"/>
        <v>-0.13732696620278573</v>
      </c>
      <c r="AI391" s="8">
        <f t="shared" si="113"/>
        <v>0.80852523812412691</v>
      </c>
      <c r="AJ391" s="8"/>
      <c r="AK391" s="8"/>
      <c r="AL391" s="8"/>
      <c r="AN391" s="8">
        <f t="shared" si="119"/>
        <v>0.99999999999999989</v>
      </c>
      <c r="AO391" s="8">
        <f t="shared" si="120"/>
        <v>6.0476473726692532</v>
      </c>
      <c r="AP391" s="8">
        <f t="shared" si="121"/>
        <v>0.62915467537958236</v>
      </c>
      <c r="AQ391" s="8"/>
      <c r="AR391" s="8">
        <f t="shared" si="122"/>
        <v>346.50467043732914</v>
      </c>
      <c r="AS391" s="8">
        <f t="shared" si="123"/>
        <v>53.952092439826565</v>
      </c>
    </row>
    <row r="392" spans="1:45">
      <c r="A392" s="19">
        <v>16.816800000000001</v>
      </c>
      <c r="B392" s="19">
        <v>1110.3434030000001</v>
      </c>
      <c r="C392" s="19">
        <v>-118.3312114</v>
      </c>
      <c r="E392" s="9">
        <f t="shared" si="109"/>
        <v>150.34340300000008</v>
      </c>
      <c r="F392" s="9">
        <f t="shared" si="114"/>
        <v>421.66878859999997</v>
      </c>
      <c r="I392">
        <v>1</v>
      </c>
      <c r="J392">
        <f t="shared" si="110"/>
        <v>0.28833791881287985</v>
      </c>
      <c r="K392">
        <f t="shared" si="115"/>
        <v>1.2283037549885047</v>
      </c>
      <c r="O392">
        <f t="shared" si="116"/>
        <v>9.5498022297695981E-2</v>
      </c>
      <c r="P392">
        <f t="shared" si="117"/>
        <v>0.26784371360787423</v>
      </c>
      <c r="Q392">
        <f t="shared" si="118"/>
        <v>0.95871782752693813</v>
      </c>
      <c r="R392">
        <f t="shared" si="108"/>
        <v>1</v>
      </c>
      <c r="AG392" s="8">
        <f t="shared" si="111"/>
        <v>0.57242060488233115</v>
      </c>
      <c r="AH392" s="8">
        <f t="shared" si="112"/>
        <v>-0.13681541217127838</v>
      </c>
      <c r="AI392" s="8">
        <f t="shared" si="113"/>
        <v>0.8084653326510356</v>
      </c>
      <c r="AJ392" s="8"/>
      <c r="AK392" s="8"/>
      <c r="AL392" s="8"/>
      <c r="AN392" s="8">
        <f t="shared" si="119"/>
        <v>1.0000000000000004</v>
      </c>
      <c r="AO392" s="8">
        <f t="shared" si="120"/>
        <v>6.0485746956381075</v>
      </c>
      <c r="AP392" s="8">
        <f t="shared" si="121"/>
        <v>0.62925646841803229</v>
      </c>
      <c r="AQ392" s="8"/>
      <c r="AR392" s="8">
        <f t="shared" si="122"/>
        <v>346.55780212969</v>
      </c>
      <c r="AS392" s="8">
        <f t="shared" si="123"/>
        <v>53.946260128339574</v>
      </c>
    </row>
    <row r="393" spans="1:45">
      <c r="A393" s="19">
        <v>16.85016667</v>
      </c>
      <c r="B393" s="19">
        <v>1111.35592</v>
      </c>
      <c r="C393" s="19">
        <v>-119.31395089999999</v>
      </c>
      <c r="E393" s="9">
        <f t="shared" si="109"/>
        <v>151.35591999999997</v>
      </c>
      <c r="F393" s="9">
        <f t="shared" si="114"/>
        <v>420.68604909999999</v>
      </c>
      <c r="I393">
        <v>1</v>
      </c>
      <c r="J393">
        <f t="shared" si="110"/>
        <v>0.28797917477983687</v>
      </c>
      <c r="K393">
        <f t="shared" si="115"/>
        <v>1.2254323763114949</v>
      </c>
      <c r="O393">
        <f t="shared" si="116"/>
        <v>9.6150266866332823E-2</v>
      </c>
      <c r="P393">
        <f t="shared" si="117"/>
        <v>0.26724475585697749</v>
      </c>
      <c r="Q393">
        <f t="shared" si="118"/>
        <v>0.95881977798149198</v>
      </c>
      <c r="R393">
        <f t="shared" si="108"/>
        <v>1</v>
      </c>
      <c r="AG393" s="8">
        <f t="shared" si="111"/>
        <v>0.57306663410939229</v>
      </c>
      <c r="AH393" s="8">
        <f t="shared" si="112"/>
        <v>-0.1363295311114962</v>
      </c>
      <c r="AI393" s="8">
        <f t="shared" si="113"/>
        <v>0.80808965580401515</v>
      </c>
      <c r="AJ393" s="8"/>
      <c r="AK393" s="8"/>
      <c r="AL393" s="8"/>
      <c r="AN393" s="8">
        <f t="shared" si="119"/>
        <v>1.0000000000000002</v>
      </c>
      <c r="AO393" s="8">
        <f t="shared" si="120"/>
        <v>6.049631887891616</v>
      </c>
      <c r="AP393" s="8">
        <f t="shared" si="121"/>
        <v>0.62989450472483743</v>
      </c>
      <c r="AQ393" s="8"/>
      <c r="AR393" s="8">
        <f t="shared" si="122"/>
        <v>346.61837478395</v>
      </c>
      <c r="AS393" s="8">
        <f t="shared" si="123"/>
        <v>53.909703340783523</v>
      </c>
    </row>
    <row r="394" spans="1:45">
      <c r="A394" s="19">
        <v>16.883533329999999</v>
      </c>
      <c r="B394" s="19">
        <v>1111.7365580000001</v>
      </c>
      <c r="C394" s="19">
        <v>-119.3151517</v>
      </c>
      <c r="E394" s="9">
        <f t="shared" si="109"/>
        <v>151.73655800000006</v>
      </c>
      <c r="F394" s="9">
        <f t="shared" si="114"/>
        <v>420.6848483</v>
      </c>
      <c r="I394">
        <v>1</v>
      </c>
      <c r="J394">
        <f t="shared" si="110"/>
        <v>0.28805776244348658</v>
      </c>
      <c r="K394">
        <f t="shared" si="115"/>
        <v>1.2246305916395182</v>
      </c>
      <c r="O394">
        <f t="shared" si="116"/>
        <v>9.6390074630908928E-2</v>
      </c>
      <c r="P394">
        <f t="shared" si="117"/>
        <v>0.2672384589330779</v>
      </c>
      <c r="Q394">
        <f t="shared" si="118"/>
        <v>0.95879745492972679</v>
      </c>
      <c r="R394">
        <f t="shared" si="108"/>
        <v>1</v>
      </c>
      <c r="AG394" s="8">
        <f t="shared" si="111"/>
        <v>0.57313241801988557</v>
      </c>
      <c r="AH394" s="8">
        <f t="shared" si="112"/>
        <v>-0.13609788409064968</v>
      </c>
      <c r="AI394" s="8">
        <f t="shared" si="113"/>
        <v>0.80808204865640176</v>
      </c>
      <c r="AJ394" s="8"/>
      <c r="AK394" s="8"/>
      <c r="AL394" s="8"/>
      <c r="AN394" s="8">
        <f t="shared" si="119"/>
        <v>1</v>
      </c>
      <c r="AO394" s="8">
        <f t="shared" si="120"/>
        <v>6.0500402988227178</v>
      </c>
      <c r="AP394" s="8">
        <f t="shared" si="121"/>
        <v>0.62990741866660616</v>
      </c>
      <c r="AQ394" s="8"/>
      <c r="AR394" s="8">
        <f t="shared" si="122"/>
        <v>346.64177500660912</v>
      </c>
      <c r="AS394" s="8">
        <f t="shared" si="123"/>
        <v>53.908963426423298</v>
      </c>
    </row>
    <row r="395" spans="1:45">
      <c r="A395" s="19">
        <v>16.916899999999998</v>
      </c>
      <c r="B395" s="19">
        <v>1112.120954</v>
      </c>
      <c r="C395" s="19">
        <v>-119.2996723</v>
      </c>
      <c r="E395" s="9">
        <f t="shared" si="109"/>
        <v>152.12095399999998</v>
      </c>
      <c r="F395" s="9">
        <f t="shared" si="114"/>
        <v>420.7003277</v>
      </c>
      <c r="I395">
        <v>1</v>
      </c>
      <c r="J395">
        <f t="shared" si="110"/>
        <v>0.28814694809052005</v>
      </c>
      <c r="K395">
        <f t="shared" si="115"/>
        <v>1.223834045036857</v>
      </c>
      <c r="O395">
        <f t="shared" si="116"/>
        <v>9.6631988911524622E-2</v>
      </c>
      <c r="P395">
        <f t="shared" si="117"/>
        <v>0.26724200928546094</v>
      </c>
      <c r="Q395">
        <f t="shared" si="118"/>
        <v>0.95877211431709497</v>
      </c>
      <c r="R395">
        <f t="shared" si="108"/>
        <v>1</v>
      </c>
      <c r="AG395" s="8">
        <f t="shared" si="111"/>
        <v>0.57319079104913506</v>
      </c>
      <c r="AH395" s="8">
        <f t="shared" si="112"/>
        <v>-0.13586173352854283</v>
      </c>
      <c r="AI395" s="8">
        <f t="shared" si="113"/>
        <v>0.808080383637102</v>
      </c>
      <c r="AJ395" s="8"/>
      <c r="AK395" s="8"/>
      <c r="AL395" s="8"/>
      <c r="AN395" s="8">
        <f t="shared" si="119"/>
        <v>1</v>
      </c>
      <c r="AO395" s="8">
        <f t="shared" si="120"/>
        <v>6.0504532326321243</v>
      </c>
      <c r="AP395" s="8">
        <f t="shared" si="121"/>
        <v>0.62991024518335492</v>
      </c>
      <c r="AQ395" s="8"/>
      <c r="AR395" s="8">
        <f t="shared" si="122"/>
        <v>346.66543437110636</v>
      </c>
      <c r="AS395" s="8">
        <f t="shared" si="123"/>
        <v>53.90880147894287</v>
      </c>
    </row>
    <row r="396" spans="1:45">
      <c r="A396" s="19">
        <v>16.950266670000001</v>
      </c>
      <c r="B396" s="19">
        <v>1113.1981940000001</v>
      </c>
      <c r="C396" s="19">
        <v>-119.75572630000001</v>
      </c>
      <c r="E396" s="9">
        <f t="shared" si="109"/>
        <v>153.19819400000006</v>
      </c>
      <c r="F396" s="9">
        <f t="shared" si="114"/>
        <v>420.24427370000001</v>
      </c>
      <c r="I396">
        <v>1</v>
      </c>
      <c r="J396">
        <f t="shared" si="110"/>
        <v>0.28810943419125018</v>
      </c>
      <c r="K396">
        <f t="shared" si="115"/>
        <v>1.2212225241422694</v>
      </c>
      <c r="O396">
        <f t="shared" si="116"/>
        <v>9.7317247923298392E-2</v>
      </c>
      <c r="P396">
        <f t="shared" si="117"/>
        <v>0.2669549496909171</v>
      </c>
      <c r="Q396">
        <f t="shared" si="118"/>
        <v>0.95878277419452795</v>
      </c>
      <c r="R396">
        <f t="shared" si="108"/>
        <v>1</v>
      </c>
      <c r="AG396" s="8">
        <f t="shared" si="111"/>
        <v>0.57359421500033669</v>
      </c>
      <c r="AH396" s="8">
        <f t="shared" si="112"/>
        <v>-0.13526624375566465</v>
      </c>
      <c r="AI396" s="8">
        <f t="shared" si="113"/>
        <v>0.80789400283600354</v>
      </c>
      <c r="AJ396" s="8"/>
      <c r="AK396" s="8"/>
      <c r="AL396" s="8"/>
      <c r="AN396" s="8">
        <f t="shared" si="119"/>
        <v>0.99999999999999989</v>
      </c>
      <c r="AO396" s="8">
        <f t="shared" si="120"/>
        <v>6.051594329057874</v>
      </c>
      <c r="AP396" s="8">
        <f t="shared" si="121"/>
        <v>0.63022657374978974</v>
      </c>
      <c r="AQ396" s="8"/>
      <c r="AR396" s="8">
        <f t="shared" si="122"/>
        <v>346.73081438031932</v>
      </c>
      <c r="AS396" s="8">
        <f t="shared" si="123"/>
        <v>53.890677187146728</v>
      </c>
    </row>
    <row r="397" spans="1:45">
      <c r="A397" s="19">
        <v>16.98363333</v>
      </c>
      <c r="B397" s="19">
        <v>1113.586785</v>
      </c>
      <c r="C397" s="19">
        <v>-120.00712350000001</v>
      </c>
      <c r="E397" s="9">
        <f t="shared" si="109"/>
        <v>153.58678499999996</v>
      </c>
      <c r="F397" s="9">
        <f t="shared" si="114"/>
        <v>419.99287649999997</v>
      </c>
      <c r="I397">
        <v>1</v>
      </c>
      <c r="J397">
        <f t="shared" si="110"/>
        <v>0.28804621365418065</v>
      </c>
      <c r="K397">
        <f t="shared" si="115"/>
        <v>1.2202135861718573</v>
      </c>
      <c r="O397">
        <f t="shared" si="116"/>
        <v>9.7565721288808707E-2</v>
      </c>
      <c r="P397">
        <f t="shared" si="117"/>
        <v>0.26679969850195162</v>
      </c>
      <c r="Q397">
        <f t="shared" si="118"/>
        <v>0.95880073576768921</v>
      </c>
      <c r="R397">
        <f t="shared" si="108"/>
        <v>1</v>
      </c>
      <c r="AG397" s="8">
        <f t="shared" si="111"/>
        <v>0.57378141902165924</v>
      </c>
      <c r="AH397" s="8">
        <f t="shared" si="112"/>
        <v>-0.13506293904471978</v>
      </c>
      <c r="AI397" s="8">
        <f t="shared" si="113"/>
        <v>0.80779507653989424</v>
      </c>
      <c r="AJ397" s="8"/>
      <c r="AK397" s="8"/>
      <c r="AL397" s="8"/>
      <c r="AN397" s="8">
        <f t="shared" si="119"/>
        <v>1</v>
      </c>
      <c r="AO397" s="8">
        <f t="shared" si="120"/>
        <v>6.0520029129080832</v>
      </c>
      <c r="AP397" s="8">
        <f t="shared" si="121"/>
        <v>0.63039441737319213</v>
      </c>
      <c r="AQ397" s="8"/>
      <c r="AR397" s="8">
        <f t="shared" si="122"/>
        <v>346.7542245105135</v>
      </c>
      <c r="AS397" s="8">
        <f t="shared" si="123"/>
        <v>53.881060455907594</v>
      </c>
    </row>
    <row r="398" spans="1:45">
      <c r="A398" s="19">
        <v>17.016999999999999</v>
      </c>
      <c r="B398" s="19">
        <v>1114.410511</v>
      </c>
      <c r="C398" s="19">
        <v>-120.3381668</v>
      </c>
      <c r="E398" s="9">
        <f t="shared" si="109"/>
        <v>154.41051100000004</v>
      </c>
      <c r="F398" s="9">
        <f t="shared" si="114"/>
        <v>419.66183319999999</v>
      </c>
      <c r="I398">
        <v>1</v>
      </c>
      <c r="J398">
        <f t="shared" si="110"/>
        <v>0.2880295456676733</v>
      </c>
      <c r="K398">
        <f t="shared" si="115"/>
        <v>1.2182292804017623</v>
      </c>
      <c r="O398">
        <f t="shared" si="116"/>
        <v>9.8089422563536949E-2</v>
      </c>
      <c r="P398">
        <f t="shared" si="117"/>
        <v>0.26659057485110793</v>
      </c>
      <c r="Q398">
        <f t="shared" si="118"/>
        <v>0.95880547066738608</v>
      </c>
      <c r="R398">
        <f t="shared" si="108"/>
        <v>1</v>
      </c>
      <c r="AG398" s="8">
        <f t="shared" si="111"/>
        <v>0.57408109763304238</v>
      </c>
      <c r="AH398" s="8">
        <f t="shared" si="112"/>
        <v>-0.13460514671316287</v>
      </c>
      <c r="AI398" s="8">
        <f t="shared" si="113"/>
        <v>0.80765855893364324</v>
      </c>
      <c r="AJ398" s="8"/>
      <c r="AK398" s="8"/>
      <c r="AL398" s="8"/>
      <c r="AN398" s="8">
        <f t="shared" si="119"/>
        <v>1</v>
      </c>
      <c r="AO398" s="8">
        <f t="shared" si="120"/>
        <v>6.0528750877846393</v>
      </c>
      <c r="AP398" s="8">
        <f t="shared" si="121"/>
        <v>0.63062597703866052</v>
      </c>
      <c r="AQ398" s="8"/>
      <c r="AR398" s="8">
        <f t="shared" si="122"/>
        <v>346.80419644993748</v>
      </c>
      <c r="AS398" s="8">
        <f t="shared" si="123"/>
        <v>53.867793064370794</v>
      </c>
    </row>
    <row r="399" spans="1:45">
      <c r="A399" s="19">
        <v>17.050366669999999</v>
      </c>
      <c r="B399" s="19">
        <v>1115.2488639999999</v>
      </c>
      <c r="C399" s="19">
        <v>-120.79874239999999</v>
      </c>
      <c r="E399" s="9">
        <f t="shared" si="109"/>
        <v>155.24886399999991</v>
      </c>
      <c r="F399" s="9">
        <f t="shared" si="114"/>
        <v>419.20125760000002</v>
      </c>
      <c r="I399">
        <v>1</v>
      </c>
      <c r="J399">
        <f t="shared" si="110"/>
        <v>0.28794242627127836</v>
      </c>
      <c r="K399">
        <f t="shared" si="115"/>
        <v>1.2161134585430677</v>
      </c>
      <c r="O399">
        <f t="shared" si="116"/>
        <v>9.8624250799619173E-2</v>
      </c>
      <c r="P399">
        <f t="shared" si="117"/>
        <v>0.26630410619338368</v>
      </c>
      <c r="Q399">
        <f t="shared" si="118"/>
        <v>0.95883021446904604</v>
      </c>
      <c r="R399">
        <f t="shared" si="108"/>
        <v>1</v>
      </c>
      <c r="AG399" s="8">
        <f t="shared" si="111"/>
        <v>0.5744453242146399</v>
      </c>
      <c r="AH399" s="8">
        <f t="shared" si="112"/>
        <v>-0.13415555722283867</v>
      </c>
      <c r="AI399" s="8">
        <f t="shared" si="113"/>
        <v>0.80747436860507649</v>
      </c>
      <c r="AJ399" s="8"/>
      <c r="AK399" s="8"/>
      <c r="AL399" s="8"/>
      <c r="AN399" s="8">
        <f t="shared" si="119"/>
        <v>1</v>
      </c>
      <c r="AO399" s="8">
        <f t="shared" si="120"/>
        <v>6.0537580536565194</v>
      </c>
      <c r="AP399" s="8">
        <f t="shared" si="121"/>
        <v>0.63093828231122651</v>
      </c>
      <c r="AQ399" s="8"/>
      <c r="AR399" s="8">
        <f t="shared" si="122"/>
        <v>346.85478666785031</v>
      </c>
      <c r="AS399" s="8">
        <f t="shared" si="123"/>
        <v>53.849899290333077</v>
      </c>
    </row>
    <row r="400" spans="1:45">
      <c r="A400" s="19">
        <v>17.083733330000001</v>
      </c>
      <c r="B400" s="19">
        <v>1115.5764300000001</v>
      </c>
      <c r="C400" s="19">
        <v>-121.0146065</v>
      </c>
      <c r="E400" s="9">
        <f t="shared" si="109"/>
        <v>155.57643000000007</v>
      </c>
      <c r="F400" s="9">
        <f t="shared" si="114"/>
        <v>418.98539349999999</v>
      </c>
      <c r="I400">
        <v>1</v>
      </c>
      <c r="J400">
        <f t="shared" si="110"/>
        <v>0.28788803189525747</v>
      </c>
      <c r="K400">
        <f t="shared" si="115"/>
        <v>1.2152584269864342</v>
      </c>
      <c r="O400">
        <f t="shared" si="116"/>
        <v>9.8833758121298312E-2</v>
      </c>
      <c r="P400">
        <f t="shared" si="117"/>
        <v>0.26617078845128389</v>
      </c>
      <c r="Q400">
        <f t="shared" si="118"/>
        <v>0.95884565996350146</v>
      </c>
      <c r="R400">
        <f t="shared" si="108"/>
        <v>1</v>
      </c>
      <c r="AG400" s="8">
        <f t="shared" si="111"/>
        <v>0.57460483437161614</v>
      </c>
      <c r="AH400" s="8">
        <f t="shared" si="112"/>
        <v>-0.13398462695975727</v>
      </c>
      <c r="AI400" s="8">
        <f t="shared" si="113"/>
        <v>0.80738925188240063</v>
      </c>
      <c r="AJ400" s="8"/>
      <c r="AK400" s="8"/>
      <c r="AL400" s="8"/>
      <c r="AN400" s="8">
        <f t="shared" si="119"/>
        <v>1.0000000000000002</v>
      </c>
      <c r="AO400" s="8">
        <f t="shared" si="120"/>
        <v>6.0541016477934608</v>
      </c>
      <c r="AP400" s="8">
        <f t="shared" si="121"/>
        <v>0.63108255750328179</v>
      </c>
      <c r="AQ400" s="8"/>
      <c r="AR400" s="8">
        <f t="shared" si="122"/>
        <v>346.87447316176252</v>
      </c>
      <c r="AS400" s="8">
        <f t="shared" si="123"/>
        <v>53.84163293073987</v>
      </c>
    </row>
    <row r="401" spans="1:45">
      <c r="A401" s="19">
        <v>17.117100000000001</v>
      </c>
      <c r="B401" s="19">
        <v>1116.553271</v>
      </c>
      <c r="C401" s="19">
        <v>-121.3738185</v>
      </c>
      <c r="E401" s="9">
        <f t="shared" si="109"/>
        <v>156.553271</v>
      </c>
      <c r="F401" s="9">
        <f t="shared" si="114"/>
        <v>418.62618150000003</v>
      </c>
      <c r="I401">
        <v>1</v>
      </c>
      <c r="J401">
        <f t="shared" si="110"/>
        <v>0.28789079662200207</v>
      </c>
      <c r="K401">
        <f t="shared" si="115"/>
        <v>1.2129297347043948</v>
      </c>
      <c r="O401">
        <f t="shared" si="116"/>
        <v>9.9454248008294804E-2</v>
      </c>
      <c r="P401">
        <f t="shared" si="117"/>
        <v>0.26594239655118063</v>
      </c>
      <c r="Q401">
        <f t="shared" si="118"/>
        <v>0.95884487497703152</v>
      </c>
      <c r="R401">
        <f t="shared" si="108"/>
        <v>1</v>
      </c>
      <c r="AG401" s="8">
        <f t="shared" si="111"/>
        <v>0.57494362443317848</v>
      </c>
      <c r="AH401" s="8">
        <f t="shared" si="112"/>
        <v>-0.1334371476372869</v>
      </c>
      <c r="AI401" s="8">
        <f t="shared" si="113"/>
        <v>0.80723872327463653</v>
      </c>
      <c r="AJ401" s="8"/>
      <c r="AK401" s="8"/>
      <c r="AL401" s="8"/>
      <c r="AN401" s="8">
        <f t="shared" si="119"/>
        <v>1</v>
      </c>
      <c r="AO401" s="8">
        <f t="shared" si="120"/>
        <v>6.0551353393649441</v>
      </c>
      <c r="AP401" s="8">
        <f t="shared" si="121"/>
        <v>0.63133763794075071</v>
      </c>
      <c r="AQ401" s="8"/>
      <c r="AR401" s="8">
        <f t="shared" si="122"/>
        <v>346.93369932612671</v>
      </c>
      <c r="AS401" s="8">
        <f t="shared" si="123"/>
        <v>53.827017898236548</v>
      </c>
    </row>
    <row r="402" spans="1:45">
      <c r="A402" s="19">
        <v>17.15046667</v>
      </c>
      <c r="B402" s="19">
        <v>1117.476046</v>
      </c>
      <c r="C402" s="19">
        <v>-121.8521377</v>
      </c>
      <c r="E402" s="9">
        <f t="shared" si="109"/>
        <v>157.476046</v>
      </c>
      <c r="F402" s="9">
        <f t="shared" si="114"/>
        <v>418.14786229999999</v>
      </c>
      <c r="I402">
        <v>1</v>
      </c>
      <c r="J402">
        <f t="shared" si="110"/>
        <v>0.28781483039850869</v>
      </c>
      <c r="K402">
        <f t="shared" si="115"/>
        <v>1.2106203856579592</v>
      </c>
      <c r="O402">
        <f t="shared" si="116"/>
        <v>0.10004246420752801</v>
      </c>
      <c r="P402">
        <f t="shared" si="117"/>
        <v>0.26564384622409243</v>
      </c>
      <c r="Q402">
        <f t="shared" si="118"/>
        <v>0.95886644133505694</v>
      </c>
      <c r="R402">
        <f t="shared" si="108"/>
        <v>1</v>
      </c>
      <c r="AG402" s="8">
        <f t="shared" si="111"/>
        <v>0.5753301970691207</v>
      </c>
      <c r="AH402" s="8">
        <f t="shared" si="112"/>
        <v>-0.1329382945447781</v>
      </c>
      <c r="AI402" s="8">
        <f t="shared" si="113"/>
        <v>0.80704558370883395</v>
      </c>
      <c r="AJ402" s="8"/>
      <c r="AK402" s="8"/>
      <c r="AL402" s="8"/>
      <c r="AN402" s="8">
        <f t="shared" si="119"/>
        <v>0.99999999999999989</v>
      </c>
      <c r="AO402" s="8">
        <f t="shared" si="120"/>
        <v>6.0561062855139216</v>
      </c>
      <c r="AP402" s="8">
        <f t="shared" si="121"/>
        <v>0.6316647951153086</v>
      </c>
      <c r="AQ402" s="8"/>
      <c r="AR402" s="8">
        <f t="shared" si="122"/>
        <v>346.98933044259763</v>
      </c>
      <c r="AS402" s="8">
        <f t="shared" si="123"/>
        <v>53.808273172896961</v>
      </c>
    </row>
    <row r="403" spans="1:45">
      <c r="A403" s="19">
        <v>17.183833329999999</v>
      </c>
      <c r="B403" s="19">
        <v>1117.6717269999999</v>
      </c>
      <c r="C403" s="19">
        <v>-122.00706599999999</v>
      </c>
      <c r="E403" s="9">
        <f t="shared" si="109"/>
        <v>157.67172699999992</v>
      </c>
      <c r="F403" s="9">
        <f t="shared" si="114"/>
        <v>417.99293399999999</v>
      </c>
      <c r="I403">
        <v>1</v>
      </c>
      <c r="J403">
        <f t="shared" si="110"/>
        <v>0.28776814286354452</v>
      </c>
      <c r="K403">
        <f t="shared" si="115"/>
        <v>1.2100882489127249</v>
      </c>
      <c r="O403">
        <f t="shared" si="116"/>
        <v>0.10016800881671588</v>
      </c>
      <c r="P403">
        <f t="shared" si="117"/>
        <v>0.26554868583533037</v>
      </c>
      <c r="Q403">
        <f t="shared" si="118"/>
        <v>0.95887969290251596</v>
      </c>
      <c r="R403">
        <f t="shared" si="108"/>
        <v>1</v>
      </c>
      <c r="AG403" s="8">
        <f t="shared" si="111"/>
        <v>0.57543784162908174</v>
      </c>
      <c r="AH403" s="8">
        <f t="shared" si="112"/>
        <v>-0.13283957312545958</v>
      </c>
      <c r="AI403" s="8">
        <f t="shared" si="113"/>
        <v>0.80698509170436938</v>
      </c>
      <c r="AJ403" s="8"/>
      <c r="AK403" s="8"/>
      <c r="AL403" s="8"/>
      <c r="AN403" s="8">
        <f t="shared" si="119"/>
        <v>0.99999999999999989</v>
      </c>
      <c r="AO403" s="8">
        <f t="shared" si="120"/>
        <v>6.0563101918740108</v>
      </c>
      <c r="AP403" s="8">
        <f t="shared" si="121"/>
        <v>0.63176723183442307</v>
      </c>
      <c r="AQ403" s="8"/>
      <c r="AR403" s="8">
        <f t="shared" si="122"/>
        <v>347.0010134164466</v>
      </c>
      <c r="AS403" s="8">
        <f t="shared" si="123"/>
        <v>53.802403981224529</v>
      </c>
    </row>
    <row r="404" spans="1:45">
      <c r="A404" s="19">
        <v>17.217199999999998</v>
      </c>
      <c r="B404" s="19">
        <v>1118.348168</v>
      </c>
      <c r="C404" s="19">
        <v>-122.2005637</v>
      </c>
      <c r="E404" s="9">
        <f t="shared" si="109"/>
        <v>158.34816799999999</v>
      </c>
      <c r="F404" s="9">
        <f t="shared" si="114"/>
        <v>417.79943630000002</v>
      </c>
      <c r="I404">
        <v>1</v>
      </c>
      <c r="J404">
        <f t="shared" si="110"/>
        <v>0.28780394338003118</v>
      </c>
      <c r="K404">
        <f t="shared" si="115"/>
        <v>1.2085188613308433</v>
      </c>
      <c r="O404">
        <f t="shared" si="116"/>
        <v>0.10059680018061977</v>
      </c>
      <c r="P404">
        <f t="shared" si="117"/>
        <v>0.26542325648533355</v>
      </c>
      <c r="Q404">
        <f t="shared" si="118"/>
        <v>0.95886953164137056</v>
      </c>
      <c r="R404">
        <f t="shared" si="108"/>
        <v>1</v>
      </c>
      <c r="AG404" s="8">
        <f t="shared" si="111"/>
        <v>0.57564554106979926</v>
      </c>
      <c r="AH404" s="8">
        <f t="shared" si="112"/>
        <v>-0.13245304844832345</v>
      </c>
      <c r="AI404" s="8">
        <f t="shared" si="113"/>
        <v>0.80690049014931464</v>
      </c>
      <c r="AJ404" s="8"/>
      <c r="AK404" s="8"/>
      <c r="AL404" s="8"/>
      <c r="AN404" s="8">
        <f t="shared" si="119"/>
        <v>1</v>
      </c>
      <c r="AO404" s="8">
        <f t="shared" si="120"/>
        <v>6.0570268793821462</v>
      </c>
      <c r="AP404" s="8">
        <f t="shared" si="121"/>
        <v>0.63191047144616863</v>
      </c>
      <c r="AQ404" s="8"/>
      <c r="AR404" s="8">
        <f t="shared" si="122"/>
        <v>347.04207658589252</v>
      </c>
      <c r="AS404" s="8">
        <f t="shared" si="123"/>
        <v>53.794196956012421</v>
      </c>
    </row>
    <row r="405" spans="1:45">
      <c r="A405" s="19">
        <v>17.250566670000001</v>
      </c>
      <c r="B405" s="19">
        <v>1119.0285040000001</v>
      </c>
      <c r="C405" s="19">
        <v>-122.3045841</v>
      </c>
      <c r="E405" s="9">
        <f t="shared" si="109"/>
        <v>159.02850400000011</v>
      </c>
      <c r="F405" s="9">
        <f t="shared" si="114"/>
        <v>417.6954159</v>
      </c>
      <c r="I405">
        <v>1</v>
      </c>
      <c r="J405">
        <f t="shared" si="110"/>
        <v>0.2878926661649841</v>
      </c>
      <c r="K405">
        <f t="shared" si="115"/>
        <v>1.2070129871793553</v>
      </c>
      <c r="O405">
        <f t="shared" si="116"/>
        <v>0.1010266498367877</v>
      </c>
      <c r="P405">
        <f t="shared" si="117"/>
        <v>0.26535097456843759</v>
      </c>
      <c r="Q405">
        <f t="shared" si="118"/>
        <v>0.95884434415515818</v>
      </c>
      <c r="R405">
        <f t="shared" si="108"/>
        <v>1</v>
      </c>
      <c r="AG405" s="8">
        <f t="shared" si="111"/>
        <v>0.57581079588949002</v>
      </c>
      <c r="AH405" s="8">
        <f t="shared" si="112"/>
        <v>-0.13205230825316741</v>
      </c>
      <c r="AI405" s="8">
        <f t="shared" si="113"/>
        <v>0.80684826034522905</v>
      </c>
      <c r="AJ405" s="8"/>
      <c r="AK405" s="8"/>
      <c r="AL405" s="8"/>
      <c r="AN405" s="8">
        <f t="shared" si="119"/>
        <v>1</v>
      </c>
      <c r="AO405" s="8">
        <f t="shared" si="120"/>
        <v>6.0577506797163601</v>
      </c>
      <c r="AP405" s="8">
        <f t="shared" si="121"/>
        <v>0.63199888817993843</v>
      </c>
      <c r="AQ405" s="8"/>
      <c r="AR405" s="8">
        <f t="shared" si="122"/>
        <v>347.08354729025314</v>
      </c>
      <c r="AS405" s="8">
        <f t="shared" si="123"/>
        <v>53.789131050329075</v>
      </c>
    </row>
    <row r="406" spans="1:45">
      <c r="A406" s="19">
        <v>17.28393333</v>
      </c>
      <c r="B406" s="19">
        <v>1120.094349</v>
      </c>
      <c r="C406" s="19">
        <v>-122.3122042</v>
      </c>
      <c r="E406" s="9">
        <f t="shared" si="109"/>
        <v>160.09434899999997</v>
      </c>
      <c r="F406" s="9">
        <f t="shared" si="114"/>
        <v>417.6877958</v>
      </c>
      <c r="I406">
        <v>1</v>
      </c>
      <c r="J406">
        <f t="shared" si="110"/>
        <v>0.28812204554115722</v>
      </c>
      <c r="K406">
        <f t="shared" si="115"/>
        <v>1.2047801110468763</v>
      </c>
      <c r="O406">
        <f t="shared" si="116"/>
        <v>0.10169760653641756</v>
      </c>
      <c r="P406">
        <f t="shared" si="117"/>
        <v>0.2653300967689492</v>
      </c>
      <c r="Q406">
        <f t="shared" si="118"/>
        <v>0.95877919072815931</v>
      </c>
      <c r="R406">
        <f t="shared" si="108"/>
        <v>1</v>
      </c>
      <c r="AG406" s="8">
        <f t="shared" si="111"/>
        <v>0.57599482994905604</v>
      </c>
      <c r="AH406" s="8">
        <f t="shared" si="112"/>
        <v>-0.13140396842906382</v>
      </c>
      <c r="AI406" s="8">
        <f t="shared" si="113"/>
        <v>0.8068227518811375</v>
      </c>
      <c r="AJ406" s="8"/>
      <c r="AK406" s="8"/>
      <c r="AL406" s="8"/>
      <c r="AN406" s="8">
        <f t="shared" si="119"/>
        <v>1</v>
      </c>
      <c r="AO406" s="8">
        <f t="shared" si="120"/>
        <v>6.05888994768228</v>
      </c>
      <c r="AP406" s="8">
        <f t="shared" si="121"/>
        <v>0.63204206606357682</v>
      </c>
      <c r="AQ406" s="8"/>
      <c r="AR406" s="8">
        <f t="shared" si="122"/>
        <v>347.14882253643481</v>
      </c>
      <c r="AS406" s="8">
        <f t="shared" si="123"/>
        <v>53.786657139828293</v>
      </c>
    </row>
    <row r="407" spans="1:45">
      <c r="A407" s="19">
        <v>17.317299999999999</v>
      </c>
      <c r="B407" s="19">
        <v>1120.976467</v>
      </c>
      <c r="C407" s="19">
        <v>-123.1745353</v>
      </c>
      <c r="E407" s="9">
        <f t="shared" si="109"/>
        <v>160.97646699999996</v>
      </c>
      <c r="F407" s="9">
        <f t="shared" si="114"/>
        <v>416.8254647</v>
      </c>
      <c r="I407">
        <v>1</v>
      </c>
      <c r="J407">
        <f t="shared" si="110"/>
        <v>0.28782208730073766</v>
      </c>
      <c r="K407">
        <f t="shared" si="115"/>
        <v>1.202246002894187</v>
      </c>
      <c r="O407">
        <f t="shared" si="116"/>
        <v>0.10226604032459451</v>
      </c>
      <c r="P407">
        <f t="shared" si="117"/>
        <v>0.26480323848409498</v>
      </c>
      <c r="Q407">
        <f t="shared" si="118"/>
        <v>0.95886438138282304</v>
      </c>
      <c r="R407">
        <f t="shared" si="108"/>
        <v>1</v>
      </c>
      <c r="AG407" s="8">
        <f t="shared" si="111"/>
        <v>0.57655807951455718</v>
      </c>
      <c r="AH407" s="8">
        <f t="shared" si="112"/>
        <v>-0.13098030186743498</v>
      </c>
      <c r="AI407" s="8">
        <f t="shared" si="113"/>
        <v>0.80648926928335585</v>
      </c>
      <c r="AJ407" s="8"/>
      <c r="AK407" s="8"/>
      <c r="AL407" s="8"/>
      <c r="AN407" s="8">
        <f t="shared" si="119"/>
        <v>1</v>
      </c>
      <c r="AO407" s="8">
        <f t="shared" si="120"/>
        <v>6.0598004475518348</v>
      </c>
      <c r="AP407" s="8">
        <f t="shared" si="121"/>
        <v>0.63260631420991997</v>
      </c>
      <c r="AQ407" s="8"/>
      <c r="AR407" s="8">
        <f t="shared" si="122"/>
        <v>347.2009903362075</v>
      </c>
      <c r="AS407" s="8">
        <f t="shared" si="123"/>
        <v>53.754328102444745</v>
      </c>
    </row>
    <row r="408" spans="1:45">
      <c r="A408" s="19">
        <v>17.350666669999999</v>
      </c>
      <c r="B408" s="19">
        <v>1121.4337169999999</v>
      </c>
      <c r="C408" s="19">
        <v>-123.5952959</v>
      </c>
      <c r="E408" s="9">
        <f t="shared" si="109"/>
        <v>161.43371699999989</v>
      </c>
      <c r="F408" s="9">
        <f t="shared" si="114"/>
        <v>416.4047041</v>
      </c>
      <c r="I408">
        <v>1</v>
      </c>
      <c r="J408">
        <f t="shared" si="110"/>
        <v>0.28768231251132248</v>
      </c>
      <c r="K408">
        <f t="shared" si="115"/>
        <v>1.2009514940766524</v>
      </c>
      <c r="O408">
        <f t="shared" si="116"/>
        <v>0.1025602975245614</v>
      </c>
      <c r="P408">
        <f t="shared" si="117"/>
        <v>0.26454566701900928</v>
      </c>
      <c r="Q408">
        <f t="shared" si="118"/>
        <v>0.95890404912751359</v>
      </c>
      <c r="R408">
        <f t="shared" si="108"/>
        <v>1</v>
      </c>
      <c r="AG408" s="8">
        <f t="shared" si="111"/>
        <v>0.57683733820266792</v>
      </c>
      <c r="AH408" s="8">
        <f t="shared" si="112"/>
        <v>-0.13075717329033526</v>
      </c>
      <c r="AI408" s="8">
        <f t="shared" si="113"/>
        <v>0.80632576970377312</v>
      </c>
      <c r="AJ408" s="8"/>
      <c r="AK408" s="8"/>
      <c r="AL408" s="8"/>
      <c r="AN408" s="8">
        <f t="shared" si="119"/>
        <v>1</v>
      </c>
      <c r="AO408" s="8">
        <f t="shared" si="120"/>
        <v>6.0602729117391432</v>
      </c>
      <c r="AP408" s="8">
        <f t="shared" si="121"/>
        <v>0.63288279473202214</v>
      </c>
      <c r="AQ408" s="8"/>
      <c r="AR408" s="8">
        <f t="shared" si="122"/>
        <v>347.22806054011136</v>
      </c>
      <c r="AS408" s="8">
        <f t="shared" si="123"/>
        <v>53.73848693541072</v>
      </c>
    </row>
    <row r="409" spans="1:45">
      <c r="A409" s="19">
        <v>17.384033330000001</v>
      </c>
      <c r="B409" s="19">
        <v>1121.781393</v>
      </c>
      <c r="C409" s="19">
        <v>-123.8111499</v>
      </c>
      <c r="E409" s="9">
        <f t="shared" si="109"/>
        <v>161.78139299999998</v>
      </c>
      <c r="F409" s="9">
        <f t="shared" si="114"/>
        <v>416.18885009999997</v>
      </c>
      <c r="I409">
        <v>1</v>
      </c>
      <c r="J409">
        <f t="shared" si="110"/>
        <v>0.28763596304068278</v>
      </c>
      <c r="K409">
        <f t="shared" si="115"/>
        <v>1.2000507819265596</v>
      </c>
      <c r="O409">
        <f t="shared" si="116"/>
        <v>0.10278243249950572</v>
      </c>
      <c r="P409">
        <f t="shared" si="117"/>
        <v>0.26441175711999304</v>
      </c>
      <c r="Q409">
        <f t="shared" si="118"/>
        <v>0.95891719885827598</v>
      </c>
      <c r="R409">
        <f t="shared" si="108"/>
        <v>1</v>
      </c>
      <c r="AG409" s="8">
        <f t="shared" si="111"/>
        <v>0.57699964858574671</v>
      </c>
      <c r="AH409" s="8">
        <f t="shared" si="112"/>
        <v>-0.13057377105718709</v>
      </c>
      <c r="AI409" s="8">
        <f t="shared" si="113"/>
        <v>0.80623935394139012</v>
      </c>
      <c r="AJ409" s="8"/>
      <c r="AK409" s="8"/>
      <c r="AL409" s="8"/>
      <c r="AN409" s="8">
        <f t="shared" si="119"/>
        <v>1</v>
      </c>
      <c r="AO409" s="8">
        <f t="shared" si="120"/>
        <v>6.0606359110206416</v>
      </c>
      <c r="AP409" s="8">
        <f t="shared" si="121"/>
        <v>0.63302888314297989</v>
      </c>
      <c r="AQ409" s="8"/>
      <c r="AR409" s="8">
        <f t="shared" si="122"/>
        <v>347.24885886690748</v>
      </c>
      <c r="AS409" s="8">
        <f t="shared" si="123"/>
        <v>53.730116686027067</v>
      </c>
    </row>
    <row r="410" spans="1:45">
      <c r="A410" s="19">
        <v>17.417400000000001</v>
      </c>
      <c r="B410" s="19">
        <v>1122.5183500000001</v>
      </c>
      <c r="C410" s="19">
        <v>-124.0379836</v>
      </c>
      <c r="E410" s="9">
        <f t="shared" si="109"/>
        <v>162.51835000000005</v>
      </c>
      <c r="F410" s="9">
        <f t="shared" si="114"/>
        <v>415.96201639999998</v>
      </c>
      <c r="I410">
        <v>1</v>
      </c>
      <c r="J410">
        <f t="shared" si="110"/>
        <v>0.28767053791653524</v>
      </c>
      <c r="K410">
        <f t="shared" si="115"/>
        <v>1.1983286598905905</v>
      </c>
      <c r="O410">
        <f t="shared" si="116"/>
        <v>0.103249694514344</v>
      </c>
      <c r="P410">
        <f t="shared" si="117"/>
        <v>0.26426524218877762</v>
      </c>
      <c r="Q410">
        <f t="shared" si="118"/>
        <v>0.95890738987328772</v>
      </c>
      <c r="R410">
        <f t="shared" si="108"/>
        <v>1</v>
      </c>
      <c r="AG410" s="8">
        <f t="shared" si="111"/>
        <v>0.57723278960882807</v>
      </c>
      <c r="AH410" s="8">
        <f t="shared" si="112"/>
        <v>-0.1301545826810212</v>
      </c>
      <c r="AI410" s="8">
        <f t="shared" si="113"/>
        <v>0.80614024289049113</v>
      </c>
      <c r="AJ410" s="8"/>
      <c r="AK410" s="8"/>
      <c r="AL410" s="8"/>
      <c r="AN410" s="8">
        <f t="shared" si="119"/>
        <v>1.0000000000000004</v>
      </c>
      <c r="AO410" s="8">
        <f t="shared" si="120"/>
        <v>6.0614138211893369</v>
      </c>
      <c r="AP410" s="8">
        <f t="shared" si="121"/>
        <v>0.63319639751565904</v>
      </c>
      <c r="AQ410" s="8"/>
      <c r="AR410" s="8">
        <f t="shared" si="122"/>
        <v>347.29342983641402</v>
      </c>
      <c r="AS410" s="8">
        <f t="shared" si="123"/>
        <v>53.720518819464772</v>
      </c>
    </row>
    <row r="411" spans="1:45">
      <c r="A411" s="19">
        <v>17.45076667</v>
      </c>
      <c r="B411" s="19">
        <v>1123.2488760000001</v>
      </c>
      <c r="C411" s="19">
        <v>-124.2266644</v>
      </c>
      <c r="E411" s="9">
        <f t="shared" si="109"/>
        <v>163.24887600000011</v>
      </c>
      <c r="F411" s="9">
        <f t="shared" si="114"/>
        <v>415.7733356</v>
      </c>
      <c r="I411">
        <v>1</v>
      </c>
      <c r="J411">
        <f t="shared" si="110"/>
        <v>0.28772631017074812</v>
      </c>
      <c r="K411">
        <f t="shared" si="115"/>
        <v>1.1966515989102835</v>
      </c>
      <c r="O411">
        <f t="shared" si="116"/>
        <v>0.10371228371713836</v>
      </c>
      <c r="P411">
        <f t="shared" si="117"/>
        <v>0.26414149487784616</v>
      </c>
      <c r="Q411">
        <f t="shared" si="118"/>
        <v>0.95889156471932346</v>
      </c>
      <c r="R411">
        <f t="shared" ref="R411:R474" si="124">SQRT(O411^2+P411^2+Q411^2)</f>
        <v>1</v>
      </c>
      <c r="AG411" s="8">
        <f t="shared" si="111"/>
        <v>0.57744638105778545</v>
      </c>
      <c r="AH411" s="8">
        <f t="shared" si="112"/>
        <v>-0.12973426298733257</v>
      </c>
      <c r="AI411" s="8">
        <f t="shared" si="113"/>
        <v>0.80605502170162091</v>
      </c>
      <c r="AJ411" s="8"/>
      <c r="AK411" s="8"/>
      <c r="AL411" s="8"/>
      <c r="AN411" s="8">
        <f t="shared" si="119"/>
        <v>1</v>
      </c>
      <c r="AO411" s="8">
        <f t="shared" si="120"/>
        <v>6.0621860003633792</v>
      </c>
      <c r="AP411" s="8">
        <f t="shared" si="121"/>
        <v>0.63334040511918177</v>
      </c>
      <c r="AQ411" s="8"/>
      <c r="AR411" s="8">
        <f t="shared" si="122"/>
        <v>347.33767244411456</v>
      </c>
      <c r="AS411" s="8">
        <f t="shared" si="123"/>
        <v>53.712267791565125</v>
      </c>
    </row>
    <row r="412" spans="1:45">
      <c r="A412" s="19">
        <v>17.484133329999999</v>
      </c>
      <c r="B412" s="19">
        <v>1123.696927</v>
      </c>
      <c r="C412" s="19">
        <v>-124.4125367</v>
      </c>
      <c r="E412" s="9">
        <f t="shared" si="109"/>
        <v>163.69692699999996</v>
      </c>
      <c r="F412" s="9">
        <f t="shared" si="114"/>
        <v>415.58746329999997</v>
      </c>
      <c r="I412">
        <v>1</v>
      </c>
      <c r="J412">
        <f t="shared" si="110"/>
        <v>0.28772077918234801</v>
      </c>
      <c r="K412">
        <f t="shared" si="115"/>
        <v>1.1955658027593334</v>
      </c>
      <c r="O412">
        <f t="shared" si="116"/>
        <v>0.10399708263445455</v>
      </c>
      <c r="P412">
        <f t="shared" si="117"/>
        <v>0.26402379418309702</v>
      </c>
      <c r="Q412">
        <f t="shared" si="118"/>
        <v>0.95889313424838118</v>
      </c>
      <c r="R412">
        <f t="shared" si="124"/>
        <v>1</v>
      </c>
      <c r="AG412" s="8">
        <f t="shared" si="111"/>
        <v>0.5776109947023178</v>
      </c>
      <c r="AH412" s="8">
        <f t="shared" si="112"/>
        <v>-0.12948569088732637</v>
      </c>
      <c r="AI412" s="8">
        <f t="shared" si="113"/>
        <v>0.80597704350336852</v>
      </c>
      <c r="AJ412" s="8"/>
      <c r="AK412" s="8"/>
      <c r="AL412" s="8"/>
      <c r="AN412" s="8">
        <f t="shared" si="119"/>
        <v>1</v>
      </c>
      <c r="AO412" s="8">
        <f t="shared" si="120"/>
        <v>6.0626566687631724</v>
      </c>
      <c r="AP412" s="8">
        <f t="shared" si="121"/>
        <v>0.63347214870469193</v>
      </c>
      <c r="AQ412" s="8"/>
      <c r="AR412" s="8">
        <f t="shared" si="122"/>
        <v>347.36463975697291</v>
      </c>
      <c r="AS412" s="8">
        <f t="shared" si="123"/>
        <v>53.704719440137474</v>
      </c>
    </row>
    <row r="413" spans="1:45">
      <c r="A413" s="19">
        <v>17.517499999999998</v>
      </c>
      <c r="B413" s="19">
        <v>1124.4633020000001</v>
      </c>
      <c r="C413" s="19">
        <v>-124.9536892</v>
      </c>
      <c r="E413" s="9">
        <f t="shared" si="109"/>
        <v>164.46330200000011</v>
      </c>
      <c r="F413" s="9">
        <f t="shared" si="114"/>
        <v>415.04631080000001</v>
      </c>
      <c r="I413">
        <v>1</v>
      </c>
      <c r="J413">
        <f t="shared" si="110"/>
        <v>0.28758449915266093</v>
      </c>
      <c r="K413">
        <f t="shared" si="115"/>
        <v>1.1935243810186684</v>
      </c>
      <c r="O413">
        <f t="shared" si="116"/>
        <v>0.10448770861052505</v>
      </c>
      <c r="P413">
        <f t="shared" si="117"/>
        <v>0.26368945202586153</v>
      </c>
      <c r="Q413">
        <f t="shared" si="118"/>
        <v>0.95893179717830968</v>
      </c>
      <c r="R413">
        <f t="shared" si="124"/>
        <v>1</v>
      </c>
      <c r="AG413" s="8">
        <f t="shared" si="111"/>
        <v>0.57799960473015277</v>
      </c>
      <c r="AH413" s="8">
        <f t="shared" si="112"/>
        <v>-0.12908984120926378</v>
      </c>
      <c r="AI413" s="8">
        <f t="shared" si="113"/>
        <v>0.80576191882488091</v>
      </c>
      <c r="AJ413" s="8"/>
      <c r="AK413" s="8"/>
      <c r="AL413" s="8"/>
      <c r="AN413" s="8">
        <f t="shared" si="119"/>
        <v>0.99999999999999978</v>
      </c>
      <c r="AO413" s="8">
        <f t="shared" si="120"/>
        <v>6.0634524104187069</v>
      </c>
      <c r="AP413" s="8">
        <f t="shared" si="121"/>
        <v>0.63383547778792571</v>
      </c>
      <c r="AQ413" s="8"/>
      <c r="AR413" s="8">
        <f t="shared" si="122"/>
        <v>347.41023239541778</v>
      </c>
      <c r="AS413" s="8">
        <f t="shared" si="123"/>
        <v>53.683902217093824</v>
      </c>
    </row>
    <row r="414" spans="1:45">
      <c r="A414" s="19">
        <v>17.550866670000001</v>
      </c>
      <c r="B414" s="19">
        <v>1125.1025850000001</v>
      </c>
      <c r="C414" s="19">
        <v>-125.2081214</v>
      </c>
      <c r="E414" s="9">
        <f t="shared" si="109"/>
        <v>165.10258500000009</v>
      </c>
      <c r="F414" s="9">
        <f t="shared" si="114"/>
        <v>414.79187860000002</v>
      </c>
      <c r="I414">
        <v>1</v>
      </c>
      <c r="J414">
        <f t="shared" si="110"/>
        <v>0.28758418818381459</v>
      </c>
      <c r="K414">
        <f t="shared" si="115"/>
        <v>1.1919831899757316</v>
      </c>
      <c r="O414">
        <f t="shared" si="116"/>
        <v>0.10489386989902991</v>
      </c>
      <c r="P414">
        <f t="shared" si="117"/>
        <v>0.26352782634531474</v>
      </c>
      <c r="Q414">
        <f t="shared" si="118"/>
        <v>0.95893188538045759</v>
      </c>
      <c r="R414">
        <f t="shared" si="124"/>
        <v>1</v>
      </c>
      <c r="AG414" s="8">
        <f t="shared" si="111"/>
        <v>0.57822906465341228</v>
      </c>
      <c r="AH414" s="8">
        <f t="shared" si="112"/>
        <v>-0.12873368440922967</v>
      </c>
      <c r="AI414" s="8">
        <f t="shared" si="113"/>
        <v>0.8056542603924246</v>
      </c>
      <c r="AJ414" s="8"/>
      <c r="AK414" s="8"/>
      <c r="AL414" s="8"/>
      <c r="AN414" s="8">
        <f t="shared" si="119"/>
        <v>0.99999999999999989</v>
      </c>
      <c r="AO414" s="8">
        <f t="shared" si="120"/>
        <v>6.0641236086011707</v>
      </c>
      <c r="AP414" s="8">
        <f t="shared" si="121"/>
        <v>0.63401723720652992</v>
      </c>
      <c r="AQ414" s="8"/>
      <c r="AR414" s="8">
        <f t="shared" si="122"/>
        <v>347.44868921848979</v>
      </c>
      <c r="AS414" s="8">
        <f t="shared" si="123"/>
        <v>53.67348816952105</v>
      </c>
    </row>
    <row r="415" spans="1:45">
      <c r="A415" s="19">
        <v>17.58423333</v>
      </c>
      <c r="B415" s="19">
        <v>1125.8519269999999</v>
      </c>
      <c r="C415" s="19">
        <v>-125.6752929</v>
      </c>
      <c r="E415" s="9">
        <f t="shared" si="109"/>
        <v>165.85192699999993</v>
      </c>
      <c r="F415" s="9">
        <f t="shared" si="114"/>
        <v>414.32470710000001</v>
      </c>
      <c r="I415">
        <v>1</v>
      </c>
      <c r="J415">
        <f t="shared" si="110"/>
        <v>0.2874882376335291</v>
      </c>
      <c r="K415">
        <f t="shared" si="115"/>
        <v>1.1900360430406185</v>
      </c>
      <c r="O415">
        <f t="shared" si="116"/>
        <v>0.10537260428105326</v>
      </c>
      <c r="P415">
        <f t="shared" si="117"/>
        <v>0.26323766141777555</v>
      </c>
      <c r="Q415">
        <f t="shared" si="118"/>
        <v>0.95895909604024776</v>
      </c>
      <c r="R415">
        <f t="shared" si="124"/>
        <v>1</v>
      </c>
      <c r="AG415" s="8">
        <f t="shared" si="111"/>
        <v>0.57857898058197255</v>
      </c>
      <c r="AH415" s="8">
        <f t="shared" si="112"/>
        <v>-0.12833836879140195</v>
      </c>
      <c r="AI415" s="8">
        <f t="shared" si="113"/>
        <v>0.80546609259775026</v>
      </c>
      <c r="AJ415" s="8"/>
      <c r="AK415" s="8"/>
      <c r="AL415" s="8"/>
      <c r="AN415" s="8">
        <f t="shared" si="119"/>
        <v>1</v>
      </c>
      <c r="AO415" s="8">
        <f t="shared" si="120"/>
        <v>6.0649030167614448</v>
      </c>
      <c r="AP415" s="8">
        <f t="shared" si="121"/>
        <v>0.63433481250445367</v>
      </c>
      <c r="AQ415" s="8"/>
      <c r="AR415" s="8">
        <f t="shared" si="122"/>
        <v>347.49334601659154</v>
      </c>
      <c r="AS415" s="8">
        <f t="shared" si="123"/>
        <v>53.655292445272408</v>
      </c>
    </row>
    <row r="416" spans="1:45">
      <c r="A416" s="19">
        <v>17.617599999999999</v>
      </c>
      <c r="B416" s="19">
        <v>1126.6697879999999</v>
      </c>
      <c r="C416" s="19">
        <v>-125.42418979999999</v>
      </c>
      <c r="E416" s="9">
        <f t="shared" ref="E416:E479" si="125">(B416-($B$15/2))</f>
        <v>166.66978799999993</v>
      </c>
      <c r="F416" s="9">
        <f t="shared" si="114"/>
        <v>414.57581019999998</v>
      </c>
      <c r="I416">
        <v>1</v>
      </c>
      <c r="J416">
        <f t="shared" ref="J416:J479" si="126">ATAN((SQRT(E416^2+F416^2)^$B$16)/($F$24))</f>
        <v>0.28781866882654966</v>
      </c>
      <c r="K416">
        <f t="shared" si="115"/>
        <v>1.1885455880955573</v>
      </c>
      <c r="O416">
        <f t="shared" si="116"/>
        <v>0.10588302077958174</v>
      </c>
      <c r="P416">
        <f t="shared" si="117"/>
        <v>0.26337430228277819</v>
      </c>
      <c r="Q416">
        <f t="shared" si="118"/>
        <v>0.95886535176095</v>
      </c>
      <c r="R416">
        <f t="shared" si="124"/>
        <v>1</v>
      </c>
      <c r="AG416" s="8">
        <f t="shared" ref="AG416:AG479" si="127">$O416*$Z$27+$P416*$Z$31+$Q416*$Z$35</f>
        <v>0.57859540640664564</v>
      </c>
      <c r="AH416" s="8">
        <f t="shared" ref="AH416:AH479" si="128">$O416*$AA$27+$P416*$AA$31+$Q416*$AA$35</f>
        <v>-0.1278069285117015</v>
      </c>
      <c r="AI416" s="8">
        <f t="shared" ref="AI416:AI479" si="129">$AB$27*$O416+$P416*$AB$31+$AB$35*$Q416</f>
        <v>0.80553879156098585</v>
      </c>
      <c r="AJ416" s="8"/>
      <c r="AK416" s="8"/>
      <c r="AL416" s="8"/>
      <c r="AN416" s="8">
        <f t="shared" si="119"/>
        <v>1</v>
      </c>
      <c r="AO416" s="8">
        <f t="shared" si="120"/>
        <v>6.0657846181886148</v>
      </c>
      <c r="AP416" s="8">
        <f t="shared" si="121"/>
        <v>0.63421213297467038</v>
      </c>
      <c r="AQ416" s="8"/>
      <c r="AR416" s="8">
        <f t="shared" si="122"/>
        <v>347.54385805758113</v>
      </c>
      <c r="AS416" s="8">
        <f t="shared" si="123"/>
        <v>53.662321464561636</v>
      </c>
    </row>
    <row r="417" spans="1:45">
      <c r="A417" s="19">
        <v>17.650966669999999</v>
      </c>
      <c r="B417" s="19">
        <v>1127.291647</v>
      </c>
      <c r="C417" s="19">
        <v>-125.8796524</v>
      </c>
      <c r="E417" s="9">
        <f t="shared" si="125"/>
        <v>167.29164700000001</v>
      </c>
      <c r="F417" s="9">
        <f t="shared" ref="F417:F480" si="130">(($C$15/2)+C417)</f>
        <v>414.1203476</v>
      </c>
      <c r="I417">
        <v>1</v>
      </c>
      <c r="J417">
        <f t="shared" si="126"/>
        <v>0.28770187993681878</v>
      </c>
      <c r="K417">
        <f t="shared" ref="K417:K480" si="131">ATAN2(E417,F417)</f>
        <v>1.1868733693711879</v>
      </c>
      <c r="O417">
        <f t="shared" ref="O417:O480" si="132">COS(K417)*SIN(J417)</f>
        <v>0.10628134613348501</v>
      </c>
      <c r="P417">
        <f t="shared" ref="P417:P480" si="133">SIN(K417)*SIN(J417)</f>
        <v>0.26309304016951152</v>
      </c>
      <c r="Q417">
        <f t="shared" ref="Q417:Q480" si="134">COS(J417)</f>
        <v>0.95889849706755625</v>
      </c>
      <c r="R417">
        <f t="shared" si="124"/>
        <v>1</v>
      </c>
      <c r="AG417" s="8">
        <f t="shared" si="127"/>
        <v>0.57891806713834115</v>
      </c>
      <c r="AH417" s="8">
        <f t="shared" si="128"/>
        <v>-0.1274877016294419</v>
      </c>
      <c r="AI417" s="8">
        <f t="shared" si="129"/>
        <v>0.80535753394008158</v>
      </c>
      <c r="AJ417" s="8"/>
      <c r="AK417" s="8"/>
      <c r="AL417" s="8"/>
      <c r="AN417" s="8">
        <f t="shared" ref="AN417:AN480" si="135">AG417^2+AH417^2+AI417^2</f>
        <v>1.0000000000000002</v>
      </c>
      <c r="AO417" s="8">
        <f t="shared" ref="AO417:AO480" si="136">IF(ATAN2(AG417,AH417)&gt;=0,ATAN2(AG417,AH417),ATAN2(AG417,AH417)+2*PI())</f>
        <v>6.0664278621174486</v>
      </c>
      <c r="AP417" s="8">
        <f t="shared" ref="AP417:AP480" si="137">ACOS(AI417/AN417)</f>
        <v>0.63451796721515796</v>
      </c>
      <c r="AQ417" s="8"/>
      <c r="AR417" s="8">
        <f t="shared" ref="AR417:AR480" si="138">DEGREES(AO417)</f>
        <v>347.5807132199007</v>
      </c>
      <c r="AS417" s="8">
        <f t="shared" ref="AS417:AS480" si="139">90-DEGREES(AP417)</f>
        <v>53.644798453351115</v>
      </c>
    </row>
    <row r="418" spans="1:45">
      <c r="A418" s="19">
        <v>17.684333330000001</v>
      </c>
      <c r="B418" s="19">
        <v>1127.6253569999999</v>
      </c>
      <c r="C418" s="19">
        <v>-126.0747241</v>
      </c>
      <c r="E418" s="9">
        <f t="shared" si="125"/>
        <v>167.62535699999989</v>
      </c>
      <c r="F418" s="9">
        <f t="shared" si="130"/>
        <v>413.92527589999997</v>
      </c>
      <c r="I418">
        <v>1</v>
      </c>
      <c r="J418">
        <f t="shared" si="126"/>
        <v>0.28766763444846022</v>
      </c>
      <c r="K418">
        <f t="shared" si="131"/>
        <v>1.1860168952785715</v>
      </c>
      <c r="O418">
        <f t="shared" si="132"/>
        <v>0.106494313557082</v>
      </c>
      <c r="P418">
        <f t="shared" si="133"/>
        <v>0.26297147943372501</v>
      </c>
      <c r="Q418">
        <f t="shared" si="134"/>
        <v>0.95890821363905521</v>
      </c>
      <c r="R418">
        <f t="shared" si="124"/>
        <v>1</v>
      </c>
      <c r="AG418" s="8">
        <f t="shared" si="127"/>
        <v>0.57906748232207661</v>
      </c>
      <c r="AH418" s="8">
        <f t="shared" si="128"/>
        <v>-0.12730989892946218</v>
      </c>
      <c r="AI418" s="8">
        <f t="shared" si="129"/>
        <v>0.80527823797228104</v>
      </c>
      <c r="AJ418" s="8"/>
      <c r="AK418" s="8"/>
      <c r="AL418" s="8"/>
      <c r="AN418" s="8">
        <f t="shared" si="135"/>
        <v>1</v>
      </c>
      <c r="AO418" s="8">
        <f t="shared" si="136"/>
        <v>6.0667749306941703</v>
      </c>
      <c r="AP418" s="8">
        <f t="shared" si="137"/>
        <v>0.63465172258818336</v>
      </c>
      <c r="AQ418" s="8"/>
      <c r="AR418" s="8">
        <f t="shared" si="138"/>
        <v>347.60059878454848</v>
      </c>
      <c r="AS418" s="8">
        <f t="shared" si="139"/>
        <v>53.63713483498956</v>
      </c>
    </row>
    <row r="419" spans="1:45">
      <c r="A419" s="19">
        <v>17.717700000000001</v>
      </c>
      <c r="B419" s="19">
        <v>1128.34449</v>
      </c>
      <c r="C419" s="19">
        <v>-126.95257479999999</v>
      </c>
      <c r="E419" s="9">
        <f t="shared" si="125"/>
        <v>168.34448999999995</v>
      </c>
      <c r="F419" s="9">
        <f t="shared" si="130"/>
        <v>413.04742520000002</v>
      </c>
      <c r="I419">
        <v>1</v>
      </c>
      <c r="J419">
        <f t="shared" si="126"/>
        <v>0.28733406047301285</v>
      </c>
      <c r="K419">
        <f t="shared" si="131"/>
        <v>1.1837837632297086</v>
      </c>
      <c r="O419">
        <f t="shared" si="132"/>
        <v>0.10696056632174412</v>
      </c>
      <c r="P419">
        <f t="shared" si="133"/>
        <v>0.26243678374700746</v>
      </c>
      <c r="Q419">
        <f t="shared" si="134"/>
        <v>0.95900280071992394</v>
      </c>
      <c r="R419">
        <f t="shared" si="124"/>
        <v>1</v>
      </c>
      <c r="AG419" s="8">
        <f t="shared" si="127"/>
        <v>0.57960891131007997</v>
      </c>
      <c r="AH419" s="8">
        <f t="shared" si="128"/>
        <v>-0.12698667547823025</v>
      </c>
      <c r="AI419" s="8">
        <f t="shared" si="129"/>
        <v>0.80493968356699286</v>
      </c>
      <c r="AJ419" s="8"/>
      <c r="AK419" s="8"/>
      <c r="AL419" s="8"/>
      <c r="AN419" s="8">
        <f t="shared" si="135"/>
        <v>1</v>
      </c>
      <c r="AO419" s="8">
        <f t="shared" si="136"/>
        <v>6.0675028951614429</v>
      </c>
      <c r="AP419" s="8">
        <f t="shared" si="137"/>
        <v>0.63522251850922995</v>
      </c>
      <c r="AQ419" s="8"/>
      <c r="AR419" s="8">
        <f t="shared" si="138"/>
        <v>347.64230807615866</v>
      </c>
      <c r="AS419" s="8">
        <f t="shared" si="139"/>
        <v>53.604430637750305</v>
      </c>
    </row>
    <row r="420" spans="1:45">
      <c r="A420" s="19">
        <v>17.75106667</v>
      </c>
      <c r="B420" s="19">
        <v>1128.6455880000001</v>
      </c>
      <c r="C420" s="19">
        <v>-127.052221</v>
      </c>
      <c r="E420" s="9">
        <f t="shared" si="125"/>
        <v>168.64558800000009</v>
      </c>
      <c r="F420" s="9">
        <f t="shared" si="130"/>
        <v>412.94777899999997</v>
      </c>
      <c r="I420">
        <v>1</v>
      </c>
      <c r="J420">
        <f t="shared" si="126"/>
        <v>0.28734726472784455</v>
      </c>
      <c r="K420">
        <f t="shared" si="131"/>
        <v>1.1830743525900409</v>
      </c>
      <c r="O420">
        <f t="shared" si="132"/>
        <v>0.10715150243041685</v>
      </c>
      <c r="P420">
        <f t="shared" si="133"/>
        <v>0.26237256171299134</v>
      </c>
      <c r="Q420">
        <f t="shared" si="134"/>
        <v>0.95899905859550605</v>
      </c>
      <c r="R420">
        <f t="shared" si="124"/>
        <v>1</v>
      </c>
      <c r="AG420" s="8">
        <f t="shared" si="127"/>
        <v>0.57970697748572753</v>
      </c>
      <c r="AH420" s="8">
        <f t="shared" si="128"/>
        <v>-0.12681619214894951</v>
      </c>
      <c r="AI420" s="8">
        <f t="shared" si="129"/>
        <v>0.80489593964884854</v>
      </c>
      <c r="AJ420" s="8"/>
      <c r="AK420" s="8"/>
      <c r="AL420" s="8"/>
      <c r="AN420" s="8">
        <f t="shared" si="135"/>
        <v>0.99999999999999989</v>
      </c>
      <c r="AO420" s="8">
        <f t="shared" si="136"/>
        <v>6.0678188975613665</v>
      </c>
      <c r="AP420" s="8">
        <f t="shared" si="137"/>
        <v>0.63529623763156939</v>
      </c>
      <c r="AQ420" s="8"/>
      <c r="AR420" s="8">
        <f t="shared" si="138"/>
        <v>347.66041367999031</v>
      </c>
      <c r="AS420" s="8">
        <f t="shared" si="139"/>
        <v>53.600206843170845</v>
      </c>
    </row>
    <row r="421" spans="1:45">
      <c r="A421" s="19">
        <v>17.784433329999999</v>
      </c>
      <c r="B421" s="19">
        <v>1129.5447859999999</v>
      </c>
      <c r="C421" s="19">
        <v>-127.07771459999999</v>
      </c>
      <c r="E421" s="9">
        <f t="shared" si="125"/>
        <v>169.54478599999993</v>
      </c>
      <c r="F421" s="9">
        <f t="shared" si="130"/>
        <v>412.92228540000002</v>
      </c>
      <c r="I421">
        <v>1</v>
      </c>
      <c r="J421">
        <f t="shared" si="126"/>
        <v>0.28754224489751579</v>
      </c>
      <c r="K421">
        <f t="shared" si="131"/>
        <v>1.1811878379880274</v>
      </c>
      <c r="O421">
        <f t="shared" si="132"/>
        <v>0.10771730120565597</v>
      </c>
      <c r="P421">
        <f t="shared" si="133"/>
        <v>0.26234291976964508</v>
      </c>
      <c r="Q421">
        <f t="shared" si="134"/>
        <v>0.95894378118203971</v>
      </c>
      <c r="R421">
        <f t="shared" si="124"/>
        <v>1</v>
      </c>
      <c r="AG421" s="8">
        <f t="shared" si="127"/>
        <v>0.5798691236926562</v>
      </c>
      <c r="AH421" s="8">
        <f t="shared" si="128"/>
        <v>-0.12627139775973989</v>
      </c>
      <c r="AI421" s="8">
        <f t="shared" si="129"/>
        <v>0.80486479205871142</v>
      </c>
      <c r="AJ421" s="8"/>
      <c r="AK421" s="8"/>
      <c r="AL421" s="8"/>
      <c r="AN421" s="8">
        <f t="shared" si="135"/>
        <v>1.0000000000000002</v>
      </c>
      <c r="AO421" s="8">
        <f t="shared" si="136"/>
        <v>6.0687740789257987</v>
      </c>
      <c r="AP421" s="8">
        <f t="shared" si="137"/>
        <v>0.63534872439038392</v>
      </c>
      <c r="AQ421" s="8"/>
      <c r="AR421" s="8">
        <f t="shared" si="138"/>
        <v>347.71514154084184</v>
      </c>
      <c r="AS421" s="8">
        <f t="shared" si="139"/>
        <v>53.597199573410457</v>
      </c>
    </row>
    <row r="422" spans="1:45">
      <c r="A422" s="19">
        <v>17.817799999999998</v>
      </c>
      <c r="B422" s="19">
        <v>1130.486343</v>
      </c>
      <c r="C422" s="19">
        <v>-127.262109</v>
      </c>
      <c r="E422" s="9">
        <f t="shared" si="125"/>
        <v>170.48634300000003</v>
      </c>
      <c r="F422" s="9">
        <f t="shared" si="130"/>
        <v>412.73789099999999</v>
      </c>
      <c r="I422">
        <v>1</v>
      </c>
      <c r="J422">
        <f t="shared" si="126"/>
        <v>0.28765783776951637</v>
      </c>
      <c r="K422">
        <f t="shared" si="131"/>
        <v>1.1790805562620881</v>
      </c>
      <c r="O422">
        <f t="shared" si="132"/>
        <v>0.10831220996210031</v>
      </c>
      <c r="P422">
        <f t="shared" si="133"/>
        <v>0.26221779599851264</v>
      </c>
      <c r="Q422">
        <f t="shared" si="134"/>
        <v>0.95891099307224981</v>
      </c>
      <c r="R422">
        <f t="shared" si="124"/>
        <v>1</v>
      </c>
      <c r="AG422" s="8">
        <f t="shared" si="127"/>
        <v>0.58011435869706574</v>
      </c>
      <c r="AH422" s="8">
        <f t="shared" si="128"/>
        <v>-0.12572158958357799</v>
      </c>
      <c r="AI422" s="8">
        <f t="shared" si="129"/>
        <v>0.80477413772192674</v>
      </c>
      <c r="AJ422" s="8"/>
      <c r="AK422" s="8"/>
      <c r="AL422" s="8"/>
      <c r="AN422" s="8">
        <f t="shared" si="135"/>
        <v>1.0000000000000002</v>
      </c>
      <c r="AO422" s="8">
        <f t="shared" si="136"/>
        <v>6.0697670313752781</v>
      </c>
      <c r="AP422" s="8">
        <f t="shared" si="137"/>
        <v>0.63550146462469781</v>
      </c>
      <c r="AQ422" s="8"/>
      <c r="AR422" s="8">
        <f t="shared" si="138"/>
        <v>347.77203352545416</v>
      </c>
      <c r="AS422" s="8">
        <f t="shared" si="139"/>
        <v>53.58844820262243</v>
      </c>
    </row>
    <row r="423" spans="1:45">
      <c r="A423" s="19">
        <v>17.851166670000001</v>
      </c>
      <c r="B423" s="19">
        <v>1131.1927920000001</v>
      </c>
      <c r="C423" s="19">
        <v>-127.73627860000001</v>
      </c>
      <c r="E423" s="9">
        <f t="shared" si="125"/>
        <v>171.19279200000005</v>
      </c>
      <c r="F423" s="9">
        <f t="shared" si="130"/>
        <v>412.26372140000001</v>
      </c>
      <c r="I423">
        <v>1</v>
      </c>
      <c r="J423">
        <f t="shared" si="126"/>
        <v>0.28755470775771258</v>
      </c>
      <c r="K423">
        <f t="shared" si="131"/>
        <v>1.1772123317446257</v>
      </c>
      <c r="O423">
        <f t="shared" si="132"/>
        <v>0.10876397643783349</v>
      </c>
      <c r="P423">
        <f t="shared" si="133"/>
        <v>0.26192365435878356</v>
      </c>
      <c r="Q423">
        <f t="shared" si="134"/>
        <v>0.95894024668733713</v>
      </c>
      <c r="R423">
        <f t="shared" si="124"/>
        <v>1</v>
      </c>
      <c r="AG423" s="8">
        <f t="shared" si="127"/>
        <v>0.58045933758978896</v>
      </c>
      <c r="AH423" s="8">
        <f t="shared" si="128"/>
        <v>-0.12535298061022437</v>
      </c>
      <c r="AI423" s="8">
        <f t="shared" si="129"/>
        <v>0.80458286562476355</v>
      </c>
      <c r="AJ423" s="8"/>
      <c r="AK423" s="8"/>
      <c r="AL423" s="8"/>
      <c r="AN423" s="8">
        <f t="shared" si="135"/>
        <v>1.0000000000000002</v>
      </c>
      <c r="AO423" s="8">
        <f t="shared" si="136"/>
        <v>6.0704967112988033</v>
      </c>
      <c r="AP423" s="8">
        <f t="shared" si="137"/>
        <v>0.6358236283851183</v>
      </c>
      <c r="AQ423" s="8"/>
      <c r="AR423" s="8">
        <f t="shared" si="138"/>
        <v>347.81384110546759</v>
      </c>
      <c r="AS423" s="8">
        <f t="shared" si="139"/>
        <v>53.569989578838268</v>
      </c>
    </row>
    <row r="424" spans="1:45">
      <c r="A424" s="19">
        <v>17.88453333</v>
      </c>
      <c r="B424" s="19">
        <v>1131.640228</v>
      </c>
      <c r="C424" s="19">
        <v>-127.939268</v>
      </c>
      <c r="E424" s="9">
        <f t="shared" si="125"/>
        <v>171.64022799999998</v>
      </c>
      <c r="F424" s="9">
        <f t="shared" si="130"/>
        <v>412.06073200000003</v>
      </c>
      <c r="I424">
        <v>1</v>
      </c>
      <c r="J424">
        <f t="shared" si="126"/>
        <v>0.28754511384806108</v>
      </c>
      <c r="K424">
        <f t="shared" si="131"/>
        <v>1.1761122089038356</v>
      </c>
      <c r="O424">
        <f t="shared" si="132"/>
        <v>0.10904852120502211</v>
      </c>
      <c r="P424">
        <f t="shared" si="133"/>
        <v>0.26179534946352395</v>
      </c>
      <c r="Q424">
        <f t="shared" si="134"/>
        <v>0.95894296755452002</v>
      </c>
      <c r="R424">
        <f t="shared" si="124"/>
        <v>1</v>
      </c>
      <c r="AG424" s="8">
        <f t="shared" si="127"/>
        <v>0.58063105470786192</v>
      </c>
      <c r="AH424" s="8">
        <f t="shared" si="128"/>
        <v>-0.12510676133727788</v>
      </c>
      <c r="AI424" s="8">
        <f t="shared" si="129"/>
        <v>0.80449728189505598</v>
      </c>
      <c r="AJ424" s="8"/>
      <c r="AK424" s="8"/>
      <c r="AL424" s="8"/>
      <c r="AN424" s="8">
        <f t="shared" si="135"/>
        <v>0.99999999999999989</v>
      </c>
      <c r="AO424" s="8">
        <f t="shared" si="136"/>
        <v>6.0709629387426176</v>
      </c>
      <c r="AP424" s="8">
        <f t="shared" si="137"/>
        <v>0.63596773339536672</v>
      </c>
      <c r="AQ424" s="8"/>
      <c r="AR424" s="8">
        <f t="shared" si="138"/>
        <v>347.8405539702913</v>
      </c>
      <c r="AS424" s="8">
        <f t="shared" si="139"/>
        <v>53.561732969944345</v>
      </c>
    </row>
    <row r="425" spans="1:45">
      <c r="A425" s="19">
        <v>17.917899999999999</v>
      </c>
      <c r="B425" s="19">
        <v>1132.3770649999999</v>
      </c>
      <c r="C425" s="19">
        <v>-128.23265140000001</v>
      </c>
      <c r="E425" s="9">
        <f t="shared" si="125"/>
        <v>172.3770649999999</v>
      </c>
      <c r="F425" s="9">
        <f t="shared" si="130"/>
        <v>411.76734859999999</v>
      </c>
      <c r="I425">
        <v>1</v>
      </c>
      <c r="J425">
        <f t="shared" si="126"/>
        <v>0.28755323006095335</v>
      </c>
      <c r="K425">
        <f t="shared" si="131"/>
        <v>1.1743357478686351</v>
      </c>
      <c r="O425">
        <f t="shared" si="132"/>
        <v>0.1095164235715369</v>
      </c>
      <c r="P425">
        <f t="shared" si="133"/>
        <v>0.26160839530599</v>
      </c>
      <c r="Q425">
        <f t="shared" si="134"/>
        <v>0.95894066577318771</v>
      </c>
      <c r="R425">
        <f t="shared" si="124"/>
        <v>1</v>
      </c>
      <c r="AG425" s="8">
        <f t="shared" si="127"/>
        <v>0.58089409105445544</v>
      </c>
      <c r="AH425" s="8">
        <f t="shared" si="128"/>
        <v>-0.1246959105741729</v>
      </c>
      <c r="AI425" s="8">
        <f t="shared" si="129"/>
        <v>0.80437117356609433</v>
      </c>
      <c r="AJ425" s="8"/>
      <c r="AK425" s="8"/>
      <c r="AL425" s="8"/>
      <c r="AN425" s="8">
        <f t="shared" si="135"/>
        <v>1</v>
      </c>
      <c r="AO425" s="8">
        <f t="shared" si="136"/>
        <v>6.0717321976723326</v>
      </c>
      <c r="AP425" s="8">
        <f t="shared" si="137"/>
        <v>0.63618002206937463</v>
      </c>
      <c r="AQ425" s="8"/>
      <c r="AR425" s="8">
        <f t="shared" si="138"/>
        <v>347.88462926031673</v>
      </c>
      <c r="AS425" s="8">
        <f t="shared" si="139"/>
        <v>53.549569724885266</v>
      </c>
    </row>
    <row r="426" spans="1:45">
      <c r="A426" s="19">
        <v>17.951266669999999</v>
      </c>
      <c r="B426" s="19">
        <v>1133.147074</v>
      </c>
      <c r="C426" s="19">
        <v>-128.87485989999999</v>
      </c>
      <c r="E426" s="9">
        <f t="shared" si="125"/>
        <v>173.14707399999998</v>
      </c>
      <c r="F426" s="9">
        <f t="shared" si="130"/>
        <v>411.12514010000001</v>
      </c>
      <c r="I426">
        <v>1</v>
      </c>
      <c r="J426">
        <f t="shared" si="126"/>
        <v>0.28737247757475065</v>
      </c>
      <c r="K426">
        <f t="shared" si="131"/>
        <v>1.1721876221692911</v>
      </c>
      <c r="O426">
        <f t="shared" si="132"/>
        <v>0.11001086032783768</v>
      </c>
      <c r="P426">
        <f t="shared" si="133"/>
        <v>0.26121279049049245</v>
      </c>
      <c r="Q426">
        <f t="shared" si="134"/>
        <v>0.95899191273654605</v>
      </c>
      <c r="R426">
        <f t="shared" si="124"/>
        <v>1</v>
      </c>
      <c r="AG426" s="8">
        <f t="shared" si="127"/>
        <v>0.58132980470231388</v>
      </c>
      <c r="AH426" s="8">
        <f t="shared" si="128"/>
        <v>-0.12431035398058302</v>
      </c>
      <c r="AI426" s="8">
        <f t="shared" si="129"/>
        <v>0.80411603270796173</v>
      </c>
      <c r="AJ426" s="8"/>
      <c r="AK426" s="8"/>
      <c r="AL426" s="8"/>
      <c r="AN426" s="8">
        <f t="shared" si="135"/>
        <v>1</v>
      </c>
      <c r="AO426" s="8">
        <f t="shared" si="136"/>
        <v>6.0725201520057341</v>
      </c>
      <c r="AP426" s="8">
        <f t="shared" si="137"/>
        <v>0.6366093354900676</v>
      </c>
      <c r="AQ426" s="8"/>
      <c r="AR426" s="8">
        <f t="shared" si="138"/>
        <v>347.92977571806972</v>
      </c>
      <c r="AS426" s="8">
        <f t="shared" si="139"/>
        <v>53.524971877791231</v>
      </c>
    </row>
    <row r="427" spans="1:45">
      <c r="A427" s="19">
        <v>17.984633330000001</v>
      </c>
      <c r="B427" s="19">
        <v>1133.7948510000001</v>
      </c>
      <c r="C427" s="19">
        <v>-129.025305</v>
      </c>
      <c r="E427" s="9">
        <f t="shared" si="125"/>
        <v>173.79485100000011</v>
      </c>
      <c r="F427" s="9">
        <f t="shared" si="130"/>
        <v>410.974695</v>
      </c>
      <c r="I427">
        <v>1</v>
      </c>
      <c r="J427">
        <f t="shared" si="126"/>
        <v>0.28744210527211445</v>
      </c>
      <c r="K427">
        <f t="shared" si="131"/>
        <v>1.1707188439326794</v>
      </c>
      <c r="O427">
        <f t="shared" si="132"/>
        <v>0.11042041208238793</v>
      </c>
      <c r="P427">
        <f t="shared" si="133"/>
        <v>0.2611124260369122</v>
      </c>
      <c r="Q427">
        <f t="shared" si="134"/>
        <v>0.95897217559461745</v>
      </c>
      <c r="R427">
        <f t="shared" si="124"/>
        <v>1</v>
      </c>
      <c r="AG427" s="8">
        <f t="shared" si="127"/>
        <v>0.58150921642559361</v>
      </c>
      <c r="AH427" s="8">
        <f t="shared" si="128"/>
        <v>-0.12393505149767842</v>
      </c>
      <c r="AI427" s="8">
        <f t="shared" si="129"/>
        <v>0.80404423648351597</v>
      </c>
      <c r="AJ427" s="8"/>
      <c r="AK427" s="8"/>
      <c r="AL427" s="8"/>
      <c r="AN427" s="8">
        <f t="shared" si="135"/>
        <v>1.0000000000000002</v>
      </c>
      <c r="AO427" s="8">
        <f t="shared" si="136"/>
        <v>6.0732005135319449</v>
      </c>
      <c r="AP427" s="8">
        <f t="shared" si="137"/>
        <v>0.63673009864744456</v>
      </c>
      <c r="AQ427" s="8"/>
      <c r="AR427" s="8">
        <f t="shared" si="138"/>
        <v>347.96875756206464</v>
      </c>
      <c r="AS427" s="8">
        <f t="shared" si="139"/>
        <v>53.518052658552861</v>
      </c>
    </row>
    <row r="428" spans="1:45">
      <c r="A428" s="19">
        <v>18.018000000000001</v>
      </c>
      <c r="B428" s="19">
        <v>1134.3611800000001</v>
      </c>
      <c r="C428" s="19">
        <v>-129.15429810000001</v>
      </c>
      <c r="E428" s="9">
        <f t="shared" si="125"/>
        <v>174.3611800000001</v>
      </c>
      <c r="F428" s="9">
        <f t="shared" si="130"/>
        <v>410.84570189999999</v>
      </c>
      <c r="I428">
        <v>1</v>
      </c>
      <c r="J428">
        <f t="shared" si="126"/>
        <v>0.28750489575095234</v>
      </c>
      <c r="K428">
        <f t="shared" si="131"/>
        <v>1.1694375747943675</v>
      </c>
      <c r="O428">
        <f t="shared" si="132"/>
        <v>0.11077840032741364</v>
      </c>
      <c r="P428">
        <f t="shared" si="133"/>
        <v>0.26102616211862872</v>
      </c>
      <c r="Q428">
        <f t="shared" si="134"/>
        <v>0.95895437259054128</v>
      </c>
      <c r="R428">
        <f t="shared" si="124"/>
        <v>1</v>
      </c>
      <c r="AG428" s="8">
        <f t="shared" si="127"/>
        <v>0.58166476067817718</v>
      </c>
      <c r="AH428" s="8">
        <f t="shared" si="128"/>
        <v>-0.12360659747729569</v>
      </c>
      <c r="AI428" s="8">
        <f t="shared" si="129"/>
        <v>0.80398228540514793</v>
      </c>
      <c r="AJ428" s="8"/>
      <c r="AK428" s="8"/>
      <c r="AL428" s="8"/>
      <c r="AN428" s="8">
        <f t="shared" si="135"/>
        <v>1</v>
      </c>
      <c r="AO428" s="8">
        <f t="shared" si="136"/>
        <v>6.0737952494986391</v>
      </c>
      <c r="AP428" s="8">
        <f t="shared" si="137"/>
        <v>0.63683428615902382</v>
      </c>
      <c r="AQ428" s="8"/>
      <c r="AR428" s="8">
        <f t="shared" si="138"/>
        <v>348.00283342288088</v>
      </c>
      <c r="AS428" s="8">
        <f t="shared" si="139"/>
        <v>53.512083153861397</v>
      </c>
    </row>
    <row r="429" spans="1:45">
      <c r="A429" s="19">
        <v>18.05136667</v>
      </c>
      <c r="B429" s="19">
        <v>1135.005529</v>
      </c>
      <c r="C429" s="19">
        <v>-129.43348270000001</v>
      </c>
      <c r="E429" s="9">
        <f t="shared" si="125"/>
        <v>175.00552900000002</v>
      </c>
      <c r="F429" s="9">
        <f t="shared" si="130"/>
        <v>410.56651729999999</v>
      </c>
      <c r="I429">
        <v>1</v>
      </c>
      <c r="J429">
        <f t="shared" si="126"/>
        <v>0.28750199527727915</v>
      </c>
      <c r="K429">
        <f t="shared" si="131"/>
        <v>1.167864197832428</v>
      </c>
      <c r="O429">
        <f t="shared" si="132"/>
        <v>0.11118786494692499</v>
      </c>
      <c r="P429">
        <f t="shared" si="133"/>
        <v>0.26084898424713043</v>
      </c>
      <c r="Q429">
        <f t="shared" si="134"/>
        <v>0.95895519504603799</v>
      </c>
      <c r="R429">
        <f t="shared" si="124"/>
        <v>1</v>
      </c>
      <c r="AG429" s="8">
        <f t="shared" si="127"/>
        <v>0.58190514141021987</v>
      </c>
      <c r="AH429" s="8">
        <f t="shared" si="128"/>
        <v>-0.12325015040488996</v>
      </c>
      <c r="AI429" s="8">
        <f t="shared" si="129"/>
        <v>0.80386305228286503</v>
      </c>
      <c r="AJ429" s="8"/>
      <c r="AK429" s="8"/>
      <c r="AL429" s="8"/>
      <c r="AN429" s="8">
        <f t="shared" si="135"/>
        <v>1.0000000000000002</v>
      </c>
      <c r="AO429" s="8">
        <f t="shared" si="136"/>
        <v>6.0744654213486848</v>
      </c>
      <c r="AP429" s="8">
        <f t="shared" si="137"/>
        <v>0.63703476764369471</v>
      </c>
      <c r="AQ429" s="8"/>
      <c r="AR429" s="8">
        <f t="shared" si="138"/>
        <v>348.04123144143693</v>
      </c>
      <c r="AS429" s="8">
        <f t="shared" si="139"/>
        <v>53.500596410919236</v>
      </c>
    </row>
    <row r="430" spans="1:45">
      <c r="A430" s="19">
        <v>18.084733329999999</v>
      </c>
      <c r="B430" s="19">
        <v>1135.787636</v>
      </c>
      <c r="C430" s="19">
        <v>-129.73378170000001</v>
      </c>
      <c r="E430" s="9">
        <f t="shared" si="125"/>
        <v>175.78763600000002</v>
      </c>
      <c r="F430" s="9">
        <f t="shared" si="130"/>
        <v>410.26621829999999</v>
      </c>
      <c r="I430">
        <v>1</v>
      </c>
      <c r="J430">
        <f t="shared" si="126"/>
        <v>0.28752118340384492</v>
      </c>
      <c r="K430">
        <f t="shared" si="131"/>
        <v>1.1659884428048477</v>
      </c>
      <c r="O430">
        <f t="shared" si="132"/>
        <v>0.11168420474242595</v>
      </c>
      <c r="P430">
        <f t="shared" si="133"/>
        <v>0.26065687761747941</v>
      </c>
      <c r="Q430">
        <f t="shared" si="134"/>
        <v>0.95894975392966142</v>
      </c>
      <c r="R430">
        <f t="shared" si="124"/>
        <v>1</v>
      </c>
      <c r="AG430" s="8">
        <f t="shared" si="127"/>
        <v>0.58217825439487192</v>
      </c>
      <c r="AH430" s="8">
        <f t="shared" si="128"/>
        <v>-0.12281243237880674</v>
      </c>
      <c r="AI430" s="8">
        <f t="shared" si="129"/>
        <v>0.80373228538048713</v>
      </c>
      <c r="AJ430" s="8"/>
      <c r="AK430" s="8"/>
      <c r="AL430" s="8"/>
      <c r="AN430" s="8">
        <f t="shared" si="135"/>
        <v>1</v>
      </c>
      <c r="AO430" s="8">
        <f t="shared" si="136"/>
        <v>6.0752802392363074</v>
      </c>
      <c r="AP430" s="8">
        <f t="shared" si="137"/>
        <v>0.63725457987241441</v>
      </c>
      <c r="AQ430" s="8"/>
      <c r="AR430" s="8">
        <f t="shared" si="138"/>
        <v>348.0879170674695</v>
      </c>
      <c r="AS430" s="8">
        <f t="shared" si="139"/>
        <v>53.488002097928238</v>
      </c>
    </row>
    <row r="431" spans="1:45">
      <c r="A431" s="19">
        <v>18.118099999999998</v>
      </c>
      <c r="B431" s="19">
        <v>1136.9276219999999</v>
      </c>
      <c r="C431" s="19">
        <v>-130.01412339999999</v>
      </c>
      <c r="E431" s="9">
        <f t="shared" si="125"/>
        <v>176.92762199999993</v>
      </c>
      <c r="F431" s="9">
        <f t="shared" si="130"/>
        <v>409.98587659999998</v>
      </c>
      <c r="I431">
        <v>1</v>
      </c>
      <c r="J431">
        <f t="shared" si="126"/>
        <v>0.2876396966658325</v>
      </c>
      <c r="K431">
        <f t="shared" si="131"/>
        <v>1.163394543618244</v>
      </c>
      <c r="O431">
        <f t="shared" si="132"/>
        <v>0.11240497543023804</v>
      </c>
      <c r="P431">
        <f t="shared" si="133"/>
        <v>0.26047064819515647</v>
      </c>
      <c r="Q431">
        <f t="shared" si="134"/>
        <v>0.9589161396740189</v>
      </c>
      <c r="R431">
        <f t="shared" si="124"/>
        <v>1</v>
      </c>
      <c r="AG431" s="8">
        <f t="shared" si="127"/>
        <v>0.58250056372094294</v>
      </c>
      <c r="AH431" s="8">
        <f t="shared" si="128"/>
        <v>-0.12215387187998572</v>
      </c>
      <c r="AI431" s="8">
        <f t="shared" si="129"/>
        <v>0.80359910704872717</v>
      </c>
      <c r="AJ431" s="8"/>
      <c r="AK431" s="8"/>
      <c r="AL431" s="8"/>
      <c r="AN431" s="8">
        <f t="shared" si="135"/>
        <v>0.99999999999999989</v>
      </c>
      <c r="AO431" s="8">
        <f t="shared" si="136"/>
        <v>6.0764746975800383</v>
      </c>
      <c r="AP431" s="8">
        <f t="shared" si="137"/>
        <v>0.63747837852125211</v>
      </c>
      <c r="AQ431" s="8"/>
      <c r="AR431" s="8">
        <f t="shared" si="138"/>
        <v>348.15635448936945</v>
      </c>
      <c r="AS431" s="8">
        <f t="shared" si="139"/>
        <v>53.475179379889106</v>
      </c>
    </row>
    <row r="432" spans="1:45">
      <c r="A432" s="19">
        <v>18.151466670000001</v>
      </c>
      <c r="B432" s="19">
        <v>1137.387853</v>
      </c>
      <c r="C432" s="19">
        <v>-130.1811759</v>
      </c>
      <c r="E432" s="9">
        <f t="shared" si="125"/>
        <v>177.38785299999995</v>
      </c>
      <c r="F432" s="9">
        <f t="shared" si="130"/>
        <v>409.81882410000003</v>
      </c>
      <c r="I432">
        <v>1</v>
      </c>
      <c r="J432">
        <f t="shared" si="126"/>
        <v>0.28765767201320458</v>
      </c>
      <c r="K432">
        <f t="shared" si="131"/>
        <v>1.1623000645026784</v>
      </c>
      <c r="O432">
        <f t="shared" si="132"/>
        <v>0.11269683470592039</v>
      </c>
      <c r="P432">
        <f t="shared" si="133"/>
        <v>0.26036328586136265</v>
      </c>
      <c r="Q432">
        <f t="shared" si="134"/>
        <v>0.95891104009847583</v>
      </c>
      <c r="R432">
        <f t="shared" si="124"/>
        <v>1</v>
      </c>
      <c r="AG432" s="8">
        <f t="shared" si="127"/>
        <v>0.58265641948979274</v>
      </c>
      <c r="AH432" s="8">
        <f t="shared" si="128"/>
        <v>-0.12189500092968786</v>
      </c>
      <c r="AI432" s="8">
        <f t="shared" si="129"/>
        <v>0.80352542310476149</v>
      </c>
      <c r="AJ432" s="8"/>
      <c r="AK432" s="8"/>
      <c r="AL432" s="8"/>
      <c r="AN432" s="8">
        <f t="shared" si="135"/>
        <v>1</v>
      </c>
      <c r="AO432" s="8">
        <f t="shared" si="136"/>
        <v>6.0769540562376134</v>
      </c>
      <c r="AP432" s="8">
        <f t="shared" si="137"/>
        <v>0.63760217116456708</v>
      </c>
      <c r="AQ432" s="8"/>
      <c r="AR432" s="8">
        <f t="shared" si="138"/>
        <v>348.18381971732157</v>
      </c>
      <c r="AS432" s="8">
        <f t="shared" si="139"/>
        <v>53.468086583892386</v>
      </c>
    </row>
    <row r="433" spans="1:45">
      <c r="A433" s="19">
        <v>18.18483333</v>
      </c>
      <c r="B433" s="19">
        <v>1137.922593</v>
      </c>
      <c r="C433" s="19">
        <v>-130.3114152</v>
      </c>
      <c r="E433" s="9">
        <f t="shared" si="125"/>
        <v>177.92259300000001</v>
      </c>
      <c r="F433" s="9">
        <f t="shared" si="130"/>
        <v>409.6885848</v>
      </c>
      <c r="I433">
        <v>1</v>
      </c>
      <c r="J433">
        <f t="shared" si="126"/>
        <v>0.28771497324789264</v>
      </c>
      <c r="K433">
        <f t="shared" si="131"/>
        <v>1.1610855352918874</v>
      </c>
      <c r="O433">
        <f t="shared" si="132"/>
        <v>0.11303485786695608</v>
      </c>
      <c r="P433">
        <f t="shared" si="133"/>
        <v>0.26027661901590199</v>
      </c>
      <c r="Q433">
        <f t="shared" si="134"/>
        <v>0.95889478176734699</v>
      </c>
      <c r="R433">
        <f t="shared" si="124"/>
        <v>1</v>
      </c>
      <c r="AG433" s="8">
        <f t="shared" si="127"/>
        <v>0.58280681201592244</v>
      </c>
      <c r="AH433" s="8">
        <f t="shared" si="128"/>
        <v>-0.12158589968670863</v>
      </c>
      <c r="AI433" s="8">
        <f t="shared" si="129"/>
        <v>0.80346318451140675</v>
      </c>
      <c r="AJ433" s="8"/>
      <c r="AK433" s="8"/>
      <c r="AL433" s="8"/>
      <c r="AN433" s="8">
        <f t="shared" si="135"/>
        <v>0.99999999999999989</v>
      </c>
      <c r="AO433" s="8">
        <f t="shared" si="136"/>
        <v>6.0775139706482477</v>
      </c>
      <c r="AP433" s="8">
        <f t="shared" si="137"/>
        <v>0.63770671894340369</v>
      </c>
      <c r="AQ433" s="8"/>
      <c r="AR433" s="8">
        <f t="shared" si="138"/>
        <v>348.21590044993945</v>
      </c>
      <c r="AS433" s="8">
        <f t="shared" si="139"/>
        <v>53.462096437407581</v>
      </c>
    </row>
    <row r="434" spans="1:45">
      <c r="A434" s="19">
        <v>18.2182</v>
      </c>
      <c r="B434" s="19">
        <v>1138.596855</v>
      </c>
      <c r="C434" s="19">
        <v>-130.70107300000001</v>
      </c>
      <c r="E434" s="9">
        <f t="shared" si="125"/>
        <v>178.59685500000001</v>
      </c>
      <c r="F434" s="9">
        <f t="shared" si="130"/>
        <v>409.29892699999999</v>
      </c>
      <c r="I434">
        <v>1</v>
      </c>
      <c r="J434">
        <f t="shared" si="126"/>
        <v>0.28766078926312022</v>
      </c>
      <c r="K434">
        <f t="shared" si="131"/>
        <v>1.1593530405436083</v>
      </c>
      <c r="O434">
        <f t="shared" si="132"/>
        <v>0.11346483651797891</v>
      </c>
      <c r="P434">
        <f t="shared" si="133"/>
        <v>0.2600327751518311</v>
      </c>
      <c r="Q434">
        <f t="shared" si="134"/>
        <v>0.95891015570844051</v>
      </c>
      <c r="R434">
        <f t="shared" si="124"/>
        <v>1</v>
      </c>
      <c r="AG434" s="8">
        <f t="shared" si="127"/>
        <v>0.58310442577286969</v>
      </c>
      <c r="AH434" s="8">
        <f t="shared" si="128"/>
        <v>-0.12122544673832311</v>
      </c>
      <c r="AI434" s="8">
        <f t="shared" si="129"/>
        <v>0.80330169905657856</v>
      </c>
      <c r="AJ434" s="8"/>
      <c r="AK434" s="8"/>
      <c r="AL434" s="8"/>
      <c r="AN434" s="8">
        <f t="shared" si="135"/>
        <v>1</v>
      </c>
      <c r="AO434" s="8">
        <f t="shared" si="136"/>
        <v>6.0782084893352115</v>
      </c>
      <c r="AP434" s="8">
        <f t="shared" si="137"/>
        <v>0.63797791186636499</v>
      </c>
      <c r="AQ434" s="8"/>
      <c r="AR434" s="8">
        <f t="shared" si="138"/>
        <v>348.25569343949547</v>
      </c>
      <c r="AS434" s="8">
        <f t="shared" si="139"/>
        <v>53.446558227488083</v>
      </c>
    </row>
    <row r="435" spans="1:45">
      <c r="A435" s="19">
        <v>18.251566669999999</v>
      </c>
      <c r="B435" s="19">
        <v>1139.267137</v>
      </c>
      <c r="C435" s="19">
        <v>-131.44226280000001</v>
      </c>
      <c r="E435" s="9">
        <f t="shared" si="125"/>
        <v>179.26713700000005</v>
      </c>
      <c r="F435" s="9">
        <f t="shared" si="130"/>
        <v>408.55773720000002</v>
      </c>
      <c r="I435">
        <v>1</v>
      </c>
      <c r="J435">
        <f t="shared" si="126"/>
        <v>0.28740854164546425</v>
      </c>
      <c r="K435">
        <f t="shared" si="131"/>
        <v>1.1573116744772864</v>
      </c>
      <c r="O435">
        <f t="shared" si="132"/>
        <v>0.11389822901829529</v>
      </c>
      <c r="P435">
        <f t="shared" si="133"/>
        <v>0.25957910355204755</v>
      </c>
      <c r="Q435">
        <f t="shared" si="134"/>
        <v>0.95898169034951408</v>
      </c>
      <c r="R435">
        <f t="shared" si="124"/>
        <v>1</v>
      </c>
      <c r="AG435" s="8">
        <f t="shared" si="127"/>
        <v>0.58356977819829225</v>
      </c>
      <c r="AH435" s="8">
        <f t="shared" si="128"/>
        <v>-0.12091305269544114</v>
      </c>
      <c r="AI435" s="8">
        <f t="shared" si="129"/>
        <v>0.80301080170908379</v>
      </c>
      <c r="AJ435" s="8"/>
      <c r="AK435" s="8"/>
      <c r="AL435" s="8"/>
      <c r="AN435" s="8">
        <f t="shared" si="135"/>
        <v>1</v>
      </c>
      <c r="AO435" s="8">
        <f t="shared" si="136"/>
        <v>6.0788806338197245</v>
      </c>
      <c r="AP435" s="8">
        <f t="shared" si="137"/>
        <v>0.63846618439848868</v>
      </c>
      <c r="AQ435" s="8"/>
      <c r="AR435" s="8">
        <f t="shared" si="138"/>
        <v>348.29420448168105</v>
      </c>
      <c r="AS435" s="8">
        <f t="shared" si="139"/>
        <v>53.41858227214523</v>
      </c>
    </row>
    <row r="436" spans="1:45">
      <c r="A436" s="19">
        <v>18.284933330000001</v>
      </c>
      <c r="B436" s="19">
        <v>1139.9714509999999</v>
      </c>
      <c r="C436" s="19">
        <v>-131.46123679999999</v>
      </c>
      <c r="E436" s="9">
        <f t="shared" si="125"/>
        <v>179.97145099999989</v>
      </c>
      <c r="F436" s="9">
        <f t="shared" si="130"/>
        <v>408.53876320000001</v>
      </c>
      <c r="I436">
        <v>1</v>
      </c>
      <c r="J436">
        <f t="shared" si="126"/>
        <v>0.2875721247232742</v>
      </c>
      <c r="K436">
        <f t="shared" si="131"/>
        <v>1.1558498711962761</v>
      </c>
      <c r="O436">
        <f t="shared" si="132"/>
        <v>0.11434080124468539</v>
      </c>
      <c r="P436">
        <f t="shared" si="133"/>
        <v>0.25955588658226031</v>
      </c>
      <c r="Q436">
        <f t="shared" si="134"/>
        <v>0.95893530694787754</v>
      </c>
      <c r="R436">
        <f t="shared" si="124"/>
        <v>1</v>
      </c>
      <c r="AG436" s="8">
        <f t="shared" si="127"/>
        <v>0.58369432759031414</v>
      </c>
      <c r="AH436" s="8">
        <f t="shared" si="128"/>
        <v>-0.12048602292688212</v>
      </c>
      <c r="AI436" s="8">
        <f t="shared" si="129"/>
        <v>0.80298446449365002</v>
      </c>
      <c r="AJ436" s="8"/>
      <c r="AK436" s="8"/>
      <c r="AL436" s="8"/>
      <c r="AN436" s="8">
        <f t="shared" si="135"/>
        <v>1</v>
      </c>
      <c r="AO436" s="8">
        <f t="shared" si="136"/>
        <v>6.0796246237052225</v>
      </c>
      <c r="AP436" s="8">
        <f t="shared" si="137"/>
        <v>0.63851037567594815</v>
      </c>
      <c r="AQ436" s="8"/>
      <c r="AR436" s="8">
        <f t="shared" si="138"/>
        <v>348.33683196212053</v>
      </c>
      <c r="AS436" s="8">
        <f t="shared" si="139"/>
        <v>53.416050298455509</v>
      </c>
    </row>
    <row r="437" spans="1:45">
      <c r="A437" s="19">
        <v>18.318300000000001</v>
      </c>
      <c r="B437" s="19">
        <v>1140.5236259999999</v>
      </c>
      <c r="C437" s="19">
        <v>-131.57222469999999</v>
      </c>
      <c r="E437" s="9">
        <f t="shared" si="125"/>
        <v>180.52362599999992</v>
      </c>
      <c r="F437" s="9">
        <f t="shared" si="130"/>
        <v>408.42777530000001</v>
      </c>
      <c r="I437">
        <v>1</v>
      </c>
      <c r="J437">
        <f t="shared" si="126"/>
        <v>0.28764673425658382</v>
      </c>
      <c r="K437">
        <f t="shared" si="131"/>
        <v>1.1546180563872883</v>
      </c>
      <c r="O437">
        <f t="shared" si="132"/>
        <v>0.11468936251760008</v>
      </c>
      <c r="P437">
        <f t="shared" si="133"/>
        <v>0.25948028090039921</v>
      </c>
      <c r="Q437">
        <f t="shared" si="134"/>
        <v>0.95891414315837287</v>
      </c>
      <c r="R437">
        <f t="shared" si="124"/>
        <v>1</v>
      </c>
      <c r="AG437" s="8">
        <f t="shared" si="127"/>
        <v>0.58383795646051073</v>
      </c>
      <c r="AH437" s="8">
        <f t="shared" si="128"/>
        <v>-0.12016371868550144</v>
      </c>
      <c r="AI437" s="8">
        <f t="shared" si="129"/>
        <v>0.80292834132797086</v>
      </c>
      <c r="AJ437" s="8"/>
      <c r="AK437" s="8"/>
      <c r="AL437" s="8"/>
      <c r="AN437" s="8">
        <f t="shared" si="135"/>
        <v>1</v>
      </c>
      <c r="AO437" s="8">
        <f t="shared" si="136"/>
        <v>6.0802028814753371</v>
      </c>
      <c r="AP437" s="8">
        <f t="shared" si="137"/>
        <v>0.63860453609545276</v>
      </c>
      <c r="AQ437" s="8"/>
      <c r="AR437" s="8">
        <f t="shared" si="138"/>
        <v>348.36996369181873</v>
      </c>
      <c r="AS437" s="8">
        <f t="shared" si="139"/>
        <v>53.410655303820718</v>
      </c>
    </row>
    <row r="438" spans="1:45">
      <c r="A438" s="19">
        <v>18.35166667</v>
      </c>
      <c r="B438" s="19">
        <v>1141.1627129999999</v>
      </c>
      <c r="C438" s="19">
        <v>-131.86508789999999</v>
      </c>
      <c r="E438" s="9">
        <f t="shared" si="125"/>
        <v>181.16271299999994</v>
      </c>
      <c r="F438" s="9">
        <f t="shared" si="130"/>
        <v>408.13491210000001</v>
      </c>
      <c r="I438">
        <v>1</v>
      </c>
      <c r="J438">
        <f t="shared" si="126"/>
        <v>0.28764123337305192</v>
      </c>
      <c r="K438">
        <f t="shared" si="131"/>
        <v>1.1530438696394998</v>
      </c>
      <c r="O438">
        <f t="shared" si="132"/>
        <v>0.11509555060803468</v>
      </c>
      <c r="P438">
        <f t="shared" si="133"/>
        <v>0.25929459574008112</v>
      </c>
      <c r="Q438">
        <f t="shared" si="134"/>
        <v>0.95891570372490054</v>
      </c>
      <c r="R438">
        <f t="shared" si="124"/>
        <v>1</v>
      </c>
      <c r="AG438" s="8">
        <f t="shared" si="127"/>
        <v>0.58408289634669175</v>
      </c>
      <c r="AH438" s="8">
        <f t="shared" si="128"/>
        <v>-0.11981200701459721</v>
      </c>
      <c r="AI438" s="8">
        <f t="shared" si="129"/>
        <v>0.80280274860665113</v>
      </c>
      <c r="AJ438" s="8"/>
      <c r="AK438" s="8"/>
      <c r="AL438" s="8"/>
      <c r="AN438" s="8">
        <f t="shared" si="135"/>
        <v>1</v>
      </c>
      <c r="AO438" s="8">
        <f t="shared" si="136"/>
        <v>6.0808634638356569</v>
      </c>
      <c r="AP438" s="8">
        <f t="shared" si="137"/>
        <v>0.63881520553416626</v>
      </c>
      <c r="AQ438" s="8"/>
      <c r="AR438" s="8">
        <f t="shared" si="138"/>
        <v>348.40781227308582</v>
      </c>
      <c r="AS438" s="8">
        <f t="shared" si="139"/>
        <v>53.398584834110046</v>
      </c>
    </row>
    <row r="439" spans="1:45">
      <c r="A439" s="19">
        <v>18.385033329999999</v>
      </c>
      <c r="B439" s="19">
        <v>1141.7521850000001</v>
      </c>
      <c r="C439" s="19">
        <v>-132.2176925</v>
      </c>
      <c r="E439" s="9">
        <f t="shared" si="125"/>
        <v>181.75218500000005</v>
      </c>
      <c r="F439" s="9">
        <f t="shared" si="130"/>
        <v>407.7823075</v>
      </c>
      <c r="I439">
        <v>1</v>
      </c>
      <c r="J439">
        <f t="shared" si="126"/>
        <v>0.28759045374099229</v>
      </c>
      <c r="K439">
        <f t="shared" si="131"/>
        <v>1.151516645605617</v>
      </c>
      <c r="O439">
        <f t="shared" si="132"/>
        <v>0.11547159381264503</v>
      </c>
      <c r="P439">
        <f t="shared" si="133"/>
        <v>0.25907404070890871</v>
      </c>
      <c r="Q439">
        <f t="shared" si="134"/>
        <v>0.95893010822120206</v>
      </c>
      <c r="R439">
        <f t="shared" si="124"/>
        <v>1</v>
      </c>
      <c r="AG439" s="8">
        <f t="shared" si="127"/>
        <v>0.58434824619445846</v>
      </c>
      <c r="AH439" s="8">
        <f t="shared" si="128"/>
        <v>-0.11949826987956583</v>
      </c>
      <c r="AI439" s="8">
        <f t="shared" si="129"/>
        <v>0.80265639638967001</v>
      </c>
      <c r="AJ439" s="8"/>
      <c r="AK439" s="8"/>
      <c r="AL439" s="8"/>
      <c r="AN439" s="8">
        <f t="shared" si="135"/>
        <v>1</v>
      </c>
      <c r="AO439" s="8">
        <f t="shared" si="136"/>
        <v>6.0814681470813898</v>
      </c>
      <c r="AP439" s="8">
        <f t="shared" si="137"/>
        <v>0.6390606216217013</v>
      </c>
      <c r="AQ439" s="8"/>
      <c r="AR439" s="8">
        <f t="shared" si="138"/>
        <v>348.44245807100862</v>
      </c>
      <c r="AS439" s="8">
        <f t="shared" si="139"/>
        <v>53.384523528069671</v>
      </c>
    </row>
    <row r="440" spans="1:45">
      <c r="A440" s="19">
        <v>18.418399999999998</v>
      </c>
      <c r="B440" s="19">
        <v>1142.420979</v>
      </c>
      <c r="C440" s="19">
        <v>-132.7476265</v>
      </c>
      <c r="E440" s="9">
        <f t="shared" si="125"/>
        <v>182.42097899999999</v>
      </c>
      <c r="F440" s="9">
        <f t="shared" si="130"/>
        <v>407.25237349999998</v>
      </c>
      <c r="I440">
        <v>1</v>
      </c>
      <c r="J440">
        <f t="shared" si="126"/>
        <v>0.28746074483095996</v>
      </c>
      <c r="K440">
        <f t="shared" si="131"/>
        <v>1.1496642813966165</v>
      </c>
      <c r="O440">
        <f t="shared" si="132"/>
        <v>0.11590044743102634</v>
      </c>
      <c r="P440">
        <f t="shared" si="133"/>
        <v>0.25874618459315174</v>
      </c>
      <c r="Q440">
        <f t="shared" si="134"/>
        <v>0.95896689110926792</v>
      </c>
      <c r="R440">
        <f t="shared" si="124"/>
        <v>1</v>
      </c>
      <c r="AG440" s="8">
        <f t="shared" si="127"/>
        <v>0.58471141810468397</v>
      </c>
      <c r="AH440" s="8">
        <f t="shared" si="128"/>
        <v>-0.11915910570378888</v>
      </c>
      <c r="AI440" s="8">
        <f t="shared" si="129"/>
        <v>0.8024423126093756</v>
      </c>
      <c r="AJ440" s="8"/>
      <c r="AK440" s="8"/>
      <c r="AL440" s="8"/>
      <c r="AN440" s="8">
        <f t="shared" si="135"/>
        <v>1.0000000000000002</v>
      </c>
      <c r="AO440" s="8">
        <f t="shared" si="136"/>
        <v>6.0821469293111239</v>
      </c>
      <c r="AP440" s="8">
        <f t="shared" si="137"/>
        <v>0.63941946994275201</v>
      </c>
      <c r="AQ440" s="8"/>
      <c r="AR440" s="8">
        <f t="shared" si="138"/>
        <v>348.48134942798083</v>
      </c>
      <c r="AS440" s="8">
        <f t="shared" si="139"/>
        <v>53.36396303378811</v>
      </c>
    </row>
    <row r="441" spans="1:45">
      <c r="A441" s="19">
        <v>18.451766670000001</v>
      </c>
      <c r="B441" s="19">
        <v>1143.075061</v>
      </c>
      <c r="C441" s="19">
        <v>-133.0219366</v>
      </c>
      <c r="E441" s="9">
        <f t="shared" si="125"/>
        <v>183.07506100000001</v>
      </c>
      <c r="F441" s="9">
        <f t="shared" si="130"/>
        <v>406.9780634</v>
      </c>
      <c r="I441">
        <v>1</v>
      </c>
      <c r="J441">
        <f t="shared" si="126"/>
        <v>0.28747156781351707</v>
      </c>
      <c r="K441">
        <f t="shared" si="131"/>
        <v>1.1480753647065236</v>
      </c>
      <c r="O441">
        <f t="shared" si="132"/>
        <v>0.11631568494608696</v>
      </c>
      <c r="P441">
        <f t="shared" si="133"/>
        <v>0.25857116716953055</v>
      </c>
      <c r="Q441">
        <f t="shared" si="134"/>
        <v>0.95896382254186696</v>
      </c>
      <c r="R441">
        <f t="shared" si="124"/>
        <v>1</v>
      </c>
      <c r="AG441" s="8">
        <f t="shared" si="127"/>
        <v>0.5849495455032564</v>
      </c>
      <c r="AH441" s="8">
        <f t="shared" si="128"/>
        <v>-0.11879574100612272</v>
      </c>
      <c r="AI441" s="8">
        <f t="shared" si="129"/>
        <v>0.80232262908030949</v>
      </c>
      <c r="AJ441" s="8"/>
      <c r="AK441" s="8"/>
      <c r="AL441" s="8"/>
      <c r="AN441" s="8">
        <f t="shared" si="135"/>
        <v>0.99999999999999978</v>
      </c>
      <c r="AO441" s="8">
        <f t="shared" si="136"/>
        <v>6.0828230957500207</v>
      </c>
      <c r="AP441" s="8">
        <f t="shared" si="137"/>
        <v>0.63962000863629942</v>
      </c>
      <c r="AQ441" s="8"/>
      <c r="AR441" s="8">
        <f t="shared" si="138"/>
        <v>348.52009091117804</v>
      </c>
      <c r="AS441" s="8">
        <f t="shared" si="139"/>
        <v>53.352473013018781</v>
      </c>
    </row>
    <row r="442" spans="1:45">
      <c r="A442" s="19">
        <v>18.48513333</v>
      </c>
      <c r="B442" s="19">
        <v>1143.578681</v>
      </c>
      <c r="C442" s="19">
        <v>-133.13951890000001</v>
      </c>
      <c r="E442" s="9">
        <f t="shared" si="125"/>
        <v>183.57868099999996</v>
      </c>
      <c r="F442" s="9">
        <f t="shared" si="130"/>
        <v>406.86048110000002</v>
      </c>
      <c r="I442">
        <v>1</v>
      </c>
      <c r="J442">
        <f t="shared" si="126"/>
        <v>0.28753283520486361</v>
      </c>
      <c r="K442">
        <f t="shared" si="131"/>
        <v>1.14693832799422</v>
      </c>
      <c r="O442">
        <f t="shared" si="132"/>
        <v>0.1166337784113395</v>
      </c>
      <c r="P442">
        <f t="shared" si="133"/>
        <v>0.25849229844367599</v>
      </c>
      <c r="Q442">
        <f t="shared" si="134"/>
        <v>0.95894644969299514</v>
      </c>
      <c r="R442">
        <f t="shared" si="124"/>
        <v>1</v>
      </c>
      <c r="AG442" s="8">
        <f t="shared" si="127"/>
        <v>0.58508794583285395</v>
      </c>
      <c r="AH442" s="8">
        <f t="shared" si="128"/>
        <v>-0.11850382308652058</v>
      </c>
      <c r="AI442" s="8">
        <f t="shared" si="129"/>
        <v>0.80226488116766637</v>
      </c>
      <c r="AJ442" s="8"/>
      <c r="AK442" s="8"/>
      <c r="AL442" s="8"/>
      <c r="AN442" s="8">
        <f t="shared" si="135"/>
        <v>0.99999999999999978</v>
      </c>
      <c r="AO442" s="8">
        <f t="shared" si="136"/>
        <v>6.0833484553973296</v>
      </c>
      <c r="AP442" s="8">
        <f t="shared" si="137"/>
        <v>0.63971675024596497</v>
      </c>
      <c r="AQ442" s="8"/>
      <c r="AR442" s="8">
        <f t="shared" si="138"/>
        <v>348.55019180169529</v>
      </c>
      <c r="AS442" s="8">
        <f t="shared" si="139"/>
        <v>53.346930127081642</v>
      </c>
    </row>
    <row r="443" spans="1:45">
      <c r="A443" s="19">
        <v>18.5185</v>
      </c>
      <c r="B443" s="19">
        <v>1144.290804</v>
      </c>
      <c r="C443" s="19">
        <v>-133.30496880000001</v>
      </c>
      <c r="E443" s="9">
        <f t="shared" si="125"/>
        <v>184.29080399999998</v>
      </c>
      <c r="F443" s="9">
        <f t="shared" si="130"/>
        <v>406.69503120000002</v>
      </c>
      <c r="I443">
        <v>1</v>
      </c>
      <c r="J443">
        <f t="shared" si="126"/>
        <v>0.2876205242510812</v>
      </c>
      <c r="K443">
        <f t="shared" si="131"/>
        <v>1.1453321688998912</v>
      </c>
      <c r="O443">
        <f t="shared" si="132"/>
        <v>0.11708351433387043</v>
      </c>
      <c r="P443">
        <f t="shared" si="133"/>
        <v>0.25838122403014252</v>
      </c>
      <c r="Q443">
        <f t="shared" si="134"/>
        <v>0.95892157851407001</v>
      </c>
      <c r="R443">
        <f t="shared" si="124"/>
        <v>1</v>
      </c>
      <c r="AG443" s="8">
        <f t="shared" si="127"/>
        <v>0.58528313746582539</v>
      </c>
      <c r="AH443" s="8">
        <f t="shared" si="128"/>
        <v>-0.11809093473193452</v>
      </c>
      <c r="AI443" s="8">
        <f t="shared" si="129"/>
        <v>0.80218338310656745</v>
      </c>
      <c r="AJ443" s="8"/>
      <c r="AK443" s="8"/>
      <c r="AL443" s="8"/>
      <c r="AN443" s="8">
        <f t="shared" si="135"/>
        <v>1.0000000000000002</v>
      </c>
      <c r="AO443" s="8">
        <f t="shared" si="136"/>
        <v>6.0840911038837016</v>
      </c>
      <c r="AP443" s="8">
        <f t="shared" si="137"/>
        <v>0.63985325765668999</v>
      </c>
      <c r="AQ443" s="8"/>
      <c r="AR443" s="8">
        <f t="shared" si="138"/>
        <v>348.59274242562623</v>
      </c>
      <c r="AS443" s="8">
        <f t="shared" si="139"/>
        <v>53.339108828574837</v>
      </c>
    </row>
    <row r="444" spans="1:45">
      <c r="A444" s="19">
        <v>18.551866669999999</v>
      </c>
      <c r="B444" s="19">
        <v>1145.3989389999999</v>
      </c>
      <c r="C444" s="19">
        <v>-133.8364378</v>
      </c>
      <c r="E444" s="9">
        <f t="shared" si="125"/>
        <v>185.39893899999993</v>
      </c>
      <c r="F444" s="9">
        <f t="shared" si="130"/>
        <v>406.1635622</v>
      </c>
      <c r="I444">
        <v>1</v>
      </c>
      <c r="J444">
        <f t="shared" si="126"/>
        <v>0.28760514381808761</v>
      </c>
      <c r="K444">
        <f t="shared" si="131"/>
        <v>1.1425801704156939</v>
      </c>
      <c r="O444">
        <f t="shared" si="132"/>
        <v>0.11778801044494326</v>
      </c>
      <c r="P444">
        <f t="shared" si="133"/>
        <v>0.25804461538352697</v>
      </c>
      <c r="Q444">
        <f t="shared" si="134"/>
        <v>0.95892594138806653</v>
      </c>
      <c r="R444">
        <f t="shared" si="124"/>
        <v>1</v>
      </c>
      <c r="AG444" s="8">
        <f t="shared" si="127"/>
        <v>0.58571788266576474</v>
      </c>
      <c r="AH444" s="8">
        <f t="shared" si="128"/>
        <v>-0.11748384461144828</v>
      </c>
      <c r="AI444" s="8">
        <f t="shared" si="129"/>
        <v>0.80195517841139141</v>
      </c>
      <c r="AJ444" s="8"/>
      <c r="AK444" s="8"/>
      <c r="AL444" s="8"/>
      <c r="AN444" s="8">
        <f t="shared" si="135"/>
        <v>1</v>
      </c>
      <c r="AO444" s="8">
        <f t="shared" si="136"/>
        <v>6.085231211775735</v>
      </c>
      <c r="AP444" s="8">
        <f t="shared" si="137"/>
        <v>0.64023536224201028</v>
      </c>
      <c r="AQ444" s="8"/>
      <c r="AR444" s="8">
        <f t="shared" si="138"/>
        <v>348.65806579602929</v>
      </c>
      <c r="AS444" s="8">
        <f t="shared" si="139"/>
        <v>53.317215848503388</v>
      </c>
    </row>
    <row r="445" spans="1:45">
      <c r="A445" s="19">
        <v>18.585233330000001</v>
      </c>
      <c r="B445" s="19">
        <v>1145.8821849999999</v>
      </c>
      <c r="C445" s="19">
        <v>-134.10678809999999</v>
      </c>
      <c r="E445" s="9">
        <f t="shared" si="125"/>
        <v>185.88218499999994</v>
      </c>
      <c r="F445" s="9">
        <f t="shared" si="130"/>
        <v>405.89321189999998</v>
      </c>
      <c r="I445">
        <v>1</v>
      </c>
      <c r="J445">
        <f t="shared" si="126"/>
        <v>0.28757752381590174</v>
      </c>
      <c r="K445">
        <f t="shared" si="131"/>
        <v>1.1413439787219131</v>
      </c>
      <c r="O445">
        <f t="shared" si="132"/>
        <v>0.11809588506795379</v>
      </c>
      <c r="P445">
        <f t="shared" si="133"/>
        <v>0.25787472910545473</v>
      </c>
      <c r="Q445">
        <f t="shared" si="134"/>
        <v>0.95893377561685922</v>
      </c>
      <c r="R445">
        <f t="shared" si="124"/>
        <v>1</v>
      </c>
      <c r="AG445" s="8">
        <f t="shared" si="127"/>
        <v>0.58592584001349501</v>
      </c>
      <c r="AH445" s="8">
        <f t="shared" si="128"/>
        <v>-0.11722405765440105</v>
      </c>
      <c r="AI445" s="8">
        <f t="shared" si="129"/>
        <v>0.80184127501115698</v>
      </c>
      <c r="AJ445" s="8"/>
      <c r="AK445" s="8"/>
      <c r="AL445" s="8"/>
      <c r="AN445" s="8">
        <f t="shared" si="135"/>
        <v>1</v>
      </c>
      <c r="AO445" s="8">
        <f t="shared" si="136"/>
        <v>6.0857259279587677</v>
      </c>
      <c r="AP445" s="8">
        <f t="shared" si="137"/>
        <v>0.64042600810367467</v>
      </c>
      <c r="AQ445" s="8"/>
      <c r="AR445" s="8">
        <f t="shared" si="138"/>
        <v>348.68641094537389</v>
      </c>
      <c r="AS445" s="8">
        <f t="shared" si="139"/>
        <v>53.306292645248384</v>
      </c>
    </row>
    <row r="446" spans="1:45">
      <c r="A446" s="19">
        <v>18.618600000000001</v>
      </c>
      <c r="B446" s="19">
        <v>1146.353629</v>
      </c>
      <c r="C446" s="19">
        <v>-134.32484400000001</v>
      </c>
      <c r="E446" s="9">
        <f t="shared" si="125"/>
        <v>186.35362899999996</v>
      </c>
      <c r="F446" s="9">
        <f t="shared" si="130"/>
        <v>405.67515600000002</v>
      </c>
      <c r="I446">
        <v>1</v>
      </c>
      <c r="J446">
        <f t="shared" si="126"/>
        <v>0.28757650559971476</v>
      </c>
      <c r="K446">
        <f t="shared" si="131"/>
        <v>1.1401804673819196</v>
      </c>
      <c r="O446">
        <f t="shared" si="132"/>
        <v>0.11839543765520588</v>
      </c>
      <c r="P446">
        <f t="shared" si="133"/>
        <v>0.25773626141975442</v>
      </c>
      <c r="Q446">
        <f t="shared" si="134"/>
        <v>0.95893406441308582</v>
      </c>
      <c r="R446">
        <f t="shared" si="124"/>
        <v>1</v>
      </c>
      <c r="AG446" s="8">
        <f t="shared" si="127"/>
        <v>0.58610676103980963</v>
      </c>
      <c r="AH446" s="8">
        <f t="shared" si="128"/>
        <v>-0.11696469298863377</v>
      </c>
      <c r="AI446" s="8">
        <f t="shared" si="129"/>
        <v>0.80174692095292643</v>
      </c>
      <c r="AJ446" s="8"/>
      <c r="AK446" s="8"/>
      <c r="AL446" s="8"/>
      <c r="AN446" s="8">
        <f t="shared" si="135"/>
        <v>0.99999999999999989</v>
      </c>
      <c r="AO446" s="8">
        <f t="shared" si="136"/>
        <v>6.0862108454931834</v>
      </c>
      <c r="AP446" s="8">
        <f t="shared" si="137"/>
        <v>0.64058389631904322</v>
      </c>
      <c r="AQ446" s="8"/>
      <c r="AR446" s="8">
        <f t="shared" si="138"/>
        <v>348.71419467350779</v>
      </c>
      <c r="AS446" s="8">
        <f t="shared" si="139"/>
        <v>53.297246316872915</v>
      </c>
    </row>
    <row r="447" spans="1:45">
      <c r="A447" s="19">
        <v>18.65196667</v>
      </c>
      <c r="B447" s="19">
        <v>1147.256314</v>
      </c>
      <c r="C447" s="19">
        <v>-134.40855809999999</v>
      </c>
      <c r="E447" s="9">
        <f t="shared" si="125"/>
        <v>187.25631399999997</v>
      </c>
      <c r="F447" s="9">
        <f t="shared" si="130"/>
        <v>405.59144190000001</v>
      </c>
      <c r="I447">
        <v>1</v>
      </c>
      <c r="J447">
        <f t="shared" si="126"/>
        <v>0.28776186784007518</v>
      </c>
      <c r="K447">
        <f t="shared" si="131"/>
        <v>1.1382660679789143</v>
      </c>
      <c r="O447">
        <f t="shared" si="132"/>
        <v>0.11896313592863088</v>
      </c>
      <c r="P447">
        <f t="shared" si="133"/>
        <v>0.25767050949341608</v>
      </c>
      <c r="Q447">
        <f t="shared" si="134"/>
        <v>0.95888147381594013</v>
      </c>
      <c r="R447">
        <f t="shared" si="124"/>
        <v>1</v>
      </c>
      <c r="AG447" s="8">
        <f t="shared" si="127"/>
        <v>0.58629309701331178</v>
      </c>
      <c r="AH447" s="8">
        <f t="shared" si="128"/>
        <v>-0.11642495039264028</v>
      </c>
      <c r="AI447" s="8">
        <f t="shared" si="129"/>
        <v>0.80168923862093255</v>
      </c>
      <c r="AJ447" s="8"/>
      <c r="AK447" s="8"/>
      <c r="AL447" s="8"/>
      <c r="AN447" s="8">
        <f t="shared" si="135"/>
        <v>1</v>
      </c>
      <c r="AO447" s="8">
        <f t="shared" si="136"/>
        <v>6.0871573629115616</v>
      </c>
      <c r="AP447" s="8">
        <f t="shared" si="137"/>
        <v>0.6406804031010791</v>
      </c>
      <c r="AQ447" s="8"/>
      <c r="AR447" s="8">
        <f t="shared" si="138"/>
        <v>348.76842612681645</v>
      </c>
      <c r="AS447" s="8">
        <f t="shared" si="139"/>
        <v>53.291716885567865</v>
      </c>
    </row>
    <row r="448" spans="1:45">
      <c r="A448" s="19">
        <v>18.685333329999999</v>
      </c>
      <c r="B448" s="19">
        <v>1147.9279650000001</v>
      </c>
      <c r="C448" s="19">
        <v>-134.47456740000001</v>
      </c>
      <c r="E448" s="9">
        <f t="shared" si="125"/>
        <v>187.92796500000009</v>
      </c>
      <c r="F448" s="9">
        <f t="shared" si="130"/>
        <v>405.52543259999999</v>
      </c>
      <c r="I448">
        <v>1</v>
      </c>
      <c r="J448">
        <f t="shared" si="126"/>
        <v>0.28789835295988558</v>
      </c>
      <c r="K448">
        <f t="shared" si="131"/>
        <v>1.1368398210414392</v>
      </c>
      <c r="O448">
        <f t="shared" si="132"/>
        <v>0.11938554285999926</v>
      </c>
      <c r="P448">
        <f t="shared" si="133"/>
        <v>0.25761931660616366</v>
      </c>
      <c r="Q448">
        <f t="shared" si="134"/>
        <v>0.95884272947517124</v>
      </c>
      <c r="R448">
        <f t="shared" si="124"/>
        <v>1</v>
      </c>
      <c r="AG448" s="8">
        <f t="shared" si="127"/>
        <v>0.58643338425634095</v>
      </c>
      <c r="AH448" s="8">
        <f t="shared" si="128"/>
        <v>-0.11602383634562907</v>
      </c>
      <c r="AI448" s="8">
        <f t="shared" si="129"/>
        <v>0.80164478120255822</v>
      </c>
      <c r="AJ448" s="8"/>
      <c r="AK448" s="8"/>
      <c r="AL448" s="8"/>
      <c r="AN448" s="8">
        <f t="shared" si="135"/>
        <v>1</v>
      </c>
      <c r="AO448" s="8">
        <f t="shared" si="136"/>
        <v>6.0878612034815633</v>
      </c>
      <c r="AP448" s="8">
        <f t="shared" si="137"/>
        <v>0.64075477510740508</v>
      </c>
      <c r="AQ448" s="8"/>
      <c r="AR448" s="8">
        <f t="shared" si="138"/>
        <v>348.80875322092766</v>
      </c>
      <c r="AS448" s="8">
        <f t="shared" si="139"/>
        <v>53.287455683491466</v>
      </c>
    </row>
    <row r="449" spans="1:45">
      <c r="A449" s="19">
        <v>18.718699999999998</v>
      </c>
      <c r="B449" s="19">
        <v>1148.3311189999999</v>
      </c>
      <c r="C449" s="19">
        <v>-135.27059740000001</v>
      </c>
      <c r="E449" s="9">
        <f t="shared" si="125"/>
        <v>188.33111899999994</v>
      </c>
      <c r="F449" s="9">
        <f t="shared" si="130"/>
        <v>404.72940259999996</v>
      </c>
      <c r="I449">
        <v>1</v>
      </c>
      <c r="J449">
        <f t="shared" si="126"/>
        <v>0.28755894344860028</v>
      </c>
      <c r="K449">
        <f t="shared" si="131"/>
        <v>1.1352706346724295</v>
      </c>
      <c r="O449">
        <f t="shared" si="132"/>
        <v>0.1196523424578213</v>
      </c>
      <c r="P449">
        <f t="shared" si="133"/>
        <v>0.25713658655978489</v>
      </c>
      <c r="Q449">
        <f t="shared" si="134"/>
        <v>0.95893904540212482</v>
      </c>
      <c r="R449">
        <f t="shared" si="124"/>
        <v>1</v>
      </c>
      <c r="AG449" s="8">
        <f t="shared" si="127"/>
        <v>0.58687982390202431</v>
      </c>
      <c r="AH449" s="8">
        <f t="shared" si="128"/>
        <v>-0.11588062922383841</v>
      </c>
      <c r="AI449" s="8">
        <f t="shared" si="129"/>
        <v>0.80133872492686642</v>
      </c>
      <c r="AJ449" s="8"/>
      <c r="AK449" s="8"/>
      <c r="AL449" s="8"/>
      <c r="AN449" s="8">
        <f t="shared" si="135"/>
        <v>0.99999999999999978</v>
      </c>
      <c r="AO449" s="8">
        <f t="shared" si="136"/>
        <v>6.0882408873644573</v>
      </c>
      <c r="AP449" s="8">
        <f t="shared" si="137"/>
        <v>0.64126656994775422</v>
      </c>
      <c r="AQ449" s="8"/>
      <c r="AR449" s="8">
        <f t="shared" si="138"/>
        <v>348.83050750496659</v>
      </c>
      <c r="AS449" s="8">
        <f t="shared" si="139"/>
        <v>53.258131999162892</v>
      </c>
    </row>
    <row r="450" spans="1:45">
      <c r="A450" s="19">
        <v>18.752066670000001</v>
      </c>
      <c r="B450" s="19">
        <v>1149.3544300000001</v>
      </c>
      <c r="C450" s="19">
        <v>-135.08845070000001</v>
      </c>
      <c r="E450" s="9">
        <f t="shared" si="125"/>
        <v>189.35443000000009</v>
      </c>
      <c r="F450" s="9">
        <f t="shared" si="130"/>
        <v>404.91154929999999</v>
      </c>
      <c r="I450">
        <v>1</v>
      </c>
      <c r="J450">
        <f t="shared" si="126"/>
        <v>0.28792631162277088</v>
      </c>
      <c r="K450">
        <f t="shared" si="131"/>
        <v>1.1333669666991859</v>
      </c>
      <c r="O450">
        <f t="shared" si="132"/>
        <v>0.12029085162103965</v>
      </c>
      <c r="P450">
        <f t="shared" si="133"/>
        <v>0.257227439022639</v>
      </c>
      <c r="Q450">
        <f t="shared" si="134"/>
        <v>0.95883479058184973</v>
      </c>
      <c r="R450">
        <f t="shared" si="124"/>
        <v>1</v>
      </c>
      <c r="AG450" s="8">
        <f t="shared" si="127"/>
        <v>0.58695780336794923</v>
      </c>
      <c r="AH450" s="8">
        <f t="shared" si="128"/>
        <v>-0.11523300244922535</v>
      </c>
      <c r="AI450" s="8">
        <f t="shared" si="129"/>
        <v>0.80137500099017855</v>
      </c>
      <c r="AJ450" s="8"/>
      <c r="AK450" s="8"/>
      <c r="AL450" s="8"/>
      <c r="AN450" s="8">
        <f t="shared" si="135"/>
        <v>1</v>
      </c>
      <c r="AO450" s="8">
        <f t="shared" si="136"/>
        <v>6.0893283270534093</v>
      </c>
      <c r="AP450" s="8">
        <f t="shared" si="137"/>
        <v>0.64120592655507425</v>
      </c>
      <c r="AQ450" s="8"/>
      <c r="AR450" s="8">
        <f t="shared" si="138"/>
        <v>348.89281320961857</v>
      </c>
      <c r="AS450" s="8">
        <f t="shared" si="139"/>
        <v>53.261606609618809</v>
      </c>
    </row>
    <row r="451" spans="1:45">
      <c r="A451" s="19">
        <v>18.78543333</v>
      </c>
      <c r="B451" s="19">
        <v>1149.6511069999999</v>
      </c>
      <c r="C451" s="19">
        <v>-135.63591389999999</v>
      </c>
      <c r="E451" s="9">
        <f t="shared" si="125"/>
        <v>189.65110699999991</v>
      </c>
      <c r="F451" s="9">
        <f t="shared" si="130"/>
        <v>404.36408610000001</v>
      </c>
      <c r="I451">
        <v>1</v>
      </c>
      <c r="J451">
        <f t="shared" si="126"/>
        <v>0.28769892035396277</v>
      </c>
      <c r="K451">
        <f t="shared" si="131"/>
        <v>1.1322460034275481</v>
      </c>
      <c r="O451">
        <f t="shared" si="132"/>
        <v>0.12048653358282223</v>
      </c>
      <c r="P451">
        <f t="shared" si="133"/>
        <v>0.25689503114566525</v>
      </c>
      <c r="Q451">
        <f t="shared" si="134"/>
        <v>0.95889933684295725</v>
      </c>
      <c r="R451">
        <f t="shared" si="124"/>
        <v>1</v>
      </c>
      <c r="AG451" s="8">
        <f t="shared" si="127"/>
        <v>0.58726783038606656</v>
      </c>
      <c r="AH451" s="8">
        <f t="shared" si="128"/>
        <v>-0.11512259226092564</v>
      </c>
      <c r="AI451" s="8">
        <f t="shared" si="129"/>
        <v>0.8011637062078929</v>
      </c>
      <c r="AJ451" s="8"/>
      <c r="AK451" s="8"/>
      <c r="AL451" s="8"/>
      <c r="AN451" s="8">
        <f t="shared" si="135"/>
        <v>1</v>
      </c>
      <c r="AO451" s="8">
        <f t="shared" si="136"/>
        <v>6.0896091668029992</v>
      </c>
      <c r="AP451" s="8">
        <f t="shared" si="137"/>
        <v>0.64155908291720409</v>
      </c>
      <c r="AQ451" s="8"/>
      <c r="AR451" s="8">
        <f t="shared" si="138"/>
        <v>348.90890414198958</v>
      </c>
      <c r="AS451" s="8">
        <f t="shared" si="139"/>
        <v>53.241372240560572</v>
      </c>
    </row>
    <row r="452" spans="1:45">
      <c r="A452" s="19">
        <v>18.8188</v>
      </c>
      <c r="B452" s="19">
        <v>1150.205821</v>
      </c>
      <c r="C452" s="19">
        <v>-136.12824449999999</v>
      </c>
      <c r="E452" s="9">
        <f t="shared" si="125"/>
        <v>190.20582100000001</v>
      </c>
      <c r="F452" s="9">
        <f t="shared" si="130"/>
        <v>403.87175550000001</v>
      </c>
      <c r="I452">
        <v>1</v>
      </c>
      <c r="J452">
        <f t="shared" si="126"/>
        <v>0.28757006268346325</v>
      </c>
      <c r="K452">
        <f t="shared" si="131"/>
        <v>1.130652709936238</v>
      </c>
      <c r="O452">
        <f t="shared" si="132"/>
        <v>0.1208430428658244</v>
      </c>
      <c r="P452">
        <f t="shared" si="133"/>
        <v>0.25659094766706558</v>
      </c>
      <c r="Q452">
        <f t="shared" si="134"/>
        <v>0.95893589179164929</v>
      </c>
      <c r="R452">
        <f t="shared" si="124"/>
        <v>1</v>
      </c>
      <c r="AG452" s="8">
        <f t="shared" si="127"/>
        <v>0.58759297694889245</v>
      </c>
      <c r="AH452" s="8">
        <f t="shared" si="128"/>
        <v>-0.11484765037124345</v>
      </c>
      <c r="AI452" s="8">
        <f t="shared" si="129"/>
        <v>0.80096473745386754</v>
      </c>
      <c r="AJ452" s="8"/>
      <c r="AK452" s="8"/>
      <c r="AL452" s="8"/>
      <c r="AN452" s="8">
        <f t="shared" si="135"/>
        <v>1</v>
      </c>
      <c r="AO452" s="8">
        <f t="shared" si="136"/>
        <v>6.090164283843519</v>
      </c>
      <c r="AP452" s="8">
        <f t="shared" si="137"/>
        <v>0.64189148508316007</v>
      </c>
      <c r="AQ452" s="8"/>
      <c r="AR452" s="8">
        <f t="shared" si="138"/>
        <v>348.9407100055472</v>
      </c>
      <c r="AS452" s="8">
        <f t="shared" si="139"/>
        <v>53.222326999350287</v>
      </c>
    </row>
    <row r="453" spans="1:45">
      <c r="A453" s="19">
        <v>18.852166669999999</v>
      </c>
      <c r="B453" s="19">
        <v>1150.843535</v>
      </c>
      <c r="C453" s="19">
        <v>-136.40442759999999</v>
      </c>
      <c r="E453" s="9">
        <f t="shared" si="125"/>
        <v>190.84353499999997</v>
      </c>
      <c r="F453" s="9">
        <f t="shared" si="130"/>
        <v>403.59557240000004</v>
      </c>
      <c r="I453">
        <v>1</v>
      </c>
      <c r="J453">
        <f t="shared" si="126"/>
        <v>0.28758382659416476</v>
      </c>
      <c r="K453">
        <f t="shared" si="131"/>
        <v>1.129096837242739</v>
      </c>
      <c r="O453">
        <f t="shared" si="132"/>
        <v>0.12124776141442445</v>
      </c>
      <c r="P453">
        <f t="shared" si="133"/>
        <v>0.25641455273962144</v>
      </c>
      <c r="Q453">
        <f t="shared" si="134"/>
        <v>0.95893198794040169</v>
      </c>
      <c r="R453">
        <f t="shared" si="124"/>
        <v>1</v>
      </c>
      <c r="AG453" s="8">
        <f t="shared" si="127"/>
        <v>0.58782788056655266</v>
      </c>
      <c r="AH453" s="8">
        <f t="shared" si="128"/>
        <v>-0.11449421029216447</v>
      </c>
      <c r="AI453" s="8">
        <f t="shared" si="129"/>
        <v>0.80084296752747242</v>
      </c>
      <c r="AJ453" s="8"/>
      <c r="AK453" s="8"/>
      <c r="AL453" s="8"/>
      <c r="AN453" s="8">
        <f t="shared" si="135"/>
        <v>0.99999999999999989</v>
      </c>
      <c r="AO453" s="8">
        <f t="shared" si="136"/>
        <v>6.0908187395367381</v>
      </c>
      <c r="AP453" s="8">
        <f t="shared" si="137"/>
        <v>0.64209484406388773</v>
      </c>
      <c r="AQ453" s="8"/>
      <c r="AR453" s="8">
        <f t="shared" si="138"/>
        <v>348.97820755464693</v>
      </c>
      <c r="AS453" s="8">
        <f t="shared" si="139"/>
        <v>53.210675388028513</v>
      </c>
    </row>
    <row r="454" spans="1:45">
      <c r="A454" s="19">
        <v>18.885533330000001</v>
      </c>
      <c r="B454" s="19">
        <v>1151.5845609999999</v>
      </c>
      <c r="C454" s="19">
        <v>-136.8007307</v>
      </c>
      <c r="E454" s="9">
        <f t="shared" si="125"/>
        <v>191.58456099999989</v>
      </c>
      <c r="F454" s="9">
        <f t="shared" si="130"/>
        <v>403.19926929999997</v>
      </c>
      <c r="I454">
        <v>1</v>
      </c>
      <c r="J454">
        <f t="shared" si="126"/>
        <v>0.28755880234374259</v>
      </c>
      <c r="K454">
        <f t="shared" si="131"/>
        <v>1.127216651184783</v>
      </c>
      <c r="O454">
        <f t="shared" si="132"/>
        <v>0.12171935511611832</v>
      </c>
      <c r="P454">
        <f t="shared" si="133"/>
        <v>0.25616445702264157</v>
      </c>
      <c r="Q454">
        <f t="shared" si="134"/>
        <v>0.95893908542118123</v>
      </c>
      <c r="R454">
        <f t="shared" si="124"/>
        <v>1</v>
      </c>
      <c r="AG454" s="8">
        <f t="shared" si="127"/>
        <v>0.58813677539982379</v>
      </c>
      <c r="AH454" s="8">
        <f t="shared" si="128"/>
        <v>-0.11409317802860958</v>
      </c>
      <c r="AI454" s="8">
        <f t="shared" si="129"/>
        <v>0.80067339168329388</v>
      </c>
      <c r="AJ454" s="8"/>
      <c r="AK454" s="8"/>
      <c r="AL454" s="8"/>
      <c r="AN454" s="8">
        <f t="shared" si="135"/>
        <v>1</v>
      </c>
      <c r="AO454" s="8">
        <f t="shared" si="136"/>
        <v>6.0915743554496391</v>
      </c>
      <c r="AP454" s="8">
        <f t="shared" si="137"/>
        <v>0.64237794809176607</v>
      </c>
      <c r="AQ454" s="8"/>
      <c r="AR454" s="8">
        <f t="shared" si="138"/>
        <v>349.02150115738908</v>
      </c>
      <c r="AS454" s="8">
        <f t="shared" si="139"/>
        <v>53.194454722067931</v>
      </c>
    </row>
    <row r="455" spans="1:45">
      <c r="A455" s="19">
        <v>18.918900000000001</v>
      </c>
      <c r="B455" s="19">
        <v>1152.446578</v>
      </c>
      <c r="C455" s="19">
        <v>-137.0456551</v>
      </c>
      <c r="E455" s="9">
        <f t="shared" si="125"/>
        <v>192.44657800000004</v>
      </c>
      <c r="F455" s="9">
        <f t="shared" si="130"/>
        <v>402.95434490000002</v>
      </c>
      <c r="I455">
        <v>1</v>
      </c>
      <c r="J455">
        <f t="shared" si="126"/>
        <v>0.28765076911086579</v>
      </c>
      <c r="K455">
        <f t="shared" si="131"/>
        <v>1.1252376882242501</v>
      </c>
      <c r="O455">
        <f t="shared" si="132"/>
        <v>0.12226406266642001</v>
      </c>
      <c r="P455">
        <f t="shared" si="133"/>
        <v>0.25600265688569335</v>
      </c>
      <c r="Q455">
        <f t="shared" si="134"/>
        <v>0.95891299847680012</v>
      </c>
      <c r="R455">
        <f t="shared" si="124"/>
        <v>1</v>
      </c>
      <c r="AG455" s="8">
        <f t="shared" si="127"/>
        <v>0.58839245390111994</v>
      </c>
      <c r="AH455" s="8">
        <f t="shared" si="128"/>
        <v>-0.11359883805580498</v>
      </c>
      <c r="AI455" s="8">
        <f t="shared" si="129"/>
        <v>0.80055582202903841</v>
      </c>
      <c r="AJ455" s="8"/>
      <c r="AK455" s="8"/>
      <c r="AL455" s="8"/>
      <c r="AN455" s="8">
        <f t="shared" si="135"/>
        <v>1</v>
      </c>
      <c r="AO455" s="8">
        <f t="shared" si="136"/>
        <v>6.0924654313983888</v>
      </c>
      <c r="AP455" s="8">
        <f t="shared" si="137"/>
        <v>0.64257416579664017</v>
      </c>
      <c r="AQ455" s="8"/>
      <c r="AR455" s="8">
        <f t="shared" si="138"/>
        <v>349.07255604847808</v>
      </c>
      <c r="AS455" s="8">
        <f t="shared" si="139"/>
        <v>53.183212275712897</v>
      </c>
    </row>
    <row r="456" spans="1:45">
      <c r="A456" s="19">
        <v>18.95226667</v>
      </c>
      <c r="B456" s="19">
        <v>1153.382867</v>
      </c>
      <c r="C456" s="19">
        <v>-137.3039139</v>
      </c>
      <c r="E456" s="9">
        <f t="shared" si="125"/>
        <v>193.38286700000003</v>
      </c>
      <c r="F456" s="9">
        <f t="shared" si="130"/>
        <v>402.6960861</v>
      </c>
      <c r="I456">
        <v>1</v>
      </c>
      <c r="J456">
        <f t="shared" si="126"/>
        <v>0.28775617578896523</v>
      </c>
      <c r="K456">
        <f t="shared" si="131"/>
        <v>1.1230972555452989</v>
      </c>
      <c r="O456">
        <f t="shared" si="132"/>
        <v>0.1228554929173875</v>
      </c>
      <c r="P456">
        <f t="shared" si="133"/>
        <v>0.25583148559752306</v>
      </c>
      <c r="Q456">
        <f t="shared" si="134"/>
        <v>0.95888308924341248</v>
      </c>
      <c r="R456">
        <f t="shared" si="124"/>
        <v>1</v>
      </c>
      <c r="AG456" s="8">
        <f t="shared" si="127"/>
        <v>0.58866620737296849</v>
      </c>
      <c r="AH456" s="8">
        <f t="shared" si="128"/>
        <v>-0.11306088675809403</v>
      </c>
      <c r="AI456" s="8">
        <f t="shared" si="129"/>
        <v>0.80043071666609511</v>
      </c>
      <c r="AJ456" s="8"/>
      <c r="AK456" s="8"/>
      <c r="AL456" s="8"/>
      <c r="AN456" s="8">
        <f t="shared" si="135"/>
        <v>0.99999999999999989</v>
      </c>
      <c r="AO456" s="8">
        <f t="shared" si="136"/>
        <v>6.0934331776282802</v>
      </c>
      <c r="AP456" s="8">
        <f t="shared" si="137"/>
        <v>0.64278290374239977</v>
      </c>
      <c r="AQ456" s="8"/>
      <c r="AR456" s="8">
        <f t="shared" si="138"/>
        <v>349.12800382309052</v>
      </c>
      <c r="AS456" s="8">
        <f t="shared" si="139"/>
        <v>53.171252472396645</v>
      </c>
    </row>
    <row r="457" spans="1:45">
      <c r="A457" s="19">
        <v>18.985633329999999</v>
      </c>
      <c r="B457" s="19">
        <v>1153.556247</v>
      </c>
      <c r="C457" s="19">
        <v>-137.52366960000001</v>
      </c>
      <c r="E457" s="9">
        <f t="shared" si="125"/>
        <v>193.55624699999998</v>
      </c>
      <c r="F457" s="9">
        <f t="shared" si="130"/>
        <v>402.47633039999999</v>
      </c>
      <c r="I457">
        <v>1</v>
      </c>
      <c r="J457">
        <f t="shared" si="126"/>
        <v>0.2876805884174608</v>
      </c>
      <c r="K457">
        <f t="shared" si="131"/>
        <v>1.1225342831848071</v>
      </c>
      <c r="O457">
        <f t="shared" si="132"/>
        <v>0.12296808655469886</v>
      </c>
      <c r="P457">
        <f t="shared" si="133"/>
        <v>0.25569696147727428</v>
      </c>
      <c r="Q457">
        <f t="shared" si="134"/>
        <v>0.95890453830418665</v>
      </c>
      <c r="R457">
        <f t="shared" si="124"/>
        <v>1</v>
      </c>
      <c r="AG457" s="8">
        <f t="shared" si="127"/>
        <v>0.58879916834708967</v>
      </c>
      <c r="AH457" s="8">
        <f t="shared" si="128"/>
        <v>-0.11298334756445019</v>
      </c>
      <c r="AI457" s="8">
        <f t="shared" si="129"/>
        <v>0.80034386517727873</v>
      </c>
      <c r="AJ457" s="8"/>
      <c r="AK457" s="8"/>
      <c r="AL457" s="8"/>
      <c r="AN457" s="8">
        <f t="shared" si="135"/>
        <v>1</v>
      </c>
      <c r="AO457" s="8">
        <f t="shared" si="136"/>
        <v>6.0936020166267477</v>
      </c>
      <c r="AP457" s="8">
        <f t="shared" si="137"/>
        <v>0.64292778099657488</v>
      </c>
      <c r="AQ457" s="8"/>
      <c r="AR457" s="8">
        <f t="shared" si="138"/>
        <v>349.13767758511995</v>
      </c>
      <c r="AS457" s="8">
        <f t="shared" si="139"/>
        <v>53.162951617184966</v>
      </c>
    </row>
    <row r="458" spans="1:45">
      <c r="A458" s="19">
        <v>19.018999999999998</v>
      </c>
      <c r="B458" s="19">
        <v>1154.2446299999999</v>
      </c>
      <c r="C458" s="19">
        <v>-138.00229709999999</v>
      </c>
      <c r="E458" s="9">
        <f t="shared" si="125"/>
        <v>194.24462999999992</v>
      </c>
      <c r="F458" s="9">
        <f t="shared" si="130"/>
        <v>401.99770290000004</v>
      </c>
      <c r="I458">
        <v>1</v>
      </c>
      <c r="J458">
        <f t="shared" si="126"/>
        <v>0.28759930857534566</v>
      </c>
      <c r="K458">
        <f t="shared" si="131"/>
        <v>1.1206801510582609</v>
      </c>
      <c r="O458">
        <f t="shared" si="132"/>
        <v>0.12340806125922024</v>
      </c>
      <c r="P458">
        <f t="shared" si="133"/>
        <v>0.25539834560960084</v>
      </c>
      <c r="Q458">
        <f t="shared" si="134"/>
        <v>0.95892759657657123</v>
      </c>
      <c r="R458">
        <f t="shared" si="124"/>
        <v>1</v>
      </c>
      <c r="AG458" s="8">
        <f t="shared" si="127"/>
        <v>0.58913843849802494</v>
      </c>
      <c r="AH458" s="8">
        <f t="shared" si="128"/>
        <v>-0.11262486516313558</v>
      </c>
      <c r="AI458" s="8">
        <f t="shared" si="129"/>
        <v>0.80014469943323019</v>
      </c>
      <c r="AJ458" s="8"/>
      <c r="AK458" s="8"/>
      <c r="AL458" s="8"/>
      <c r="AN458" s="8">
        <f t="shared" si="135"/>
        <v>0.99999999999999978</v>
      </c>
      <c r="AO458" s="8">
        <f t="shared" si="136"/>
        <v>6.0942955643606362</v>
      </c>
      <c r="AP458" s="8">
        <f t="shared" si="137"/>
        <v>0.64325990428248425</v>
      </c>
      <c r="AQ458" s="8"/>
      <c r="AR458" s="8">
        <f t="shared" si="138"/>
        <v>349.1774149431626</v>
      </c>
      <c r="AS458" s="8">
        <f t="shared" si="139"/>
        <v>53.143922354624344</v>
      </c>
    </row>
    <row r="459" spans="1:45">
      <c r="A459" s="19">
        <v>19.052366670000001</v>
      </c>
      <c r="B459" s="19">
        <v>1155.152315</v>
      </c>
      <c r="C459" s="19">
        <v>-138.22267260000001</v>
      </c>
      <c r="E459" s="9">
        <f t="shared" si="125"/>
        <v>195.15231500000004</v>
      </c>
      <c r="F459" s="9">
        <f t="shared" si="130"/>
        <v>401.77732739999999</v>
      </c>
      <c r="I459">
        <v>1</v>
      </c>
      <c r="J459">
        <f t="shared" si="126"/>
        <v>0.28772065760186599</v>
      </c>
      <c r="K459">
        <f t="shared" si="131"/>
        <v>1.1186357636709037</v>
      </c>
      <c r="O459">
        <f t="shared" si="132"/>
        <v>0.12398077624687931</v>
      </c>
      <c r="P459">
        <f t="shared" si="133"/>
        <v>0.25525018716507952</v>
      </c>
      <c r="Q459">
        <f t="shared" si="134"/>
        <v>0.95889316874895569</v>
      </c>
      <c r="R459">
        <f t="shared" si="124"/>
        <v>1</v>
      </c>
      <c r="AG459" s="8">
        <f t="shared" si="127"/>
        <v>0.58938900347908407</v>
      </c>
      <c r="AH459" s="8">
        <f t="shared" si="128"/>
        <v>-0.11209942196775907</v>
      </c>
      <c r="AI459" s="8">
        <f t="shared" si="129"/>
        <v>0.80003395063736304</v>
      </c>
      <c r="AJ459" s="8"/>
      <c r="AK459" s="8"/>
      <c r="AL459" s="8"/>
      <c r="AN459" s="8">
        <f t="shared" si="135"/>
        <v>1.0000000000000002</v>
      </c>
      <c r="AO459" s="8">
        <f t="shared" si="136"/>
        <v>6.0952342111731728</v>
      </c>
      <c r="AP459" s="8">
        <f t="shared" si="137"/>
        <v>0.64344452226295923</v>
      </c>
      <c r="AQ459" s="8"/>
      <c r="AR459" s="8">
        <f t="shared" si="138"/>
        <v>349.23119544397434</v>
      </c>
      <c r="AS459" s="8">
        <f t="shared" si="139"/>
        <v>53.133344523520897</v>
      </c>
    </row>
    <row r="460" spans="1:45">
      <c r="A460" s="19">
        <v>19.08573333</v>
      </c>
      <c r="B460" s="19">
        <v>1155.897361</v>
      </c>
      <c r="C460" s="19">
        <v>-138.72787729999999</v>
      </c>
      <c r="E460" s="9">
        <f t="shared" si="125"/>
        <v>195.89736100000005</v>
      </c>
      <c r="F460" s="9">
        <f t="shared" si="130"/>
        <v>401.27212270000001</v>
      </c>
      <c r="I460">
        <v>1</v>
      </c>
      <c r="J460">
        <f t="shared" si="126"/>
        <v>0.28764196120814767</v>
      </c>
      <c r="K460">
        <f t="shared" si="131"/>
        <v>1.1166406259950601</v>
      </c>
      <c r="O460">
        <f t="shared" si="132"/>
        <v>0.12445668281678472</v>
      </c>
      <c r="P460">
        <f t="shared" si="133"/>
        <v>0.25493450776037663</v>
      </c>
      <c r="Q460">
        <f t="shared" si="134"/>
        <v>0.95891549724426539</v>
      </c>
      <c r="R460">
        <f t="shared" si="124"/>
        <v>1</v>
      </c>
      <c r="AG460" s="8">
        <f t="shared" si="127"/>
        <v>0.58974968779684311</v>
      </c>
      <c r="AH460" s="8">
        <f t="shared" si="128"/>
        <v>-0.11170968786321622</v>
      </c>
      <c r="AI460" s="8">
        <f t="shared" si="129"/>
        <v>0.79982263745222226</v>
      </c>
      <c r="AJ460" s="8"/>
      <c r="AK460" s="8"/>
      <c r="AL460" s="8"/>
      <c r="AN460" s="8">
        <f t="shared" si="135"/>
        <v>1</v>
      </c>
      <c r="AO460" s="8">
        <f t="shared" si="136"/>
        <v>6.0959843542365011</v>
      </c>
      <c r="AP460" s="8">
        <f t="shared" si="137"/>
        <v>0.64379665481225068</v>
      </c>
      <c r="AQ460" s="8"/>
      <c r="AR460" s="8">
        <f t="shared" si="138"/>
        <v>349.27417547553409</v>
      </c>
      <c r="AS460" s="8">
        <f t="shared" si="139"/>
        <v>53.113168814617318</v>
      </c>
    </row>
    <row r="461" spans="1:45">
      <c r="A461" s="19">
        <v>19.1191</v>
      </c>
      <c r="B461" s="19">
        <v>1156.479746</v>
      </c>
      <c r="C461" s="19">
        <v>-138.84106689999999</v>
      </c>
      <c r="E461" s="9">
        <f t="shared" si="125"/>
        <v>196.47974599999998</v>
      </c>
      <c r="F461" s="9">
        <f t="shared" si="130"/>
        <v>401.15893310000001</v>
      </c>
      <c r="I461">
        <v>1</v>
      </c>
      <c r="J461">
        <f t="shared" si="126"/>
        <v>0.28773671194027584</v>
      </c>
      <c r="K461">
        <f t="shared" si="131"/>
        <v>1.1153578452618187</v>
      </c>
      <c r="O461">
        <f t="shared" si="132"/>
        <v>0.12482356926870759</v>
      </c>
      <c r="P461">
        <f t="shared" si="133"/>
        <v>0.25485624291049674</v>
      </c>
      <c r="Q461">
        <f t="shared" si="134"/>
        <v>0.95888861292882499</v>
      </c>
      <c r="R461">
        <f t="shared" si="124"/>
        <v>1</v>
      </c>
      <c r="AG461" s="8">
        <f t="shared" si="127"/>
        <v>0.589896709219636</v>
      </c>
      <c r="AH461" s="8">
        <f t="shared" si="128"/>
        <v>-0.11136890956941387</v>
      </c>
      <c r="AI461" s="8">
        <f t="shared" si="129"/>
        <v>0.79976173854040056</v>
      </c>
      <c r="AJ461" s="8"/>
      <c r="AK461" s="8"/>
      <c r="AL461" s="8"/>
      <c r="AN461" s="8">
        <f t="shared" si="135"/>
        <v>1</v>
      </c>
      <c r="AO461" s="8">
        <f t="shared" si="136"/>
        <v>6.0965876793650855</v>
      </c>
      <c r="AP461" s="8">
        <f t="shared" si="137"/>
        <v>0.64389810616510423</v>
      </c>
      <c r="AQ461" s="8"/>
      <c r="AR461" s="8">
        <f t="shared" si="138"/>
        <v>349.30874345907614</v>
      </c>
      <c r="AS461" s="8">
        <f t="shared" si="139"/>
        <v>53.107356080272915</v>
      </c>
    </row>
    <row r="462" spans="1:45">
      <c r="A462" s="19">
        <v>19.152466669999999</v>
      </c>
      <c r="B462" s="19">
        <v>1157.1918390000001</v>
      </c>
      <c r="C462" s="19">
        <v>-138.86378640000001</v>
      </c>
      <c r="E462" s="9">
        <f t="shared" si="125"/>
        <v>197.19183900000007</v>
      </c>
      <c r="F462" s="9">
        <f t="shared" si="130"/>
        <v>401.13621360000002</v>
      </c>
      <c r="I462">
        <v>1</v>
      </c>
      <c r="J462">
        <f t="shared" si="126"/>
        <v>0.2879169757819719</v>
      </c>
      <c r="K462">
        <f t="shared" si="131"/>
        <v>1.1139047701012286</v>
      </c>
      <c r="O462">
        <f t="shared" si="132"/>
        <v>0.12527001651764696</v>
      </c>
      <c r="P462">
        <f t="shared" si="133"/>
        <v>0.25482971485193334</v>
      </c>
      <c r="Q462">
        <f t="shared" si="134"/>
        <v>0.95883744158754602</v>
      </c>
      <c r="R462">
        <f t="shared" si="124"/>
        <v>1</v>
      </c>
      <c r="AG462" s="8">
        <f t="shared" si="127"/>
        <v>0.59002100238928068</v>
      </c>
      <c r="AH462" s="8">
        <f t="shared" si="128"/>
        <v>-0.11093742080623056</v>
      </c>
      <c r="AI462" s="8">
        <f t="shared" si="129"/>
        <v>0.79973002032211449</v>
      </c>
      <c r="AJ462" s="8"/>
      <c r="AK462" s="8"/>
      <c r="AL462" s="8"/>
      <c r="AN462" s="8">
        <f t="shared" si="135"/>
        <v>0.99999999999999989</v>
      </c>
      <c r="AO462" s="8">
        <f t="shared" si="136"/>
        <v>6.0973323279793421</v>
      </c>
      <c r="AP462" s="8">
        <f t="shared" si="137"/>
        <v>0.64395094003949926</v>
      </c>
      <c r="AQ462" s="8"/>
      <c r="AR462" s="8">
        <f t="shared" si="138"/>
        <v>349.35140868189336</v>
      </c>
      <c r="AS462" s="8">
        <f t="shared" si="139"/>
        <v>53.104328922254751</v>
      </c>
    </row>
    <row r="463" spans="1:45">
      <c r="A463" s="19">
        <v>19.185833330000001</v>
      </c>
      <c r="B463" s="19">
        <v>1157.553398</v>
      </c>
      <c r="C463" s="19">
        <v>-139.0733927</v>
      </c>
      <c r="E463" s="9">
        <f t="shared" si="125"/>
        <v>197.55339800000002</v>
      </c>
      <c r="F463" s="9">
        <f t="shared" si="130"/>
        <v>400.9266073</v>
      </c>
      <c r="I463">
        <v>1</v>
      </c>
      <c r="J463">
        <f t="shared" si="126"/>
        <v>0.28789951697588628</v>
      </c>
      <c r="K463">
        <f t="shared" si="131"/>
        <v>1.112971918725377</v>
      </c>
      <c r="O463">
        <f t="shared" si="132"/>
        <v>0.12550028109901459</v>
      </c>
      <c r="P463">
        <f t="shared" si="133"/>
        <v>0.25469772945249086</v>
      </c>
      <c r="Q463">
        <f t="shared" si="134"/>
        <v>0.95884239896649026</v>
      </c>
      <c r="R463">
        <f t="shared" si="124"/>
        <v>1</v>
      </c>
      <c r="AG463" s="8">
        <f t="shared" si="127"/>
        <v>0.59017882344521466</v>
      </c>
      <c r="AH463" s="8">
        <f t="shared" si="128"/>
        <v>-0.1107436953218551</v>
      </c>
      <c r="AI463" s="8">
        <f t="shared" si="129"/>
        <v>0.79964041312535128</v>
      </c>
      <c r="AJ463" s="8"/>
      <c r="AK463" s="8"/>
      <c r="AL463" s="8"/>
      <c r="AN463" s="8">
        <f t="shared" si="135"/>
        <v>1.0000000000000002</v>
      </c>
      <c r="AO463" s="8">
        <f t="shared" si="136"/>
        <v>6.097697956473513</v>
      </c>
      <c r="AP463" s="8">
        <f t="shared" si="137"/>
        <v>0.64410018102851097</v>
      </c>
      <c r="AQ463" s="8"/>
      <c r="AR463" s="8">
        <f t="shared" si="138"/>
        <v>349.37235765147904</v>
      </c>
      <c r="AS463" s="8">
        <f t="shared" si="139"/>
        <v>53.095778043454025</v>
      </c>
    </row>
    <row r="464" spans="1:45">
      <c r="A464" s="19">
        <v>19.219200000000001</v>
      </c>
      <c r="B464" s="19">
        <v>1158.583404</v>
      </c>
      <c r="C464" s="19">
        <v>-139.6711842</v>
      </c>
      <c r="E464" s="9">
        <f t="shared" si="125"/>
        <v>198.58340399999997</v>
      </c>
      <c r="F464" s="9">
        <f t="shared" si="130"/>
        <v>400.32881580000003</v>
      </c>
      <c r="I464">
        <v>1</v>
      </c>
      <c r="J464">
        <f t="shared" si="126"/>
        <v>0.28785072318515043</v>
      </c>
      <c r="K464">
        <f t="shared" si="131"/>
        <v>1.1103131167060338</v>
      </c>
      <c r="O464">
        <f t="shared" si="132"/>
        <v>0.126156236779944</v>
      </c>
      <c r="P464">
        <f t="shared" si="133"/>
        <v>0.25432123661199502</v>
      </c>
      <c r="Q464">
        <f t="shared" si="134"/>
        <v>0.9588562522764652</v>
      </c>
      <c r="R464">
        <f t="shared" si="124"/>
        <v>1</v>
      </c>
      <c r="AG464" s="8">
        <f t="shared" si="127"/>
        <v>0.59062851469129674</v>
      </c>
      <c r="AH464" s="8">
        <f t="shared" si="128"/>
        <v>-0.11019183758005038</v>
      </c>
      <c r="AI464" s="8">
        <f t="shared" si="129"/>
        <v>0.79938458614379382</v>
      </c>
      <c r="AJ464" s="8"/>
      <c r="AK464" s="8"/>
      <c r="AL464" s="8"/>
      <c r="AN464" s="8">
        <f t="shared" si="135"/>
        <v>1</v>
      </c>
      <c r="AO464" s="8">
        <f t="shared" si="136"/>
        <v>6.0987387448071768</v>
      </c>
      <c r="AP464" s="8">
        <f t="shared" si="137"/>
        <v>0.64452609833079755</v>
      </c>
      <c r="AQ464" s="8"/>
      <c r="AR464" s="8">
        <f t="shared" si="138"/>
        <v>349.43199043036446</v>
      </c>
      <c r="AS464" s="8">
        <f t="shared" si="139"/>
        <v>53.071374779611411</v>
      </c>
    </row>
    <row r="465" spans="1:45">
      <c r="A465" s="19">
        <v>19.25256667</v>
      </c>
      <c r="B465" s="19">
        <v>1159.1595010000001</v>
      </c>
      <c r="C465" s="19">
        <v>-139.7192436</v>
      </c>
      <c r="E465" s="9">
        <f t="shared" si="125"/>
        <v>199.15950100000009</v>
      </c>
      <c r="F465" s="9">
        <f t="shared" si="130"/>
        <v>400.28075639999997</v>
      </c>
      <c r="I465">
        <v>1</v>
      </c>
      <c r="J465">
        <f t="shared" si="126"/>
        <v>0.28798180332042411</v>
      </c>
      <c r="K465">
        <f t="shared" si="131"/>
        <v>1.1091110171305354</v>
      </c>
      <c r="O465">
        <f t="shared" si="132"/>
        <v>0.12651785215250416</v>
      </c>
      <c r="P465">
        <f t="shared" si="133"/>
        <v>0.254281926312457</v>
      </c>
      <c r="Q465">
        <f t="shared" si="134"/>
        <v>0.9588190314327012</v>
      </c>
      <c r="R465">
        <f t="shared" si="124"/>
        <v>1</v>
      </c>
      <c r="AG465" s="8">
        <f t="shared" si="127"/>
        <v>0.59074294595379051</v>
      </c>
      <c r="AH465" s="8">
        <f t="shared" si="128"/>
        <v>-0.10984654009642311</v>
      </c>
      <c r="AI465" s="8">
        <f t="shared" si="129"/>
        <v>0.79934755234170929</v>
      </c>
      <c r="AJ465" s="8"/>
      <c r="AK465" s="8"/>
      <c r="AL465" s="8"/>
      <c r="AN465" s="8">
        <f t="shared" si="135"/>
        <v>0.99999999999999978</v>
      </c>
      <c r="AO465" s="8">
        <f t="shared" si="136"/>
        <v>6.0993385886150868</v>
      </c>
      <c r="AP465" s="8">
        <f t="shared" si="137"/>
        <v>0.64458773460058916</v>
      </c>
      <c r="AQ465" s="8"/>
      <c r="AR465" s="8">
        <f t="shared" si="138"/>
        <v>349.46635894892472</v>
      </c>
      <c r="AS465" s="8">
        <f t="shared" si="139"/>
        <v>53.06784328148742</v>
      </c>
    </row>
    <row r="466" spans="1:45">
      <c r="A466" s="19">
        <v>19.285933329999999</v>
      </c>
      <c r="B466" s="19">
        <v>1159.9310809999999</v>
      </c>
      <c r="C466" s="19">
        <v>-140.4475577</v>
      </c>
      <c r="E466" s="9">
        <f t="shared" si="125"/>
        <v>199.93108099999995</v>
      </c>
      <c r="F466" s="9">
        <f t="shared" si="130"/>
        <v>399.5524423</v>
      </c>
      <c r="I466">
        <v>1</v>
      </c>
      <c r="J466">
        <f t="shared" si="126"/>
        <v>0.28779299295529748</v>
      </c>
      <c r="K466">
        <f t="shared" si="131"/>
        <v>1.106838699235458</v>
      </c>
      <c r="O466">
        <f t="shared" si="132"/>
        <v>0.12701432063345439</v>
      </c>
      <c r="P466">
        <f t="shared" si="133"/>
        <v>0.2538318792772995</v>
      </c>
      <c r="Q466">
        <f t="shared" si="134"/>
        <v>0.9588726398310552</v>
      </c>
      <c r="R466">
        <f t="shared" si="124"/>
        <v>1</v>
      </c>
      <c r="AG466" s="8">
        <f t="shared" si="127"/>
        <v>0.59121362202140459</v>
      </c>
      <c r="AH466" s="8">
        <f t="shared" si="128"/>
        <v>-0.10946890601958278</v>
      </c>
      <c r="AI466" s="8">
        <f t="shared" si="129"/>
        <v>0.79905131984823585</v>
      </c>
      <c r="AJ466" s="8"/>
      <c r="AK466" s="8"/>
      <c r="AL466" s="8"/>
      <c r="AN466" s="8">
        <f t="shared" si="135"/>
        <v>1.0000000000000002</v>
      </c>
      <c r="AO466" s="8">
        <f t="shared" si="136"/>
        <v>6.1000991806987388</v>
      </c>
      <c r="AP466" s="8">
        <f t="shared" si="137"/>
        <v>0.64508057988401168</v>
      </c>
      <c r="AQ466" s="8"/>
      <c r="AR466" s="8">
        <f t="shared" si="138"/>
        <v>349.50993766524908</v>
      </c>
      <c r="AS466" s="8">
        <f t="shared" si="139"/>
        <v>53.03960532679438</v>
      </c>
    </row>
    <row r="467" spans="1:45">
      <c r="A467" s="19">
        <v>19.319299999999998</v>
      </c>
      <c r="B467" s="19">
        <v>1160.3770689999999</v>
      </c>
      <c r="C467" s="19">
        <v>-140.4590019</v>
      </c>
      <c r="E467" s="9">
        <f t="shared" si="125"/>
        <v>200.37706899999989</v>
      </c>
      <c r="F467" s="9">
        <f t="shared" si="130"/>
        <v>399.54099810000002</v>
      </c>
      <c r="I467">
        <v>1</v>
      </c>
      <c r="J467">
        <f t="shared" si="126"/>
        <v>0.28790947897665436</v>
      </c>
      <c r="K467">
        <f t="shared" si="131"/>
        <v>1.1059349219054277</v>
      </c>
      <c r="O467">
        <f t="shared" si="132"/>
        <v>0.12729374822710499</v>
      </c>
      <c r="P467">
        <f t="shared" si="133"/>
        <v>0.25381682381304649</v>
      </c>
      <c r="Q467">
        <f t="shared" si="134"/>
        <v>0.95883957032016121</v>
      </c>
      <c r="R467">
        <f t="shared" si="124"/>
        <v>1</v>
      </c>
      <c r="AG467" s="8">
        <f t="shared" si="127"/>
        <v>0.59128972758010001</v>
      </c>
      <c r="AH467" s="8">
        <f t="shared" si="128"/>
        <v>-0.10919828437749099</v>
      </c>
      <c r="AI467" s="8">
        <f t="shared" si="129"/>
        <v>0.7990320348692308</v>
      </c>
      <c r="AJ467" s="8"/>
      <c r="AK467" s="8"/>
      <c r="AL467" s="8"/>
      <c r="AN467" s="8">
        <f t="shared" si="135"/>
        <v>0.99999999999999989</v>
      </c>
      <c r="AO467" s="8">
        <f t="shared" si="136"/>
        <v>6.1005647721664813</v>
      </c>
      <c r="AP467" s="8">
        <f t="shared" si="137"/>
        <v>0.64511265332530554</v>
      </c>
      <c r="AQ467" s="8"/>
      <c r="AR467" s="8">
        <f t="shared" si="138"/>
        <v>349.53661409132803</v>
      </c>
      <c r="AS467" s="8">
        <f t="shared" si="139"/>
        <v>53.037767653973781</v>
      </c>
    </row>
    <row r="468" spans="1:45">
      <c r="A468" s="19">
        <v>19.352666670000001</v>
      </c>
      <c r="B468" s="19">
        <v>1161.1968830000001</v>
      </c>
      <c r="C468" s="19">
        <v>-140.1638179</v>
      </c>
      <c r="E468" s="9">
        <f t="shared" si="125"/>
        <v>201.19688300000007</v>
      </c>
      <c r="F468" s="9">
        <f t="shared" si="130"/>
        <v>399.83618209999997</v>
      </c>
      <c r="I468">
        <v>1</v>
      </c>
      <c r="J468">
        <f t="shared" si="126"/>
        <v>0.28829773488331278</v>
      </c>
      <c r="K468">
        <f t="shared" si="131"/>
        <v>1.1045933606979732</v>
      </c>
      <c r="O468">
        <f t="shared" si="132"/>
        <v>0.12780147157301572</v>
      </c>
      <c r="P468">
        <f t="shared" si="133"/>
        <v>0.25397835045245842</v>
      </c>
      <c r="Q468">
        <f t="shared" si="134"/>
        <v>0.95872925342101656</v>
      </c>
      <c r="R468">
        <f t="shared" si="124"/>
        <v>1</v>
      </c>
      <c r="AG468" s="8">
        <f t="shared" si="127"/>
        <v>0.59127825961364755</v>
      </c>
      <c r="AH468" s="8">
        <f t="shared" si="128"/>
        <v>-0.10866049138752362</v>
      </c>
      <c r="AI468" s="8">
        <f t="shared" si="129"/>
        <v>0.79911383251679347</v>
      </c>
      <c r="AJ468" s="8"/>
      <c r="AK468" s="8"/>
      <c r="AL468" s="8"/>
      <c r="AN468" s="8">
        <f t="shared" si="135"/>
        <v>1</v>
      </c>
      <c r="AO468" s="8">
        <f t="shared" si="136"/>
        <v>6.1014409951709148</v>
      </c>
      <c r="AP468" s="8">
        <f t="shared" si="137"/>
        <v>0.64497660374403842</v>
      </c>
      <c r="AQ468" s="8"/>
      <c r="AR468" s="8">
        <f t="shared" si="138"/>
        <v>349.58681797139434</v>
      </c>
      <c r="AS468" s="8">
        <f t="shared" si="139"/>
        <v>53.045562720784908</v>
      </c>
    </row>
    <row r="469" spans="1:45">
      <c r="A469" s="19">
        <v>19.38603333</v>
      </c>
      <c r="B469" s="19">
        <v>1161.853869</v>
      </c>
      <c r="C469" s="19">
        <v>-140.92870210000001</v>
      </c>
      <c r="E469" s="9">
        <f t="shared" si="125"/>
        <v>201.85386900000003</v>
      </c>
      <c r="F469" s="9">
        <f t="shared" si="130"/>
        <v>399.07129789999999</v>
      </c>
      <c r="I469">
        <v>1</v>
      </c>
      <c r="J469">
        <f t="shared" si="126"/>
        <v>0.28805993406955654</v>
      </c>
      <c r="K469">
        <f t="shared" si="131"/>
        <v>1.1025122945257435</v>
      </c>
      <c r="O469">
        <f t="shared" si="132"/>
        <v>0.12822683352029779</v>
      </c>
      <c r="P469">
        <f t="shared" si="133"/>
        <v>0.25350838768689865</v>
      </c>
      <c r="Q469">
        <f t="shared" si="134"/>
        <v>0.95879683798902204</v>
      </c>
      <c r="R469">
        <f t="shared" si="124"/>
        <v>1</v>
      </c>
      <c r="AG469" s="8">
        <f t="shared" si="127"/>
        <v>0.5917478445965898</v>
      </c>
      <c r="AH469" s="8">
        <f t="shared" si="128"/>
        <v>-0.10835730106195304</v>
      </c>
      <c r="AI469" s="8">
        <f t="shared" si="129"/>
        <v>0.79880735081861864</v>
      </c>
      <c r="AJ469" s="8"/>
      <c r="AK469" s="8"/>
      <c r="AL469" s="8"/>
      <c r="AN469" s="8">
        <f t="shared" si="135"/>
        <v>1</v>
      </c>
      <c r="AO469" s="8">
        <f t="shared" si="136"/>
        <v>6.1020777645399606</v>
      </c>
      <c r="AP469" s="8">
        <f t="shared" si="137"/>
        <v>0.64548623159189844</v>
      </c>
      <c r="AQ469" s="8"/>
      <c r="AR469" s="8">
        <f t="shared" si="138"/>
        <v>349.62330216876387</v>
      </c>
      <c r="AS469" s="8">
        <f t="shared" si="139"/>
        <v>53.01636319598019</v>
      </c>
    </row>
    <row r="470" spans="1:45">
      <c r="A470" s="19">
        <v>19.4194</v>
      </c>
      <c r="B470" s="19">
        <v>1162.2111609999999</v>
      </c>
      <c r="C470" s="19">
        <v>-141.69880739999999</v>
      </c>
      <c r="E470" s="9">
        <f t="shared" si="125"/>
        <v>202.21116099999995</v>
      </c>
      <c r="F470" s="9">
        <f t="shared" si="130"/>
        <v>398.30119260000004</v>
      </c>
      <c r="I470">
        <v>1</v>
      </c>
      <c r="J470">
        <f t="shared" si="126"/>
        <v>0.28773699641253514</v>
      </c>
      <c r="K470">
        <f t="shared" si="131"/>
        <v>1.1010203940503858</v>
      </c>
      <c r="O470">
        <f t="shared" si="132"/>
        <v>0.12846472721086055</v>
      </c>
      <c r="P470">
        <f t="shared" si="133"/>
        <v>0.25304070162140779</v>
      </c>
      <c r="Q470">
        <f t="shared" si="134"/>
        <v>0.95888853220047676</v>
      </c>
      <c r="R470">
        <f t="shared" si="124"/>
        <v>1</v>
      </c>
      <c r="AG470" s="8">
        <f t="shared" si="127"/>
        <v>0.59217245831264731</v>
      </c>
      <c r="AH470" s="8">
        <f t="shared" si="128"/>
        <v>-0.1082375347655419</v>
      </c>
      <c r="AI470" s="8">
        <f t="shared" si="129"/>
        <v>0.79850887013472427</v>
      </c>
      <c r="AJ470" s="8"/>
      <c r="AK470" s="8"/>
      <c r="AL470" s="8"/>
      <c r="AN470" s="8">
        <f t="shared" si="135"/>
        <v>0.99999999999999989</v>
      </c>
      <c r="AO470" s="8">
        <f t="shared" si="136"/>
        <v>6.1024005120767999</v>
      </c>
      <c r="AP470" s="8">
        <f t="shared" si="137"/>
        <v>0.64598222382856518</v>
      </c>
      <c r="AQ470" s="8"/>
      <c r="AR470" s="8">
        <f t="shared" si="138"/>
        <v>349.64179424047296</v>
      </c>
      <c r="AS470" s="8">
        <f t="shared" si="139"/>
        <v>52.987944934147933</v>
      </c>
    </row>
    <row r="471" spans="1:45">
      <c r="A471" s="19">
        <v>19.452766669999999</v>
      </c>
      <c r="B471" s="19">
        <v>1163.087125</v>
      </c>
      <c r="C471" s="19">
        <v>-141.86986429999999</v>
      </c>
      <c r="E471" s="9">
        <f t="shared" si="125"/>
        <v>203.08712500000001</v>
      </c>
      <c r="F471" s="9">
        <f t="shared" si="130"/>
        <v>398.13013569999998</v>
      </c>
      <c r="I471">
        <v>1</v>
      </c>
      <c r="J471">
        <f t="shared" si="126"/>
        <v>0.28788748166023104</v>
      </c>
      <c r="K471">
        <f t="shared" si="131"/>
        <v>1.0990995242869386</v>
      </c>
      <c r="O471">
        <f t="shared" si="132"/>
        <v>0.12901611573360891</v>
      </c>
      <c r="P471">
        <f t="shared" si="133"/>
        <v>0.25292200903680429</v>
      </c>
      <c r="Q471">
        <f t="shared" si="134"/>
        <v>0.95884581619038145</v>
      </c>
      <c r="R471">
        <f t="shared" si="124"/>
        <v>1</v>
      </c>
      <c r="AG471" s="8">
        <f t="shared" si="127"/>
        <v>0.59239236298673204</v>
      </c>
      <c r="AH471" s="8">
        <f t="shared" si="128"/>
        <v>-0.10772490784667249</v>
      </c>
      <c r="AI471" s="8">
        <f t="shared" si="129"/>
        <v>0.79841507532387057</v>
      </c>
      <c r="AJ471" s="8"/>
      <c r="AK471" s="8"/>
      <c r="AL471" s="8"/>
      <c r="AN471" s="8">
        <f t="shared" si="135"/>
        <v>1</v>
      </c>
      <c r="AO471" s="8">
        <f t="shared" si="136"/>
        <v>6.1033036928707585</v>
      </c>
      <c r="AP471" s="8">
        <f t="shared" si="137"/>
        <v>0.64613801745385935</v>
      </c>
      <c r="AQ471" s="8"/>
      <c r="AR471" s="8">
        <f t="shared" si="138"/>
        <v>349.69354268810412</v>
      </c>
      <c r="AS471" s="8">
        <f t="shared" si="139"/>
        <v>52.979018616943534</v>
      </c>
    </row>
    <row r="472" spans="1:45">
      <c r="A472" s="19">
        <v>19.486133330000001</v>
      </c>
      <c r="B472" s="19">
        <v>1163.875018</v>
      </c>
      <c r="C472" s="19">
        <v>-141.9670303</v>
      </c>
      <c r="E472" s="9">
        <f t="shared" si="125"/>
        <v>203.87501799999995</v>
      </c>
      <c r="F472" s="9">
        <f t="shared" si="130"/>
        <v>398.03296969999997</v>
      </c>
      <c r="I472">
        <v>1</v>
      </c>
      <c r="J472">
        <f t="shared" si="126"/>
        <v>0.28805470026382179</v>
      </c>
      <c r="K472">
        <f t="shared" si="131"/>
        <v>1.0974313836091318</v>
      </c>
      <c r="O472">
        <f t="shared" si="132"/>
        <v>0.1295109386884907</v>
      </c>
      <c r="P472">
        <f t="shared" si="133"/>
        <v>0.25284914277635806</v>
      </c>
      <c r="Q472">
        <f t="shared" si="134"/>
        <v>0.95879832486153571</v>
      </c>
      <c r="R472">
        <f t="shared" si="124"/>
        <v>1</v>
      </c>
      <c r="AG472" s="8">
        <f t="shared" si="127"/>
        <v>0.59256287643786609</v>
      </c>
      <c r="AH472" s="8">
        <f t="shared" si="128"/>
        <v>-0.1072566032072669</v>
      </c>
      <c r="AI472" s="8">
        <f t="shared" si="129"/>
        <v>0.79835158829686148</v>
      </c>
      <c r="AJ472" s="8"/>
      <c r="AK472" s="8"/>
      <c r="AL472" s="8"/>
      <c r="AN472" s="8">
        <f t="shared" si="135"/>
        <v>1.0000000000000002</v>
      </c>
      <c r="AO472" s="8">
        <f t="shared" si="136"/>
        <v>6.1041194724666585</v>
      </c>
      <c r="AP472" s="8">
        <f t="shared" si="137"/>
        <v>0.64624345144345441</v>
      </c>
      <c r="AQ472" s="8"/>
      <c r="AR472" s="8">
        <f t="shared" si="138"/>
        <v>349.74028341596204</v>
      </c>
      <c r="AS472" s="8">
        <f t="shared" si="139"/>
        <v>52.972977694322516</v>
      </c>
    </row>
    <row r="473" spans="1:45">
      <c r="A473" s="19">
        <v>19.519500000000001</v>
      </c>
      <c r="B473" s="19">
        <v>1164.3852750000001</v>
      </c>
      <c r="C473" s="19">
        <v>-142.24923530000001</v>
      </c>
      <c r="E473" s="9">
        <f t="shared" si="125"/>
        <v>204.38527500000009</v>
      </c>
      <c r="F473" s="9">
        <f t="shared" si="130"/>
        <v>397.75076469999999</v>
      </c>
      <c r="I473">
        <v>1</v>
      </c>
      <c r="J473">
        <f t="shared" si="126"/>
        <v>0.28804353014948847</v>
      </c>
      <c r="K473">
        <f t="shared" si="131"/>
        <v>1.0961281311456583</v>
      </c>
      <c r="O473">
        <f t="shared" si="132"/>
        <v>0.1298354599877076</v>
      </c>
      <c r="P473">
        <f t="shared" si="133"/>
        <v>0.25267061678140418</v>
      </c>
      <c r="Q473">
        <f t="shared" si="134"/>
        <v>0.95880149809284565</v>
      </c>
      <c r="R473">
        <f t="shared" si="124"/>
        <v>1</v>
      </c>
      <c r="AG473" s="8">
        <f t="shared" si="127"/>
        <v>0.59277803110930072</v>
      </c>
      <c r="AH473" s="8">
        <f t="shared" si="128"/>
        <v>-0.10698123471474935</v>
      </c>
      <c r="AI473" s="8">
        <f t="shared" si="129"/>
        <v>0.79822880257047135</v>
      </c>
      <c r="AJ473" s="8"/>
      <c r="AK473" s="8"/>
      <c r="AL473" s="8"/>
      <c r="AN473" s="8">
        <f t="shared" si="135"/>
        <v>0.99999999999999989</v>
      </c>
      <c r="AO473" s="8">
        <f t="shared" si="136"/>
        <v>6.1046329356569107</v>
      </c>
      <c r="AP473" s="8">
        <f t="shared" si="137"/>
        <v>0.6464473219941389</v>
      </c>
      <c r="AQ473" s="8"/>
      <c r="AR473" s="8">
        <f t="shared" si="138"/>
        <v>349.76970268969882</v>
      </c>
      <c r="AS473" s="8">
        <f t="shared" si="139"/>
        <v>52.961296772201287</v>
      </c>
    </row>
    <row r="474" spans="1:45">
      <c r="A474" s="19">
        <v>19.55286667</v>
      </c>
      <c r="B474" s="19">
        <v>1165.446985</v>
      </c>
      <c r="C474" s="19">
        <v>-143.41995840000001</v>
      </c>
      <c r="E474" s="9">
        <f t="shared" si="125"/>
        <v>205.44698500000004</v>
      </c>
      <c r="F474" s="9">
        <f t="shared" si="130"/>
        <v>396.58004159999996</v>
      </c>
      <c r="I474">
        <v>1</v>
      </c>
      <c r="J474">
        <f t="shared" si="126"/>
        <v>0.28770328066326928</v>
      </c>
      <c r="K474">
        <f t="shared" si="131"/>
        <v>1.0928158048187728</v>
      </c>
      <c r="O474">
        <f t="shared" si="132"/>
        <v>0.13052160384916184</v>
      </c>
      <c r="P474">
        <f t="shared" si="133"/>
        <v>0.25194948995819683</v>
      </c>
      <c r="Q474">
        <f t="shared" si="134"/>
        <v>0.95889809961144823</v>
      </c>
      <c r="R474">
        <f t="shared" si="124"/>
        <v>1</v>
      </c>
      <c r="AG474" s="8">
        <f t="shared" si="127"/>
        <v>0.5935043116326062</v>
      </c>
      <c r="AH474" s="8">
        <f t="shared" si="128"/>
        <v>-0.10648241374251188</v>
      </c>
      <c r="AI474" s="8">
        <f t="shared" si="129"/>
        <v>0.79775568167019317</v>
      </c>
      <c r="AJ474" s="8"/>
      <c r="AK474" s="8"/>
      <c r="AL474" s="8"/>
      <c r="AN474" s="8">
        <f t="shared" si="135"/>
        <v>0.99999999999999978</v>
      </c>
      <c r="AO474" s="8">
        <f t="shared" si="136"/>
        <v>6.1056609648681235</v>
      </c>
      <c r="AP474" s="8">
        <f t="shared" si="137"/>
        <v>0.64723236648900118</v>
      </c>
      <c r="AQ474" s="8"/>
      <c r="AR474" s="8">
        <f t="shared" si="138"/>
        <v>349.82860442471747</v>
      </c>
      <c r="AS474" s="8">
        <f t="shared" si="139"/>
        <v>52.916317035915696</v>
      </c>
    </row>
    <row r="475" spans="1:45">
      <c r="A475" s="19">
        <v>19.586233329999999</v>
      </c>
      <c r="B475" s="19">
        <v>1165.7349059999999</v>
      </c>
      <c r="C475" s="19">
        <v>-142.74903649999999</v>
      </c>
      <c r="E475" s="9">
        <f t="shared" si="125"/>
        <v>205.73490599999991</v>
      </c>
      <c r="F475" s="9">
        <f t="shared" si="130"/>
        <v>397.25096350000001</v>
      </c>
      <c r="I475">
        <v>1</v>
      </c>
      <c r="J475">
        <f t="shared" si="126"/>
        <v>0.28815081437776746</v>
      </c>
      <c r="K475">
        <f t="shared" si="131"/>
        <v>1.0929341934276975</v>
      </c>
      <c r="O475">
        <f t="shared" si="132"/>
        <v>0.13068911525049035</v>
      </c>
      <c r="P475">
        <f t="shared" si="133"/>
        <v>0.25234598232066596</v>
      </c>
      <c r="Q475">
        <f t="shared" si="134"/>
        <v>0.95877101560365408</v>
      </c>
      <c r="R475">
        <f t="shared" ref="R475:R538" si="140">SQRT(O475^2+P475^2+Q475^2)</f>
        <v>1</v>
      </c>
      <c r="AG475" s="8">
        <f t="shared" si="127"/>
        <v>0.5932288505186013</v>
      </c>
      <c r="AH475" s="8">
        <f t="shared" si="128"/>
        <v>-0.10622143624212207</v>
      </c>
      <c r="AI475" s="8">
        <f t="shared" si="129"/>
        <v>0.79799532416865682</v>
      </c>
      <c r="AJ475" s="8"/>
      <c r="AK475" s="8"/>
      <c r="AL475" s="8"/>
      <c r="AN475" s="8">
        <f t="shared" si="135"/>
        <v>1</v>
      </c>
      <c r="AO475" s="8">
        <f t="shared" si="136"/>
        <v>6.106006483221921</v>
      </c>
      <c r="AP475" s="8">
        <f t="shared" si="137"/>
        <v>0.64683483221946692</v>
      </c>
      <c r="AQ475" s="8"/>
      <c r="AR475" s="8">
        <f t="shared" si="138"/>
        <v>349.84840116813439</v>
      </c>
      <c r="AS475" s="8">
        <f t="shared" si="139"/>
        <v>52.939094071771827</v>
      </c>
    </row>
    <row r="476" spans="1:45">
      <c r="A476" s="19">
        <v>19.619599999999998</v>
      </c>
      <c r="B476" s="19">
        <v>1166.446848</v>
      </c>
      <c r="C476" s="19">
        <v>-143.21734570000001</v>
      </c>
      <c r="E476" s="9">
        <f t="shared" si="125"/>
        <v>206.44684800000005</v>
      </c>
      <c r="F476" s="9">
        <f t="shared" si="130"/>
        <v>396.78265429999999</v>
      </c>
      <c r="I476">
        <v>1</v>
      </c>
      <c r="J476">
        <f t="shared" si="126"/>
        <v>0.28809695867621443</v>
      </c>
      <c r="K476">
        <f t="shared" si="131"/>
        <v>1.0910392656370713</v>
      </c>
      <c r="O476">
        <f t="shared" si="132"/>
        <v>0.13114322458058936</v>
      </c>
      <c r="P476">
        <f t="shared" si="133"/>
        <v>0.25205207658364076</v>
      </c>
      <c r="Q476">
        <f t="shared" si="134"/>
        <v>0.95878631891390675</v>
      </c>
      <c r="R476">
        <f t="shared" si="140"/>
        <v>1</v>
      </c>
      <c r="AG476" s="8">
        <f t="shared" si="127"/>
        <v>0.59356424677424879</v>
      </c>
      <c r="AH476" s="8">
        <f t="shared" si="128"/>
        <v>-0.10584661691887673</v>
      </c>
      <c r="AI476" s="8">
        <f t="shared" si="129"/>
        <v>0.79779569981176723</v>
      </c>
      <c r="AJ476" s="8"/>
      <c r="AK476" s="8"/>
      <c r="AL476" s="8"/>
      <c r="AN476" s="8">
        <f t="shared" si="135"/>
        <v>1.0000000000000002</v>
      </c>
      <c r="AO476" s="8">
        <f t="shared" si="136"/>
        <v>6.1067164623279693</v>
      </c>
      <c r="AP476" s="8">
        <f t="shared" si="137"/>
        <v>0.64716599638706873</v>
      </c>
      <c r="AQ476" s="8"/>
      <c r="AR476" s="8">
        <f t="shared" si="138"/>
        <v>349.88907997445341</v>
      </c>
      <c r="AS476" s="8">
        <f t="shared" si="139"/>
        <v>52.92011976264228</v>
      </c>
    </row>
    <row r="477" spans="1:45">
      <c r="A477" s="19">
        <v>19.652966670000001</v>
      </c>
      <c r="B477" s="19">
        <v>1167.133141</v>
      </c>
      <c r="C477" s="19">
        <v>-143.19791000000001</v>
      </c>
      <c r="E477" s="9">
        <f t="shared" si="125"/>
        <v>207.13314100000002</v>
      </c>
      <c r="F477" s="9">
        <f t="shared" si="130"/>
        <v>396.80209000000002</v>
      </c>
      <c r="I477">
        <v>1</v>
      </c>
      <c r="J477">
        <f t="shared" si="126"/>
        <v>0.28830245623556483</v>
      </c>
      <c r="K477">
        <f t="shared" si="131"/>
        <v>1.0896991642916396</v>
      </c>
      <c r="O477">
        <f t="shared" si="132"/>
        <v>0.13157205450225853</v>
      </c>
      <c r="P477">
        <f t="shared" si="133"/>
        <v>0.25205076290563311</v>
      </c>
      <c r="Q477">
        <f t="shared" si="134"/>
        <v>0.95872791103250088</v>
      </c>
      <c r="R477">
        <f t="shared" si="140"/>
        <v>1</v>
      </c>
      <c r="AG477" s="8">
        <f t="shared" si="127"/>
        <v>0.59366240444072449</v>
      </c>
      <c r="AH477" s="8">
        <f t="shared" si="128"/>
        <v>-0.10542545766900799</v>
      </c>
      <c r="AI477" s="8">
        <f t="shared" si="129"/>
        <v>0.79777842940815202</v>
      </c>
      <c r="AJ477" s="8"/>
      <c r="AK477" s="8"/>
      <c r="AL477" s="8"/>
      <c r="AN477" s="8">
        <f t="shared" si="135"/>
        <v>0.99999999999999989</v>
      </c>
      <c r="AO477" s="8">
        <f t="shared" si="136"/>
        <v>6.1074326909708478</v>
      </c>
      <c r="AP477" s="8">
        <f t="shared" si="137"/>
        <v>0.64719464007245664</v>
      </c>
      <c r="AQ477" s="8"/>
      <c r="AR477" s="8">
        <f t="shared" si="138"/>
        <v>349.93011685285677</v>
      </c>
      <c r="AS477" s="8">
        <f t="shared" si="139"/>
        <v>52.918478600359855</v>
      </c>
    </row>
    <row r="478" spans="1:45">
      <c r="A478" s="19">
        <v>19.68633333</v>
      </c>
      <c r="B478" s="19">
        <v>1167.9121250000001</v>
      </c>
      <c r="C478" s="19">
        <v>-143.3100254</v>
      </c>
      <c r="E478" s="9">
        <f t="shared" si="125"/>
        <v>207.91212500000006</v>
      </c>
      <c r="F478" s="9">
        <f t="shared" si="130"/>
        <v>396.68997460000003</v>
      </c>
      <c r="I478">
        <v>1</v>
      </c>
      <c r="J478">
        <f t="shared" si="126"/>
        <v>0.28846325754485092</v>
      </c>
      <c r="K478">
        <f t="shared" si="131"/>
        <v>1.0880414590074374</v>
      </c>
      <c r="O478">
        <f t="shared" si="132"/>
        <v>0.13206126419534345</v>
      </c>
      <c r="P478">
        <f t="shared" si="133"/>
        <v>0.25196885241442585</v>
      </c>
      <c r="Q478">
        <f t="shared" si="134"/>
        <v>0.95868217878089557</v>
      </c>
      <c r="R478">
        <f t="shared" si="140"/>
        <v>1</v>
      </c>
      <c r="AG478" s="8">
        <f t="shared" si="127"/>
        <v>0.59383778183070479</v>
      </c>
      <c r="AH478" s="8">
        <f t="shared" si="128"/>
        <v>-0.10496447443526347</v>
      </c>
      <c r="AI478" s="8">
        <f t="shared" si="129"/>
        <v>0.79770868616113066</v>
      </c>
      <c r="AJ478" s="8"/>
      <c r="AK478" s="8"/>
      <c r="AL478" s="8"/>
      <c r="AN478" s="8">
        <f t="shared" si="135"/>
        <v>1</v>
      </c>
      <c r="AO478" s="8">
        <f t="shared" si="136"/>
        <v>6.1082361934496987</v>
      </c>
      <c r="AP478" s="8">
        <f t="shared" si="137"/>
        <v>0.64731030111751042</v>
      </c>
      <c r="AQ478" s="8"/>
      <c r="AR478" s="8">
        <f t="shared" si="138"/>
        <v>349.9761541537232</v>
      </c>
      <c r="AS478" s="8">
        <f t="shared" si="139"/>
        <v>52.911851710624198</v>
      </c>
    </row>
    <row r="479" spans="1:45">
      <c r="A479" s="19">
        <v>19.7197</v>
      </c>
      <c r="B479" s="19">
        <v>1168.6592419999999</v>
      </c>
      <c r="C479" s="19">
        <v>-144.09197109999999</v>
      </c>
      <c r="E479" s="9">
        <f t="shared" si="125"/>
        <v>208.65924199999995</v>
      </c>
      <c r="F479" s="9">
        <f t="shared" si="130"/>
        <v>395.90802889999998</v>
      </c>
      <c r="I479">
        <v>1</v>
      </c>
      <c r="J479">
        <f t="shared" si="126"/>
        <v>0.28825152762724165</v>
      </c>
      <c r="K479">
        <f t="shared" si="131"/>
        <v>1.0857517002583719</v>
      </c>
      <c r="O479">
        <f t="shared" si="132"/>
        <v>0.13254322262664273</v>
      </c>
      <c r="P479">
        <f t="shared" si="133"/>
        <v>0.25148622946769833</v>
      </c>
      <c r="Q479">
        <f t="shared" si="134"/>
        <v>0.95874239007350892</v>
      </c>
      <c r="R479">
        <f t="shared" si="140"/>
        <v>1</v>
      </c>
      <c r="AG479" s="8">
        <f t="shared" si="127"/>
        <v>0.59432803730879202</v>
      </c>
      <c r="AH479" s="8">
        <f t="shared" si="128"/>
        <v>-0.10460789843519303</v>
      </c>
      <c r="AI479" s="8">
        <f t="shared" si="129"/>
        <v>0.79739035086565435</v>
      </c>
      <c r="AJ479" s="8"/>
      <c r="AK479" s="8"/>
      <c r="AL479" s="8"/>
      <c r="AN479" s="8">
        <f t="shared" si="135"/>
        <v>0.99999999999999989</v>
      </c>
      <c r="AO479" s="8">
        <f t="shared" si="136"/>
        <v>6.1089594612030247</v>
      </c>
      <c r="AP479" s="8">
        <f t="shared" si="137"/>
        <v>0.64783799855676727</v>
      </c>
      <c r="AQ479" s="8"/>
      <c r="AR479" s="8">
        <f t="shared" si="138"/>
        <v>350.01759434344666</v>
      </c>
      <c r="AS479" s="8">
        <f t="shared" si="139"/>
        <v>52.881616874494917</v>
      </c>
    </row>
    <row r="480" spans="1:45">
      <c r="A480" s="19">
        <v>19.753066669999999</v>
      </c>
      <c r="B480" s="19">
        <v>1168.948844</v>
      </c>
      <c r="C480" s="19">
        <v>-144.5040381</v>
      </c>
      <c r="E480" s="9">
        <f t="shared" ref="E480:E543" si="141">(B480-($B$15/2))</f>
        <v>208.94884400000001</v>
      </c>
      <c r="F480" s="9">
        <f t="shared" si="130"/>
        <v>395.4959619</v>
      </c>
      <c r="I480">
        <v>1</v>
      </c>
      <c r="J480">
        <f t="shared" ref="J480:J543" si="142">ATAN((SQRT(E480^2+F480^2)^$B$16)/($F$24))</f>
        <v>0.28811062882865501</v>
      </c>
      <c r="K480">
        <f t="shared" si="131"/>
        <v>1.0847494115904965</v>
      </c>
      <c r="O480">
        <f t="shared" si="132"/>
        <v>0.13273211335036986</v>
      </c>
      <c r="P480">
        <f t="shared" si="133"/>
        <v>0.25123381321278976</v>
      </c>
      <c r="Q480">
        <f t="shared" si="134"/>
        <v>0.95878243474946168</v>
      </c>
      <c r="R480">
        <f t="shared" si="140"/>
        <v>1</v>
      </c>
      <c r="AG480" s="8">
        <f t="shared" ref="AG480:AG543" si="143">$O480*$Z$27+$P480*$Z$31+$Q480*$Z$35</f>
        <v>0.59457006240134558</v>
      </c>
      <c r="AH480" s="8">
        <f t="shared" ref="AH480:AH543" si="144">$O480*$AA$27+$P480*$AA$31+$Q480*$AA$35</f>
        <v>-0.10448347179708189</v>
      </c>
      <c r="AI480" s="8">
        <f t="shared" ref="AI480:AI543" si="145">$AB$27*$O480+$P480*$AB$31+$AB$35*$Q480</f>
        <v>0.79722621947430228</v>
      </c>
      <c r="AJ480" s="8"/>
      <c r="AK480" s="8"/>
      <c r="AL480" s="8"/>
      <c r="AN480" s="8">
        <f t="shared" si="135"/>
        <v>1</v>
      </c>
      <c r="AO480" s="8">
        <f t="shared" si="136"/>
        <v>6.1092319512443849</v>
      </c>
      <c r="AP480" s="8">
        <f t="shared" si="137"/>
        <v>0.64810993184408072</v>
      </c>
      <c r="AQ480" s="8"/>
      <c r="AR480" s="8">
        <f t="shared" si="138"/>
        <v>350.03320687277596</v>
      </c>
      <c r="AS480" s="8">
        <f t="shared" si="139"/>
        <v>52.866036244822737</v>
      </c>
    </row>
    <row r="481" spans="1:45">
      <c r="A481" s="19">
        <v>19.786433330000001</v>
      </c>
      <c r="B481" s="19">
        <v>1169.561009</v>
      </c>
      <c r="C481" s="19">
        <v>-144.5164967</v>
      </c>
      <c r="E481" s="9">
        <f t="shared" si="141"/>
        <v>209.56100900000001</v>
      </c>
      <c r="F481" s="9">
        <f t="shared" ref="F481:F544" si="146">(($C$15/2)+C481)</f>
        <v>395.4835033</v>
      </c>
      <c r="I481">
        <v>1</v>
      </c>
      <c r="J481">
        <f t="shared" si="142"/>
        <v>0.28827979142829657</v>
      </c>
      <c r="K481">
        <f t="shared" ref="K481:K544" si="147">ATAN2(E481,F481)</f>
        <v>1.0835270724777804</v>
      </c>
      <c r="O481">
        <f t="shared" ref="O481:O544" si="148">COS(K481)*SIN(J481)</f>
        <v>0.13311504493222434</v>
      </c>
      <c r="P481">
        <f t="shared" ref="P481:P544" si="149">SIN(K481)*SIN(J481)</f>
        <v>0.25121469190737189</v>
      </c>
      <c r="Q481">
        <f t="shared" ref="Q481:Q544" si="150">COS(J481)</f>
        <v>0.95873435496104764</v>
      </c>
      <c r="R481">
        <f t="shared" si="140"/>
        <v>1</v>
      </c>
      <c r="AG481" s="8">
        <f t="shared" si="143"/>
        <v>0.59467143459785077</v>
      </c>
      <c r="AH481" s="8">
        <f t="shared" si="144"/>
        <v>-0.10411157000263252</v>
      </c>
      <c r="AI481" s="8">
        <f t="shared" si="145"/>
        <v>0.79719926358779403</v>
      </c>
      <c r="AJ481" s="8"/>
      <c r="AK481" s="8"/>
      <c r="AL481" s="8"/>
      <c r="AN481" s="8">
        <f t="shared" ref="AN481:AN544" si="151">AG481^2+AH481^2+AI481^2</f>
        <v>1</v>
      </c>
      <c r="AO481" s="8">
        <f t="shared" ref="AO481:AO544" si="152">IF(ATAN2(AG481,AH481)&gt;=0,ATAN2(AG481,AH481),ATAN2(AG481,AH481)+2*PI())</f>
        <v>6.1098677373204886</v>
      </c>
      <c r="AP481" s="8">
        <f t="shared" ref="AP481:AP544" si="153">ACOS(AI481/AN481)</f>
        <v>0.64815458308602603</v>
      </c>
      <c r="AQ481" s="8"/>
      <c r="AR481" s="8">
        <f t="shared" ref="AR481:AR544" si="154">DEGREES(AO481)</f>
        <v>350.06963473160988</v>
      </c>
      <c r="AS481" s="8">
        <f t="shared" ref="AS481:AS544" si="155">90-DEGREES(AP481)</f>
        <v>52.863477917109257</v>
      </c>
    </row>
    <row r="482" spans="1:45">
      <c r="A482" s="19">
        <v>19.819800000000001</v>
      </c>
      <c r="B482" s="19">
        <v>1170.3697540000001</v>
      </c>
      <c r="C482" s="19">
        <v>-144.61728400000001</v>
      </c>
      <c r="E482" s="9">
        <f t="shared" si="141"/>
        <v>210.36975400000006</v>
      </c>
      <c r="F482" s="9">
        <f t="shared" si="146"/>
        <v>395.38271599999996</v>
      </c>
      <c r="I482">
        <v>1</v>
      </c>
      <c r="J482">
        <f t="shared" si="142"/>
        <v>0.28845813901013068</v>
      </c>
      <c r="K482">
        <f t="shared" si="147"/>
        <v>1.0818260918070792</v>
      </c>
      <c r="O482">
        <f t="shared" si="148"/>
        <v>0.1336224773199573</v>
      </c>
      <c r="P482">
        <f t="shared" si="149"/>
        <v>0.25113884955825488</v>
      </c>
      <c r="Q482">
        <f t="shared" si="150"/>
        <v>0.95868363488558295</v>
      </c>
      <c r="R482">
        <f t="shared" si="140"/>
        <v>1</v>
      </c>
      <c r="AG482" s="8">
        <f t="shared" si="143"/>
        <v>0.59484548591179398</v>
      </c>
      <c r="AH482" s="8">
        <f t="shared" si="144"/>
        <v>-0.10363094736708253</v>
      </c>
      <c r="AI482" s="8">
        <f t="shared" si="145"/>
        <v>0.79713203086951834</v>
      </c>
      <c r="AJ482" s="8"/>
      <c r="AK482" s="8"/>
      <c r="AL482" s="8"/>
      <c r="AN482" s="8">
        <f t="shared" si="151"/>
        <v>1</v>
      </c>
      <c r="AO482" s="8">
        <f t="shared" si="152"/>
        <v>6.1107015120609391</v>
      </c>
      <c r="AP482" s="8">
        <f t="shared" si="153"/>
        <v>0.6482659396603877</v>
      </c>
      <c r="AQ482" s="8"/>
      <c r="AR482" s="8">
        <f t="shared" si="154"/>
        <v>350.11740650530231</v>
      </c>
      <c r="AS482" s="8">
        <f t="shared" si="155"/>
        <v>52.857097655377295</v>
      </c>
    </row>
    <row r="483" spans="1:45">
      <c r="A483" s="19">
        <v>19.85316667</v>
      </c>
      <c r="B483" s="19">
        <v>1171.0571480000001</v>
      </c>
      <c r="C483" s="19">
        <v>-145.37601290000001</v>
      </c>
      <c r="E483" s="9">
        <f t="shared" si="141"/>
        <v>211.0571480000001</v>
      </c>
      <c r="F483" s="9">
        <f t="shared" si="146"/>
        <v>394.62398710000002</v>
      </c>
      <c r="I483">
        <v>1</v>
      </c>
      <c r="J483">
        <f t="shared" si="142"/>
        <v>0.28824559884768425</v>
      </c>
      <c r="K483">
        <f t="shared" si="147"/>
        <v>1.0796737097358924</v>
      </c>
      <c r="O483">
        <f t="shared" si="148"/>
        <v>0.13406661518888596</v>
      </c>
      <c r="P483">
        <f t="shared" si="149"/>
        <v>0.25067098046278724</v>
      </c>
      <c r="Q483">
        <f t="shared" si="150"/>
        <v>0.95874407546832863</v>
      </c>
      <c r="R483">
        <f t="shared" si="140"/>
        <v>1</v>
      </c>
      <c r="AG483" s="8">
        <f t="shared" si="143"/>
        <v>0.59531472576371713</v>
      </c>
      <c r="AH483" s="8">
        <f t="shared" si="144"/>
        <v>-0.1033076529611002</v>
      </c>
      <c r="AI483" s="8">
        <f t="shared" si="145"/>
        <v>0.7968236355232815</v>
      </c>
      <c r="AJ483" s="8"/>
      <c r="AK483" s="8"/>
      <c r="AL483" s="8"/>
      <c r="AN483" s="8">
        <f t="shared" si="151"/>
        <v>1.0000000000000002</v>
      </c>
      <c r="AO483" s="8">
        <f t="shared" si="152"/>
        <v>6.1113619306060318</v>
      </c>
      <c r="AP483" s="8">
        <f t="shared" si="153"/>
        <v>0.64877652078544601</v>
      </c>
      <c r="AQ483" s="8"/>
      <c r="AR483" s="8">
        <f t="shared" si="154"/>
        <v>350.15524570064832</v>
      </c>
      <c r="AS483" s="8">
        <f t="shared" si="155"/>
        <v>52.827843511812418</v>
      </c>
    </row>
    <row r="484" spans="1:45">
      <c r="A484" s="19">
        <v>19.886533329999999</v>
      </c>
      <c r="B484" s="19">
        <v>1171.980763</v>
      </c>
      <c r="C484" s="19">
        <v>-145.79374559999999</v>
      </c>
      <c r="E484" s="9">
        <f t="shared" si="141"/>
        <v>211.98076300000002</v>
      </c>
      <c r="F484" s="9">
        <f t="shared" si="146"/>
        <v>394.20625440000003</v>
      </c>
      <c r="I484">
        <v>1</v>
      </c>
      <c r="J484">
        <f t="shared" si="142"/>
        <v>0.28828761481272752</v>
      </c>
      <c r="K484">
        <f t="shared" si="147"/>
        <v>1.0774139100340807</v>
      </c>
      <c r="O484">
        <f t="shared" si="148"/>
        <v>0.13465181660204931</v>
      </c>
      <c r="P484">
        <f t="shared" si="149"/>
        <v>0.25040285504986887</v>
      </c>
      <c r="Q484">
        <f t="shared" si="150"/>
        <v>0.95873213071673069</v>
      </c>
      <c r="R484">
        <f t="shared" si="140"/>
        <v>1</v>
      </c>
      <c r="AG484" s="8">
        <f t="shared" si="143"/>
        <v>0.5956575923435089</v>
      </c>
      <c r="AH484" s="8">
        <f t="shared" si="144"/>
        <v>-0.10279701071025638</v>
      </c>
      <c r="AI484" s="8">
        <f t="shared" si="145"/>
        <v>0.7966334208860244</v>
      </c>
      <c r="AJ484" s="8"/>
      <c r="AK484" s="8"/>
      <c r="AL484" s="8"/>
      <c r="AN484" s="8">
        <f t="shared" si="151"/>
        <v>1</v>
      </c>
      <c r="AO484" s="8">
        <f t="shared" si="152"/>
        <v>6.1122912616541862</v>
      </c>
      <c r="AP484" s="8">
        <f t="shared" si="153"/>
        <v>0.64909126988542398</v>
      </c>
      <c r="AQ484" s="8"/>
      <c r="AR484" s="8">
        <f t="shared" si="154"/>
        <v>350.20849244747802</v>
      </c>
      <c r="AS484" s="8">
        <f t="shared" si="155"/>
        <v>52.809809716778133</v>
      </c>
    </row>
    <row r="485" spans="1:45">
      <c r="A485" s="19">
        <v>19.919899999999998</v>
      </c>
      <c r="B485" s="19">
        <v>1172.073774</v>
      </c>
      <c r="C485" s="19">
        <v>-145.69603520000001</v>
      </c>
      <c r="E485" s="9">
        <f t="shared" si="141"/>
        <v>212.07377399999996</v>
      </c>
      <c r="F485" s="9">
        <f t="shared" si="146"/>
        <v>394.30396480000002</v>
      </c>
      <c r="I485">
        <v>1</v>
      </c>
      <c r="J485">
        <f t="shared" si="142"/>
        <v>0.28836756187104701</v>
      </c>
      <c r="K485">
        <f t="shared" si="147"/>
        <v>1.0773343023598951</v>
      </c>
      <c r="O485">
        <f t="shared" si="148"/>
        <v>0.13470805609538439</v>
      </c>
      <c r="P485">
        <f t="shared" si="149"/>
        <v>0.25045963773394664</v>
      </c>
      <c r="Q485">
        <f t="shared" si="150"/>
        <v>0.95870939783084586</v>
      </c>
      <c r="R485">
        <f t="shared" si="140"/>
        <v>1</v>
      </c>
      <c r="AG485" s="8">
        <f t="shared" si="143"/>
        <v>0.59562536291621093</v>
      </c>
      <c r="AH485" s="8">
        <f t="shared" si="144"/>
        <v>-0.10272790609254595</v>
      </c>
      <c r="AI485" s="8">
        <f t="shared" si="145"/>
        <v>0.79666643230449541</v>
      </c>
      <c r="AJ485" s="8"/>
      <c r="AK485" s="8"/>
      <c r="AL485" s="8"/>
      <c r="AN485" s="8">
        <f t="shared" si="151"/>
        <v>1</v>
      </c>
      <c r="AO485" s="8">
        <f t="shared" si="152"/>
        <v>6.11239486016561</v>
      </c>
      <c r="AP485" s="8">
        <f t="shared" si="153"/>
        <v>0.64903665509297503</v>
      </c>
      <c r="AQ485" s="8"/>
      <c r="AR485" s="8">
        <f t="shared" si="154"/>
        <v>350.21442820494644</v>
      </c>
      <c r="AS485" s="8">
        <f t="shared" si="155"/>
        <v>52.812938913884445</v>
      </c>
    </row>
    <row r="486" spans="1:45">
      <c r="A486" s="19">
        <v>19.953266670000001</v>
      </c>
      <c r="B486" s="19">
        <v>1172.8300810000001</v>
      </c>
      <c r="C486" s="19">
        <v>-146.35813619999999</v>
      </c>
      <c r="E486" s="9">
        <f t="shared" si="141"/>
        <v>212.83008100000006</v>
      </c>
      <c r="F486" s="9">
        <f t="shared" si="146"/>
        <v>393.64186380000001</v>
      </c>
      <c r="I486">
        <v>1</v>
      </c>
      <c r="J486">
        <f t="shared" si="142"/>
        <v>0.28823004753915316</v>
      </c>
      <c r="K486">
        <f t="shared" si="147"/>
        <v>1.0751449940956785</v>
      </c>
      <c r="O486">
        <f t="shared" si="148"/>
        <v>0.13519336294506462</v>
      </c>
      <c r="P486">
        <f t="shared" si="149"/>
        <v>0.25004814692094718</v>
      </c>
      <c r="Q486">
        <f t="shared" si="150"/>
        <v>0.95874849613285151</v>
      </c>
      <c r="R486">
        <f t="shared" si="140"/>
        <v>1</v>
      </c>
      <c r="AG486" s="8">
        <f t="shared" si="143"/>
        <v>0.59605870891868529</v>
      </c>
      <c r="AH486" s="8">
        <f t="shared" si="144"/>
        <v>-0.10235019601832801</v>
      </c>
      <c r="AI486" s="8">
        <f t="shared" si="145"/>
        <v>0.79639089202300628</v>
      </c>
      <c r="AJ486" s="8"/>
      <c r="AK486" s="8"/>
      <c r="AL486" s="8"/>
      <c r="AN486" s="8">
        <f t="shared" si="151"/>
        <v>0.99999999999999978</v>
      </c>
      <c r="AO486" s="8">
        <f t="shared" si="152"/>
        <v>6.113132095415871</v>
      </c>
      <c r="AP486" s="8">
        <f t="shared" si="153"/>
        <v>0.64949239433486539</v>
      </c>
      <c r="AQ486" s="8"/>
      <c r="AR486" s="8">
        <f t="shared" si="154"/>
        <v>350.25666867329466</v>
      </c>
      <c r="AS486" s="8">
        <f t="shared" si="155"/>
        <v>52.786826978765632</v>
      </c>
    </row>
    <row r="487" spans="1:45">
      <c r="A487" s="19">
        <v>19.98663333</v>
      </c>
      <c r="B487" s="19">
        <v>1173.445414</v>
      </c>
      <c r="C487" s="19">
        <v>-146.4902586</v>
      </c>
      <c r="E487" s="9">
        <f t="shared" si="141"/>
        <v>213.44541400000003</v>
      </c>
      <c r="F487" s="9">
        <f t="shared" si="146"/>
        <v>393.5097414</v>
      </c>
      <c r="I487">
        <v>1</v>
      </c>
      <c r="J487">
        <f t="shared" si="142"/>
        <v>0.28833871162858588</v>
      </c>
      <c r="K487">
        <f t="shared" si="147"/>
        <v>1.0737955160172032</v>
      </c>
      <c r="O487">
        <f t="shared" si="148"/>
        <v>0.13558034628898116</v>
      </c>
      <c r="P487">
        <f t="shared" si="149"/>
        <v>0.24995705462708798</v>
      </c>
      <c r="Q487">
        <f t="shared" si="150"/>
        <v>0.95871760208223511</v>
      </c>
      <c r="R487">
        <f t="shared" si="140"/>
        <v>1</v>
      </c>
      <c r="AG487" s="8">
        <f t="shared" si="143"/>
        <v>0.59621703678931381</v>
      </c>
      <c r="AH487" s="8">
        <f t="shared" si="144"/>
        <v>-0.10199146947754245</v>
      </c>
      <c r="AI487" s="8">
        <f t="shared" si="145"/>
        <v>0.79631839435993279</v>
      </c>
      <c r="AJ487" s="8"/>
      <c r="AK487" s="8"/>
      <c r="AL487" s="8"/>
      <c r="AN487" s="8">
        <f t="shared" si="151"/>
        <v>0.99999999999999989</v>
      </c>
      <c r="AO487" s="8">
        <f t="shared" si="152"/>
        <v>6.1137608949279496</v>
      </c>
      <c r="AP487" s="8">
        <f t="shared" si="153"/>
        <v>0.64961225887194762</v>
      </c>
      <c r="AQ487" s="8"/>
      <c r="AR487" s="8">
        <f t="shared" si="154"/>
        <v>350.29269623149668</v>
      </c>
      <c r="AS487" s="8">
        <f t="shared" si="155"/>
        <v>52.779959246677535</v>
      </c>
    </row>
    <row r="488" spans="1:45">
      <c r="A488" s="19">
        <v>20.02</v>
      </c>
      <c r="B488" s="19">
        <v>1174.180703</v>
      </c>
      <c r="C488" s="19">
        <v>-146.66029760000001</v>
      </c>
      <c r="E488" s="9">
        <f t="shared" si="141"/>
        <v>214.18070299999999</v>
      </c>
      <c r="F488" s="9">
        <f t="shared" si="146"/>
        <v>393.33970239999996</v>
      </c>
      <c r="I488">
        <v>1</v>
      </c>
      <c r="J488">
        <f t="shared" si="142"/>
        <v>0.28846264525449139</v>
      </c>
      <c r="K488">
        <f t="shared" si="147"/>
        <v>1.0721713816533891</v>
      </c>
      <c r="O488">
        <f t="shared" si="148"/>
        <v>0.13604295072798869</v>
      </c>
      <c r="P488">
        <f t="shared" si="149"/>
        <v>0.24984087269974523</v>
      </c>
      <c r="Q488">
        <f t="shared" si="150"/>
        <v>0.95868235296465731</v>
      </c>
      <c r="R488">
        <f t="shared" si="140"/>
        <v>1</v>
      </c>
      <c r="AG488" s="8">
        <f t="shared" si="143"/>
        <v>0.59641189526962257</v>
      </c>
      <c r="AH488" s="8">
        <f t="shared" si="144"/>
        <v>-0.10156434867499536</v>
      </c>
      <c r="AI488" s="8">
        <f t="shared" si="145"/>
        <v>0.79622706199872462</v>
      </c>
      <c r="AJ488" s="8"/>
      <c r="AK488" s="8"/>
      <c r="AL488" s="8"/>
      <c r="AN488" s="8">
        <f t="shared" si="151"/>
        <v>1</v>
      </c>
      <c r="AO488" s="8">
        <f t="shared" si="152"/>
        <v>6.1145110816420027</v>
      </c>
      <c r="AP488" s="8">
        <f t="shared" si="153"/>
        <v>0.64976323697529137</v>
      </c>
      <c r="AQ488" s="8"/>
      <c r="AR488" s="8">
        <f t="shared" si="154"/>
        <v>350.33567876405868</v>
      </c>
      <c r="AS488" s="8">
        <f t="shared" si="155"/>
        <v>52.771308838557047</v>
      </c>
    </row>
    <row r="489" spans="1:45">
      <c r="A489" s="19">
        <v>20.053366669999999</v>
      </c>
      <c r="B489" s="19">
        <v>1174.7187799999999</v>
      </c>
      <c r="C489" s="19">
        <v>-146.8541524</v>
      </c>
      <c r="E489" s="9">
        <f t="shared" si="141"/>
        <v>214.71877999999992</v>
      </c>
      <c r="F489" s="9">
        <f t="shared" si="146"/>
        <v>393.14584760000002</v>
      </c>
      <c r="I489">
        <v>1</v>
      </c>
      <c r="J489">
        <f t="shared" si="142"/>
        <v>0.28851635886480548</v>
      </c>
      <c r="K489">
        <f t="shared" si="147"/>
        <v>1.0709095126631425</v>
      </c>
      <c r="O489">
        <f t="shared" si="148"/>
        <v>0.13638279114865948</v>
      </c>
      <c r="P489">
        <f t="shared" si="149"/>
        <v>0.24971419837702849</v>
      </c>
      <c r="Q489">
        <f t="shared" si="150"/>
        <v>0.95866707120220795</v>
      </c>
      <c r="R489">
        <f t="shared" si="140"/>
        <v>1</v>
      </c>
      <c r="AG489" s="8">
        <f t="shared" si="143"/>
        <v>0.59658753109559204</v>
      </c>
      <c r="AH489" s="8">
        <f t="shared" si="144"/>
        <v>-0.10126054799187328</v>
      </c>
      <c r="AI489" s="8">
        <f t="shared" si="145"/>
        <v>0.79613417158268729</v>
      </c>
      <c r="AJ489" s="8"/>
      <c r="AK489" s="8"/>
      <c r="AL489" s="8"/>
      <c r="AN489" s="8">
        <f t="shared" si="151"/>
        <v>1.0000000000000004</v>
      </c>
      <c r="AO489" s="8">
        <f t="shared" si="152"/>
        <v>6.1150547326603615</v>
      </c>
      <c r="AP489" s="8">
        <f t="shared" si="153"/>
        <v>0.6499167598756157</v>
      </c>
      <c r="AQ489" s="8"/>
      <c r="AR489" s="8">
        <f t="shared" si="154"/>
        <v>350.36682767293865</v>
      </c>
      <c r="AS489" s="8">
        <f t="shared" si="155"/>
        <v>52.762512624309856</v>
      </c>
    </row>
    <row r="490" spans="1:45">
      <c r="A490" s="19">
        <v>20.086733330000001</v>
      </c>
      <c r="B490" s="19">
        <v>1175.454835</v>
      </c>
      <c r="C490" s="19">
        <v>-147.02457530000001</v>
      </c>
      <c r="E490" s="9">
        <f t="shared" si="141"/>
        <v>215.454835</v>
      </c>
      <c r="F490" s="9">
        <f t="shared" si="146"/>
        <v>392.97542469999996</v>
      </c>
      <c r="I490">
        <v>1</v>
      </c>
      <c r="J490">
        <f t="shared" si="142"/>
        <v>0.28864158794800565</v>
      </c>
      <c r="K490">
        <f t="shared" si="147"/>
        <v>1.0692858249988655</v>
      </c>
      <c r="O490">
        <f t="shared" si="148"/>
        <v>0.13684578353290203</v>
      </c>
      <c r="P490">
        <f t="shared" si="149"/>
        <v>0.24959769365234441</v>
      </c>
      <c r="Q490">
        <f t="shared" si="150"/>
        <v>0.95863143222653435</v>
      </c>
      <c r="R490">
        <f t="shared" si="140"/>
        <v>1</v>
      </c>
      <c r="AG490" s="8">
        <f t="shared" si="143"/>
        <v>0.59678242419722083</v>
      </c>
      <c r="AH490" s="8">
        <f t="shared" si="144"/>
        <v>-0.10083300471120882</v>
      </c>
      <c r="AI490" s="8">
        <f t="shared" si="145"/>
        <v>0.79604236277361373</v>
      </c>
      <c r="AJ490" s="8"/>
      <c r="AK490" s="8"/>
      <c r="AL490" s="8"/>
      <c r="AN490" s="8">
        <f t="shared" si="151"/>
        <v>1</v>
      </c>
      <c r="AO490" s="8">
        <f t="shared" si="152"/>
        <v>6.1158050586790367</v>
      </c>
      <c r="AP490" s="8">
        <f t="shared" si="153"/>
        <v>0.65006846470656598</v>
      </c>
      <c r="AQ490" s="8"/>
      <c r="AR490" s="8">
        <f t="shared" si="154"/>
        <v>350.40981818706757</v>
      </c>
      <c r="AS490" s="8">
        <f t="shared" si="155"/>
        <v>52.753820577764657</v>
      </c>
    </row>
    <row r="491" spans="1:45">
      <c r="A491" s="19">
        <v>20.120100000000001</v>
      </c>
      <c r="B491" s="19">
        <v>1176.2209740000001</v>
      </c>
      <c r="C491" s="19">
        <v>-147.2667016</v>
      </c>
      <c r="E491" s="9">
        <f t="shared" si="141"/>
        <v>216.22097400000007</v>
      </c>
      <c r="F491" s="9">
        <f t="shared" si="146"/>
        <v>392.73329839999997</v>
      </c>
      <c r="I491">
        <v>1</v>
      </c>
      <c r="J491">
        <f t="shared" si="142"/>
        <v>0.28873785717339734</v>
      </c>
      <c r="K491">
        <f t="shared" si="147"/>
        <v>1.0675277121527269</v>
      </c>
      <c r="O491">
        <f t="shared" si="148"/>
        <v>0.13732890117889093</v>
      </c>
      <c r="P491">
        <f t="shared" si="149"/>
        <v>0.24943756069489109</v>
      </c>
      <c r="Q491">
        <f t="shared" si="150"/>
        <v>0.95860402472323314</v>
      </c>
      <c r="R491">
        <f t="shared" si="140"/>
        <v>1</v>
      </c>
      <c r="AG491" s="8">
        <f t="shared" si="143"/>
        <v>0.59701601649939462</v>
      </c>
      <c r="AH491" s="8">
        <f t="shared" si="144"/>
        <v>-0.10039614847690867</v>
      </c>
      <c r="AI491" s="8">
        <f t="shared" si="145"/>
        <v>0.79592241419261289</v>
      </c>
      <c r="AJ491" s="8"/>
      <c r="AK491" s="8"/>
      <c r="AL491" s="8"/>
      <c r="AN491" s="8">
        <f t="shared" si="151"/>
        <v>1.0000000000000002</v>
      </c>
      <c r="AO491" s="8">
        <f t="shared" si="152"/>
        <v>6.1165808573655243</v>
      </c>
      <c r="AP491" s="8">
        <f t="shared" si="153"/>
        <v>0.6502666220871568</v>
      </c>
      <c r="AQ491" s="8"/>
      <c r="AR491" s="8">
        <f t="shared" si="154"/>
        <v>350.45426817755509</v>
      </c>
      <c r="AS491" s="8">
        <f t="shared" si="155"/>
        <v>52.742466996177434</v>
      </c>
    </row>
    <row r="492" spans="1:45">
      <c r="A492" s="19">
        <v>20.15346667</v>
      </c>
      <c r="B492" s="19">
        <v>1177.3763019999999</v>
      </c>
      <c r="C492" s="19">
        <v>-147.92169620000001</v>
      </c>
      <c r="E492" s="9">
        <f t="shared" si="141"/>
        <v>217.3763019999999</v>
      </c>
      <c r="F492" s="9">
        <f t="shared" si="146"/>
        <v>392.07830379999996</v>
      </c>
      <c r="I492">
        <v>1</v>
      </c>
      <c r="J492">
        <f t="shared" si="142"/>
        <v>0.28872888153606557</v>
      </c>
      <c r="K492">
        <f t="shared" si="147"/>
        <v>1.0645654911629538</v>
      </c>
      <c r="O492">
        <f t="shared" si="148"/>
        <v>0.1380630147734471</v>
      </c>
      <c r="P492">
        <f t="shared" si="149"/>
        <v>0.24902214340681678</v>
      </c>
      <c r="Q492">
        <f t="shared" si="150"/>
        <v>0.95860658043054436</v>
      </c>
      <c r="R492">
        <f t="shared" si="140"/>
        <v>1</v>
      </c>
      <c r="AG492" s="8">
        <f t="shared" si="143"/>
        <v>0.5975062644415261</v>
      </c>
      <c r="AH492" s="8">
        <f t="shared" si="144"/>
        <v>-9.9773861864554308E-2</v>
      </c>
      <c r="AI492" s="8">
        <f t="shared" si="145"/>
        <v>0.7956327296194935</v>
      </c>
      <c r="AJ492" s="8"/>
      <c r="AK492" s="8"/>
      <c r="AL492" s="8"/>
      <c r="AN492" s="8">
        <f t="shared" si="151"/>
        <v>1.0000000000000002</v>
      </c>
      <c r="AO492" s="8">
        <f t="shared" si="152"/>
        <v>6.1177280911258434</v>
      </c>
      <c r="AP492" s="8">
        <f t="shared" si="153"/>
        <v>0.65074497387794739</v>
      </c>
      <c r="AQ492" s="8"/>
      <c r="AR492" s="8">
        <f t="shared" si="154"/>
        <v>350.51999983013633</v>
      </c>
      <c r="AS492" s="8">
        <f t="shared" si="155"/>
        <v>52.715059457442614</v>
      </c>
    </row>
    <row r="493" spans="1:45">
      <c r="A493" s="19">
        <v>20.186833329999999</v>
      </c>
      <c r="B493" s="19">
        <v>1177.4065780000001</v>
      </c>
      <c r="C493" s="19">
        <v>-148.1392266</v>
      </c>
      <c r="E493" s="9">
        <f t="shared" si="141"/>
        <v>217.40657800000008</v>
      </c>
      <c r="F493" s="9">
        <f t="shared" si="146"/>
        <v>391.86077339999997</v>
      </c>
      <c r="I493">
        <v>1</v>
      </c>
      <c r="J493">
        <f t="shared" si="142"/>
        <v>0.28862103536226591</v>
      </c>
      <c r="K493">
        <f t="shared" si="147"/>
        <v>1.0642710323943634</v>
      </c>
      <c r="O493">
        <f t="shared" si="148"/>
        <v>0.13808617978519491</v>
      </c>
      <c r="P493">
        <f t="shared" si="149"/>
        <v>0.24889107636144242</v>
      </c>
      <c r="Q493">
        <f t="shared" si="150"/>
        <v>0.95863728232318057</v>
      </c>
      <c r="R493">
        <f t="shared" si="140"/>
        <v>1</v>
      </c>
      <c r="AG493" s="8">
        <f t="shared" si="143"/>
        <v>0.59761470914063586</v>
      </c>
      <c r="AH493" s="8">
        <f t="shared" si="144"/>
        <v>-9.9782784643512562E-2</v>
      </c>
      <c r="AI493" s="8">
        <f t="shared" si="145"/>
        <v>0.79555015888851377</v>
      </c>
      <c r="AJ493" s="8"/>
      <c r="AK493" s="8"/>
      <c r="AL493" s="8"/>
      <c r="AN493" s="8">
        <f t="shared" si="151"/>
        <v>0.99999999999999989</v>
      </c>
      <c r="AO493" s="8">
        <f t="shared" si="152"/>
        <v>6.1177430448533539</v>
      </c>
      <c r="AP493" s="8">
        <f t="shared" si="153"/>
        <v>0.65088126665255019</v>
      </c>
      <c r="AQ493" s="8"/>
      <c r="AR493" s="8">
        <f t="shared" si="154"/>
        <v>350.52085661561068</v>
      </c>
      <c r="AS493" s="8">
        <f t="shared" si="155"/>
        <v>52.707250456679745</v>
      </c>
    </row>
    <row r="494" spans="1:45">
      <c r="A494" s="19">
        <v>20.220199999999998</v>
      </c>
      <c r="B494" s="19">
        <v>1177.836186</v>
      </c>
      <c r="C494" s="19">
        <v>-148.12579940000001</v>
      </c>
      <c r="E494" s="9">
        <f t="shared" si="141"/>
        <v>217.836186</v>
      </c>
      <c r="F494" s="9">
        <f t="shared" si="146"/>
        <v>391.87420059999999</v>
      </c>
      <c r="I494">
        <v>1</v>
      </c>
      <c r="J494">
        <f t="shared" si="142"/>
        <v>0.28875638234389378</v>
      </c>
      <c r="K494">
        <f t="shared" si="147"/>
        <v>1.0634476796848145</v>
      </c>
      <c r="O494">
        <f t="shared" si="148"/>
        <v>0.13835409672255367</v>
      </c>
      <c r="P494">
        <f t="shared" si="149"/>
        <v>0.24889070107427327</v>
      </c>
      <c r="Q494">
        <f t="shared" si="150"/>
        <v>0.95859874965432901</v>
      </c>
      <c r="R494">
        <f t="shared" si="140"/>
        <v>1</v>
      </c>
      <c r="AG494" s="8">
        <f t="shared" si="143"/>
        <v>0.59767427412087748</v>
      </c>
      <c r="AH494" s="8">
        <f t="shared" si="144"/>
        <v>-9.9519005628458529E-2</v>
      </c>
      <c r="AI494" s="8">
        <f t="shared" si="145"/>
        <v>0.79553845260477818</v>
      </c>
      <c r="AJ494" s="8"/>
      <c r="AK494" s="8"/>
      <c r="AL494" s="8"/>
      <c r="AN494" s="8">
        <f t="shared" si="151"/>
        <v>0.99999999999999978</v>
      </c>
      <c r="AO494" s="8">
        <f t="shared" si="152"/>
        <v>6.1181886391309481</v>
      </c>
      <c r="AP494" s="8">
        <f t="shared" si="153"/>
        <v>0.65090058728675226</v>
      </c>
      <c r="AQ494" s="8"/>
      <c r="AR494" s="8">
        <f t="shared" si="154"/>
        <v>350.54638728709199</v>
      </c>
      <c r="AS494" s="8">
        <f t="shared" si="155"/>
        <v>52.706143465882448</v>
      </c>
    </row>
    <row r="495" spans="1:45">
      <c r="A495" s="19">
        <v>20.253566670000001</v>
      </c>
      <c r="B495" s="19">
        <v>1179.3620510000001</v>
      </c>
      <c r="C495" s="19">
        <v>-148.3831184</v>
      </c>
      <c r="E495" s="9">
        <f t="shared" si="141"/>
        <v>219.36205100000006</v>
      </c>
      <c r="F495" s="9">
        <f t="shared" si="146"/>
        <v>391.6168816</v>
      </c>
      <c r="I495">
        <v>1</v>
      </c>
      <c r="J495">
        <f t="shared" si="142"/>
        <v>0.28907507395106474</v>
      </c>
      <c r="K495">
        <f t="shared" si="147"/>
        <v>1.0601979917683377</v>
      </c>
      <c r="O495">
        <f t="shared" si="148"/>
        <v>0.13931147116177919</v>
      </c>
      <c r="P495">
        <f t="shared" si="149"/>
        <v>0.24870629928366356</v>
      </c>
      <c r="Q495">
        <f t="shared" si="150"/>
        <v>0.95850795025360402</v>
      </c>
      <c r="R495">
        <f t="shared" si="140"/>
        <v>1</v>
      </c>
      <c r="AG495" s="8">
        <f t="shared" si="143"/>
        <v>0.59803095251714933</v>
      </c>
      <c r="AH495" s="8">
        <f t="shared" si="144"/>
        <v>-9.8620560448627631E-2</v>
      </c>
      <c r="AI495" s="8">
        <f t="shared" si="145"/>
        <v>0.79538227594549127</v>
      </c>
      <c r="AJ495" s="8"/>
      <c r="AK495" s="8"/>
      <c r="AL495" s="8"/>
      <c r="AN495" s="8">
        <f t="shared" si="151"/>
        <v>1</v>
      </c>
      <c r="AO495" s="8">
        <f t="shared" si="152"/>
        <v>6.1197474827905349</v>
      </c>
      <c r="AP495" s="8">
        <f t="shared" si="153"/>
        <v>0.65115830216158643</v>
      </c>
      <c r="AQ495" s="8"/>
      <c r="AR495" s="8">
        <f t="shared" si="154"/>
        <v>350.63570244970703</v>
      </c>
      <c r="AS495" s="8">
        <f t="shared" si="155"/>
        <v>52.691377491236707</v>
      </c>
    </row>
    <row r="496" spans="1:45">
      <c r="A496" s="19">
        <v>20.28693333</v>
      </c>
      <c r="B496" s="19">
        <v>1179.5634700000001</v>
      </c>
      <c r="C496" s="19">
        <v>-148.95204190000001</v>
      </c>
      <c r="E496" s="9">
        <f t="shared" si="141"/>
        <v>219.56347000000005</v>
      </c>
      <c r="F496" s="9">
        <f t="shared" si="146"/>
        <v>391.04795809999996</v>
      </c>
      <c r="I496">
        <v>1</v>
      </c>
      <c r="J496">
        <f t="shared" si="142"/>
        <v>0.28883079110440074</v>
      </c>
      <c r="K496">
        <f t="shared" si="147"/>
        <v>1.0591861969124914</v>
      </c>
      <c r="O496">
        <f t="shared" si="148"/>
        <v>0.13944840125632149</v>
      </c>
      <c r="P496">
        <f t="shared" si="149"/>
        <v>0.24836104371821946</v>
      </c>
      <c r="Q496">
        <f t="shared" si="150"/>
        <v>0.9585775583385272</v>
      </c>
      <c r="R496">
        <f t="shared" si="140"/>
        <v>1</v>
      </c>
      <c r="AG496" s="8">
        <f t="shared" si="143"/>
        <v>0.59833317407384012</v>
      </c>
      <c r="AH496" s="8">
        <f t="shared" si="144"/>
        <v>-9.8569211133092999E-2</v>
      </c>
      <c r="AI496" s="8">
        <f t="shared" si="145"/>
        <v>0.79516131911664523</v>
      </c>
      <c r="AJ496" s="8"/>
      <c r="AK496" s="8"/>
      <c r="AL496" s="8"/>
      <c r="AN496" s="8">
        <f t="shared" si="151"/>
        <v>0.99999999999999989</v>
      </c>
      <c r="AO496" s="8">
        <f t="shared" si="152"/>
        <v>6.1199121268914123</v>
      </c>
      <c r="AP496" s="8">
        <f t="shared" si="153"/>
        <v>0.65152276520907537</v>
      </c>
      <c r="AQ496" s="8"/>
      <c r="AR496" s="8">
        <f t="shared" si="154"/>
        <v>350.64513586180902</v>
      </c>
      <c r="AS496" s="8">
        <f t="shared" si="155"/>
        <v>52.670495296827113</v>
      </c>
    </row>
    <row r="497" spans="1:45">
      <c r="A497" s="19">
        <v>20.3203</v>
      </c>
      <c r="B497" s="19">
        <v>1179.5925360000001</v>
      </c>
      <c r="C497" s="19">
        <v>-149.50240070000001</v>
      </c>
      <c r="E497" s="9">
        <f t="shared" si="141"/>
        <v>219.59253600000011</v>
      </c>
      <c r="F497" s="9">
        <f t="shared" si="146"/>
        <v>390.49759929999999</v>
      </c>
      <c r="I497">
        <v>1</v>
      </c>
      <c r="J497">
        <f t="shared" si="142"/>
        <v>0.28854477895599245</v>
      </c>
      <c r="K497">
        <f t="shared" si="147"/>
        <v>1.0585281921134493</v>
      </c>
      <c r="O497">
        <f t="shared" si="148"/>
        <v>0.13947740471069636</v>
      </c>
      <c r="P497">
        <f t="shared" si="149"/>
        <v>0.24803025042764393</v>
      </c>
      <c r="Q497">
        <f t="shared" si="150"/>
        <v>0.95865898444022779</v>
      </c>
      <c r="R497">
        <f t="shared" si="140"/>
        <v>1</v>
      </c>
      <c r="AG497" s="8">
        <f t="shared" si="143"/>
        <v>0.59860012854658451</v>
      </c>
      <c r="AH497" s="8">
        <f t="shared" si="144"/>
        <v>-9.862065972059389E-2</v>
      </c>
      <c r="AI497" s="8">
        <f t="shared" si="145"/>
        <v>0.79495399337338224</v>
      </c>
      <c r="AJ497" s="8"/>
      <c r="AK497" s="8"/>
      <c r="AL497" s="8"/>
      <c r="AN497" s="8">
        <f t="shared" si="151"/>
        <v>1</v>
      </c>
      <c r="AO497" s="8">
        <f t="shared" si="152"/>
        <v>6.1198999765568605</v>
      </c>
      <c r="AP497" s="8">
        <f t="shared" si="153"/>
        <v>0.6518645857786608</v>
      </c>
      <c r="AQ497" s="8"/>
      <c r="AR497" s="8">
        <f t="shared" si="154"/>
        <v>350.64443969891954</v>
      </c>
      <c r="AS497" s="8">
        <f t="shared" si="155"/>
        <v>52.650910420839111</v>
      </c>
    </row>
    <row r="498" spans="1:45">
      <c r="A498" s="19">
        <v>20.353666669999999</v>
      </c>
      <c r="B498" s="19">
        <v>1180.8478339999999</v>
      </c>
      <c r="C498" s="19">
        <v>-149.43807029999999</v>
      </c>
      <c r="E498" s="9">
        <f t="shared" si="141"/>
        <v>220.84783399999992</v>
      </c>
      <c r="F498" s="9">
        <f t="shared" si="146"/>
        <v>390.56192970000001</v>
      </c>
      <c r="I498">
        <v>1</v>
      </c>
      <c r="J498">
        <f t="shared" si="142"/>
        <v>0.2889579809606998</v>
      </c>
      <c r="K498">
        <f t="shared" si="147"/>
        <v>1.0561598352448225</v>
      </c>
      <c r="O498">
        <f t="shared" si="148"/>
        <v>0.14025940265806838</v>
      </c>
      <c r="P498">
        <f t="shared" si="149"/>
        <v>0.2480440127871234</v>
      </c>
      <c r="Q498">
        <f t="shared" si="150"/>
        <v>0.95854132288934901</v>
      </c>
      <c r="R498">
        <f t="shared" si="140"/>
        <v>1</v>
      </c>
      <c r="AG498" s="8">
        <f t="shared" si="143"/>
        <v>0.59876129950257884</v>
      </c>
      <c r="AH498" s="8">
        <f t="shared" si="144"/>
        <v>-9.7846763438876133E-2</v>
      </c>
      <c r="AI498" s="8">
        <f t="shared" si="145"/>
        <v>0.79492824651192251</v>
      </c>
      <c r="AJ498" s="8"/>
      <c r="AK498" s="8"/>
      <c r="AL498" s="8"/>
      <c r="AN498" s="8">
        <f t="shared" si="151"/>
        <v>1</v>
      </c>
      <c r="AO498" s="8">
        <f t="shared" si="152"/>
        <v>6.1212017700687644</v>
      </c>
      <c r="AP498" s="8">
        <f t="shared" si="153"/>
        <v>0.65190702426665281</v>
      </c>
      <c r="AQ498" s="8"/>
      <c r="AR498" s="8">
        <f t="shared" si="154"/>
        <v>350.71902697294917</v>
      </c>
      <c r="AS498" s="8">
        <f t="shared" si="155"/>
        <v>52.64847887458825</v>
      </c>
    </row>
    <row r="499" spans="1:45">
      <c r="A499" s="19">
        <v>20.387033330000001</v>
      </c>
      <c r="B499" s="19">
        <v>1181.372697</v>
      </c>
      <c r="C499" s="19">
        <v>-149.48158190000001</v>
      </c>
      <c r="E499" s="9">
        <f t="shared" si="141"/>
        <v>221.37269700000002</v>
      </c>
      <c r="F499" s="9">
        <f t="shared" si="146"/>
        <v>390.51841809999996</v>
      </c>
      <c r="I499">
        <v>1</v>
      </c>
      <c r="J499">
        <f t="shared" si="142"/>
        <v>0.28909355566847494</v>
      </c>
      <c r="K499">
        <f t="shared" si="147"/>
        <v>1.0550943495475473</v>
      </c>
      <c r="O499">
        <f t="shared" si="148"/>
        <v>0.14058769527929565</v>
      </c>
      <c r="P499">
        <f t="shared" si="149"/>
        <v>0.24800747837839901</v>
      </c>
      <c r="Q499">
        <f t="shared" si="150"/>
        <v>0.95850268158437812</v>
      </c>
      <c r="R499">
        <f t="shared" si="140"/>
        <v>1</v>
      </c>
      <c r="AG499" s="8">
        <f t="shared" si="143"/>
        <v>0.59886214357780343</v>
      </c>
      <c r="AH499" s="8">
        <f t="shared" si="144"/>
        <v>-9.7532051106869022E-2</v>
      </c>
      <c r="AI499" s="8">
        <f t="shared" si="145"/>
        <v>0.7948909560413211</v>
      </c>
      <c r="AJ499" s="8"/>
      <c r="AK499" s="8"/>
      <c r="AL499" s="8"/>
      <c r="AN499" s="8">
        <f t="shared" si="151"/>
        <v>1</v>
      </c>
      <c r="AO499" s="8">
        <f t="shared" si="152"/>
        <v>6.1217404681239804</v>
      </c>
      <c r="AP499" s="8">
        <f t="shared" si="153"/>
        <v>0.65196848587339917</v>
      </c>
      <c r="AQ499" s="8"/>
      <c r="AR499" s="8">
        <f t="shared" si="154"/>
        <v>350.74989209794495</v>
      </c>
      <c r="AS499" s="8">
        <f t="shared" si="155"/>
        <v>52.644957383919596</v>
      </c>
    </row>
    <row r="500" spans="1:45">
      <c r="A500" s="19">
        <v>20.420400000000001</v>
      </c>
      <c r="B500" s="19">
        <v>1181.762117</v>
      </c>
      <c r="C500" s="19">
        <v>-150.5014132</v>
      </c>
      <c r="E500" s="9">
        <f t="shared" si="141"/>
        <v>221.76211699999999</v>
      </c>
      <c r="F500" s="9">
        <f t="shared" si="146"/>
        <v>389.4985868</v>
      </c>
      <c r="I500">
        <v>1</v>
      </c>
      <c r="J500">
        <f t="shared" si="142"/>
        <v>0.28866702586491716</v>
      </c>
      <c r="K500">
        <f t="shared" si="147"/>
        <v>1.0532164123976409</v>
      </c>
      <c r="O500">
        <f t="shared" si="148"/>
        <v>0.14085089646671051</v>
      </c>
      <c r="P500">
        <f t="shared" si="149"/>
        <v>0.24738772277907531</v>
      </c>
      <c r="Q500">
        <f t="shared" si="150"/>
        <v>0.95862419100641694</v>
      </c>
      <c r="R500">
        <f t="shared" si="140"/>
        <v>1</v>
      </c>
      <c r="AG500" s="8">
        <f t="shared" si="143"/>
        <v>0.59940781826719869</v>
      </c>
      <c r="AH500" s="8">
        <f t="shared" si="144"/>
        <v>-9.7422471162601582E-2</v>
      </c>
      <c r="AI500" s="8">
        <f t="shared" si="145"/>
        <v>0.79449300155050395</v>
      </c>
      <c r="AJ500" s="8"/>
      <c r="AK500" s="8"/>
      <c r="AL500" s="8"/>
      <c r="AN500" s="8">
        <f t="shared" si="151"/>
        <v>1</v>
      </c>
      <c r="AO500" s="8">
        <f t="shared" si="152"/>
        <v>6.1220630068200679</v>
      </c>
      <c r="AP500" s="8">
        <f t="shared" si="153"/>
        <v>0.65262408073082423</v>
      </c>
      <c r="AQ500" s="8"/>
      <c r="AR500" s="8">
        <f t="shared" si="154"/>
        <v>350.76837220396038</v>
      </c>
      <c r="AS500" s="8">
        <f t="shared" si="155"/>
        <v>52.607394565518661</v>
      </c>
    </row>
    <row r="501" spans="1:45">
      <c r="A501" s="19">
        <v>20.45376667</v>
      </c>
      <c r="B501" s="19">
        <v>1183.970894</v>
      </c>
      <c r="C501" s="19">
        <v>-150.4365904</v>
      </c>
      <c r="E501" s="9">
        <f t="shared" si="141"/>
        <v>223.97089400000004</v>
      </c>
      <c r="F501" s="9">
        <f t="shared" si="146"/>
        <v>389.5634096</v>
      </c>
      <c r="I501">
        <v>1</v>
      </c>
      <c r="J501">
        <f t="shared" si="142"/>
        <v>0.28937531684387596</v>
      </c>
      <c r="K501">
        <f t="shared" si="147"/>
        <v>1.0490161932138842</v>
      </c>
      <c r="O501">
        <f t="shared" si="148"/>
        <v>0.14222712049640732</v>
      </c>
      <c r="P501">
        <f t="shared" si="149"/>
        <v>0.24738251032819675</v>
      </c>
      <c r="Q501">
        <f t="shared" si="150"/>
        <v>0.95842231807226819</v>
      </c>
      <c r="R501">
        <f t="shared" si="140"/>
        <v>1</v>
      </c>
      <c r="AG501" s="8">
        <f t="shared" si="143"/>
        <v>0.59971287140704177</v>
      </c>
      <c r="AH501" s="8">
        <f t="shared" si="144"/>
        <v>-9.6066937754624104E-2</v>
      </c>
      <c r="AI501" s="8">
        <f t="shared" si="145"/>
        <v>0.79442785408063976</v>
      </c>
      <c r="AJ501" s="8"/>
      <c r="AK501" s="8"/>
      <c r="AL501" s="8"/>
      <c r="AN501" s="8">
        <f t="shared" si="151"/>
        <v>1</v>
      </c>
      <c r="AO501" s="8">
        <f t="shared" si="152"/>
        <v>6.1243465279369103</v>
      </c>
      <c r="AP501" s="8">
        <f t="shared" si="153"/>
        <v>0.65273135186885667</v>
      </c>
      <c r="AQ501" s="8"/>
      <c r="AR501" s="8">
        <f t="shared" si="154"/>
        <v>350.8992083263845</v>
      </c>
      <c r="AS501" s="8">
        <f t="shared" si="155"/>
        <v>52.601248382045831</v>
      </c>
    </row>
    <row r="502" spans="1:45">
      <c r="A502" s="19">
        <v>20.487133329999999</v>
      </c>
      <c r="B502" s="19">
        <v>1183.727817</v>
      </c>
      <c r="C502" s="19">
        <v>-150.18988429999999</v>
      </c>
      <c r="E502" s="9">
        <f t="shared" si="141"/>
        <v>223.72781699999996</v>
      </c>
      <c r="F502" s="9">
        <f t="shared" si="146"/>
        <v>389.81011569999998</v>
      </c>
      <c r="I502">
        <v>1</v>
      </c>
      <c r="J502">
        <f t="shared" si="142"/>
        <v>0.28943233272786095</v>
      </c>
      <c r="K502">
        <f t="shared" si="147"/>
        <v>1.049758645618815</v>
      </c>
      <c r="O502">
        <f t="shared" si="148"/>
        <v>0.14207061269892707</v>
      </c>
      <c r="P502">
        <f t="shared" si="149"/>
        <v>0.24753543263571315</v>
      </c>
      <c r="Q502">
        <f t="shared" si="150"/>
        <v>0.95840604682837938</v>
      </c>
      <c r="R502">
        <f t="shared" si="140"/>
        <v>1</v>
      </c>
      <c r="AG502" s="8">
        <f t="shared" si="143"/>
        <v>0.59955834430512589</v>
      </c>
      <c r="AH502" s="8">
        <f t="shared" si="144"/>
        <v>-9.6184301257930621E-2</v>
      </c>
      <c r="AI502" s="8">
        <f t="shared" si="145"/>
        <v>0.79453028385683311</v>
      </c>
      <c r="AJ502" s="8"/>
      <c r="AK502" s="8"/>
      <c r="AL502" s="8"/>
      <c r="AN502" s="8">
        <f t="shared" si="151"/>
        <v>1</v>
      </c>
      <c r="AO502" s="8">
        <f t="shared" si="152"/>
        <v>6.1241154307104395</v>
      </c>
      <c r="AP502" s="8">
        <f t="shared" si="153"/>
        <v>0.65256268530433692</v>
      </c>
      <c r="AQ502" s="8"/>
      <c r="AR502" s="8">
        <f t="shared" si="154"/>
        <v>350.88596743065051</v>
      </c>
      <c r="AS502" s="8">
        <f t="shared" si="155"/>
        <v>52.610912264337784</v>
      </c>
    </row>
    <row r="503" spans="1:45">
      <c r="A503" s="19">
        <v>20.520499999999998</v>
      </c>
      <c r="B503" s="19">
        <v>1184.409482</v>
      </c>
      <c r="C503" s="19">
        <v>-150.850132</v>
      </c>
      <c r="E503" s="9">
        <f t="shared" si="141"/>
        <v>224.40948200000003</v>
      </c>
      <c r="F503" s="9">
        <f t="shared" si="146"/>
        <v>389.14986799999997</v>
      </c>
      <c r="I503">
        <v>1</v>
      </c>
      <c r="J503">
        <f t="shared" si="142"/>
        <v>0.28928963100699334</v>
      </c>
      <c r="K503">
        <f t="shared" si="147"/>
        <v>1.04771093557974</v>
      </c>
      <c r="O503">
        <f t="shared" si="148"/>
        <v>0.14250887154415698</v>
      </c>
      <c r="P503">
        <f t="shared" si="149"/>
        <v>0.24712551384186884</v>
      </c>
      <c r="Q503">
        <f t="shared" si="150"/>
        <v>0.95844676531333928</v>
      </c>
      <c r="R503">
        <f t="shared" si="140"/>
        <v>1</v>
      </c>
      <c r="AG503" s="8">
        <f t="shared" si="143"/>
        <v>0.5999765637910115</v>
      </c>
      <c r="AH503" s="8">
        <f t="shared" si="144"/>
        <v>-9.5851198328257781E-2</v>
      </c>
      <c r="AI503" s="8">
        <f t="shared" si="145"/>
        <v>0.79425478952321549</v>
      </c>
      <c r="AJ503" s="8"/>
      <c r="AK503" s="8"/>
      <c r="AL503" s="8"/>
      <c r="AN503" s="8">
        <f t="shared" si="151"/>
        <v>1</v>
      </c>
      <c r="AO503" s="8">
        <f t="shared" si="152"/>
        <v>6.1247657818185877</v>
      </c>
      <c r="AP503" s="8">
        <f t="shared" si="153"/>
        <v>0.65301624507695055</v>
      </c>
      <c r="AQ503" s="8"/>
      <c r="AR503" s="8">
        <f t="shared" si="154"/>
        <v>350.92322980434909</v>
      </c>
      <c r="AS503" s="8">
        <f t="shared" si="155"/>
        <v>52.584925203610112</v>
      </c>
    </row>
    <row r="504" spans="1:45">
      <c r="A504" s="19">
        <v>20.553866670000001</v>
      </c>
      <c r="B504" s="19">
        <v>1184.8110160000001</v>
      </c>
      <c r="C504" s="19">
        <v>-151.15624299999999</v>
      </c>
      <c r="E504" s="9">
        <f t="shared" si="141"/>
        <v>224.81101600000011</v>
      </c>
      <c r="F504" s="9">
        <f t="shared" si="146"/>
        <v>388.84375699999998</v>
      </c>
      <c r="I504">
        <v>1</v>
      </c>
      <c r="J504">
        <f t="shared" si="142"/>
        <v>0.28925013539014588</v>
      </c>
      <c r="K504">
        <f t="shared" si="147"/>
        <v>1.0465960374038097</v>
      </c>
      <c r="O504">
        <f t="shared" si="148"/>
        <v>0.14276535565216464</v>
      </c>
      <c r="P504">
        <f t="shared" si="149"/>
        <v>0.24693370569184586</v>
      </c>
      <c r="Q504">
        <f t="shared" si="150"/>
        <v>0.95845803153753362</v>
      </c>
      <c r="R504">
        <f t="shared" si="140"/>
        <v>1</v>
      </c>
      <c r="AG504" s="8">
        <f t="shared" si="143"/>
        <v>0.60018335703969405</v>
      </c>
      <c r="AH504" s="8">
        <f t="shared" si="144"/>
        <v>-9.5644589231996341E-2</v>
      </c>
      <c r="AI504" s="8">
        <f t="shared" si="145"/>
        <v>0.79412344788653977</v>
      </c>
      <c r="AJ504" s="8"/>
      <c r="AK504" s="8"/>
      <c r="AL504" s="8"/>
      <c r="AN504" s="8">
        <f t="shared" si="151"/>
        <v>1</v>
      </c>
      <c r="AO504" s="8">
        <f t="shared" si="152"/>
        <v>6.125155156753828</v>
      </c>
      <c r="AP504" s="8">
        <f t="shared" si="153"/>
        <v>0.65323238458248767</v>
      </c>
      <c r="AQ504" s="8"/>
      <c r="AR504" s="8">
        <f t="shared" si="154"/>
        <v>350.94553934478654</v>
      </c>
      <c r="AS504" s="8">
        <f t="shared" si="155"/>
        <v>52.572541322156788</v>
      </c>
    </row>
    <row r="505" spans="1:45">
      <c r="A505" s="19">
        <v>20.58723333</v>
      </c>
      <c r="B505" s="19">
        <v>1185.3260909999999</v>
      </c>
      <c r="C505" s="19">
        <v>-151.40628240000001</v>
      </c>
      <c r="E505" s="9">
        <f t="shared" si="141"/>
        <v>225.32609099999991</v>
      </c>
      <c r="F505" s="9">
        <f t="shared" si="146"/>
        <v>388.59371759999999</v>
      </c>
      <c r="I505">
        <v>1</v>
      </c>
      <c r="J505">
        <f t="shared" si="142"/>
        <v>0.2892757471392769</v>
      </c>
      <c r="K505">
        <f t="shared" si="147"/>
        <v>1.0453247364630016</v>
      </c>
      <c r="O505">
        <f t="shared" si="148"/>
        <v>0.14309148088989621</v>
      </c>
      <c r="P505">
        <f t="shared" si="149"/>
        <v>0.24677324436385017</v>
      </c>
      <c r="Q505">
        <f t="shared" si="150"/>
        <v>0.95845072589198654</v>
      </c>
      <c r="R505">
        <f t="shared" si="140"/>
        <v>1</v>
      </c>
      <c r="AG505" s="8">
        <f t="shared" si="143"/>
        <v>0.60038056126802364</v>
      </c>
      <c r="AH505" s="8">
        <f t="shared" si="144"/>
        <v>-9.5361690001036642E-2</v>
      </c>
      <c r="AI505" s="8">
        <f t="shared" si="145"/>
        <v>0.79400839399318635</v>
      </c>
      <c r="AJ505" s="8"/>
      <c r="AK505" s="8"/>
      <c r="AL505" s="8"/>
      <c r="AN505" s="8">
        <f t="shared" si="151"/>
        <v>0.99999999999999989</v>
      </c>
      <c r="AO505" s="8">
        <f t="shared" si="152"/>
        <v>6.1256657757488551</v>
      </c>
      <c r="AP505" s="8">
        <f t="shared" si="153"/>
        <v>0.65342167037345333</v>
      </c>
      <c r="AQ505" s="8"/>
      <c r="AR505" s="8">
        <f t="shared" si="154"/>
        <v>350.97479565814081</v>
      </c>
      <c r="AS505" s="8">
        <f t="shared" si="155"/>
        <v>52.561696045212663</v>
      </c>
    </row>
    <row r="506" spans="1:45">
      <c r="A506" s="19">
        <v>20.6206</v>
      </c>
      <c r="B506" s="19">
        <v>1185.983113</v>
      </c>
      <c r="C506" s="19">
        <v>-151.79376920000001</v>
      </c>
      <c r="E506" s="9">
        <f t="shared" si="141"/>
        <v>225.983113</v>
      </c>
      <c r="F506" s="9">
        <f t="shared" si="146"/>
        <v>388.20623079999996</v>
      </c>
      <c r="I506">
        <v>1</v>
      </c>
      <c r="J506">
        <f t="shared" si="142"/>
        <v>0.28927268486267538</v>
      </c>
      <c r="K506">
        <f t="shared" si="147"/>
        <v>1.0436266757153525</v>
      </c>
      <c r="O506">
        <f t="shared" si="148"/>
        <v>0.14350883376423273</v>
      </c>
      <c r="P506">
        <f t="shared" si="149"/>
        <v>0.24652737411452758</v>
      </c>
      <c r="Q506">
        <f t="shared" si="150"/>
        <v>0.95845159942681801</v>
      </c>
      <c r="R506">
        <f t="shared" si="140"/>
        <v>1</v>
      </c>
      <c r="AG506" s="8">
        <f t="shared" si="143"/>
        <v>0.60066465281100834</v>
      </c>
      <c r="AH506" s="8">
        <f t="shared" si="144"/>
        <v>-9.5009381659455355E-2</v>
      </c>
      <c r="AI506" s="8">
        <f t="shared" si="145"/>
        <v>0.79383574639853494</v>
      </c>
      <c r="AJ506" s="8"/>
      <c r="AK506" s="8"/>
      <c r="AL506" s="8"/>
      <c r="AN506" s="8">
        <f t="shared" si="151"/>
        <v>1.0000000000000004</v>
      </c>
      <c r="AO506" s="8">
        <f t="shared" si="152"/>
        <v>6.1263112138775924</v>
      </c>
      <c r="AP506" s="8">
        <f t="shared" si="153"/>
        <v>0.65370562111885178</v>
      </c>
      <c r="AQ506" s="8"/>
      <c r="AR506" s="8">
        <f t="shared" si="154"/>
        <v>351.01177653885424</v>
      </c>
      <c r="AS506" s="8">
        <f t="shared" si="155"/>
        <v>52.545426865911736</v>
      </c>
    </row>
    <row r="507" spans="1:45">
      <c r="A507" s="19">
        <v>20.653966669999999</v>
      </c>
      <c r="B507" s="19">
        <v>1186.360246</v>
      </c>
      <c r="C507" s="19">
        <v>-152.20769580000001</v>
      </c>
      <c r="E507" s="9">
        <f t="shared" si="141"/>
        <v>226.36024599999996</v>
      </c>
      <c r="F507" s="9">
        <f t="shared" si="146"/>
        <v>387.79230419999999</v>
      </c>
      <c r="I507">
        <v>1</v>
      </c>
      <c r="J507">
        <f t="shared" si="142"/>
        <v>0.28916970348804838</v>
      </c>
      <c r="K507">
        <f t="shared" si="147"/>
        <v>1.0424370412115</v>
      </c>
      <c r="O507">
        <f t="shared" si="148"/>
        <v>0.14375225115944149</v>
      </c>
      <c r="P507">
        <f t="shared" si="149"/>
        <v>0.24627123223331776</v>
      </c>
      <c r="Q507">
        <f t="shared" si="150"/>
        <v>0.95848097031755208</v>
      </c>
      <c r="R507">
        <f t="shared" si="140"/>
        <v>1</v>
      </c>
      <c r="AG507" s="8">
        <f t="shared" si="143"/>
        <v>0.60091891205713621</v>
      </c>
      <c r="AH507" s="8">
        <f t="shared" si="144"/>
        <v>-9.4831081594590361E-2</v>
      </c>
      <c r="AI507" s="8">
        <f t="shared" si="145"/>
        <v>0.79366461877525318</v>
      </c>
      <c r="AJ507" s="8"/>
      <c r="AK507" s="8"/>
      <c r="AL507" s="8"/>
      <c r="AN507" s="8">
        <f t="shared" si="151"/>
        <v>1</v>
      </c>
      <c r="AO507" s="8">
        <f t="shared" si="152"/>
        <v>6.1266659964074321</v>
      </c>
      <c r="AP507" s="8">
        <f t="shared" si="153"/>
        <v>0.65398696816630775</v>
      </c>
      <c r="AQ507" s="8"/>
      <c r="AR507" s="8">
        <f t="shared" si="154"/>
        <v>351.03210408045902</v>
      </c>
      <c r="AS507" s="8">
        <f t="shared" si="155"/>
        <v>52.529306867514045</v>
      </c>
    </row>
    <row r="508" spans="1:45">
      <c r="A508" s="19">
        <v>20.687333330000001</v>
      </c>
      <c r="B508" s="19">
        <v>1187.3569500000001</v>
      </c>
      <c r="C508" s="19">
        <v>-152.19478380000001</v>
      </c>
      <c r="E508" s="9">
        <f t="shared" si="141"/>
        <v>227.3569500000001</v>
      </c>
      <c r="F508" s="9">
        <f t="shared" si="146"/>
        <v>387.80521620000002</v>
      </c>
      <c r="I508">
        <v>1</v>
      </c>
      <c r="J508">
        <f t="shared" si="142"/>
        <v>0.28948561619637897</v>
      </c>
      <c r="K508">
        <f t="shared" si="147"/>
        <v>1.0405366882118086</v>
      </c>
      <c r="O508">
        <f t="shared" si="148"/>
        <v>0.14437312784594877</v>
      </c>
      <c r="P508">
        <f t="shared" si="149"/>
        <v>0.24625881046419912</v>
      </c>
      <c r="Q508">
        <f t="shared" si="150"/>
        <v>0.95839083792820923</v>
      </c>
      <c r="R508">
        <f t="shared" si="140"/>
        <v>1</v>
      </c>
      <c r="AG508" s="8">
        <f t="shared" si="143"/>
        <v>0.60106324884589135</v>
      </c>
      <c r="AH508" s="8">
        <f t="shared" si="144"/>
        <v>-9.4221502822859821E-2</v>
      </c>
      <c r="AI508" s="8">
        <f t="shared" si="145"/>
        <v>0.79362792245020208</v>
      </c>
      <c r="AJ508" s="8"/>
      <c r="AK508" s="8"/>
      <c r="AL508" s="8"/>
      <c r="AN508" s="8">
        <f t="shared" si="151"/>
        <v>1</v>
      </c>
      <c r="AO508" s="8">
        <f t="shared" si="152"/>
        <v>6.1276926616727465</v>
      </c>
      <c r="AP508" s="8">
        <f t="shared" si="153"/>
        <v>0.65404728631644415</v>
      </c>
      <c r="AQ508" s="8"/>
      <c r="AR508" s="8">
        <f t="shared" si="154"/>
        <v>351.09092766713422</v>
      </c>
      <c r="AS508" s="8">
        <f t="shared" si="155"/>
        <v>52.525850892083191</v>
      </c>
    </row>
    <row r="509" spans="1:45">
      <c r="A509" s="19">
        <v>20.720700000000001</v>
      </c>
      <c r="B509" s="19">
        <v>1188.2059919999999</v>
      </c>
      <c r="C509" s="19">
        <v>-152.75693749999999</v>
      </c>
      <c r="E509" s="9">
        <f t="shared" si="141"/>
        <v>228.20599199999992</v>
      </c>
      <c r="F509" s="9">
        <f t="shared" si="146"/>
        <v>387.24306250000001</v>
      </c>
      <c r="I509">
        <v>1</v>
      </c>
      <c r="J509">
        <f t="shared" si="142"/>
        <v>0.28945221267026933</v>
      </c>
      <c r="K509">
        <f t="shared" si="147"/>
        <v>1.0382746188855208</v>
      </c>
      <c r="O509">
        <f t="shared" si="148"/>
        <v>0.14491355885497739</v>
      </c>
      <c r="P509">
        <f t="shared" si="149"/>
        <v>0.24590401784356072</v>
      </c>
      <c r="Q509">
        <f t="shared" si="150"/>
        <v>0.95840037274010847</v>
      </c>
      <c r="R509">
        <f t="shared" si="140"/>
        <v>1</v>
      </c>
      <c r="AG509" s="8">
        <f t="shared" si="143"/>
        <v>0.60145905385015874</v>
      </c>
      <c r="AH509" s="8">
        <f t="shared" si="144"/>
        <v>-9.3773816722697773E-2</v>
      </c>
      <c r="AI509" s="8">
        <f t="shared" si="145"/>
        <v>0.79338104202137938</v>
      </c>
      <c r="AJ509" s="8"/>
      <c r="AK509" s="8"/>
      <c r="AL509" s="8"/>
      <c r="AN509" s="8">
        <f t="shared" si="151"/>
        <v>1</v>
      </c>
      <c r="AO509" s="8">
        <f t="shared" si="152"/>
        <v>6.128519934706004</v>
      </c>
      <c r="AP509" s="8">
        <f t="shared" si="153"/>
        <v>0.65445296308060519</v>
      </c>
      <c r="AQ509" s="8"/>
      <c r="AR509" s="8">
        <f t="shared" si="154"/>
        <v>351.13832692044485</v>
      </c>
      <c r="AS509" s="8">
        <f t="shared" si="155"/>
        <v>52.502607325650239</v>
      </c>
    </row>
    <row r="510" spans="1:45">
      <c r="A510" s="19">
        <v>20.75406667</v>
      </c>
      <c r="B510" s="19">
        <v>1188.7602730000001</v>
      </c>
      <c r="C510" s="19">
        <v>-153.03331069999999</v>
      </c>
      <c r="E510" s="9">
        <f t="shared" si="141"/>
        <v>228.7602730000001</v>
      </c>
      <c r="F510" s="9">
        <f t="shared" si="146"/>
        <v>386.96668929999998</v>
      </c>
      <c r="I510">
        <v>1</v>
      </c>
      <c r="J510">
        <f t="shared" si="142"/>
        <v>0.28947906805674878</v>
      </c>
      <c r="K510">
        <f t="shared" si="147"/>
        <v>1.0369001821002248</v>
      </c>
      <c r="O510">
        <f t="shared" si="148"/>
        <v>0.14526449929524765</v>
      </c>
      <c r="P510">
        <f t="shared" si="149"/>
        <v>0.24572676727442155</v>
      </c>
      <c r="Q510">
        <f t="shared" si="150"/>
        <v>0.95839270713490055</v>
      </c>
      <c r="R510">
        <f t="shared" si="140"/>
        <v>1</v>
      </c>
      <c r="AG510" s="8">
        <f t="shared" si="143"/>
        <v>0.60167414670422892</v>
      </c>
      <c r="AH510" s="8">
        <f t="shared" si="144"/>
        <v>-9.3470218389235749E-2</v>
      </c>
      <c r="AI510" s="8">
        <f t="shared" si="145"/>
        <v>0.79325376737964925</v>
      </c>
      <c r="AJ510" s="8"/>
      <c r="AK510" s="8"/>
      <c r="AL510" s="8"/>
      <c r="AN510" s="8">
        <f t="shared" si="151"/>
        <v>1.0000000000000002</v>
      </c>
      <c r="AO510" s="8">
        <f t="shared" si="152"/>
        <v>6.1290670099368949</v>
      </c>
      <c r="AP510" s="8">
        <f t="shared" si="153"/>
        <v>0.65466201846282668</v>
      </c>
      <c r="AQ510" s="8"/>
      <c r="AR510" s="8">
        <f t="shared" si="154"/>
        <v>351.16967202225106</v>
      </c>
      <c r="AS510" s="8">
        <f t="shared" si="155"/>
        <v>52.490629334564453</v>
      </c>
    </row>
    <row r="511" spans="1:45">
      <c r="A511" s="19">
        <v>20.787433329999999</v>
      </c>
      <c r="B511" s="19">
        <v>1189.227539</v>
      </c>
      <c r="C511" s="19">
        <v>-153.1530889</v>
      </c>
      <c r="E511" s="9">
        <f t="shared" si="141"/>
        <v>229.22753899999998</v>
      </c>
      <c r="F511" s="9">
        <f t="shared" si="146"/>
        <v>386.8469111</v>
      </c>
      <c r="I511">
        <v>1</v>
      </c>
      <c r="J511">
        <f t="shared" si="142"/>
        <v>0.28956191396793368</v>
      </c>
      <c r="K511">
        <f t="shared" si="147"/>
        <v>1.0358700944182986</v>
      </c>
      <c r="O511">
        <f t="shared" si="148"/>
        <v>0.14555801758614273</v>
      </c>
      <c r="P511">
        <f t="shared" si="149"/>
        <v>0.24564530830232748</v>
      </c>
      <c r="Q511">
        <f t="shared" si="150"/>
        <v>0.95836905523156712</v>
      </c>
      <c r="R511">
        <f t="shared" si="140"/>
        <v>1</v>
      </c>
      <c r="AG511" s="8">
        <f t="shared" si="143"/>
        <v>0.60180147334633383</v>
      </c>
      <c r="AH511" s="8">
        <f t="shared" si="144"/>
        <v>-9.3200153158801674E-2</v>
      </c>
      <c r="AI511" s="8">
        <f t="shared" si="145"/>
        <v>0.79318895487100538</v>
      </c>
      <c r="AJ511" s="8"/>
      <c r="AK511" s="8"/>
      <c r="AL511" s="8"/>
      <c r="AN511" s="8">
        <f t="shared" si="151"/>
        <v>1</v>
      </c>
      <c r="AO511" s="8">
        <f t="shared" si="152"/>
        <v>6.1295373243511344</v>
      </c>
      <c r="AP511" s="8">
        <f t="shared" si="153"/>
        <v>0.65476845458539668</v>
      </c>
      <c r="AQ511" s="8"/>
      <c r="AR511" s="8">
        <f t="shared" si="154"/>
        <v>351.19661905323119</v>
      </c>
      <c r="AS511" s="8">
        <f t="shared" si="155"/>
        <v>52.484530993953456</v>
      </c>
    </row>
    <row r="512" spans="1:45">
      <c r="A512" s="19">
        <v>20.820799999999998</v>
      </c>
      <c r="B512" s="19">
        <v>1189.7549180000001</v>
      </c>
      <c r="C512" s="19">
        <v>-153.42543119999999</v>
      </c>
      <c r="E512" s="9">
        <f t="shared" si="141"/>
        <v>229.75491800000009</v>
      </c>
      <c r="F512" s="9">
        <f t="shared" si="146"/>
        <v>386.57456880000001</v>
      </c>
      <c r="I512">
        <v>1</v>
      </c>
      <c r="J512">
        <f t="shared" si="142"/>
        <v>0.28958336736367452</v>
      </c>
      <c r="K512">
        <f t="shared" si="147"/>
        <v>1.0345524475034342</v>
      </c>
      <c r="O512">
        <f t="shared" si="148"/>
        <v>0.14589206934568863</v>
      </c>
      <c r="P512">
        <f t="shared" si="149"/>
        <v>0.24547097528789036</v>
      </c>
      <c r="Q512">
        <f t="shared" si="150"/>
        <v>0.95836292937135492</v>
      </c>
      <c r="R512">
        <f t="shared" si="140"/>
        <v>1</v>
      </c>
      <c r="AG512" s="8">
        <f t="shared" si="143"/>
        <v>0.60201042946125971</v>
      </c>
      <c r="AH512" s="8">
        <f t="shared" si="144"/>
        <v>-9.2912442854429123E-2</v>
      </c>
      <c r="AI512" s="8">
        <f t="shared" si="145"/>
        <v>0.79306413409174681</v>
      </c>
      <c r="AJ512" s="8"/>
      <c r="AK512" s="8"/>
      <c r="AL512" s="8"/>
      <c r="AN512" s="8">
        <f t="shared" si="151"/>
        <v>1</v>
      </c>
      <c r="AO512" s="8">
        <f t="shared" si="152"/>
        <v>6.1300565832723457</v>
      </c>
      <c r="AP512" s="8">
        <f t="shared" si="153"/>
        <v>0.65497339567457524</v>
      </c>
      <c r="AQ512" s="8"/>
      <c r="AR512" s="8">
        <f t="shared" si="154"/>
        <v>351.22637039789106</v>
      </c>
      <c r="AS512" s="8">
        <f t="shared" si="155"/>
        <v>52.472788734494706</v>
      </c>
    </row>
    <row r="513" spans="1:45">
      <c r="A513" s="19">
        <v>20.854166670000001</v>
      </c>
      <c r="B513" s="19">
        <v>1190.7262539999999</v>
      </c>
      <c r="C513" s="19">
        <v>-154.00345429999999</v>
      </c>
      <c r="E513" s="9">
        <f t="shared" si="141"/>
        <v>230.72625399999993</v>
      </c>
      <c r="F513" s="9">
        <f t="shared" si="146"/>
        <v>385.99654570000001</v>
      </c>
      <c r="I513">
        <v>1</v>
      </c>
      <c r="J513">
        <f t="shared" si="142"/>
        <v>0.28958385754374794</v>
      </c>
      <c r="K513">
        <f t="shared" si="147"/>
        <v>1.0320389526375298</v>
      </c>
      <c r="O513">
        <f t="shared" si="148"/>
        <v>0.14650883890939093</v>
      </c>
      <c r="P513">
        <f t="shared" si="149"/>
        <v>0.24510390453243638</v>
      </c>
      <c r="Q513">
        <f t="shared" si="150"/>
        <v>0.95836278939886665</v>
      </c>
      <c r="R513">
        <f t="shared" si="140"/>
        <v>1</v>
      </c>
      <c r="AG513" s="8">
        <f t="shared" si="143"/>
        <v>0.60243144256576853</v>
      </c>
      <c r="AH513" s="8">
        <f t="shared" si="144"/>
        <v>-9.2392017552681949E-2</v>
      </c>
      <c r="AI513" s="8">
        <f t="shared" si="145"/>
        <v>0.79280519177202158</v>
      </c>
      <c r="AJ513" s="8"/>
      <c r="AK513" s="8"/>
      <c r="AL513" s="8"/>
      <c r="AN513" s="8">
        <f t="shared" si="151"/>
        <v>0.99999999999999978</v>
      </c>
      <c r="AO513" s="8">
        <f t="shared" si="152"/>
        <v>6.1310058480595515</v>
      </c>
      <c r="AP513" s="8">
        <f t="shared" si="153"/>
        <v>0.65539837433236936</v>
      </c>
      <c r="AQ513" s="8"/>
      <c r="AR513" s="8">
        <f t="shared" si="154"/>
        <v>351.28075926383838</v>
      </c>
      <c r="AS513" s="8">
        <f t="shared" si="155"/>
        <v>52.44843925101997</v>
      </c>
    </row>
    <row r="514" spans="1:45">
      <c r="A514" s="19">
        <v>20.88753333</v>
      </c>
      <c r="B514" s="19">
        <v>1191.3407520000001</v>
      </c>
      <c r="C514" s="19">
        <v>-154.2044037</v>
      </c>
      <c r="E514" s="9">
        <f t="shared" si="141"/>
        <v>231.34075200000007</v>
      </c>
      <c r="F514" s="9">
        <f t="shared" si="146"/>
        <v>385.7955963</v>
      </c>
      <c r="I514">
        <v>1</v>
      </c>
      <c r="J514">
        <f t="shared" si="142"/>
        <v>0.28967180745197801</v>
      </c>
      <c r="K514">
        <f t="shared" si="147"/>
        <v>1.0306372263804757</v>
      </c>
      <c r="O514">
        <f t="shared" si="148"/>
        <v>0.14689560982916433</v>
      </c>
      <c r="P514">
        <f t="shared" si="149"/>
        <v>0.2449705851561102</v>
      </c>
      <c r="Q514">
        <f t="shared" si="150"/>
        <v>0.95833767129399172</v>
      </c>
      <c r="R514">
        <f t="shared" si="140"/>
        <v>1</v>
      </c>
      <c r="AG514" s="8">
        <f t="shared" si="143"/>
        <v>0.60261919005053188</v>
      </c>
      <c r="AH514" s="8">
        <f t="shared" si="144"/>
        <v>-9.2042243449252298E-2</v>
      </c>
      <c r="AI514" s="8">
        <f t="shared" si="145"/>
        <v>0.7927031835458147</v>
      </c>
      <c r="AJ514" s="8"/>
      <c r="AK514" s="8"/>
      <c r="AL514" s="8"/>
      <c r="AN514" s="8">
        <f t="shared" si="151"/>
        <v>1</v>
      </c>
      <c r="AO514" s="8">
        <f t="shared" si="152"/>
        <v>6.1316196738067861</v>
      </c>
      <c r="AP514" s="8">
        <f t="shared" si="153"/>
        <v>0.6555657267320556</v>
      </c>
      <c r="AQ514" s="8"/>
      <c r="AR514" s="8">
        <f t="shared" si="154"/>
        <v>351.31592888851139</v>
      </c>
      <c r="AS514" s="8">
        <f t="shared" si="155"/>
        <v>52.438850664826568</v>
      </c>
    </row>
    <row r="515" spans="1:45">
      <c r="A515" s="19">
        <v>20.9209</v>
      </c>
      <c r="B515" s="19">
        <v>1191.366329</v>
      </c>
      <c r="C515" s="19">
        <v>-154.0393067</v>
      </c>
      <c r="E515" s="9">
        <f t="shared" si="141"/>
        <v>231.36632899999995</v>
      </c>
      <c r="F515" s="9">
        <f t="shared" si="146"/>
        <v>385.9606933</v>
      </c>
      <c r="I515">
        <v>1</v>
      </c>
      <c r="J515">
        <f t="shared" si="142"/>
        <v>0.28976682071619586</v>
      </c>
      <c r="K515">
        <f t="shared" si="147"/>
        <v>1.0307771595635542</v>
      </c>
      <c r="O515">
        <f t="shared" si="148"/>
        <v>0.14690814425623036</v>
      </c>
      <c r="P515">
        <f t="shared" si="149"/>
        <v>0.24506923480880005</v>
      </c>
      <c r="Q515">
        <f t="shared" si="150"/>
        <v>0.95831052759605007</v>
      </c>
      <c r="R515">
        <f t="shared" si="140"/>
        <v>1</v>
      </c>
      <c r="AG515" s="8">
        <f t="shared" si="143"/>
        <v>0.60254440660558817</v>
      </c>
      <c r="AH515" s="8">
        <f t="shared" si="144"/>
        <v>-9.2006091479040847E-2</v>
      </c>
      <c r="AI515" s="8">
        <f t="shared" si="145"/>
        <v>0.79276422547884307</v>
      </c>
      <c r="AJ515" s="8"/>
      <c r="AK515" s="8"/>
      <c r="AL515" s="8"/>
      <c r="AN515" s="8">
        <f t="shared" si="151"/>
        <v>0.99999999999999989</v>
      </c>
      <c r="AO515" s="8">
        <f t="shared" si="152"/>
        <v>6.1316597806610282</v>
      </c>
      <c r="AP515" s="8">
        <f t="shared" si="153"/>
        <v>0.65546558708767977</v>
      </c>
      <c r="AQ515" s="8"/>
      <c r="AR515" s="8">
        <f t="shared" si="154"/>
        <v>351.31822684198897</v>
      </c>
      <c r="AS515" s="8">
        <f t="shared" si="155"/>
        <v>52.444588243811239</v>
      </c>
    </row>
    <row r="516" spans="1:45">
      <c r="A516" s="19">
        <v>20.954266669999999</v>
      </c>
      <c r="B516" s="19">
        <v>1192.5131180000001</v>
      </c>
      <c r="C516" s="19">
        <v>-154.47407469999999</v>
      </c>
      <c r="E516" s="9">
        <f t="shared" si="141"/>
        <v>232.51311800000008</v>
      </c>
      <c r="F516" s="9">
        <f t="shared" si="146"/>
        <v>385.52592530000004</v>
      </c>
      <c r="I516">
        <v>1</v>
      </c>
      <c r="J516">
        <f t="shared" si="142"/>
        <v>0.28990087026204703</v>
      </c>
      <c r="K516">
        <f t="shared" si="147"/>
        <v>1.0280959052729934</v>
      </c>
      <c r="O516">
        <f t="shared" si="148"/>
        <v>0.14763105077765654</v>
      </c>
      <c r="P516">
        <f t="shared" si="149"/>
        <v>0.2447844575120588</v>
      </c>
      <c r="Q516">
        <f t="shared" si="150"/>
        <v>0.95827221717360256</v>
      </c>
      <c r="R516">
        <f t="shared" si="140"/>
        <v>1</v>
      </c>
      <c r="AG516" s="8">
        <f t="shared" si="143"/>
        <v>0.60292293539918207</v>
      </c>
      <c r="AH516" s="8">
        <f t="shared" si="144"/>
        <v>-9.1360781472722835E-2</v>
      </c>
      <c r="AI516" s="8">
        <f t="shared" si="145"/>
        <v>0.79255103405290384</v>
      </c>
      <c r="AJ516" s="8"/>
      <c r="AK516" s="8"/>
      <c r="AL516" s="8"/>
      <c r="AN516" s="8">
        <f t="shared" si="151"/>
        <v>1</v>
      </c>
      <c r="AO516" s="8">
        <f t="shared" si="152"/>
        <v>6.1327995762257572</v>
      </c>
      <c r="AP516" s="8">
        <f t="shared" si="153"/>
        <v>0.65581527211839197</v>
      </c>
      <c r="AQ516" s="8"/>
      <c r="AR516" s="8">
        <f t="shared" si="154"/>
        <v>351.38353231735567</v>
      </c>
      <c r="AS516" s="8">
        <f t="shared" si="155"/>
        <v>52.424552767392527</v>
      </c>
    </row>
    <row r="517" spans="1:45">
      <c r="A517" s="19">
        <v>20.987633330000001</v>
      </c>
      <c r="B517" s="19">
        <v>1192.98171</v>
      </c>
      <c r="C517" s="19">
        <v>-154.7621374</v>
      </c>
      <c r="E517" s="9">
        <f t="shared" si="141"/>
        <v>232.98171000000002</v>
      </c>
      <c r="F517" s="9">
        <f t="shared" si="146"/>
        <v>385.23786259999997</v>
      </c>
      <c r="I517">
        <v>1</v>
      </c>
      <c r="J517">
        <f t="shared" si="142"/>
        <v>0.28989821041948094</v>
      </c>
      <c r="K517">
        <f t="shared" si="147"/>
        <v>1.0268741774994077</v>
      </c>
      <c r="O517">
        <f t="shared" si="148"/>
        <v>0.14792868147301494</v>
      </c>
      <c r="P517">
        <f t="shared" si="149"/>
        <v>0.24460172889923623</v>
      </c>
      <c r="Q517">
        <f t="shared" si="150"/>
        <v>0.9582729775054496</v>
      </c>
      <c r="R517">
        <f t="shared" si="140"/>
        <v>1</v>
      </c>
      <c r="AG517" s="8">
        <f t="shared" si="143"/>
        <v>0.60313005324619406</v>
      </c>
      <c r="AH517" s="8">
        <f t="shared" si="144"/>
        <v>-9.1110820157985883E-2</v>
      </c>
      <c r="AI517" s="8">
        <f t="shared" si="145"/>
        <v>0.79242220900311877</v>
      </c>
      <c r="AJ517" s="8"/>
      <c r="AK517" s="8"/>
      <c r="AL517" s="8"/>
      <c r="AN517" s="8">
        <f t="shared" si="151"/>
        <v>1.0000000000000002</v>
      </c>
      <c r="AO517" s="8">
        <f t="shared" si="152"/>
        <v>6.1332556134679637</v>
      </c>
      <c r="AP517" s="8">
        <f t="shared" si="153"/>
        <v>0.65602649906048371</v>
      </c>
      <c r="AQ517" s="8"/>
      <c r="AR517" s="8">
        <f t="shared" si="154"/>
        <v>351.40966132663493</v>
      </c>
      <c r="AS517" s="8">
        <f t="shared" si="155"/>
        <v>52.412450355091217</v>
      </c>
    </row>
    <row r="518" spans="1:45">
      <c r="A518" s="19">
        <v>21.021000000000001</v>
      </c>
      <c r="B518" s="19">
        <v>1193.6317859999999</v>
      </c>
      <c r="C518" s="19">
        <v>-155.00844939999999</v>
      </c>
      <c r="E518" s="9">
        <f t="shared" si="141"/>
        <v>233.63178599999992</v>
      </c>
      <c r="F518" s="9">
        <f t="shared" si="146"/>
        <v>384.99155059999998</v>
      </c>
      <c r="I518">
        <v>1</v>
      </c>
      <c r="J518">
        <f t="shared" si="142"/>
        <v>0.28997566392181379</v>
      </c>
      <c r="K518">
        <f t="shared" si="147"/>
        <v>1.025355918326968</v>
      </c>
      <c r="O518">
        <f t="shared" si="148"/>
        <v>0.14833838497577176</v>
      </c>
      <c r="P518">
        <f t="shared" si="149"/>
        <v>0.24444030422008645</v>
      </c>
      <c r="Q518">
        <f t="shared" si="150"/>
        <v>0.95825083418464674</v>
      </c>
      <c r="R518">
        <f t="shared" si="140"/>
        <v>1</v>
      </c>
      <c r="AG518" s="8">
        <f t="shared" si="143"/>
        <v>0.60334428418280728</v>
      </c>
      <c r="AH518" s="8">
        <f t="shared" si="144"/>
        <v>-9.074497655770225E-2</v>
      </c>
      <c r="AI518" s="8">
        <f t="shared" si="145"/>
        <v>0.79230109426497586</v>
      </c>
      <c r="AJ518" s="8"/>
      <c r="AK518" s="8"/>
      <c r="AL518" s="8"/>
      <c r="AN518" s="8">
        <f t="shared" si="151"/>
        <v>1.0000000000000002</v>
      </c>
      <c r="AO518" s="8">
        <f t="shared" si="152"/>
        <v>6.1339009491006742</v>
      </c>
      <c r="AP518" s="8">
        <f t="shared" si="153"/>
        <v>0.65622503100409757</v>
      </c>
      <c r="AQ518" s="8"/>
      <c r="AR518" s="8">
        <f t="shared" si="154"/>
        <v>351.44663633475864</v>
      </c>
      <c r="AS518" s="8">
        <f t="shared" si="155"/>
        <v>52.401075312623611</v>
      </c>
    </row>
    <row r="519" spans="1:45">
      <c r="A519" s="19">
        <v>21.05436667</v>
      </c>
      <c r="B519" s="19">
        <v>1194.600852</v>
      </c>
      <c r="C519" s="19">
        <v>-155.60238319999999</v>
      </c>
      <c r="E519" s="9">
        <f t="shared" si="141"/>
        <v>234.60085200000003</v>
      </c>
      <c r="F519" s="9">
        <f t="shared" si="146"/>
        <v>384.39761680000004</v>
      </c>
      <c r="I519">
        <v>1</v>
      </c>
      <c r="J519">
        <f t="shared" si="142"/>
        <v>0.28997347060991185</v>
      </c>
      <c r="K519">
        <f t="shared" si="147"/>
        <v>1.022832038534349</v>
      </c>
      <c r="O519">
        <f t="shared" si="148"/>
        <v>0.14895375490516852</v>
      </c>
      <c r="P519">
        <f t="shared" si="149"/>
        <v>0.24406334380643294</v>
      </c>
      <c r="Q519">
        <f t="shared" si="150"/>
        <v>0.9582514613136125</v>
      </c>
      <c r="R519">
        <f t="shared" si="140"/>
        <v>1</v>
      </c>
      <c r="AG519" s="8">
        <f t="shared" si="143"/>
        <v>0.60377131789173899</v>
      </c>
      <c r="AH519" s="8">
        <f t="shared" si="144"/>
        <v>-9.0227755989575248E-2</v>
      </c>
      <c r="AI519" s="8">
        <f t="shared" si="145"/>
        <v>0.79203481472745785</v>
      </c>
      <c r="AJ519" s="8"/>
      <c r="AK519" s="8"/>
      <c r="AL519" s="8"/>
      <c r="AN519" s="8">
        <f t="shared" si="151"/>
        <v>1</v>
      </c>
      <c r="AO519" s="8">
        <f t="shared" si="152"/>
        <v>6.134842805965218</v>
      </c>
      <c r="AP519" s="8">
        <f t="shared" si="153"/>
        <v>0.65666133802854665</v>
      </c>
      <c r="AQ519" s="8"/>
      <c r="AR519" s="8">
        <f t="shared" si="154"/>
        <v>351.50060075800241</v>
      </c>
      <c r="AS519" s="8">
        <f t="shared" si="155"/>
        <v>52.37607676155077</v>
      </c>
    </row>
    <row r="520" spans="1:45">
      <c r="A520" s="19">
        <v>21.087733329999999</v>
      </c>
      <c r="B520" s="19">
        <v>1195.2940980000001</v>
      </c>
      <c r="C520" s="19">
        <v>-156.07371889999999</v>
      </c>
      <c r="E520" s="9">
        <f t="shared" si="141"/>
        <v>235.29409800000008</v>
      </c>
      <c r="F520" s="9">
        <f t="shared" si="146"/>
        <v>383.92628109999998</v>
      </c>
      <c r="I520">
        <v>1</v>
      </c>
      <c r="J520">
        <f t="shared" si="142"/>
        <v>0.28994866884189813</v>
      </c>
      <c r="K520">
        <f t="shared" si="147"/>
        <v>1.020972602583156</v>
      </c>
      <c r="O520">
        <f t="shared" si="148"/>
        <v>0.14939489846404572</v>
      </c>
      <c r="P520">
        <f t="shared" si="149"/>
        <v>0.24376568843054097</v>
      </c>
      <c r="Q520">
        <f t="shared" si="150"/>
        <v>0.95825855250913461</v>
      </c>
      <c r="R520">
        <f t="shared" si="140"/>
        <v>1</v>
      </c>
      <c r="AG520" s="8">
        <f t="shared" si="143"/>
        <v>0.60409871273909488</v>
      </c>
      <c r="AH520" s="8">
        <f t="shared" si="144"/>
        <v>-8.9863477066460973E-2</v>
      </c>
      <c r="AI520" s="8">
        <f t="shared" si="145"/>
        <v>0.79182655976955851</v>
      </c>
      <c r="AJ520" s="8"/>
      <c r="AK520" s="8"/>
      <c r="AL520" s="8"/>
      <c r="AN520" s="8">
        <f t="shared" si="151"/>
        <v>1</v>
      </c>
      <c r="AO520" s="8">
        <f t="shared" si="152"/>
        <v>6.1355119333286945</v>
      </c>
      <c r="AP520" s="8">
        <f t="shared" si="153"/>
        <v>0.65700239799287885</v>
      </c>
      <c r="AQ520" s="8"/>
      <c r="AR520" s="8">
        <f t="shared" si="154"/>
        <v>351.53893893188632</v>
      </c>
      <c r="AS520" s="8">
        <f t="shared" si="155"/>
        <v>52.356535465033652</v>
      </c>
    </row>
    <row r="521" spans="1:45">
      <c r="A521" s="19">
        <v>21.121099999999998</v>
      </c>
      <c r="B521" s="19">
        <v>1196.320166</v>
      </c>
      <c r="C521" s="19">
        <v>-155.7692308</v>
      </c>
      <c r="E521" s="9">
        <f t="shared" si="141"/>
        <v>236.32016599999997</v>
      </c>
      <c r="F521" s="9">
        <f t="shared" si="146"/>
        <v>384.2307692</v>
      </c>
      <c r="I521">
        <v>1</v>
      </c>
      <c r="J521">
        <f t="shared" si="142"/>
        <v>0.29043747431298872</v>
      </c>
      <c r="K521">
        <f t="shared" si="147"/>
        <v>1.0193859133706398</v>
      </c>
      <c r="O521">
        <f t="shared" si="148"/>
        <v>0.15002686345358029</v>
      </c>
      <c r="P521">
        <f t="shared" si="149"/>
        <v>0.24392728780256759</v>
      </c>
      <c r="Q521">
        <f t="shared" si="150"/>
        <v>0.95811868706729864</v>
      </c>
      <c r="R521">
        <f t="shared" si="140"/>
        <v>1</v>
      </c>
      <c r="AG521" s="8">
        <f t="shared" si="143"/>
        <v>0.60410617368089925</v>
      </c>
      <c r="AH521" s="8">
        <f t="shared" si="144"/>
        <v>-8.9200005117122227E-2</v>
      </c>
      <c r="AI521" s="8">
        <f t="shared" si="145"/>
        <v>0.79189588331278027</v>
      </c>
      <c r="AJ521" s="8"/>
      <c r="AK521" s="8"/>
      <c r="AL521" s="8"/>
      <c r="AN521" s="8">
        <f t="shared" si="151"/>
        <v>0.99999999999999989</v>
      </c>
      <c r="AO521" s="8">
        <f t="shared" si="152"/>
        <v>6.1365883962597456</v>
      </c>
      <c r="AP521" s="8">
        <f t="shared" si="153"/>
        <v>0.65688888330292128</v>
      </c>
      <c r="AQ521" s="8"/>
      <c r="AR521" s="8">
        <f t="shared" si="154"/>
        <v>351.60061571463785</v>
      </c>
      <c r="AS521" s="8">
        <f t="shared" si="155"/>
        <v>52.363039377680956</v>
      </c>
    </row>
    <row r="522" spans="1:45">
      <c r="A522" s="19">
        <v>21.154466670000001</v>
      </c>
      <c r="B522" s="19">
        <v>1197.8363609999999</v>
      </c>
      <c r="C522" s="19">
        <v>-155.7679603</v>
      </c>
      <c r="E522" s="9">
        <f t="shared" si="141"/>
        <v>237.8363609999999</v>
      </c>
      <c r="F522" s="9">
        <f t="shared" si="146"/>
        <v>384.23203969999997</v>
      </c>
      <c r="I522">
        <v>1</v>
      </c>
      <c r="J522">
        <f t="shared" si="142"/>
        <v>0.29092670063383153</v>
      </c>
      <c r="K522">
        <f t="shared" si="147"/>
        <v>1.0165294134646841</v>
      </c>
      <c r="O522">
        <f t="shared" si="148"/>
        <v>0.1509697163004764</v>
      </c>
      <c r="P522">
        <f t="shared" si="149"/>
        <v>0.24389627298015387</v>
      </c>
      <c r="Q522">
        <f t="shared" si="150"/>
        <v>0.95797847198491048</v>
      </c>
      <c r="R522">
        <f t="shared" si="140"/>
        <v>1</v>
      </c>
      <c r="AG522" s="8">
        <f t="shared" si="143"/>
        <v>0.60433018589512721</v>
      </c>
      <c r="AH522" s="8">
        <f t="shared" si="144"/>
        <v>-8.8275407548659146E-2</v>
      </c>
      <c r="AI522" s="8">
        <f t="shared" si="145"/>
        <v>0.79182856657112288</v>
      </c>
      <c r="AJ522" s="8"/>
      <c r="AK522" s="8"/>
      <c r="AL522" s="8"/>
      <c r="AN522" s="8">
        <f t="shared" si="151"/>
        <v>1</v>
      </c>
      <c r="AO522" s="8">
        <f t="shared" si="152"/>
        <v>6.1381396248119469</v>
      </c>
      <c r="AP522" s="8">
        <f t="shared" si="153"/>
        <v>0.65699911216574647</v>
      </c>
      <c r="AQ522" s="8"/>
      <c r="AR522" s="8">
        <f t="shared" si="154"/>
        <v>351.68949456373917</v>
      </c>
      <c r="AS522" s="8">
        <f t="shared" si="155"/>
        <v>52.356723729060548</v>
      </c>
    </row>
    <row r="523" spans="1:45">
      <c r="A523" s="19">
        <v>21.18783333</v>
      </c>
      <c r="B523" s="19">
        <v>1198.087309</v>
      </c>
      <c r="C523" s="19">
        <v>-156.8862561</v>
      </c>
      <c r="E523" s="9">
        <f t="shared" si="141"/>
        <v>238.087309</v>
      </c>
      <c r="F523" s="9">
        <f t="shared" si="146"/>
        <v>383.11374390000003</v>
      </c>
      <c r="I523">
        <v>1</v>
      </c>
      <c r="J523">
        <f t="shared" si="142"/>
        <v>0.29042468649658165</v>
      </c>
      <c r="K523">
        <f t="shared" si="147"/>
        <v>1.0147514976407574</v>
      </c>
      <c r="O523">
        <f t="shared" si="148"/>
        <v>0.15114924161749319</v>
      </c>
      <c r="P523">
        <f t="shared" si="149"/>
        <v>0.24321897747067031</v>
      </c>
      <c r="Q523">
        <f t="shared" si="150"/>
        <v>0.9581223490539077</v>
      </c>
      <c r="R523">
        <f t="shared" si="140"/>
        <v>1</v>
      </c>
      <c r="AG523" s="8">
        <f t="shared" si="143"/>
        <v>0.60489931182111512</v>
      </c>
      <c r="AH523" s="8">
        <f t="shared" si="144"/>
        <v>-8.8260855368667679E-2</v>
      </c>
      <c r="AI523" s="8">
        <f t="shared" si="145"/>
        <v>0.79139550413679527</v>
      </c>
      <c r="AJ523" s="8"/>
      <c r="AK523" s="8"/>
      <c r="AL523" s="8"/>
      <c r="AN523" s="8">
        <f t="shared" si="151"/>
        <v>0.99999999999999989</v>
      </c>
      <c r="AO523" s="8">
        <f t="shared" si="152"/>
        <v>6.138297744850238</v>
      </c>
      <c r="AP523" s="8">
        <f t="shared" si="153"/>
        <v>0.65770786084996891</v>
      </c>
      <c r="AQ523" s="8"/>
      <c r="AR523" s="8">
        <f t="shared" si="154"/>
        <v>351.69855417458967</v>
      </c>
      <c r="AS523" s="8">
        <f t="shared" si="155"/>
        <v>52.31611542071915</v>
      </c>
    </row>
    <row r="524" spans="1:45">
      <c r="A524" s="19">
        <v>21.2212</v>
      </c>
      <c r="B524" s="19">
        <v>1198.469801</v>
      </c>
      <c r="C524" s="19">
        <v>-156.8910966</v>
      </c>
      <c r="E524" s="9">
        <f t="shared" si="141"/>
        <v>238.46980099999996</v>
      </c>
      <c r="F524" s="9">
        <f t="shared" si="146"/>
        <v>383.10890340000003</v>
      </c>
      <c r="I524">
        <v>1</v>
      </c>
      <c r="J524">
        <f t="shared" si="142"/>
        <v>0.29054613992586625</v>
      </c>
      <c r="K524">
        <f t="shared" si="147"/>
        <v>1.0140259279494197</v>
      </c>
      <c r="O524">
        <f t="shared" si="148"/>
        <v>0.15138716695518017</v>
      </c>
      <c r="P524">
        <f t="shared" si="149"/>
        <v>0.24320803421575299</v>
      </c>
      <c r="Q524">
        <f t="shared" si="150"/>
        <v>0.95808756268630979</v>
      </c>
      <c r="R524">
        <f t="shared" si="140"/>
        <v>1</v>
      </c>
      <c r="AG524" s="8">
        <f t="shared" si="143"/>
        <v>0.60495814146081062</v>
      </c>
      <c r="AH524" s="8">
        <f t="shared" si="144"/>
        <v>-8.802823092052009E-2</v>
      </c>
      <c r="AI524" s="8">
        <f t="shared" si="145"/>
        <v>0.79137644496237414</v>
      </c>
      <c r="AJ524" s="8"/>
      <c r="AK524" s="8"/>
      <c r="AL524" s="8"/>
      <c r="AN524" s="8">
        <f t="shared" si="151"/>
        <v>1</v>
      </c>
      <c r="AO524" s="8">
        <f t="shared" si="152"/>
        <v>6.1386881743656749</v>
      </c>
      <c r="AP524" s="8">
        <f t="shared" si="153"/>
        <v>0.65773903809585532</v>
      </c>
      <c r="AQ524" s="8"/>
      <c r="AR524" s="8">
        <f t="shared" si="154"/>
        <v>351.72092413802159</v>
      </c>
      <c r="AS524" s="8">
        <f t="shared" si="155"/>
        <v>52.314329096113021</v>
      </c>
    </row>
    <row r="525" spans="1:45">
      <c r="A525" s="19">
        <v>21.254566669999999</v>
      </c>
      <c r="B525" s="19">
        <v>1200.1732850000001</v>
      </c>
      <c r="C525" s="19">
        <v>-157.16159690000001</v>
      </c>
      <c r="E525" s="9">
        <f t="shared" si="141"/>
        <v>240.17328500000008</v>
      </c>
      <c r="F525" s="9">
        <f t="shared" si="146"/>
        <v>382.83840309999999</v>
      </c>
      <c r="I525">
        <v>1</v>
      </c>
      <c r="J525">
        <f t="shared" si="142"/>
        <v>0.29095932237683253</v>
      </c>
      <c r="K525">
        <f t="shared" si="147"/>
        <v>1.0105096340860109</v>
      </c>
      <c r="O525">
        <f t="shared" si="148"/>
        <v>0.15245178136552118</v>
      </c>
      <c r="P525">
        <f t="shared" si="149"/>
        <v>0.24300952759057459</v>
      </c>
      <c r="Q525">
        <f t="shared" si="150"/>
        <v>0.95796911425091624</v>
      </c>
      <c r="R525">
        <f t="shared" si="140"/>
        <v>1</v>
      </c>
      <c r="AG525" s="8">
        <f t="shared" si="143"/>
        <v>0.60533806573698345</v>
      </c>
      <c r="AH525" s="8">
        <f t="shared" si="144"/>
        <v>-8.7023083074248692E-2</v>
      </c>
      <c r="AI525" s="8">
        <f t="shared" si="145"/>
        <v>0.79119707354240121</v>
      </c>
      <c r="AJ525" s="8"/>
      <c r="AK525" s="8"/>
      <c r="AL525" s="8"/>
      <c r="AN525" s="8">
        <f t="shared" si="151"/>
        <v>0.99999999999999989</v>
      </c>
      <c r="AO525" s="8">
        <f t="shared" si="152"/>
        <v>6.1404040781160756</v>
      </c>
      <c r="AP525" s="8">
        <f t="shared" si="153"/>
        <v>0.65803239458334462</v>
      </c>
      <c r="AQ525" s="8"/>
      <c r="AR525" s="8">
        <f t="shared" si="154"/>
        <v>351.81923818097022</v>
      </c>
      <c r="AS525" s="8">
        <f t="shared" si="155"/>
        <v>52.297521007487099</v>
      </c>
    </row>
    <row r="526" spans="1:45">
      <c r="A526" s="19">
        <v>21.287933330000001</v>
      </c>
      <c r="B526" s="19">
        <v>1200.209709</v>
      </c>
      <c r="C526" s="19">
        <v>-157.44409909999999</v>
      </c>
      <c r="E526" s="9">
        <f t="shared" si="141"/>
        <v>240.20970899999998</v>
      </c>
      <c r="F526" s="9">
        <f t="shared" si="146"/>
        <v>382.55590089999998</v>
      </c>
      <c r="I526">
        <v>1</v>
      </c>
      <c r="J526">
        <f t="shared" si="142"/>
        <v>0.29082438798340565</v>
      </c>
      <c r="K526">
        <f t="shared" si="147"/>
        <v>1.0101089759150514</v>
      </c>
      <c r="O526">
        <f t="shared" si="148"/>
        <v>0.15248039351775</v>
      </c>
      <c r="P526">
        <f t="shared" si="149"/>
        <v>0.24283895332377831</v>
      </c>
      <c r="Q526">
        <f t="shared" si="150"/>
        <v>0.95800781434249482</v>
      </c>
      <c r="R526">
        <f t="shared" si="140"/>
        <v>1</v>
      </c>
      <c r="AG526" s="8">
        <f t="shared" si="143"/>
        <v>0.60547777788686086</v>
      </c>
      <c r="AH526" s="8">
        <f t="shared" si="144"/>
        <v>-8.7035788332885944E-2</v>
      </c>
      <c r="AI526" s="8">
        <f t="shared" si="145"/>
        <v>0.79108876368866621</v>
      </c>
      <c r="AJ526" s="8"/>
      <c r="AK526" s="8"/>
      <c r="AL526" s="8"/>
      <c r="AN526" s="8">
        <f t="shared" si="151"/>
        <v>1.0000000000000002</v>
      </c>
      <c r="AO526" s="8">
        <f t="shared" si="152"/>
        <v>6.1404160195501429</v>
      </c>
      <c r="AP526" s="8">
        <f t="shared" si="153"/>
        <v>0.65820947814576813</v>
      </c>
      <c r="AQ526" s="8"/>
      <c r="AR526" s="8">
        <f t="shared" si="154"/>
        <v>351.81992237474356</v>
      </c>
      <c r="AS526" s="8">
        <f t="shared" si="155"/>
        <v>52.287374866739093</v>
      </c>
    </row>
    <row r="527" spans="1:45">
      <c r="A527" s="19">
        <v>21.321300000000001</v>
      </c>
      <c r="B527" s="19">
        <v>1200.3848069999999</v>
      </c>
      <c r="C527" s="19">
        <v>-157.85887919999999</v>
      </c>
      <c r="E527" s="9">
        <f t="shared" si="141"/>
        <v>240.38480699999991</v>
      </c>
      <c r="F527" s="9">
        <f t="shared" si="146"/>
        <v>382.14112080000001</v>
      </c>
      <c r="I527">
        <v>1</v>
      </c>
      <c r="J527">
        <f t="shared" si="142"/>
        <v>0.29066606609951984</v>
      </c>
      <c r="K527">
        <f t="shared" si="147"/>
        <v>1.0092919484738443</v>
      </c>
      <c r="O527">
        <f t="shared" si="148"/>
        <v>0.15259798662356147</v>
      </c>
      <c r="P527">
        <f t="shared" si="149"/>
        <v>0.24258590369295358</v>
      </c>
      <c r="Q527">
        <f t="shared" si="150"/>
        <v>0.95805319988396698</v>
      </c>
      <c r="R527">
        <f t="shared" si="140"/>
        <v>1</v>
      </c>
      <c r="AG527" s="8">
        <f t="shared" si="143"/>
        <v>0.60570079536395294</v>
      </c>
      <c r="AH527" s="8">
        <f t="shared" si="144"/>
        <v>-8.6980287252351962E-2</v>
      </c>
      <c r="AI527" s="8">
        <f t="shared" si="145"/>
        <v>0.79092412791934297</v>
      </c>
      <c r="AJ527" s="8"/>
      <c r="AK527" s="8"/>
      <c r="AL527" s="8"/>
      <c r="AN527" s="8">
        <f t="shared" si="151"/>
        <v>1</v>
      </c>
      <c r="AO527" s="8">
        <f t="shared" si="152"/>
        <v>6.1405576544163454</v>
      </c>
      <c r="AP527" s="8">
        <f t="shared" si="153"/>
        <v>0.6584785753495469</v>
      </c>
      <c r="AQ527" s="8"/>
      <c r="AR527" s="8">
        <f t="shared" si="154"/>
        <v>351.82803745480891</v>
      </c>
      <c r="AS527" s="8">
        <f t="shared" si="155"/>
        <v>52.271956732683797</v>
      </c>
    </row>
    <row r="528" spans="1:45">
      <c r="A528" s="19">
        <v>21.35466667</v>
      </c>
      <c r="B528" s="19">
        <v>1201.417778</v>
      </c>
      <c r="C528" s="19">
        <v>-157.9807184</v>
      </c>
      <c r="E528" s="9">
        <f t="shared" si="141"/>
        <v>241.417778</v>
      </c>
      <c r="F528" s="9">
        <f t="shared" si="146"/>
        <v>382.0192816</v>
      </c>
      <c r="I528">
        <v>1</v>
      </c>
      <c r="J528">
        <f t="shared" si="142"/>
        <v>0.29094087553398257</v>
      </c>
      <c r="K528">
        <f t="shared" si="147"/>
        <v>1.0072135658888737</v>
      </c>
      <c r="O528">
        <f t="shared" si="148"/>
        <v>0.15324248730066387</v>
      </c>
      <c r="P528">
        <f t="shared" si="149"/>
        <v>0.24249077840985148</v>
      </c>
      <c r="Q528">
        <f t="shared" si="150"/>
        <v>0.95797440595878669</v>
      </c>
      <c r="R528">
        <f t="shared" si="140"/>
        <v>1</v>
      </c>
      <c r="AG528" s="8">
        <f t="shared" si="143"/>
        <v>0.60591062507852222</v>
      </c>
      <c r="AH528" s="8">
        <f t="shared" si="144"/>
        <v>-8.6365556405070348E-2</v>
      </c>
      <c r="AI528" s="8">
        <f t="shared" si="145"/>
        <v>0.79083076892834481</v>
      </c>
      <c r="AJ528" s="8"/>
      <c r="AK528" s="8"/>
      <c r="AL528" s="8"/>
      <c r="AN528" s="8">
        <f t="shared" si="151"/>
        <v>1</v>
      </c>
      <c r="AO528" s="8">
        <f t="shared" si="152"/>
        <v>6.1416005934786018</v>
      </c>
      <c r="AP528" s="8">
        <f t="shared" si="153"/>
        <v>0.65863112906290089</v>
      </c>
      <c r="AQ528" s="8"/>
      <c r="AR528" s="8">
        <f t="shared" si="154"/>
        <v>351.8877934613655</v>
      </c>
      <c r="AS528" s="8">
        <f t="shared" si="155"/>
        <v>52.263216048759567</v>
      </c>
    </row>
    <row r="529" spans="1:45">
      <c r="A529" s="19">
        <v>21.388033329999999</v>
      </c>
      <c r="B529" s="19">
        <v>1202.1028759999999</v>
      </c>
      <c r="C529" s="19">
        <v>-158.20280310000001</v>
      </c>
      <c r="E529" s="9">
        <f t="shared" si="141"/>
        <v>242.10287599999992</v>
      </c>
      <c r="F529" s="9">
        <f t="shared" si="146"/>
        <v>381.79719690000002</v>
      </c>
      <c r="I529">
        <v>1</v>
      </c>
      <c r="J529">
        <f t="shared" si="142"/>
        <v>0.29105057114655003</v>
      </c>
      <c r="K529">
        <f t="shared" si="147"/>
        <v>1.0056700868542661</v>
      </c>
      <c r="O529">
        <f t="shared" si="148"/>
        <v>0.15367285881379819</v>
      </c>
      <c r="P529">
        <f t="shared" si="149"/>
        <v>0.24234270862076679</v>
      </c>
      <c r="Q529">
        <f t="shared" si="150"/>
        <v>0.95794293360426463</v>
      </c>
      <c r="R529">
        <f t="shared" si="140"/>
        <v>1</v>
      </c>
      <c r="AG529" s="8">
        <f t="shared" si="143"/>
        <v>0.60611679315418387</v>
      </c>
      <c r="AH529" s="8">
        <f t="shared" si="144"/>
        <v>-8.5975305694704351E-2</v>
      </c>
      <c r="AI529" s="8">
        <f t="shared" si="145"/>
        <v>0.79071529634071858</v>
      </c>
      <c r="AJ529" s="8"/>
      <c r="AK529" s="8"/>
      <c r="AL529" s="8"/>
      <c r="AN529" s="8">
        <f t="shared" si="151"/>
        <v>1</v>
      </c>
      <c r="AO529" s="8">
        <f t="shared" si="152"/>
        <v>6.1422792105694981</v>
      </c>
      <c r="AP529" s="8">
        <f t="shared" si="153"/>
        <v>0.65881977601764341</v>
      </c>
      <c r="AQ529" s="8"/>
      <c r="AR529" s="8">
        <f t="shared" si="154"/>
        <v>351.92667535657932</v>
      </c>
      <c r="AS529" s="8">
        <f t="shared" si="155"/>
        <v>52.252407374434824</v>
      </c>
    </row>
    <row r="530" spans="1:45">
      <c r="A530" s="19">
        <v>21.421399999999998</v>
      </c>
      <c r="B530" s="19">
        <v>1202.701221</v>
      </c>
      <c r="C530" s="19">
        <v>-158.64542560000001</v>
      </c>
      <c r="E530" s="9">
        <f t="shared" si="141"/>
        <v>242.70122100000003</v>
      </c>
      <c r="F530" s="9">
        <f t="shared" si="146"/>
        <v>381.35457439999999</v>
      </c>
      <c r="I530">
        <v>1</v>
      </c>
      <c r="J530">
        <f t="shared" si="142"/>
        <v>0.29101819712651694</v>
      </c>
      <c r="K530">
        <f t="shared" si="147"/>
        <v>1.0040278460029053</v>
      </c>
      <c r="O530">
        <f t="shared" si="148"/>
        <v>0.15405398556695274</v>
      </c>
      <c r="P530">
        <f t="shared" si="149"/>
        <v>0.24206385059970092</v>
      </c>
      <c r="Q530">
        <f t="shared" si="150"/>
        <v>0.95795222311124828</v>
      </c>
      <c r="R530">
        <f t="shared" si="140"/>
        <v>1</v>
      </c>
      <c r="AG530" s="8">
        <f t="shared" si="143"/>
        <v>0.60641494202768187</v>
      </c>
      <c r="AH530" s="8">
        <f t="shared" si="144"/>
        <v>-8.5665138772137384E-2</v>
      </c>
      <c r="AI530" s="8">
        <f t="shared" si="145"/>
        <v>0.79052033628788698</v>
      </c>
      <c r="AJ530" s="8"/>
      <c r="AK530" s="8"/>
      <c r="AL530" s="8"/>
      <c r="AN530" s="8">
        <f t="shared" si="151"/>
        <v>1.0000000000000002</v>
      </c>
      <c r="AO530" s="8">
        <f t="shared" si="152"/>
        <v>6.1428490091389456</v>
      </c>
      <c r="AP530" s="8">
        <f t="shared" si="153"/>
        <v>0.65913817695073851</v>
      </c>
      <c r="AQ530" s="8"/>
      <c r="AR530" s="8">
        <f t="shared" si="154"/>
        <v>351.95932240978124</v>
      </c>
      <c r="AS530" s="8">
        <f t="shared" si="155"/>
        <v>52.234164344775444</v>
      </c>
    </row>
    <row r="531" spans="1:45">
      <c r="A531" s="19">
        <v>21.454766670000001</v>
      </c>
      <c r="B531" s="19">
        <v>1203.663219</v>
      </c>
      <c r="C531" s="19">
        <v>-158.6457039</v>
      </c>
      <c r="E531" s="9">
        <f t="shared" si="141"/>
        <v>243.66321900000003</v>
      </c>
      <c r="F531" s="9">
        <f t="shared" si="146"/>
        <v>381.3542961</v>
      </c>
      <c r="I531">
        <v>1</v>
      </c>
      <c r="J531">
        <f t="shared" si="142"/>
        <v>0.29133536267139482</v>
      </c>
      <c r="K531">
        <f t="shared" si="147"/>
        <v>1.0022341711720344</v>
      </c>
      <c r="O531">
        <f t="shared" si="148"/>
        <v>0.15465150172166142</v>
      </c>
      <c r="P531">
        <f t="shared" si="149"/>
        <v>0.24204315621338038</v>
      </c>
      <c r="Q531">
        <f t="shared" si="150"/>
        <v>0.95786117133199422</v>
      </c>
      <c r="R531">
        <f t="shared" si="140"/>
        <v>1</v>
      </c>
      <c r="AG531" s="8">
        <f t="shared" si="143"/>
        <v>0.60655592301778105</v>
      </c>
      <c r="AH531" s="8">
        <f t="shared" si="144"/>
        <v>-8.5078744279347474E-2</v>
      </c>
      <c r="AI531" s="8">
        <f t="shared" si="145"/>
        <v>0.79047550216556184</v>
      </c>
      <c r="AJ531" s="8"/>
      <c r="AK531" s="8"/>
      <c r="AL531" s="8"/>
      <c r="AN531" s="8">
        <f t="shared" si="151"/>
        <v>1</v>
      </c>
      <c r="AO531" s="8">
        <f t="shared" si="152"/>
        <v>6.1438291819416149</v>
      </c>
      <c r="AP531" s="8">
        <f t="shared" si="153"/>
        <v>0.65921137973374833</v>
      </c>
      <c r="AQ531" s="8"/>
      <c r="AR531" s="8">
        <f t="shared" si="154"/>
        <v>352.01548217456769</v>
      </c>
      <c r="AS531" s="8">
        <f t="shared" si="155"/>
        <v>52.22997013426037</v>
      </c>
    </row>
    <row r="532" spans="1:45">
      <c r="A532" s="19">
        <v>21.48813333</v>
      </c>
      <c r="B532" s="19">
        <v>1204.071893</v>
      </c>
      <c r="C532" s="19">
        <v>-158.95647249999999</v>
      </c>
      <c r="E532" s="9">
        <f t="shared" si="141"/>
        <v>244.07189300000005</v>
      </c>
      <c r="F532" s="9">
        <f t="shared" si="146"/>
        <v>381.04352749999998</v>
      </c>
      <c r="I532">
        <v>1</v>
      </c>
      <c r="J532">
        <f t="shared" si="142"/>
        <v>0.29130987533432667</v>
      </c>
      <c r="K532">
        <f t="shared" si="147"/>
        <v>1.0011033580018001</v>
      </c>
      <c r="O532">
        <f t="shared" si="148"/>
        <v>0.15491194041806741</v>
      </c>
      <c r="P532">
        <f t="shared" si="149"/>
        <v>0.24184756181151196</v>
      </c>
      <c r="Q532">
        <f t="shared" si="150"/>
        <v>0.95786849178879252</v>
      </c>
      <c r="R532">
        <f t="shared" si="140"/>
        <v>1</v>
      </c>
      <c r="AG532" s="8">
        <f t="shared" si="143"/>
        <v>0.60676338650137829</v>
      </c>
      <c r="AH532" s="8">
        <f t="shared" si="144"/>
        <v>-8.4867920120582307E-2</v>
      </c>
      <c r="AI532" s="8">
        <f t="shared" si="145"/>
        <v>0.79033893294951985</v>
      </c>
      <c r="AJ532" s="8"/>
      <c r="AK532" s="8"/>
      <c r="AL532" s="8"/>
      <c r="AN532" s="8">
        <f t="shared" si="151"/>
        <v>1</v>
      </c>
      <c r="AO532" s="8">
        <f t="shared" si="152"/>
        <v>6.1442169897832857</v>
      </c>
      <c r="AP532" s="8">
        <f t="shared" si="153"/>
        <v>0.65943432012052672</v>
      </c>
      <c r="AQ532" s="8"/>
      <c r="AR532" s="8">
        <f t="shared" si="154"/>
        <v>352.03770192715751</v>
      </c>
      <c r="AS532" s="8">
        <f t="shared" si="155"/>
        <v>52.217196591014954</v>
      </c>
    </row>
    <row r="533" spans="1:45">
      <c r="A533" s="19">
        <v>21.5215</v>
      </c>
      <c r="B533" s="19">
        <v>1204.8526959999999</v>
      </c>
      <c r="C533" s="19">
        <v>-159.48864080000001</v>
      </c>
      <c r="E533" s="9">
        <f t="shared" si="141"/>
        <v>244.85269599999992</v>
      </c>
      <c r="F533" s="9">
        <f t="shared" si="146"/>
        <v>380.51135920000002</v>
      </c>
      <c r="I533">
        <v>1</v>
      </c>
      <c r="J533">
        <f t="shared" si="142"/>
        <v>0.29129393171053009</v>
      </c>
      <c r="K533">
        <f t="shared" si="147"/>
        <v>0.99901593302967673</v>
      </c>
      <c r="O533">
        <f t="shared" si="148"/>
        <v>0.15540817708742849</v>
      </c>
      <c r="P533">
        <f t="shared" si="149"/>
        <v>0.2415108253263086</v>
      </c>
      <c r="Q533">
        <f t="shared" si="150"/>
        <v>0.95787307078994954</v>
      </c>
      <c r="R533">
        <f t="shared" si="140"/>
        <v>1</v>
      </c>
      <c r="AG533" s="8">
        <f t="shared" si="143"/>
        <v>0.60713032404771095</v>
      </c>
      <c r="AH533" s="8">
        <f t="shared" si="144"/>
        <v>-8.4457504560792651E-2</v>
      </c>
      <c r="AI533" s="8">
        <f t="shared" si="145"/>
        <v>0.79010106919626755</v>
      </c>
      <c r="AJ533" s="8"/>
      <c r="AK533" s="8"/>
      <c r="AL533" s="8"/>
      <c r="AN533" s="8">
        <f t="shared" si="151"/>
        <v>1</v>
      </c>
      <c r="AO533" s="8">
        <f t="shared" si="152"/>
        <v>6.1449630014458521</v>
      </c>
      <c r="AP533" s="8">
        <f t="shared" si="153"/>
        <v>0.65982246426764934</v>
      </c>
      <c r="AQ533" s="8"/>
      <c r="AR533" s="8">
        <f t="shared" si="154"/>
        <v>352.08044524689012</v>
      </c>
      <c r="AS533" s="8">
        <f t="shared" si="155"/>
        <v>52.194957569542126</v>
      </c>
    </row>
    <row r="534" spans="1:45">
      <c r="A534" s="19">
        <v>21.554866669999999</v>
      </c>
      <c r="B534" s="19">
        <v>1205.2314040000001</v>
      </c>
      <c r="C534" s="19">
        <v>-159.73582640000001</v>
      </c>
      <c r="E534" s="9">
        <f t="shared" si="141"/>
        <v>245.23140400000011</v>
      </c>
      <c r="F534" s="9">
        <f t="shared" si="146"/>
        <v>380.26417359999999</v>
      </c>
      <c r="I534">
        <v>1</v>
      </c>
      <c r="J534">
        <f t="shared" si="142"/>
        <v>0.29129226826449034</v>
      </c>
      <c r="K534">
        <f t="shared" si="147"/>
        <v>0.99801648846329527</v>
      </c>
      <c r="O534">
        <f t="shared" si="148"/>
        <v>0.15564861255201412</v>
      </c>
      <c r="P534">
        <f t="shared" si="149"/>
        <v>0.24135404380785672</v>
      </c>
      <c r="Q534">
        <f t="shared" si="150"/>
        <v>0.95787354851683226</v>
      </c>
      <c r="R534">
        <f t="shared" si="140"/>
        <v>1</v>
      </c>
      <c r="AG534" s="8">
        <f t="shared" si="143"/>
        <v>0.60730302514702761</v>
      </c>
      <c r="AH534" s="8">
        <f t="shared" si="144"/>
        <v>-8.4257083377657443E-2</v>
      </c>
      <c r="AI534" s="8">
        <f t="shared" si="145"/>
        <v>0.78998973382440829</v>
      </c>
      <c r="AJ534" s="8"/>
      <c r="AK534" s="8"/>
      <c r="AL534" s="8"/>
      <c r="AN534" s="8">
        <f t="shared" si="151"/>
        <v>1.0000000000000002</v>
      </c>
      <c r="AO534" s="8">
        <f t="shared" si="152"/>
        <v>6.1453255811206731</v>
      </c>
      <c r="AP534" s="8">
        <f t="shared" si="153"/>
        <v>0.66000407372003222</v>
      </c>
      <c r="AQ534" s="8"/>
      <c r="AR534" s="8">
        <f t="shared" si="154"/>
        <v>352.10121953199456</v>
      </c>
      <c r="AS534" s="8">
        <f t="shared" si="155"/>
        <v>52.184552114400901</v>
      </c>
    </row>
    <row r="535" spans="1:45">
      <c r="A535" s="19">
        <v>21.588233330000001</v>
      </c>
      <c r="B535" s="19">
        <v>1205.4216100000001</v>
      </c>
      <c r="C535" s="19">
        <v>-159.9605066</v>
      </c>
      <c r="E535" s="9">
        <f t="shared" si="141"/>
        <v>245.4216100000001</v>
      </c>
      <c r="F535" s="9">
        <f t="shared" si="146"/>
        <v>380.03949339999997</v>
      </c>
      <c r="I535">
        <v>1</v>
      </c>
      <c r="J535">
        <f t="shared" si="142"/>
        <v>0.29123972858825325</v>
      </c>
      <c r="K535">
        <f t="shared" si="147"/>
        <v>0.99739398310479688</v>
      </c>
      <c r="O535">
        <f t="shared" si="148"/>
        <v>0.15577152463566601</v>
      </c>
      <c r="P535">
        <f t="shared" si="149"/>
        <v>0.24121482745013406</v>
      </c>
      <c r="Q535">
        <f t="shared" si="150"/>
        <v>0.95788863607983266</v>
      </c>
      <c r="R535">
        <f t="shared" si="140"/>
        <v>1</v>
      </c>
      <c r="AG535" s="8">
        <f t="shared" si="143"/>
        <v>0.60743751005969737</v>
      </c>
      <c r="AH535" s="8">
        <f t="shared" si="144"/>
        <v>-8.4168788832651331E-2</v>
      </c>
      <c r="AI535" s="8">
        <f t="shared" si="145"/>
        <v>0.78989574398076079</v>
      </c>
      <c r="AJ535" s="8"/>
      <c r="AK535" s="8"/>
      <c r="AL535" s="8"/>
      <c r="AN535" s="8">
        <f t="shared" si="151"/>
        <v>1</v>
      </c>
      <c r="AO535" s="8">
        <f t="shared" si="152"/>
        <v>6.1454983324483479</v>
      </c>
      <c r="AP535" s="8">
        <f t="shared" si="153"/>
        <v>0.6601573561976054</v>
      </c>
      <c r="AQ535" s="8"/>
      <c r="AR535" s="8">
        <f t="shared" si="154"/>
        <v>352.11111745397562</v>
      </c>
      <c r="AS535" s="8">
        <f t="shared" si="155"/>
        <v>52.175769675362652</v>
      </c>
    </row>
    <row r="536" spans="1:45">
      <c r="A536" s="19">
        <v>21.621600000000001</v>
      </c>
      <c r="B536" s="19">
        <v>1206.6275410000001</v>
      </c>
      <c r="C536" s="19">
        <v>-160.04608999999999</v>
      </c>
      <c r="E536" s="9">
        <f t="shared" si="141"/>
        <v>246.62754100000006</v>
      </c>
      <c r="F536" s="9">
        <f t="shared" si="146"/>
        <v>379.95391000000001</v>
      </c>
      <c r="I536">
        <v>1</v>
      </c>
      <c r="J536">
        <f t="shared" si="142"/>
        <v>0.29159767494557759</v>
      </c>
      <c r="K536">
        <f t="shared" si="147"/>
        <v>0.99505505894057344</v>
      </c>
      <c r="O536">
        <f t="shared" si="148"/>
        <v>0.15652195057913665</v>
      </c>
      <c r="P536">
        <f t="shared" si="149"/>
        <v>0.24113741264350408</v>
      </c>
      <c r="Q536">
        <f t="shared" si="150"/>
        <v>0.95778579401163533</v>
      </c>
      <c r="R536">
        <f t="shared" si="140"/>
        <v>1</v>
      </c>
      <c r="AG536" s="8">
        <f t="shared" si="143"/>
        <v>0.60765375679966138</v>
      </c>
      <c r="AH536" s="8">
        <f t="shared" si="144"/>
        <v>-8.3444259306675345E-2</v>
      </c>
      <c r="AI536" s="8">
        <f t="shared" si="145"/>
        <v>0.78980628475343129</v>
      </c>
      <c r="AJ536" s="8"/>
      <c r="AK536" s="8"/>
      <c r="AL536" s="8"/>
      <c r="AN536" s="8">
        <f t="shared" si="151"/>
        <v>1</v>
      </c>
      <c r="AO536" s="8">
        <f t="shared" si="152"/>
        <v>6.1467167973726307</v>
      </c>
      <c r="AP536" s="8">
        <f t="shared" si="153"/>
        <v>0.66030322185544521</v>
      </c>
      <c r="AQ536" s="8"/>
      <c r="AR536" s="8">
        <f t="shared" si="154"/>
        <v>352.18093035162178</v>
      </c>
      <c r="AS536" s="8">
        <f t="shared" si="155"/>
        <v>52.167412188792532</v>
      </c>
    </row>
    <row r="537" spans="1:45">
      <c r="A537" s="19">
        <v>21.65496667</v>
      </c>
      <c r="B537" s="19">
        <v>1207.685504</v>
      </c>
      <c r="C537" s="19">
        <v>-160.76450170000001</v>
      </c>
      <c r="E537" s="9">
        <f t="shared" si="141"/>
        <v>247.68550400000004</v>
      </c>
      <c r="F537" s="9">
        <f t="shared" si="146"/>
        <v>379.23549830000002</v>
      </c>
      <c r="I537">
        <v>1</v>
      </c>
      <c r="J537">
        <f t="shared" si="142"/>
        <v>0.29158247889284983</v>
      </c>
      <c r="K537">
        <f t="shared" si="147"/>
        <v>0.99223236092495604</v>
      </c>
      <c r="O537">
        <f t="shared" si="148"/>
        <v>0.15719402544150818</v>
      </c>
      <c r="P537">
        <f t="shared" si="149"/>
        <v>0.2406824525673219</v>
      </c>
      <c r="Q537">
        <f t="shared" si="150"/>
        <v>0.95779016250516658</v>
      </c>
      <c r="R537">
        <f t="shared" si="140"/>
        <v>1</v>
      </c>
      <c r="AG537" s="8">
        <f t="shared" si="143"/>
        <v>0.60814871891557298</v>
      </c>
      <c r="AH537" s="8">
        <f t="shared" si="144"/>
        <v>-8.288771075116716E-2</v>
      </c>
      <c r="AI537" s="8">
        <f t="shared" si="145"/>
        <v>0.78948385866196047</v>
      </c>
      <c r="AJ537" s="8"/>
      <c r="AK537" s="8"/>
      <c r="AL537" s="8"/>
      <c r="AN537" s="8">
        <f t="shared" si="151"/>
        <v>1</v>
      </c>
      <c r="AO537" s="8">
        <f t="shared" si="152"/>
        <v>6.1477248462462262</v>
      </c>
      <c r="AP537" s="8">
        <f t="shared" si="153"/>
        <v>0.66082871905800078</v>
      </c>
      <c r="AQ537" s="8"/>
      <c r="AR537" s="8">
        <f t="shared" si="154"/>
        <v>352.23868729762171</v>
      </c>
      <c r="AS537" s="8">
        <f t="shared" si="155"/>
        <v>52.137303416940163</v>
      </c>
    </row>
    <row r="538" spans="1:45">
      <c r="A538" s="19">
        <v>21.688333329999999</v>
      </c>
      <c r="B538" s="19">
        <v>1207.8274429999999</v>
      </c>
      <c r="C538" s="19">
        <v>-161.10187110000001</v>
      </c>
      <c r="E538" s="9">
        <f t="shared" si="141"/>
        <v>247.8274429999999</v>
      </c>
      <c r="F538" s="9">
        <f t="shared" si="146"/>
        <v>378.89812889999996</v>
      </c>
      <c r="I538">
        <v>1</v>
      </c>
      <c r="J538">
        <f t="shared" si="142"/>
        <v>0.29145689729084107</v>
      </c>
      <c r="K538">
        <f t="shared" si="147"/>
        <v>0.99156241152502489</v>
      </c>
      <c r="O538">
        <f t="shared" si="148"/>
        <v>0.15728939430191782</v>
      </c>
      <c r="P538">
        <f t="shared" si="149"/>
        <v>0.24047642373815317</v>
      </c>
      <c r="Q538">
        <f t="shared" si="150"/>
        <v>0.95782625567805568</v>
      </c>
      <c r="R538">
        <f t="shared" si="140"/>
        <v>1</v>
      </c>
      <c r="AG538" s="8">
        <f t="shared" si="143"/>
        <v>0.60832954554057783</v>
      </c>
      <c r="AH538" s="8">
        <f t="shared" si="144"/>
        <v>-8.2842631491222118E-2</v>
      </c>
      <c r="AI538" s="8">
        <f t="shared" si="145"/>
        <v>0.78934926517353754</v>
      </c>
      <c r="AJ538" s="8"/>
      <c r="AK538" s="8"/>
      <c r="AL538" s="8"/>
      <c r="AN538" s="8">
        <f t="shared" si="151"/>
        <v>1</v>
      </c>
      <c r="AO538" s="8">
        <f t="shared" si="152"/>
        <v>6.1478373748635837</v>
      </c>
      <c r="AP538" s="8">
        <f t="shared" si="153"/>
        <v>0.66104797744877897</v>
      </c>
      <c r="AQ538" s="8"/>
      <c r="AR538" s="8">
        <f t="shared" si="154"/>
        <v>352.2451347124707</v>
      </c>
      <c r="AS538" s="8">
        <f t="shared" si="155"/>
        <v>52.124740836525746</v>
      </c>
    </row>
    <row r="539" spans="1:45">
      <c r="A539" s="19">
        <v>21.721699999999998</v>
      </c>
      <c r="B539" s="19">
        <v>1208.812498</v>
      </c>
      <c r="C539" s="19">
        <v>-161.1675157</v>
      </c>
      <c r="E539" s="9">
        <f t="shared" si="141"/>
        <v>248.81249800000001</v>
      </c>
      <c r="F539" s="9">
        <f t="shared" si="146"/>
        <v>378.83248430000003</v>
      </c>
      <c r="I539">
        <v>1</v>
      </c>
      <c r="J539">
        <f t="shared" si="142"/>
        <v>0.2917544106380176</v>
      </c>
      <c r="K539">
        <f t="shared" si="147"/>
        <v>0.98966425975174699</v>
      </c>
      <c r="O539">
        <f t="shared" si="148"/>
        <v>0.15790200242384766</v>
      </c>
      <c r="P539">
        <f t="shared" si="149"/>
        <v>0.24041560747551691</v>
      </c>
      <c r="Q539">
        <f t="shared" si="150"/>
        <v>0.95774072342817151</v>
      </c>
      <c r="R539">
        <f t="shared" ref="R539:R602" si="156">SQRT(O539^2+P539^2+Q539^2)</f>
        <v>1</v>
      </c>
      <c r="AG539" s="8">
        <f t="shared" si="143"/>
        <v>0.60850349929592762</v>
      </c>
      <c r="AH539" s="8">
        <f t="shared" si="144"/>
        <v>-8.2250315103397531E-2</v>
      </c>
      <c r="AI539" s="8">
        <f t="shared" si="145"/>
        <v>0.78927712307528775</v>
      </c>
      <c r="AJ539" s="8"/>
      <c r="AK539" s="8"/>
      <c r="AL539" s="8"/>
      <c r="AN539" s="8">
        <f t="shared" si="151"/>
        <v>1</v>
      </c>
      <c r="AO539" s="8">
        <f t="shared" si="152"/>
        <v>6.1488314057392719</v>
      </c>
      <c r="AP539" s="8">
        <f t="shared" si="153"/>
        <v>0.66116547448700358</v>
      </c>
      <c r="AQ539" s="8"/>
      <c r="AR539" s="8">
        <f t="shared" si="154"/>
        <v>352.30208848635334</v>
      </c>
      <c r="AS539" s="8">
        <f t="shared" si="155"/>
        <v>52.118008752130187</v>
      </c>
    </row>
    <row r="540" spans="1:45">
      <c r="A540" s="19">
        <v>21.755066670000001</v>
      </c>
      <c r="B540" s="19">
        <v>1209.3565149999999</v>
      </c>
      <c r="C540" s="19">
        <v>-161.66529869999999</v>
      </c>
      <c r="E540" s="9">
        <f t="shared" si="141"/>
        <v>249.35651499999994</v>
      </c>
      <c r="F540" s="9">
        <f t="shared" si="146"/>
        <v>378.33470130000001</v>
      </c>
      <c r="I540">
        <v>1</v>
      </c>
      <c r="J540">
        <f t="shared" si="142"/>
        <v>0.29168275809785793</v>
      </c>
      <c r="K540">
        <f t="shared" si="147"/>
        <v>0.98805765663596157</v>
      </c>
      <c r="O540">
        <f t="shared" si="148"/>
        <v>0.15825028556651902</v>
      </c>
      <c r="P540">
        <f t="shared" si="149"/>
        <v>0.24010431217507466</v>
      </c>
      <c r="Q540">
        <f t="shared" si="150"/>
        <v>0.95776133060019164</v>
      </c>
      <c r="R540">
        <f t="shared" si="156"/>
        <v>1</v>
      </c>
      <c r="AG540" s="8">
        <f t="shared" si="143"/>
        <v>0.60881860435885338</v>
      </c>
      <c r="AH540" s="8">
        <f t="shared" si="144"/>
        <v>-8.1979827353809459E-2</v>
      </c>
      <c r="AI540" s="8">
        <f t="shared" si="145"/>
        <v>0.78906223765529282</v>
      </c>
      <c r="AJ540" s="8"/>
      <c r="AK540" s="8"/>
      <c r="AL540" s="8"/>
      <c r="AN540" s="8">
        <f t="shared" si="151"/>
        <v>1.0000000000000002</v>
      </c>
      <c r="AO540" s="8">
        <f t="shared" si="152"/>
        <v>6.1493364550542546</v>
      </c>
      <c r="AP540" s="8">
        <f t="shared" si="153"/>
        <v>0.66151535089902225</v>
      </c>
      <c r="AQ540" s="8"/>
      <c r="AR540" s="8">
        <f t="shared" si="154"/>
        <v>352.33102568054784</v>
      </c>
      <c r="AS540" s="8">
        <f t="shared" si="155"/>
        <v>52.097962310370335</v>
      </c>
    </row>
    <row r="541" spans="1:45">
      <c r="A541" s="19">
        <v>21.78843333</v>
      </c>
      <c r="B541" s="19">
        <v>1209.9519740000001</v>
      </c>
      <c r="C541" s="19">
        <v>-161.8048963</v>
      </c>
      <c r="E541" s="9">
        <f t="shared" si="141"/>
        <v>249.95197400000006</v>
      </c>
      <c r="F541" s="9">
        <f t="shared" si="146"/>
        <v>378.1951037</v>
      </c>
      <c r="I541">
        <v>1</v>
      </c>
      <c r="J541">
        <f t="shared" si="142"/>
        <v>0.29181246225975921</v>
      </c>
      <c r="K541">
        <f t="shared" si="147"/>
        <v>0.98679145559923243</v>
      </c>
      <c r="O541">
        <f t="shared" si="148"/>
        <v>0.15862267184051537</v>
      </c>
      <c r="P541">
        <f t="shared" si="149"/>
        <v>0.24000737768086108</v>
      </c>
      <c r="Q541">
        <f t="shared" si="150"/>
        <v>0.95772402425590886</v>
      </c>
      <c r="R541">
        <f t="shared" si="156"/>
        <v>1</v>
      </c>
      <c r="AG541" s="8">
        <f t="shared" si="143"/>
        <v>0.60897096661743788</v>
      </c>
      <c r="AH541" s="8">
        <f t="shared" si="144"/>
        <v>-8.1634044368623482E-2</v>
      </c>
      <c r="AI541" s="8">
        <f t="shared" si="145"/>
        <v>0.78898050965600219</v>
      </c>
      <c r="AJ541" s="8"/>
      <c r="AK541" s="8"/>
      <c r="AL541" s="8"/>
      <c r="AN541" s="8">
        <f t="shared" si="151"/>
        <v>1</v>
      </c>
      <c r="AO541" s="8">
        <f t="shared" si="152"/>
        <v>6.1499272950512465</v>
      </c>
      <c r="AP541" s="8">
        <f t="shared" si="153"/>
        <v>0.66164837914800634</v>
      </c>
      <c r="AQ541" s="8"/>
      <c r="AR541" s="8">
        <f t="shared" si="154"/>
        <v>352.36487831874297</v>
      </c>
      <c r="AS541" s="8">
        <f t="shared" si="155"/>
        <v>52.090340353147532</v>
      </c>
    </row>
    <row r="542" spans="1:45">
      <c r="A542" s="19">
        <v>21.8218</v>
      </c>
      <c r="B542" s="19">
        <v>1210.2739429999999</v>
      </c>
      <c r="C542" s="19">
        <v>-161.90265389999999</v>
      </c>
      <c r="E542" s="9">
        <f t="shared" si="141"/>
        <v>250.27394299999992</v>
      </c>
      <c r="F542" s="9">
        <f t="shared" si="146"/>
        <v>378.09734609999998</v>
      </c>
      <c r="I542">
        <v>1</v>
      </c>
      <c r="J542">
        <f t="shared" si="142"/>
        <v>0.29187138465690926</v>
      </c>
      <c r="K542">
        <f t="shared" si="147"/>
        <v>0.98608018804201258</v>
      </c>
      <c r="O542">
        <f t="shared" si="148"/>
        <v>0.15882448891337372</v>
      </c>
      <c r="P542">
        <f t="shared" si="149"/>
        <v>0.23994154978345272</v>
      </c>
      <c r="Q542">
        <f t="shared" si="150"/>
        <v>0.95770707129524757</v>
      </c>
      <c r="R542">
        <f t="shared" si="156"/>
        <v>1</v>
      </c>
      <c r="AG542" s="8">
        <f t="shared" si="143"/>
        <v>0.60906388262340294</v>
      </c>
      <c r="AH542" s="8">
        <f t="shared" si="144"/>
        <v>-8.1449811012119205E-2</v>
      </c>
      <c r="AI542" s="8">
        <f t="shared" si="145"/>
        <v>0.78892782633761616</v>
      </c>
      <c r="AJ542" s="8"/>
      <c r="AK542" s="8"/>
      <c r="AL542" s="8"/>
      <c r="AN542" s="8">
        <f t="shared" si="151"/>
        <v>1.0000000000000002</v>
      </c>
      <c r="AO542" s="8">
        <f t="shared" si="152"/>
        <v>6.1502445443122165</v>
      </c>
      <c r="AP542" s="8">
        <f t="shared" si="153"/>
        <v>0.66173411947314387</v>
      </c>
      <c r="AQ542" s="8"/>
      <c r="AR542" s="8">
        <f t="shared" si="154"/>
        <v>352.38305536245019</v>
      </c>
      <c r="AS542" s="8">
        <f t="shared" si="155"/>
        <v>52.085427794383072</v>
      </c>
    </row>
    <row r="543" spans="1:45">
      <c r="A543" s="19">
        <v>21.855166669999999</v>
      </c>
      <c r="B543" s="19">
        <v>1210.8553979999999</v>
      </c>
      <c r="C543" s="19">
        <v>-162.20437319999999</v>
      </c>
      <c r="E543" s="9">
        <f t="shared" si="141"/>
        <v>250.85539799999992</v>
      </c>
      <c r="F543" s="9">
        <f t="shared" si="146"/>
        <v>377.79562680000004</v>
      </c>
      <c r="I543">
        <v>1</v>
      </c>
      <c r="J543">
        <f t="shared" si="142"/>
        <v>0.29191419700867782</v>
      </c>
      <c r="K543">
        <f t="shared" si="147"/>
        <v>0.98464379996891349</v>
      </c>
      <c r="O543">
        <f t="shared" si="148"/>
        <v>0.15919165447665773</v>
      </c>
      <c r="P543">
        <f t="shared" si="149"/>
        <v>0.23974732600467283</v>
      </c>
      <c r="Q543">
        <f t="shared" si="150"/>
        <v>0.95769475137884807</v>
      </c>
      <c r="R543">
        <f t="shared" si="156"/>
        <v>1</v>
      </c>
      <c r="AG543" s="8">
        <f t="shared" si="143"/>
        <v>0.60929102559514792</v>
      </c>
      <c r="AH543" s="8">
        <f t="shared" si="144"/>
        <v>-8.1132434670548231E-2</v>
      </c>
      <c r="AI543" s="8">
        <f t="shared" si="145"/>
        <v>0.78878512547692103</v>
      </c>
      <c r="AJ543" s="8"/>
      <c r="AK543" s="8"/>
      <c r="AL543" s="8"/>
      <c r="AN543" s="8">
        <f t="shared" si="151"/>
        <v>1</v>
      </c>
      <c r="AO543" s="8">
        <f t="shared" si="152"/>
        <v>6.1508053072995938</v>
      </c>
      <c r="AP543" s="8">
        <f t="shared" si="153"/>
        <v>0.66196631292431851</v>
      </c>
      <c r="AQ543" s="8"/>
      <c r="AR543" s="8">
        <f t="shared" si="154"/>
        <v>352.41518471493407</v>
      </c>
      <c r="AS543" s="8">
        <f t="shared" si="155"/>
        <v>52.072124089600187</v>
      </c>
    </row>
    <row r="544" spans="1:45">
      <c r="A544" s="19">
        <v>21.888533330000001</v>
      </c>
      <c r="B544" s="19">
        <v>1211.9478120000001</v>
      </c>
      <c r="C544" s="19">
        <v>-162.63145119999999</v>
      </c>
      <c r="E544" s="9">
        <f t="shared" ref="E544:E607" si="157">(B544-($B$15/2))</f>
        <v>251.94781200000011</v>
      </c>
      <c r="F544" s="9">
        <f t="shared" si="146"/>
        <v>377.36854879999999</v>
      </c>
      <c r="I544">
        <v>1</v>
      </c>
      <c r="J544">
        <f t="shared" ref="J544:J607" si="158">ATAN((SQRT(E544^2+F544^2)^$B$16)/($F$24))</f>
        <v>0.2920674578251522</v>
      </c>
      <c r="K544">
        <f t="shared" si="147"/>
        <v>0.98211747790976645</v>
      </c>
      <c r="O544">
        <f t="shared" si="148"/>
        <v>0.15987832275249486</v>
      </c>
      <c r="P544">
        <f t="shared" si="149"/>
        <v>0.23946645998928931</v>
      </c>
      <c r="Q544">
        <f t="shared" si="150"/>
        <v>0.9576506338190599</v>
      </c>
      <c r="R544">
        <f t="shared" si="156"/>
        <v>1</v>
      </c>
      <c r="AG544" s="8">
        <f t="shared" ref="AG544:AG607" si="159">$O544*$Z$27+$P544*$Z$31+$Q544*$Z$35</f>
        <v>0.60965112581074843</v>
      </c>
      <c r="AH544" s="8">
        <f t="shared" ref="AH544:AH607" si="160">$O544*$AA$27+$P544*$AA$31+$Q544*$AA$35</f>
        <v>-8.051902580986392E-2</v>
      </c>
      <c r="AI544" s="8">
        <f t="shared" ref="AI544:AI607" si="161">$AB$27*$O544+$P544*$AB$31+$AB$35*$Q544</f>
        <v>0.78856971237825102</v>
      </c>
      <c r="AJ544" s="8"/>
      <c r="AK544" s="8"/>
      <c r="AL544" s="8"/>
      <c r="AN544" s="8">
        <f t="shared" si="151"/>
        <v>1</v>
      </c>
      <c r="AO544" s="8">
        <f t="shared" si="152"/>
        <v>6.1518713742812832</v>
      </c>
      <c r="AP544" s="8">
        <f t="shared" si="153"/>
        <v>0.66231668796065235</v>
      </c>
      <c r="AQ544" s="8"/>
      <c r="AR544" s="8">
        <f t="shared" si="154"/>
        <v>352.47626585366316</v>
      </c>
      <c r="AS544" s="8">
        <f t="shared" si="155"/>
        <v>52.052049078771518</v>
      </c>
    </row>
    <row r="545" spans="1:45">
      <c r="A545" s="19">
        <v>21.921900000000001</v>
      </c>
      <c r="B545" s="19">
        <v>1212.4277709999999</v>
      </c>
      <c r="C545" s="19">
        <v>-162.77435370000001</v>
      </c>
      <c r="E545" s="9">
        <f t="shared" si="157"/>
        <v>252.42777099999989</v>
      </c>
      <c r="F545" s="9">
        <f t="shared" ref="F545:F608" si="162">(($C$15/2)+C545)</f>
        <v>377.22564629999999</v>
      </c>
      <c r="I545">
        <v>1</v>
      </c>
      <c r="J545">
        <f t="shared" si="158"/>
        <v>0.29215814695444736</v>
      </c>
      <c r="K545">
        <f t="shared" ref="K545:K608" si="163">ATAN2(E545,F545)</f>
        <v>0.98106322439924376</v>
      </c>
      <c r="O545">
        <f t="shared" ref="O545:O608" si="164">COS(K545)*SIN(J545)</f>
        <v>0.16017899141370406</v>
      </c>
      <c r="P545">
        <f t="shared" ref="P545:P608" si="165">SIN(K545)*SIN(J545)</f>
        <v>0.23936995252284141</v>
      </c>
      <c r="Q545">
        <f t="shared" ref="Q545:Q608" si="166">COS(J545)</f>
        <v>0.95762451751137889</v>
      </c>
      <c r="R545">
        <f t="shared" si="156"/>
        <v>1</v>
      </c>
      <c r="AG545" s="8">
        <f t="shared" si="159"/>
        <v>0.60978798846979254</v>
      </c>
      <c r="AH545" s="8">
        <f t="shared" si="160"/>
        <v>-8.0244046194504759E-2</v>
      </c>
      <c r="AI545" s="8">
        <f t="shared" si="161"/>
        <v>0.78849191636205018</v>
      </c>
      <c r="AJ545" s="8"/>
      <c r="AK545" s="8"/>
      <c r="AL545" s="8"/>
      <c r="AN545" s="8">
        <f t="shared" ref="AN545:AN608" si="167">AG545^2+AH545^2+AI545^2</f>
        <v>1</v>
      </c>
      <c r="AO545" s="8">
        <f t="shared" ref="AO545:AO608" si="168">IF(ATAN2(AG545,AH545)&gt;=0,ATAN2(AG545,AH545),ATAN2(AG545,AH545)+2*PI())</f>
        <v>6.1523437503825509</v>
      </c>
      <c r="AP545" s="8">
        <f t="shared" ref="AP545:AP608" si="169">ACOS(AI545/AN545)</f>
        <v>0.66244318652594969</v>
      </c>
      <c r="AQ545" s="8"/>
      <c r="AR545" s="8">
        <f t="shared" ref="AR545:AR608" si="170">DEGREES(AO545)</f>
        <v>352.50333101060863</v>
      </c>
      <c r="AS545" s="8">
        <f t="shared" ref="AS545:AS608" si="171">90-DEGREES(AP545)</f>
        <v>52.044801244865518</v>
      </c>
    </row>
    <row r="546" spans="1:45">
      <c r="A546" s="19">
        <v>21.95526667</v>
      </c>
      <c r="B546" s="19">
        <v>1213.1012639999999</v>
      </c>
      <c r="C546" s="19">
        <v>-163.0645404</v>
      </c>
      <c r="E546" s="9">
        <f t="shared" si="157"/>
        <v>253.1012639999999</v>
      </c>
      <c r="F546" s="9">
        <f t="shared" si="162"/>
        <v>376.9354596</v>
      </c>
      <c r="I546">
        <v>1</v>
      </c>
      <c r="J546">
        <f t="shared" si="158"/>
        <v>0.29224027884284026</v>
      </c>
      <c r="K546">
        <f t="shared" si="163"/>
        <v>0.97947495519962358</v>
      </c>
      <c r="O546">
        <f t="shared" si="164"/>
        <v>0.16060281755576217</v>
      </c>
      <c r="P546">
        <f t="shared" si="165"/>
        <v>0.23918053940827488</v>
      </c>
      <c r="Q546">
        <f t="shared" si="166"/>
        <v>0.95760085868879485</v>
      </c>
      <c r="R546">
        <f t="shared" si="156"/>
        <v>1</v>
      </c>
      <c r="AG546" s="8">
        <f t="shared" si="159"/>
        <v>0.61002246917864256</v>
      </c>
      <c r="AH546" s="8">
        <f t="shared" si="160"/>
        <v>-7.9869155460122299E-2</v>
      </c>
      <c r="AI546" s="8">
        <f t="shared" si="161"/>
        <v>0.7883485936457798</v>
      </c>
      <c r="AJ546" s="8"/>
      <c r="AK546" s="8"/>
      <c r="AL546" s="8"/>
      <c r="AN546" s="8">
        <f t="shared" si="167"/>
        <v>1</v>
      </c>
      <c r="AO546" s="8">
        <f t="shared" si="168"/>
        <v>6.1529976188519822</v>
      </c>
      <c r="AP546" s="8">
        <f t="shared" si="169"/>
        <v>0.66267617970203341</v>
      </c>
      <c r="AQ546" s="8"/>
      <c r="AR546" s="8">
        <f t="shared" si="170"/>
        <v>352.5407949142637</v>
      </c>
      <c r="AS546" s="8">
        <f t="shared" si="171"/>
        <v>52.031451719220577</v>
      </c>
    </row>
    <row r="547" spans="1:45">
      <c r="A547" s="19">
        <v>21.988633329999999</v>
      </c>
      <c r="B547" s="19">
        <v>1213.4936520000001</v>
      </c>
      <c r="C547" s="19">
        <v>-163.55621350000001</v>
      </c>
      <c r="E547" s="9">
        <f t="shared" si="157"/>
        <v>253.49365200000011</v>
      </c>
      <c r="F547" s="9">
        <f t="shared" si="162"/>
        <v>376.44378649999999</v>
      </c>
      <c r="I547">
        <v>1</v>
      </c>
      <c r="J547">
        <f t="shared" si="158"/>
        <v>0.29212436581740225</v>
      </c>
      <c r="K547">
        <f t="shared" si="163"/>
        <v>0.97815322829759366</v>
      </c>
      <c r="O547">
        <f t="shared" si="164"/>
        <v>0.16085680869711341</v>
      </c>
      <c r="P547">
        <f t="shared" si="165"/>
        <v>0.23887598633139523</v>
      </c>
      <c r="Q547">
        <f t="shared" si="166"/>
        <v>0.95763424659416985</v>
      </c>
      <c r="R547">
        <f t="shared" si="156"/>
        <v>1</v>
      </c>
      <c r="AG547" s="8">
        <f t="shared" si="159"/>
        <v>0.61031208486774235</v>
      </c>
      <c r="AH547" s="8">
        <f t="shared" si="160"/>
        <v>-7.9690168435967712E-2</v>
      </c>
      <c r="AI547" s="8">
        <f t="shared" si="161"/>
        <v>0.78814252271974061</v>
      </c>
      <c r="AJ547" s="8"/>
      <c r="AK547" s="8"/>
      <c r="AL547" s="8"/>
      <c r="AN547" s="8">
        <f t="shared" si="167"/>
        <v>1</v>
      </c>
      <c r="AO547" s="8">
        <f t="shared" si="168"/>
        <v>6.1533470467334883</v>
      </c>
      <c r="AP547" s="8">
        <f t="shared" si="169"/>
        <v>0.66301105791448045</v>
      </c>
      <c r="AQ547" s="8"/>
      <c r="AR547" s="8">
        <f t="shared" si="170"/>
        <v>352.56081565711821</v>
      </c>
      <c r="AS547" s="8">
        <f t="shared" si="171"/>
        <v>52.012264610996475</v>
      </c>
    </row>
    <row r="548" spans="1:45">
      <c r="A548" s="19">
        <v>22.021999999999998</v>
      </c>
      <c r="B548" s="19">
        <v>1213.741634</v>
      </c>
      <c r="C548" s="19">
        <v>-163.70559009999999</v>
      </c>
      <c r="E548" s="9">
        <f t="shared" si="157"/>
        <v>253.74163399999998</v>
      </c>
      <c r="F548" s="9">
        <f t="shared" si="162"/>
        <v>376.29440990000001</v>
      </c>
      <c r="I548">
        <v>1</v>
      </c>
      <c r="J548">
        <f t="shared" si="158"/>
        <v>0.29213337949472373</v>
      </c>
      <c r="K548">
        <f t="shared" si="163"/>
        <v>0.97751617568500782</v>
      </c>
      <c r="O548">
        <f t="shared" si="164"/>
        <v>0.16101377851224682</v>
      </c>
      <c r="P548">
        <f t="shared" si="165"/>
        <v>0.23878062033381256</v>
      </c>
      <c r="Q548">
        <f t="shared" si="166"/>
        <v>0.95763165073122392</v>
      </c>
      <c r="R548">
        <f t="shared" si="156"/>
        <v>1</v>
      </c>
      <c r="AG548" s="8">
        <f t="shared" si="159"/>
        <v>0.61041852461952717</v>
      </c>
      <c r="AH548" s="8">
        <f t="shared" si="160"/>
        <v>-7.9557319630556123E-2</v>
      </c>
      <c r="AI548" s="8">
        <f t="shared" si="161"/>
        <v>0.78807351033677142</v>
      </c>
      <c r="AJ548" s="8"/>
      <c r="AK548" s="8"/>
      <c r="AL548" s="8"/>
      <c r="AN548" s="8">
        <f t="shared" si="167"/>
        <v>1</v>
      </c>
      <c r="AO548" s="8">
        <f t="shared" si="168"/>
        <v>6.1535834278435635</v>
      </c>
      <c r="AP548" s="8">
        <f t="shared" si="169"/>
        <v>0.6631231752806146</v>
      </c>
      <c r="AQ548" s="8"/>
      <c r="AR548" s="8">
        <f t="shared" si="170"/>
        <v>352.57435929708214</v>
      </c>
      <c r="AS548" s="8">
        <f t="shared" si="171"/>
        <v>52.005840759106867</v>
      </c>
    </row>
    <row r="549" spans="1:45">
      <c r="A549" s="19">
        <v>22.055366670000002</v>
      </c>
      <c r="B549" s="19">
        <v>1214.995488</v>
      </c>
      <c r="C549" s="19">
        <v>-163.7295604</v>
      </c>
      <c r="E549" s="9">
        <f t="shared" si="157"/>
        <v>254.99548800000002</v>
      </c>
      <c r="F549" s="9">
        <f t="shared" si="162"/>
        <v>376.27043960000003</v>
      </c>
      <c r="I549">
        <v>1</v>
      </c>
      <c r="J549">
        <f t="shared" si="158"/>
        <v>0.292551710012941</v>
      </c>
      <c r="K549">
        <f t="shared" si="163"/>
        <v>0.97519955182898732</v>
      </c>
      <c r="O549">
        <f t="shared" si="164"/>
        <v>0.16179123811789303</v>
      </c>
      <c r="P549">
        <f t="shared" si="165"/>
        <v>0.23873857834711135</v>
      </c>
      <c r="Q549">
        <f t="shared" si="166"/>
        <v>0.95751108947994923</v>
      </c>
      <c r="R549">
        <f t="shared" si="156"/>
        <v>1</v>
      </c>
      <c r="AG549" s="8">
        <f t="shared" si="159"/>
        <v>0.6106094769507151</v>
      </c>
      <c r="AH549" s="8">
        <f t="shared" si="160"/>
        <v>-7.8796284199378674E-2</v>
      </c>
      <c r="AI549" s="8">
        <f t="shared" si="161"/>
        <v>0.78800203822981618</v>
      </c>
      <c r="AJ549" s="8"/>
      <c r="AK549" s="8"/>
      <c r="AL549" s="8"/>
      <c r="AN549" s="8">
        <f t="shared" si="167"/>
        <v>0.99999999999999978</v>
      </c>
      <c r="AO549" s="8">
        <f t="shared" si="168"/>
        <v>6.1548492494498666</v>
      </c>
      <c r="AP549" s="8">
        <f t="shared" si="169"/>
        <v>0.66323927174827091</v>
      </c>
      <c r="AQ549" s="8"/>
      <c r="AR549" s="8">
        <f t="shared" si="170"/>
        <v>352.64688553273976</v>
      </c>
      <c r="AS549" s="8">
        <f t="shared" si="171"/>
        <v>51.999188921493783</v>
      </c>
    </row>
    <row r="550" spans="1:45">
      <c r="A550" s="19">
        <v>22.08873333</v>
      </c>
      <c r="B550" s="19">
        <v>1215.345145</v>
      </c>
      <c r="C550" s="19">
        <v>-164.40700989999999</v>
      </c>
      <c r="E550" s="9">
        <f t="shared" si="157"/>
        <v>255.345145</v>
      </c>
      <c r="F550" s="9">
        <f t="shared" si="162"/>
        <v>375.59299010000001</v>
      </c>
      <c r="I550">
        <v>1</v>
      </c>
      <c r="J550">
        <f t="shared" si="158"/>
        <v>0.29232847337874818</v>
      </c>
      <c r="K550">
        <f t="shared" si="163"/>
        <v>0.97372543224797348</v>
      </c>
      <c r="O550">
        <f t="shared" si="164"/>
        <v>0.16202281143075498</v>
      </c>
      <c r="P550">
        <f t="shared" si="165"/>
        <v>0.23832304393210893</v>
      </c>
      <c r="Q550">
        <f t="shared" si="166"/>
        <v>0.95757544627408242</v>
      </c>
      <c r="R550">
        <f t="shared" si="156"/>
        <v>1</v>
      </c>
      <c r="AG550" s="8">
        <f t="shared" si="159"/>
        <v>0.6109808233600259</v>
      </c>
      <c r="AH550" s="8">
        <f t="shared" si="160"/>
        <v>-7.8665941546476437E-2</v>
      </c>
      <c r="AI550" s="8">
        <f t="shared" si="161"/>
        <v>0.78772717556709393</v>
      </c>
      <c r="AJ550" s="8"/>
      <c r="AK550" s="8"/>
      <c r="AL550" s="8"/>
      <c r="AN550" s="8">
        <f t="shared" si="167"/>
        <v>1</v>
      </c>
      <c r="AO550" s="8">
        <f t="shared" si="168"/>
        <v>6.1551362465345569</v>
      </c>
      <c r="AP550" s="8">
        <f t="shared" si="169"/>
        <v>0.66368558716706239</v>
      </c>
      <c r="AQ550" s="8"/>
      <c r="AR550" s="8">
        <f t="shared" si="170"/>
        <v>352.66332925442509</v>
      </c>
      <c r="AS550" s="8">
        <f t="shared" si="171"/>
        <v>51.973616931665411</v>
      </c>
    </row>
    <row r="551" spans="1:45">
      <c r="A551" s="19">
        <v>22.1221</v>
      </c>
      <c r="B551" s="19">
        <v>1216.0187940000001</v>
      </c>
      <c r="C551" s="19">
        <v>-164.5159486</v>
      </c>
      <c r="E551" s="9">
        <f t="shared" si="157"/>
        <v>256.01879400000007</v>
      </c>
      <c r="F551" s="9">
        <f t="shared" si="162"/>
        <v>375.4840514</v>
      </c>
      <c r="I551">
        <v>1</v>
      </c>
      <c r="J551">
        <f t="shared" si="158"/>
        <v>0.29250568600409099</v>
      </c>
      <c r="K551">
        <f t="shared" si="163"/>
        <v>0.97236481470052905</v>
      </c>
      <c r="O551">
        <f t="shared" si="164"/>
        <v>0.16244252222853883</v>
      </c>
      <c r="P551">
        <f t="shared" si="165"/>
        <v>0.23824257357452555</v>
      </c>
      <c r="Q551">
        <f t="shared" si="166"/>
        <v>0.95752436162669896</v>
      </c>
      <c r="R551">
        <f t="shared" si="156"/>
        <v>1</v>
      </c>
      <c r="AG551" s="8">
        <f t="shared" si="159"/>
        <v>0.61112871641185784</v>
      </c>
      <c r="AH551" s="8">
        <f t="shared" si="160"/>
        <v>-7.8268801971280999E-2</v>
      </c>
      <c r="AI551" s="8">
        <f t="shared" si="161"/>
        <v>0.78765200857661466</v>
      </c>
      <c r="AJ551" s="8"/>
      <c r="AK551" s="8"/>
      <c r="AL551" s="8"/>
      <c r="AN551" s="8">
        <f t="shared" si="167"/>
        <v>1</v>
      </c>
      <c r="AO551" s="8">
        <f t="shared" si="168"/>
        <v>6.155806203357848</v>
      </c>
      <c r="AP551" s="8">
        <f t="shared" si="169"/>
        <v>0.66380759717791682</v>
      </c>
      <c r="AQ551" s="8"/>
      <c r="AR551" s="8">
        <f t="shared" si="170"/>
        <v>352.70171495285564</v>
      </c>
      <c r="AS551" s="8">
        <f t="shared" si="171"/>
        <v>51.96662627298511</v>
      </c>
    </row>
    <row r="552" spans="1:45">
      <c r="A552" s="19">
        <v>22.155466669999999</v>
      </c>
      <c r="B552" s="19">
        <v>1216.900384</v>
      </c>
      <c r="C552" s="19">
        <v>-164.65849900000001</v>
      </c>
      <c r="E552" s="9">
        <f t="shared" si="157"/>
        <v>256.90038400000003</v>
      </c>
      <c r="F552" s="9">
        <f t="shared" si="162"/>
        <v>375.34150099999999</v>
      </c>
      <c r="I552">
        <v>1</v>
      </c>
      <c r="J552">
        <f t="shared" si="158"/>
        <v>0.2927383589569249</v>
      </c>
      <c r="K552">
        <f t="shared" si="163"/>
        <v>0.97058683995557882</v>
      </c>
      <c r="O552">
        <f t="shared" si="164"/>
        <v>0.16299168534384537</v>
      </c>
      <c r="P552">
        <f t="shared" si="165"/>
        <v>0.23813722219846356</v>
      </c>
      <c r="Q552">
        <f t="shared" si="166"/>
        <v>0.95745724390824494</v>
      </c>
      <c r="R552">
        <f t="shared" si="156"/>
        <v>1</v>
      </c>
      <c r="AG552" s="8">
        <f t="shared" si="159"/>
        <v>0.611322058542077</v>
      </c>
      <c r="AH552" s="8">
        <f t="shared" si="160"/>
        <v>-7.7749103518404278E-2</v>
      </c>
      <c r="AI552" s="8">
        <f t="shared" si="161"/>
        <v>0.78755343795958499</v>
      </c>
      <c r="AJ552" s="8"/>
      <c r="AK552" s="8"/>
      <c r="AL552" s="8"/>
      <c r="AN552" s="8">
        <f t="shared" si="167"/>
        <v>1</v>
      </c>
      <c r="AO552" s="8">
        <f t="shared" si="168"/>
        <v>6.1566825562019618</v>
      </c>
      <c r="AP552" s="8">
        <f t="shared" si="169"/>
        <v>0.66396756679381574</v>
      </c>
      <c r="AQ552" s="8"/>
      <c r="AR552" s="8">
        <f t="shared" si="170"/>
        <v>352.75192627218769</v>
      </c>
      <c r="AS552" s="8">
        <f t="shared" si="171"/>
        <v>51.957460689143772</v>
      </c>
    </row>
    <row r="553" spans="1:45">
      <c r="A553" s="19">
        <v>22.188833330000001</v>
      </c>
      <c r="B553" s="19">
        <v>1217.615681</v>
      </c>
      <c r="C553" s="19">
        <v>-165.33200220000001</v>
      </c>
      <c r="E553" s="9">
        <f t="shared" si="157"/>
        <v>257.615681</v>
      </c>
      <c r="F553" s="9">
        <f t="shared" si="162"/>
        <v>374.66799779999997</v>
      </c>
      <c r="I553">
        <v>1</v>
      </c>
      <c r="J553">
        <f t="shared" si="158"/>
        <v>0.29264596358751949</v>
      </c>
      <c r="K553">
        <f t="shared" si="163"/>
        <v>0.96845201487275201</v>
      </c>
      <c r="O553">
        <f t="shared" si="164"/>
        <v>0.16344957225232917</v>
      </c>
      <c r="P553">
        <f t="shared" si="165"/>
        <v>0.23771582436026714</v>
      </c>
      <c r="Q553">
        <f t="shared" si="166"/>
        <v>0.95748390283035534</v>
      </c>
      <c r="R553">
        <f t="shared" si="156"/>
        <v>1</v>
      </c>
      <c r="AG553" s="8">
        <f t="shared" si="159"/>
        <v>0.61174327148720953</v>
      </c>
      <c r="AH553" s="8">
        <f t="shared" si="160"/>
        <v>-7.7395415694792885E-2</v>
      </c>
      <c r="AI553" s="8">
        <f t="shared" si="161"/>
        <v>0.78726115071147551</v>
      </c>
      <c r="AJ553" s="8"/>
      <c r="AK553" s="8"/>
      <c r="AL553" s="8"/>
      <c r="AN553" s="8">
        <f t="shared" si="167"/>
        <v>1</v>
      </c>
      <c r="AO553" s="8">
        <f t="shared" si="168"/>
        <v>6.1573377480141218</v>
      </c>
      <c r="AP553" s="8">
        <f t="shared" si="169"/>
        <v>0.66444172574085281</v>
      </c>
      <c r="AQ553" s="8"/>
      <c r="AR553" s="8">
        <f t="shared" si="170"/>
        <v>352.78946599779596</v>
      </c>
      <c r="AS553" s="8">
        <f t="shared" si="171"/>
        <v>51.930293382660182</v>
      </c>
    </row>
    <row r="554" spans="1:45">
      <c r="A554" s="19">
        <v>22.222200000000001</v>
      </c>
      <c r="B554" s="19">
        <v>1218.169713</v>
      </c>
      <c r="C554" s="19">
        <v>-165.8140324</v>
      </c>
      <c r="E554" s="9">
        <f t="shared" si="157"/>
        <v>258.169713</v>
      </c>
      <c r="F554" s="9">
        <f t="shared" si="162"/>
        <v>374.18596760000003</v>
      </c>
      <c r="I554">
        <v>1</v>
      </c>
      <c r="J554">
        <f t="shared" si="158"/>
        <v>0.29259526414249099</v>
      </c>
      <c r="K554">
        <f t="shared" si="163"/>
        <v>0.96684703289263108</v>
      </c>
      <c r="O554">
        <f t="shared" si="164"/>
        <v>0.16380332300863568</v>
      </c>
      <c r="P554">
        <f t="shared" si="165"/>
        <v>0.23741322792608785</v>
      </c>
      <c r="Q554">
        <f t="shared" si="166"/>
        <v>0.95749852771534016</v>
      </c>
      <c r="R554">
        <f t="shared" si="156"/>
        <v>1</v>
      </c>
      <c r="AG554" s="8">
        <f t="shared" si="159"/>
        <v>0.61205058166684589</v>
      </c>
      <c r="AH554" s="8">
        <f t="shared" si="160"/>
        <v>-7.7116603677616247E-2</v>
      </c>
      <c r="AI554" s="8">
        <f t="shared" si="161"/>
        <v>0.78704962671899226</v>
      </c>
      <c r="AJ554" s="8"/>
      <c r="AK554" s="8"/>
      <c r="AL554" s="8"/>
      <c r="AN554" s="8">
        <f t="shared" si="167"/>
        <v>1</v>
      </c>
      <c r="AO554" s="8">
        <f t="shared" si="168"/>
        <v>6.1578486648357096</v>
      </c>
      <c r="AP554" s="8">
        <f t="shared" si="169"/>
        <v>0.66478468865482854</v>
      </c>
      <c r="AQ554" s="8"/>
      <c r="AR554" s="8">
        <f t="shared" si="170"/>
        <v>352.81873937535516</v>
      </c>
      <c r="AS554" s="8">
        <f t="shared" si="171"/>
        <v>51.910643055159866</v>
      </c>
    </row>
    <row r="555" spans="1:45">
      <c r="A555" s="19">
        <v>22.25556667</v>
      </c>
      <c r="B555" s="19">
        <v>1218.528104</v>
      </c>
      <c r="C555" s="19">
        <v>-165.84705410000001</v>
      </c>
      <c r="E555" s="9">
        <f t="shared" si="157"/>
        <v>258.52810399999998</v>
      </c>
      <c r="F555" s="9">
        <f t="shared" si="162"/>
        <v>374.15294589999996</v>
      </c>
      <c r="I555">
        <v>1</v>
      </c>
      <c r="J555">
        <f t="shared" si="158"/>
        <v>0.29270342579736253</v>
      </c>
      <c r="K555">
        <f t="shared" si="163"/>
        <v>0.96615715528173696</v>
      </c>
      <c r="O555">
        <f t="shared" si="164"/>
        <v>0.1640259420186766</v>
      </c>
      <c r="P555">
        <f t="shared" si="165"/>
        <v>0.23738536917560973</v>
      </c>
      <c r="Q555">
        <f t="shared" si="166"/>
        <v>0.95746732416633684</v>
      </c>
      <c r="R555">
        <f t="shared" si="156"/>
        <v>1</v>
      </c>
      <c r="AG555" s="8">
        <f t="shared" si="159"/>
        <v>0.61211715180454884</v>
      </c>
      <c r="AH555" s="8">
        <f t="shared" si="160"/>
        <v>-7.6902294050369358E-2</v>
      </c>
      <c r="AI555" s="8">
        <f t="shared" si="161"/>
        <v>0.78701882419448999</v>
      </c>
      <c r="AJ555" s="8"/>
      <c r="AK555" s="8"/>
      <c r="AL555" s="8"/>
      <c r="AN555" s="8">
        <f t="shared" si="167"/>
        <v>1</v>
      </c>
      <c r="AO555" s="8">
        <f t="shared" si="168"/>
        <v>6.1582068103683776</v>
      </c>
      <c r="AP555" s="8">
        <f t="shared" si="169"/>
        <v>0.66483461904615093</v>
      </c>
      <c r="AQ555" s="8"/>
      <c r="AR555" s="8">
        <f t="shared" si="170"/>
        <v>352.83925960282852</v>
      </c>
      <c r="AS555" s="8">
        <f t="shared" si="171"/>
        <v>51.907782254467655</v>
      </c>
    </row>
    <row r="556" spans="1:45">
      <c r="A556" s="19">
        <v>22.288933329999999</v>
      </c>
      <c r="B556" s="19">
        <v>1219.3338819999999</v>
      </c>
      <c r="C556" s="19">
        <v>-165.79914099999999</v>
      </c>
      <c r="E556" s="9">
        <f t="shared" si="157"/>
        <v>259.3338819999999</v>
      </c>
      <c r="F556" s="9">
        <f t="shared" si="162"/>
        <v>374.20085900000004</v>
      </c>
      <c r="I556">
        <v>1</v>
      </c>
      <c r="J556">
        <f t="shared" si="158"/>
        <v>0.29300859508384147</v>
      </c>
      <c r="K556">
        <f t="shared" si="163"/>
        <v>0.96476091126415853</v>
      </c>
      <c r="O556">
        <f t="shared" si="164"/>
        <v>0.16452365739652916</v>
      </c>
      <c r="P556">
        <f t="shared" si="165"/>
        <v>0.23739626094673949</v>
      </c>
      <c r="Q556">
        <f t="shared" si="166"/>
        <v>0.95737922551378618</v>
      </c>
      <c r="R556">
        <f t="shared" si="156"/>
        <v>1</v>
      </c>
      <c r="AG556" s="8">
        <f t="shared" si="159"/>
        <v>0.61220878983926896</v>
      </c>
      <c r="AH556" s="8">
        <f t="shared" si="160"/>
        <v>-7.6405626694905027E-2</v>
      </c>
      <c r="AI556" s="8">
        <f t="shared" si="161"/>
        <v>0.78699591984513917</v>
      </c>
      <c r="AJ556" s="8"/>
      <c r="AK556" s="8"/>
      <c r="AL556" s="8"/>
      <c r="AN556" s="8">
        <f t="shared" si="167"/>
        <v>1</v>
      </c>
      <c r="AO556" s="8">
        <f t="shared" si="168"/>
        <v>6.1590240724946659</v>
      </c>
      <c r="AP556" s="8">
        <f t="shared" si="169"/>
        <v>0.66487174456238163</v>
      </c>
      <c r="AQ556" s="8"/>
      <c r="AR556" s="8">
        <f t="shared" si="170"/>
        <v>352.88608527342075</v>
      </c>
      <c r="AS556" s="8">
        <f t="shared" si="171"/>
        <v>51.905655119075391</v>
      </c>
    </row>
    <row r="557" spans="1:45">
      <c r="A557" s="19">
        <v>22.322299999999998</v>
      </c>
      <c r="B557" s="19">
        <v>1220.0508010000001</v>
      </c>
      <c r="C557" s="19">
        <v>-166.53833750000001</v>
      </c>
      <c r="E557" s="9">
        <f t="shared" si="157"/>
        <v>260.05080100000009</v>
      </c>
      <c r="F557" s="9">
        <f t="shared" si="162"/>
        <v>373.46166249999999</v>
      </c>
      <c r="I557">
        <v>1</v>
      </c>
      <c r="J557">
        <f t="shared" si="158"/>
        <v>0.29288720835113857</v>
      </c>
      <c r="K557">
        <f t="shared" si="163"/>
        <v>0.96254086972895403</v>
      </c>
      <c r="O557">
        <f t="shared" si="164"/>
        <v>0.16498387142474219</v>
      </c>
      <c r="P557">
        <f t="shared" si="165"/>
        <v>0.23693505527010639</v>
      </c>
      <c r="Q557">
        <f t="shared" si="166"/>
        <v>0.95741427906306875</v>
      </c>
      <c r="R557">
        <f t="shared" si="156"/>
        <v>1</v>
      </c>
      <c r="AG557" s="8">
        <f t="shared" si="159"/>
        <v>0.61266072076720113</v>
      </c>
      <c r="AH557" s="8">
        <f t="shared" si="160"/>
        <v>-7.605882971241526E-2</v>
      </c>
      <c r="AI557" s="8">
        <f t="shared" si="161"/>
        <v>0.78667775845754739</v>
      </c>
      <c r="AJ557" s="8"/>
      <c r="AK557" s="8"/>
      <c r="AL557" s="8"/>
      <c r="AN557" s="8">
        <f t="shared" si="167"/>
        <v>0.99999999999999989</v>
      </c>
      <c r="AO557" s="8">
        <f t="shared" si="168"/>
        <v>6.1596721434519255</v>
      </c>
      <c r="AP557" s="8">
        <f t="shared" si="169"/>
        <v>0.66538726866594067</v>
      </c>
      <c r="AQ557" s="8"/>
      <c r="AR557" s="8">
        <f t="shared" si="170"/>
        <v>352.92321700409673</v>
      </c>
      <c r="AS557" s="8">
        <f t="shared" si="171"/>
        <v>51.876117763704194</v>
      </c>
    </row>
    <row r="558" spans="1:45">
      <c r="A558" s="19">
        <v>22.355666670000002</v>
      </c>
      <c r="B558" s="19">
        <v>1221.2654809999999</v>
      </c>
      <c r="C558" s="19">
        <v>-166.53758769999999</v>
      </c>
      <c r="E558" s="9">
        <f t="shared" si="157"/>
        <v>261.26548099999991</v>
      </c>
      <c r="F558" s="9">
        <f t="shared" si="162"/>
        <v>373.46241229999998</v>
      </c>
      <c r="I558">
        <v>1</v>
      </c>
      <c r="J558">
        <f t="shared" si="158"/>
        <v>0.29331360777051635</v>
      </c>
      <c r="K558">
        <f t="shared" si="163"/>
        <v>0.96035473034612806</v>
      </c>
      <c r="O558">
        <f t="shared" si="164"/>
        <v>0.16573545043415719</v>
      </c>
      <c r="P558">
        <f t="shared" si="165"/>
        <v>0.23690830065211502</v>
      </c>
      <c r="Q558">
        <f t="shared" si="166"/>
        <v>0.95729108297921284</v>
      </c>
      <c r="R558">
        <f t="shared" si="156"/>
        <v>1</v>
      </c>
      <c r="AG558" s="8">
        <f t="shared" si="159"/>
        <v>0.61283214371846229</v>
      </c>
      <c r="AH558" s="8">
        <f t="shared" si="160"/>
        <v>-7.5318902158868301E-2</v>
      </c>
      <c r="AI558" s="8">
        <f t="shared" si="161"/>
        <v>0.78661542484432434</v>
      </c>
      <c r="AJ558" s="8"/>
      <c r="AK558" s="8"/>
      <c r="AL558" s="8"/>
      <c r="AN558" s="8">
        <f t="shared" si="167"/>
        <v>1</v>
      </c>
      <c r="AO558" s="8">
        <f t="shared" si="168"/>
        <v>6.1608955921205037</v>
      </c>
      <c r="AP558" s="8">
        <f t="shared" si="169"/>
        <v>0.66548822955883125</v>
      </c>
      <c r="AQ558" s="8"/>
      <c r="AR558" s="8">
        <f t="shared" si="170"/>
        <v>352.99331544925712</v>
      </c>
      <c r="AS558" s="8">
        <f t="shared" si="171"/>
        <v>51.87033313064569</v>
      </c>
    </row>
    <row r="559" spans="1:45">
      <c r="A559" s="19">
        <v>22.38903333</v>
      </c>
      <c r="B559" s="19">
        <v>1221.7452820000001</v>
      </c>
      <c r="C559" s="19">
        <v>-166.9699645</v>
      </c>
      <c r="E559" s="9">
        <f t="shared" si="157"/>
        <v>261.74528200000009</v>
      </c>
      <c r="F559" s="9">
        <f t="shared" si="162"/>
        <v>373.0300355</v>
      </c>
      <c r="I559">
        <v>1</v>
      </c>
      <c r="J559">
        <f t="shared" si="158"/>
        <v>0.29326532371973968</v>
      </c>
      <c r="K559">
        <f t="shared" si="163"/>
        <v>0.95894810632808414</v>
      </c>
      <c r="O559">
        <f t="shared" si="164"/>
        <v>0.16604197808187326</v>
      </c>
      <c r="P559">
        <f t="shared" si="165"/>
        <v>0.23663710193779686</v>
      </c>
      <c r="Q559">
        <f t="shared" si="166"/>
        <v>0.95730504203265299</v>
      </c>
      <c r="R559">
        <f t="shared" si="156"/>
        <v>1</v>
      </c>
      <c r="AG559" s="8">
        <f t="shared" si="159"/>
        <v>0.61310475392148966</v>
      </c>
      <c r="AH559" s="8">
        <f t="shared" si="160"/>
        <v>-7.507918997860058E-2</v>
      </c>
      <c r="AI559" s="8">
        <f t="shared" si="161"/>
        <v>0.7864258871317924</v>
      </c>
      <c r="AJ559" s="8"/>
      <c r="AK559" s="8"/>
      <c r="AL559" s="8"/>
      <c r="AN559" s="8">
        <f t="shared" si="167"/>
        <v>0.99999999999999978</v>
      </c>
      <c r="AO559" s="8">
        <f t="shared" si="168"/>
        <v>6.1613346128987025</v>
      </c>
      <c r="AP559" s="8">
        <f t="shared" si="169"/>
        <v>0.66579514143507124</v>
      </c>
      <c r="AQ559" s="8"/>
      <c r="AR559" s="8">
        <f t="shared" si="170"/>
        <v>353.01846948696647</v>
      </c>
      <c r="AS559" s="8">
        <f t="shared" si="171"/>
        <v>51.852748375454695</v>
      </c>
    </row>
    <row r="560" spans="1:45">
      <c r="A560" s="19">
        <v>22.4224</v>
      </c>
      <c r="B560" s="19">
        <v>1222.0430120000001</v>
      </c>
      <c r="C560" s="19">
        <v>-167.158354</v>
      </c>
      <c r="E560" s="9">
        <f t="shared" si="157"/>
        <v>262.04301200000009</v>
      </c>
      <c r="F560" s="9">
        <f t="shared" si="162"/>
        <v>372.84164599999997</v>
      </c>
      <c r="I560">
        <v>1</v>
      </c>
      <c r="J560">
        <f t="shared" si="158"/>
        <v>0.29327569937963155</v>
      </c>
      <c r="K560">
        <f t="shared" si="163"/>
        <v>0.95817585934878002</v>
      </c>
      <c r="O560">
        <f t="shared" si="164"/>
        <v>0.16623038224982944</v>
      </c>
      <c r="P560">
        <f t="shared" si="165"/>
        <v>0.23651693231657547</v>
      </c>
      <c r="Q560">
        <f t="shared" si="166"/>
        <v>0.95730204258877039</v>
      </c>
      <c r="R560">
        <f t="shared" si="156"/>
        <v>1</v>
      </c>
      <c r="AG560" s="8">
        <f t="shared" si="159"/>
        <v>0.61323600770233577</v>
      </c>
      <c r="AH560" s="8">
        <f t="shared" si="160"/>
        <v>-7.4920731322512812E-2</v>
      </c>
      <c r="AI560" s="8">
        <f t="shared" si="161"/>
        <v>0.78633865660757163</v>
      </c>
      <c r="AJ560" s="8"/>
      <c r="AK560" s="8"/>
      <c r="AL560" s="8"/>
      <c r="AN560" s="8">
        <f t="shared" si="167"/>
        <v>0.99999999999999978</v>
      </c>
      <c r="AO560" s="8">
        <f t="shared" si="168"/>
        <v>6.1616150252861699</v>
      </c>
      <c r="AP560" s="8">
        <f t="shared" si="169"/>
        <v>0.66593635051993683</v>
      </c>
      <c r="AQ560" s="8"/>
      <c r="AR560" s="8">
        <f t="shared" si="170"/>
        <v>353.03453593329158</v>
      </c>
      <c r="AS560" s="8">
        <f t="shared" si="171"/>
        <v>51.844657690862995</v>
      </c>
    </row>
    <row r="561" spans="1:45">
      <c r="A561" s="19">
        <v>22.455766669999999</v>
      </c>
      <c r="B561" s="19">
        <v>1222.3892430000001</v>
      </c>
      <c r="C561" s="19">
        <v>-167.74187219999999</v>
      </c>
      <c r="E561" s="9">
        <f t="shared" si="157"/>
        <v>262.38924300000008</v>
      </c>
      <c r="F561" s="9">
        <f t="shared" si="162"/>
        <v>372.25812780000001</v>
      </c>
      <c r="I561">
        <v>1</v>
      </c>
      <c r="J561">
        <f t="shared" si="158"/>
        <v>0.2931054135759979</v>
      </c>
      <c r="K561">
        <f t="shared" si="163"/>
        <v>0.95681717366826224</v>
      </c>
      <c r="O561">
        <f t="shared" si="164"/>
        <v>0.16645766158058298</v>
      </c>
      <c r="P561">
        <f t="shared" si="165"/>
        <v>0.23615761358766452</v>
      </c>
      <c r="Q561">
        <f t="shared" si="166"/>
        <v>0.9573512565645399</v>
      </c>
      <c r="R561">
        <f t="shared" si="156"/>
        <v>1</v>
      </c>
      <c r="AG561" s="8">
        <f t="shared" si="159"/>
        <v>0.61356123986861388</v>
      </c>
      <c r="AH561" s="8">
        <f t="shared" si="160"/>
        <v>-7.4780675659111062E-2</v>
      </c>
      <c r="AI561" s="8">
        <f t="shared" si="161"/>
        <v>0.78609824798103722</v>
      </c>
      <c r="AJ561" s="8"/>
      <c r="AK561" s="8"/>
      <c r="AL561" s="8"/>
      <c r="AN561" s="8">
        <f t="shared" si="167"/>
        <v>1.0000000000000002</v>
      </c>
      <c r="AO561" s="8">
        <f t="shared" si="168"/>
        <v>6.1619037532739203</v>
      </c>
      <c r="AP561" s="8">
        <f t="shared" si="169"/>
        <v>0.66632539357695619</v>
      </c>
      <c r="AQ561" s="8"/>
      <c r="AR561" s="8">
        <f t="shared" si="170"/>
        <v>353.05107882841696</v>
      </c>
      <c r="AS561" s="8">
        <f t="shared" si="171"/>
        <v>51.822367165646916</v>
      </c>
    </row>
    <row r="562" spans="1:45">
      <c r="A562" s="19">
        <v>22.489133330000001</v>
      </c>
      <c r="B562" s="19">
        <v>1223.002641</v>
      </c>
      <c r="C562" s="19">
        <v>-167.54464780000001</v>
      </c>
      <c r="E562" s="9">
        <f t="shared" si="157"/>
        <v>263.00264100000004</v>
      </c>
      <c r="F562" s="9">
        <f t="shared" si="162"/>
        <v>372.45535219999999</v>
      </c>
      <c r="I562">
        <v>1</v>
      </c>
      <c r="J562">
        <f t="shared" si="158"/>
        <v>0.29342083247486528</v>
      </c>
      <c r="K562">
        <f t="shared" si="163"/>
        <v>0.95596677406569364</v>
      </c>
      <c r="O562">
        <f t="shared" si="164"/>
        <v>0.16683260162213057</v>
      </c>
      <c r="P562">
        <f t="shared" si="165"/>
        <v>0.23626262899623479</v>
      </c>
      <c r="Q562">
        <f t="shared" si="166"/>
        <v>0.95726007603773955</v>
      </c>
      <c r="R562">
        <f t="shared" si="156"/>
        <v>1</v>
      </c>
      <c r="AG562" s="8">
        <f t="shared" si="159"/>
        <v>0.61355419918367793</v>
      </c>
      <c r="AH562" s="8">
        <f t="shared" si="160"/>
        <v>-7.4383176331426659E-2</v>
      </c>
      <c r="AI562" s="8">
        <f t="shared" si="161"/>
        <v>0.78614145530109503</v>
      </c>
      <c r="AJ562" s="8"/>
      <c r="AK562" s="8"/>
      <c r="AL562" s="8"/>
      <c r="AN562" s="8">
        <f t="shared" si="167"/>
        <v>1</v>
      </c>
      <c r="AO562" s="8">
        <f t="shared" si="168"/>
        <v>6.1625408050182857</v>
      </c>
      <c r="AP562" s="8">
        <f t="shared" si="169"/>
        <v>0.66625548720017302</v>
      </c>
      <c r="AQ562" s="8"/>
      <c r="AR562" s="8">
        <f t="shared" si="170"/>
        <v>353.08757920470055</v>
      </c>
      <c r="AS562" s="8">
        <f t="shared" si="171"/>
        <v>51.826372505997647</v>
      </c>
    </row>
    <row r="563" spans="1:45">
      <c r="A563" s="19">
        <v>22.522500000000001</v>
      </c>
      <c r="B563" s="19">
        <v>1223.6553819999999</v>
      </c>
      <c r="C563" s="19">
        <v>-168.20509300000001</v>
      </c>
      <c r="E563" s="9">
        <f t="shared" si="157"/>
        <v>263.65538199999992</v>
      </c>
      <c r="F563" s="9">
        <f t="shared" si="162"/>
        <v>371.79490699999997</v>
      </c>
      <c r="I563">
        <v>1</v>
      </c>
      <c r="J563">
        <f t="shared" si="158"/>
        <v>0.29332153153222185</v>
      </c>
      <c r="K563">
        <f t="shared" si="163"/>
        <v>0.95396111037764253</v>
      </c>
      <c r="O563">
        <f t="shared" si="164"/>
        <v>0.16725114205739336</v>
      </c>
      <c r="P563">
        <f t="shared" si="165"/>
        <v>0.2358500036493561</v>
      </c>
      <c r="Q563">
        <f t="shared" si="166"/>
        <v>0.95728879198447547</v>
      </c>
      <c r="R563">
        <f t="shared" si="156"/>
        <v>1</v>
      </c>
      <c r="AG563" s="8">
        <f t="shared" si="159"/>
        <v>0.6139588136836498</v>
      </c>
      <c r="AH563" s="8">
        <f t="shared" si="160"/>
        <v>-7.4065736725082099E-2</v>
      </c>
      <c r="AI563" s="8">
        <f t="shared" si="161"/>
        <v>0.78585548400678373</v>
      </c>
      <c r="AJ563" s="8"/>
      <c r="AK563" s="8"/>
      <c r="AL563" s="8"/>
      <c r="AN563" s="8">
        <f t="shared" si="167"/>
        <v>1</v>
      </c>
      <c r="AO563" s="8">
        <f t="shared" si="168"/>
        <v>6.163129133669214</v>
      </c>
      <c r="AP563" s="8">
        <f t="shared" si="169"/>
        <v>0.66671805296081088</v>
      </c>
      <c r="AQ563" s="8"/>
      <c r="AR563" s="8">
        <f t="shared" si="170"/>
        <v>353.12128795336537</v>
      </c>
      <c r="AS563" s="8">
        <f t="shared" si="171"/>
        <v>51.799869440165835</v>
      </c>
    </row>
    <row r="564" spans="1:45">
      <c r="A564" s="19">
        <v>22.55586667</v>
      </c>
      <c r="B564" s="19">
        <v>1225.2248279999999</v>
      </c>
      <c r="C564" s="19">
        <v>-168.14655680000001</v>
      </c>
      <c r="E564" s="9">
        <f t="shared" si="157"/>
        <v>265.22482799999989</v>
      </c>
      <c r="F564" s="9">
        <f t="shared" si="162"/>
        <v>371.85344320000002</v>
      </c>
      <c r="I564">
        <v>1</v>
      </c>
      <c r="J564">
        <f t="shared" si="158"/>
        <v>0.29390799946084351</v>
      </c>
      <c r="K564">
        <f t="shared" si="163"/>
        <v>0.95123234659786582</v>
      </c>
      <c r="O564">
        <f t="shared" si="164"/>
        <v>0.16822007364620684</v>
      </c>
      <c r="P564">
        <f t="shared" si="165"/>
        <v>0.23584976592274243</v>
      </c>
      <c r="Q564">
        <f t="shared" si="166"/>
        <v>0.95711905985444279</v>
      </c>
      <c r="R564">
        <f t="shared" si="156"/>
        <v>1</v>
      </c>
      <c r="AG564" s="8">
        <f t="shared" si="159"/>
        <v>0.61415133686368895</v>
      </c>
      <c r="AH564" s="8">
        <f t="shared" si="160"/>
        <v>-7.310296060823554E-2</v>
      </c>
      <c r="AI564" s="8">
        <f t="shared" si="161"/>
        <v>0.78579519760485583</v>
      </c>
      <c r="AJ564" s="8"/>
      <c r="AK564" s="8"/>
      <c r="AL564" s="8"/>
      <c r="AN564" s="8">
        <f t="shared" si="167"/>
        <v>1</v>
      </c>
      <c r="AO564" s="8">
        <f t="shared" si="168"/>
        <v>6.1647118748144631</v>
      </c>
      <c r="AP564" s="8">
        <f t="shared" si="169"/>
        <v>0.66681553303089558</v>
      </c>
      <c r="AQ564" s="8"/>
      <c r="AR564" s="8">
        <f t="shared" si="170"/>
        <v>353.21197234104983</v>
      </c>
      <c r="AS564" s="8">
        <f t="shared" si="171"/>
        <v>51.794284243563347</v>
      </c>
    </row>
    <row r="565" spans="1:45">
      <c r="A565" s="19">
        <v>22.589233329999999</v>
      </c>
      <c r="B565" s="19">
        <v>1225.3946550000001</v>
      </c>
      <c r="C565" s="19">
        <v>-168.60819720000001</v>
      </c>
      <c r="E565" s="9">
        <f t="shared" si="157"/>
        <v>265.39465500000006</v>
      </c>
      <c r="F565" s="9">
        <f t="shared" si="162"/>
        <v>371.39180279999999</v>
      </c>
      <c r="I565">
        <v>1</v>
      </c>
      <c r="J565">
        <f t="shared" si="158"/>
        <v>0.29373829843357557</v>
      </c>
      <c r="K565">
        <f t="shared" si="163"/>
        <v>0.95034219881342985</v>
      </c>
      <c r="O565">
        <f t="shared" si="164"/>
        <v>0.16833551156571241</v>
      </c>
      <c r="P565">
        <f t="shared" si="165"/>
        <v>0.2355677777898359</v>
      </c>
      <c r="Q565">
        <f t="shared" si="166"/>
        <v>0.95716820758582888</v>
      </c>
      <c r="R565">
        <f t="shared" si="156"/>
        <v>1</v>
      </c>
      <c r="AG565" s="8">
        <f t="shared" si="159"/>
        <v>0.61439371573882517</v>
      </c>
      <c r="AH565" s="8">
        <f t="shared" si="160"/>
        <v>-7.3055436061633394E-2</v>
      </c>
      <c r="AI565" s="8">
        <f t="shared" si="161"/>
        <v>0.78561012297607546</v>
      </c>
      <c r="AJ565" s="8"/>
      <c r="AK565" s="8"/>
      <c r="AL565" s="8"/>
      <c r="AN565" s="8">
        <f t="shared" si="167"/>
        <v>1.0000000000000002</v>
      </c>
      <c r="AO565" s="8">
        <f t="shared" si="168"/>
        <v>6.1648344496668628</v>
      </c>
      <c r="AP565" s="8">
        <f t="shared" si="169"/>
        <v>0.66711471397873068</v>
      </c>
      <c r="AQ565" s="8"/>
      <c r="AR565" s="8">
        <f t="shared" si="170"/>
        <v>353.21899536276675</v>
      </c>
      <c r="AS565" s="8">
        <f t="shared" si="171"/>
        <v>51.77714243794167</v>
      </c>
    </row>
    <row r="566" spans="1:45">
      <c r="A566" s="19">
        <v>22.622599999999998</v>
      </c>
      <c r="B566" s="19">
        <v>1225.7416009999999</v>
      </c>
      <c r="C566" s="19">
        <v>-168.85851500000001</v>
      </c>
      <c r="E566" s="9">
        <f t="shared" si="157"/>
        <v>265.74160099999995</v>
      </c>
      <c r="F566" s="9">
        <f t="shared" si="162"/>
        <v>371.14148499999999</v>
      </c>
      <c r="I566">
        <v>1</v>
      </c>
      <c r="J566">
        <f t="shared" si="158"/>
        <v>0.29373722906654121</v>
      </c>
      <c r="K566">
        <f t="shared" si="163"/>
        <v>0.94940497057033546</v>
      </c>
      <c r="O566">
        <f t="shared" si="164"/>
        <v>0.16855562248987133</v>
      </c>
      <c r="P566">
        <f t="shared" si="165"/>
        <v>0.23540907332755273</v>
      </c>
      <c r="Q566">
        <f t="shared" si="166"/>
        <v>0.95716851720170726</v>
      </c>
      <c r="R566">
        <f t="shared" si="156"/>
        <v>1</v>
      </c>
      <c r="AG566" s="8">
        <f t="shared" si="159"/>
        <v>0.61456080385696832</v>
      </c>
      <c r="AH566" s="8">
        <f t="shared" si="160"/>
        <v>-7.287447692696844E-2</v>
      </c>
      <c r="AI566" s="8">
        <f t="shared" si="161"/>
        <v>0.78549623103825117</v>
      </c>
      <c r="AJ566" s="8"/>
      <c r="AK566" s="8"/>
      <c r="AL566" s="8"/>
      <c r="AN566" s="8">
        <f t="shared" si="167"/>
        <v>1</v>
      </c>
      <c r="AO566" s="8">
        <f t="shared" si="168"/>
        <v>6.1651566874761743</v>
      </c>
      <c r="AP566" s="8">
        <f t="shared" si="169"/>
        <v>0.66729876862415172</v>
      </c>
      <c r="AQ566" s="8"/>
      <c r="AR566" s="8">
        <f t="shared" si="170"/>
        <v>353.23745822923985</v>
      </c>
      <c r="AS566" s="8">
        <f t="shared" si="171"/>
        <v>51.766596883559266</v>
      </c>
    </row>
    <row r="567" spans="1:45">
      <c r="A567" s="19">
        <v>22.655966670000002</v>
      </c>
      <c r="B567" s="19">
        <v>1226.3034259999999</v>
      </c>
      <c r="C567" s="19">
        <v>-169.10236800000001</v>
      </c>
      <c r="E567" s="9">
        <f t="shared" si="157"/>
        <v>266.30342599999994</v>
      </c>
      <c r="F567" s="9">
        <f t="shared" si="162"/>
        <v>370.89763199999999</v>
      </c>
      <c r="I567">
        <v>1</v>
      </c>
      <c r="J567">
        <f t="shared" si="158"/>
        <v>0.29381637219871393</v>
      </c>
      <c r="K567">
        <f t="shared" si="163"/>
        <v>0.94809360966223533</v>
      </c>
      <c r="O567">
        <f t="shared" si="164"/>
        <v>0.16890836501045067</v>
      </c>
      <c r="P567">
        <f t="shared" si="165"/>
        <v>0.23524936779209077</v>
      </c>
      <c r="Q567">
        <f t="shared" si="166"/>
        <v>0.95714559978245628</v>
      </c>
      <c r="R567">
        <f t="shared" si="156"/>
        <v>1</v>
      </c>
      <c r="AG567" s="8">
        <f t="shared" si="159"/>
        <v>0.6147548296882408</v>
      </c>
      <c r="AH567" s="8">
        <f t="shared" si="160"/>
        <v>-7.2561893808320094E-2</v>
      </c>
      <c r="AI567" s="8">
        <f t="shared" si="161"/>
        <v>0.78537333220700345</v>
      </c>
      <c r="AJ567" s="8"/>
      <c r="AK567" s="8"/>
      <c r="AL567" s="8"/>
      <c r="AN567" s="8">
        <f t="shared" si="167"/>
        <v>1</v>
      </c>
      <c r="AO567" s="8">
        <f t="shared" si="168"/>
        <v>6.165695045814247</v>
      </c>
      <c r="AP567" s="8">
        <f t="shared" si="169"/>
        <v>0.66749733060653227</v>
      </c>
      <c r="AQ567" s="8"/>
      <c r="AR567" s="8">
        <f t="shared" si="170"/>
        <v>353.26830388987713</v>
      </c>
      <c r="AS567" s="8">
        <f t="shared" si="171"/>
        <v>51.755220119997112</v>
      </c>
    </row>
    <row r="568" spans="1:45">
      <c r="A568" s="19">
        <v>22.68933333</v>
      </c>
      <c r="B568" s="19">
        <v>1226.6413729999999</v>
      </c>
      <c r="C568" s="19">
        <v>-169.42712839999999</v>
      </c>
      <c r="E568" s="9">
        <f t="shared" si="157"/>
        <v>266.64137299999993</v>
      </c>
      <c r="F568" s="9">
        <f t="shared" si="162"/>
        <v>370.57287159999998</v>
      </c>
      <c r="I568">
        <v>1</v>
      </c>
      <c r="J568">
        <f t="shared" si="158"/>
        <v>0.29377565713262377</v>
      </c>
      <c r="K568">
        <f t="shared" si="163"/>
        <v>0.94707741234696463</v>
      </c>
      <c r="O568">
        <f t="shared" si="164"/>
        <v>0.1691245765134223</v>
      </c>
      <c r="P568">
        <f t="shared" si="165"/>
        <v>0.23504596931667027</v>
      </c>
      <c r="Q568">
        <f t="shared" si="166"/>
        <v>0.95715739036333125</v>
      </c>
      <c r="R568">
        <f t="shared" si="156"/>
        <v>1</v>
      </c>
      <c r="AG568" s="8">
        <f t="shared" si="159"/>
        <v>0.61495578285278052</v>
      </c>
      <c r="AH568" s="8">
        <f t="shared" si="160"/>
        <v>-7.2395402126402303E-2</v>
      </c>
      <c r="AI568" s="8">
        <f t="shared" si="161"/>
        <v>0.78523136137502836</v>
      </c>
      <c r="AJ568" s="8"/>
      <c r="AK568" s="8"/>
      <c r="AL568" s="8"/>
      <c r="AN568" s="8">
        <f t="shared" si="167"/>
        <v>1</v>
      </c>
      <c r="AO568" s="8">
        <f t="shared" si="168"/>
        <v>6.1660001150750654</v>
      </c>
      <c r="AP568" s="8">
        <f t="shared" si="169"/>
        <v>0.66772664409245497</v>
      </c>
      <c r="AQ568" s="8"/>
      <c r="AR568" s="8">
        <f t="shared" si="170"/>
        <v>353.28578307098115</v>
      </c>
      <c r="AS568" s="8">
        <f t="shared" si="171"/>
        <v>51.742081425068307</v>
      </c>
    </row>
    <row r="569" spans="1:45">
      <c r="A569" s="19">
        <v>22.7227</v>
      </c>
      <c r="B569" s="19">
        <v>1227.423957</v>
      </c>
      <c r="C569" s="19">
        <v>-169.6624376</v>
      </c>
      <c r="E569" s="9">
        <f t="shared" si="157"/>
        <v>267.42395699999997</v>
      </c>
      <c r="F569" s="9">
        <f t="shared" si="162"/>
        <v>370.33756240000002</v>
      </c>
      <c r="I569">
        <v>1</v>
      </c>
      <c r="J569">
        <f t="shared" si="158"/>
        <v>0.29393903616808736</v>
      </c>
      <c r="K569">
        <f t="shared" si="163"/>
        <v>0.9453859307422523</v>
      </c>
      <c r="O569">
        <f t="shared" si="164"/>
        <v>0.1696134572806812</v>
      </c>
      <c r="P569">
        <f t="shared" si="165"/>
        <v>0.23488633936997649</v>
      </c>
      <c r="Q569">
        <f t="shared" si="166"/>
        <v>0.95711006821925493</v>
      </c>
      <c r="R569">
        <f t="shared" si="156"/>
        <v>1</v>
      </c>
      <c r="AG569" s="8">
        <f t="shared" si="159"/>
        <v>0.61517638628208138</v>
      </c>
      <c r="AH569" s="8">
        <f t="shared" si="160"/>
        <v>-7.1947369259052874E-2</v>
      </c>
      <c r="AI569" s="8">
        <f t="shared" si="161"/>
        <v>0.78509973240195474</v>
      </c>
      <c r="AJ569" s="8"/>
      <c r="AK569" s="8"/>
      <c r="AL569" s="8"/>
      <c r="AN569" s="8">
        <f t="shared" si="167"/>
        <v>1</v>
      </c>
      <c r="AO569" s="8">
        <f t="shared" si="168"/>
        <v>6.1667601663637308</v>
      </c>
      <c r="AP569" s="8">
        <f t="shared" si="169"/>
        <v>0.66793919368867238</v>
      </c>
      <c r="AQ569" s="8"/>
      <c r="AR569" s="8">
        <f t="shared" si="170"/>
        <v>353.3293308020352</v>
      </c>
      <c r="AS569" s="8">
        <f t="shared" si="171"/>
        <v>51.729903230267837</v>
      </c>
    </row>
    <row r="570" spans="1:45">
      <c r="A570" s="19">
        <v>22.756066669999999</v>
      </c>
      <c r="B570" s="19">
        <v>1228.358714</v>
      </c>
      <c r="C570" s="19">
        <v>-169.7481478</v>
      </c>
      <c r="E570" s="9">
        <f t="shared" si="157"/>
        <v>268.35871399999996</v>
      </c>
      <c r="F570" s="9">
        <f t="shared" si="162"/>
        <v>370.25185220000003</v>
      </c>
      <c r="I570">
        <v>1</v>
      </c>
      <c r="J570">
        <f t="shared" si="158"/>
        <v>0.29423207388990025</v>
      </c>
      <c r="K570">
        <f t="shared" si="163"/>
        <v>0.94361893707832634</v>
      </c>
      <c r="O570">
        <f t="shared" si="164"/>
        <v>0.17019282435902305</v>
      </c>
      <c r="P570">
        <f t="shared" si="165"/>
        <v>0.23481334930706804</v>
      </c>
      <c r="Q570">
        <f t="shared" si="166"/>
        <v>0.95702512690310049</v>
      </c>
      <c r="R570">
        <f t="shared" si="156"/>
        <v>1</v>
      </c>
      <c r="AG570" s="8">
        <f t="shared" si="159"/>
        <v>0.61534719508069169</v>
      </c>
      <c r="AH570" s="8">
        <f t="shared" si="160"/>
        <v>-7.1388649842596907E-2</v>
      </c>
      <c r="AI570" s="8">
        <f t="shared" si="161"/>
        <v>0.78501687254477293</v>
      </c>
      <c r="AJ570" s="8"/>
      <c r="AK570" s="8"/>
      <c r="AL570" s="8"/>
      <c r="AN570" s="8">
        <f t="shared" si="167"/>
        <v>1</v>
      </c>
      <c r="AO570" s="8">
        <f t="shared" si="168"/>
        <v>6.1676880153032263</v>
      </c>
      <c r="AP570" s="8">
        <f t="shared" si="169"/>
        <v>0.66807296335457678</v>
      </c>
      <c r="AQ570" s="8"/>
      <c r="AR570" s="8">
        <f t="shared" si="170"/>
        <v>353.38249263029394</v>
      </c>
      <c r="AS570" s="8">
        <f t="shared" si="171"/>
        <v>51.722238792984641</v>
      </c>
    </row>
    <row r="571" spans="1:45">
      <c r="A571" s="19">
        <v>22.789433330000001</v>
      </c>
      <c r="B571" s="19">
        <v>1229.087221</v>
      </c>
      <c r="C571" s="19">
        <v>-170.37259950000001</v>
      </c>
      <c r="E571" s="9">
        <f t="shared" si="157"/>
        <v>269.087221</v>
      </c>
      <c r="F571" s="9">
        <f t="shared" si="162"/>
        <v>369.62740050000002</v>
      </c>
      <c r="I571">
        <v>1</v>
      </c>
      <c r="J571">
        <f t="shared" si="158"/>
        <v>0.29418487043444397</v>
      </c>
      <c r="K571">
        <f t="shared" si="163"/>
        <v>0.94152722862574389</v>
      </c>
      <c r="O571">
        <f t="shared" si="164"/>
        <v>0.17065702469631205</v>
      </c>
      <c r="P571">
        <f t="shared" si="165"/>
        <v>0.23442031985443906</v>
      </c>
      <c r="Q571">
        <f t="shared" si="166"/>
        <v>0.95703881507551447</v>
      </c>
      <c r="R571">
        <f t="shared" si="156"/>
        <v>1</v>
      </c>
      <c r="AG571" s="8">
        <f t="shared" si="159"/>
        <v>0.61574400869675439</v>
      </c>
      <c r="AH571" s="8">
        <f t="shared" si="160"/>
        <v>-7.1020542900992856E-2</v>
      </c>
      <c r="AI571" s="8">
        <f t="shared" si="161"/>
        <v>0.78473906379133407</v>
      </c>
      <c r="AJ571" s="8"/>
      <c r="AK571" s="8"/>
      <c r="AL571" s="8"/>
      <c r="AN571" s="8">
        <f t="shared" si="167"/>
        <v>1</v>
      </c>
      <c r="AO571" s="8">
        <f t="shared" si="168"/>
        <v>6.1683517231659399</v>
      </c>
      <c r="AP571" s="8">
        <f t="shared" si="169"/>
        <v>0.66852129483724676</v>
      </c>
      <c r="AQ571" s="8"/>
      <c r="AR571" s="8">
        <f t="shared" si="170"/>
        <v>353.42052028965713</v>
      </c>
      <c r="AS571" s="8">
        <f t="shared" si="171"/>
        <v>51.696551291204813</v>
      </c>
    </row>
    <row r="572" spans="1:45">
      <c r="A572" s="19">
        <v>22.822800000000001</v>
      </c>
      <c r="B572" s="19">
        <v>1229.8091669999999</v>
      </c>
      <c r="C572" s="19">
        <v>-170.36160169999999</v>
      </c>
      <c r="E572" s="9">
        <f t="shared" si="157"/>
        <v>269.80916699999989</v>
      </c>
      <c r="F572" s="9">
        <f t="shared" si="162"/>
        <v>369.63839830000001</v>
      </c>
      <c r="I572">
        <v>1</v>
      </c>
      <c r="J572">
        <f t="shared" si="158"/>
        <v>0.29445073958359924</v>
      </c>
      <c r="K572">
        <f t="shared" si="163"/>
        <v>0.94026598186749311</v>
      </c>
      <c r="O572">
        <f t="shared" si="164"/>
        <v>0.17110255989731865</v>
      </c>
      <c r="P572">
        <f t="shared" si="165"/>
        <v>0.23441040528276308</v>
      </c>
      <c r="Q572">
        <f t="shared" si="166"/>
        <v>0.9569616898767449</v>
      </c>
      <c r="R572">
        <f t="shared" si="156"/>
        <v>1</v>
      </c>
      <c r="AG572" s="8">
        <f t="shared" si="159"/>
        <v>0.61583907508016589</v>
      </c>
      <c r="AH572" s="8">
        <f t="shared" si="160"/>
        <v>-7.0579751151267855E-2</v>
      </c>
      <c r="AI572" s="8">
        <f t="shared" si="161"/>
        <v>0.78470423239067022</v>
      </c>
      <c r="AJ572" s="8"/>
      <c r="AK572" s="8"/>
      <c r="AL572" s="8"/>
      <c r="AN572" s="8">
        <f t="shared" si="167"/>
        <v>1</v>
      </c>
      <c r="AO572" s="8">
        <f t="shared" si="168"/>
        <v>6.1690757156945679</v>
      </c>
      <c r="AP572" s="8">
        <f t="shared" si="169"/>
        <v>0.66857748826357966</v>
      </c>
      <c r="AQ572" s="8"/>
      <c r="AR572" s="8">
        <f t="shared" si="170"/>
        <v>353.46200200594649</v>
      </c>
      <c r="AS572" s="8">
        <f t="shared" si="171"/>
        <v>51.693331645039557</v>
      </c>
    </row>
    <row r="573" spans="1:45">
      <c r="A573" s="19">
        <v>22.85616667</v>
      </c>
      <c r="B573" s="19">
        <v>1230.374376</v>
      </c>
      <c r="C573" s="19">
        <v>-170.89064450000001</v>
      </c>
      <c r="E573" s="9">
        <f t="shared" si="157"/>
        <v>270.37437599999998</v>
      </c>
      <c r="F573" s="9">
        <f t="shared" si="162"/>
        <v>369.10935549999999</v>
      </c>
      <c r="I573">
        <v>1</v>
      </c>
      <c r="J573">
        <f t="shared" si="158"/>
        <v>0.29439352350992531</v>
      </c>
      <c r="K573">
        <f t="shared" si="163"/>
        <v>0.93858648841360814</v>
      </c>
      <c r="O573">
        <f t="shared" si="164"/>
        <v>0.17146365337787106</v>
      </c>
      <c r="P573">
        <f t="shared" si="165"/>
        <v>0.23407853779006546</v>
      </c>
      <c r="Q573">
        <f t="shared" si="166"/>
        <v>0.95697829323155403</v>
      </c>
      <c r="R573">
        <f t="shared" si="156"/>
        <v>1</v>
      </c>
      <c r="AG573" s="8">
        <f t="shared" si="159"/>
        <v>0.61616774367331084</v>
      </c>
      <c r="AH573" s="8">
        <f t="shared" si="160"/>
        <v>-7.0299499684605249E-2</v>
      </c>
      <c r="AI573" s="8">
        <f t="shared" si="161"/>
        <v>0.7844713455573985</v>
      </c>
      <c r="AJ573" s="8"/>
      <c r="AK573" s="8"/>
      <c r="AL573" s="8"/>
      <c r="AN573" s="8">
        <f t="shared" si="167"/>
        <v>1</v>
      </c>
      <c r="AO573" s="8">
        <f t="shared" si="168"/>
        <v>6.1695850184616088</v>
      </c>
      <c r="AP573" s="8">
        <f t="shared" si="169"/>
        <v>0.6689531014519442</v>
      </c>
      <c r="AQ573" s="8"/>
      <c r="AR573" s="8">
        <f t="shared" si="170"/>
        <v>353.49118290499229</v>
      </c>
      <c r="AS573" s="8">
        <f t="shared" si="171"/>
        <v>51.671810594616815</v>
      </c>
    </row>
    <row r="574" spans="1:45">
      <c r="A574" s="19">
        <v>22.889533329999999</v>
      </c>
      <c r="B574" s="19">
        <v>1231.003637</v>
      </c>
      <c r="C574" s="19">
        <v>-171.51146869999999</v>
      </c>
      <c r="E574" s="9">
        <f t="shared" si="157"/>
        <v>271.00363700000003</v>
      </c>
      <c r="F574" s="9">
        <f t="shared" si="162"/>
        <v>368.48853129999998</v>
      </c>
      <c r="I574">
        <v>1</v>
      </c>
      <c r="J574">
        <f t="shared" si="158"/>
        <v>0.29431504965069177</v>
      </c>
      <c r="K574">
        <f t="shared" si="163"/>
        <v>0.93667464292275449</v>
      </c>
      <c r="O574">
        <f t="shared" si="164"/>
        <v>0.17186636801505678</v>
      </c>
      <c r="P574">
        <f t="shared" si="165"/>
        <v>0.23368979926174774</v>
      </c>
      <c r="Q574">
        <f t="shared" si="166"/>
        <v>0.95700106022214892</v>
      </c>
      <c r="R574">
        <f t="shared" si="156"/>
        <v>1</v>
      </c>
      <c r="AG574" s="8">
        <f t="shared" si="159"/>
        <v>0.61654854431028638</v>
      </c>
      <c r="AH574" s="8">
        <f t="shared" si="160"/>
        <v>-6.9991287456726309E-2</v>
      </c>
      <c r="AI574" s="8">
        <f t="shared" si="161"/>
        <v>0.78419966347162928</v>
      </c>
      <c r="AJ574" s="8"/>
      <c r="AK574" s="8"/>
      <c r="AL574" s="8"/>
      <c r="AN574" s="8">
        <f t="shared" si="167"/>
        <v>0.99999999999999989</v>
      </c>
      <c r="AO574" s="8">
        <f t="shared" si="168"/>
        <v>6.170148091617615</v>
      </c>
      <c r="AP574" s="8">
        <f t="shared" si="169"/>
        <v>0.66939106043377072</v>
      </c>
      <c r="AQ574" s="8"/>
      <c r="AR574" s="8">
        <f t="shared" si="170"/>
        <v>353.52344462038855</v>
      </c>
      <c r="AS574" s="8">
        <f t="shared" si="171"/>
        <v>51.646717393358308</v>
      </c>
    </row>
    <row r="575" spans="1:45">
      <c r="A575" s="19">
        <v>22.922899999999998</v>
      </c>
      <c r="B575" s="19">
        <v>1231.3343669999999</v>
      </c>
      <c r="C575" s="19">
        <v>-171.59713869999999</v>
      </c>
      <c r="E575" s="9">
        <f t="shared" si="157"/>
        <v>271.33436699999993</v>
      </c>
      <c r="F575" s="9">
        <f t="shared" si="162"/>
        <v>368.40286130000004</v>
      </c>
      <c r="I575">
        <v>1</v>
      </c>
      <c r="J575">
        <f t="shared" si="158"/>
        <v>0.29439284591223158</v>
      </c>
      <c r="K575">
        <f t="shared" si="163"/>
        <v>0.93598139119217338</v>
      </c>
      <c r="O575">
        <f t="shared" si="164"/>
        <v>0.17207248366793865</v>
      </c>
      <c r="P575">
        <f t="shared" si="165"/>
        <v>0.23363054240108902</v>
      </c>
      <c r="Q575">
        <f t="shared" si="166"/>
        <v>0.95697848984275502</v>
      </c>
      <c r="R575">
        <f t="shared" si="156"/>
        <v>1</v>
      </c>
      <c r="AG575" s="8">
        <f t="shared" si="159"/>
        <v>0.61663482345378762</v>
      </c>
      <c r="AH575" s="8">
        <f t="shared" si="160"/>
        <v>-6.980029533041518E-2</v>
      </c>
      <c r="AI575" s="8">
        <f t="shared" si="161"/>
        <v>0.78414884637797122</v>
      </c>
      <c r="AJ575" s="8"/>
      <c r="AK575" s="8"/>
      <c r="AL575" s="8"/>
      <c r="AN575" s="8">
        <f t="shared" si="167"/>
        <v>1</v>
      </c>
      <c r="AO575" s="8">
        <f t="shared" si="168"/>
        <v>6.1704695772476583</v>
      </c>
      <c r="AP575" s="8">
        <f t="shared" si="169"/>
        <v>0.66947295207314472</v>
      </c>
      <c r="AQ575" s="8"/>
      <c r="AR575" s="8">
        <f t="shared" si="170"/>
        <v>353.54186439016411</v>
      </c>
      <c r="AS575" s="8">
        <f t="shared" si="171"/>
        <v>51.642025348044768</v>
      </c>
    </row>
    <row r="576" spans="1:45">
      <c r="A576" s="19">
        <v>22.956266670000002</v>
      </c>
      <c r="B576" s="19">
        <v>1232.496625</v>
      </c>
      <c r="C576" s="19">
        <v>-171.55720830000001</v>
      </c>
      <c r="E576" s="9">
        <f t="shared" si="157"/>
        <v>272.49662499999999</v>
      </c>
      <c r="F576" s="9">
        <f t="shared" si="162"/>
        <v>368.44279169999999</v>
      </c>
      <c r="I576">
        <v>1</v>
      </c>
      <c r="J576">
        <f t="shared" si="158"/>
        <v>0.29483509719170786</v>
      </c>
      <c r="K576">
        <f t="shared" si="163"/>
        <v>0.93399093950472412</v>
      </c>
      <c r="O576">
        <f t="shared" si="164"/>
        <v>0.17278881818481578</v>
      </c>
      <c r="P576">
        <f t="shared" si="165"/>
        <v>0.23362782767147025</v>
      </c>
      <c r="Q576">
        <f t="shared" si="166"/>
        <v>0.95685007312943471</v>
      </c>
      <c r="R576">
        <f t="shared" si="156"/>
        <v>1</v>
      </c>
      <c r="AG576" s="8">
        <f t="shared" si="159"/>
        <v>0.61677652940560745</v>
      </c>
      <c r="AH576" s="8">
        <f t="shared" si="160"/>
        <v>-6.908810682802824E-2</v>
      </c>
      <c r="AI576" s="8">
        <f t="shared" si="161"/>
        <v>0.78410046949947221</v>
      </c>
      <c r="AJ576" s="8"/>
      <c r="AK576" s="8"/>
      <c r="AL576" s="8"/>
      <c r="AN576" s="8">
        <f t="shared" si="167"/>
        <v>1</v>
      </c>
      <c r="AO576" s="8">
        <f t="shared" si="168"/>
        <v>6.1716354948847618</v>
      </c>
      <c r="AP576" s="8">
        <f t="shared" si="169"/>
        <v>0.66955090343836898</v>
      </c>
      <c r="AQ576" s="8"/>
      <c r="AR576" s="8">
        <f t="shared" si="170"/>
        <v>353.60866655003002</v>
      </c>
      <c r="AS576" s="8">
        <f t="shared" si="171"/>
        <v>51.637559063810137</v>
      </c>
    </row>
    <row r="577" spans="1:45">
      <c r="A577" s="19">
        <v>22.98963333</v>
      </c>
      <c r="B577" s="19">
        <v>1232.897424</v>
      </c>
      <c r="C577" s="19">
        <v>-171.90292350000001</v>
      </c>
      <c r="E577" s="9">
        <f t="shared" si="157"/>
        <v>272.897424</v>
      </c>
      <c r="F577" s="9">
        <f t="shared" si="162"/>
        <v>368.09707649999996</v>
      </c>
      <c r="I577">
        <v>1</v>
      </c>
      <c r="J577">
        <f t="shared" si="158"/>
        <v>0.29481102324273667</v>
      </c>
      <c r="K577">
        <f t="shared" si="163"/>
        <v>0.9328390663924726</v>
      </c>
      <c r="O577">
        <f t="shared" si="164"/>
        <v>0.17304409433774401</v>
      </c>
      <c r="P577">
        <f t="shared" si="165"/>
        <v>0.23341013739768299</v>
      </c>
      <c r="Q577">
        <f t="shared" si="166"/>
        <v>0.95685706831000872</v>
      </c>
      <c r="R577">
        <f t="shared" si="156"/>
        <v>1</v>
      </c>
      <c r="AG577" s="8">
        <f t="shared" si="159"/>
        <v>0.61699528736718057</v>
      </c>
      <c r="AH577" s="8">
        <f t="shared" si="160"/>
        <v>-6.8885785499728625E-2</v>
      </c>
      <c r="AI577" s="8">
        <f t="shared" si="161"/>
        <v>0.78394614861148193</v>
      </c>
      <c r="AJ577" s="8"/>
      <c r="AK577" s="8"/>
      <c r="AL577" s="8"/>
      <c r="AN577" s="8">
        <f t="shared" si="167"/>
        <v>1</v>
      </c>
      <c r="AO577" s="8">
        <f t="shared" si="168"/>
        <v>6.1719985831975723</v>
      </c>
      <c r="AP577" s="8">
        <f t="shared" si="169"/>
        <v>0.66979951482537559</v>
      </c>
      <c r="AQ577" s="8"/>
      <c r="AR577" s="8">
        <f t="shared" si="170"/>
        <v>353.62946997794461</v>
      </c>
      <c r="AS577" s="8">
        <f t="shared" si="171"/>
        <v>51.623314680595769</v>
      </c>
    </row>
    <row r="578" spans="1:45">
      <c r="A578" s="19">
        <v>23.023</v>
      </c>
      <c r="B578" s="19">
        <v>1233.9263040000001</v>
      </c>
      <c r="C578" s="19">
        <v>-172.23264140000001</v>
      </c>
      <c r="E578" s="9">
        <f t="shared" si="157"/>
        <v>273.92630400000007</v>
      </c>
      <c r="F578" s="9">
        <f t="shared" si="162"/>
        <v>367.76735859999997</v>
      </c>
      <c r="I578">
        <v>1</v>
      </c>
      <c r="J578">
        <f t="shared" si="158"/>
        <v>0.29502468687828715</v>
      </c>
      <c r="K578">
        <f t="shared" si="163"/>
        <v>0.93060849077564056</v>
      </c>
      <c r="O578">
        <f t="shared" si="164"/>
        <v>0.17368642317353367</v>
      </c>
      <c r="P578">
        <f t="shared" si="165"/>
        <v>0.23318752577778107</v>
      </c>
      <c r="Q578">
        <f t="shared" si="166"/>
        <v>0.95679496457016378</v>
      </c>
      <c r="R578">
        <f t="shared" si="156"/>
        <v>1</v>
      </c>
      <c r="AG578" s="8">
        <f t="shared" si="159"/>
        <v>0.61729288965993678</v>
      </c>
      <c r="AH578" s="8">
        <f t="shared" si="160"/>
        <v>-6.8299315206344441E-2</v>
      </c>
      <c r="AI578" s="8">
        <f t="shared" si="161"/>
        <v>0.78376316060250595</v>
      </c>
      <c r="AJ578" s="8"/>
      <c r="AK578" s="8"/>
      <c r="AL578" s="8"/>
      <c r="AN578" s="8">
        <f t="shared" si="167"/>
        <v>1</v>
      </c>
      <c r="AO578" s="8">
        <f t="shared" si="168"/>
        <v>6.1729902272766921</v>
      </c>
      <c r="AP578" s="8">
        <f t="shared" si="169"/>
        <v>0.67009420792319052</v>
      </c>
      <c r="AQ578" s="8"/>
      <c r="AR578" s="8">
        <f t="shared" si="170"/>
        <v>353.68628699845726</v>
      </c>
      <c r="AS578" s="8">
        <f t="shared" si="171"/>
        <v>51.606430009839336</v>
      </c>
    </row>
    <row r="579" spans="1:45">
      <c r="A579" s="19">
        <v>23.056366669999999</v>
      </c>
      <c r="B579" s="19">
        <v>1234.2623410000001</v>
      </c>
      <c r="C579" s="19">
        <v>-172.6532794</v>
      </c>
      <c r="E579" s="9">
        <f t="shared" si="157"/>
        <v>274.26234100000011</v>
      </c>
      <c r="F579" s="9">
        <f t="shared" si="162"/>
        <v>367.34672060000003</v>
      </c>
      <c r="I579">
        <v>1</v>
      </c>
      <c r="J579">
        <f t="shared" si="158"/>
        <v>0.29494124045830872</v>
      </c>
      <c r="K579">
        <f t="shared" si="163"/>
        <v>0.92947253530794616</v>
      </c>
      <c r="O579">
        <f t="shared" si="164"/>
        <v>0.17390343561019458</v>
      </c>
      <c r="P579">
        <f t="shared" si="165"/>
        <v>0.23292609747131932</v>
      </c>
      <c r="Q579">
        <f t="shared" si="166"/>
        <v>0.95681922440958111</v>
      </c>
      <c r="R579">
        <f t="shared" si="156"/>
        <v>1</v>
      </c>
      <c r="AG579" s="8">
        <f t="shared" si="159"/>
        <v>0.617537945009205</v>
      </c>
      <c r="AH579" s="8">
        <f t="shared" si="160"/>
        <v>-6.8145380718429877E-2</v>
      </c>
      <c r="AI579" s="8">
        <f t="shared" si="161"/>
        <v>0.78358349495158985</v>
      </c>
      <c r="AJ579" s="8"/>
      <c r="AK579" s="8"/>
      <c r="AL579" s="8"/>
      <c r="AN579" s="8">
        <f t="shared" si="167"/>
        <v>1</v>
      </c>
      <c r="AO579" s="8">
        <f t="shared" si="168"/>
        <v>6.173279868374256</v>
      </c>
      <c r="AP579" s="8">
        <f t="shared" si="169"/>
        <v>0.6703834439386851</v>
      </c>
      <c r="AQ579" s="8"/>
      <c r="AR579" s="8">
        <f t="shared" si="170"/>
        <v>353.70288221092125</v>
      </c>
      <c r="AS579" s="8">
        <f t="shared" si="171"/>
        <v>51.589858006868312</v>
      </c>
    </row>
    <row r="580" spans="1:45">
      <c r="A580" s="19">
        <v>23.089733330000001</v>
      </c>
      <c r="B580" s="19">
        <v>1234.42489</v>
      </c>
      <c r="C580" s="19">
        <v>-172.86623460000001</v>
      </c>
      <c r="E580" s="9">
        <f t="shared" si="157"/>
        <v>274.42489</v>
      </c>
      <c r="F580" s="9">
        <f t="shared" si="162"/>
        <v>367.13376540000002</v>
      </c>
      <c r="I580">
        <v>1</v>
      </c>
      <c r="J580">
        <f t="shared" si="158"/>
        <v>0.29489635435533201</v>
      </c>
      <c r="K580">
        <f t="shared" si="163"/>
        <v>0.92891041883169789</v>
      </c>
      <c r="O580">
        <f t="shared" si="164"/>
        <v>0.17400862634798003</v>
      </c>
      <c r="P580">
        <f t="shared" si="165"/>
        <v>0.23279390657026616</v>
      </c>
      <c r="Q580">
        <f t="shared" si="166"/>
        <v>0.95683227110097158</v>
      </c>
      <c r="R580">
        <f t="shared" si="156"/>
        <v>1</v>
      </c>
      <c r="AG580" s="8">
        <f t="shared" si="159"/>
        <v>0.6176609437100089</v>
      </c>
      <c r="AH580" s="8">
        <f t="shared" si="160"/>
        <v>-6.8072052123193644E-2</v>
      </c>
      <c r="AI580" s="8">
        <f t="shared" si="161"/>
        <v>0.78349291913520092</v>
      </c>
      <c r="AJ580" s="8"/>
      <c r="AK580" s="8"/>
      <c r="AL580" s="8"/>
      <c r="AN580" s="8">
        <f t="shared" si="167"/>
        <v>1</v>
      </c>
      <c r="AO580" s="8">
        <f t="shared" si="168"/>
        <v>6.1734188723880976</v>
      </c>
      <c r="AP580" s="8">
        <f t="shared" si="169"/>
        <v>0.6705292180575696</v>
      </c>
      <c r="AQ580" s="8"/>
      <c r="AR580" s="8">
        <f t="shared" si="170"/>
        <v>353.71084655424971</v>
      </c>
      <c r="AS580" s="8">
        <f t="shared" si="171"/>
        <v>51.581505765093993</v>
      </c>
    </row>
    <row r="581" spans="1:45">
      <c r="A581" s="19">
        <v>23.123100000000001</v>
      </c>
      <c r="B581" s="19">
        <v>1235.1631629999999</v>
      </c>
      <c r="C581" s="19">
        <v>-173.5580765</v>
      </c>
      <c r="E581" s="9">
        <f t="shared" si="157"/>
        <v>275.16316299999994</v>
      </c>
      <c r="F581" s="9">
        <f t="shared" si="162"/>
        <v>366.44192350000003</v>
      </c>
      <c r="I581">
        <v>1</v>
      </c>
      <c r="J581">
        <f t="shared" si="158"/>
        <v>0.29482838296386571</v>
      </c>
      <c r="K581">
        <f t="shared" si="163"/>
        <v>0.92671611175307977</v>
      </c>
      <c r="O581">
        <f t="shared" si="164"/>
        <v>0.17447997547106245</v>
      </c>
      <c r="P581">
        <f t="shared" si="165"/>
        <v>0.23235951036021837</v>
      </c>
      <c r="Q581">
        <f t="shared" si="166"/>
        <v>0.95685202414207027</v>
      </c>
      <c r="R581">
        <f t="shared" si="156"/>
        <v>1</v>
      </c>
      <c r="AG581" s="8">
        <f t="shared" si="159"/>
        <v>0.6180892786788742</v>
      </c>
      <c r="AH581" s="8">
        <f t="shared" si="160"/>
        <v>-6.7705885902811014E-2</v>
      </c>
      <c r="AI581" s="8">
        <f t="shared" si="161"/>
        <v>0.78318679546858072</v>
      </c>
      <c r="AJ581" s="8"/>
      <c r="AK581" s="8"/>
      <c r="AL581" s="8"/>
      <c r="AN581" s="8">
        <f t="shared" si="167"/>
        <v>1</v>
      </c>
      <c r="AO581" s="8">
        <f t="shared" si="168"/>
        <v>6.1740796860353591</v>
      </c>
      <c r="AP581" s="8">
        <f t="shared" si="169"/>
        <v>0.67102170005696737</v>
      </c>
      <c r="AQ581" s="8"/>
      <c r="AR581" s="8">
        <f t="shared" si="170"/>
        <v>353.74870838728248</v>
      </c>
      <c r="AS581" s="8">
        <f t="shared" si="171"/>
        <v>51.553288625042335</v>
      </c>
    </row>
    <row r="582" spans="1:45">
      <c r="A582" s="19">
        <v>23.15646667</v>
      </c>
      <c r="B582" s="19">
        <v>1236.538783</v>
      </c>
      <c r="C582" s="19">
        <v>-173.85673990000001</v>
      </c>
      <c r="E582" s="9">
        <f t="shared" si="157"/>
        <v>276.53878299999997</v>
      </c>
      <c r="F582" s="9">
        <f t="shared" si="162"/>
        <v>366.14326010000002</v>
      </c>
      <c r="I582">
        <v>1</v>
      </c>
      <c r="J582">
        <f t="shared" si="158"/>
        <v>0.29518890871203651</v>
      </c>
      <c r="K582">
        <f t="shared" si="163"/>
        <v>0.92392787503663265</v>
      </c>
      <c r="O582">
        <f t="shared" si="164"/>
        <v>0.1753350683428164</v>
      </c>
      <c r="P582">
        <f t="shared" si="165"/>
        <v>0.23214737852120768</v>
      </c>
      <c r="Q582">
        <f t="shared" si="166"/>
        <v>0.95674720195825558</v>
      </c>
      <c r="R582">
        <f t="shared" si="156"/>
        <v>1</v>
      </c>
      <c r="AG582" s="8">
        <f t="shared" si="159"/>
        <v>0.61841886967632786</v>
      </c>
      <c r="AH582" s="8">
        <f t="shared" si="160"/>
        <v>-6.6904683222455491E-2</v>
      </c>
      <c r="AI582" s="8">
        <f t="shared" si="161"/>
        <v>0.78299544378697128</v>
      </c>
      <c r="AJ582" s="8"/>
      <c r="AK582" s="8"/>
      <c r="AL582" s="8"/>
      <c r="AN582" s="8">
        <f t="shared" si="167"/>
        <v>1.0000000000000002</v>
      </c>
      <c r="AO582" s="8">
        <f t="shared" si="168"/>
        <v>6.175417774614405</v>
      </c>
      <c r="AP582" s="8">
        <f t="shared" si="169"/>
        <v>0.6713293854351331</v>
      </c>
      <c r="AQ582" s="8"/>
      <c r="AR582" s="8">
        <f t="shared" si="170"/>
        <v>353.82537521547647</v>
      </c>
      <c r="AS582" s="8">
        <f t="shared" si="171"/>
        <v>51.535659551455552</v>
      </c>
    </row>
    <row r="583" spans="1:45">
      <c r="A583" s="19">
        <v>23.189833329999999</v>
      </c>
      <c r="B583" s="19">
        <v>1236.9250589999999</v>
      </c>
      <c r="C583" s="19">
        <v>-173.84870430000001</v>
      </c>
      <c r="E583" s="9">
        <f t="shared" si="157"/>
        <v>276.92505899999992</v>
      </c>
      <c r="F583" s="9">
        <f t="shared" si="162"/>
        <v>366.15129569999999</v>
      </c>
      <c r="I583">
        <v>1</v>
      </c>
      <c r="J583">
        <f t="shared" si="158"/>
        <v>0.2953353814904725</v>
      </c>
      <c r="K583">
        <f t="shared" si="163"/>
        <v>0.92326699721096395</v>
      </c>
      <c r="O583">
        <f t="shared" si="164"/>
        <v>0.17557298258671419</v>
      </c>
      <c r="P583">
        <f t="shared" si="165"/>
        <v>0.23214322061059472</v>
      </c>
      <c r="Q583">
        <f t="shared" si="166"/>
        <v>0.95670457974765966</v>
      </c>
      <c r="R583">
        <f t="shared" si="156"/>
        <v>1</v>
      </c>
      <c r="AG583" s="8">
        <f t="shared" si="159"/>
        <v>0.61846790304477506</v>
      </c>
      <c r="AH583" s="8">
        <f t="shared" si="160"/>
        <v>-6.666870255413182E-2</v>
      </c>
      <c r="AI583" s="8">
        <f t="shared" si="161"/>
        <v>0.78297684321003225</v>
      </c>
      <c r="AJ583" s="8"/>
      <c r="AK583" s="8"/>
      <c r="AL583" s="8"/>
      <c r="AN583" s="8">
        <f t="shared" si="167"/>
        <v>1</v>
      </c>
      <c r="AO583" s="8">
        <f t="shared" si="168"/>
        <v>6.1758034113526339</v>
      </c>
      <c r="AP583" s="8">
        <f t="shared" si="169"/>
        <v>0.67135928801773415</v>
      </c>
      <c r="AQ583" s="8"/>
      <c r="AR583" s="8">
        <f t="shared" si="170"/>
        <v>353.84747057300217</v>
      </c>
      <c r="AS583" s="8">
        <f t="shared" si="171"/>
        <v>51.533946259675972</v>
      </c>
    </row>
    <row r="584" spans="1:45">
      <c r="A584" s="19">
        <v>23.223199999999999</v>
      </c>
      <c r="B584" s="19">
        <v>1237.338982</v>
      </c>
      <c r="C584" s="19">
        <v>-173.8761682</v>
      </c>
      <c r="E584" s="9">
        <f t="shared" si="157"/>
        <v>277.33898199999999</v>
      </c>
      <c r="F584" s="9">
        <f t="shared" si="162"/>
        <v>366.1238318</v>
      </c>
      <c r="I584">
        <v>1</v>
      </c>
      <c r="J584">
        <f t="shared" si="158"/>
        <v>0.2954748621904833</v>
      </c>
      <c r="K584">
        <f t="shared" si="163"/>
        <v>0.92251216111917433</v>
      </c>
      <c r="O584">
        <f t="shared" si="164"/>
        <v>0.17582873570761443</v>
      </c>
      <c r="P584">
        <f t="shared" si="165"/>
        <v>0.23211699269099242</v>
      </c>
      <c r="Q584">
        <f t="shared" si="166"/>
        <v>0.95666397308749518</v>
      </c>
      <c r="R584">
        <f t="shared" si="156"/>
        <v>1</v>
      </c>
      <c r="AG584" s="8">
        <f t="shared" si="159"/>
        <v>0.6185374431165821</v>
      </c>
      <c r="AH584" s="8">
        <f t="shared" si="160"/>
        <v>-6.6420171909173903E-2</v>
      </c>
      <c r="AI584" s="8">
        <f t="shared" si="161"/>
        <v>0.78294303255495978</v>
      </c>
      <c r="AJ584" s="8"/>
      <c r="AK584" s="8"/>
      <c r="AL584" s="8"/>
      <c r="AN584" s="8">
        <f t="shared" si="167"/>
        <v>1</v>
      </c>
      <c r="AO584" s="8">
        <f t="shared" si="168"/>
        <v>6.1762125977224116</v>
      </c>
      <c r="AP584" s="8">
        <f t="shared" si="169"/>
        <v>0.67141363968120404</v>
      </c>
      <c r="AQ584" s="8"/>
      <c r="AR584" s="8">
        <f t="shared" si="170"/>
        <v>353.8709152250247</v>
      </c>
      <c r="AS584" s="8">
        <f t="shared" si="171"/>
        <v>51.530832138749631</v>
      </c>
    </row>
    <row r="585" spans="1:45">
      <c r="A585" s="19">
        <v>23.256566670000002</v>
      </c>
      <c r="B585" s="19">
        <v>1238.1349270000001</v>
      </c>
      <c r="C585" s="19">
        <v>-174.1000009</v>
      </c>
      <c r="E585" s="9">
        <f t="shared" si="157"/>
        <v>278.13492700000006</v>
      </c>
      <c r="F585" s="9">
        <f t="shared" si="162"/>
        <v>365.8999991</v>
      </c>
      <c r="I585">
        <v>1</v>
      </c>
      <c r="J585">
        <f t="shared" si="158"/>
        <v>0.29566017476403433</v>
      </c>
      <c r="K585">
        <f t="shared" si="163"/>
        <v>0.92083765769844483</v>
      </c>
      <c r="O585">
        <f t="shared" si="164"/>
        <v>0.17632444942967576</v>
      </c>
      <c r="P585">
        <f t="shared" si="165"/>
        <v>0.23196337325742028</v>
      </c>
      <c r="Q585">
        <f t="shared" si="166"/>
        <v>0.95660999472113006</v>
      </c>
      <c r="R585">
        <f t="shared" si="156"/>
        <v>1</v>
      </c>
      <c r="AG585" s="8">
        <f t="shared" si="159"/>
        <v>0.61875181299557247</v>
      </c>
      <c r="AH585" s="8">
        <f t="shared" si="160"/>
        <v>-6.5962787493757752E-2</v>
      </c>
      <c r="AI585" s="8">
        <f t="shared" si="161"/>
        <v>0.78281230482200881</v>
      </c>
      <c r="AJ585" s="8"/>
      <c r="AK585" s="8"/>
      <c r="AL585" s="8"/>
      <c r="AN585" s="8">
        <f t="shared" si="167"/>
        <v>1</v>
      </c>
      <c r="AO585" s="8">
        <f t="shared" si="168"/>
        <v>6.1769802183681275</v>
      </c>
      <c r="AP585" s="8">
        <f t="shared" si="169"/>
        <v>0.67162375354786163</v>
      </c>
      <c r="AQ585" s="8"/>
      <c r="AR585" s="8">
        <f t="shared" si="170"/>
        <v>353.91489664829135</v>
      </c>
      <c r="AS585" s="8">
        <f t="shared" si="171"/>
        <v>51.518793500972976</v>
      </c>
    </row>
    <row r="586" spans="1:45">
      <c r="A586" s="19">
        <v>23.28993333</v>
      </c>
      <c r="B586" s="19">
        <v>1238.9905289999999</v>
      </c>
      <c r="C586" s="19">
        <v>-174.53628309999999</v>
      </c>
      <c r="E586" s="9">
        <f t="shared" si="157"/>
        <v>278.99052899999992</v>
      </c>
      <c r="F586" s="9">
        <f t="shared" si="162"/>
        <v>365.46371690000001</v>
      </c>
      <c r="I586">
        <v>1</v>
      </c>
      <c r="J586">
        <f t="shared" si="158"/>
        <v>0.29576506041104533</v>
      </c>
      <c r="K586">
        <f t="shared" si="163"/>
        <v>0.91878196444413751</v>
      </c>
      <c r="O586">
        <f t="shared" si="164"/>
        <v>0.17686180304515267</v>
      </c>
      <c r="P586">
        <f t="shared" si="165"/>
        <v>0.23168016545291847</v>
      </c>
      <c r="Q586">
        <f t="shared" si="166"/>
        <v>0.95657942877699709</v>
      </c>
      <c r="R586">
        <f t="shared" si="156"/>
        <v>1</v>
      </c>
      <c r="AG586" s="8">
        <f t="shared" si="159"/>
        <v>0.61907444557069291</v>
      </c>
      <c r="AH586" s="8">
        <f t="shared" si="160"/>
        <v>-6.5494568253125163E-2</v>
      </c>
      <c r="AI586" s="8">
        <f t="shared" si="161"/>
        <v>0.78259650674576609</v>
      </c>
      <c r="AJ586" s="8"/>
      <c r="AK586" s="8"/>
      <c r="AL586" s="8"/>
      <c r="AN586" s="8">
        <f t="shared" si="167"/>
        <v>1</v>
      </c>
      <c r="AO586" s="8">
        <f t="shared" si="168"/>
        <v>6.1777830432100727</v>
      </c>
      <c r="AP586" s="8">
        <f t="shared" si="169"/>
        <v>0.67197047638839924</v>
      </c>
      <c r="AQ586" s="8"/>
      <c r="AR586" s="8">
        <f t="shared" si="170"/>
        <v>353.96089512342303</v>
      </c>
      <c r="AS586" s="8">
        <f t="shared" si="171"/>
        <v>51.498927745549388</v>
      </c>
    </row>
    <row r="587" spans="1:45">
      <c r="A587" s="19">
        <v>23.3233</v>
      </c>
      <c r="B587" s="19">
        <v>1239.442202</v>
      </c>
      <c r="C587" s="19">
        <v>-174.78899989999999</v>
      </c>
      <c r="E587" s="9">
        <f t="shared" si="157"/>
        <v>279.44220199999995</v>
      </c>
      <c r="F587" s="9">
        <f t="shared" si="162"/>
        <v>365.21100009999998</v>
      </c>
      <c r="I587">
        <v>1</v>
      </c>
      <c r="J587">
        <f t="shared" si="158"/>
        <v>0.29581001995979761</v>
      </c>
      <c r="K587">
        <f t="shared" si="163"/>
        <v>0.91766777942467925</v>
      </c>
      <c r="O587">
        <f t="shared" si="164"/>
        <v>0.17714596207095593</v>
      </c>
      <c r="P587">
        <f t="shared" si="165"/>
        <v>0.23151712056581375</v>
      </c>
      <c r="Q587">
        <f t="shared" si="166"/>
        <v>0.95656632337066405</v>
      </c>
      <c r="R587">
        <f t="shared" si="156"/>
        <v>1</v>
      </c>
      <c r="AG587" s="8">
        <f t="shared" si="159"/>
        <v>0.61925524081527028</v>
      </c>
      <c r="AH587" s="8">
        <f t="shared" si="160"/>
        <v>-6.5250073309292556E-2</v>
      </c>
      <c r="AI587" s="8">
        <f t="shared" si="161"/>
        <v>0.78247388113339189</v>
      </c>
      <c r="AJ587" s="8"/>
      <c r="AK587" s="8"/>
      <c r="AL587" s="8"/>
      <c r="AN587" s="8">
        <f t="shared" si="167"/>
        <v>1</v>
      </c>
      <c r="AO587" s="8">
        <f t="shared" si="168"/>
        <v>6.1782040581970055</v>
      </c>
      <c r="AP587" s="8">
        <f t="shared" si="169"/>
        <v>0.67216743167645221</v>
      </c>
      <c r="AQ587" s="8"/>
      <c r="AR587" s="8">
        <f t="shared" si="170"/>
        <v>353.98501750528607</v>
      </c>
      <c r="AS587" s="8">
        <f t="shared" si="171"/>
        <v>51.48764303879117</v>
      </c>
    </row>
    <row r="588" spans="1:45">
      <c r="A588" s="19">
        <v>23.356666669999999</v>
      </c>
      <c r="B588" s="19">
        <v>1240.190396</v>
      </c>
      <c r="C588" s="19">
        <v>-175.16011</v>
      </c>
      <c r="E588" s="9">
        <f t="shared" si="157"/>
        <v>280.19039599999996</v>
      </c>
      <c r="F588" s="9">
        <f t="shared" si="162"/>
        <v>364.83988999999997</v>
      </c>
      <c r="I588">
        <v>1</v>
      </c>
      <c r="J588">
        <f t="shared" si="158"/>
        <v>0.295908315741233</v>
      </c>
      <c r="K588">
        <f t="shared" si="163"/>
        <v>0.91588584172258214</v>
      </c>
      <c r="O588">
        <f t="shared" si="164"/>
        <v>0.17761549923108658</v>
      </c>
      <c r="P588">
        <f t="shared" si="165"/>
        <v>0.23127566157465551</v>
      </c>
      <c r="Q588">
        <f t="shared" si="166"/>
        <v>0.95653766407606622</v>
      </c>
      <c r="R588">
        <f t="shared" si="156"/>
        <v>1</v>
      </c>
      <c r="AG588" s="8">
        <f t="shared" si="159"/>
        <v>0.61953213468743773</v>
      </c>
      <c r="AH588" s="8">
        <f t="shared" si="160"/>
        <v>-6.4839380025386917E-2</v>
      </c>
      <c r="AI588" s="8">
        <f t="shared" si="161"/>
        <v>0.78228881424161378</v>
      </c>
      <c r="AJ588" s="8"/>
      <c r="AK588" s="8"/>
      <c r="AL588" s="8"/>
      <c r="AN588" s="8">
        <f t="shared" si="167"/>
        <v>1.0000000000000002</v>
      </c>
      <c r="AO588" s="8">
        <f t="shared" si="168"/>
        <v>6.1789063160185105</v>
      </c>
      <c r="AP588" s="8">
        <f t="shared" si="169"/>
        <v>0.67246458484642491</v>
      </c>
      <c r="AQ588" s="8"/>
      <c r="AR588" s="8">
        <f t="shared" si="170"/>
        <v>354.02525391458835</v>
      </c>
      <c r="AS588" s="8">
        <f t="shared" si="171"/>
        <v>51.470617416282799</v>
      </c>
    </row>
    <row r="589" spans="1:45">
      <c r="A589" s="19">
        <v>23.390033330000001</v>
      </c>
      <c r="B589" s="19">
        <v>1240.5736910000001</v>
      </c>
      <c r="C589" s="19">
        <v>-175.54370259999999</v>
      </c>
      <c r="E589" s="9">
        <f t="shared" si="157"/>
        <v>280.57369100000005</v>
      </c>
      <c r="F589" s="9">
        <f t="shared" si="162"/>
        <v>364.45629740000004</v>
      </c>
      <c r="I589">
        <v>1</v>
      </c>
      <c r="J589">
        <f t="shared" si="158"/>
        <v>0.29586521060572224</v>
      </c>
      <c r="K589">
        <f t="shared" si="163"/>
        <v>0.91471693385525044</v>
      </c>
      <c r="O589">
        <f t="shared" si="164"/>
        <v>0.17786056566001268</v>
      </c>
      <c r="P589">
        <f t="shared" si="165"/>
        <v>0.23103521567857124</v>
      </c>
      <c r="Q589">
        <f t="shared" si="166"/>
        <v>0.95655023302462083</v>
      </c>
      <c r="R589">
        <f t="shared" si="156"/>
        <v>1</v>
      </c>
      <c r="AG589" s="8">
        <f t="shared" si="159"/>
        <v>0.61976524895173402</v>
      </c>
      <c r="AH589" s="8">
        <f t="shared" si="160"/>
        <v>-6.465211118365477E-2</v>
      </c>
      <c r="AI589" s="8">
        <f t="shared" si="161"/>
        <v>0.78211964603332373</v>
      </c>
      <c r="AJ589" s="8"/>
      <c r="AK589" s="8"/>
      <c r="AL589" s="8"/>
      <c r="AN589" s="8">
        <f t="shared" si="167"/>
        <v>1.0000000000000002</v>
      </c>
      <c r="AO589" s="8">
        <f t="shared" si="168"/>
        <v>6.1792441541015339</v>
      </c>
      <c r="AP589" s="8">
        <f t="shared" si="169"/>
        <v>0.67273611327233385</v>
      </c>
      <c r="AQ589" s="8"/>
      <c r="AR589" s="8">
        <f t="shared" si="170"/>
        <v>354.04461061090439</v>
      </c>
      <c r="AS589" s="8">
        <f t="shared" si="171"/>
        <v>51.455059983460387</v>
      </c>
    </row>
    <row r="590" spans="1:45">
      <c r="A590" s="19">
        <v>23.423400000000001</v>
      </c>
      <c r="B590" s="19">
        <v>1241.2412039999999</v>
      </c>
      <c r="C590" s="19">
        <v>-175.76626469999999</v>
      </c>
      <c r="E590" s="9">
        <f t="shared" si="157"/>
        <v>281.24120399999993</v>
      </c>
      <c r="F590" s="9">
        <f t="shared" si="162"/>
        <v>364.23373530000003</v>
      </c>
      <c r="I590">
        <v>1</v>
      </c>
      <c r="J590">
        <f t="shared" si="158"/>
        <v>0.29600673177116116</v>
      </c>
      <c r="K590">
        <f t="shared" si="163"/>
        <v>0.91327249598993143</v>
      </c>
      <c r="O590">
        <f t="shared" si="164"/>
        <v>0.17827682808400111</v>
      </c>
      <c r="P590">
        <f t="shared" si="165"/>
        <v>0.23088521200638751</v>
      </c>
      <c r="Q590">
        <f t="shared" si="166"/>
        <v>0.95650896046251077</v>
      </c>
      <c r="R590">
        <f t="shared" si="156"/>
        <v>1</v>
      </c>
      <c r="AG590" s="8">
        <f t="shared" si="159"/>
        <v>0.61996079382078262</v>
      </c>
      <c r="AH590" s="8">
        <f t="shared" si="160"/>
        <v>-6.4272723598943343E-2</v>
      </c>
      <c r="AI590" s="8">
        <f t="shared" si="161"/>
        <v>0.78199592781949889</v>
      </c>
      <c r="AJ590" s="8"/>
      <c r="AK590" s="8"/>
      <c r="AL590" s="8"/>
      <c r="AN590" s="8">
        <f t="shared" si="167"/>
        <v>1</v>
      </c>
      <c r="AO590" s="8">
        <f t="shared" si="168"/>
        <v>6.1798821119584044</v>
      </c>
      <c r="AP590" s="8">
        <f t="shared" si="169"/>
        <v>0.67293463227086558</v>
      </c>
      <c r="AQ590" s="8"/>
      <c r="AR590" s="8">
        <f t="shared" si="170"/>
        <v>354.08116290361028</v>
      </c>
      <c r="AS590" s="8">
        <f t="shared" si="171"/>
        <v>51.443685682691353</v>
      </c>
    </row>
    <row r="591" spans="1:45">
      <c r="A591" s="19">
        <v>23.45676667</v>
      </c>
      <c r="B591" s="19">
        <v>1242.04261</v>
      </c>
      <c r="C591" s="19">
        <v>-175.78162589999999</v>
      </c>
      <c r="E591" s="9">
        <f t="shared" si="157"/>
        <v>282.04260999999997</v>
      </c>
      <c r="F591" s="9">
        <f t="shared" si="162"/>
        <v>364.21837410000001</v>
      </c>
      <c r="I591">
        <v>1</v>
      </c>
      <c r="J591">
        <f t="shared" si="158"/>
        <v>0.29629918594271992</v>
      </c>
      <c r="K591">
        <f t="shared" si="163"/>
        <v>0.91187512149033911</v>
      </c>
      <c r="O591">
        <f t="shared" si="164"/>
        <v>0.17877055115326171</v>
      </c>
      <c r="P591">
        <f t="shared" si="165"/>
        <v>0.23085703070894806</v>
      </c>
      <c r="Q591">
        <f t="shared" si="166"/>
        <v>0.95642360981554975</v>
      </c>
      <c r="R591">
        <f t="shared" si="156"/>
        <v>1</v>
      </c>
      <c r="AG591" s="8">
        <f t="shared" si="159"/>
        <v>0.62007651413663534</v>
      </c>
      <c r="AH591" s="8">
        <f t="shared" si="160"/>
        <v>-6.3787186222128173E-2</v>
      </c>
      <c r="AI591" s="8">
        <f t="shared" si="161"/>
        <v>0.78194393116771677</v>
      </c>
      <c r="AJ591" s="8"/>
      <c r="AK591" s="8"/>
      <c r="AL591" s="8"/>
      <c r="AN591" s="8">
        <f t="shared" si="167"/>
        <v>1.0000000000000004</v>
      </c>
      <c r="AO591" s="8">
        <f t="shared" si="168"/>
        <v>6.1806760207070459</v>
      </c>
      <c r="AP591" s="8">
        <f t="shared" si="169"/>
        <v>0.67301805165833473</v>
      </c>
      <c r="AQ591" s="8"/>
      <c r="AR591" s="8">
        <f t="shared" si="170"/>
        <v>354.12665052422591</v>
      </c>
      <c r="AS591" s="8">
        <f t="shared" si="171"/>
        <v>51.438906103859807</v>
      </c>
    </row>
    <row r="592" spans="1:45">
      <c r="A592" s="19">
        <v>23.490133329999999</v>
      </c>
      <c r="B592" s="19">
        <v>1242.724629</v>
      </c>
      <c r="C592" s="19">
        <v>-176.56085329999999</v>
      </c>
      <c r="E592" s="9">
        <f t="shared" si="157"/>
        <v>282.72462900000005</v>
      </c>
      <c r="F592" s="9">
        <f t="shared" si="162"/>
        <v>363.43914670000004</v>
      </c>
      <c r="I592">
        <v>1</v>
      </c>
      <c r="J592">
        <f t="shared" si="158"/>
        <v>0.2961784358321628</v>
      </c>
      <c r="K592">
        <f t="shared" si="163"/>
        <v>0.90966789470784271</v>
      </c>
      <c r="O592">
        <f t="shared" si="164"/>
        <v>0.17920875707876921</v>
      </c>
      <c r="P592">
        <f t="shared" si="165"/>
        <v>0.23037072498510719</v>
      </c>
      <c r="Q592">
        <f t="shared" si="166"/>
        <v>0.95645885978233214</v>
      </c>
      <c r="R592">
        <f t="shared" si="156"/>
        <v>1</v>
      </c>
      <c r="AG592" s="8">
        <f t="shared" si="159"/>
        <v>0.62053641477844113</v>
      </c>
      <c r="AH592" s="8">
        <f t="shared" si="160"/>
        <v>-6.3465447932985003E-2</v>
      </c>
      <c r="AI592" s="8">
        <f t="shared" si="161"/>
        <v>0.78160520395694921</v>
      </c>
      <c r="AJ592" s="8"/>
      <c r="AK592" s="8"/>
      <c r="AL592" s="8"/>
      <c r="AN592" s="8">
        <f t="shared" si="167"/>
        <v>1</v>
      </c>
      <c r="AO592" s="8">
        <f t="shared" si="168"/>
        <v>6.1812645531649935</v>
      </c>
      <c r="AP592" s="8">
        <f t="shared" si="169"/>
        <v>0.67356126578713416</v>
      </c>
      <c r="AQ592" s="8"/>
      <c r="AR592" s="8">
        <f t="shared" si="170"/>
        <v>354.16037095017282</v>
      </c>
      <c r="AS592" s="8">
        <f t="shared" si="171"/>
        <v>51.40778222690772</v>
      </c>
    </row>
    <row r="593" spans="1:45">
      <c r="A593" s="19">
        <v>23.523499999999999</v>
      </c>
      <c r="B593" s="19">
        <v>1242.7894020000001</v>
      </c>
      <c r="C593" s="19">
        <v>-176.6435626</v>
      </c>
      <c r="E593" s="9">
        <f t="shared" si="157"/>
        <v>282.78940200000011</v>
      </c>
      <c r="F593" s="9">
        <f t="shared" si="162"/>
        <v>363.3564374</v>
      </c>
      <c r="I593">
        <v>1</v>
      </c>
      <c r="J593">
        <f t="shared" si="158"/>
        <v>0.29616283687219969</v>
      </c>
      <c r="K593">
        <f t="shared" si="163"/>
        <v>0.90944656027163573</v>
      </c>
      <c r="O593">
        <f t="shared" si="164"/>
        <v>0.17925057818236759</v>
      </c>
      <c r="P593">
        <f t="shared" si="165"/>
        <v>0.23031928010596109</v>
      </c>
      <c r="Q593">
        <f t="shared" si="166"/>
        <v>0.95646341249038835</v>
      </c>
      <c r="R593">
        <f t="shared" si="156"/>
        <v>1</v>
      </c>
      <c r="AG593" s="8">
        <f t="shared" si="159"/>
        <v>0.62058418721246689</v>
      </c>
      <c r="AH593" s="8">
        <f t="shared" si="160"/>
        <v>-6.3435927272321169E-2</v>
      </c>
      <c r="AI593" s="8">
        <f t="shared" si="161"/>
        <v>0.78156967041521175</v>
      </c>
      <c r="AJ593" s="8"/>
      <c r="AK593" s="8"/>
      <c r="AL593" s="8"/>
      <c r="AN593" s="8">
        <f t="shared" si="167"/>
        <v>1</v>
      </c>
      <c r="AO593" s="8">
        <f t="shared" si="168"/>
        <v>6.1813194218039396</v>
      </c>
      <c r="AP593" s="8">
        <f t="shared" si="169"/>
        <v>0.67361822921545189</v>
      </c>
      <c r="AQ593" s="8"/>
      <c r="AR593" s="8">
        <f t="shared" si="170"/>
        <v>354.16351469161202</v>
      </c>
      <c r="AS593" s="8">
        <f t="shared" si="171"/>
        <v>51.404518462878521</v>
      </c>
    </row>
    <row r="594" spans="1:45">
      <c r="A594" s="19">
        <v>23.556866670000002</v>
      </c>
      <c r="B594" s="19">
        <v>1243.5458289999999</v>
      </c>
      <c r="C594" s="19">
        <v>-177.26217639999999</v>
      </c>
      <c r="E594" s="9">
        <f t="shared" si="157"/>
        <v>283.54582899999991</v>
      </c>
      <c r="F594" s="9">
        <f t="shared" si="162"/>
        <v>362.73782360000001</v>
      </c>
      <c r="I594">
        <v>1</v>
      </c>
      <c r="J594">
        <f t="shared" si="158"/>
        <v>0.29614903197198528</v>
      </c>
      <c r="K594">
        <f t="shared" si="163"/>
        <v>0.90732478097005309</v>
      </c>
      <c r="O594">
        <f t="shared" si="164"/>
        <v>0.17973072930640394</v>
      </c>
      <c r="P594">
        <f t="shared" si="165"/>
        <v>0.22992802896298548</v>
      </c>
      <c r="Q594">
        <f t="shared" si="166"/>
        <v>0.95646744139054973</v>
      </c>
      <c r="R594">
        <f t="shared" si="156"/>
        <v>1</v>
      </c>
      <c r="AG594" s="8">
        <f t="shared" si="159"/>
        <v>0.62097808099262441</v>
      </c>
      <c r="AH594" s="8">
        <f t="shared" si="160"/>
        <v>-6.3049722401753827E-2</v>
      </c>
      <c r="AI594" s="8">
        <f t="shared" si="161"/>
        <v>0.78128801055166552</v>
      </c>
      <c r="AJ594" s="8"/>
      <c r="AK594" s="8"/>
      <c r="AL594" s="8"/>
      <c r="AN594" s="8">
        <f t="shared" si="167"/>
        <v>1</v>
      </c>
      <c r="AO594" s="8">
        <f t="shared" si="168"/>
        <v>6.1819991362940145</v>
      </c>
      <c r="AP594" s="8">
        <f t="shared" si="169"/>
        <v>0.674069611300116</v>
      </c>
      <c r="AQ594" s="8"/>
      <c r="AR594" s="8">
        <f t="shared" si="170"/>
        <v>354.2024594631672</v>
      </c>
      <c r="AS594" s="8">
        <f t="shared" si="171"/>
        <v>51.378656174479453</v>
      </c>
    </row>
    <row r="595" spans="1:45">
      <c r="A595" s="19">
        <v>23.59023333</v>
      </c>
      <c r="B595" s="19">
        <v>1244.254917</v>
      </c>
      <c r="C595" s="19">
        <v>-177.38773190000001</v>
      </c>
      <c r="E595" s="9">
        <f t="shared" si="157"/>
        <v>284.25491699999998</v>
      </c>
      <c r="F595" s="9">
        <f t="shared" si="162"/>
        <v>362.61226809999999</v>
      </c>
      <c r="I595">
        <v>1</v>
      </c>
      <c r="J595">
        <f t="shared" si="158"/>
        <v>0.29635591601319788</v>
      </c>
      <c r="K595">
        <f t="shared" si="163"/>
        <v>0.90594444737472157</v>
      </c>
      <c r="O595">
        <f t="shared" si="164"/>
        <v>0.18017001078073286</v>
      </c>
      <c r="P595">
        <f t="shared" si="165"/>
        <v>0.22983544820370863</v>
      </c>
      <c r="Q595">
        <f t="shared" si="166"/>
        <v>0.95640704407917809</v>
      </c>
      <c r="R595">
        <f t="shared" si="156"/>
        <v>1</v>
      </c>
      <c r="AG595" s="8">
        <f t="shared" si="159"/>
        <v>0.62113279961596934</v>
      </c>
      <c r="AH595" s="8">
        <f t="shared" si="160"/>
        <v>-6.2633505593512856E-2</v>
      </c>
      <c r="AI595" s="8">
        <f t="shared" si="161"/>
        <v>0.78119849540196595</v>
      </c>
      <c r="AJ595" s="8"/>
      <c r="AK595" s="8"/>
      <c r="AL595" s="8"/>
      <c r="AN595" s="8">
        <f t="shared" si="167"/>
        <v>1</v>
      </c>
      <c r="AO595" s="8">
        <f t="shared" si="168"/>
        <v>6.1826874728189711</v>
      </c>
      <c r="AP595" s="8">
        <f t="shared" si="169"/>
        <v>0.67421301296712055</v>
      </c>
      <c r="AQ595" s="8"/>
      <c r="AR595" s="8">
        <f t="shared" si="170"/>
        <v>354.2418982409319</v>
      </c>
      <c r="AS595" s="8">
        <f t="shared" si="171"/>
        <v>51.370439864184945</v>
      </c>
    </row>
    <row r="596" spans="1:45">
      <c r="A596" s="19">
        <v>23.6236</v>
      </c>
      <c r="B596" s="19">
        <v>1244.7313079999999</v>
      </c>
      <c r="C596" s="19">
        <v>-177.4875964</v>
      </c>
      <c r="E596" s="9">
        <f t="shared" si="157"/>
        <v>284.7313079999999</v>
      </c>
      <c r="F596" s="9">
        <f t="shared" si="162"/>
        <v>362.51240359999997</v>
      </c>
      <c r="I596">
        <v>1</v>
      </c>
      <c r="J596">
        <f t="shared" si="158"/>
        <v>0.29648773447917809</v>
      </c>
      <c r="K596">
        <f t="shared" si="163"/>
        <v>0.9049974428266423</v>
      </c>
      <c r="O596">
        <f t="shared" si="164"/>
        <v>0.18046545678324671</v>
      </c>
      <c r="P596">
        <f t="shared" si="165"/>
        <v>0.2297638674327542</v>
      </c>
      <c r="Q596">
        <f t="shared" si="166"/>
        <v>0.95636853991040394</v>
      </c>
      <c r="R596">
        <f t="shared" si="156"/>
        <v>1</v>
      </c>
      <c r="AG596" s="8">
        <f t="shared" si="159"/>
        <v>0.62124397940955789</v>
      </c>
      <c r="AH596" s="8">
        <f t="shared" si="160"/>
        <v>-6.2355741776631446E-2</v>
      </c>
      <c r="AI596" s="8">
        <f t="shared" si="161"/>
        <v>0.78113230602431427</v>
      </c>
      <c r="AJ596" s="8"/>
      <c r="AK596" s="8"/>
      <c r="AL596" s="8"/>
      <c r="AN596" s="8">
        <f t="shared" si="167"/>
        <v>1</v>
      </c>
      <c r="AO596" s="8">
        <f t="shared" si="168"/>
        <v>6.183147967256506</v>
      </c>
      <c r="AP596" s="8">
        <f t="shared" si="169"/>
        <v>0.67431903061863541</v>
      </c>
      <c r="AQ596" s="8"/>
      <c r="AR596" s="8">
        <f t="shared" si="170"/>
        <v>354.26828262869191</v>
      </c>
      <c r="AS596" s="8">
        <f t="shared" si="171"/>
        <v>51.364365500199256</v>
      </c>
    </row>
    <row r="597" spans="1:45">
      <c r="A597" s="19">
        <v>23.656966669999999</v>
      </c>
      <c r="B597" s="19">
        <v>1245.469846</v>
      </c>
      <c r="C597" s="19">
        <v>-177.58151950000001</v>
      </c>
      <c r="E597" s="9">
        <f t="shared" si="157"/>
        <v>285.46984599999996</v>
      </c>
      <c r="F597" s="9">
        <f t="shared" si="162"/>
        <v>362.41848049999999</v>
      </c>
      <c r="I597">
        <v>1</v>
      </c>
      <c r="J597">
        <f t="shared" si="158"/>
        <v>0.29672182172060246</v>
      </c>
      <c r="K597">
        <f t="shared" si="163"/>
        <v>0.90361275769310145</v>
      </c>
      <c r="O597">
        <f t="shared" si="164"/>
        <v>0.18092195697494257</v>
      </c>
      <c r="P597">
        <f t="shared" si="165"/>
        <v>0.22968962100447224</v>
      </c>
      <c r="Q597">
        <f t="shared" si="166"/>
        <v>0.95630012207840842</v>
      </c>
      <c r="R597">
        <f t="shared" si="156"/>
        <v>1</v>
      </c>
      <c r="AG597" s="8">
        <f t="shared" si="159"/>
        <v>0.6213874865956095</v>
      </c>
      <c r="AH597" s="8">
        <f t="shared" si="160"/>
        <v>-6.191790651572085E-2</v>
      </c>
      <c r="AI597" s="8">
        <f t="shared" si="161"/>
        <v>0.78105298434555748</v>
      </c>
      <c r="AJ597" s="8"/>
      <c r="AK597" s="8"/>
      <c r="AL597" s="8"/>
      <c r="AN597" s="8">
        <f t="shared" si="167"/>
        <v>1</v>
      </c>
      <c r="AO597" s="8">
        <f t="shared" si="168"/>
        <v>6.183868549887535</v>
      </c>
      <c r="AP597" s="8">
        <f t="shared" si="169"/>
        <v>0.67444606417804143</v>
      </c>
      <c r="AQ597" s="8"/>
      <c r="AR597" s="8">
        <f t="shared" si="170"/>
        <v>354.3095689722403</v>
      </c>
      <c r="AS597" s="8">
        <f t="shared" si="171"/>
        <v>51.357087013388771</v>
      </c>
    </row>
    <row r="598" spans="1:45">
      <c r="A598" s="19">
        <v>23.690333330000001</v>
      </c>
      <c r="B598" s="19">
        <v>1246.447793</v>
      </c>
      <c r="C598" s="19">
        <v>-178.3188317</v>
      </c>
      <c r="E598" s="9">
        <f t="shared" si="157"/>
        <v>286.44779300000005</v>
      </c>
      <c r="F598" s="9">
        <f t="shared" si="162"/>
        <v>361.68116829999997</v>
      </c>
      <c r="I598">
        <v>1</v>
      </c>
      <c r="J598">
        <f t="shared" si="158"/>
        <v>0.29673866705517171</v>
      </c>
      <c r="K598">
        <f t="shared" si="163"/>
        <v>0.9009587786371438</v>
      </c>
      <c r="O598">
        <f t="shared" si="164"/>
        <v>0.18154091203937428</v>
      </c>
      <c r="P598">
        <f t="shared" si="165"/>
        <v>0.22922127789146002</v>
      </c>
      <c r="Q598">
        <f t="shared" si="166"/>
        <v>0.95629519658822837</v>
      </c>
      <c r="R598">
        <f t="shared" si="156"/>
        <v>1</v>
      </c>
      <c r="AG598" s="8">
        <f t="shared" si="159"/>
        <v>0.62186629998082954</v>
      </c>
      <c r="AH598" s="8">
        <f t="shared" si="160"/>
        <v>-6.1411118376839102E-2</v>
      </c>
      <c r="AI598" s="8">
        <f t="shared" si="161"/>
        <v>0.78071184151891726</v>
      </c>
      <c r="AJ598" s="8"/>
      <c r="AK598" s="8"/>
      <c r="AL598" s="8"/>
      <c r="AN598" s="8">
        <f t="shared" si="167"/>
        <v>1</v>
      </c>
      <c r="AO598" s="8">
        <f t="shared" si="168"/>
        <v>6.1847515306030267</v>
      </c>
      <c r="AP598" s="8">
        <f t="shared" si="169"/>
        <v>0.67499217405764622</v>
      </c>
      <c r="AQ598" s="8"/>
      <c r="AR598" s="8">
        <f t="shared" si="170"/>
        <v>354.36016004062947</v>
      </c>
      <c r="AS598" s="8">
        <f t="shared" si="171"/>
        <v>51.32579722213702</v>
      </c>
    </row>
    <row r="599" spans="1:45">
      <c r="A599" s="19">
        <v>23.723700000000001</v>
      </c>
      <c r="B599" s="19">
        <v>1246.7803080000001</v>
      </c>
      <c r="C599" s="19">
        <v>-178.54503500000001</v>
      </c>
      <c r="E599" s="9">
        <f t="shared" si="157"/>
        <v>286.7803080000001</v>
      </c>
      <c r="F599" s="9">
        <f t="shared" si="162"/>
        <v>361.45496500000002</v>
      </c>
      <c r="I599">
        <v>1</v>
      </c>
      <c r="J599">
        <f t="shared" si="158"/>
        <v>0.29675658045867892</v>
      </c>
      <c r="K599">
        <f t="shared" si="163"/>
        <v>0.90008945959650044</v>
      </c>
      <c r="O599">
        <f t="shared" si="164"/>
        <v>0.18175075710001753</v>
      </c>
      <c r="P599">
        <f t="shared" si="165"/>
        <v>0.2290767940255867</v>
      </c>
      <c r="Q599">
        <f t="shared" si="166"/>
        <v>0.95628995850240384</v>
      </c>
      <c r="R599">
        <f t="shared" si="156"/>
        <v>1</v>
      </c>
      <c r="AG599" s="8">
        <f t="shared" si="159"/>
        <v>0.62201746731062868</v>
      </c>
      <c r="AH599" s="8">
        <f t="shared" si="160"/>
        <v>-6.1235880234800588E-2</v>
      </c>
      <c r="AI599" s="8">
        <f t="shared" si="161"/>
        <v>0.78060517378015115</v>
      </c>
      <c r="AJ599" s="8"/>
      <c r="AK599" s="8"/>
      <c r="AL599" s="8"/>
      <c r="AN599" s="8">
        <f t="shared" si="167"/>
        <v>0.99999999999999989</v>
      </c>
      <c r="AO599" s="8">
        <f t="shared" si="168"/>
        <v>6.1850543120773684</v>
      </c>
      <c r="AP599" s="8">
        <f t="shared" si="169"/>
        <v>0.67516285395583608</v>
      </c>
      <c r="AQ599" s="8"/>
      <c r="AR599" s="8">
        <f t="shared" si="170"/>
        <v>354.37750814122398</v>
      </c>
      <c r="AS599" s="8">
        <f t="shared" si="171"/>
        <v>51.316017984323011</v>
      </c>
    </row>
    <row r="600" spans="1:45">
      <c r="A600" s="19">
        <v>23.75706667</v>
      </c>
      <c r="B600" s="19">
        <v>1247.215461</v>
      </c>
      <c r="C600" s="19">
        <v>-178.7416503</v>
      </c>
      <c r="E600" s="9">
        <f t="shared" si="157"/>
        <v>287.215461</v>
      </c>
      <c r="F600" s="9">
        <f t="shared" si="162"/>
        <v>361.2583497</v>
      </c>
      <c r="I600">
        <v>1</v>
      </c>
      <c r="J600">
        <f t="shared" si="158"/>
        <v>0.29682792593358526</v>
      </c>
      <c r="K600">
        <f t="shared" si="163"/>
        <v>0.89908604477202991</v>
      </c>
      <c r="O600">
        <f t="shared" si="164"/>
        <v>0.18202298353916982</v>
      </c>
      <c r="P600">
        <f t="shared" si="165"/>
        <v>0.22894771197860669</v>
      </c>
      <c r="Q600">
        <f t="shared" si="166"/>
        <v>0.95626909321762565</v>
      </c>
      <c r="R600">
        <f t="shared" si="156"/>
        <v>1</v>
      </c>
      <c r="AG600" s="8">
        <f t="shared" si="159"/>
        <v>0.62216836756377725</v>
      </c>
      <c r="AH600" s="8">
        <f t="shared" si="160"/>
        <v>-6.0994726439935976E-2</v>
      </c>
      <c r="AI600" s="8">
        <f t="shared" si="161"/>
        <v>0.78050378970863554</v>
      </c>
      <c r="AJ600" s="8"/>
      <c r="AK600" s="8"/>
      <c r="AL600" s="8"/>
      <c r="AN600" s="8">
        <f t="shared" si="167"/>
        <v>1</v>
      </c>
      <c r="AO600" s="8">
        <f t="shared" si="168"/>
        <v>6.1854618581459553</v>
      </c>
      <c r="AP600" s="8">
        <f t="shared" si="169"/>
        <v>0.67532504569834029</v>
      </c>
      <c r="AQ600" s="8"/>
      <c r="AR600" s="8">
        <f t="shared" si="170"/>
        <v>354.40085881091113</v>
      </c>
      <c r="AS600" s="8">
        <f t="shared" si="171"/>
        <v>51.306725082005649</v>
      </c>
    </row>
    <row r="601" spans="1:45">
      <c r="A601" s="19">
        <v>23.790433329999999</v>
      </c>
      <c r="B601" s="19">
        <v>1247.6341399999999</v>
      </c>
      <c r="C601" s="19">
        <v>-178.9153499</v>
      </c>
      <c r="E601" s="9">
        <f t="shared" si="157"/>
        <v>287.63413999999989</v>
      </c>
      <c r="F601" s="9">
        <f t="shared" si="162"/>
        <v>361.08465009999998</v>
      </c>
      <c r="I601">
        <v>1</v>
      </c>
      <c r="J601">
        <f t="shared" si="158"/>
        <v>0.29690423554523671</v>
      </c>
      <c r="K601">
        <f t="shared" si="163"/>
        <v>0.89814197973635845</v>
      </c>
      <c r="O601">
        <f t="shared" si="164"/>
        <v>0.18228450996786946</v>
      </c>
      <c r="P601">
        <f t="shared" si="165"/>
        <v>0.22883284473949492</v>
      </c>
      <c r="Q601">
        <f t="shared" si="166"/>
        <v>0.95624677076275866</v>
      </c>
      <c r="R601">
        <f t="shared" si="156"/>
        <v>1</v>
      </c>
      <c r="AG601" s="8">
        <f t="shared" si="159"/>
        <v>0.62230620154933947</v>
      </c>
      <c r="AH601" s="8">
        <f t="shared" si="160"/>
        <v>-6.0760865306581702E-2</v>
      </c>
      <c r="AI601" s="8">
        <f t="shared" si="161"/>
        <v>0.78041214032101547</v>
      </c>
      <c r="AJ601" s="8"/>
      <c r="AK601" s="8"/>
      <c r="AL601" s="8"/>
      <c r="AN601" s="8">
        <f t="shared" si="167"/>
        <v>1</v>
      </c>
      <c r="AO601" s="8">
        <f t="shared" si="168"/>
        <v>6.1858556005754286</v>
      </c>
      <c r="AP601" s="8">
        <f t="shared" si="169"/>
        <v>0.67547163587374714</v>
      </c>
      <c r="AQ601" s="8"/>
      <c r="AR601" s="8">
        <f t="shared" si="170"/>
        <v>354.42341859033519</v>
      </c>
      <c r="AS601" s="8">
        <f t="shared" si="171"/>
        <v>51.298326083636759</v>
      </c>
    </row>
    <row r="602" spans="1:45">
      <c r="A602" s="19">
        <v>23.823799999999999</v>
      </c>
      <c r="B602" s="19">
        <v>1248.2624049999999</v>
      </c>
      <c r="C602" s="19">
        <v>-179.30078130000001</v>
      </c>
      <c r="E602" s="9">
        <f t="shared" si="157"/>
        <v>288.26240499999994</v>
      </c>
      <c r="F602" s="9">
        <f t="shared" si="162"/>
        <v>360.69921869999996</v>
      </c>
      <c r="I602">
        <v>1</v>
      </c>
      <c r="J602">
        <f t="shared" si="158"/>
        <v>0.29695960629805584</v>
      </c>
      <c r="K602">
        <f t="shared" si="163"/>
        <v>0.8965576090654146</v>
      </c>
      <c r="O602">
        <f t="shared" si="164"/>
        <v>0.18267989244509744</v>
      </c>
      <c r="P602">
        <f t="shared" si="165"/>
        <v>0.22858511319624458</v>
      </c>
      <c r="Q602">
        <f t="shared" si="166"/>
        <v>0.95623056995753264</v>
      </c>
      <c r="R602">
        <f t="shared" si="156"/>
        <v>1</v>
      </c>
      <c r="AG602" s="8">
        <f t="shared" si="159"/>
        <v>0.62257173578822456</v>
      </c>
      <c r="AH602" s="8">
        <f t="shared" si="160"/>
        <v>-6.042476438317379E-2</v>
      </c>
      <c r="AI602" s="8">
        <f t="shared" si="161"/>
        <v>0.78022642972849554</v>
      </c>
      <c r="AJ602" s="8"/>
      <c r="AK602" s="8"/>
      <c r="AL602" s="8"/>
      <c r="AN602" s="8">
        <f t="shared" si="167"/>
        <v>1</v>
      </c>
      <c r="AO602" s="8">
        <f t="shared" si="168"/>
        <v>6.1864316444705683</v>
      </c>
      <c r="AP602" s="8">
        <f t="shared" si="169"/>
        <v>0.67576859164484793</v>
      </c>
      <c r="AQ602" s="8"/>
      <c r="AR602" s="8">
        <f t="shared" si="170"/>
        <v>354.45642347434097</v>
      </c>
      <c r="AS602" s="8">
        <f t="shared" si="171"/>
        <v>51.281311771250628</v>
      </c>
    </row>
    <row r="603" spans="1:45">
      <c r="A603" s="19">
        <v>23.857166670000002</v>
      </c>
      <c r="B603" s="19">
        <v>1249.6612050000001</v>
      </c>
      <c r="C603" s="19">
        <v>-179.3530787</v>
      </c>
      <c r="E603" s="9">
        <f t="shared" si="157"/>
        <v>289.66120500000011</v>
      </c>
      <c r="F603" s="9">
        <f t="shared" si="162"/>
        <v>360.64692130000003</v>
      </c>
      <c r="I603">
        <v>1</v>
      </c>
      <c r="J603">
        <f t="shared" si="158"/>
        <v>0.29746934650473261</v>
      </c>
      <c r="K603">
        <f t="shared" si="163"/>
        <v>0.89412474126290231</v>
      </c>
      <c r="O603">
        <f t="shared" si="164"/>
        <v>0.1835406736706422</v>
      </c>
      <c r="P603">
        <f t="shared" si="165"/>
        <v>0.22852000112560827</v>
      </c>
      <c r="Q603">
        <f t="shared" si="166"/>
        <v>0.95608128848653806</v>
      </c>
      <c r="R603">
        <f t="shared" ref="R603:R666" si="172">SQRT(O603^2+P603^2+Q603^2)</f>
        <v>1</v>
      </c>
      <c r="AG603" s="8">
        <f t="shared" si="159"/>
        <v>0.62278269926438468</v>
      </c>
      <c r="AH603" s="8">
        <f t="shared" si="160"/>
        <v>-5.9580810720446298E-2</v>
      </c>
      <c r="AI603" s="8">
        <f t="shared" si="161"/>
        <v>0.78012296241737511</v>
      </c>
      <c r="AJ603" s="8"/>
      <c r="AK603" s="8"/>
      <c r="AL603" s="8"/>
      <c r="AN603" s="8">
        <f t="shared" si="167"/>
        <v>0.99999999999999989</v>
      </c>
      <c r="AO603" s="8">
        <f t="shared" si="168"/>
        <v>6.1878068848444032</v>
      </c>
      <c r="AP603" s="8">
        <f t="shared" si="169"/>
        <v>0.67593399069561888</v>
      </c>
      <c r="AQ603" s="8"/>
      <c r="AR603" s="8">
        <f t="shared" si="170"/>
        <v>354.53521894357772</v>
      </c>
      <c r="AS603" s="8">
        <f t="shared" si="171"/>
        <v>51.271835103705982</v>
      </c>
    </row>
    <row r="604" spans="1:45">
      <c r="A604" s="19">
        <v>23.89053333</v>
      </c>
      <c r="B604" s="19">
        <v>1250.31042</v>
      </c>
      <c r="C604" s="19">
        <v>-179.80876720000001</v>
      </c>
      <c r="E604" s="9">
        <f t="shared" si="157"/>
        <v>290.31042000000002</v>
      </c>
      <c r="F604" s="9">
        <f t="shared" si="162"/>
        <v>360.19123279999997</v>
      </c>
      <c r="I604">
        <v>1</v>
      </c>
      <c r="J604">
        <f t="shared" si="158"/>
        <v>0.2975010914268697</v>
      </c>
      <c r="K604">
        <f t="shared" si="163"/>
        <v>0.89241379083438643</v>
      </c>
      <c r="O604">
        <f t="shared" si="164"/>
        <v>0.18395043726498581</v>
      </c>
      <c r="P604">
        <f t="shared" si="165"/>
        <v>0.22822926842437927</v>
      </c>
      <c r="Q604">
        <f t="shared" si="166"/>
        <v>0.95607198351614364</v>
      </c>
      <c r="R604">
        <f t="shared" si="172"/>
        <v>1</v>
      </c>
      <c r="AG604" s="8">
        <f t="shared" si="159"/>
        <v>0.62308370358735254</v>
      </c>
      <c r="AH604" s="8">
        <f t="shared" si="160"/>
        <v>-5.9240334500921615E-2</v>
      </c>
      <c r="AI604" s="8">
        <f t="shared" si="161"/>
        <v>0.77990850815469848</v>
      </c>
      <c r="AJ604" s="8"/>
      <c r="AK604" s="8"/>
      <c r="AL604" s="8"/>
      <c r="AN604" s="8">
        <f t="shared" si="167"/>
        <v>1.0000000000000004</v>
      </c>
      <c r="AO604" s="8">
        <f t="shared" si="168"/>
        <v>6.1883941964850919</v>
      </c>
      <c r="AP604" s="8">
        <f t="shared" si="169"/>
        <v>0.67627670084458791</v>
      </c>
      <c r="AQ604" s="8"/>
      <c r="AR604" s="8">
        <f t="shared" si="170"/>
        <v>354.56886942184809</v>
      </c>
      <c r="AS604" s="8">
        <f t="shared" si="171"/>
        <v>51.252199258573761</v>
      </c>
    </row>
    <row r="605" spans="1:45">
      <c r="A605" s="19">
        <v>23.9239</v>
      </c>
      <c r="B605" s="19">
        <v>1250.6864889999999</v>
      </c>
      <c r="C605" s="19">
        <v>-179.9687437</v>
      </c>
      <c r="E605" s="9">
        <f t="shared" si="157"/>
        <v>290.68648899999994</v>
      </c>
      <c r="F605" s="9">
        <f t="shared" si="162"/>
        <v>360.0312563</v>
      </c>
      <c r="I605">
        <v>1</v>
      </c>
      <c r="J605">
        <f t="shared" si="158"/>
        <v>0.2975693102822885</v>
      </c>
      <c r="K605">
        <f t="shared" si="163"/>
        <v>0.89156406853913728</v>
      </c>
      <c r="O605">
        <f t="shared" si="164"/>
        <v>0.18418527417857997</v>
      </c>
      <c r="P605">
        <f t="shared" si="165"/>
        <v>0.22812362515573992</v>
      </c>
      <c r="Q605">
        <f t="shared" si="166"/>
        <v>0.9560519841627676</v>
      </c>
      <c r="R605">
        <f t="shared" si="172"/>
        <v>1</v>
      </c>
      <c r="AG605" s="8">
        <f t="shared" si="159"/>
        <v>0.62320899896893878</v>
      </c>
      <c r="AH605" s="8">
        <f t="shared" si="160"/>
        <v>-5.9030773197629782E-2</v>
      </c>
      <c r="AI605" s="8">
        <f t="shared" si="161"/>
        <v>0.77982428239945401</v>
      </c>
      <c r="AJ605" s="8"/>
      <c r="AK605" s="8"/>
      <c r="AL605" s="8"/>
      <c r="AN605" s="8">
        <f t="shared" si="167"/>
        <v>1.0000000000000002</v>
      </c>
      <c r="AO605" s="8">
        <f t="shared" si="168"/>
        <v>6.1887464012279549</v>
      </c>
      <c r="AP605" s="8">
        <f t="shared" si="169"/>
        <v>0.67641125838543703</v>
      </c>
      <c r="AQ605" s="8"/>
      <c r="AR605" s="8">
        <f t="shared" si="170"/>
        <v>354.58904926713859</v>
      </c>
      <c r="AS605" s="8">
        <f t="shared" si="171"/>
        <v>51.244489679381445</v>
      </c>
    </row>
    <row r="606" spans="1:45">
      <c r="A606" s="19">
        <v>23.957266669999999</v>
      </c>
      <c r="B606" s="19">
        <v>1251.2597049999999</v>
      </c>
      <c r="C606" s="19">
        <v>-180.3612493</v>
      </c>
      <c r="E606" s="9">
        <f t="shared" si="157"/>
        <v>291.25970499999994</v>
      </c>
      <c r="F606" s="9">
        <f t="shared" si="162"/>
        <v>359.6387507</v>
      </c>
      <c r="I606">
        <v>1</v>
      </c>
      <c r="J606">
        <f t="shared" si="158"/>
        <v>0.29760306136831965</v>
      </c>
      <c r="K606">
        <f t="shared" si="163"/>
        <v>0.89006756225212191</v>
      </c>
      <c r="O606">
        <f t="shared" si="164"/>
        <v>0.18454676418374016</v>
      </c>
      <c r="P606">
        <f t="shared" si="165"/>
        <v>0.2278728110253625</v>
      </c>
      <c r="Q606">
        <f t="shared" si="166"/>
        <v>0.95604208789399558</v>
      </c>
      <c r="R606">
        <f t="shared" si="172"/>
        <v>1</v>
      </c>
      <c r="AG606" s="8">
        <f t="shared" si="159"/>
        <v>0.62346991691601605</v>
      </c>
      <c r="AH606" s="8">
        <f t="shared" si="160"/>
        <v>-5.8728974341635543E-2</v>
      </c>
      <c r="AI606" s="8">
        <f t="shared" si="161"/>
        <v>0.7796384869114118</v>
      </c>
      <c r="AJ606" s="8"/>
      <c r="AK606" s="8"/>
      <c r="AL606" s="8"/>
      <c r="AN606" s="8">
        <f t="shared" si="167"/>
        <v>1</v>
      </c>
      <c r="AO606" s="8">
        <f t="shared" si="168"/>
        <v>6.1892654729957171</v>
      </c>
      <c r="AP606" s="8">
        <f t="shared" si="169"/>
        <v>0.67670800217035965</v>
      </c>
      <c r="AQ606" s="8"/>
      <c r="AR606" s="8">
        <f t="shared" si="170"/>
        <v>354.6187898886958</v>
      </c>
      <c r="AS606" s="8">
        <f t="shared" si="171"/>
        <v>51.227487512908638</v>
      </c>
    </row>
    <row r="607" spans="1:45">
      <c r="A607" s="19">
        <v>23.990633330000001</v>
      </c>
      <c r="B607" s="19">
        <v>1251.8804500000001</v>
      </c>
      <c r="C607" s="19">
        <v>-180.69200359999999</v>
      </c>
      <c r="E607" s="9">
        <f t="shared" si="157"/>
        <v>291.88045000000011</v>
      </c>
      <c r="F607" s="9">
        <f t="shared" si="162"/>
        <v>359.30799639999998</v>
      </c>
      <c r="I607">
        <v>1</v>
      </c>
      <c r="J607">
        <f t="shared" si="158"/>
        <v>0.2976850557470806</v>
      </c>
      <c r="K607">
        <f t="shared" si="163"/>
        <v>0.88857583367117299</v>
      </c>
      <c r="O607">
        <f t="shared" si="164"/>
        <v>0.18493590884933891</v>
      </c>
      <c r="P607">
        <f t="shared" si="165"/>
        <v>0.22765810752679386</v>
      </c>
      <c r="Q607">
        <f t="shared" si="166"/>
        <v>0.95601804151144965</v>
      </c>
      <c r="R607">
        <f t="shared" si="172"/>
        <v>1</v>
      </c>
      <c r="AG607" s="8">
        <f t="shared" si="159"/>
        <v>0.62370791330514874</v>
      </c>
      <c r="AH607" s="8">
        <f t="shared" si="160"/>
        <v>-5.8390971978500655E-2</v>
      </c>
      <c r="AI607" s="8">
        <f t="shared" si="161"/>
        <v>0.77947349747887074</v>
      </c>
      <c r="AJ607" s="8"/>
      <c r="AK607" s="8"/>
      <c r="AL607" s="8"/>
      <c r="AN607" s="8">
        <f t="shared" si="167"/>
        <v>1</v>
      </c>
      <c r="AO607" s="8">
        <f t="shared" si="168"/>
        <v>6.1898382895627284</v>
      </c>
      <c r="AP607" s="8">
        <f t="shared" si="169"/>
        <v>0.67697142363384621</v>
      </c>
      <c r="AQ607" s="8"/>
      <c r="AR607" s="8">
        <f t="shared" si="170"/>
        <v>354.65160986042071</v>
      </c>
      <c r="AS607" s="8">
        <f t="shared" si="171"/>
        <v>51.212394574817701</v>
      </c>
    </row>
    <row r="608" spans="1:45">
      <c r="A608" s="19">
        <v>24.024000000000001</v>
      </c>
      <c r="B608" s="19">
        <v>1252.3784680000001</v>
      </c>
      <c r="C608" s="19">
        <v>-180.8565902</v>
      </c>
      <c r="E608" s="9">
        <f t="shared" ref="E608:E671" si="173">(B608-($B$15/2))</f>
        <v>292.37846800000011</v>
      </c>
      <c r="F608" s="9">
        <f t="shared" si="162"/>
        <v>359.14340979999997</v>
      </c>
      <c r="I608">
        <v>1</v>
      </c>
      <c r="J608">
        <f t="shared" ref="J608:J671" si="174">ATAN((SQRT(E608^2+F608^2)^$B$16)/($F$24))</f>
        <v>0.297799051004491</v>
      </c>
      <c r="K608">
        <f t="shared" si="163"/>
        <v>0.8875170662403935</v>
      </c>
      <c r="O608">
        <f t="shared" si="164"/>
        <v>0.18524564527537965</v>
      </c>
      <c r="P608">
        <f t="shared" si="165"/>
        <v>0.22754669025354182</v>
      </c>
      <c r="Q608">
        <f t="shared" si="166"/>
        <v>0.95598459959413928</v>
      </c>
      <c r="R608">
        <f t="shared" si="172"/>
        <v>1</v>
      </c>
      <c r="AG608" s="8">
        <f t="shared" ref="AG608:AG671" si="175">$O608*$Z$27+$P608*$Z$31+$Q608*$Z$35</f>
        <v>0.6238512986809811</v>
      </c>
      <c r="AH608" s="8">
        <f t="shared" ref="AH608:AH671" si="176">$O608*$AA$27+$P608*$AA$31+$Q608*$AA$35</f>
        <v>-5.8107865062397762E-2</v>
      </c>
      <c r="AI608" s="8">
        <f t="shared" ref="AI608:AI671" si="177">$AB$27*$O608+$P608*$AB$31+$AB$35*$Q608</f>
        <v>0.77937990296898429</v>
      </c>
      <c r="AJ608" s="8"/>
      <c r="AK608" s="8"/>
      <c r="AL608" s="8"/>
      <c r="AN608" s="8">
        <f t="shared" si="167"/>
        <v>0.99999999999999989</v>
      </c>
      <c r="AO608" s="8">
        <f t="shared" si="168"/>
        <v>6.1903095029761195</v>
      </c>
      <c r="AP608" s="8">
        <f t="shared" si="169"/>
        <v>0.67712081787448664</v>
      </c>
      <c r="AQ608" s="8"/>
      <c r="AR608" s="8">
        <f t="shared" si="170"/>
        <v>354.67860840025799</v>
      </c>
      <c r="AS608" s="8">
        <f t="shared" si="171"/>
        <v>51.203834915345439</v>
      </c>
    </row>
    <row r="609" spans="1:45">
      <c r="A609" s="19">
        <v>24.05736667</v>
      </c>
      <c r="B609" s="19">
        <v>1253.251616</v>
      </c>
      <c r="C609" s="19">
        <v>-181.3696697</v>
      </c>
      <c r="E609" s="9">
        <f t="shared" si="173"/>
        <v>293.25161600000001</v>
      </c>
      <c r="F609" s="9">
        <f t="shared" ref="F609:F672" si="178">(($C$15/2)+C609)</f>
        <v>358.63033029999997</v>
      </c>
      <c r="I609">
        <v>1</v>
      </c>
      <c r="J609">
        <f t="shared" si="174"/>
        <v>0.29789343244950262</v>
      </c>
      <c r="K609">
        <f t="shared" ref="K609:K672" si="179">ATAN2(E609,F609)</f>
        <v>0.88535617483491225</v>
      </c>
      <c r="O609">
        <f t="shared" ref="O609:O672" si="180">COS(K609)*SIN(J609)</f>
        <v>0.18579403032391698</v>
      </c>
      <c r="P609">
        <f t="shared" ref="P609:P672" si="181">SIN(K609)*SIN(J609)</f>
        <v>0.22721571110740121</v>
      </c>
      <c r="Q609">
        <f t="shared" ref="Q609:Q672" si="182">COS(J609)</f>
        <v>0.95595690223040564</v>
      </c>
      <c r="R609">
        <f t="shared" si="172"/>
        <v>1</v>
      </c>
      <c r="AG609" s="8">
        <f t="shared" si="175"/>
        <v>0.62420821416222638</v>
      </c>
      <c r="AH609" s="8">
        <f t="shared" si="176"/>
        <v>-5.7638093121208656E-2</v>
      </c>
      <c r="AI609" s="8">
        <f t="shared" si="177"/>
        <v>0.77912897237476364</v>
      </c>
      <c r="AJ609" s="8"/>
      <c r="AK609" s="8"/>
      <c r="AL609" s="8"/>
      <c r="AN609" s="8">
        <f t="shared" ref="AN609:AN672" si="183">AG609^2+AH609^2+AI609^2</f>
        <v>1.0000000000000002</v>
      </c>
      <c r="AO609" s="8">
        <f t="shared" ref="AO609:AO672" si="184">IF(ATAN2(AG609,AH609)&gt;=0,ATAN2(AG609,AH609),ATAN2(AG609,AH609)+2*PI())</f>
        <v>6.1911084781837795</v>
      </c>
      <c r="AP609" s="8">
        <f t="shared" ref="AP609:AP672" si="185">ACOS(AI609/AN609)</f>
        <v>0.677521212843336</v>
      </c>
      <c r="AQ609" s="8"/>
      <c r="AR609" s="8">
        <f t="shared" ref="AR609:AR672" si="186">DEGREES(AO609)</f>
        <v>354.72438630759245</v>
      </c>
      <c r="AS609" s="8">
        <f t="shared" ref="AS609:AS672" si="187">90-DEGREES(AP609)</f>
        <v>51.180893973492104</v>
      </c>
    </row>
    <row r="610" spans="1:45">
      <c r="A610" s="19">
        <v>24.090733329999999</v>
      </c>
      <c r="B610" s="19">
        <v>1254.0308680000001</v>
      </c>
      <c r="C610" s="19">
        <v>-181.73698379999999</v>
      </c>
      <c r="E610" s="9">
        <f t="shared" si="173"/>
        <v>294.03086800000005</v>
      </c>
      <c r="F610" s="9">
        <f t="shared" si="178"/>
        <v>358.26301620000004</v>
      </c>
      <c r="I610">
        <v>1</v>
      </c>
      <c r="J610">
        <f t="shared" si="174"/>
        <v>0.29802156448322858</v>
      </c>
      <c r="K610">
        <f t="shared" si="179"/>
        <v>0.88355290428738453</v>
      </c>
      <c r="O610">
        <f t="shared" si="180"/>
        <v>0.1862811657983254</v>
      </c>
      <c r="P610">
        <f t="shared" si="181"/>
        <v>0.22697498658596738</v>
      </c>
      <c r="Q610">
        <f t="shared" si="182"/>
        <v>0.95591928672514848</v>
      </c>
      <c r="R610">
        <f t="shared" si="172"/>
        <v>1</v>
      </c>
      <c r="AG610" s="8">
        <f t="shared" si="175"/>
        <v>0.62448386537485479</v>
      </c>
      <c r="AH610" s="8">
        <f t="shared" si="176"/>
        <v>-5.7208122033090975E-2</v>
      </c>
      <c r="AI610" s="8">
        <f t="shared" si="177"/>
        <v>0.77893974905632279</v>
      </c>
      <c r="AJ610" s="8"/>
      <c r="AK610" s="8"/>
      <c r="AL610" s="8"/>
      <c r="AN610" s="8">
        <f t="shared" si="183"/>
        <v>0.99999999999999978</v>
      </c>
      <c r="AO610" s="8">
        <f t="shared" si="184"/>
        <v>6.1918316417416399</v>
      </c>
      <c r="AP610" s="8">
        <f t="shared" si="185"/>
        <v>0.677823013460223</v>
      </c>
      <c r="AQ610" s="8"/>
      <c r="AR610" s="8">
        <f t="shared" si="186"/>
        <v>354.76582052735552</v>
      </c>
      <c r="AS610" s="8">
        <f t="shared" si="187"/>
        <v>51.163602071890033</v>
      </c>
    </row>
    <row r="611" spans="1:45">
      <c r="A611" s="19">
        <v>24.124099999999999</v>
      </c>
      <c r="B611" s="19">
        <v>1254.4466480000001</v>
      </c>
      <c r="C611" s="19">
        <v>-181.84957130000001</v>
      </c>
      <c r="E611" s="9">
        <f t="shared" si="173"/>
        <v>294.4466480000001</v>
      </c>
      <c r="F611" s="9">
        <f t="shared" si="178"/>
        <v>358.15042870000002</v>
      </c>
      <c r="I611">
        <v>1</v>
      </c>
      <c r="J611">
        <f t="shared" si="174"/>
        <v>0.29812966544965325</v>
      </c>
      <c r="K611">
        <f t="shared" si="179"/>
        <v>0.88270566122569227</v>
      </c>
      <c r="O611">
        <f t="shared" si="180"/>
        <v>0.18653902559945415</v>
      </c>
      <c r="P611">
        <f t="shared" si="181"/>
        <v>0.22689690115855815</v>
      </c>
      <c r="Q611">
        <f t="shared" si="182"/>
        <v>0.95588753950088168</v>
      </c>
      <c r="R611">
        <f t="shared" si="172"/>
        <v>1</v>
      </c>
      <c r="AG611" s="8">
        <f t="shared" si="175"/>
        <v>0.62459160037930039</v>
      </c>
      <c r="AH611" s="8">
        <f t="shared" si="176"/>
        <v>-5.6968851876006338E-2</v>
      </c>
      <c r="AI611" s="8">
        <f t="shared" si="177"/>
        <v>0.77887090242963497</v>
      </c>
      <c r="AJ611" s="8"/>
      <c r="AK611" s="8"/>
      <c r="AL611" s="8"/>
      <c r="AN611" s="8">
        <f t="shared" si="183"/>
        <v>1</v>
      </c>
      <c r="AO611" s="8">
        <f t="shared" si="184"/>
        <v>6.1922272204528461</v>
      </c>
      <c r="AP611" s="8">
        <f t="shared" si="185"/>
        <v>0.67793279191378975</v>
      </c>
      <c r="AQ611" s="8"/>
      <c r="AR611" s="8">
        <f t="shared" si="186"/>
        <v>354.7884855179729</v>
      </c>
      <c r="AS611" s="8">
        <f t="shared" si="187"/>
        <v>51.157312229819183</v>
      </c>
    </row>
    <row r="612" spans="1:45">
      <c r="A612" s="19">
        <v>24.157466670000002</v>
      </c>
      <c r="B612" s="19">
        <v>1255.2274769999999</v>
      </c>
      <c r="C612" s="19">
        <v>-182.11855460000001</v>
      </c>
      <c r="E612" s="9">
        <f t="shared" si="173"/>
        <v>295.22747699999991</v>
      </c>
      <c r="F612" s="9">
        <f t="shared" si="178"/>
        <v>357.88144539999996</v>
      </c>
      <c r="I612">
        <v>1</v>
      </c>
      <c r="J612">
        <f t="shared" si="174"/>
        <v>0.29830608625482929</v>
      </c>
      <c r="K612">
        <f t="shared" si="179"/>
        <v>0.88103737558006112</v>
      </c>
      <c r="O612">
        <f t="shared" si="180"/>
        <v>0.18702460506125543</v>
      </c>
      <c r="P612">
        <f t="shared" si="181"/>
        <v>0.22671546925385355</v>
      </c>
      <c r="Q612">
        <f t="shared" si="182"/>
        <v>0.95583570403217644</v>
      </c>
      <c r="R612">
        <f t="shared" si="172"/>
        <v>1</v>
      </c>
      <c r="AG612" s="8">
        <f t="shared" si="175"/>
        <v>0.62482086629844702</v>
      </c>
      <c r="AH612" s="8">
        <f t="shared" si="176"/>
        <v>-5.6526326825452972E-2</v>
      </c>
      <c r="AI612" s="8">
        <f t="shared" si="177"/>
        <v>0.77871924299690987</v>
      </c>
      <c r="AJ612" s="8"/>
      <c r="AK612" s="8"/>
      <c r="AL612" s="8"/>
      <c r="AN612" s="8">
        <f t="shared" si="183"/>
        <v>1</v>
      </c>
      <c r="AO612" s="8">
        <f t="shared" si="184"/>
        <v>6.1929628608607761</v>
      </c>
      <c r="AP612" s="8">
        <f t="shared" si="185"/>
        <v>0.67817456562447087</v>
      </c>
      <c r="AQ612" s="8"/>
      <c r="AR612" s="8">
        <f t="shared" si="186"/>
        <v>354.83063460858654</v>
      </c>
      <c r="AS612" s="8">
        <f t="shared" si="187"/>
        <v>51.143459616599941</v>
      </c>
    </row>
    <row r="613" spans="1:45">
      <c r="A613" s="19">
        <v>24.19083333</v>
      </c>
      <c r="B613" s="19">
        <v>1255.9873009999999</v>
      </c>
      <c r="C613" s="19">
        <v>-182.20158549999999</v>
      </c>
      <c r="E613" s="9">
        <f t="shared" si="173"/>
        <v>295.98730099999989</v>
      </c>
      <c r="F613" s="9">
        <f t="shared" si="178"/>
        <v>357.79841450000004</v>
      </c>
      <c r="I613">
        <v>1</v>
      </c>
      <c r="J613">
        <f t="shared" si="174"/>
        <v>0.29856261409272877</v>
      </c>
      <c r="K613">
        <f t="shared" si="179"/>
        <v>0.8796613573731743</v>
      </c>
      <c r="O613">
        <f t="shared" si="180"/>
        <v>0.18749267882457371</v>
      </c>
      <c r="P613">
        <f t="shared" si="181"/>
        <v>0.22664682906037997</v>
      </c>
      <c r="Q613">
        <f t="shared" si="182"/>
        <v>0.95576027865990543</v>
      </c>
      <c r="R613">
        <f t="shared" si="172"/>
        <v>1</v>
      </c>
      <c r="AG613" s="8">
        <f t="shared" si="175"/>
        <v>0.62495967360062687</v>
      </c>
      <c r="AH613" s="8">
        <f t="shared" si="176"/>
        <v>-5.6074633387633604E-2</v>
      </c>
      <c r="AI613" s="8">
        <f t="shared" si="177"/>
        <v>0.77864050874806168</v>
      </c>
      <c r="AJ613" s="8"/>
      <c r="AK613" s="8"/>
      <c r="AL613" s="8"/>
      <c r="AN613" s="8">
        <f t="shared" si="183"/>
        <v>1</v>
      </c>
      <c r="AO613" s="8">
        <f t="shared" si="184"/>
        <v>6.1936997290056919</v>
      </c>
      <c r="AP613" s="8">
        <f t="shared" si="185"/>
        <v>0.67830005424402551</v>
      </c>
      <c r="AQ613" s="8"/>
      <c r="AR613" s="8">
        <f t="shared" si="186"/>
        <v>354.87285404334784</v>
      </c>
      <c r="AS613" s="8">
        <f t="shared" si="187"/>
        <v>51.136269648322532</v>
      </c>
    </row>
    <row r="614" spans="1:45">
      <c r="A614" s="19">
        <v>24.2242</v>
      </c>
      <c r="B614" s="19">
        <v>1256.5542829999999</v>
      </c>
      <c r="C614" s="19">
        <v>-182.58840280000001</v>
      </c>
      <c r="E614" s="9">
        <f t="shared" si="173"/>
        <v>296.55428299999994</v>
      </c>
      <c r="F614" s="9">
        <f t="shared" si="178"/>
        <v>357.41159719999996</v>
      </c>
      <c r="I614">
        <v>1</v>
      </c>
      <c r="J614">
        <f t="shared" si="174"/>
        <v>0.29860161940046842</v>
      </c>
      <c r="K614">
        <f t="shared" si="179"/>
        <v>0.87818977448733093</v>
      </c>
      <c r="O614">
        <f t="shared" si="180"/>
        <v>0.18784980993596676</v>
      </c>
      <c r="P614">
        <f t="shared" si="181"/>
        <v>0.22639936244970812</v>
      </c>
      <c r="Q614">
        <f t="shared" si="182"/>
        <v>0.95574880464972956</v>
      </c>
      <c r="R614">
        <f t="shared" si="172"/>
        <v>1</v>
      </c>
      <c r="AG614" s="8">
        <f t="shared" si="175"/>
        <v>0.62521601033454222</v>
      </c>
      <c r="AH614" s="8">
        <f t="shared" si="176"/>
        <v>-5.5775937607388748E-2</v>
      </c>
      <c r="AI614" s="8">
        <f t="shared" si="177"/>
        <v>0.77845615496659426</v>
      </c>
      <c r="AJ614" s="8"/>
      <c r="AK614" s="8"/>
      <c r="AL614" s="8"/>
      <c r="AN614" s="8">
        <f t="shared" si="183"/>
        <v>0.99999999999999989</v>
      </c>
      <c r="AO614" s="8">
        <f t="shared" si="184"/>
        <v>6.1942101782987686</v>
      </c>
      <c r="AP614" s="8">
        <f t="shared" si="185"/>
        <v>0.67859380550883319</v>
      </c>
      <c r="AQ614" s="8"/>
      <c r="AR614" s="8">
        <f t="shared" si="186"/>
        <v>354.90210063349662</v>
      </c>
      <c r="AS614" s="8">
        <f t="shared" si="187"/>
        <v>51.119438940622423</v>
      </c>
    </row>
    <row r="615" spans="1:45">
      <c r="A615" s="19">
        <v>24.257566669999999</v>
      </c>
      <c r="B615" s="19">
        <v>1257.0401890000001</v>
      </c>
      <c r="C615" s="19">
        <v>-182.86659230000001</v>
      </c>
      <c r="E615" s="9">
        <f t="shared" si="173"/>
        <v>297.04018900000005</v>
      </c>
      <c r="F615" s="9">
        <f t="shared" si="178"/>
        <v>357.13340770000002</v>
      </c>
      <c r="I615">
        <v>1</v>
      </c>
      <c r="J615">
        <f t="shared" si="174"/>
        <v>0.29866057259668122</v>
      </c>
      <c r="K615">
        <f t="shared" si="179"/>
        <v>0.87700234557283829</v>
      </c>
      <c r="O615">
        <f t="shared" si="180"/>
        <v>0.18815454020811476</v>
      </c>
      <c r="P615">
        <f t="shared" si="181"/>
        <v>0.2262194632482902</v>
      </c>
      <c r="Q615">
        <f t="shared" si="182"/>
        <v>0.95573145990216757</v>
      </c>
      <c r="R615">
        <f t="shared" si="172"/>
        <v>1</v>
      </c>
      <c r="AG615" s="8">
        <f t="shared" si="175"/>
        <v>0.62541050814529808</v>
      </c>
      <c r="AH615" s="8">
        <f t="shared" si="176"/>
        <v>-5.551365976340128E-2</v>
      </c>
      <c r="AI615" s="8">
        <f t="shared" si="177"/>
        <v>0.77831865574526315</v>
      </c>
      <c r="AJ615" s="8"/>
      <c r="AK615" s="8"/>
      <c r="AL615" s="8"/>
      <c r="AN615" s="8">
        <f t="shared" si="183"/>
        <v>1.0000000000000002</v>
      </c>
      <c r="AO615" s="8">
        <f t="shared" si="184"/>
        <v>6.1946537784802418</v>
      </c>
      <c r="AP615" s="8">
        <f t="shared" si="185"/>
        <v>0.67881282856636127</v>
      </c>
      <c r="AQ615" s="8"/>
      <c r="AR615" s="8">
        <f t="shared" si="186"/>
        <v>354.92751705168627</v>
      </c>
      <c r="AS615" s="8">
        <f t="shared" si="187"/>
        <v>51.106889843810016</v>
      </c>
    </row>
    <row r="616" spans="1:45">
      <c r="A616" s="19">
        <v>24.290933330000001</v>
      </c>
      <c r="B616" s="19">
        <v>1258.0704659999999</v>
      </c>
      <c r="C616" s="19">
        <v>-182.8581738</v>
      </c>
      <c r="E616" s="9">
        <f t="shared" si="173"/>
        <v>298.0704659999999</v>
      </c>
      <c r="F616" s="9">
        <f t="shared" si="178"/>
        <v>357.14182619999997</v>
      </c>
      <c r="I616">
        <v>1</v>
      </c>
      <c r="J616">
        <f t="shared" si="174"/>
        <v>0.29906731667280617</v>
      </c>
      <c r="K616">
        <f t="shared" si="179"/>
        <v>0.87531114372817709</v>
      </c>
      <c r="O616">
        <f t="shared" si="180"/>
        <v>0.188785925178129</v>
      </c>
      <c r="P616">
        <f t="shared" si="181"/>
        <v>0.22619936481386776</v>
      </c>
      <c r="Q616">
        <f t="shared" si="182"/>
        <v>0.95561170033253606</v>
      </c>
      <c r="R616">
        <f t="shared" si="172"/>
        <v>1</v>
      </c>
      <c r="AG616" s="8">
        <f t="shared" si="175"/>
        <v>0.62554119367095695</v>
      </c>
      <c r="AH616" s="8">
        <f t="shared" si="176"/>
        <v>-5.4887046465224354E-2</v>
      </c>
      <c r="AI616" s="8">
        <f t="shared" si="177"/>
        <v>0.77825807233271838</v>
      </c>
      <c r="AJ616" s="8"/>
      <c r="AK616" s="8"/>
      <c r="AL616" s="8"/>
      <c r="AN616" s="8">
        <f t="shared" si="183"/>
        <v>1</v>
      </c>
      <c r="AO616" s="8">
        <f t="shared" si="184"/>
        <v>6.1956661513642048</v>
      </c>
      <c r="AP616" s="8">
        <f t="shared" si="185"/>
        <v>0.67890931325438841</v>
      </c>
      <c r="AQ616" s="8"/>
      <c r="AR616" s="8">
        <f t="shared" si="186"/>
        <v>354.98552174523081</v>
      </c>
      <c r="AS616" s="8">
        <f t="shared" si="187"/>
        <v>51.101361678398426</v>
      </c>
    </row>
    <row r="617" spans="1:45">
      <c r="A617" s="19">
        <v>24.324300000000001</v>
      </c>
      <c r="B617" s="19">
        <v>1258.056096</v>
      </c>
      <c r="C617" s="19">
        <v>-183.11657049999999</v>
      </c>
      <c r="E617" s="9">
        <f t="shared" si="173"/>
        <v>298.05609600000003</v>
      </c>
      <c r="F617" s="9">
        <f t="shared" si="178"/>
        <v>356.88342950000003</v>
      </c>
      <c r="I617">
        <v>1</v>
      </c>
      <c r="J617">
        <f t="shared" si="174"/>
        <v>0.29894055384028184</v>
      </c>
      <c r="K617">
        <f t="shared" si="179"/>
        <v>0.874978788723905</v>
      </c>
      <c r="O617">
        <f t="shared" si="180"/>
        <v>0.18878344192679544</v>
      </c>
      <c r="P617">
        <f t="shared" si="181"/>
        <v>0.22604363102054742</v>
      </c>
      <c r="Q617">
        <f t="shared" si="182"/>
        <v>0.95564904066781697</v>
      </c>
      <c r="R617">
        <f t="shared" si="172"/>
        <v>1</v>
      </c>
      <c r="AG617" s="8">
        <f t="shared" si="175"/>
        <v>0.62566087295652373</v>
      </c>
      <c r="AH617" s="8">
        <f t="shared" si="176"/>
        <v>-5.4926219383476638E-2</v>
      </c>
      <c r="AI617" s="8">
        <f t="shared" si="177"/>
        <v>0.77815909843393782</v>
      </c>
      <c r="AJ617" s="8"/>
      <c r="AK617" s="8"/>
      <c r="AL617" s="8"/>
      <c r="AN617" s="8">
        <f t="shared" si="183"/>
        <v>1</v>
      </c>
      <c r="AO617" s="8">
        <f t="shared" si="184"/>
        <v>6.1956206751390583</v>
      </c>
      <c r="AP617" s="8">
        <f t="shared" si="185"/>
        <v>0.67906691352687132</v>
      </c>
      <c r="AQ617" s="8"/>
      <c r="AR617" s="8">
        <f t="shared" si="186"/>
        <v>354.98291614946174</v>
      </c>
      <c r="AS617" s="8">
        <f t="shared" si="187"/>
        <v>51.092331847935043</v>
      </c>
    </row>
    <row r="618" spans="1:45">
      <c r="A618" s="19">
        <v>24.35766667</v>
      </c>
      <c r="B618" s="19">
        <v>1258.6725349999999</v>
      </c>
      <c r="C618" s="19">
        <v>-183.83905720000001</v>
      </c>
      <c r="E618" s="9">
        <f t="shared" si="173"/>
        <v>298.67253499999993</v>
      </c>
      <c r="F618" s="9">
        <f t="shared" si="178"/>
        <v>356.16094279999999</v>
      </c>
      <c r="I618">
        <v>1</v>
      </c>
      <c r="J618">
        <f t="shared" si="174"/>
        <v>0.29884378460237593</v>
      </c>
      <c r="K618">
        <f t="shared" si="179"/>
        <v>0.87296453972287291</v>
      </c>
      <c r="O618">
        <f t="shared" si="180"/>
        <v>0.18917894382840295</v>
      </c>
      <c r="P618">
        <f t="shared" si="181"/>
        <v>0.22559205516447053</v>
      </c>
      <c r="Q618">
        <f t="shared" si="182"/>
        <v>0.95567753549962686</v>
      </c>
      <c r="R618">
        <f t="shared" si="172"/>
        <v>1</v>
      </c>
      <c r="AG618" s="8">
        <f t="shared" si="175"/>
        <v>0.6260811012519848</v>
      </c>
      <c r="AH618" s="8">
        <f t="shared" si="176"/>
        <v>-5.4637025651010973E-2</v>
      </c>
      <c r="AI618" s="8">
        <f t="shared" si="177"/>
        <v>0.77784140419696923</v>
      </c>
      <c r="AJ618" s="8"/>
      <c r="AK618" s="8"/>
      <c r="AL618" s="8"/>
      <c r="AN618" s="8">
        <f t="shared" si="183"/>
        <v>1</v>
      </c>
      <c r="AO618" s="8">
        <f t="shared" si="184"/>
        <v>6.1961375506113052</v>
      </c>
      <c r="AP618" s="8">
        <f t="shared" si="185"/>
        <v>0.67957258355401107</v>
      </c>
      <c r="AQ618" s="8"/>
      <c r="AR618" s="8">
        <f t="shared" si="186"/>
        <v>355.01253093255531</v>
      </c>
      <c r="AS618" s="8">
        <f t="shared" si="187"/>
        <v>51.063359089553664</v>
      </c>
    </row>
    <row r="619" spans="1:45">
      <c r="A619" s="19">
        <v>24.391033329999999</v>
      </c>
      <c r="B619" s="19">
        <v>1259.3515159999999</v>
      </c>
      <c r="C619" s="19">
        <v>-184.022852</v>
      </c>
      <c r="E619" s="9">
        <f t="shared" si="173"/>
        <v>299.35151599999995</v>
      </c>
      <c r="F619" s="9">
        <f t="shared" si="178"/>
        <v>355.977148</v>
      </c>
      <c r="I619">
        <v>1</v>
      </c>
      <c r="J619">
        <f t="shared" si="174"/>
        <v>0.29902449812604015</v>
      </c>
      <c r="K619">
        <f t="shared" si="179"/>
        <v>0.87159206019701896</v>
      </c>
      <c r="O619">
        <f t="shared" si="180"/>
        <v>0.18959953666864909</v>
      </c>
      <c r="P619">
        <f t="shared" si="181"/>
        <v>0.22546437454964194</v>
      </c>
      <c r="Q619">
        <f t="shared" si="182"/>
        <v>0.95562431504434442</v>
      </c>
      <c r="R619">
        <f t="shared" si="172"/>
        <v>1</v>
      </c>
      <c r="AG619" s="8">
        <f t="shared" si="175"/>
        <v>0.62625596399760308</v>
      </c>
      <c r="AH619" s="8">
        <f t="shared" si="176"/>
        <v>-5.4246399418974106E-2</v>
      </c>
      <c r="AI619" s="8">
        <f t="shared" si="177"/>
        <v>0.77772797024892326</v>
      </c>
      <c r="AJ619" s="8"/>
      <c r="AK619" s="8"/>
      <c r="AL619" s="8"/>
      <c r="AN619" s="8">
        <f t="shared" si="183"/>
        <v>1</v>
      </c>
      <c r="AO619" s="8">
        <f t="shared" si="184"/>
        <v>6.1967808035595038</v>
      </c>
      <c r="AP619" s="8">
        <f t="shared" si="185"/>
        <v>0.6797530583166318</v>
      </c>
      <c r="AQ619" s="8"/>
      <c r="AR619" s="8">
        <f t="shared" si="186"/>
        <v>355.04938661164641</v>
      </c>
      <c r="AS619" s="8">
        <f t="shared" si="187"/>
        <v>51.053018647346875</v>
      </c>
    </row>
    <row r="620" spans="1:45">
      <c r="A620" s="19">
        <v>24.424399999999999</v>
      </c>
      <c r="B620" s="19">
        <v>1260.249665</v>
      </c>
      <c r="C620" s="19">
        <v>-184.5514082</v>
      </c>
      <c r="E620" s="9">
        <f t="shared" si="173"/>
        <v>300.24966500000005</v>
      </c>
      <c r="F620" s="9">
        <f t="shared" si="178"/>
        <v>355.44859180000003</v>
      </c>
      <c r="I620">
        <v>1</v>
      </c>
      <c r="J620">
        <f t="shared" si="174"/>
        <v>0.29913116026104697</v>
      </c>
      <c r="K620">
        <f t="shared" si="179"/>
        <v>0.86938356735108802</v>
      </c>
      <c r="O620">
        <f t="shared" si="180"/>
        <v>0.19016278375242565</v>
      </c>
      <c r="P620">
        <f t="shared" si="181"/>
        <v>0.22512296124482808</v>
      </c>
      <c r="Q620">
        <f t="shared" si="182"/>
        <v>0.95559288820914101</v>
      </c>
      <c r="R620">
        <f t="shared" si="172"/>
        <v>1</v>
      </c>
      <c r="AG620" s="8">
        <f t="shared" si="175"/>
        <v>0.62662124884293635</v>
      </c>
      <c r="AH620" s="8">
        <f t="shared" si="176"/>
        <v>-5.3763297216447015E-2</v>
      </c>
      <c r="AI620" s="8">
        <f t="shared" si="177"/>
        <v>0.77746724585086857</v>
      </c>
      <c r="AJ620" s="8"/>
      <c r="AK620" s="8"/>
      <c r="AL620" s="8"/>
      <c r="AN620" s="8">
        <f t="shared" si="183"/>
        <v>1</v>
      </c>
      <c r="AO620" s="8">
        <f t="shared" si="184"/>
        <v>6.1975962017408088</v>
      </c>
      <c r="AP620" s="8">
        <f t="shared" si="185"/>
        <v>0.68016772126884406</v>
      </c>
      <c r="AQ620" s="8"/>
      <c r="AR620" s="8">
        <f t="shared" si="186"/>
        <v>355.09610548605787</v>
      </c>
      <c r="AS620" s="8">
        <f t="shared" si="187"/>
        <v>51.029260210264674</v>
      </c>
    </row>
    <row r="621" spans="1:45">
      <c r="A621" s="19">
        <v>24.457766670000002</v>
      </c>
      <c r="B621" s="19">
        <v>1260.9742229999999</v>
      </c>
      <c r="C621" s="19">
        <v>-184.73900330000001</v>
      </c>
      <c r="E621" s="9">
        <f t="shared" si="173"/>
        <v>300.97422299999994</v>
      </c>
      <c r="F621" s="9">
        <f t="shared" si="178"/>
        <v>355.26099669999996</v>
      </c>
      <c r="I621">
        <v>1</v>
      </c>
      <c r="J621">
        <f t="shared" si="174"/>
        <v>0.29932945453422283</v>
      </c>
      <c r="K621">
        <f t="shared" si="179"/>
        <v>0.8679347958954754</v>
      </c>
      <c r="O621">
        <f t="shared" si="180"/>
        <v>0.19061121816669099</v>
      </c>
      <c r="P621">
        <f t="shared" si="181"/>
        <v>0.224991797214806</v>
      </c>
      <c r="Q621">
        <f t="shared" si="182"/>
        <v>0.95553443407083016</v>
      </c>
      <c r="R621">
        <f t="shared" si="172"/>
        <v>1</v>
      </c>
      <c r="AG621" s="8">
        <f t="shared" si="175"/>
        <v>0.62680346264988795</v>
      </c>
      <c r="AH621" s="8">
        <f t="shared" si="176"/>
        <v>-5.3345490693234965E-2</v>
      </c>
      <c r="AI621" s="8">
        <f t="shared" si="177"/>
        <v>0.77734913509491255</v>
      </c>
      <c r="AJ621" s="8"/>
      <c r="AK621" s="8"/>
      <c r="AL621" s="8"/>
      <c r="AN621" s="8">
        <f t="shared" si="183"/>
        <v>1</v>
      </c>
      <c r="AO621" s="8">
        <f t="shared" si="184"/>
        <v>6.1982826977737959</v>
      </c>
      <c r="AP621" s="8">
        <f t="shared" si="185"/>
        <v>0.68035549778366022</v>
      </c>
      <c r="AQ621" s="8"/>
      <c r="AR621" s="8">
        <f t="shared" si="186"/>
        <v>355.13543881140049</v>
      </c>
      <c r="AS621" s="8">
        <f t="shared" si="187"/>
        <v>51.018501408474037</v>
      </c>
    </row>
    <row r="622" spans="1:45">
      <c r="A622" s="19">
        <v>24.49113333</v>
      </c>
      <c r="B622" s="19">
        <v>1261.4329279999999</v>
      </c>
      <c r="C622" s="19">
        <v>-184.8327669</v>
      </c>
      <c r="E622" s="9">
        <f t="shared" si="173"/>
        <v>301.43292799999995</v>
      </c>
      <c r="F622" s="9">
        <f t="shared" si="178"/>
        <v>355.16723309999998</v>
      </c>
      <c r="I622">
        <v>1</v>
      </c>
      <c r="J622">
        <f t="shared" si="174"/>
        <v>0.2994669245294504</v>
      </c>
      <c r="K622">
        <f t="shared" si="179"/>
        <v>0.86705337663295245</v>
      </c>
      <c r="O622">
        <f t="shared" si="180"/>
        <v>0.19089445255556403</v>
      </c>
      <c r="P622">
        <f t="shared" si="181"/>
        <v>0.22492384948833097</v>
      </c>
      <c r="Q622">
        <f t="shared" si="182"/>
        <v>0.95549388795264523</v>
      </c>
      <c r="R622">
        <f t="shared" si="172"/>
        <v>1</v>
      </c>
      <c r="AG622" s="8">
        <f t="shared" si="175"/>
        <v>0.62690698513502263</v>
      </c>
      <c r="AH622" s="8">
        <f t="shared" si="176"/>
        <v>-5.3078062889337863E-2</v>
      </c>
      <c r="AI622" s="8">
        <f t="shared" si="177"/>
        <v>0.77728395791295735</v>
      </c>
      <c r="AJ622" s="8"/>
      <c r="AK622" s="8"/>
      <c r="AL622" s="8"/>
      <c r="AN622" s="8">
        <f t="shared" si="183"/>
        <v>1</v>
      </c>
      <c r="AO622" s="8">
        <f t="shared" si="184"/>
        <v>6.1987201821894864</v>
      </c>
      <c r="AP622" s="8">
        <f t="shared" si="185"/>
        <v>0.68045910004004229</v>
      </c>
      <c r="AQ622" s="8"/>
      <c r="AR622" s="8">
        <f t="shared" si="186"/>
        <v>355.16050482202229</v>
      </c>
      <c r="AS622" s="8">
        <f t="shared" si="187"/>
        <v>51.01256543643531</v>
      </c>
    </row>
    <row r="623" spans="1:45">
      <c r="A623" s="19">
        <v>24.5245</v>
      </c>
      <c r="B623" s="19">
        <v>1262.0545500000001</v>
      </c>
      <c r="C623" s="19">
        <v>-185.05251229999999</v>
      </c>
      <c r="E623" s="9">
        <f t="shared" si="173"/>
        <v>302.05455000000006</v>
      </c>
      <c r="F623" s="9">
        <f t="shared" si="178"/>
        <v>354.94748770000001</v>
      </c>
      <c r="I623">
        <v>1</v>
      </c>
      <c r="J623">
        <f t="shared" si="174"/>
        <v>0.29961046162352162</v>
      </c>
      <c r="K623">
        <f t="shared" si="179"/>
        <v>0.86573141258565378</v>
      </c>
      <c r="O623">
        <f t="shared" si="180"/>
        <v>0.19128050879188352</v>
      </c>
      <c r="P623">
        <f t="shared" si="181"/>
        <v>0.22477574345977178</v>
      </c>
      <c r="Q623">
        <f t="shared" si="182"/>
        <v>0.95545153310276554</v>
      </c>
      <c r="R623">
        <f t="shared" si="172"/>
        <v>1</v>
      </c>
      <c r="AG623" s="8">
        <f t="shared" si="175"/>
        <v>0.6270907339104721</v>
      </c>
      <c r="AH623" s="8">
        <f t="shared" si="176"/>
        <v>-5.2726562402040739E-2</v>
      </c>
      <c r="AI623" s="8">
        <f t="shared" si="177"/>
        <v>0.77715964966079476</v>
      </c>
      <c r="AJ623" s="8"/>
      <c r="AK623" s="8"/>
      <c r="AL623" s="8"/>
      <c r="AN623" s="8">
        <f t="shared" si="183"/>
        <v>1</v>
      </c>
      <c r="AO623" s="8">
        <f t="shared" si="184"/>
        <v>6.1993013791967009</v>
      </c>
      <c r="AP623" s="8">
        <f t="shared" si="185"/>
        <v>0.68065665721448765</v>
      </c>
      <c r="AQ623" s="8"/>
      <c r="AR623" s="8">
        <f t="shared" si="186"/>
        <v>355.19380495760134</v>
      </c>
      <c r="AS623" s="8">
        <f t="shared" si="187"/>
        <v>51.00124624412706</v>
      </c>
    </row>
    <row r="624" spans="1:45">
      <c r="A624" s="19">
        <v>24.557866669999999</v>
      </c>
      <c r="B624" s="19">
        <v>1262.470589</v>
      </c>
      <c r="C624" s="19">
        <v>-185.46491700000001</v>
      </c>
      <c r="E624" s="9">
        <f t="shared" si="173"/>
        <v>302.47058900000002</v>
      </c>
      <c r="F624" s="9">
        <f t="shared" si="178"/>
        <v>354.53508299999999</v>
      </c>
      <c r="I624">
        <v>1</v>
      </c>
      <c r="J624">
        <f t="shared" si="174"/>
        <v>0.29958355007830284</v>
      </c>
      <c r="K624">
        <f t="shared" si="179"/>
        <v>0.86447802577796395</v>
      </c>
      <c r="O624">
        <f t="shared" si="180"/>
        <v>0.1915454008650008</v>
      </c>
      <c r="P624">
        <f t="shared" si="181"/>
        <v>0.22451625732755567</v>
      </c>
      <c r="Q624">
        <f t="shared" si="182"/>
        <v>0.95545947564671363</v>
      </c>
      <c r="R624">
        <f t="shared" si="172"/>
        <v>1</v>
      </c>
      <c r="AG624" s="8">
        <f t="shared" si="175"/>
        <v>0.62733833169671716</v>
      </c>
      <c r="AH624" s="8">
        <f t="shared" si="176"/>
        <v>-5.2522472840313639E-2</v>
      </c>
      <c r="AI624" s="8">
        <f t="shared" si="177"/>
        <v>0.77697362080750088</v>
      </c>
      <c r="AJ624" s="8"/>
      <c r="AK624" s="8"/>
      <c r="AL624" s="8"/>
      <c r="AN624" s="8">
        <f t="shared" si="183"/>
        <v>1</v>
      </c>
      <c r="AO624" s="8">
        <f t="shared" si="184"/>
        <v>6.1996573843925189</v>
      </c>
      <c r="AP624" s="8">
        <f t="shared" si="185"/>
        <v>0.68095221399412065</v>
      </c>
      <c r="AQ624" s="8"/>
      <c r="AR624" s="8">
        <f t="shared" si="186"/>
        <v>355.2142025528064</v>
      </c>
      <c r="AS624" s="8">
        <f t="shared" si="187"/>
        <v>50.984312088047609</v>
      </c>
    </row>
    <row r="625" spans="1:45">
      <c r="A625" s="19">
        <v>24.591233330000001</v>
      </c>
      <c r="B625" s="19">
        <v>1263.337223</v>
      </c>
      <c r="C625" s="19">
        <v>-185.82187709999999</v>
      </c>
      <c r="E625" s="9">
        <f t="shared" si="173"/>
        <v>303.33722299999999</v>
      </c>
      <c r="F625" s="9">
        <f t="shared" si="178"/>
        <v>354.17812290000001</v>
      </c>
      <c r="I625">
        <v>1</v>
      </c>
      <c r="J625">
        <f t="shared" si="174"/>
        <v>0.29976166848926994</v>
      </c>
      <c r="K625">
        <f t="shared" si="179"/>
        <v>0.86256737240519743</v>
      </c>
      <c r="O625">
        <f t="shared" si="180"/>
        <v>0.19208472420742792</v>
      </c>
      <c r="P625">
        <f t="shared" si="181"/>
        <v>0.22427912534015323</v>
      </c>
      <c r="Q625">
        <f t="shared" si="182"/>
        <v>0.95540689376977606</v>
      </c>
      <c r="R625">
        <f t="shared" si="172"/>
        <v>1</v>
      </c>
      <c r="AG625" s="8">
        <f t="shared" si="175"/>
        <v>0.62761793399966903</v>
      </c>
      <c r="AH625" s="8">
        <f t="shared" si="176"/>
        <v>-5.2038385213692862E-2</v>
      </c>
      <c r="AI625" s="8">
        <f t="shared" si="177"/>
        <v>0.77678036495932257</v>
      </c>
      <c r="AJ625" s="8"/>
      <c r="AK625" s="8"/>
      <c r="AL625" s="8"/>
      <c r="AN625" s="8">
        <f t="shared" si="183"/>
        <v>1</v>
      </c>
      <c r="AO625" s="8">
        <f t="shared" si="184"/>
        <v>6.2004604174252558</v>
      </c>
      <c r="AP625" s="8">
        <f t="shared" si="185"/>
        <v>0.6812591386625283</v>
      </c>
      <c r="AQ625" s="8"/>
      <c r="AR625" s="8">
        <f t="shared" si="186"/>
        <v>355.26021295639185</v>
      </c>
      <c r="AS625" s="8">
        <f t="shared" si="187"/>
        <v>50.966726599919404</v>
      </c>
    </row>
    <row r="626" spans="1:45">
      <c r="A626" s="19">
        <v>24.624600000000001</v>
      </c>
      <c r="B626" s="19">
        <v>1264.191838</v>
      </c>
      <c r="C626" s="19">
        <v>-185.8943396</v>
      </c>
      <c r="E626" s="9">
        <f t="shared" si="173"/>
        <v>304.19183799999996</v>
      </c>
      <c r="F626" s="9">
        <f t="shared" si="178"/>
        <v>354.10566040000003</v>
      </c>
      <c r="I626">
        <v>1</v>
      </c>
      <c r="J626">
        <f t="shared" si="174"/>
        <v>0.30006771884758837</v>
      </c>
      <c r="K626">
        <f t="shared" si="179"/>
        <v>0.86107595119129965</v>
      </c>
      <c r="O626">
        <f t="shared" si="180"/>
        <v>0.19260953197416336</v>
      </c>
      <c r="P626">
        <f t="shared" si="181"/>
        <v>0.22421418657211328</v>
      </c>
      <c r="Q626">
        <f t="shared" si="182"/>
        <v>0.95531647464727587</v>
      </c>
      <c r="R626">
        <f t="shared" si="172"/>
        <v>1</v>
      </c>
      <c r="AG626" s="8">
        <f t="shared" si="175"/>
        <v>0.62776209252213466</v>
      </c>
      <c r="AH626" s="8">
        <f t="shared" si="176"/>
        <v>-5.1528257687971007E-2</v>
      </c>
      <c r="AI626" s="8">
        <f t="shared" si="177"/>
        <v>0.77669787810439717</v>
      </c>
      <c r="AJ626" s="8"/>
      <c r="AK626" s="8"/>
      <c r="AL626" s="8"/>
      <c r="AN626" s="8">
        <f t="shared" si="183"/>
        <v>1</v>
      </c>
      <c r="AO626" s="8">
        <f t="shared" si="184"/>
        <v>6.201286448556445</v>
      </c>
      <c r="AP626" s="8">
        <f t="shared" si="185"/>
        <v>0.6813901070859687</v>
      </c>
      <c r="AQ626" s="8"/>
      <c r="AR626" s="8">
        <f t="shared" si="186"/>
        <v>355.30754105395539</v>
      </c>
      <c r="AS626" s="8">
        <f t="shared" si="187"/>
        <v>50.959222662006788</v>
      </c>
    </row>
    <row r="627" spans="1:45">
      <c r="A627" s="19">
        <v>24.65796667</v>
      </c>
      <c r="B627" s="19">
        <v>1264.361044</v>
      </c>
      <c r="C627" s="19">
        <v>-186.122356</v>
      </c>
      <c r="E627" s="9">
        <f t="shared" si="173"/>
        <v>304.36104399999999</v>
      </c>
      <c r="F627" s="9">
        <f t="shared" si="178"/>
        <v>353.87764400000003</v>
      </c>
      <c r="I627">
        <v>1</v>
      </c>
      <c r="J627">
        <f t="shared" si="174"/>
        <v>0.30002949917928673</v>
      </c>
      <c r="K627">
        <f t="shared" si="179"/>
        <v>0.86048264718489664</v>
      </c>
      <c r="O627">
        <f t="shared" si="180"/>
        <v>0.19271871674056465</v>
      </c>
      <c r="P627">
        <f t="shared" si="181"/>
        <v>0.22407218919532418</v>
      </c>
      <c r="Q627">
        <f t="shared" si="182"/>
        <v>0.95532777110638045</v>
      </c>
      <c r="R627">
        <f t="shared" si="172"/>
        <v>1</v>
      </c>
      <c r="AG627" s="8">
        <f t="shared" si="175"/>
        <v>0.6278909824264296</v>
      </c>
      <c r="AH627" s="8">
        <f t="shared" si="176"/>
        <v>-5.1452313927253857E-2</v>
      </c>
      <c r="AI627" s="8">
        <f t="shared" si="177"/>
        <v>0.77659872107743289</v>
      </c>
      <c r="AJ627" s="8"/>
      <c r="AK627" s="8"/>
      <c r="AL627" s="8"/>
      <c r="AN627" s="8">
        <f t="shared" si="183"/>
        <v>1</v>
      </c>
      <c r="AO627" s="8">
        <f t="shared" si="184"/>
        <v>6.2014233278498105</v>
      </c>
      <c r="AP627" s="8">
        <f t="shared" si="185"/>
        <v>0.68154751556966597</v>
      </c>
      <c r="AQ627" s="8"/>
      <c r="AR627" s="8">
        <f t="shared" si="186"/>
        <v>355.31538365976797</v>
      </c>
      <c r="AS627" s="8">
        <f t="shared" si="187"/>
        <v>50.95020382023138</v>
      </c>
    </row>
    <row r="628" spans="1:45">
      <c r="A628" s="19">
        <v>24.691333329999999</v>
      </c>
      <c r="B628" s="19">
        <v>1265.2590029999999</v>
      </c>
      <c r="C628" s="19">
        <v>-186.7900855</v>
      </c>
      <c r="E628" s="9">
        <f t="shared" si="173"/>
        <v>305.25900299999989</v>
      </c>
      <c r="F628" s="9">
        <f t="shared" si="178"/>
        <v>353.20991449999997</v>
      </c>
      <c r="I628">
        <v>1</v>
      </c>
      <c r="J628">
        <f t="shared" si="174"/>
        <v>0.30007870722913577</v>
      </c>
      <c r="K628">
        <f t="shared" si="179"/>
        <v>0.85809167614430359</v>
      </c>
      <c r="O628">
        <f t="shared" si="180"/>
        <v>0.19328465414595242</v>
      </c>
      <c r="P628">
        <f t="shared" si="181"/>
        <v>0.22364633145661533</v>
      </c>
      <c r="Q628">
        <f t="shared" si="182"/>
        <v>0.95531322658993756</v>
      </c>
      <c r="R628">
        <f t="shared" si="172"/>
        <v>1</v>
      </c>
      <c r="AG628" s="8">
        <f t="shared" si="175"/>
        <v>0.62832001855350839</v>
      </c>
      <c r="AH628" s="8">
        <f t="shared" si="176"/>
        <v>-5.0985687063560992E-2</v>
      </c>
      <c r="AI628" s="8">
        <f t="shared" si="177"/>
        <v>0.77628243185040302</v>
      </c>
      <c r="AJ628" s="8"/>
      <c r="AK628" s="8"/>
      <c r="AL628" s="8"/>
      <c r="AN628" s="8">
        <f t="shared" si="183"/>
        <v>1</v>
      </c>
      <c r="AO628" s="8">
        <f t="shared" si="184"/>
        <v>6.2022166646824823</v>
      </c>
      <c r="AP628" s="8">
        <f t="shared" si="185"/>
        <v>0.68204941024981858</v>
      </c>
      <c r="AQ628" s="8"/>
      <c r="AR628" s="8">
        <f t="shared" si="186"/>
        <v>355.36083851201232</v>
      </c>
      <c r="AS628" s="8">
        <f t="shared" si="187"/>
        <v>50.921447373298562</v>
      </c>
    </row>
    <row r="629" spans="1:45">
      <c r="A629" s="19">
        <v>24.724699999999999</v>
      </c>
      <c r="B629" s="19">
        <v>1266.037243</v>
      </c>
      <c r="C629" s="19">
        <v>-186.75024500000001</v>
      </c>
      <c r="E629" s="9">
        <f t="shared" si="173"/>
        <v>306.03724299999999</v>
      </c>
      <c r="F629" s="9">
        <f t="shared" si="178"/>
        <v>353.24975499999999</v>
      </c>
      <c r="I629">
        <v>1</v>
      </c>
      <c r="J629">
        <f t="shared" si="174"/>
        <v>0.30040786353076165</v>
      </c>
      <c r="K629">
        <f t="shared" si="179"/>
        <v>0.85688759735816</v>
      </c>
      <c r="O629">
        <f t="shared" si="180"/>
        <v>0.19375968922336587</v>
      </c>
      <c r="P629">
        <f t="shared" si="181"/>
        <v>0.22365108924677557</v>
      </c>
      <c r="Q629">
        <f t="shared" si="182"/>
        <v>0.9552158777526657</v>
      </c>
      <c r="R629">
        <f t="shared" si="172"/>
        <v>1</v>
      </c>
      <c r="AG629" s="8">
        <f t="shared" si="175"/>
        <v>0.62840114820749893</v>
      </c>
      <c r="AH629" s="8">
        <f t="shared" si="176"/>
        <v>-5.0508837400568968E-2</v>
      </c>
      <c r="AI629" s="8">
        <f t="shared" si="177"/>
        <v>0.77624793350832166</v>
      </c>
      <c r="AJ629" s="8"/>
      <c r="AK629" s="8"/>
      <c r="AL629" s="8"/>
      <c r="AN629" s="8">
        <f t="shared" si="183"/>
        <v>0.99999999999999989</v>
      </c>
      <c r="AO629" s="8">
        <f t="shared" si="184"/>
        <v>6.2029809858174163</v>
      </c>
      <c r="AP629" s="8">
        <f t="shared" si="185"/>
        <v>0.68210413421226379</v>
      </c>
      <c r="AQ629" s="8"/>
      <c r="AR629" s="8">
        <f t="shared" si="186"/>
        <v>355.40463088723669</v>
      </c>
      <c r="AS629" s="8">
        <f t="shared" si="187"/>
        <v>50.918311921212222</v>
      </c>
    </row>
    <row r="630" spans="1:45">
      <c r="A630" s="19">
        <v>24.758066670000002</v>
      </c>
      <c r="B630" s="19">
        <v>1266.3642159999999</v>
      </c>
      <c r="C630" s="19">
        <v>-186.74889730000001</v>
      </c>
      <c r="E630" s="9">
        <f t="shared" si="173"/>
        <v>306.36421599999994</v>
      </c>
      <c r="F630" s="9">
        <f t="shared" si="178"/>
        <v>353.25110269999999</v>
      </c>
      <c r="I630">
        <v>1</v>
      </c>
      <c r="J630">
        <f t="shared" si="174"/>
        <v>0.30053916609159526</v>
      </c>
      <c r="K630">
        <f t="shared" si="179"/>
        <v>0.85636097437585712</v>
      </c>
      <c r="O630">
        <f t="shared" si="180"/>
        <v>0.19395961603218773</v>
      </c>
      <c r="P630">
        <f t="shared" si="181"/>
        <v>0.22364376994550475</v>
      </c>
      <c r="Q630">
        <f t="shared" si="182"/>
        <v>0.95517701580032188</v>
      </c>
      <c r="R630">
        <f t="shared" si="172"/>
        <v>1</v>
      </c>
      <c r="AG630" s="8">
        <f t="shared" si="175"/>
        <v>0.6284424129671552</v>
      </c>
      <c r="AH630" s="8">
        <f t="shared" si="176"/>
        <v>-5.0310315563799696E-2</v>
      </c>
      <c r="AI630" s="8">
        <f t="shared" si="177"/>
        <v>0.77622741882253199</v>
      </c>
      <c r="AJ630" s="8"/>
      <c r="AK630" s="8"/>
      <c r="AL630" s="8"/>
      <c r="AN630" s="8">
        <f t="shared" si="183"/>
        <v>1</v>
      </c>
      <c r="AO630" s="8">
        <f t="shared" si="184"/>
        <v>6.2033001051268304</v>
      </c>
      <c r="AP630" s="8">
        <f t="shared" si="185"/>
        <v>0.68213667445954729</v>
      </c>
      <c r="AQ630" s="8"/>
      <c r="AR630" s="8">
        <f t="shared" si="186"/>
        <v>355.42291507682728</v>
      </c>
      <c r="AS630" s="8">
        <f t="shared" si="187"/>
        <v>50.916447502378567</v>
      </c>
    </row>
    <row r="631" spans="1:45">
      <c r="A631" s="19">
        <v>24.79143333</v>
      </c>
      <c r="B631" s="19">
        <v>1267.2853700000001</v>
      </c>
      <c r="C631" s="19">
        <v>-187.64001920000001</v>
      </c>
      <c r="E631" s="9">
        <f t="shared" si="173"/>
        <v>307.28537000000006</v>
      </c>
      <c r="F631" s="9">
        <f t="shared" si="178"/>
        <v>352.35998080000002</v>
      </c>
      <c r="I631">
        <v>1</v>
      </c>
      <c r="J631">
        <f t="shared" si="174"/>
        <v>0.30049771904670303</v>
      </c>
      <c r="K631">
        <f t="shared" si="179"/>
        <v>0.85362369159795659</v>
      </c>
      <c r="O631">
        <f t="shared" si="180"/>
        <v>0.19454504440068054</v>
      </c>
      <c r="P631">
        <f t="shared" si="181"/>
        <v>0.22308217312708037</v>
      </c>
      <c r="Q631">
        <f t="shared" si="182"/>
        <v>0.95518928476613296</v>
      </c>
      <c r="R631">
        <f t="shared" si="172"/>
        <v>1</v>
      </c>
      <c r="AG631" s="8">
        <f t="shared" si="175"/>
        <v>0.62897864350758237</v>
      </c>
      <c r="AH631" s="8">
        <f t="shared" si="176"/>
        <v>-4.9855763137551384E-2</v>
      </c>
      <c r="AI631" s="8">
        <f t="shared" si="177"/>
        <v>0.775822317862366</v>
      </c>
      <c r="AJ631" s="8"/>
      <c r="AK631" s="8"/>
      <c r="AL631" s="8"/>
      <c r="AN631" s="8">
        <f t="shared" si="183"/>
        <v>1</v>
      </c>
      <c r="AO631" s="8">
        <f t="shared" si="184"/>
        <v>6.2040860517966179</v>
      </c>
      <c r="AP631" s="8">
        <f t="shared" si="185"/>
        <v>0.68277897589462544</v>
      </c>
      <c r="AQ631" s="8"/>
      <c r="AR631" s="8">
        <f t="shared" si="186"/>
        <v>355.46794650392843</v>
      </c>
      <c r="AS631" s="8">
        <f t="shared" si="187"/>
        <v>50.879646340973387</v>
      </c>
    </row>
    <row r="632" spans="1:45">
      <c r="A632" s="19">
        <v>24.8248</v>
      </c>
      <c r="B632" s="19">
        <v>1267.6929190000001</v>
      </c>
      <c r="C632" s="19">
        <v>-187.64619200000001</v>
      </c>
      <c r="E632" s="9">
        <f t="shared" si="173"/>
        <v>307.69291900000007</v>
      </c>
      <c r="F632" s="9">
        <f t="shared" si="178"/>
        <v>352.35380799999996</v>
      </c>
      <c r="I632">
        <v>1</v>
      </c>
      <c r="J632">
        <f t="shared" si="174"/>
        <v>0.30065838163589942</v>
      </c>
      <c r="K632">
        <f t="shared" si="179"/>
        <v>0.8529584082023367</v>
      </c>
      <c r="O632">
        <f t="shared" si="180"/>
        <v>0.19479435327480579</v>
      </c>
      <c r="P632">
        <f t="shared" si="181"/>
        <v>0.22306828631722614</v>
      </c>
      <c r="Q632">
        <f t="shared" si="182"/>
        <v>0.95514171700944261</v>
      </c>
      <c r="R632">
        <f t="shared" si="172"/>
        <v>1</v>
      </c>
      <c r="AG632" s="8">
        <f t="shared" si="175"/>
        <v>0.62903360168221711</v>
      </c>
      <c r="AH632" s="8">
        <f t="shared" si="176"/>
        <v>-4.9609261442147584E-2</v>
      </c>
      <c r="AI632" s="8">
        <f t="shared" si="177"/>
        <v>0.77579356089997453</v>
      </c>
      <c r="AJ632" s="8"/>
      <c r="AK632" s="8"/>
      <c r="AL632" s="8"/>
      <c r="AN632" s="8">
        <f t="shared" si="183"/>
        <v>1</v>
      </c>
      <c r="AO632" s="8">
        <f t="shared" si="184"/>
        <v>6.2044823732053036</v>
      </c>
      <c r="AP632" s="8">
        <f t="shared" si="185"/>
        <v>0.68282455175737944</v>
      </c>
      <c r="AQ632" s="8"/>
      <c r="AR632" s="8">
        <f t="shared" si="186"/>
        <v>355.49065404797682</v>
      </c>
      <c r="AS632" s="8">
        <f t="shared" si="187"/>
        <v>50.87703503638992</v>
      </c>
    </row>
    <row r="633" spans="1:45">
      <c r="A633" s="19">
        <v>24.858166669999999</v>
      </c>
      <c r="B633" s="19">
        <v>1268.2342470000001</v>
      </c>
      <c r="C633" s="19">
        <v>-187.9069317</v>
      </c>
      <c r="E633" s="9">
        <f t="shared" si="173"/>
        <v>308.2342470000001</v>
      </c>
      <c r="F633" s="9">
        <f t="shared" si="178"/>
        <v>352.09306830000003</v>
      </c>
      <c r="I633">
        <v>1</v>
      </c>
      <c r="J633">
        <f t="shared" si="174"/>
        <v>0.30075601342810626</v>
      </c>
      <c r="K633">
        <f t="shared" si="179"/>
        <v>0.85172056854110645</v>
      </c>
      <c r="O633">
        <f t="shared" si="180"/>
        <v>0.1951317500571306</v>
      </c>
      <c r="P633">
        <f t="shared" si="181"/>
        <v>0.22289715457985368</v>
      </c>
      <c r="Q633">
        <f t="shared" si="182"/>
        <v>0.95511279888809275</v>
      </c>
      <c r="R633">
        <f t="shared" si="172"/>
        <v>1</v>
      </c>
      <c r="AG633" s="8">
        <f t="shared" si="175"/>
        <v>0.62922505915363969</v>
      </c>
      <c r="AH633" s="8">
        <f t="shared" si="176"/>
        <v>-4.931138598029311E-2</v>
      </c>
      <c r="AI633" s="8">
        <f t="shared" si="177"/>
        <v>0.77565727750456981</v>
      </c>
      <c r="AJ633" s="8"/>
      <c r="AK633" s="8"/>
      <c r="AL633" s="8"/>
      <c r="AN633" s="8">
        <f t="shared" si="183"/>
        <v>1</v>
      </c>
      <c r="AO633" s="8">
        <f t="shared" si="184"/>
        <v>6.2049767152493596</v>
      </c>
      <c r="AP633" s="8">
        <f t="shared" si="185"/>
        <v>0.68304050762934021</v>
      </c>
      <c r="AQ633" s="8"/>
      <c r="AR633" s="8">
        <f t="shared" si="186"/>
        <v>355.51897776073713</v>
      </c>
      <c r="AS633" s="8">
        <f t="shared" si="187"/>
        <v>50.8646616763655</v>
      </c>
    </row>
    <row r="634" spans="1:45">
      <c r="A634" s="19">
        <v>24.891533330000001</v>
      </c>
      <c r="B634" s="19">
        <v>1268.956042</v>
      </c>
      <c r="C634" s="19">
        <v>-188.61244310000001</v>
      </c>
      <c r="E634" s="9">
        <f t="shared" si="173"/>
        <v>308.95604200000002</v>
      </c>
      <c r="F634" s="9">
        <f t="shared" si="178"/>
        <v>351.38755689999999</v>
      </c>
      <c r="I634">
        <v>1</v>
      </c>
      <c r="J634">
        <f t="shared" si="174"/>
        <v>0.30072287731889402</v>
      </c>
      <c r="K634">
        <f t="shared" si="179"/>
        <v>0.84956666651343649</v>
      </c>
      <c r="O634">
        <f t="shared" si="180"/>
        <v>0.19559049765058217</v>
      </c>
      <c r="P634">
        <f t="shared" si="181"/>
        <v>0.22245257505691782</v>
      </c>
      <c r="Q634">
        <f t="shared" si="182"/>
        <v>0.95512261468323734</v>
      </c>
      <c r="R634">
        <f t="shared" si="172"/>
        <v>1</v>
      </c>
      <c r="AG634" s="8">
        <f t="shared" si="175"/>
        <v>0.62964809853691128</v>
      </c>
      <c r="AH634" s="8">
        <f t="shared" si="176"/>
        <v>-4.8956010431064706E-2</v>
      </c>
      <c r="AI634" s="8">
        <f t="shared" si="177"/>
        <v>0.77533643088115334</v>
      </c>
      <c r="AJ634" s="8"/>
      <c r="AK634" s="8"/>
      <c r="AL634" s="8"/>
      <c r="AN634" s="8">
        <f t="shared" si="183"/>
        <v>1</v>
      </c>
      <c r="AO634" s="8">
        <f t="shared" si="184"/>
        <v>6.2055900346143842</v>
      </c>
      <c r="AP634" s="8">
        <f t="shared" si="185"/>
        <v>0.68354869788101047</v>
      </c>
      <c r="AQ634" s="8"/>
      <c r="AR634" s="8">
        <f t="shared" si="186"/>
        <v>355.55411837184664</v>
      </c>
      <c r="AS634" s="8">
        <f t="shared" si="187"/>
        <v>50.835544519755103</v>
      </c>
    </row>
    <row r="635" spans="1:45">
      <c r="A635" s="19">
        <v>24.924900000000001</v>
      </c>
      <c r="B635" s="19">
        <v>1269.5478909999999</v>
      </c>
      <c r="C635" s="19">
        <v>-188.9490849</v>
      </c>
      <c r="E635" s="9">
        <f t="shared" si="173"/>
        <v>309.54789099999994</v>
      </c>
      <c r="F635" s="9">
        <f t="shared" si="178"/>
        <v>351.0509151</v>
      </c>
      <c r="I635">
        <v>1</v>
      </c>
      <c r="J635">
        <f t="shared" si="174"/>
        <v>0.30080735086037019</v>
      </c>
      <c r="K635">
        <f t="shared" si="179"/>
        <v>0.8481420654767341</v>
      </c>
      <c r="O635">
        <f t="shared" si="180"/>
        <v>0.19596056621576338</v>
      </c>
      <c r="P635">
        <f t="shared" si="181"/>
        <v>0.22223422641105281</v>
      </c>
      <c r="Q635">
        <f t="shared" si="182"/>
        <v>0.95509758930691391</v>
      </c>
      <c r="R635">
        <f t="shared" si="172"/>
        <v>1</v>
      </c>
      <c r="AG635" s="8">
        <f t="shared" si="175"/>
        <v>0.62988132687138998</v>
      </c>
      <c r="AH635" s="8">
        <f t="shared" si="176"/>
        <v>-4.8636351584414483E-2</v>
      </c>
      <c r="AI635" s="8">
        <f t="shared" si="177"/>
        <v>0.77516709125406913</v>
      </c>
      <c r="AJ635" s="8"/>
      <c r="AK635" s="8"/>
      <c r="AL635" s="8"/>
      <c r="AN635" s="8">
        <f t="shared" si="183"/>
        <v>1</v>
      </c>
      <c r="AO635" s="8">
        <f t="shared" si="184"/>
        <v>6.2061231140418585</v>
      </c>
      <c r="AP635" s="8">
        <f t="shared" si="185"/>
        <v>0.68381678779874944</v>
      </c>
      <c r="AQ635" s="8"/>
      <c r="AR635" s="8">
        <f t="shared" si="186"/>
        <v>355.58466157318617</v>
      </c>
      <c r="AS635" s="8">
        <f t="shared" si="187"/>
        <v>50.820184098938647</v>
      </c>
    </row>
    <row r="636" spans="1:45">
      <c r="A636" s="19">
        <v>24.95826667</v>
      </c>
      <c r="B636" s="19">
        <v>1270.2441140000001</v>
      </c>
      <c r="C636" s="19">
        <v>-189.4917705</v>
      </c>
      <c r="E636" s="9">
        <f t="shared" si="173"/>
        <v>310.24411400000008</v>
      </c>
      <c r="F636" s="9">
        <f t="shared" si="178"/>
        <v>350.50822949999997</v>
      </c>
      <c r="I636">
        <v>1</v>
      </c>
      <c r="J636">
        <f t="shared" si="174"/>
        <v>0.30084044858607106</v>
      </c>
      <c r="K636">
        <f t="shared" si="179"/>
        <v>0.84625967859109319</v>
      </c>
      <c r="O636">
        <f t="shared" si="180"/>
        <v>0.19639950125197386</v>
      </c>
      <c r="P636">
        <f t="shared" si="181"/>
        <v>0.22188863012083571</v>
      </c>
      <c r="Q636">
        <f t="shared" si="182"/>
        <v>0.95508778221222934</v>
      </c>
      <c r="R636">
        <f t="shared" si="172"/>
        <v>1</v>
      </c>
      <c r="AG636" s="8">
        <f t="shared" si="175"/>
        <v>0.63022431759116515</v>
      </c>
      <c r="AH636" s="8">
        <f t="shared" si="176"/>
        <v>-4.8277436982327226E-2</v>
      </c>
      <c r="AI636" s="8">
        <f t="shared" si="177"/>
        <v>0.77491070362666159</v>
      </c>
      <c r="AJ636" s="8"/>
      <c r="AK636" s="8"/>
      <c r="AL636" s="8"/>
      <c r="AN636" s="8">
        <f t="shared" si="183"/>
        <v>1</v>
      </c>
      <c r="AO636" s="8">
        <f t="shared" si="184"/>
        <v>6.2067310442620638</v>
      </c>
      <c r="AP636" s="8">
        <f t="shared" si="185"/>
        <v>0.68422251995284034</v>
      </c>
      <c r="AQ636" s="8"/>
      <c r="AR636" s="8">
        <f t="shared" si="186"/>
        <v>355.61949340904243</v>
      </c>
      <c r="AS636" s="8">
        <f t="shared" si="187"/>
        <v>50.796937358896493</v>
      </c>
    </row>
    <row r="637" spans="1:45">
      <c r="A637" s="19">
        <v>24.991633329999999</v>
      </c>
      <c r="B637" s="19">
        <v>1270.6628479999999</v>
      </c>
      <c r="C637" s="19">
        <v>-189.69782090000001</v>
      </c>
      <c r="E637" s="9">
        <f t="shared" si="173"/>
        <v>310.66284799999994</v>
      </c>
      <c r="F637" s="9">
        <f t="shared" si="178"/>
        <v>350.30217909999999</v>
      </c>
      <c r="I637">
        <v>1</v>
      </c>
      <c r="J637">
        <f t="shared" si="174"/>
        <v>0.30091576260697073</v>
      </c>
      <c r="K637">
        <f t="shared" si="179"/>
        <v>0.84529832317512832</v>
      </c>
      <c r="O637">
        <f t="shared" si="180"/>
        <v>0.1966604508759712</v>
      </c>
      <c r="P637">
        <f t="shared" si="181"/>
        <v>0.22175353418713664</v>
      </c>
      <c r="Q637">
        <f t="shared" si="182"/>
        <v>0.95506546222590116</v>
      </c>
      <c r="R637">
        <f t="shared" si="172"/>
        <v>1</v>
      </c>
      <c r="AG637" s="8">
        <f t="shared" si="175"/>
        <v>0.63037406703568077</v>
      </c>
      <c r="AH637" s="8">
        <f t="shared" si="176"/>
        <v>-4.8047528361635561E-2</v>
      </c>
      <c r="AI637" s="8">
        <f t="shared" si="177"/>
        <v>0.77480318186442232</v>
      </c>
      <c r="AJ637" s="8"/>
      <c r="AK637" s="8"/>
      <c r="AL637" s="8"/>
      <c r="AN637" s="8">
        <f t="shared" si="183"/>
        <v>1.0000000000000002</v>
      </c>
      <c r="AO637" s="8">
        <f t="shared" si="184"/>
        <v>6.2071117369056141</v>
      </c>
      <c r="AP637" s="8">
        <f t="shared" si="185"/>
        <v>0.68439261255299344</v>
      </c>
      <c r="AQ637" s="8"/>
      <c r="AR637" s="8">
        <f t="shared" si="186"/>
        <v>355.64130549080954</v>
      </c>
      <c r="AS637" s="8">
        <f t="shared" si="187"/>
        <v>50.787191770781313</v>
      </c>
    </row>
    <row r="638" spans="1:45">
      <c r="A638" s="19">
        <v>25.024999999999999</v>
      </c>
      <c r="B638" s="19">
        <v>1271.5701610000001</v>
      </c>
      <c r="C638" s="19">
        <v>-189.64645479999999</v>
      </c>
      <c r="E638" s="9">
        <f t="shared" si="173"/>
        <v>311.5701610000001</v>
      </c>
      <c r="F638" s="9">
        <f t="shared" si="178"/>
        <v>350.35354519999999</v>
      </c>
      <c r="I638">
        <v>1</v>
      </c>
      <c r="J638">
        <f t="shared" si="174"/>
        <v>0.30130667639096492</v>
      </c>
      <c r="K638">
        <f t="shared" si="179"/>
        <v>0.84392317728395227</v>
      </c>
      <c r="O638">
        <f t="shared" si="180"/>
        <v>0.19721329671876778</v>
      </c>
      <c r="P638">
        <f t="shared" si="181"/>
        <v>0.22176185756761152</v>
      </c>
      <c r="Q638">
        <f t="shared" si="182"/>
        <v>0.95494952438622516</v>
      </c>
      <c r="R638">
        <f t="shared" si="172"/>
        <v>1</v>
      </c>
      <c r="AG638" s="8">
        <f t="shared" si="175"/>
        <v>0.63046488482624952</v>
      </c>
      <c r="AH638" s="8">
        <f t="shared" si="176"/>
        <v>-4.7491351243424657E-2</v>
      </c>
      <c r="AI638" s="8">
        <f t="shared" si="177"/>
        <v>0.77476357720152123</v>
      </c>
      <c r="AJ638" s="8"/>
      <c r="AK638" s="8"/>
      <c r="AL638" s="8"/>
      <c r="AN638" s="8">
        <f t="shared" si="183"/>
        <v>1</v>
      </c>
      <c r="AO638" s="8">
        <f t="shared" si="184"/>
        <v>6.207999787281234</v>
      </c>
      <c r="AP638" s="8">
        <f t="shared" si="185"/>
        <v>0.6844552556796738</v>
      </c>
      <c r="AQ638" s="8"/>
      <c r="AR638" s="8">
        <f t="shared" si="186"/>
        <v>355.69218702932756</v>
      </c>
      <c r="AS638" s="8">
        <f t="shared" si="187"/>
        <v>50.783602584007021</v>
      </c>
    </row>
    <row r="639" spans="1:45">
      <c r="A639" s="19">
        <v>25.058366670000002</v>
      </c>
      <c r="B639" s="19">
        <v>1272.4303440000001</v>
      </c>
      <c r="C639" s="19">
        <v>-189.76206730000001</v>
      </c>
      <c r="E639" s="9">
        <f t="shared" si="173"/>
        <v>312.4303440000001</v>
      </c>
      <c r="F639" s="9">
        <f t="shared" si="178"/>
        <v>350.23793269999999</v>
      </c>
      <c r="I639">
        <v>1</v>
      </c>
      <c r="J639">
        <f t="shared" si="174"/>
        <v>0.3016029245819678</v>
      </c>
      <c r="K639">
        <f t="shared" si="179"/>
        <v>0.84238994548303625</v>
      </c>
      <c r="O639">
        <f t="shared" si="180"/>
        <v>0.19774139104887303</v>
      </c>
      <c r="P639">
        <f t="shared" si="181"/>
        <v>0.22167032537076345</v>
      </c>
      <c r="Q639">
        <f t="shared" si="182"/>
        <v>0.95486156541986578</v>
      </c>
      <c r="R639">
        <f t="shared" si="172"/>
        <v>1</v>
      </c>
      <c r="AG639" s="8">
        <f t="shared" si="175"/>
        <v>0.63062782704144649</v>
      </c>
      <c r="AH639" s="8">
        <f t="shared" si="176"/>
        <v>-4.6983298862121214E-2</v>
      </c>
      <c r="AI639" s="8">
        <f t="shared" si="177"/>
        <v>0.77466193490387536</v>
      </c>
      <c r="AJ639" s="8"/>
      <c r="AK639" s="8"/>
      <c r="AL639" s="8"/>
      <c r="AN639" s="8">
        <f t="shared" si="183"/>
        <v>1</v>
      </c>
      <c r="AO639" s="8">
        <f t="shared" si="184"/>
        <v>6.2088202751454133</v>
      </c>
      <c r="AP639" s="8">
        <f t="shared" si="185"/>
        <v>0.68461600240703191</v>
      </c>
      <c r="AQ639" s="8"/>
      <c r="AR639" s="8">
        <f t="shared" si="186"/>
        <v>355.73919752108674</v>
      </c>
      <c r="AS639" s="8">
        <f t="shared" si="187"/>
        <v>50.774392474958866</v>
      </c>
    </row>
    <row r="640" spans="1:45">
      <c r="A640" s="19">
        <v>25.09173333</v>
      </c>
      <c r="B640" s="19">
        <v>1273.2598379999999</v>
      </c>
      <c r="C640" s="19">
        <v>-189.85887109999999</v>
      </c>
      <c r="E640" s="9">
        <f t="shared" si="173"/>
        <v>313.25983799999995</v>
      </c>
      <c r="F640" s="9">
        <f t="shared" si="178"/>
        <v>350.14112890000001</v>
      </c>
      <c r="I640">
        <v>1</v>
      </c>
      <c r="J640">
        <f t="shared" si="174"/>
        <v>0.30189586210236546</v>
      </c>
      <c r="K640">
        <f t="shared" si="179"/>
        <v>0.8409352615210115</v>
      </c>
      <c r="O640">
        <f t="shared" si="180"/>
        <v>0.19825013781265213</v>
      </c>
      <c r="P640">
        <f t="shared" si="181"/>
        <v>0.22159089240894841</v>
      </c>
      <c r="Q640">
        <f t="shared" si="182"/>
        <v>0.95477450702177336</v>
      </c>
      <c r="R640">
        <f t="shared" si="172"/>
        <v>1</v>
      </c>
      <c r="AG640" s="8">
        <f t="shared" si="175"/>
        <v>0.63077786841822925</v>
      </c>
      <c r="AH640" s="8">
        <f t="shared" si="176"/>
        <v>-4.649172767851717E-2</v>
      </c>
      <c r="AI640" s="8">
        <f t="shared" si="177"/>
        <v>0.77456942876105161</v>
      </c>
      <c r="AJ640" s="8"/>
      <c r="AK640" s="8"/>
      <c r="AL640" s="8"/>
      <c r="AN640" s="8">
        <f t="shared" si="183"/>
        <v>1</v>
      </c>
      <c r="AO640" s="8">
        <f t="shared" si="184"/>
        <v>6.2096129533808107</v>
      </c>
      <c r="AP640" s="8">
        <f t="shared" si="185"/>
        <v>0.68476227284769897</v>
      </c>
      <c r="AQ640" s="8"/>
      <c r="AR640" s="8">
        <f t="shared" si="186"/>
        <v>355.78461463848686</v>
      </c>
      <c r="AS640" s="8">
        <f t="shared" si="187"/>
        <v>50.76601179604112</v>
      </c>
    </row>
    <row r="641" spans="1:45">
      <c r="A641" s="19">
        <v>25.1251</v>
      </c>
      <c r="B641" s="19">
        <v>1273.6138989999999</v>
      </c>
      <c r="C641" s="19">
        <v>-190.21214130000001</v>
      </c>
      <c r="E641" s="9">
        <f t="shared" si="173"/>
        <v>313.61389899999995</v>
      </c>
      <c r="F641" s="9">
        <f t="shared" si="178"/>
        <v>349.78785870000002</v>
      </c>
      <c r="I641">
        <v>1</v>
      </c>
      <c r="J641">
        <f t="shared" si="174"/>
        <v>0.30187943770858605</v>
      </c>
      <c r="K641">
        <f t="shared" si="179"/>
        <v>0.83987219980418992</v>
      </c>
      <c r="O641">
        <f t="shared" si="180"/>
        <v>0.19847512214248944</v>
      </c>
      <c r="P641">
        <f t="shared" si="181"/>
        <v>0.22136833922479424</v>
      </c>
      <c r="Q641">
        <f t="shared" si="182"/>
        <v>0.95477939037213222</v>
      </c>
      <c r="R641">
        <f t="shared" si="172"/>
        <v>1</v>
      </c>
      <c r="AG641" s="8">
        <f t="shared" si="175"/>
        <v>0.6309880936246961</v>
      </c>
      <c r="AH641" s="8">
        <f t="shared" si="176"/>
        <v>-4.6318220855177034E-2</v>
      </c>
      <c r="AI641" s="8">
        <f t="shared" si="177"/>
        <v>0.7744085795758483</v>
      </c>
      <c r="AJ641" s="8"/>
      <c r="AK641" s="8"/>
      <c r="AL641" s="8"/>
      <c r="AN641" s="8">
        <f t="shared" si="183"/>
        <v>1</v>
      </c>
      <c r="AO641" s="8">
        <f t="shared" si="184"/>
        <v>6.2099108741776812</v>
      </c>
      <c r="AP641" s="8">
        <f t="shared" si="185"/>
        <v>0.68501654473939955</v>
      </c>
      <c r="AQ641" s="8"/>
      <c r="AR641" s="8">
        <f t="shared" si="186"/>
        <v>355.80168424277673</v>
      </c>
      <c r="AS641" s="8">
        <f t="shared" si="187"/>
        <v>50.751443089797874</v>
      </c>
    </row>
    <row r="642" spans="1:45">
      <c r="A642" s="19">
        <v>25.158466669999999</v>
      </c>
      <c r="B642" s="19">
        <v>1274.2576349999999</v>
      </c>
      <c r="C642" s="19">
        <v>-190.70358200000001</v>
      </c>
      <c r="E642" s="9">
        <f t="shared" si="173"/>
        <v>314.25763499999994</v>
      </c>
      <c r="F642" s="9">
        <f t="shared" si="178"/>
        <v>349.29641800000002</v>
      </c>
      <c r="I642">
        <v>1</v>
      </c>
      <c r="J642">
        <f t="shared" si="174"/>
        <v>0.30191877331658112</v>
      </c>
      <c r="K642">
        <f t="shared" si="179"/>
        <v>0.83815388173128702</v>
      </c>
      <c r="O642">
        <f t="shared" si="180"/>
        <v>0.19888032938209801</v>
      </c>
      <c r="P642">
        <f t="shared" si="181"/>
        <v>0.22105488913205562</v>
      </c>
      <c r="Q642">
        <f t="shared" si="182"/>
        <v>0.95476769456013899</v>
      </c>
      <c r="R642">
        <f t="shared" si="172"/>
        <v>1</v>
      </c>
      <c r="AG642" s="8">
        <f t="shared" si="175"/>
        <v>0.63129945100854523</v>
      </c>
      <c r="AH642" s="8">
        <f t="shared" si="176"/>
        <v>-4.5985193732028862E-2</v>
      </c>
      <c r="AI642" s="8">
        <f t="shared" si="177"/>
        <v>0.77417463476513959</v>
      </c>
      <c r="AJ642" s="8"/>
      <c r="AK642" s="8"/>
      <c r="AL642" s="8"/>
      <c r="AN642" s="8">
        <f t="shared" si="183"/>
        <v>1</v>
      </c>
      <c r="AO642" s="8">
        <f t="shared" si="184"/>
        <v>6.2104716060833178</v>
      </c>
      <c r="AP642" s="8">
        <f t="shared" si="185"/>
        <v>0.68538622569363861</v>
      </c>
      <c r="AQ642" s="8"/>
      <c r="AR642" s="8">
        <f t="shared" si="186"/>
        <v>355.83381181440802</v>
      </c>
      <c r="AS642" s="8">
        <f t="shared" si="187"/>
        <v>50.730261931353603</v>
      </c>
    </row>
    <row r="643" spans="1:45">
      <c r="A643" s="19">
        <v>25.191833330000001</v>
      </c>
      <c r="B643" s="19">
        <v>1274.619972</v>
      </c>
      <c r="C643" s="19">
        <v>-190.64653029999999</v>
      </c>
      <c r="E643" s="9">
        <f t="shared" si="173"/>
        <v>314.61997199999996</v>
      </c>
      <c r="F643" s="9">
        <f t="shared" si="178"/>
        <v>349.35346970000001</v>
      </c>
      <c r="I643">
        <v>1</v>
      </c>
      <c r="J643">
        <f t="shared" si="174"/>
        <v>0.3020924068506603</v>
      </c>
      <c r="K643">
        <f t="shared" si="179"/>
        <v>0.83766210151283427</v>
      </c>
      <c r="O643">
        <f t="shared" si="180"/>
        <v>0.19909995283273366</v>
      </c>
      <c r="P643">
        <f t="shared" si="181"/>
        <v>0.22108024133706888</v>
      </c>
      <c r="Q643">
        <f t="shared" si="182"/>
        <v>0.9547160497615752</v>
      </c>
      <c r="R643">
        <f t="shared" si="172"/>
        <v>1</v>
      </c>
      <c r="AG643" s="8">
        <f t="shared" si="175"/>
        <v>0.63131825206500392</v>
      </c>
      <c r="AH643" s="8">
        <f t="shared" si="176"/>
        <v>-4.5758947867668154E-2</v>
      </c>
      <c r="AI643" s="8">
        <f t="shared" si="177"/>
        <v>0.77417270896075396</v>
      </c>
      <c r="AJ643" s="8"/>
      <c r="AK643" s="8"/>
      <c r="AL643" s="8"/>
      <c r="AN643" s="8">
        <f t="shared" si="183"/>
        <v>1</v>
      </c>
      <c r="AO643" s="8">
        <f t="shared" si="184"/>
        <v>6.2108302523454482</v>
      </c>
      <c r="AP643" s="8">
        <f t="shared" si="185"/>
        <v>0.68538926816724766</v>
      </c>
      <c r="AQ643" s="8"/>
      <c r="AR643" s="8">
        <f t="shared" si="186"/>
        <v>355.85436073156626</v>
      </c>
      <c r="AS643" s="8">
        <f t="shared" si="187"/>
        <v>50.730087610456522</v>
      </c>
    </row>
    <row r="644" spans="1:45">
      <c r="A644" s="19">
        <v>25.225200000000001</v>
      </c>
      <c r="B644" s="19">
        <v>1275.4249970000001</v>
      </c>
      <c r="C644" s="19">
        <v>-191.01217009999999</v>
      </c>
      <c r="E644" s="9">
        <f t="shared" si="173"/>
        <v>315.42499700000008</v>
      </c>
      <c r="F644" s="9">
        <f t="shared" si="178"/>
        <v>348.98782990000001</v>
      </c>
      <c r="I644">
        <v>1</v>
      </c>
      <c r="J644">
        <f t="shared" si="174"/>
        <v>0.30225563937233429</v>
      </c>
      <c r="K644">
        <f t="shared" si="179"/>
        <v>0.83587029003762248</v>
      </c>
      <c r="O644">
        <f t="shared" si="180"/>
        <v>0.19960026068830644</v>
      </c>
      <c r="P644">
        <f t="shared" si="181"/>
        <v>0.22083874926718741</v>
      </c>
      <c r="Q644">
        <f t="shared" si="182"/>
        <v>0.95466747234587623</v>
      </c>
      <c r="R644">
        <f t="shared" si="172"/>
        <v>1</v>
      </c>
      <c r="AG644" s="8">
        <f t="shared" si="175"/>
        <v>0.63159064568482182</v>
      </c>
      <c r="AH644" s="8">
        <f t="shared" si="176"/>
        <v>-4.5313560738897252E-2</v>
      </c>
      <c r="AI644" s="8">
        <f t="shared" si="177"/>
        <v>0.77397670345856795</v>
      </c>
      <c r="AJ644" s="8"/>
      <c r="AK644" s="8"/>
      <c r="AL644" s="8"/>
      <c r="AN644" s="8">
        <f t="shared" si="183"/>
        <v>0.99999999999999989</v>
      </c>
      <c r="AO644" s="8">
        <f t="shared" si="184"/>
        <v>6.2115628855952361</v>
      </c>
      <c r="AP644" s="8">
        <f t="shared" si="185"/>
        <v>0.68569886741196107</v>
      </c>
      <c r="AQ644" s="8"/>
      <c r="AR644" s="8">
        <f t="shared" si="186"/>
        <v>355.89633752471002</v>
      </c>
      <c r="AS644" s="8">
        <f t="shared" si="187"/>
        <v>50.712348880394011</v>
      </c>
    </row>
    <row r="645" spans="1:45">
      <c r="A645" s="19">
        <v>25.25856667</v>
      </c>
      <c r="B645" s="19">
        <v>1276.1443959999999</v>
      </c>
      <c r="C645" s="19">
        <v>-191.34908870000001</v>
      </c>
      <c r="E645" s="9">
        <f t="shared" si="173"/>
        <v>316.14439599999992</v>
      </c>
      <c r="F645" s="9">
        <f t="shared" si="178"/>
        <v>348.65091129999996</v>
      </c>
      <c r="I645">
        <v>1</v>
      </c>
      <c r="J645">
        <f t="shared" si="174"/>
        <v>0.30239768257801181</v>
      </c>
      <c r="K645">
        <f t="shared" si="179"/>
        <v>0.83425627840669403</v>
      </c>
      <c r="O645">
        <f t="shared" si="180"/>
        <v>0.20004752397645592</v>
      </c>
      <c r="P645">
        <f t="shared" si="181"/>
        <v>0.22061675746958354</v>
      </c>
      <c r="Q645">
        <f t="shared" si="182"/>
        <v>0.9546251800966159</v>
      </c>
      <c r="R645">
        <f t="shared" si="172"/>
        <v>1</v>
      </c>
      <c r="AG645" s="8">
        <f t="shared" si="175"/>
        <v>0.63183864097301945</v>
      </c>
      <c r="AH645" s="8">
        <f t="shared" si="176"/>
        <v>-4.4916745419670945E-2</v>
      </c>
      <c r="AI645" s="8">
        <f t="shared" si="177"/>
        <v>0.77379740097410021</v>
      </c>
      <c r="AJ645" s="8"/>
      <c r="AK645" s="8"/>
      <c r="AL645" s="8"/>
      <c r="AN645" s="8">
        <f t="shared" si="183"/>
        <v>1.0000000000000002</v>
      </c>
      <c r="AO645" s="8">
        <f t="shared" si="184"/>
        <v>6.2122157482138904</v>
      </c>
      <c r="AP645" s="8">
        <f t="shared" si="185"/>
        <v>0.68598198093717844</v>
      </c>
      <c r="AQ645" s="8"/>
      <c r="AR645" s="8">
        <f t="shared" si="186"/>
        <v>355.93374379736082</v>
      </c>
      <c r="AS645" s="8">
        <f t="shared" si="187"/>
        <v>50.696127670275985</v>
      </c>
    </row>
    <row r="646" spans="1:45">
      <c r="A646" s="19">
        <v>25.291933329999999</v>
      </c>
      <c r="B646" s="19">
        <v>1276.44589</v>
      </c>
      <c r="C646" s="19">
        <v>-191.61542850000001</v>
      </c>
      <c r="E646" s="9">
        <f t="shared" si="173"/>
        <v>316.44588999999996</v>
      </c>
      <c r="F646" s="9">
        <f t="shared" si="178"/>
        <v>348.38457149999999</v>
      </c>
      <c r="I646">
        <v>1</v>
      </c>
      <c r="J646">
        <f t="shared" si="174"/>
        <v>0.30240096797546068</v>
      </c>
      <c r="K646">
        <f t="shared" si="179"/>
        <v>0.83340159759787413</v>
      </c>
      <c r="O646">
        <f t="shared" si="180"/>
        <v>0.20023811653944976</v>
      </c>
      <c r="P646">
        <f t="shared" si="181"/>
        <v>0.22044802170937744</v>
      </c>
      <c r="Q646">
        <f t="shared" si="182"/>
        <v>0.95462420166741824</v>
      </c>
      <c r="R646">
        <f t="shared" si="172"/>
        <v>1</v>
      </c>
      <c r="AG646" s="8">
        <f t="shared" si="175"/>
        <v>0.6320011438376465</v>
      </c>
      <c r="AH646" s="8">
        <f t="shared" si="176"/>
        <v>-4.4764975010533531E-2</v>
      </c>
      <c r="AI646" s="8">
        <f t="shared" si="177"/>
        <v>0.77367347841335032</v>
      </c>
      <c r="AJ646" s="8"/>
      <c r="AK646" s="8"/>
      <c r="AL646" s="8"/>
      <c r="AN646" s="8">
        <f t="shared" si="183"/>
        <v>1</v>
      </c>
      <c r="AO646" s="8">
        <f t="shared" si="184"/>
        <v>6.2124728748225513</v>
      </c>
      <c r="AP646" s="8">
        <f t="shared" si="185"/>
        <v>0.68617759392798927</v>
      </c>
      <c r="AQ646" s="8"/>
      <c r="AR646" s="8">
        <f t="shared" si="186"/>
        <v>355.9484760668376</v>
      </c>
      <c r="AS646" s="8">
        <f t="shared" si="187"/>
        <v>50.684919871484588</v>
      </c>
    </row>
    <row r="647" spans="1:45">
      <c r="A647" s="19">
        <v>25.325299999999999</v>
      </c>
      <c r="B647" s="19">
        <v>1277.4417599999999</v>
      </c>
      <c r="C647" s="19">
        <v>-191.7070822</v>
      </c>
      <c r="E647" s="9">
        <f t="shared" si="173"/>
        <v>317.44175999999993</v>
      </c>
      <c r="F647" s="9">
        <f t="shared" si="178"/>
        <v>348.2929178</v>
      </c>
      <c r="I647">
        <v>1</v>
      </c>
      <c r="J647">
        <f t="shared" si="174"/>
        <v>0.30276809923014569</v>
      </c>
      <c r="K647">
        <f t="shared" si="179"/>
        <v>0.83170655407845118</v>
      </c>
      <c r="O647">
        <f t="shared" si="180"/>
        <v>0.20084756778021357</v>
      </c>
      <c r="P647">
        <f t="shared" si="181"/>
        <v>0.22036730584912292</v>
      </c>
      <c r="Q647">
        <f t="shared" si="182"/>
        <v>0.95451480084363893</v>
      </c>
      <c r="R647">
        <f t="shared" si="172"/>
        <v>1</v>
      </c>
      <c r="AG647" s="8">
        <f t="shared" si="175"/>
        <v>0.63216850758287912</v>
      </c>
      <c r="AH647" s="8">
        <f t="shared" si="176"/>
        <v>-4.4172216761165478E-2</v>
      </c>
      <c r="AI647" s="8">
        <f t="shared" si="177"/>
        <v>0.77357080689930369</v>
      </c>
      <c r="AJ647" s="8"/>
      <c r="AK647" s="8"/>
      <c r="AL647" s="8"/>
      <c r="AN647" s="8">
        <f t="shared" si="183"/>
        <v>0.99999999999999989</v>
      </c>
      <c r="AO647" s="8">
        <f t="shared" si="184"/>
        <v>6.2134245750388892</v>
      </c>
      <c r="AP647" s="8">
        <f t="shared" si="185"/>
        <v>0.68633962654464498</v>
      </c>
      <c r="AQ647" s="8"/>
      <c r="AR647" s="8">
        <f t="shared" si="186"/>
        <v>356.00300447259542</v>
      </c>
      <c r="AS647" s="8">
        <f t="shared" si="187"/>
        <v>50.675636086406755</v>
      </c>
    </row>
    <row r="648" spans="1:45">
      <c r="A648" s="19">
        <v>25.358666670000002</v>
      </c>
      <c r="B648" s="19">
        <v>1278.072619</v>
      </c>
      <c r="C648" s="19">
        <v>-192.22990970000001</v>
      </c>
      <c r="E648" s="9">
        <f t="shared" si="173"/>
        <v>318.07261900000003</v>
      </c>
      <c r="F648" s="9">
        <f t="shared" si="178"/>
        <v>347.77009029999999</v>
      </c>
      <c r="I648">
        <v>1</v>
      </c>
      <c r="J648">
        <f t="shared" si="174"/>
        <v>0.30279201939321271</v>
      </c>
      <c r="K648">
        <f t="shared" si="179"/>
        <v>0.82996995516319783</v>
      </c>
      <c r="O648">
        <f t="shared" si="180"/>
        <v>0.20124536366962506</v>
      </c>
      <c r="P648">
        <f t="shared" si="181"/>
        <v>0.22003503010060052</v>
      </c>
      <c r="Q648">
        <f t="shared" si="182"/>
        <v>0.95450766845013257</v>
      </c>
      <c r="R648">
        <f t="shared" si="172"/>
        <v>1</v>
      </c>
      <c r="AG648" s="8">
        <f t="shared" si="175"/>
        <v>0.63249204515397839</v>
      </c>
      <c r="AH648" s="8">
        <f t="shared" si="176"/>
        <v>-4.3850651834450083E-2</v>
      </c>
      <c r="AI648" s="8">
        <f t="shared" si="177"/>
        <v>0.77332459753368232</v>
      </c>
      <c r="AJ648" s="8"/>
      <c r="AK648" s="8"/>
      <c r="AL648" s="8"/>
      <c r="AN648" s="8">
        <f t="shared" si="183"/>
        <v>1</v>
      </c>
      <c r="AO648" s="8">
        <f t="shared" si="184"/>
        <v>6.2139661036486462</v>
      </c>
      <c r="AP648" s="8">
        <f t="shared" si="185"/>
        <v>0.68672805510522195</v>
      </c>
      <c r="AQ648" s="8"/>
      <c r="AR648" s="8">
        <f t="shared" si="186"/>
        <v>356.03403177642008</v>
      </c>
      <c r="AS648" s="8">
        <f t="shared" si="187"/>
        <v>50.653380769243356</v>
      </c>
    </row>
    <row r="649" spans="1:45">
      <c r="A649" s="19">
        <v>25.39203333</v>
      </c>
      <c r="B649" s="19">
        <v>1278.3611269999999</v>
      </c>
      <c r="C649" s="19">
        <v>-192.65016600000001</v>
      </c>
      <c r="E649" s="9">
        <f t="shared" si="173"/>
        <v>318.3611269999999</v>
      </c>
      <c r="F649" s="9">
        <f t="shared" si="178"/>
        <v>347.34983399999999</v>
      </c>
      <c r="I649">
        <v>1</v>
      </c>
      <c r="J649">
        <f t="shared" si="174"/>
        <v>0.30272185883010055</v>
      </c>
      <c r="K649">
        <f t="shared" si="179"/>
        <v>0.8289161563855193</v>
      </c>
      <c r="O649">
        <f t="shared" si="180"/>
        <v>0.20143187488396114</v>
      </c>
      <c r="P649">
        <f t="shared" si="181"/>
        <v>0.21977346594596231</v>
      </c>
      <c r="Q649">
        <f t="shared" si="182"/>
        <v>0.95452858702441756</v>
      </c>
      <c r="R649">
        <f t="shared" si="172"/>
        <v>1</v>
      </c>
      <c r="AG649" s="8">
        <f t="shared" si="175"/>
        <v>0.63272477176560149</v>
      </c>
      <c r="AH649" s="8">
        <f t="shared" si="176"/>
        <v>-4.3724584385624266E-2</v>
      </c>
      <c r="AI649" s="8">
        <f t="shared" si="177"/>
        <v>0.77314133501868321</v>
      </c>
      <c r="AJ649" s="8"/>
      <c r="AK649" s="8"/>
      <c r="AL649" s="8"/>
      <c r="AN649" s="8">
        <f t="shared" si="183"/>
        <v>0.99999999999999978</v>
      </c>
      <c r="AO649" s="8">
        <f t="shared" si="184"/>
        <v>6.2141897780311073</v>
      </c>
      <c r="AP649" s="8">
        <f t="shared" si="185"/>
        <v>0.68701705706819227</v>
      </c>
      <c r="AQ649" s="8"/>
      <c r="AR649" s="8">
        <f t="shared" si="186"/>
        <v>356.04684737452033</v>
      </c>
      <c r="AS649" s="8">
        <f t="shared" si="187"/>
        <v>50.636822176494164</v>
      </c>
    </row>
    <row r="650" spans="1:45">
      <c r="A650" s="19">
        <v>25.4254</v>
      </c>
      <c r="B650" s="19">
        <v>1278.6689779999999</v>
      </c>
      <c r="C650" s="19">
        <v>-193.04139140000001</v>
      </c>
      <c r="E650" s="9">
        <f t="shared" si="173"/>
        <v>318.66897799999992</v>
      </c>
      <c r="F650" s="9">
        <f t="shared" si="178"/>
        <v>346.95860859999999</v>
      </c>
      <c r="I650">
        <v>1</v>
      </c>
      <c r="J650">
        <f t="shared" si="174"/>
        <v>0.3026730177025318</v>
      </c>
      <c r="K650">
        <f t="shared" si="179"/>
        <v>0.8278732896376565</v>
      </c>
      <c r="O650">
        <f t="shared" si="180"/>
        <v>0.20162942353449428</v>
      </c>
      <c r="P650">
        <f t="shared" si="181"/>
        <v>0.21952894405161785</v>
      </c>
      <c r="Q650">
        <f t="shared" si="182"/>
        <v>0.95454314637355664</v>
      </c>
      <c r="R650">
        <f t="shared" si="172"/>
        <v>1</v>
      </c>
      <c r="AG650" s="8">
        <f t="shared" si="175"/>
        <v>0.63294625591204734</v>
      </c>
      <c r="AH650" s="8">
        <f t="shared" si="176"/>
        <v>-4.3583422561461665E-2</v>
      </c>
      <c r="AI650" s="8">
        <f t="shared" si="177"/>
        <v>0.77296799571828978</v>
      </c>
      <c r="AJ650" s="8"/>
      <c r="AK650" s="8"/>
      <c r="AL650" s="8"/>
      <c r="AN650" s="8">
        <f t="shared" si="183"/>
        <v>0.99999999999999978</v>
      </c>
      <c r="AO650" s="8">
        <f t="shared" si="184"/>
        <v>6.2144358123722521</v>
      </c>
      <c r="AP650" s="8">
        <f t="shared" si="185"/>
        <v>0.68729031662165918</v>
      </c>
      <c r="AQ650" s="8"/>
      <c r="AR650" s="8">
        <f t="shared" si="186"/>
        <v>356.06094410388317</v>
      </c>
      <c r="AS650" s="8">
        <f t="shared" si="187"/>
        <v>50.621165557368876</v>
      </c>
    </row>
    <row r="651" spans="1:45">
      <c r="A651" s="19">
        <v>25.458766669999999</v>
      </c>
      <c r="B651" s="19">
        <v>1279.408122</v>
      </c>
      <c r="C651" s="19">
        <v>-193.16891039999999</v>
      </c>
      <c r="E651" s="9">
        <f t="shared" si="173"/>
        <v>319.40812200000005</v>
      </c>
      <c r="F651" s="9">
        <f t="shared" si="178"/>
        <v>346.83108960000004</v>
      </c>
      <c r="I651">
        <v>1</v>
      </c>
      <c r="J651">
        <f t="shared" si="174"/>
        <v>0.30292071598862474</v>
      </c>
      <c r="K651">
        <f t="shared" si="179"/>
        <v>0.82653578490870472</v>
      </c>
      <c r="O651">
        <f t="shared" si="180"/>
        <v>0.20208302811277473</v>
      </c>
      <c r="P651">
        <f t="shared" si="181"/>
        <v>0.21943298245252851</v>
      </c>
      <c r="Q651">
        <f t="shared" si="182"/>
        <v>0.95446928497503769</v>
      </c>
      <c r="R651">
        <f t="shared" si="172"/>
        <v>1</v>
      </c>
      <c r="AG651" s="8">
        <f t="shared" si="175"/>
        <v>0.63309782558738614</v>
      </c>
      <c r="AH651" s="8">
        <f t="shared" si="176"/>
        <v>-4.3150433538329896E-2</v>
      </c>
      <c r="AI651" s="8">
        <f t="shared" si="177"/>
        <v>0.77286815390594121</v>
      </c>
      <c r="AJ651" s="8"/>
      <c r="AK651" s="8"/>
      <c r="AL651" s="8"/>
      <c r="AN651" s="8">
        <f t="shared" si="183"/>
        <v>0.99999999999999978</v>
      </c>
      <c r="AO651" s="8">
        <f t="shared" si="184"/>
        <v>6.2151329469336085</v>
      </c>
      <c r="AP651" s="8">
        <f t="shared" si="185"/>
        <v>0.68744767027867104</v>
      </c>
      <c r="AQ651" s="8"/>
      <c r="AR651" s="8">
        <f t="shared" si="186"/>
        <v>356.1008869720016</v>
      </c>
      <c r="AS651" s="8">
        <f t="shared" si="187"/>
        <v>50.612149856931147</v>
      </c>
    </row>
    <row r="652" spans="1:45">
      <c r="A652" s="19">
        <v>25.492133330000001</v>
      </c>
      <c r="B652" s="19">
        <v>1280.26181</v>
      </c>
      <c r="C652" s="19">
        <v>-193.51289149999999</v>
      </c>
      <c r="E652" s="9">
        <f t="shared" si="173"/>
        <v>320.26180999999997</v>
      </c>
      <c r="F652" s="9">
        <f t="shared" si="178"/>
        <v>346.48710849999998</v>
      </c>
      <c r="I652">
        <v>1</v>
      </c>
      <c r="J652">
        <f t="shared" si="174"/>
        <v>0.30311938080165862</v>
      </c>
      <c r="K652">
        <f t="shared" si="179"/>
        <v>0.82471099314979457</v>
      </c>
      <c r="O652">
        <f t="shared" si="180"/>
        <v>0.20261181479304635</v>
      </c>
      <c r="P652">
        <f t="shared" si="181"/>
        <v>0.21920310091165779</v>
      </c>
      <c r="Q652">
        <f t="shared" si="182"/>
        <v>0.9544100025968828</v>
      </c>
      <c r="R652">
        <f t="shared" si="172"/>
        <v>1</v>
      </c>
      <c r="AG652" s="8">
        <f t="shared" si="175"/>
        <v>0.63336474515495655</v>
      </c>
      <c r="AH652" s="8">
        <f t="shared" si="176"/>
        <v>-4.2673169425996166E-2</v>
      </c>
      <c r="AI652" s="8">
        <f t="shared" si="177"/>
        <v>0.7726759347915122</v>
      </c>
      <c r="AJ652" s="8"/>
      <c r="AK652" s="8"/>
      <c r="AL652" s="8"/>
      <c r="AN652" s="8">
        <f t="shared" si="183"/>
        <v>1</v>
      </c>
      <c r="AO652" s="8">
        <f t="shared" si="184"/>
        <v>6.2159116322144445</v>
      </c>
      <c r="AP652" s="8">
        <f t="shared" si="185"/>
        <v>0.68775052842039408</v>
      </c>
      <c r="AQ652" s="8"/>
      <c r="AR652" s="8">
        <f t="shared" si="186"/>
        <v>356.14550235216245</v>
      </c>
      <c r="AS652" s="8">
        <f t="shared" si="187"/>
        <v>50.594797363619243</v>
      </c>
    </row>
    <row r="653" spans="1:45">
      <c r="A653" s="19">
        <v>25.525500000000001</v>
      </c>
      <c r="B653" s="19">
        <v>1280.6509759999999</v>
      </c>
      <c r="C653" s="19">
        <v>-193.60006540000001</v>
      </c>
      <c r="E653" s="9">
        <f t="shared" si="173"/>
        <v>320.6509759999999</v>
      </c>
      <c r="F653" s="9">
        <f t="shared" si="178"/>
        <v>346.39993459999999</v>
      </c>
      <c r="I653">
        <v>1</v>
      </c>
      <c r="J653">
        <f t="shared" si="174"/>
        <v>0.30324138426320796</v>
      </c>
      <c r="K653">
        <f t="shared" si="179"/>
        <v>0.82398019741978201</v>
      </c>
      <c r="O653">
        <f t="shared" si="180"/>
        <v>0.20285105111184215</v>
      </c>
      <c r="P653">
        <f t="shared" si="181"/>
        <v>0.21914042400632952</v>
      </c>
      <c r="Q653">
        <f t="shared" si="182"/>
        <v>0.95437357760425601</v>
      </c>
      <c r="R653">
        <f t="shared" si="172"/>
        <v>1</v>
      </c>
      <c r="AG653" s="8">
        <f t="shared" si="175"/>
        <v>0.63345375458701891</v>
      </c>
      <c r="AH653" s="8">
        <f t="shared" si="176"/>
        <v>-4.2447556432106376E-2</v>
      </c>
      <c r="AI653" s="8">
        <f t="shared" si="177"/>
        <v>0.77261539316308736</v>
      </c>
      <c r="AJ653" s="8"/>
      <c r="AK653" s="8"/>
      <c r="AL653" s="8"/>
      <c r="AN653" s="8">
        <f t="shared" si="183"/>
        <v>1.0000000000000002</v>
      </c>
      <c r="AO653" s="8">
        <f t="shared" si="184"/>
        <v>6.2162756194029916</v>
      </c>
      <c r="AP653" s="8">
        <f t="shared" si="185"/>
        <v>0.6878458939691483</v>
      </c>
      <c r="AQ653" s="8"/>
      <c r="AR653" s="8">
        <f t="shared" si="186"/>
        <v>356.16635728186304</v>
      </c>
      <c r="AS653" s="8">
        <f t="shared" si="187"/>
        <v>50.589333320164677</v>
      </c>
    </row>
    <row r="654" spans="1:45">
      <c r="A654" s="19">
        <v>25.55886667</v>
      </c>
      <c r="B654" s="19">
        <v>1281.6041359999999</v>
      </c>
      <c r="C654" s="19">
        <v>-193.80156299999999</v>
      </c>
      <c r="E654" s="9">
        <f t="shared" si="173"/>
        <v>321.60413599999993</v>
      </c>
      <c r="F654" s="9">
        <f t="shared" si="178"/>
        <v>346.19843700000001</v>
      </c>
      <c r="I654">
        <v>1</v>
      </c>
      <c r="J654">
        <f t="shared" si="174"/>
        <v>0.30354617023020108</v>
      </c>
      <c r="K654">
        <f t="shared" si="179"/>
        <v>0.82221022659525944</v>
      </c>
      <c r="O654">
        <f t="shared" si="180"/>
        <v>0.20343656961477397</v>
      </c>
      <c r="P654">
        <f t="shared" si="181"/>
        <v>0.21899414387281532</v>
      </c>
      <c r="Q654">
        <f t="shared" si="182"/>
        <v>0.95428251953642429</v>
      </c>
      <c r="R654">
        <f t="shared" si="172"/>
        <v>1</v>
      </c>
      <c r="AG654" s="8">
        <f t="shared" si="175"/>
        <v>0.63366594458665004</v>
      </c>
      <c r="AH654" s="8">
        <f t="shared" si="176"/>
        <v>-4.1893639310402353E-2</v>
      </c>
      <c r="AI654" s="8">
        <f t="shared" si="177"/>
        <v>0.77247161349556315</v>
      </c>
      <c r="AJ654" s="8"/>
      <c r="AK654" s="8"/>
      <c r="AL654" s="8"/>
      <c r="AN654" s="8">
        <f t="shared" si="183"/>
        <v>1.0000000000000002</v>
      </c>
      <c r="AO654" s="8">
        <f t="shared" si="184"/>
        <v>6.2171682504513415</v>
      </c>
      <c r="AP654" s="8">
        <f t="shared" si="185"/>
        <v>0.68807233225352371</v>
      </c>
      <c r="AQ654" s="8"/>
      <c r="AR654" s="8">
        <f t="shared" si="186"/>
        <v>356.21750127359581</v>
      </c>
      <c r="AS654" s="8">
        <f t="shared" si="187"/>
        <v>50.57635936214978</v>
      </c>
    </row>
    <row r="655" spans="1:45">
      <c r="A655" s="19">
        <v>25.592233329999999</v>
      </c>
      <c r="B655" s="19">
        <v>1282.3685109999999</v>
      </c>
      <c r="C655" s="19">
        <v>-194.40983739999999</v>
      </c>
      <c r="E655" s="9">
        <f t="shared" si="173"/>
        <v>322.3685109999999</v>
      </c>
      <c r="F655" s="9">
        <f t="shared" si="178"/>
        <v>345.59016259999999</v>
      </c>
      <c r="I655">
        <v>1</v>
      </c>
      <c r="J655">
        <f t="shared" si="174"/>
        <v>0.30359220803475551</v>
      </c>
      <c r="K655">
        <f t="shared" si="179"/>
        <v>0.82014926997169268</v>
      </c>
      <c r="O655">
        <f t="shared" si="180"/>
        <v>0.20391744173636328</v>
      </c>
      <c r="P655">
        <f t="shared" si="181"/>
        <v>0.21860653085513626</v>
      </c>
      <c r="Q655">
        <f t="shared" si="182"/>
        <v>0.95426875754327156</v>
      </c>
      <c r="R655">
        <f t="shared" si="172"/>
        <v>1</v>
      </c>
      <c r="AG655" s="8">
        <f t="shared" si="175"/>
        <v>0.63404488038355589</v>
      </c>
      <c r="AH655" s="8">
        <f t="shared" si="176"/>
        <v>-4.1501092073899182E-2</v>
      </c>
      <c r="AI655" s="8">
        <f t="shared" si="177"/>
        <v>0.77218181085549797</v>
      </c>
      <c r="AJ655" s="8"/>
      <c r="AK655" s="8"/>
      <c r="AL655" s="8"/>
      <c r="AN655" s="8">
        <f t="shared" si="183"/>
        <v>1</v>
      </c>
      <c r="AO655" s="8">
        <f t="shared" si="184"/>
        <v>6.2178240407360494</v>
      </c>
      <c r="AP655" s="8">
        <f t="shared" si="185"/>
        <v>0.68852855236553878</v>
      </c>
      <c r="AQ655" s="8"/>
      <c r="AR655" s="8">
        <f t="shared" si="186"/>
        <v>356.25507528915529</v>
      </c>
      <c r="AS655" s="8">
        <f t="shared" si="187"/>
        <v>50.55021987520233</v>
      </c>
    </row>
    <row r="656" spans="1:45">
      <c r="A656" s="19">
        <v>25.625599999999999</v>
      </c>
      <c r="B656" s="19">
        <v>1282.5701309999999</v>
      </c>
      <c r="C656" s="19">
        <v>-194.59867790000001</v>
      </c>
      <c r="E656" s="9">
        <f t="shared" si="173"/>
        <v>322.57013099999995</v>
      </c>
      <c r="F656" s="9">
        <f t="shared" si="178"/>
        <v>345.40132210000002</v>
      </c>
      <c r="I656">
        <v>1</v>
      </c>
      <c r="J656">
        <f t="shared" si="174"/>
        <v>0.30359191507177724</v>
      </c>
      <c r="K656">
        <f t="shared" si="179"/>
        <v>0.81956475279474095</v>
      </c>
      <c r="O656">
        <f t="shared" si="180"/>
        <v>0.20404499535170348</v>
      </c>
      <c r="P656">
        <f t="shared" si="181"/>
        <v>0.2184870959498936</v>
      </c>
      <c r="Q656">
        <f t="shared" si="182"/>
        <v>0.95426884512453058</v>
      </c>
      <c r="R656">
        <f t="shared" si="172"/>
        <v>1</v>
      </c>
      <c r="AG656" s="8">
        <f t="shared" si="175"/>
        <v>0.63415807226301102</v>
      </c>
      <c r="AH656" s="8">
        <f t="shared" si="176"/>
        <v>-4.1400827138830532E-2</v>
      </c>
      <c r="AI656" s="8">
        <f t="shared" si="177"/>
        <v>0.77209423705651525</v>
      </c>
      <c r="AJ656" s="8"/>
      <c r="AK656" s="8"/>
      <c r="AL656" s="8"/>
      <c r="AN656" s="8">
        <f t="shared" si="183"/>
        <v>1</v>
      </c>
      <c r="AO656" s="8">
        <f t="shared" si="184"/>
        <v>6.2179931085206563</v>
      </c>
      <c r="AP656" s="8">
        <f t="shared" si="185"/>
        <v>0.68866636514445556</v>
      </c>
      <c r="AQ656" s="8"/>
      <c r="AR656" s="8">
        <f t="shared" si="186"/>
        <v>356.26476215966488</v>
      </c>
      <c r="AS656" s="8">
        <f t="shared" si="187"/>
        <v>50.542323784607433</v>
      </c>
    </row>
    <row r="657" spans="1:45">
      <c r="A657" s="19">
        <v>25.658966670000002</v>
      </c>
      <c r="B657" s="19">
        <v>1283.2635310000001</v>
      </c>
      <c r="C657" s="19">
        <v>-194.6980757</v>
      </c>
      <c r="E657" s="9">
        <f t="shared" si="173"/>
        <v>323.26353100000006</v>
      </c>
      <c r="F657" s="9">
        <f t="shared" si="178"/>
        <v>345.3019243</v>
      </c>
      <c r="I657">
        <v>1</v>
      </c>
      <c r="J657">
        <f t="shared" si="174"/>
        <v>0.30383611844504405</v>
      </c>
      <c r="K657">
        <f t="shared" si="179"/>
        <v>0.81834993495150865</v>
      </c>
      <c r="O657">
        <f t="shared" si="180"/>
        <v>0.20446952345584524</v>
      </c>
      <c r="P657">
        <f t="shared" si="181"/>
        <v>0.21840917127768225</v>
      </c>
      <c r="Q657">
        <f t="shared" si="182"/>
        <v>0.95419581212638716</v>
      </c>
      <c r="R657">
        <f t="shared" si="172"/>
        <v>1</v>
      </c>
      <c r="AG657" s="8">
        <f t="shared" si="175"/>
        <v>0.63428995737138338</v>
      </c>
      <c r="AH657" s="8">
        <f t="shared" si="176"/>
        <v>-4.0992482532336005E-2</v>
      </c>
      <c r="AI657" s="8">
        <f t="shared" si="177"/>
        <v>0.77200768542395015</v>
      </c>
      <c r="AJ657" s="8"/>
      <c r="AK657" s="8"/>
      <c r="AL657" s="8"/>
      <c r="AN657" s="8">
        <f t="shared" si="183"/>
        <v>1</v>
      </c>
      <c r="AO657" s="8">
        <f t="shared" si="184"/>
        <v>6.2186477031721097</v>
      </c>
      <c r="AP657" s="8">
        <f t="shared" si="185"/>
        <v>0.68880254669656349</v>
      </c>
      <c r="AQ657" s="8"/>
      <c r="AR657" s="8">
        <f t="shared" si="186"/>
        <v>356.30226767048498</v>
      </c>
      <c r="AS657" s="8">
        <f t="shared" si="187"/>
        <v>50.534521156424105</v>
      </c>
    </row>
    <row r="658" spans="1:45">
      <c r="A658" s="19">
        <v>25.69233333</v>
      </c>
      <c r="B658" s="19">
        <v>1283.8551010000001</v>
      </c>
      <c r="C658" s="19">
        <v>-194.83372929999999</v>
      </c>
      <c r="E658" s="9">
        <f t="shared" si="173"/>
        <v>323.8551010000001</v>
      </c>
      <c r="F658" s="9">
        <f t="shared" si="178"/>
        <v>345.16627070000004</v>
      </c>
      <c r="I658">
        <v>1</v>
      </c>
      <c r="J658">
        <f t="shared" si="174"/>
        <v>0.30402218437802253</v>
      </c>
      <c r="K658">
        <f t="shared" si="179"/>
        <v>0.81724163938993244</v>
      </c>
      <c r="O658">
        <f t="shared" si="180"/>
        <v>0.20483293762964438</v>
      </c>
      <c r="P658">
        <f t="shared" si="181"/>
        <v>0.21831189621481381</v>
      </c>
      <c r="Q658">
        <f t="shared" si="182"/>
        <v>0.95414012788117375</v>
      </c>
      <c r="R658">
        <f t="shared" si="172"/>
        <v>1</v>
      </c>
      <c r="AG658" s="8">
        <f t="shared" si="175"/>
        <v>0.63442614554698962</v>
      </c>
      <c r="AH658" s="8">
        <f t="shared" si="176"/>
        <v>-4.0650010804523962E-2</v>
      </c>
      <c r="AI658" s="8">
        <f t="shared" si="177"/>
        <v>0.77191388280557705</v>
      </c>
      <c r="AJ658" s="8"/>
      <c r="AK658" s="8"/>
      <c r="AL658" s="8"/>
      <c r="AN658" s="8">
        <f t="shared" si="183"/>
        <v>1</v>
      </c>
      <c r="AO658" s="8">
        <f t="shared" si="184"/>
        <v>6.2191991063315974</v>
      </c>
      <c r="AP658" s="8">
        <f t="shared" si="185"/>
        <v>0.68895011162136677</v>
      </c>
      <c r="AQ658" s="8"/>
      <c r="AR658" s="8">
        <f t="shared" si="186"/>
        <v>356.33386074433383</v>
      </c>
      <c r="AS658" s="8">
        <f t="shared" si="187"/>
        <v>50.526066309028714</v>
      </c>
    </row>
    <row r="659" spans="1:45">
      <c r="A659" s="19">
        <v>25.7257</v>
      </c>
      <c r="B659" s="19">
        <v>1284.928842</v>
      </c>
      <c r="C659" s="19">
        <v>-195.53190380000001</v>
      </c>
      <c r="E659" s="9">
        <f t="shared" si="173"/>
        <v>324.92884200000003</v>
      </c>
      <c r="F659" s="9">
        <f t="shared" si="178"/>
        <v>344.46809619999999</v>
      </c>
      <c r="I659">
        <v>1</v>
      </c>
      <c r="J659">
        <f t="shared" si="174"/>
        <v>0.30416053393578957</v>
      </c>
      <c r="K659">
        <f t="shared" si="179"/>
        <v>0.81457921675776235</v>
      </c>
      <c r="O659">
        <f t="shared" si="180"/>
        <v>0.20550402591035979</v>
      </c>
      <c r="P659">
        <f t="shared" si="181"/>
        <v>0.21786179438874531</v>
      </c>
      <c r="Q659">
        <f t="shared" si="182"/>
        <v>0.95409870237850669</v>
      </c>
      <c r="R659">
        <f t="shared" si="172"/>
        <v>1</v>
      </c>
      <c r="AG659" s="8">
        <f t="shared" si="175"/>
        <v>0.63488437291480082</v>
      </c>
      <c r="AH659" s="8">
        <f t="shared" si="176"/>
        <v>-4.0080579152848572E-2</v>
      </c>
      <c r="AI659" s="8">
        <f t="shared" si="177"/>
        <v>0.77156683456674857</v>
      </c>
      <c r="AJ659" s="8"/>
      <c r="AK659" s="8"/>
      <c r="AL659" s="8"/>
      <c r="AN659" s="8">
        <f t="shared" si="183"/>
        <v>1</v>
      </c>
      <c r="AO659" s="8">
        <f t="shared" si="184"/>
        <v>6.2201384575781384</v>
      </c>
      <c r="AP659" s="8">
        <f t="shared" si="185"/>
        <v>0.6894958384059332</v>
      </c>
      <c r="AQ659" s="8"/>
      <c r="AR659" s="8">
        <f t="shared" si="186"/>
        <v>356.38768160624096</v>
      </c>
      <c r="AS659" s="8">
        <f t="shared" si="187"/>
        <v>50.494798467505809</v>
      </c>
    </row>
    <row r="660" spans="1:45">
      <c r="A660" s="19">
        <v>25.759066669999999</v>
      </c>
      <c r="B660" s="19">
        <v>1285.3591730000001</v>
      </c>
      <c r="C660" s="19">
        <v>-195.64297569999999</v>
      </c>
      <c r="E660" s="9">
        <f t="shared" si="173"/>
        <v>325.35917300000006</v>
      </c>
      <c r="F660" s="9">
        <f t="shared" si="178"/>
        <v>344.35702430000003</v>
      </c>
      <c r="I660">
        <v>1</v>
      </c>
      <c r="J660">
        <f t="shared" si="174"/>
        <v>0.30429121689213662</v>
      </c>
      <c r="K660">
        <f t="shared" si="179"/>
        <v>0.8137575760208493</v>
      </c>
      <c r="O660">
        <f t="shared" si="180"/>
        <v>0.20576858867425848</v>
      </c>
      <c r="P660">
        <f t="shared" si="181"/>
        <v>0.21778349827032029</v>
      </c>
      <c r="Q660">
        <f t="shared" si="182"/>
        <v>0.95405955568619782</v>
      </c>
      <c r="R660">
        <f t="shared" si="172"/>
        <v>1</v>
      </c>
      <c r="AG660" s="8">
        <f t="shared" si="175"/>
        <v>0.63498901001499775</v>
      </c>
      <c r="AH660" s="8">
        <f t="shared" si="176"/>
        <v>-3.9832917128041601E-2</v>
      </c>
      <c r="AI660" s="8">
        <f t="shared" si="177"/>
        <v>0.77149354882153343</v>
      </c>
      <c r="AJ660" s="8"/>
      <c r="AK660" s="8"/>
      <c r="AL660" s="8"/>
      <c r="AN660" s="8">
        <f t="shared" si="183"/>
        <v>1</v>
      </c>
      <c r="AO660" s="8">
        <f t="shared" si="184"/>
        <v>6.2205373067338909</v>
      </c>
      <c r="AP660" s="8">
        <f t="shared" si="185"/>
        <v>0.68961103266133517</v>
      </c>
      <c r="AQ660" s="8"/>
      <c r="AR660" s="8">
        <f t="shared" si="186"/>
        <v>356.41053397952794</v>
      </c>
      <c r="AS660" s="8">
        <f t="shared" si="187"/>
        <v>50.488198322847126</v>
      </c>
    </row>
    <row r="661" spans="1:45">
      <c r="A661" s="19">
        <v>25.792433330000001</v>
      </c>
      <c r="B661" s="19">
        <v>1286.138557</v>
      </c>
      <c r="C661" s="19">
        <v>-195.93717150000001</v>
      </c>
      <c r="E661" s="9">
        <f t="shared" si="173"/>
        <v>326.13855699999999</v>
      </c>
      <c r="F661" s="9">
        <f t="shared" si="178"/>
        <v>344.06282850000002</v>
      </c>
      <c r="I661">
        <v>1</v>
      </c>
      <c r="J661">
        <f t="shared" si="174"/>
        <v>0.30448726647662644</v>
      </c>
      <c r="K661">
        <f t="shared" si="179"/>
        <v>0.81213639481999744</v>
      </c>
      <c r="O661">
        <f t="shared" si="180"/>
        <v>0.20625005679116593</v>
      </c>
      <c r="P661">
        <f t="shared" si="181"/>
        <v>0.21758536792034125</v>
      </c>
      <c r="Q661">
        <f t="shared" si="182"/>
        <v>0.95400079755763856</v>
      </c>
      <c r="R661">
        <f t="shared" si="172"/>
        <v>1</v>
      </c>
      <c r="AG661" s="8">
        <f t="shared" si="175"/>
        <v>0.63522185769153328</v>
      </c>
      <c r="AH661" s="8">
        <f t="shared" si="176"/>
        <v>-3.9395121159225693E-2</v>
      </c>
      <c r="AI661" s="8">
        <f t="shared" si="177"/>
        <v>0.7713243260391619</v>
      </c>
      <c r="AJ661" s="8"/>
      <c r="AK661" s="8"/>
      <c r="AL661" s="8"/>
      <c r="AN661" s="8">
        <f t="shared" si="183"/>
        <v>1</v>
      </c>
      <c r="AO661" s="8">
        <f t="shared" si="184"/>
        <v>6.2212467427246994</v>
      </c>
      <c r="AP661" s="8">
        <f t="shared" si="185"/>
        <v>0.68987696417125333</v>
      </c>
      <c r="AQ661" s="8"/>
      <c r="AR661" s="8">
        <f t="shared" si="186"/>
        <v>356.45118166763598</v>
      </c>
      <c r="AS661" s="8">
        <f t="shared" si="187"/>
        <v>50.472961569689275</v>
      </c>
    </row>
    <row r="662" spans="1:45">
      <c r="A662" s="19">
        <v>25.825800000000001</v>
      </c>
      <c r="B662" s="19">
        <v>1286.421783</v>
      </c>
      <c r="C662" s="19">
        <v>-196.2395381</v>
      </c>
      <c r="E662" s="9">
        <f t="shared" si="173"/>
        <v>326.421783</v>
      </c>
      <c r="F662" s="9">
        <f t="shared" si="178"/>
        <v>343.7604619</v>
      </c>
      <c r="I662">
        <v>1</v>
      </c>
      <c r="J662">
        <f t="shared" si="174"/>
        <v>0.30447240124556907</v>
      </c>
      <c r="K662">
        <f t="shared" si="179"/>
        <v>0.81126398138910139</v>
      </c>
      <c r="O662">
        <f t="shared" si="180"/>
        <v>0.20643003756110842</v>
      </c>
      <c r="P662">
        <f t="shared" si="181"/>
        <v>0.21739506600894029</v>
      </c>
      <c r="Q662">
        <f t="shared" si="182"/>
        <v>0.95400525410895298</v>
      </c>
      <c r="R662">
        <f t="shared" si="172"/>
        <v>1</v>
      </c>
      <c r="AG662" s="8">
        <f t="shared" si="175"/>
        <v>0.63539777233125971</v>
      </c>
      <c r="AH662" s="8">
        <f t="shared" si="176"/>
        <v>-3.9258543038042326E-2</v>
      </c>
      <c r="AI662" s="8">
        <f t="shared" si="177"/>
        <v>0.77118638325310362</v>
      </c>
      <c r="AJ662" s="8"/>
      <c r="AK662" s="8"/>
      <c r="AL662" s="8"/>
      <c r="AN662" s="8">
        <f t="shared" si="183"/>
        <v>1</v>
      </c>
      <c r="AO662" s="8">
        <f t="shared" si="184"/>
        <v>6.2214779758036309</v>
      </c>
      <c r="AP662" s="8">
        <f t="shared" si="185"/>
        <v>0.69009367616193917</v>
      </c>
      <c r="AQ662" s="8"/>
      <c r="AR662" s="8">
        <f t="shared" si="186"/>
        <v>356.46443034714258</v>
      </c>
      <c r="AS662" s="8">
        <f t="shared" si="187"/>
        <v>50.4605448872531</v>
      </c>
    </row>
    <row r="663" spans="1:45">
      <c r="A663" s="19">
        <v>25.85916667</v>
      </c>
      <c r="B663" s="19">
        <v>1287.1981270000001</v>
      </c>
      <c r="C663" s="19">
        <v>-196.60828240000001</v>
      </c>
      <c r="E663" s="9">
        <f t="shared" si="173"/>
        <v>327.19812700000011</v>
      </c>
      <c r="F663" s="9">
        <f t="shared" si="178"/>
        <v>343.39171759999999</v>
      </c>
      <c r="I663">
        <v>1</v>
      </c>
      <c r="J663">
        <f t="shared" si="174"/>
        <v>0.30463546543480868</v>
      </c>
      <c r="K663">
        <f t="shared" si="179"/>
        <v>0.80954175000927209</v>
      </c>
      <c r="O663">
        <f t="shared" si="180"/>
        <v>0.20691144590629232</v>
      </c>
      <c r="P663">
        <f t="shared" si="181"/>
        <v>0.21715184451792774</v>
      </c>
      <c r="Q663">
        <f t="shared" si="182"/>
        <v>0.95395635643116772</v>
      </c>
      <c r="R663">
        <f t="shared" si="172"/>
        <v>1</v>
      </c>
      <c r="AG663" s="8">
        <f t="shared" si="175"/>
        <v>0.63566479145251087</v>
      </c>
      <c r="AH663" s="8">
        <f t="shared" si="176"/>
        <v>-3.8831196988505068E-2</v>
      </c>
      <c r="AI663" s="8">
        <f t="shared" si="177"/>
        <v>0.77098794481371491</v>
      </c>
      <c r="AJ663" s="8"/>
      <c r="AK663" s="8"/>
      <c r="AL663" s="8"/>
      <c r="AN663" s="8">
        <f t="shared" si="183"/>
        <v>1.0000000000000002</v>
      </c>
      <c r="AO663" s="8">
        <f t="shared" si="184"/>
        <v>6.2221735862065106</v>
      </c>
      <c r="AP663" s="8">
        <f t="shared" si="185"/>
        <v>0.690405328774365</v>
      </c>
      <c r="AQ663" s="8"/>
      <c r="AR663" s="8">
        <f t="shared" si="186"/>
        <v>356.50428588741295</v>
      </c>
      <c r="AS663" s="8">
        <f t="shared" si="187"/>
        <v>50.442688507886871</v>
      </c>
    </row>
    <row r="664" spans="1:45">
      <c r="A664" s="19">
        <v>25.892533329999999</v>
      </c>
      <c r="B664" s="19">
        <v>1287.6344959999999</v>
      </c>
      <c r="C664" s="19">
        <v>-196.75875120000001</v>
      </c>
      <c r="E664" s="9">
        <f t="shared" si="173"/>
        <v>327.6344959999999</v>
      </c>
      <c r="F664" s="9">
        <f t="shared" si="178"/>
        <v>343.24124879999999</v>
      </c>
      <c r="I664">
        <v>1</v>
      </c>
      <c r="J664">
        <f t="shared" si="174"/>
        <v>0.304752494086176</v>
      </c>
      <c r="K664">
        <f t="shared" si="179"/>
        <v>0.80865722215145674</v>
      </c>
      <c r="O664">
        <f t="shared" si="180"/>
        <v>0.20718052464385081</v>
      </c>
      <c r="P664">
        <f t="shared" si="181"/>
        <v>0.21704949531869366</v>
      </c>
      <c r="Q664">
        <f t="shared" si="182"/>
        <v>0.95392124768777387</v>
      </c>
      <c r="R664">
        <f t="shared" si="172"/>
        <v>1</v>
      </c>
      <c r="AG664" s="8">
        <f t="shared" si="175"/>
        <v>0.6357882485341807</v>
      </c>
      <c r="AH664" s="8">
        <f t="shared" si="176"/>
        <v>-3.8584469447986491E-2</v>
      </c>
      <c r="AI664" s="8">
        <f t="shared" si="177"/>
        <v>0.77089852882416143</v>
      </c>
      <c r="AJ664" s="8"/>
      <c r="AK664" s="8"/>
      <c r="AL664" s="8"/>
      <c r="AN664" s="8">
        <f t="shared" si="183"/>
        <v>1.0000000000000002</v>
      </c>
      <c r="AO664" s="8">
        <f t="shared" si="184"/>
        <v>6.2225720365667447</v>
      </c>
      <c r="AP664" s="8">
        <f t="shared" si="185"/>
        <v>0.69054572043424711</v>
      </c>
      <c r="AQ664" s="8"/>
      <c r="AR664" s="8">
        <f t="shared" si="186"/>
        <v>356.52711541139985</v>
      </c>
      <c r="AS664" s="8">
        <f t="shared" si="187"/>
        <v>50.43464465829679</v>
      </c>
    </row>
    <row r="665" spans="1:45">
      <c r="A665" s="19">
        <v>25.925899999999999</v>
      </c>
      <c r="B665" s="19">
        <v>1288.3768230000001</v>
      </c>
      <c r="C665" s="19">
        <v>-196.81571600000001</v>
      </c>
      <c r="E665" s="9">
        <f t="shared" si="173"/>
        <v>328.37682300000006</v>
      </c>
      <c r="F665" s="9">
        <f t="shared" si="178"/>
        <v>343.18428399999999</v>
      </c>
      <c r="I665">
        <v>1</v>
      </c>
      <c r="J665">
        <f t="shared" si="174"/>
        <v>0.30503956555863665</v>
      </c>
      <c r="K665">
        <f t="shared" si="179"/>
        <v>0.80744390411529432</v>
      </c>
      <c r="O665">
        <f t="shared" si="180"/>
        <v>0.20763303467648772</v>
      </c>
      <c r="P665">
        <f t="shared" si="181"/>
        <v>0.21699580892832254</v>
      </c>
      <c r="Q665">
        <f t="shared" si="182"/>
        <v>0.95383507055390626</v>
      </c>
      <c r="R665">
        <f t="shared" si="172"/>
        <v>1</v>
      </c>
      <c r="AG665" s="8">
        <f t="shared" si="175"/>
        <v>0.63590515785194368</v>
      </c>
      <c r="AH665" s="8">
        <f t="shared" si="176"/>
        <v>-3.8141897672039154E-2</v>
      </c>
      <c r="AI665" s="8">
        <f t="shared" si="177"/>
        <v>0.77082412122303912</v>
      </c>
      <c r="AJ665" s="8"/>
      <c r="AK665" s="8"/>
      <c r="AL665" s="8"/>
      <c r="AN665" s="8">
        <f t="shared" si="183"/>
        <v>1.0000000000000002</v>
      </c>
      <c r="AO665" s="8">
        <f t="shared" si="184"/>
        <v>6.2232766003851578</v>
      </c>
      <c r="AP665" s="8">
        <f t="shared" si="185"/>
        <v>0.69066252930603622</v>
      </c>
      <c r="AQ665" s="8"/>
      <c r="AR665" s="8">
        <f t="shared" si="186"/>
        <v>356.56748394459254</v>
      </c>
      <c r="AS665" s="8">
        <f t="shared" si="187"/>
        <v>50.427952002933587</v>
      </c>
    </row>
    <row r="666" spans="1:45">
      <c r="A666" s="19">
        <v>25.959266670000002</v>
      </c>
      <c r="B666" s="19">
        <v>1289.2478699999999</v>
      </c>
      <c r="C666" s="19">
        <v>-196.90671599999999</v>
      </c>
      <c r="E666" s="9">
        <f t="shared" si="173"/>
        <v>329.24786999999992</v>
      </c>
      <c r="F666" s="9">
        <f t="shared" si="178"/>
        <v>343.09328400000004</v>
      </c>
      <c r="I666">
        <v>1</v>
      </c>
      <c r="J666">
        <f t="shared" si="174"/>
        <v>0.30536628893989648</v>
      </c>
      <c r="K666">
        <f t="shared" si="179"/>
        <v>0.80598809351943146</v>
      </c>
      <c r="O666">
        <f t="shared" si="180"/>
        <v>0.20816448749961036</v>
      </c>
      <c r="P666">
        <f t="shared" si="181"/>
        <v>0.21691814628419101</v>
      </c>
      <c r="Q666">
        <f t="shared" si="182"/>
        <v>0.95373689451370958</v>
      </c>
      <c r="R666">
        <f t="shared" si="172"/>
        <v>1</v>
      </c>
      <c r="AG666" s="8">
        <f t="shared" si="175"/>
        <v>0.63605342420927236</v>
      </c>
      <c r="AH666" s="8">
        <f t="shared" si="176"/>
        <v>-3.7625439220442258E-2</v>
      </c>
      <c r="AI666" s="8">
        <f t="shared" si="177"/>
        <v>0.77072716824770626</v>
      </c>
      <c r="AJ666" s="8"/>
      <c r="AK666" s="8"/>
      <c r="AL666" s="8"/>
      <c r="AN666" s="8">
        <f t="shared" si="183"/>
        <v>0.99999999999999989</v>
      </c>
      <c r="AO666" s="8">
        <f t="shared" si="184"/>
        <v>6.2240996350275468</v>
      </c>
      <c r="AP666" s="8">
        <f t="shared" si="185"/>
        <v>0.69081470629745267</v>
      </c>
      <c r="AQ666" s="8"/>
      <c r="AR666" s="8">
        <f t="shared" si="186"/>
        <v>356.61464035599448</v>
      </c>
      <c r="AS666" s="8">
        <f t="shared" si="187"/>
        <v>50.419232903586426</v>
      </c>
    </row>
    <row r="667" spans="1:45">
      <c r="A667" s="19">
        <v>25.99263333</v>
      </c>
      <c r="B667" s="19">
        <v>1289.884229</v>
      </c>
      <c r="C667" s="19">
        <v>-197.46582050000001</v>
      </c>
      <c r="E667" s="9">
        <f t="shared" si="173"/>
        <v>329.884229</v>
      </c>
      <c r="F667" s="9">
        <f t="shared" si="178"/>
        <v>342.53417949999999</v>
      </c>
      <c r="I667">
        <v>1</v>
      </c>
      <c r="J667">
        <f t="shared" si="174"/>
        <v>0.30538938727340714</v>
      </c>
      <c r="K667">
        <f t="shared" si="179"/>
        <v>0.80420856228439597</v>
      </c>
      <c r="O667">
        <f t="shared" si="180"/>
        <v>0.20856545187494899</v>
      </c>
      <c r="P667">
        <f t="shared" si="181"/>
        <v>0.21656323537077118</v>
      </c>
      <c r="Q667">
        <f t="shared" si="182"/>
        <v>0.95372994991766002</v>
      </c>
      <c r="R667">
        <f t="shared" ref="R667:R730" si="188">SQRT(O667^2+P667^2+Q667^2)</f>
        <v>1</v>
      </c>
      <c r="AG667" s="8">
        <f t="shared" si="175"/>
        <v>0.63639167620013237</v>
      </c>
      <c r="AH667" s="8">
        <f t="shared" si="176"/>
        <v>-3.7304749287293382E-2</v>
      </c>
      <c r="AI667" s="8">
        <f t="shared" si="177"/>
        <v>0.77046349046778217</v>
      </c>
      <c r="AJ667" s="8"/>
      <c r="AK667" s="8"/>
      <c r="AL667" s="8"/>
      <c r="AN667" s="8">
        <f t="shared" si="183"/>
        <v>1.0000000000000002</v>
      </c>
      <c r="AO667" s="8">
        <f t="shared" si="184"/>
        <v>6.224633145643967</v>
      </c>
      <c r="AP667" s="8">
        <f t="shared" si="185"/>
        <v>0.69122843225050146</v>
      </c>
      <c r="AQ667" s="8"/>
      <c r="AR667" s="8">
        <f t="shared" si="186"/>
        <v>356.64520826264078</v>
      </c>
      <c r="AS667" s="8">
        <f t="shared" si="187"/>
        <v>50.395528152601706</v>
      </c>
    </row>
    <row r="668" spans="1:45">
      <c r="A668" s="19">
        <v>26.026</v>
      </c>
      <c r="B668" s="19">
        <v>1290.394047</v>
      </c>
      <c r="C668" s="19">
        <v>-197.7637412</v>
      </c>
      <c r="E668" s="9">
        <f t="shared" si="173"/>
        <v>330.394047</v>
      </c>
      <c r="F668" s="9">
        <f t="shared" si="178"/>
        <v>342.23625879999997</v>
      </c>
      <c r="I668">
        <v>1</v>
      </c>
      <c r="J668">
        <f t="shared" si="174"/>
        <v>0.30547420412900045</v>
      </c>
      <c r="K668">
        <f t="shared" si="179"/>
        <v>0.80300217018688202</v>
      </c>
      <c r="O668">
        <f t="shared" si="180"/>
        <v>0.20888274326009856</v>
      </c>
      <c r="P668">
        <f t="shared" si="181"/>
        <v>0.21636966292318532</v>
      </c>
      <c r="Q668">
        <f t="shared" si="182"/>
        <v>0.95370444506390073</v>
      </c>
      <c r="R668">
        <f t="shared" si="188"/>
        <v>1</v>
      </c>
      <c r="AG668" s="8">
        <f t="shared" si="175"/>
        <v>0.6365924877074931</v>
      </c>
      <c r="AH668" s="8">
        <f t="shared" si="176"/>
        <v>-3.7030601397629037E-2</v>
      </c>
      <c r="AI668" s="8">
        <f t="shared" si="177"/>
        <v>0.77031080685299691</v>
      </c>
      <c r="AJ668" s="8"/>
      <c r="AK668" s="8"/>
      <c r="AL668" s="8"/>
      <c r="AN668" s="8">
        <f t="shared" si="183"/>
        <v>1</v>
      </c>
      <c r="AO668" s="8">
        <f t="shared" si="184"/>
        <v>6.2250807595293951</v>
      </c>
      <c r="AP668" s="8">
        <f t="shared" si="185"/>
        <v>0.69146790727087348</v>
      </c>
      <c r="AQ668" s="8"/>
      <c r="AR668" s="8">
        <f t="shared" si="186"/>
        <v>356.67085464912725</v>
      </c>
      <c r="AS668" s="8">
        <f t="shared" si="187"/>
        <v>50.381807244635581</v>
      </c>
    </row>
    <row r="669" spans="1:45">
      <c r="A669" s="19">
        <v>26.059366669999999</v>
      </c>
      <c r="B669" s="19">
        <v>1291.02469</v>
      </c>
      <c r="C669" s="19">
        <v>-198.29521209999999</v>
      </c>
      <c r="E669" s="9">
        <f t="shared" si="173"/>
        <v>331.02468999999996</v>
      </c>
      <c r="F669" s="9">
        <f t="shared" si="178"/>
        <v>341.70478790000004</v>
      </c>
      <c r="I669">
        <v>1</v>
      </c>
      <c r="J669">
        <f t="shared" si="174"/>
        <v>0.30550849261478219</v>
      </c>
      <c r="K669">
        <f t="shared" si="179"/>
        <v>0.80127259898515357</v>
      </c>
      <c r="O669">
        <f t="shared" si="180"/>
        <v>0.2092794104521285</v>
      </c>
      <c r="P669">
        <f t="shared" si="181"/>
        <v>0.21603154906777994</v>
      </c>
      <c r="Q669">
        <f t="shared" si="182"/>
        <v>0.9536941323968523</v>
      </c>
      <c r="R669">
        <f t="shared" si="188"/>
        <v>1</v>
      </c>
      <c r="AG669" s="8">
        <f t="shared" si="175"/>
        <v>0.63691682234585012</v>
      </c>
      <c r="AH669" s="8">
        <f t="shared" si="176"/>
        <v>-3.6710182760255672E-2</v>
      </c>
      <c r="AI669" s="8">
        <f t="shared" si="177"/>
        <v>0.77005800034450222</v>
      </c>
      <c r="AJ669" s="8"/>
      <c r="AK669" s="8"/>
      <c r="AL669" s="8"/>
      <c r="AN669" s="8">
        <f t="shared" si="183"/>
        <v>1</v>
      </c>
      <c r="AO669" s="8">
        <f t="shared" si="184"/>
        <v>6.2256116788044675</v>
      </c>
      <c r="AP669" s="8">
        <f t="shared" si="185"/>
        <v>0.69186426676146129</v>
      </c>
      <c r="AQ669" s="8"/>
      <c r="AR669" s="8">
        <f t="shared" si="186"/>
        <v>356.70127408285106</v>
      </c>
      <c r="AS669" s="8">
        <f t="shared" si="187"/>
        <v>50.359097518654941</v>
      </c>
    </row>
    <row r="670" spans="1:45">
      <c r="A670" s="19">
        <v>26.092733330000002</v>
      </c>
      <c r="B670" s="19">
        <v>1291.3183180000001</v>
      </c>
      <c r="C670" s="19">
        <v>-198.71463489999999</v>
      </c>
      <c r="E670" s="9">
        <f t="shared" si="173"/>
        <v>331.31831800000009</v>
      </c>
      <c r="F670" s="9">
        <f t="shared" si="178"/>
        <v>341.28536510000004</v>
      </c>
      <c r="I670">
        <v>1</v>
      </c>
      <c r="J670">
        <f t="shared" si="174"/>
        <v>0.30544967633120823</v>
      </c>
      <c r="K670">
        <f t="shared" si="179"/>
        <v>0.80021568207683258</v>
      </c>
      <c r="O670">
        <f t="shared" si="180"/>
        <v>0.20946854904214951</v>
      </c>
      <c r="P670">
        <f t="shared" si="181"/>
        <v>0.21576999022679222</v>
      </c>
      <c r="Q670">
        <f t="shared" si="182"/>
        <v>0.95371182140083943</v>
      </c>
      <c r="R670">
        <f t="shared" si="188"/>
        <v>1</v>
      </c>
      <c r="AG670" s="8">
        <f t="shared" si="175"/>
        <v>0.63714804122566948</v>
      </c>
      <c r="AH670" s="8">
        <f t="shared" si="176"/>
        <v>-3.6580717705598509E-2</v>
      </c>
      <c r="AI670" s="8">
        <f t="shared" si="177"/>
        <v>0.76987286265618948</v>
      </c>
      <c r="AJ670" s="8"/>
      <c r="AK670" s="8"/>
      <c r="AL670" s="8"/>
      <c r="AN670" s="8">
        <f t="shared" si="183"/>
        <v>1</v>
      </c>
      <c r="AO670" s="8">
        <f t="shared" si="184"/>
        <v>6.2258350506437079</v>
      </c>
      <c r="AP670" s="8">
        <f t="shared" si="185"/>
        <v>0.69215441230226027</v>
      </c>
      <c r="AQ670" s="8"/>
      <c r="AR670" s="8">
        <f t="shared" si="186"/>
        <v>356.71407234650161</v>
      </c>
      <c r="AS670" s="8">
        <f t="shared" si="187"/>
        <v>50.342473403722622</v>
      </c>
    </row>
    <row r="671" spans="1:45">
      <c r="A671" s="19">
        <v>26.126100000000001</v>
      </c>
      <c r="B671" s="19">
        <v>1292.1847210000001</v>
      </c>
      <c r="C671" s="19">
        <v>-198.72415380000001</v>
      </c>
      <c r="E671" s="9">
        <f t="shared" si="173"/>
        <v>332.18472100000008</v>
      </c>
      <c r="F671" s="9">
        <f t="shared" si="178"/>
        <v>341.27584619999999</v>
      </c>
      <c r="I671">
        <v>1</v>
      </c>
      <c r="J671">
        <f t="shared" si="174"/>
        <v>0.30581289351797425</v>
      </c>
      <c r="K671">
        <f t="shared" si="179"/>
        <v>0.79889646380170898</v>
      </c>
      <c r="O671">
        <f t="shared" si="180"/>
        <v>0.2099946169928989</v>
      </c>
      <c r="P671">
        <f t="shared" si="181"/>
        <v>0.21574168250711465</v>
      </c>
      <c r="Q671">
        <f t="shared" si="182"/>
        <v>0.95360253106994475</v>
      </c>
      <c r="R671">
        <f t="shared" si="188"/>
        <v>1</v>
      </c>
      <c r="AG671" s="8">
        <f t="shared" si="175"/>
        <v>0.63725688900984645</v>
      </c>
      <c r="AH671" s="8">
        <f t="shared" si="176"/>
        <v>-3.6057874917462374E-2</v>
      </c>
      <c r="AI671" s="8">
        <f t="shared" si="177"/>
        <v>0.76980743505498106</v>
      </c>
      <c r="AJ671" s="8"/>
      <c r="AK671" s="8"/>
      <c r="AL671" s="8"/>
      <c r="AN671" s="8">
        <f t="shared" si="183"/>
        <v>1</v>
      </c>
      <c r="AO671" s="8">
        <f t="shared" si="184"/>
        <v>6.2266626269797136</v>
      </c>
      <c r="AP671" s="8">
        <f t="shared" si="185"/>
        <v>0.69225692536135708</v>
      </c>
      <c r="AQ671" s="8"/>
      <c r="AR671" s="8">
        <f t="shared" si="186"/>
        <v>356.76148897777961</v>
      </c>
      <c r="AS671" s="8">
        <f t="shared" si="187"/>
        <v>50.336599838091395</v>
      </c>
    </row>
    <row r="672" spans="1:45">
      <c r="A672" s="19">
        <v>26.15946667</v>
      </c>
      <c r="B672" s="19">
        <v>1292.827213</v>
      </c>
      <c r="C672" s="19">
        <v>-198.7200895</v>
      </c>
      <c r="E672" s="9">
        <f t="shared" ref="E672:E735" si="189">(B672-($B$15/2))</f>
        <v>332.82721300000003</v>
      </c>
      <c r="F672" s="9">
        <f t="shared" si="178"/>
        <v>341.27991050000003</v>
      </c>
      <c r="I672">
        <v>1</v>
      </c>
      <c r="J672">
        <f t="shared" ref="J672:J735" si="190">ATAN((SQRT(E672^2+F672^2)^$B$16)/($F$24))</f>
        <v>0.30608735830551675</v>
      </c>
      <c r="K672">
        <f t="shared" si="179"/>
        <v>0.79793660757627849</v>
      </c>
      <c r="O672">
        <f t="shared" si="180"/>
        <v>0.21038432959062017</v>
      </c>
      <c r="P672">
        <f t="shared" si="181"/>
        <v>0.21572738757178894</v>
      </c>
      <c r="Q672">
        <f t="shared" si="182"/>
        <v>0.95351986246441478</v>
      </c>
      <c r="R672">
        <f t="shared" si="188"/>
        <v>1</v>
      </c>
      <c r="AG672" s="8">
        <f t="shared" ref="AG672:AG735" si="191">$O672*$Z$27+$P672*$Z$31+$Q672*$Z$35</f>
        <v>0.63733228179587564</v>
      </c>
      <c r="AH672" s="8">
        <f t="shared" ref="AH672:AH735" si="192">$O672*$AA$27+$P672*$AA$31+$Q672*$AA$35</f>
        <v>-3.5668942946664506E-2</v>
      </c>
      <c r="AI672" s="8">
        <f t="shared" ref="AI672:AI735" si="193">$AB$27*$O672+$P672*$AB$31+$AB$35*$Q672</f>
        <v>0.76976313830290044</v>
      </c>
      <c r="AJ672" s="8"/>
      <c r="AK672" s="8"/>
      <c r="AL672" s="8"/>
      <c r="AN672" s="8">
        <f t="shared" si="183"/>
        <v>1</v>
      </c>
      <c r="AO672" s="8">
        <f t="shared" si="184"/>
        <v>6.2272776227378523</v>
      </c>
      <c r="AP672" s="8">
        <f t="shared" si="185"/>
        <v>0.69232632305800978</v>
      </c>
      <c r="AQ672" s="8"/>
      <c r="AR672" s="8">
        <f t="shared" si="186"/>
        <v>356.79672563913942</v>
      </c>
      <c r="AS672" s="8">
        <f t="shared" si="187"/>
        <v>50.332623642965267</v>
      </c>
    </row>
    <row r="673" spans="1:45">
      <c r="A673" s="19">
        <v>26.192833329999999</v>
      </c>
      <c r="B673" s="19">
        <v>1293.3747880000001</v>
      </c>
      <c r="C673" s="19">
        <v>-199.03318150000001</v>
      </c>
      <c r="E673" s="9">
        <f t="shared" si="189"/>
        <v>333.37478800000008</v>
      </c>
      <c r="F673" s="9">
        <f t="shared" ref="F673:F736" si="194">(($C$15/2)+C673)</f>
        <v>340.96681849999999</v>
      </c>
      <c r="I673">
        <v>1</v>
      </c>
      <c r="J673">
        <f t="shared" si="190"/>
        <v>0.30618377992912249</v>
      </c>
      <c r="K673">
        <f t="shared" ref="K673:K736" si="195">ATAN2(E673,F673)</f>
        <v>0.79665612180015211</v>
      </c>
      <c r="O673">
        <f t="shared" ref="O673:O736" si="196">COS(K673)*SIN(J673)</f>
        <v>0.21072466726029879</v>
      </c>
      <c r="P673">
        <f t="shared" ref="P673:P736" si="197">SIN(K673)*SIN(J673)</f>
        <v>0.21552355475428203</v>
      </c>
      <c r="Q673">
        <f t="shared" ref="Q673:Q736" si="198">COS(J673)</f>
        <v>0.9534908032876428</v>
      </c>
      <c r="R673">
        <f t="shared" si="188"/>
        <v>1</v>
      </c>
      <c r="AG673" s="8">
        <f t="shared" si="191"/>
        <v>0.63754416079365983</v>
      </c>
      <c r="AH673" s="8">
        <f t="shared" si="192"/>
        <v>-3.537375950267635E-2</v>
      </c>
      <c r="AI673" s="8">
        <f t="shared" si="193"/>
        <v>0.76960128649616666</v>
      </c>
      <c r="AJ673" s="8"/>
      <c r="AK673" s="8"/>
      <c r="AL673" s="8"/>
      <c r="AN673" s="8">
        <f t="shared" ref="AN673:AN736" si="199">AG673^2+AH673^2+AI673^2</f>
        <v>1</v>
      </c>
      <c r="AO673" s="8">
        <f t="shared" ref="AO673:AO736" si="200">IF(ATAN2(AG673,AH673)&gt;=0,ATAN2(AG673,AH673),ATAN2(AG673,AH673)+2*PI())</f>
        <v>6.2277577321555242</v>
      </c>
      <c r="AP673" s="8">
        <f t="shared" ref="AP673:AP736" si="201">ACOS(AI673/AN673)</f>
        <v>0.69257983952569346</v>
      </c>
      <c r="AQ673" s="8"/>
      <c r="AR673" s="8">
        <f t="shared" ref="AR673:AR736" si="202">DEGREES(AO673)</f>
        <v>356.82423388247651</v>
      </c>
      <c r="AS673" s="8">
        <f t="shared" ref="AS673:AS736" si="203">90-DEGREES(AP673)</f>
        <v>50.318098219329933</v>
      </c>
    </row>
    <row r="674" spans="1:45">
      <c r="A674" s="19">
        <v>26.226199999999999</v>
      </c>
      <c r="B674" s="19">
        <v>1294.297284</v>
      </c>
      <c r="C674" s="19">
        <v>-199.76810330000001</v>
      </c>
      <c r="E674" s="9">
        <f t="shared" si="189"/>
        <v>334.29728399999999</v>
      </c>
      <c r="F674" s="9">
        <f t="shared" si="194"/>
        <v>340.23189669999999</v>
      </c>
      <c r="I674">
        <v>1</v>
      </c>
      <c r="J674">
        <f t="shared" si="190"/>
        <v>0.30625728567780097</v>
      </c>
      <c r="K674">
        <f t="shared" si="195"/>
        <v>0.79419609201044794</v>
      </c>
      <c r="O674">
        <f t="shared" si="196"/>
        <v>0.21130334399693576</v>
      </c>
      <c r="P674">
        <f t="shared" si="197"/>
        <v>0.21505450671603427</v>
      </c>
      <c r="Q674">
        <f t="shared" si="198"/>
        <v>0.95346864445394097</v>
      </c>
      <c r="R674">
        <f t="shared" si="188"/>
        <v>1</v>
      </c>
      <c r="AG674" s="8">
        <f t="shared" si="191"/>
        <v>0.63799762717878716</v>
      </c>
      <c r="AH674" s="8">
        <f t="shared" si="192"/>
        <v>-3.490022110642238E-2</v>
      </c>
      <c r="AI674" s="8">
        <f t="shared" si="193"/>
        <v>0.76924703592601518</v>
      </c>
      <c r="AJ674" s="8"/>
      <c r="AK674" s="8"/>
      <c r="AL674" s="8"/>
      <c r="AN674" s="8">
        <f t="shared" si="199"/>
        <v>0.99999999999999989</v>
      </c>
      <c r="AO674" s="8">
        <f t="shared" si="200"/>
        <v>6.2285370290414193</v>
      </c>
      <c r="AP674" s="8">
        <f t="shared" si="201"/>
        <v>0.69313444954684078</v>
      </c>
      <c r="AQ674" s="8"/>
      <c r="AR674" s="8">
        <f t="shared" si="202"/>
        <v>356.86888430502597</v>
      </c>
      <c r="AS674" s="8">
        <f t="shared" si="203"/>
        <v>50.286321405842529</v>
      </c>
    </row>
    <row r="675" spans="1:45">
      <c r="A675" s="19">
        <v>26.259566670000002</v>
      </c>
      <c r="B675" s="19">
        <v>1294.5461949999999</v>
      </c>
      <c r="C675" s="19">
        <v>-199.90004949999999</v>
      </c>
      <c r="E675" s="9">
        <f t="shared" si="189"/>
        <v>334.5461949999999</v>
      </c>
      <c r="F675" s="9">
        <f t="shared" si="194"/>
        <v>340.09995049999998</v>
      </c>
      <c r="I675">
        <v>1</v>
      </c>
      <c r="J675">
        <f t="shared" si="190"/>
        <v>0.30630618215106137</v>
      </c>
      <c r="K675">
        <f t="shared" si="195"/>
        <v>0.7936300788800269</v>
      </c>
      <c r="O675">
        <f t="shared" si="196"/>
        <v>0.21145772728051659</v>
      </c>
      <c r="P675">
        <f t="shared" si="197"/>
        <v>0.21496810800955668</v>
      </c>
      <c r="Q675">
        <f t="shared" si="198"/>
        <v>0.95345390140905617</v>
      </c>
      <c r="R675">
        <f t="shared" si="188"/>
        <v>1</v>
      </c>
      <c r="AG675" s="8">
        <f t="shared" si="191"/>
        <v>0.63808896937583404</v>
      </c>
      <c r="AH675" s="8">
        <f t="shared" si="192"/>
        <v>-3.4764856168300107E-2</v>
      </c>
      <c r="AI675" s="8">
        <f t="shared" si="193"/>
        <v>0.76917739952268693</v>
      </c>
      <c r="AJ675" s="8"/>
      <c r="AK675" s="8"/>
      <c r="AL675" s="8"/>
      <c r="AN675" s="8">
        <f t="shared" si="199"/>
        <v>0.99999999999999978</v>
      </c>
      <c r="AO675" s="8">
        <f t="shared" si="200"/>
        <v>6.2287563472349445</v>
      </c>
      <c r="AP675" s="8">
        <f t="shared" si="201"/>
        <v>0.69324342782988657</v>
      </c>
      <c r="AQ675" s="8"/>
      <c r="AR675" s="8">
        <f t="shared" si="202"/>
        <v>356.88145031188543</v>
      </c>
      <c r="AS675" s="8">
        <f t="shared" si="203"/>
        <v>50.280077410165418</v>
      </c>
    </row>
    <row r="676" spans="1:45">
      <c r="A676" s="19">
        <v>26.29293333</v>
      </c>
      <c r="B676" s="19">
        <v>1295.235709</v>
      </c>
      <c r="C676" s="19">
        <v>-200.27374599999999</v>
      </c>
      <c r="E676" s="9">
        <f t="shared" si="189"/>
        <v>335.23570900000004</v>
      </c>
      <c r="F676" s="9">
        <f t="shared" si="194"/>
        <v>339.72625400000004</v>
      </c>
      <c r="I676">
        <v>1</v>
      </c>
      <c r="J676">
        <f t="shared" si="190"/>
        <v>0.30643856452593249</v>
      </c>
      <c r="K676">
        <f t="shared" si="195"/>
        <v>0.79205109940440066</v>
      </c>
      <c r="O676">
        <f t="shared" si="196"/>
        <v>0.211885547524402</v>
      </c>
      <c r="P676">
        <f t="shared" si="197"/>
        <v>0.21472379404905245</v>
      </c>
      <c r="Q676">
        <f t="shared" si="198"/>
        <v>0.95341397462983757</v>
      </c>
      <c r="R676">
        <f t="shared" si="188"/>
        <v>1</v>
      </c>
      <c r="AG676" s="8">
        <f t="shared" si="191"/>
        <v>0.63834569754295512</v>
      </c>
      <c r="AH676" s="8">
        <f t="shared" si="192"/>
        <v>-3.4390825849507256E-2</v>
      </c>
      <c r="AI676" s="8">
        <f t="shared" si="193"/>
        <v>0.76898117111265285</v>
      </c>
      <c r="AJ676" s="8"/>
      <c r="AK676" s="8"/>
      <c r="AL676" s="8"/>
      <c r="AN676" s="8">
        <f t="shared" si="199"/>
        <v>1.0000000000000002</v>
      </c>
      <c r="AO676" s="8">
        <f t="shared" si="200"/>
        <v>6.2293624168581587</v>
      </c>
      <c r="AP676" s="8">
        <f t="shared" si="201"/>
        <v>0.69355044085360851</v>
      </c>
      <c r="AQ676" s="8"/>
      <c r="AR676" s="8">
        <f t="shared" si="202"/>
        <v>356.91617554338666</v>
      </c>
      <c r="AS676" s="8">
        <f t="shared" si="203"/>
        <v>50.262486859650608</v>
      </c>
    </row>
    <row r="677" spans="1:45">
      <c r="A677" s="19">
        <v>26.3263</v>
      </c>
      <c r="B677" s="19">
        <v>1296.1096749999999</v>
      </c>
      <c r="C677" s="19">
        <v>-200.70953180000001</v>
      </c>
      <c r="E677" s="9">
        <f t="shared" si="189"/>
        <v>336.10967499999992</v>
      </c>
      <c r="F677" s="9">
        <f t="shared" si="194"/>
        <v>339.29046819999996</v>
      </c>
      <c r="I677">
        <v>1</v>
      </c>
      <c r="J677">
        <f t="shared" si="190"/>
        <v>0.30662374367871148</v>
      </c>
      <c r="K677">
        <f t="shared" si="195"/>
        <v>0.79010762299169801</v>
      </c>
      <c r="O677">
        <f t="shared" si="196"/>
        <v>0.21242670616943235</v>
      </c>
      <c r="P677">
        <f t="shared" si="197"/>
        <v>0.21443701849525915</v>
      </c>
      <c r="Q677">
        <f t="shared" si="198"/>
        <v>0.95335809620775214</v>
      </c>
      <c r="R677">
        <f t="shared" si="188"/>
        <v>1</v>
      </c>
      <c r="AG677" s="8">
        <f t="shared" si="191"/>
        <v>0.63865318747803435</v>
      </c>
      <c r="AH677" s="8">
        <f t="shared" si="192"/>
        <v>-3.3912432168405005E-2</v>
      </c>
      <c r="AI677" s="8">
        <f t="shared" si="193"/>
        <v>0.76874706703087337</v>
      </c>
      <c r="AJ677" s="8"/>
      <c r="AK677" s="8"/>
      <c r="AL677" s="8"/>
      <c r="AN677" s="8">
        <f t="shared" si="199"/>
        <v>1</v>
      </c>
      <c r="AO677" s="8">
        <f t="shared" si="200"/>
        <v>6.2301352113428807</v>
      </c>
      <c r="AP677" s="8">
        <f t="shared" si="201"/>
        <v>0.69391656475202168</v>
      </c>
      <c r="AQ677" s="8"/>
      <c r="AR677" s="8">
        <f t="shared" si="202"/>
        <v>356.96045340579224</v>
      </c>
      <c r="AS677" s="8">
        <f t="shared" si="203"/>
        <v>50.241509505492651</v>
      </c>
    </row>
    <row r="678" spans="1:45">
      <c r="A678" s="19">
        <v>26.359666669999999</v>
      </c>
      <c r="B678" s="19">
        <v>1296.601087</v>
      </c>
      <c r="C678" s="19">
        <v>-200.84507379999999</v>
      </c>
      <c r="E678" s="9">
        <f t="shared" si="189"/>
        <v>336.60108700000001</v>
      </c>
      <c r="F678" s="9">
        <f t="shared" si="194"/>
        <v>339.15492619999998</v>
      </c>
      <c r="I678">
        <v>1</v>
      </c>
      <c r="J678">
        <f t="shared" si="190"/>
        <v>0.30677557743658357</v>
      </c>
      <c r="K678">
        <f t="shared" si="195"/>
        <v>0.7891773780721697</v>
      </c>
      <c r="O678">
        <f t="shared" si="196"/>
        <v>0.2127280582522654</v>
      </c>
      <c r="P678">
        <f t="shared" si="197"/>
        <v>0.21434205557754593</v>
      </c>
      <c r="Q678">
        <f t="shared" si="198"/>
        <v>0.953312255477193</v>
      </c>
      <c r="R678">
        <f t="shared" si="188"/>
        <v>1</v>
      </c>
      <c r="AG678" s="8">
        <f t="shared" si="191"/>
        <v>0.63877491769193329</v>
      </c>
      <c r="AH678" s="8">
        <f t="shared" si="192"/>
        <v>-3.3630949575151281E-2</v>
      </c>
      <c r="AI678" s="8">
        <f t="shared" si="193"/>
        <v>0.76865828803073311</v>
      </c>
      <c r="AJ678" s="8"/>
      <c r="AK678" s="8"/>
      <c r="AL678" s="8"/>
      <c r="AN678" s="8">
        <f t="shared" si="199"/>
        <v>1</v>
      </c>
      <c r="AO678" s="8">
        <f t="shared" si="200"/>
        <v>6.2305847338159737</v>
      </c>
      <c r="AP678" s="8">
        <f t="shared" si="201"/>
        <v>0.69405536732992168</v>
      </c>
      <c r="AQ678" s="8"/>
      <c r="AR678" s="8">
        <f t="shared" si="202"/>
        <v>356.98620914629674</v>
      </c>
      <c r="AS678" s="8">
        <f t="shared" si="203"/>
        <v>50.23355670359345</v>
      </c>
    </row>
    <row r="679" spans="1:45">
      <c r="A679" s="19">
        <v>26.393033330000002</v>
      </c>
      <c r="B679" s="19">
        <v>1296.938555</v>
      </c>
      <c r="C679" s="19">
        <v>-200.86344130000001</v>
      </c>
      <c r="E679" s="9">
        <f t="shared" si="189"/>
        <v>336.93855499999995</v>
      </c>
      <c r="F679" s="9">
        <f t="shared" si="194"/>
        <v>339.13655870000002</v>
      </c>
      <c r="I679">
        <v>1</v>
      </c>
      <c r="J679">
        <f t="shared" si="190"/>
        <v>0.30691219981145962</v>
      </c>
      <c r="K679">
        <f t="shared" si="195"/>
        <v>0.78864927545785812</v>
      </c>
      <c r="O679">
        <f t="shared" si="196"/>
        <v>0.21293301755775304</v>
      </c>
      <c r="P679">
        <f t="shared" si="197"/>
        <v>0.21432207664137176</v>
      </c>
      <c r="Q679">
        <f t="shared" si="198"/>
        <v>0.95327098849061787</v>
      </c>
      <c r="R679">
        <f t="shared" si="188"/>
        <v>1</v>
      </c>
      <c r="AG679" s="8">
        <f t="shared" si="191"/>
        <v>0.63882364078922416</v>
      </c>
      <c r="AH679" s="8">
        <f t="shared" si="192"/>
        <v>-3.3429127042317125E-2</v>
      </c>
      <c r="AI679" s="8">
        <f t="shared" si="193"/>
        <v>0.76862659948377343</v>
      </c>
      <c r="AJ679" s="8"/>
      <c r="AK679" s="8"/>
      <c r="AL679" s="8"/>
      <c r="AN679" s="8">
        <f t="shared" si="199"/>
        <v>1</v>
      </c>
      <c r="AO679" s="8">
        <f t="shared" si="200"/>
        <v>6.2309037987082156</v>
      </c>
      <c r="AP679" s="8">
        <f t="shared" si="201"/>
        <v>0.69410490555706894</v>
      </c>
      <c r="AQ679" s="8"/>
      <c r="AR679" s="8">
        <f t="shared" si="202"/>
        <v>357.00449021801302</v>
      </c>
      <c r="AS679" s="8">
        <f t="shared" si="203"/>
        <v>50.230718372253349</v>
      </c>
    </row>
    <row r="680" spans="1:45">
      <c r="A680" s="19">
        <v>26.426400000000001</v>
      </c>
      <c r="B680" s="19">
        <v>1298.1590470000001</v>
      </c>
      <c r="C680" s="19">
        <v>-201.545389</v>
      </c>
      <c r="E680" s="9">
        <f t="shared" si="189"/>
        <v>338.1590470000001</v>
      </c>
      <c r="F680" s="9">
        <f t="shared" si="194"/>
        <v>338.454611</v>
      </c>
      <c r="I680">
        <v>1</v>
      </c>
      <c r="J680">
        <f t="shared" si="190"/>
        <v>0.30714215204562295</v>
      </c>
      <c r="K680">
        <f t="shared" si="195"/>
        <v>0.78583499167855897</v>
      </c>
      <c r="O680">
        <f t="shared" si="196"/>
        <v>0.21369026590950813</v>
      </c>
      <c r="P680">
        <f t="shared" si="197"/>
        <v>0.21387703941243097</v>
      </c>
      <c r="Q680">
        <f t="shared" si="198"/>
        <v>0.95320149090719386</v>
      </c>
      <c r="R680">
        <f t="shared" si="188"/>
        <v>1</v>
      </c>
      <c r="AG680" s="8">
        <f t="shared" si="191"/>
        <v>0.63928644892313891</v>
      </c>
      <c r="AH680" s="8">
        <f t="shared" si="192"/>
        <v>-3.2769542662676537E-2</v>
      </c>
      <c r="AI680" s="8">
        <f t="shared" si="193"/>
        <v>0.76827013042088399</v>
      </c>
      <c r="AJ680" s="8"/>
      <c r="AK680" s="8"/>
      <c r="AL680" s="8"/>
      <c r="AN680" s="8">
        <f t="shared" si="199"/>
        <v>1</v>
      </c>
      <c r="AO680" s="8">
        <f t="shared" si="200"/>
        <v>6.2319705711904243</v>
      </c>
      <c r="AP680" s="8">
        <f t="shared" si="201"/>
        <v>0.6946619652769207</v>
      </c>
      <c r="AQ680" s="8"/>
      <c r="AR680" s="8">
        <f t="shared" si="202"/>
        <v>357.06561177894423</v>
      </c>
      <c r="AS680" s="8">
        <f t="shared" si="203"/>
        <v>50.198801201369101</v>
      </c>
    </row>
    <row r="681" spans="1:45">
      <c r="A681" s="19">
        <v>26.45976667</v>
      </c>
      <c r="B681" s="19">
        <v>1298.479088</v>
      </c>
      <c r="C681" s="19">
        <v>-201.65498700000001</v>
      </c>
      <c r="E681" s="9">
        <f t="shared" si="189"/>
        <v>338.47908800000005</v>
      </c>
      <c r="F681" s="9">
        <f t="shared" si="194"/>
        <v>338.34501299999999</v>
      </c>
      <c r="I681">
        <v>1</v>
      </c>
      <c r="J681">
        <f t="shared" si="190"/>
        <v>0.3072325672388459</v>
      </c>
      <c r="K681">
        <f t="shared" si="195"/>
        <v>0.78520006909488405</v>
      </c>
      <c r="O681">
        <f t="shared" si="196"/>
        <v>0.21388697060552325</v>
      </c>
      <c r="P681">
        <f t="shared" si="197"/>
        <v>0.21380224780697935</v>
      </c>
      <c r="Q681">
        <f t="shared" si="198"/>
        <v>0.95317415126401484</v>
      </c>
      <c r="R681">
        <f t="shared" si="188"/>
        <v>1</v>
      </c>
      <c r="AG681" s="8">
        <f t="shared" si="191"/>
        <v>0.63937545770691651</v>
      </c>
      <c r="AH681" s="8">
        <f t="shared" si="192"/>
        <v>-3.258869742692444E-2</v>
      </c>
      <c r="AI681" s="8">
        <f t="shared" si="193"/>
        <v>0.76820374958866711</v>
      </c>
      <c r="AJ681" s="8"/>
      <c r="AK681" s="8"/>
      <c r="AL681" s="8"/>
      <c r="AN681" s="8">
        <f t="shared" si="199"/>
        <v>1</v>
      </c>
      <c r="AO681" s="8">
        <f t="shared" si="200"/>
        <v>6.2322597981711727</v>
      </c>
      <c r="AP681" s="8">
        <f t="shared" si="201"/>
        <v>0.69476565849579952</v>
      </c>
      <c r="AQ681" s="8"/>
      <c r="AR681" s="8">
        <f t="shared" si="202"/>
        <v>357.08218326426243</v>
      </c>
      <c r="AS681" s="8">
        <f t="shared" si="203"/>
        <v>50.19286001756322</v>
      </c>
    </row>
    <row r="682" spans="1:45">
      <c r="A682" s="19">
        <v>26.493133329999999</v>
      </c>
      <c r="B682" s="19">
        <v>1299.171372</v>
      </c>
      <c r="C682" s="19">
        <v>-201.74834319999999</v>
      </c>
      <c r="E682" s="9">
        <f t="shared" si="189"/>
        <v>339.17137200000002</v>
      </c>
      <c r="F682" s="9">
        <f t="shared" si="194"/>
        <v>338.25165679999998</v>
      </c>
      <c r="I682">
        <v>1</v>
      </c>
      <c r="J682">
        <f t="shared" si="190"/>
        <v>0.30749019013981677</v>
      </c>
      <c r="K682">
        <f t="shared" si="195"/>
        <v>0.78404049677584231</v>
      </c>
      <c r="O682">
        <f t="shared" si="196"/>
        <v>0.21430861117459571</v>
      </c>
      <c r="P682">
        <f t="shared" si="197"/>
        <v>0.21372748050302423</v>
      </c>
      <c r="Q682">
        <f t="shared" si="198"/>
        <v>0.95309620881327894</v>
      </c>
      <c r="R682">
        <f t="shared" si="188"/>
        <v>1</v>
      </c>
      <c r="AG682" s="8">
        <f t="shared" si="191"/>
        <v>0.63950091838468515</v>
      </c>
      <c r="AH682" s="8">
        <f t="shared" si="192"/>
        <v>-3.2181153478544638E-2</v>
      </c>
      <c r="AI682" s="8">
        <f t="shared" si="193"/>
        <v>0.76811649425457251</v>
      </c>
      <c r="AJ682" s="8"/>
      <c r="AK682" s="8"/>
      <c r="AL682" s="8"/>
      <c r="AN682" s="8">
        <f t="shared" si="199"/>
        <v>1</v>
      </c>
      <c r="AO682" s="8">
        <f t="shared" si="200"/>
        <v>6.232905425971679</v>
      </c>
      <c r="AP682" s="8">
        <f t="shared" si="201"/>
        <v>0.69490194006385086</v>
      </c>
      <c r="AQ682" s="8"/>
      <c r="AR682" s="8">
        <f t="shared" si="202"/>
        <v>357.11917501236775</v>
      </c>
      <c r="AS682" s="8">
        <f t="shared" si="203"/>
        <v>50.185051658888455</v>
      </c>
    </row>
    <row r="683" spans="1:45">
      <c r="A683" s="19">
        <v>26.526499999999999</v>
      </c>
      <c r="B683" s="19">
        <v>1299.546153</v>
      </c>
      <c r="C683" s="19">
        <v>-202.07234270000001</v>
      </c>
      <c r="E683" s="9">
        <f t="shared" si="189"/>
        <v>339.546153</v>
      </c>
      <c r="F683" s="9">
        <f t="shared" si="194"/>
        <v>337.92765729999996</v>
      </c>
      <c r="I683">
        <v>1</v>
      </c>
      <c r="J683">
        <f t="shared" si="190"/>
        <v>0.3075125716136618</v>
      </c>
      <c r="K683">
        <f t="shared" si="195"/>
        <v>0.78300915204930277</v>
      </c>
      <c r="O683">
        <f t="shared" si="196"/>
        <v>0.21454404359518051</v>
      </c>
      <c r="P683">
        <f t="shared" si="197"/>
        <v>0.21352138847465726</v>
      </c>
      <c r="Q683">
        <f t="shared" si="198"/>
        <v>0.95308943442978311</v>
      </c>
      <c r="R683">
        <f t="shared" si="188"/>
        <v>1</v>
      </c>
      <c r="AG683" s="8">
        <f t="shared" si="191"/>
        <v>0.6396961794928111</v>
      </c>
      <c r="AH683" s="8">
        <f t="shared" si="192"/>
        <v>-3.1991702801293292E-2</v>
      </c>
      <c r="AI683" s="8">
        <f t="shared" si="193"/>
        <v>0.76796180171553785</v>
      </c>
      <c r="AJ683" s="8"/>
      <c r="AK683" s="8"/>
      <c r="AL683" s="8"/>
      <c r="AN683" s="8">
        <f t="shared" si="199"/>
        <v>1.0000000000000002</v>
      </c>
      <c r="AO683" s="8">
        <f t="shared" si="200"/>
        <v>6.2332161616179711</v>
      </c>
      <c r="AP683" s="8">
        <f t="shared" si="201"/>
        <v>0.69514349509488726</v>
      </c>
      <c r="AQ683" s="8"/>
      <c r="AR683" s="8">
        <f t="shared" si="202"/>
        <v>357.13697885344459</v>
      </c>
      <c r="AS683" s="8">
        <f t="shared" si="203"/>
        <v>50.171211575089913</v>
      </c>
    </row>
    <row r="684" spans="1:45">
      <c r="A684" s="19">
        <v>26.559866670000002</v>
      </c>
      <c r="B684" s="19">
        <v>1300.3035870000001</v>
      </c>
      <c r="C684" s="19">
        <v>-202.68518330000001</v>
      </c>
      <c r="E684" s="9">
        <f t="shared" si="189"/>
        <v>340.30358700000011</v>
      </c>
      <c r="F684" s="9">
        <f t="shared" si="194"/>
        <v>337.31481669999999</v>
      </c>
      <c r="I684">
        <v>1</v>
      </c>
      <c r="J684">
        <f t="shared" si="190"/>
        <v>0.3075766980808034</v>
      </c>
      <c r="K684">
        <f t="shared" si="195"/>
        <v>0.78098749376027532</v>
      </c>
      <c r="O684">
        <f t="shared" si="196"/>
        <v>0.21501867904283081</v>
      </c>
      <c r="P684">
        <f t="shared" si="197"/>
        <v>0.2131302433447714</v>
      </c>
      <c r="Q684">
        <f t="shared" si="198"/>
        <v>0.95307002210460623</v>
      </c>
      <c r="R684">
        <f t="shared" si="188"/>
        <v>1</v>
      </c>
      <c r="AG684" s="8">
        <f t="shared" si="191"/>
        <v>0.64007105663385722</v>
      </c>
      <c r="AH684" s="8">
        <f t="shared" si="192"/>
        <v>-3.1604034245209245E-2</v>
      </c>
      <c r="AI684" s="8">
        <f t="shared" si="193"/>
        <v>0.76766543981023738</v>
      </c>
      <c r="AJ684" s="8"/>
      <c r="AK684" s="8"/>
      <c r="AL684" s="8"/>
      <c r="AN684" s="8">
        <f t="shared" si="199"/>
        <v>1</v>
      </c>
      <c r="AO684" s="8">
        <f t="shared" si="200"/>
        <v>6.2338495526971922</v>
      </c>
      <c r="AP684" s="8">
        <f t="shared" si="201"/>
        <v>0.69560607396534113</v>
      </c>
      <c r="AQ684" s="8"/>
      <c r="AR684" s="8">
        <f t="shared" si="202"/>
        <v>357.17326948906521</v>
      </c>
      <c r="AS684" s="8">
        <f t="shared" si="203"/>
        <v>50.14470775812098</v>
      </c>
    </row>
    <row r="685" spans="1:45">
      <c r="A685" s="19">
        <v>26.59323333</v>
      </c>
      <c r="B685" s="19">
        <v>1300.7340139999999</v>
      </c>
      <c r="C685" s="19">
        <v>-202.74009380000001</v>
      </c>
      <c r="E685" s="9">
        <f t="shared" si="189"/>
        <v>340.73401399999989</v>
      </c>
      <c r="F685" s="9">
        <f t="shared" si="194"/>
        <v>337.25990619999999</v>
      </c>
      <c r="I685">
        <v>1</v>
      </c>
      <c r="J685">
        <f t="shared" si="190"/>
        <v>0.30773902150813021</v>
      </c>
      <c r="K685">
        <f t="shared" si="195"/>
        <v>0.78027410949204856</v>
      </c>
      <c r="O685">
        <f t="shared" si="196"/>
        <v>0.21528061771654614</v>
      </c>
      <c r="P685">
        <f t="shared" si="197"/>
        <v>0.2130856267779607</v>
      </c>
      <c r="Q685">
        <f t="shared" si="198"/>
        <v>0.95302086613894554</v>
      </c>
      <c r="R685">
        <f t="shared" si="188"/>
        <v>1</v>
      </c>
      <c r="AG685" s="8">
        <f t="shared" si="191"/>
        <v>0.64014736367942693</v>
      </c>
      <c r="AH685" s="8">
        <f t="shared" si="192"/>
        <v>-3.1350335733492246E-2</v>
      </c>
      <c r="AI685" s="8">
        <f t="shared" si="193"/>
        <v>0.76761221278955483</v>
      </c>
      <c r="AJ685" s="8"/>
      <c r="AK685" s="8"/>
      <c r="AL685" s="8"/>
      <c r="AN685" s="8">
        <f t="shared" si="199"/>
        <v>1</v>
      </c>
      <c r="AO685" s="8">
        <f t="shared" si="200"/>
        <v>6.2342507808440146</v>
      </c>
      <c r="AP685" s="8">
        <f t="shared" si="201"/>
        <v>0.69568912663776505</v>
      </c>
      <c r="AQ685" s="8"/>
      <c r="AR685" s="8">
        <f t="shared" si="202"/>
        <v>357.19625816849998</v>
      </c>
      <c r="AS685" s="8">
        <f t="shared" si="203"/>
        <v>50.139949190513811</v>
      </c>
    </row>
    <row r="686" spans="1:45">
      <c r="A686" s="19">
        <v>26.6266</v>
      </c>
      <c r="B686" s="19">
        <v>1301.2848570000001</v>
      </c>
      <c r="C686" s="19">
        <v>-202.8277051</v>
      </c>
      <c r="E686" s="9">
        <f t="shared" si="189"/>
        <v>341.2848570000001</v>
      </c>
      <c r="F686" s="9">
        <f t="shared" si="194"/>
        <v>337.1722949</v>
      </c>
      <c r="I686">
        <v>1</v>
      </c>
      <c r="J686">
        <f t="shared" si="190"/>
        <v>0.30793954631104559</v>
      </c>
      <c r="K686">
        <f t="shared" si="195"/>
        <v>0.77933659897931395</v>
      </c>
      <c r="O686">
        <f t="shared" si="196"/>
        <v>0.21561623654172571</v>
      </c>
      <c r="P686">
        <f t="shared" si="197"/>
        <v>0.21301801061883877</v>
      </c>
      <c r="Q686">
        <f t="shared" si="198"/>
        <v>0.9529601070829643</v>
      </c>
      <c r="R686">
        <f t="shared" si="188"/>
        <v>1</v>
      </c>
      <c r="AG686" s="8">
        <f t="shared" si="191"/>
        <v>0.64025301366495646</v>
      </c>
      <c r="AH686" s="8">
        <f t="shared" si="192"/>
        <v>-3.1027666166868056E-2</v>
      </c>
      <c r="AI686" s="8">
        <f t="shared" si="193"/>
        <v>0.76753720588983732</v>
      </c>
      <c r="AJ686" s="8"/>
      <c r="AK686" s="8"/>
      <c r="AL686" s="8"/>
      <c r="AN686" s="8">
        <f t="shared" si="199"/>
        <v>1</v>
      </c>
      <c r="AO686" s="8">
        <f t="shared" si="200"/>
        <v>6.2347616216399073</v>
      </c>
      <c r="AP686" s="8">
        <f t="shared" si="201"/>
        <v>0.69580614947823949</v>
      </c>
      <c r="AQ686" s="8"/>
      <c r="AR686" s="8">
        <f t="shared" si="202"/>
        <v>357.2255271901077</v>
      </c>
      <c r="AS686" s="8">
        <f t="shared" si="203"/>
        <v>50.133244275647989</v>
      </c>
    </row>
    <row r="687" spans="1:45">
      <c r="A687" s="19">
        <v>26.659966669999999</v>
      </c>
      <c r="B687" s="19">
        <v>1302.3023189999999</v>
      </c>
      <c r="C687" s="19">
        <v>-203.46247679999999</v>
      </c>
      <c r="E687" s="9">
        <f t="shared" si="189"/>
        <v>342.3023189999999</v>
      </c>
      <c r="F687" s="9">
        <f t="shared" si="194"/>
        <v>336.53752320000001</v>
      </c>
      <c r="I687">
        <v>1</v>
      </c>
      <c r="J687">
        <f t="shared" si="190"/>
        <v>0.30810908301393813</v>
      </c>
      <c r="K687">
        <f t="shared" si="195"/>
        <v>0.77690623810207216</v>
      </c>
      <c r="O687">
        <f t="shared" si="196"/>
        <v>0.21624851416207166</v>
      </c>
      <c r="P687">
        <f t="shared" si="197"/>
        <v>0.21260662085021909</v>
      </c>
      <c r="Q687">
        <f t="shared" si="198"/>
        <v>0.95290870753359547</v>
      </c>
      <c r="R687">
        <f t="shared" si="188"/>
        <v>1</v>
      </c>
      <c r="AG687" s="8">
        <f t="shared" si="191"/>
        <v>0.64066810315217271</v>
      </c>
      <c r="AH687" s="8">
        <f t="shared" si="192"/>
        <v>-3.0485519564777547E-2</v>
      </c>
      <c r="AI687" s="8">
        <f t="shared" si="193"/>
        <v>0.76721249644427891</v>
      </c>
      <c r="AJ687" s="8"/>
      <c r="AK687" s="8"/>
      <c r="AL687" s="8"/>
      <c r="AN687" s="8">
        <f t="shared" si="199"/>
        <v>1</v>
      </c>
      <c r="AO687" s="8">
        <f t="shared" si="200"/>
        <v>6.2356372212738345</v>
      </c>
      <c r="AP687" s="8">
        <f t="shared" si="201"/>
        <v>0.69631255948546877</v>
      </c>
      <c r="AQ687" s="8"/>
      <c r="AR687" s="8">
        <f t="shared" si="202"/>
        <v>357.27569535367496</v>
      </c>
      <c r="AS687" s="8">
        <f t="shared" si="203"/>
        <v>50.104229119530565</v>
      </c>
    </row>
    <row r="688" spans="1:45">
      <c r="A688" s="19">
        <v>26.693333330000002</v>
      </c>
      <c r="B688" s="19">
        <v>1302.7239509999999</v>
      </c>
      <c r="C688" s="19">
        <v>-203.6767945</v>
      </c>
      <c r="E688" s="9">
        <f t="shared" si="189"/>
        <v>342.72395099999994</v>
      </c>
      <c r="F688" s="9">
        <f t="shared" si="194"/>
        <v>336.32320549999997</v>
      </c>
      <c r="I688">
        <v>1</v>
      </c>
      <c r="J688">
        <f t="shared" si="190"/>
        <v>0.30820056699916287</v>
      </c>
      <c r="K688">
        <f t="shared" si="195"/>
        <v>0.77597237333496771</v>
      </c>
      <c r="O688">
        <f t="shared" si="196"/>
        <v>0.21650918570839425</v>
      </c>
      <c r="P688">
        <f t="shared" si="197"/>
        <v>0.2124656393146038</v>
      </c>
      <c r="Q688">
        <f t="shared" si="198"/>
        <v>0.95288096035891323</v>
      </c>
      <c r="R688">
        <f t="shared" si="188"/>
        <v>1</v>
      </c>
      <c r="AG688" s="8">
        <f t="shared" si="191"/>
        <v>0.6408173120014754</v>
      </c>
      <c r="AH688" s="8">
        <f t="shared" si="192"/>
        <v>-3.0255324607936507E-2</v>
      </c>
      <c r="AI688" s="8">
        <f t="shared" si="193"/>
        <v>0.76709698733085396</v>
      </c>
      <c r="AJ688" s="8"/>
      <c r="AK688" s="8"/>
      <c r="AL688" s="8"/>
      <c r="AN688" s="8">
        <f t="shared" si="199"/>
        <v>1.0000000000000002</v>
      </c>
      <c r="AO688" s="8">
        <f t="shared" si="200"/>
        <v>6.2360066915949615</v>
      </c>
      <c r="AP688" s="8">
        <f t="shared" si="201"/>
        <v>0.6964926311024553</v>
      </c>
      <c r="AQ688" s="8"/>
      <c r="AR688" s="8">
        <f t="shared" si="202"/>
        <v>357.29686444373084</v>
      </c>
      <c r="AS688" s="8">
        <f t="shared" si="203"/>
        <v>50.093911775867142</v>
      </c>
    </row>
    <row r="689" spans="1:45">
      <c r="A689" s="19">
        <v>26.726700000000001</v>
      </c>
      <c r="B689" s="19">
        <v>1303.3365140000001</v>
      </c>
      <c r="C689" s="19">
        <v>-203.7670799</v>
      </c>
      <c r="E689" s="9">
        <f t="shared" si="189"/>
        <v>343.33651400000008</v>
      </c>
      <c r="F689" s="9">
        <f t="shared" si="194"/>
        <v>336.2329201</v>
      </c>
      <c r="I689">
        <v>1</v>
      </c>
      <c r="J689">
        <f t="shared" si="190"/>
        <v>0.30842785024421482</v>
      </c>
      <c r="K689">
        <f t="shared" si="195"/>
        <v>0.77494546374481199</v>
      </c>
      <c r="O689">
        <f t="shared" si="196"/>
        <v>0.21688198211157889</v>
      </c>
      <c r="P689">
        <f t="shared" si="197"/>
        <v>0.21239471826888801</v>
      </c>
      <c r="Q689">
        <f t="shared" si="198"/>
        <v>0.95281199062922817</v>
      </c>
      <c r="R689">
        <f t="shared" si="188"/>
        <v>1</v>
      </c>
      <c r="AG689" s="8">
        <f t="shared" si="191"/>
        <v>0.64093107832681451</v>
      </c>
      <c r="AH689" s="8">
        <f t="shared" si="192"/>
        <v>-2.9895786871723395E-2</v>
      </c>
      <c r="AI689" s="8">
        <f t="shared" si="193"/>
        <v>0.76701603292378906</v>
      </c>
      <c r="AJ689" s="8"/>
      <c r="AK689" s="8"/>
      <c r="AL689" s="8"/>
      <c r="AN689" s="8">
        <f t="shared" si="199"/>
        <v>0.99999999999999978</v>
      </c>
      <c r="AO689" s="8">
        <f t="shared" si="200"/>
        <v>6.2365747825777342</v>
      </c>
      <c r="AP689" s="8">
        <f t="shared" si="201"/>
        <v>0.69661881094750289</v>
      </c>
      <c r="AQ689" s="8"/>
      <c r="AR689" s="8">
        <f t="shared" si="202"/>
        <v>357.32941365942321</v>
      </c>
      <c r="AS689" s="8">
        <f t="shared" si="203"/>
        <v>50.086682203286294</v>
      </c>
    </row>
    <row r="690" spans="1:45">
      <c r="A690" s="19">
        <v>26.76006667</v>
      </c>
      <c r="B690" s="19">
        <v>1304.1011619999999</v>
      </c>
      <c r="C690" s="19">
        <v>-203.84297509999999</v>
      </c>
      <c r="E690" s="9">
        <f t="shared" si="189"/>
        <v>344.10116199999993</v>
      </c>
      <c r="F690" s="9">
        <f t="shared" si="194"/>
        <v>336.15702490000001</v>
      </c>
      <c r="I690">
        <v>1</v>
      </c>
      <c r="J690">
        <f t="shared" si="190"/>
        <v>0.30872756618590019</v>
      </c>
      <c r="K690">
        <f t="shared" si="195"/>
        <v>0.77372057370279135</v>
      </c>
      <c r="O690">
        <f t="shared" si="196"/>
        <v>0.2173462445710618</v>
      </c>
      <c r="P690">
        <f t="shared" si="197"/>
        <v>0.21232845167839315</v>
      </c>
      <c r="Q690">
        <f t="shared" si="198"/>
        <v>0.95272096574952758</v>
      </c>
      <c r="R690">
        <f t="shared" si="188"/>
        <v>1</v>
      </c>
      <c r="AG690" s="8">
        <f t="shared" si="191"/>
        <v>0.64105580673824558</v>
      </c>
      <c r="AH690" s="8">
        <f t="shared" si="192"/>
        <v>-2.9442864346173936E-2</v>
      </c>
      <c r="AI690" s="8">
        <f t="shared" si="193"/>
        <v>0.76692931250948415</v>
      </c>
      <c r="AJ690" s="8"/>
      <c r="AK690" s="8"/>
      <c r="AL690" s="8"/>
      <c r="AN690" s="8">
        <f t="shared" si="199"/>
        <v>1</v>
      </c>
      <c r="AO690" s="8">
        <f t="shared" si="200"/>
        <v>6.2372888540343858</v>
      </c>
      <c r="AP690" s="8">
        <f t="shared" si="201"/>
        <v>0.69675395688717956</v>
      </c>
      <c r="AQ690" s="8"/>
      <c r="AR690" s="8">
        <f t="shared" si="202"/>
        <v>357.37032694016006</v>
      </c>
      <c r="AS690" s="8">
        <f t="shared" si="203"/>
        <v>50.078938911324492</v>
      </c>
    </row>
    <row r="691" spans="1:45">
      <c r="A691" s="19">
        <v>26.793433329999999</v>
      </c>
      <c r="B691" s="19">
        <v>1304.4606839999999</v>
      </c>
      <c r="C691" s="19">
        <v>-204.46736089999999</v>
      </c>
      <c r="E691" s="9">
        <f t="shared" si="189"/>
        <v>344.4606839999999</v>
      </c>
      <c r="F691" s="9">
        <f t="shared" si="194"/>
        <v>335.53263909999998</v>
      </c>
      <c r="I691">
        <v>1</v>
      </c>
      <c r="J691">
        <f t="shared" si="190"/>
        <v>0.30861909244650115</v>
      </c>
      <c r="K691">
        <f t="shared" si="195"/>
        <v>0.77226931106204966</v>
      </c>
      <c r="O691">
        <f t="shared" si="196"/>
        <v>0.21758012947306118</v>
      </c>
      <c r="P691">
        <f t="shared" si="197"/>
        <v>0.21194069003769361</v>
      </c>
      <c r="Q691">
        <f t="shared" si="198"/>
        <v>0.95275391952215671</v>
      </c>
      <c r="R691">
        <f t="shared" si="188"/>
        <v>1</v>
      </c>
      <c r="AG691" s="8">
        <f t="shared" si="191"/>
        <v>0.64138831641447469</v>
      </c>
      <c r="AH691" s="8">
        <f t="shared" si="192"/>
        <v>-2.9296749560564606E-2</v>
      </c>
      <c r="AI691" s="8">
        <f t="shared" si="193"/>
        <v>0.76665685155236907</v>
      </c>
      <c r="AJ691" s="8"/>
      <c r="AK691" s="8"/>
      <c r="AL691" s="8"/>
      <c r="AN691" s="8">
        <f t="shared" si="199"/>
        <v>1</v>
      </c>
      <c r="AO691" s="8">
        <f t="shared" si="200"/>
        <v>6.2375399478808271</v>
      </c>
      <c r="AP691" s="8">
        <f t="shared" si="201"/>
        <v>0.69717842076303205</v>
      </c>
      <c r="AQ691" s="8"/>
      <c r="AR691" s="8">
        <f t="shared" si="202"/>
        <v>357.38471355782286</v>
      </c>
      <c r="AS691" s="8">
        <f t="shared" si="203"/>
        <v>50.05461892268238</v>
      </c>
    </row>
    <row r="692" spans="1:45">
      <c r="A692" s="19">
        <v>26.826799999999999</v>
      </c>
      <c r="B692" s="19">
        <v>1305.10643</v>
      </c>
      <c r="C692" s="19">
        <v>-204.52077589999999</v>
      </c>
      <c r="E692" s="9">
        <f t="shared" si="189"/>
        <v>345.10643000000005</v>
      </c>
      <c r="F692" s="9">
        <f t="shared" si="194"/>
        <v>335.47922410000001</v>
      </c>
      <c r="I692">
        <v>1</v>
      </c>
      <c r="J692">
        <f t="shared" si="190"/>
        <v>0.30887747417041489</v>
      </c>
      <c r="K692">
        <f t="shared" si="195"/>
        <v>0.77125363389933721</v>
      </c>
      <c r="O692">
        <f t="shared" si="196"/>
        <v>0.21797178936501624</v>
      </c>
      <c r="P692">
        <f t="shared" si="197"/>
        <v>0.21189117447584005</v>
      </c>
      <c r="Q692">
        <f t="shared" si="198"/>
        <v>0.95267540601206979</v>
      </c>
      <c r="R692">
        <f t="shared" si="188"/>
        <v>1</v>
      </c>
      <c r="AG692" s="8">
        <f t="shared" si="191"/>
        <v>0.64148845680217992</v>
      </c>
      <c r="AH692" s="8">
        <f t="shared" si="192"/>
        <v>-2.8913091150856662E-2</v>
      </c>
      <c r="AI692" s="8">
        <f t="shared" si="193"/>
        <v>0.76658762900901289</v>
      </c>
      <c r="AJ692" s="8"/>
      <c r="AK692" s="8"/>
      <c r="AL692" s="8"/>
      <c r="AN692" s="8">
        <f t="shared" si="199"/>
        <v>1</v>
      </c>
      <c r="AO692" s="8">
        <f t="shared" si="200"/>
        <v>6.2381439101925267</v>
      </c>
      <c r="AP692" s="8">
        <f t="shared" si="201"/>
        <v>0.6972862275178171</v>
      </c>
      <c r="AQ692" s="8"/>
      <c r="AR692" s="8">
        <f t="shared" si="202"/>
        <v>357.41931804926821</v>
      </c>
      <c r="AS692" s="8">
        <f t="shared" si="203"/>
        <v>50.048442050630193</v>
      </c>
    </row>
    <row r="693" spans="1:45">
      <c r="A693" s="19">
        <v>26.860166670000002</v>
      </c>
      <c r="B693" s="19">
        <v>1306.280917</v>
      </c>
      <c r="C693" s="19">
        <v>-204.84062850000001</v>
      </c>
      <c r="E693" s="9">
        <f t="shared" si="189"/>
        <v>346.28091700000004</v>
      </c>
      <c r="F693" s="9">
        <f t="shared" si="194"/>
        <v>335.15937150000002</v>
      </c>
      <c r="I693">
        <v>1</v>
      </c>
      <c r="J693">
        <f t="shared" si="190"/>
        <v>0.30925406093461238</v>
      </c>
      <c r="K693">
        <f t="shared" si="195"/>
        <v>0.7690789665615444</v>
      </c>
      <c r="O693">
        <f t="shared" si="196"/>
        <v>0.21868984201200548</v>
      </c>
      <c r="P693">
        <f t="shared" si="197"/>
        <v>0.21166615428068203</v>
      </c>
      <c r="Q693">
        <f t="shared" si="198"/>
        <v>0.95256086006763396</v>
      </c>
      <c r="R693">
        <f t="shared" si="188"/>
        <v>1</v>
      </c>
      <c r="AG693" s="8">
        <f t="shared" si="191"/>
        <v>0.64177387028788135</v>
      </c>
      <c r="AH693" s="8">
        <f t="shared" si="192"/>
        <v>-2.8240662373808123E-2</v>
      </c>
      <c r="AI693" s="8">
        <f t="shared" si="193"/>
        <v>0.76637377591120792</v>
      </c>
      <c r="AJ693" s="8"/>
      <c r="AK693" s="8"/>
      <c r="AL693" s="8"/>
      <c r="AN693" s="8">
        <f t="shared" si="199"/>
        <v>1</v>
      </c>
      <c r="AO693" s="8">
        <f t="shared" si="200"/>
        <v>6.239209606677945</v>
      </c>
      <c r="AP693" s="8">
        <f t="shared" si="201"/>
        <v>0.69761919338817013</v>
      </c>
      <c r="AQ693" s="8"/>
      <c r="AR693" s="8">
        <f t="shared" si="202"/>
        <v>357.4803779601246</v>
      </c>
      <c r="AS693" s="8">
        <f t="shared" si="203"/>
        <v>50.029364511537068</v>
      </c>
    </row>
    <row r="694" spans="1:45">
      <c r="A694" s="19">
        <v>26.89353333</v>
      </c>
      <c r="B694" s="19">
        <v>1306.454645</v>
      </c>
      <c r="C694" s="19">
        <v>-205.48693700000001</v>
      </c>
      <c r="E694" s="9">
        <f t="shared" si="189"/>
        <v>346.45464500000003</v>
      </c>
      <c r="F694" s="9">
        <f t="shared" si="194"/>
        <v>334.51306299999999</v>
      </c>
      <c r="I694">
        <v>1</v>
      </c>
      <c r="J694">
        <f t="shared" si="190"/>
        <v>0.30905719969892326</v>
      </c>
      <c r="K694">
        <f t="shared" si="195"/>
        <v>0.7678637663896376</v>
      </c>
      <c r="O694">
        <f t="shared" si="196"/>
        <v>0.21881199015906061</v>
      </c>
      <c r="P694">
        <f t="shared" si="197"/>
        <v>0.21126998903199354</v>
      </c>
      <c r="Q694">
        <f t="shared" si="198"/>
        <v>0.95262075596590512</v>
      </c>
      <c r="R694">
        <f t="shared" si="188"/>
        <v>1</v>
      </c>
      <c r="AG694" s="8">
        <f t="shared" si="191"/>
        <v>0.64209461367701148</v>
      </c>
      <c r="AH694" s="8">
        <f t="shared" si="192"/>
        <v>-2.8209085812859275E-2</v>
      </c>
      <c r="AI694" s="8">
        <f t="shared" si="193"/>
        <v>0.76610622929497985</v>
      </c>
      <c r="AJ694" s="8"/>
      <c r="AK694" s="8"/>
      <c r="AL694" s="8"/>
      <c r="AN694" s="8">
        <f t="shared" si="199"/>
        <v>1</v>
      </c>
      <c r="AO694" s="8">
        <f t="shared" si="200"/>
        <v>6.239280628011346</v>
      </c>
      <c r="AP694" s="8">
        <f t="shared" si="201"/>
        <v>0.69803557306518327</v>
      </c>
      <c r="AQ694" s="8"/>
      <c r="AR694" s="8">
        <f t="shared" si="202"/>
        <v>357.48444718278387</v>
      </c>
      <c r="AS694" s="8">
        <f t="shared" si="203"/>
        <v>50.005507713369191</v>
      </c>
    </row>
    <row r="695" spans="1:45">
      <c r="A695" s="19">
        <v>26.9269</v>
      </c>
      <c r="B695" s="19">
        <v>1306.4566110000001</v>
      </c>
      <c r="C695" s="19">
        <v>-205.760268</v>
      </c>
      <c r="E695" s="9">
        <f t="shared" si="189"/>
        <v>346.45661100000007</v>
      </c>
      <c r="F695" s="9">
        <f t="shared" si="194"/>
        <v>334.239732</v>
      </c>
      <c r="I695">
        <v>1</v>
      </c>
      <c r="J695">
        <f t="shared" si="190"/>
        <v>0.30894282407728746</v>
      </c>
      <c r="K695">
        <f t="shared" si="195"/>
        <v>0.76745247054323285</v>
      </c>
      <c r="O695">
        <f t="shared" si="196"/>
        <v>0.21882045061473987</v>
      </c>
      <c r="P695">
        <f t="shared" si="197"/>
        <v>0.21110432431491366</v>
      </c>
      <c r="Q695">
        <f t="shared" si="198"/>
        <v>0.95265553829718852</v>
      </c>
      <c r="R695">
        <f t="shared" si="188"/>
        <v>1</v>
      </c>
      <c r="AG695" s="8">
        <f t="shared" si="191"/>
        <v>0.64222193819037909</v>
      </c>
      <c r="AH695" s="8">
        <f t="shared" si="192"/>
        <v>-2.8238874964386179E-2</v>
      </c>
      <c r="AI695" s="8">
        <f t="shared" si="193"/>
        <v>0.76599839950729587</v>
      </c>
      <c r="AJ695" s="8"/>
      <c r="AK695" s="8"/>
      <c r="AL695" s="8"/>
      <c r="AN695" s="8">
        <f t="shared" si="199"/>
        <v>1.0000000000000002</v>
      </c>
      <c r="AO695" s="8">
        <f t="shared" si="200"/>
        <v>6.239243026110838</v>
      </c>
      <c r="AP695" s="8">
        <f t="shared" si="201"/>
        <v>0.69820332888436676</v>
      </c>
      <c r="AQ695" s="8"/>
      <c r="AR695" s="8">
        <f t="shared" si="202"/>
        <v>357.48229275258313</v>
      </c>
      <c r="AS695" s="8">
        <f t="shared" si="203"/>
        <v>49.995896012941223</v>
      </c>
    </row>
    <row r="696" spans="1:45">
      <c r="A696" s="19">
        <v>26.960266669999999</v>
      </c>
      <c r="B696" s="19">
        <v>1307.6627570000001</v>
      </c>
      <c r="C696" s="19">
        <v>-205.6839544</v>
      </c>
      <c r="E696" s="9">
        <f t="shared" si="189"/>
        <v>347.66275700000006</v>
      </c>
      <c r="F696" s="9">
        <f t="shared" si="194"/>
        <v>334.3160456</v>
      </c>
      <c r="I696">
        <v>1</v>
      </c>
      <c r="J696">
        <f t="shared" si="190"/>
        <v>0.30950227683194292</v>
      </c>
      <c r="K696">
        <f t="shared" si="195"/>
        <v>0.76583009503667521</v>
      </c>
      <c r="O696">
        <f t="shared" si="196"/>
        <v>0.21954678423395879</v>
      </c>
      <c r="P696">
        <f t="shared" si="197"/>
        <v>0.21111842223955418</v>
      </c>
      <c r="Q696">
        <f t="shared" si="198"/>
        <v>0.95248528667040777</v>
      </c>
      <c r="R696">
        <f t="shared" si="188"/>
        <v>1</v>
      </c>
      <c r="AG696" s="8">
        <f t="shared" si="191"/>
        <v>0.64232624345502964</v>
      </c>
      <c r="AH696" s="8">
        <f t="shared" si="192"/>
        <v>-2.7502543120345085E-2</v>
      </c>
      <c r="AI696" s="8">
        <f t="shared" si="193"/>
        <v>0.76593773055703662</v>
      </c>
      <c r="AJ696" s="8"/>
      <c r="AK696" s="8"/>
      <c r="AL696" s="8"/>
      <c r="AN696" s="8">
        <f t="shared" si="199"/>
        <v>1</v>
      </c>
      <c r="AO696" s="8">
        <f t="shared" si="200"/>
        <v>6.2403943500500212</v>
      </c>
      <c r="AP696" s="8">
        <f t="shared" si="201"/>
        <v>0.69829769965397703</v>
      </c>
      <c r="AQ696" s="8"/>
      <c r="AR696" s="8">
        <f t="shared" si="202"/>
        <v>357.5482587551507</v>
      </c>
      <c r="AS696" s="8">
        <f t="shared" si="203"/>
        <v>49.99048896613315</v>
      </c>
    </row>
    <row r="697" spans="1:45">
      <c r="A697" s="19">
        <v>26.993633330000002</v>
      </c>
      <c r="B697" s="19">
        <v>1308.267994</v>
      </c>
      <c r="C697" s="19">
        <v>-205.93988400000001</v>
      </c>
      <c r="E697" s="9">
        <f t="shared" si="189"/>
        <v>348.26799400000004</v>
      </c>
      <c r="F697" s="9">
        <f t="shared" si="194"/>
        <v>334.06011599999999</v>
      </c>
      <c r="I697">
        <v>1</v>
      </c>
      <c r="J697">
        <f t="shared" si="190"/>
        <v>0.30965960447367163</v>
      </c>
      <c r="K697">
        <f t="shared" si="195"/>
        <v>0.76457852414184435</v>
      </c>
      <c r="O697">
        <f t="shared" si="196"/>
        <v>0.21991898367435209</v>
      </c>
      <c r="P697">
        <f t="shared" si="197"/>
        <v>0.21094720865120942</v>
      </c>
      <c r="Q697">
        <f t="shared" si="198"/>
        <v>0.95243735530579809</v>
      </c>
      <c r="R697">
        <f t="shared" si="188"/>
        <v>1</v>
      </c>
      <c r="AG697" s="8">
        <f t="shared" si="191"/>
        <v>0.64251520923871897</v>
      </c>
      <c r="AH697" s="8">
        <f t="shared" si="192"/>
        <v>-2.7166432756469627E-2</v>
      </c>
      <c r="AI697" s="8">
        <f t="shared" si="193"/>
        <v>0.76579121882417356</v>
      </c>
      <c r="AJ697" s="8"/>
      <c r="AK697" s="8"/>
      <c r="AL697" s="8"/>
      <c r="AN697" s="8">
        <f t="shared" si="199"/>
        <v>0.99999999999999989</v>
      </c>
      <c r="AO697" s="8">
        <f t="shared" si="200"/>
        <v>6.2409290911543023</v>
      </c>
      <c r="AP697" s="8">
        <f t="shared" si="201"/>
        <v>0.69852555544359074</v>
      </c>
      <c r="AQ697" s="8"/>
      <c r="AR697" s="8">
        <f t="shared" si="202"/>
        <v>357.57889716355817</v>
      </c>
      <c r="AS697" s="8">
        <f t="shared" si="203"/>
        <v>49.977433791050665</v>
      </c>
    </row>
    <row r="698" spans="1:45">
      <c r="A698" s="19">
        <v>27.027000000000001</v>
      </c>
      <c r="B698" s="19">
        <v>1308.827209</v>
      </c>
      <c r="C698" s="19">
        <v>-206.42960600000001</v>
      </c>
      <c r="E698" s="9">
        <f t="shared" si="189"/>
        <v>348.82720900000004</v>
      </c>
      <c r="F698" s="9">
        <f t="shared" si="194"/>
        <v>333.57039399999996</v>
      </c>
      <c r="I698">
        <v>1</v>
      </c>
      <c r="J698">
        <f t="shared" si="190"/>
        <v>0.3096991322366156</v>
      </c>
      <c r="K698">
        <f t="shared" si="195"/>
        <v>0.7630442254895734</v>
      </c>
      <c r="O698">
        <f t="shared" si="196"/>
        <v>0.22026958988008458</v>
      </c>
      <c r="P698">
        <f t="shared" si="197"/>
        <v>0.21063555819843802</v>
      </c>
      <c r="Q698">
        <f t="shared" si="198"/>
        <v>0.95242530909068757</v>
      </c>
      <c r="R698">
        <f t="shared" si="188"/>
        <v>1</v>
      </c>
      <c r="AG698" s="8">
        <f t="shared" si="191"/>
        <v>0.64280739440190926</v>
      </c>
      <c r="AH698" s="8">
        <f t="shared" si="192"/>
        <v>-2.6884545066494431E-2</v>
      </c>
      <c r="AI698" s="8">
        <f t="shared" si="193"/>
        <v>0.76555592541550865</v>
      </c>
      <c r="AJ698" s="8"/>
      <c r="AK698" s="8"/>
      <c r="AL698" s="8"/>
      <c r="AN698" s="8">
        <f t="shared" si="199"/>
        <v>1</v>
      </c>
      <c r="AO698" s="8">
        <f t="shared" si="200"/>
        <v>6.2413860278016537</v>
      </c>
      <c r="AP698" s="8">
        <f t="shared" si="201"/>
        <v>0.69889135563605742</v>
      </c>
      <c r="AQ698" s="8"/>
      <c r="AR698" s="8">
        <f t="shared" si="202"/>
        <v>357.60507770495627</v>
      </c>
      <c r="AS698" s="8">
        <f t="shared" si="203"/>
        <v>49.95647498387725</v>
      </c>
    </row>
    <row r="699" spans="1:45">
      <c r="A699" s="19">
        <v>27.060366670000001</v>
      </c>
      <c r="B699" s="19">
        <v>1309.8789770000001</v>
      </c>
      <c r="C699" s="19">
        <v>-206.54777240000001</v>
      </c>
      <c r="E699" s="9">
        <f t="shared" si="189"/>
        <v>349.87897700000008</v>
      </c>
      <c r="F699" s="9">
        <f t="shared" si="194"/>
        <v>333.45222760000001</v>
      </c>
      <c r="I699">
        <v>1</v>
      </c>
      <c r="J699">
        <f t="shared" si="190"/>
        <v>0.31011121736755398</v>
      </c>
      <c r="K699">
        <f t="shared" si="195"/>
        <v>0.76136357206952787</v>
      </c>
      <c r="O699">
        <f t="shared" si="196"/>
        <v>0.22090738016083347</v>
      </c>
      <c r="P699">
        <f t="shared" si="197"/>
        <v>0.21053582195625878</v>
      </c>
      <c r="Q699">
        <f t="shared" si="198"/>
        <v>0.95229963617743729</v>
      </c>
      <c r="R699">
        <f t="shared" si="188"/>
        <v>1</v>
      </c>
      <c r="AG699" s="8">
        <f t="shared" si="191"/>
        <v>0.64298349052915249</v>
      </c>
      <c r="AH699" s="8">
        <f t="shared" si="192"/>
        <v>-2.6263621340336496E-2</v>
      </c>
      <c r="AI699" s="8">
        <f t="shared" si="193"/>
        <v>0.76542958729137101</v>
      </c>
      <c r="AJ699" s="8"/>
      <c r="AK699" s="8"/>
      <c r="AL699" s="8"/>
      <c r="AN699" s="8">
        <f t="shared" si="199"/>
        <v>0.99999999999999989</v>
      </c>
      <c r="AO699" s="8">
        <f t="shared" si="200"/>
        <v>6.2423615069726859</v>
      </c>
      <c r="AP699" s="8">
        <f t="shared" si="201"/>
        <v>0.69908770220962213</v>
      </c>
      <c r="AQ699" s="8"/>
      <c r="AR699" s="8">
        <f t="shared" si="202"/>
        <v>357.66096854445931</v>
      </c>
      <c r="AS699" s="8">
        <f t="shared" si="203"/>
        <v>49.945225153890135</v>
      </c>
    </row>
    <row r="700" spans="1:45">
      <c r="A700" s="19">
        <v>27.093733329999999</v>
      </c>
      <c r="B700" s="19">
        <v>1310.2581419999999</v>
      </c>
      <c r="C700" s="19">
        <v>-206.8264968</v>
      </c>
      <c r="E700" s="9">
        <f t="shared" si="189"/>
        <v>350.25814199999991</v>
      </c>
      <c r="F700" s="9">
        <f t="shared" si="194"/>
        <v>333.17350320000003</v>
      </c>
      <c r="I700">
        <v>1</v>
      </c>
      <c r="J700">
        <f t="shared" si="190"/>
        <v>0.31016120890316778</v>
      </c>
      <c r="K700">
        <f t="shared" si="195"/>
        <v>0.76040505481945408</v>
      </c>
      <c r="O700">
        <f t="shared" si="196"/>
        <v>0.22114357451406377</v>
      </c>
      <c r="P700">
        <f t="shared" si="197"/>
        <v>0.21035679287940973</v>
      </c>
      <c r="Q700">
        <f t="shared" si="198"/>
        <v>0.95228437934297328</v>
      </c>
      <c r="R700">
        <f t="shared" si="188"/>
        <v>1</v>
      </c>
      <c r="AG700" s="8">
        <f t="shared" si="191"/>
        <v>0.64315660345900028</v>
      </c>
      <c r="AH700" s="8">
        <f t="shared" si="192"/>
        <v>-2.6066485659829053E-2</v>
      </c>
      <c r="AI700" s="8">
        <f t="shared" si="193"/>
        <v>0.76529087395083195</v>
      </c>
      <c r="AJ700" s="8"/>
      <c r="AK700" s="8"/>
      <c r="AL700" s="8"/>
      <c r="AN700" s="8">
        <f t="shared" si="199"/>
        <v>1</v>
      </c>
      <c r="AO700" s="8">
        <f t="shared" si="200"/>
        <v>6.2426784892287115</v>
      </c>
      <c r="AP700" s="8">
        <f t="shared" si="201"/>
        <v>0.69930322874824213</v>
      </c>
      <c r="AQ700" s="8"/>
      <c r="AR700" s="8">
        <f t="shared" si="202"/>
        <v>357.67913028991012</v>
      </c>
      <c r="AS700" s="8">
        <f t="shared" si="203"/>
        <v>49.932876392854148</v>
      </c>
    </row>
    <row r="701" spans="1:45">
      <c r="A701" s="19">
        <v>27.127099999999999</v>
      </c>
      <c r="B701" s="19">
        <v>1310.7927890000001</v>
      </c>
      <c r="C701" s="19">
        <v>-207.16683080000001</v>
      </c>
      <c r="E701" s="9">
        <f t="shared" si="189"/>
        <v>350.79278900000008</v>
      </c>
      <c r="F701" s="9">
        <f t="shared" si="194"/>
        <v>332.83316919999999</v>
      </c>
      <c r="I701">
        <v>1</v>
      </c>
      <c r="J701">
        <f t="shared" si="190"/>
        <v>0.31025415237189713</v>
      </c>
      <c r="K701">
        <f t="shared" si="195"/>
        <v>0.75913308444026206</v>
      </c>
      <c r="O701">
        <f t="shared" si="196"/>
        <v>0.22147516926682831</v>
      </c>
      <c r="P701">
        <f t="shared" si="197"/>
        <v>0.2101362536451252</v>
      </c>
      <c r="Q701">
        <f t="shared" si="198"/>
        <v>0.95225600775328345</v>
      </c>
      <c r="R701">
        <f t="shared" si="188"/>
        <v>1</v>
      </c>
      <c r="AG701" s="8">
        <f t="shared" si="191"/>
        <v>0.64337612391831367</v>
      </c>
      <c r="AH701" s="8">
        <f t="shared" si="192"/>
        <v>-2.578256447376881E-2</v>
      </c>
      <c r="AI701" s="8">
        <f t="shared" si="193"/>
        <v>0.7651159536573543</v>
      </c>
      <c r="AJ701" s="8"/>
      <c r="AK701" s="8"/>
      <c r="AL701" s="8"/>
      <c r="AN701" s="8">
        <f t="shared" si="199"/>
        <v>1</v>
      </c>
      <c r="AO701" s="8">
        <f t="shared" si="200"/>
        <v>6.2431328786389937</v>
      </c>
      <c r="AP701" s="8">
        <f t="shared" si="201"/>
        <v>0.69957493331365384</v>
      </c>
      <c r="AQ701" s="8"/>
      <c r="AR701" s="8">
        <f t="shared" si="202"/>
        <v>357.7051648853747</v>
      </c>
      <c r="AS701" s="8">
        <f t="shared" si="203"/>
        <v>49.917308867981617</v>
      </c>
    </row>
    <row r="702" spans="1:45">
      <c r="A702" s="19">
        <v>27.160466670000002</v>
      </c>
      <c r="B702" s="19">
        <v>1311.3978689999999</v>
      </c>
      <c r="C702" s="19">
        <v>-207.60898090000001</v>
      </c>
      <c r="E702" s="9">
        <f t="shared" si="189"/>
        <v>351.3978689999999</v>
      </c>
      <c r="F702" s="9">
        <f t="shared" si="194"/>
        <v>332.39101909999999</v>
      </c>
      <c r="I702">
        <v>1</v>
      </c>
      <c r="J702">
        <f t="shared" si="190"/>
        <v>0.31033615251593183</v>
      </c>
      <c r="K702">
        <f t="shared" si="195"/>
        <v>0.75760894751677377</v>
      </c>
      <c r="O702">
        <f t="shared" si="196"/>
        <v>0.22185191495519188</v>
      </c>
      <c r="P702">
        <f t="shared" si="197"/>
        <v>0.20985210955062103</v>
      </c>
      <c r="Q702">
        <f t="shared" si="198"/>
        <v>0.95223096985335887</v>
      </c>
      <c r="R702">
        <f t="shared" si="188"/>
        <v>1</v>
      </c>
      <c r="AG702" s="8">
        <f t="shared" si="191"/>
        <v>0.64365088769891332</v>
      </c>
      <c r="AH702" s="8">
        <f t="shared" si="192"/>
        <v>-2.5467681626709732E-2</v>
      </c>
      <c r="AI702" s="8">
        <f t="shared" si="193"/>
        <v>0.76489537320927847</v>
      </c>
      <c r="AJ702" s="8"/>
      <c r="AK702" s="8"/>
      <c r="AL702" s="8"/>
      <c r="AN702" s="8">
        <f t="shared" si="199"/>
        <v>1</v>
      </c>
      <c r="AO702" s="8">
        <f t="shared" si="200"/>
        <v>6.2436383976151006</v>
      </c>
      <c r="AP702" s="8">
        <f t="shared" si="201"/>
        <v>0.69991743702053943</v>
      </c>
      <c r="AQ702" s="8"/>
      <c r="AR702" s="8">
        <f t="shared" si="202"/>
        <v>357.73412898916945</v>
      </c>
      <c r="AS702" s="8">
        <f t="shared" si="203"/>
        <v>49.897684851109489</v>
      </c>
    </row>
    <row r="703" spans="1:45">
      <c r="A703" s="19">
        <v>27.19383333</v>
      </c>
      <c r="B703" s="19">
        <v>1311.7401460000001</v>
      </c>
      <c r="C703" s="19">
        <v>-207.82706959999999</v>
      </c>
      <c r="E703" s="9">
        <f t="shared" si="189"/>
        <v>351.7401460000001</v>
      </c>
      <c r="F703" s="9">
        <f t="shared" si="194"/>
        <v>332.17293040000004</v>
      </c>
      <c r="I703">
        <v>1</v>
      </c>
      <c r="J703">
        <f t="shared" si="190"/>
        <v>0.31039617403433989</v>
      </c>
      <c r="K703">
        <f t="shared" si="195"/>
        <v>0.75679528995442813</v>
      </c>
      <c r="O703">
        <f t="shared" si="196"/>
        <v>0.22206414235719105</v>
      </c>
      <c r="P703">
        <f t="shared" si="197"/>
        <v>0.20971077013071721</v>
      </c>
      <c r="Q703">
        <f t="shared" si="198"/>
        <v>0.95221263884194829</v>
      </c>
      <c r="R703">
        <f t="shared" si="188"/>
        <v>1</v>
      </c>
      <c r="AG703" s="8">
        <f t="shared" si="191"/>
        <v>0.64379137253016638</v>
      </c>
      <c r="AH703" s="8">
        <f t="shared" si="192"/>
        <v>-2.5285949264236163E-2</v>
      </c>
      <c r="AI703" s="8">
        <f t="shared" si="193"/>
        <v>0.76478316497261556</v>
      </c>
      <c r="AJ703" s="8"/>
      <c r="AK703" s="8"/>
      <c r="AL703" s="8"/>
      <c r="AN703" s="8">
        <f t="shared" si="199"/>
        <v>0.99999999999999989</v>
      </c>
      <c r="AO703" s="8">
        <f t="shared" si="200"/>
        <v>6.2439288649789448</v>
      </c>
      <c r="AP703" s="8">
        <f t="shared" si="201"/>
        <v>0.70009161360118533</v>
      </c>
      <c r="AQ703" s="8"/>
      <c r="AR703" s="8">
        <f t="shared" si="202"/>
        <v>357.750771543204</v>
      </c>
      <c r="AS703" s="8">
        <f t="shared" si="203"/>
        <v>49.887705268148459</v>
      </c>
    </row>
    <row r="704" spans="1:45">
      <c r="A704" s="19">
        <v>27.2272</v>
      </c>
      <c r="B704" s="19">
        <v>1312.795396</v>
      </c>
      <c r="C704" s="19">
        <v>-208.7797606</v>
      </c>
      <c r="E704" s="9">
        <f t="shared" si="189"/>
        <v>352.79539599999998</v>
      </c>
      <c r="F704" s="9">
        <f t="shared" si="194"/>
        <v>331.22023939999997</v>
      </c>
      <c r="I704">
        <v>1</v>
      </c>
      <c r="J704">
        <f t="shared" si="190"/>
        <v>0.31046603210707918</v>
      </c>
      <c r="K704">
        <f t="shared" si="195"/>
        <v>0.75386671181999598</v>
      </c>
      <c r="O704">
        <f t="shared" si="196"/>
        <v>0.2227258391018567</v>
      </c>
      <c r="P704">
        <f t="shared" si="197"/>
        <v>0.20910506935267051</v>
      </c>
      <c r="Q704">
        <f t="shared" si="198"/>
        <v>0.95219129935501334</v>
      </c>
      <c r="R704">
        <f t="shared" si="188"/>
        <v>1</v>
      </c>
      <c r="AG704" s="8">
        <f t="shared" si="191"/>
        <v>0.64435431705293089</v>
      </c>
      <c r="AH704" s="8">
        <f t="shared" si="192"/>
        <v>-2.4757292386139218E-2</v>
      </c>
      <c r="AI704" s="8">
        <f t="shared" si="193"/>
        <v>0.76432623307653003</v>
      </c>
      <c r="AJ704" s="8"/>
      <c r="AK704" s="8"/>
      <c r="AL704" s="8"/>
      <c r="AN704" s="8">
        <f t="shared" si="199"/>
        <v>0.99999999999999978</v>
      </c>
      <c r="AO704" s="8">
        <f t="shared" si="200"/>
        <v>6.2447823354811964</v>
      </c>
      <c r="AP704" s="8">
        <f t="shared" si="201"/>
        <v>0.70080052008108573</v>
      </c>
      <c r="AQ704" s="8"/>
      <c r="AR704" s="8">
        <f t="shared" si="202"/>
        <v>357.79967180092194</v>
      </c>
      <c r="AS704" s="8">
        <f t="shared" si="203"/>
        <v>49.847087918780694</v>
      </c>
    </row>
    <row r="705" spans="1:45">
      <c r="A705" s="19">
        <v>27.260566669999999</v>
      </c>
      <c r="B705" s="19">
        <v>1313.3808140000001</v>
      </c>
      <c r="C705" s="19">
        <v>-208.7690786</v>
      </c>
      <c r="E705" s="9">
        <f t="shared" si="189"/>
        <v>353.3808140000001</v>
      </c>
      <c r="F705" s="9">
        <f t="shared" si="194"/>
        <v>331.2309214</v>
      </c>
      <c r="I705">
        <v>1</v>
      </c>
      <c r="J705">
        <f t="shared" si="190"/>
        <v>0.31072941428789946</v>
      </c>
      <c r="K705">
        <f t="shared" si="195"/>
        <v>0.75305549728113375</v>
      </c>
      <c r="O705">
        <f t="shared" si="196"/>
        <v>0.22307836436308418</v>
      </c>
      <c r="P705">
        <f t="shared" si="197"/>
        <v>0.20909582310371064</v>
      </c>
      <c r="Q705">
        <f t="shared" si="198"/>
        <v>0.95211080243513302</v>
      </c>
      <c r="R705">
        <f t="shared" si="188"/>
        <v>1</v>
      </c>
      <c r="AG705" s="8">
        <f t="shared" si="191"/>
        <v>0.64441612853737107</v>
      </c>
      <c r="AH705" s="8">
        <f t="shared" si="192"/>
        <v>-2.4403230239828849E-2</v>
      </c>
      <c r="AI705" s="8">
        <f t="shared" si="193"/>
        <v>0.76428550662351857</v>
      </c>
      <c r="AJ705" s="8"/>
      <c r="AK705" s="8"/>
      <c r="AL705" s="8"/>
      <c r="AN705" s="8">
        <f t="shared" si="199"/>
        <v>1</v>
      </c>
      <c r="AO705" s="8">
        <f t="shared" si="200"/>
        <v>6.245334648107467</v>
      </c>
      <c r="AP705" s="8">
        <f t="shared" si="201"/>
        <v>0.70086367617548662</v>
      </c>
      <c r="AQ705" s="8"/>
      <c r="AR705" s="8">
        <f t="shared" si="202"/>
        <v>357.831316983379</v>
      </c>
      <c r="AS705" s="8">
        <f t="shared" si="203"/>
        <v>49.843469341120993</v>
      </c>
    </row>
    <row r="706" spans="1:45">
      <c r="A706" s="19">
        <v>27.293933330000002</v>
      </c>
      <c r="B706" s="19">
        <v>1314.131907</v>
      </c>
      <c r="C706" s="19">
        <v>-208.75737459999999</v>
      </c>
      <c r="E706" s="9">
        <f t="shared" si="189"/>
        <v>354.13190699999996</v>
      </c>
      <c r="F706" s="9">
        <f t="shared" si="194"/>
        <v>331.24262540000001</v>
      </c>
      <c r="I706">
        <v>1</v>
      </c>
      <c r="J706">
        <f t="shared" si="190"/>
        <v>0.31106672591276641</v>
      </c>
      <c r="K706">
        <f t="shared" si="195"/>
        <v>0.75201382183012322</v>
      </c>
      <c r="O706">
        <f t="shared" si="196"/>
        <v>0.2235305870069052</v>
      </c>
      <c r="P706">
        <f t="shared" si="197"/>
        <v>0.20908270910864415</v>
      </c>
      <c r="Q706">
        <f t="shared" si="198"/>
        <v>0.95200761416290069</v>
      </c>
      <c r="R706">
        <f t="shared" si="188"/>
        <v>1</v>
      </c>
      <c r="AG706" s="8">
        <f t="shared" si="191"/>
        <v>0.64449622447802646</v>
      </c>
      <c r="AH706" s="8">
        <f t="shared" si="192"/>
        <v>-2.3949268068118729E-2</v>
      </c>
      <c r="AI706" s="8">
        <f t="shared" si="193"/>
        <v>0.76423232671261088</v>
      </c>
      <c r="AJ706" s="8"/>
      <c r="AK706" s="8"/>
      <c r="AL706" s="8"/>
      <c r="AN706" s="8">
        <f t="shared" si="199"/>
        <v>1</v>
      </c>
      <c r="AO706" s="8">
        <f t="shared" si="200"/>
        <v>6.2460427252617823</v>
      </c>
      <c r="AP706" s="8">
        <f t="shared" si="201"/>
        <v>0.70094613721552823</v>
      </c>
      <c r="AQ706" s="8"/>
      <c r="AR706" s="8">
        <f t="shared" si="202"/>
        <v>357.87188681589089</v>
      </c>
      <c r="AS706" s="8">
        <f t="shared" si="203"/>
        <v>49.838744671552348</v>
      </c>
    </row>
    <row r="707" spans="1:45">
      <c r="A707" s="19">
        <v>27.327300000000001</v>
      </c>
      <c r="B707" s="19">
        <v>1314.4773660000001</v>
      </c>
      <c r="C707" s="19">
        <v>-208.76229380000001</v>
      </c>
      <c r="E707" s="9">
        <f t="shared" si="189"/>
        <v>354.47736600000007</v>
      </c>
      <c r="F707" s="9">
        <f t="shared" si="194"/>
        <v>331.23770619999999</v>
      </c>
      <c r="I707">
        <v>1</v>
      </c>
      <c r="J707">
        <f t="shared" si="190"/>
        <v>0.31121768866690552</v>
      </c>
      <c r="K707">
        <f t="shared" si="195"/>
        <v>0.75151999867639108</v>
      </c>
      <c r="O707">
        <f t="shared" si="196"/>
        <v>0.22373881469077331</v>
      </c>
      <c r="P707">
        <f t="shared" si="197"/>
        <v>0.20907041993219558</v>
      </c>
      <c r="Q707">
        <f t="shared" si="198"/>
        <v>0.95196139748949027</v>
      </c>
      <c r="R707">
        <f t="shared" si="188"/>
        <v>1</v>
      </c>
      <c r="AG707" s="8">
        <f t="shared" si="191"/>
        <v>0.64453779339114947</v>
      </c>
      <c r="AH707" s="8">
        <f t="shared" si="192"/>
        <v>-2.3741660310799162E-2</v>
      </c>
      <c r="AI707" s="8">
        <f t="shared" si="193"/>
        <v>0.76420374669073343</v>
      </c>
      <c r="AJ707" s="8"/>
      <c r="AK707" s="8"/>
      <c r="AL707" s="8"/>
      <c r="AN707" s="8">
        <f t="shared" si="199"/>
        <v>1.0000000000000002</v>
      </c>
      <c r="AO707" s="8">
        <f t="shared" si="200"/>
        <v>6.2463667815798916</v>
      </c>
      <c r="AP707" s="8">
        <f t="shared" si="201"/>
        <v>0.70099045021404793</v>
      </c>
      <c r="AQ707" s="8"/>
      <c r="AR707" s="8">
        <f t="shared" si="202"/>
        <v>357.89045387524311</v>
      </c>
      <c r="AS707" s="8">
        <f t="shared" si="203"/>
        <v>49.836205723759598</v>
      </c>
    </row>
    <row r="708" spans="1:45">
      <c r="A708" s="19">
        <v>27.360666670000001</v>
      </c>
      <c r="B708" s="19">
        <v>1314.9338069999999</v>
      </c>
      <c r="C708" s="19">
        <v>-209.6250316</v>
      </c>
      <c r="E708" s="9">
        <f t="shared" si="189"/>
        <v>354.93380699999989</v>
      </c>
      <c r="F708" s="9">
        <f t="shared" si="194"/>
        <v>330.3749684</v>
      </c>
      <c r="I708">
        <v>1</v>
      </c>
      <c r="J708">
        <f t="shared" si="190"/>
        <v>0.31106331396403331</v>
      </c>
      <c r="K708">
        <f t="shared" si="195"/>
        <v>0.74957732685980683</v>
      </c>
      <c r="O708">
        <f t="shared" si="196"/>
        <v>0.22403697436721434</v>
      </c>
      <c r="P708">
        <f t="shared" si="197"/>
        <v>0.20853524479002386</v>
      </c>
      <c r="Q708">
        <f t="shared" si="198"/>
        <v>0.95200865846732141</v>
      </c>
      <c r="R708">
        <f t="shared" si="188"/>
        <v>1</v>
      </c>
      <c r="AG708" s="8">
        <f t="shared" si="191"/>
        <v>0.64498996316818091</v>
      </c>
      <c r="AH708" s="8">
        <f t="shared" si="192"/>
        <v>-2.3563762396388827E-2</v>
      </c>
      <c r="AI708" s="8">
        <f t="shared" si="193"/>
        <v>0.76382766152715065</v>
      </c>
      <c r="AJ708" s="8"/>
      <c r="AK708" s="8"/>
      <c r="AL708" s="8"/>
      <c r="AN708" s="8">
        <f t="shared" si="199"/>
        <v>1.0000000000000002</v>
      </c>
      <c r="AO708" s="8">
        <f t="shared" si="200"/>
        <v>6.2466680144801146</v>
      </c>
      <c r="AP708" s="8">
        <f t="shared" si="201"/>
        <v>0.70157334941241267</v>
      </c>
      <c r="AQ708" s="8"/>
      <c r="AR708" s="8">
        <f t="shared" si="202"/>
        <v>357.90771324907638</v>
      </c>
      <c r="AS708" s="8">
        <f t="shared" si="203"/>
        <v>49.802808059811738</v>
      </c>
    </row>
    <row r="709" spans="1:45">
      <c r="A709" s="19">
        <v>27.394033329999999</v>
      </c>
      <c r="B709" s="19">
        <v>1315.5329819999999</v>
      </c>
      <c r="C709" s="19">
        <v>-209.5949181</v>
      </c>
      <c r="E709" s="9">
        <f t="shared" si="189"/>
        <v>355.53298199999995</v>
      </c>
      <c r="F709" s="9">
        <f t="shared" si="194"/>
        <v>330.40508190000003</v>
      </c>
      <c r="I709">
        <v>1</v>
      </c>
      <c r="J709">
        <f t="shared" si="190"/>
        <v>0.3113417461765447</v>
      </c>
      <c r="K709">
        <f t="shared" si="195"/>
        <v>0.74878163754280935</v>
      </c>
      <c r="O709">
        <f t="shared" si="196"/>
        <v>0.22439699267237564</v>
      </c>
      <c r="P709">
        <f t="shared" si="197"/>
        <v>0.20853735235745299</v>
      </c>
      <c r="Q709">
        <f t="shared" si="198"/>
        <v>0.95192340151471078</v>
      </c>
      <c r="R709">
        <f t="shared" si="188"/>
        <v>1</v>
      </c>
      <c r="AG709" s="8">
        <f t="shared" si="191"/>
        <v>0.64504394743508808</v>
      </c>
      <c r="AH709" s="8">
        <f t="shared" si="192"/>
        <v>-2.319936369600395E-2</v>
      </c>
      <c r="AI709" s="8">
        <f t="shared" si="193"/>
        <v>0.76379322817203599</v>
      </c>
      <c r="AJ709" s="8"/>
      <c r="AK709" s="8"/>
      <c r="AL709" s="8"/>
      <c r="AN709" s="8">
        <f t="shared" si="199"/>
        <v>1</v>
      </c>
      <c r="AO709" s="8">
        <f t="shared" si="200"/>
        <v>6.2472352473603809</v>
      </c>
      <c r="AP709" s="8">
        <f t="shared" si="201"/>
        <v>0.70162669801434319</v>
      </c>
      <c r="AQ709" s="8"/>
      <c r="AR709" s="8">
        <f t="shared" si="202"/>
        <v>357.94021329911669</v>
      </c>
      <c r="AS709" s="8">
        <f t="shared" si="203"/>
        <v>49.799751410078201</v>
      </c>
    </row>
    <row r="710" spans="1:45">
      <c r="A710" s="19">
        <v>27.427399999999999</v>
      </c>
      <c r="B710" s="19">
        <v>1316.341768</v>
      </c>
      <c r="C710" s="19">
        <v>-209.63502449999999</v>
      </c>
      <c r="E710" s="9">
        <f t="shared" si="189"/>
        <v>356.341768</v>
      </c>
      <c r="F710" s="9">
        <f t="shared" si="194"/>
        <v>330.36497550000001</v>
      </c>
      <c r="I710">
        <v>1</v>
      </c>
      <c r="J710">
        <f t="shared" si="190"/>
        <v>0.31168452440742694</v>
      </c>
      <c r="K710">
        <f t="shared" si="195"/>
        <v>0.74758811891638355</v>
      </c>
      <c r="O710">
        <f t="shared" si="196"/>
        <v>0.22488499761823694</v>
      </c>
      <c r="P710">
        <f t="shared" si="197"/>
        <v>0.20849121096706913</v>
      </c>
      <c r="Q710">
        <f t="shared" si="198"/>
        <v>0.95181834022870704</v>
      </c>
      <c r="R710">
        <f t="shared" si="188"/>
        <v>1</v>
      </c>
      <c r="AG710" s="8">
        <f t="shared" si="191"/>
        <v>0.64515412281679285</v>
      </c>
      <c r="AH710" s="8">
        <f t="shared" si="192"/>
        <v>-2.2716655514480932E-2</v>
      </c>
      <c r="AI710" s="8">
        <f t="shared" si="193"/>
        <v>0.76371467929766235</v>
      </c>
      <c r="AJ710" s="8"/>
      <c r="AK710" s="8"/>
      <c r="AL710" s="8"/>
      <c r="AN710" s="8">
        <f t="shared" si="199"/>
        <v>1.0000000000000002</v>
      </c>
      <c r="AO710" s="8">
        <f t="shared" si="200"/>
        <v>6.2479886410928902</v>
      </c>
      <c r="AP710" s="8">
        <f t="shared" si="201"/>
        <v>0.70174838347557866</v>
      </c>
      <c r="AQ710" s="8"/>
      <c r="AR710" s="8">
        <f t="shared" si="202"/>
        <v>357.98337958030106</v>
      </c>
      <c r="AS710" s="8">
        <f t="shared" si="203"/>
        <v>49.792779346721304</v>
      </c>
    </row>
    <row r="711" spans="1:45">
      <c r="A711" s="19">
        <v>27.460766670000002</v>
      </c>
      <c r="B711" s="19">
        <v>1316.923448</v>
      </c>
      <c r="C711" s="19">
        <v>-210.17642509999999</v>
      </c>
      <c r="E711" s="9">
        <f t="shared" si="189"/>
        <v>356.92344800000001</v>
      </c>
      <c r="F711" s="9">
        <f t="shared" si="194"/>
        <v>329.82357490000004</v>
      </c>
      <c r="I711">
        <v>1</v>
      </c>
      <c r="J711">
        <f t="shared" si="190"/>
        <v>0.3117203603780363</v>
      </c>
      <c r="K711">
        <f t="shared" si="195"/>
        <v>0.74595741040437602</v>
      </c>
      <c r="O711">
        <f t="shared" si="196"/>
        <v>0.22524973791421951</v>
      </c>
      <c r="P711">
        <f t="shared" si="197"/>
        <v>0.20814736106705983</v>
      </c>
      <c r="Q711">
        <f t="shared" si="198"/>
        <v>0.95180735007163841</v>
      </c>
      <c r="R711">
        <f t="shared" si="188"/>
        <v>1</v>
      </c>
      <c r="AG711" s="8">
        <f t="shared" si="191"/>
        <v>0.64547096231357237</v>
      </c>
      <c r="AH711" s="8">
        <f t="shared" si="192"/>
        <v>-2.2427148978487021E-2</v>
      </c>
      <c r="AI711" s="8">
        <f t="shared" si="193"/>
        <v>0.76345547335695196</v>
      </c>
      <c r="AJ711" s="8"/>
      <c r="AK711" s="8"/>
      <c r="AL711" s="8"/>
      <c r="AN711" s="8">
        <f t="shared" si="199"/>
        <v>1</v>
      </c>
      <c r="AO711" s="8">
        <f t="shared" si="200"/>
        <v>6.2484538756941399</v>
      </c>
      <c r="AP711" s="8">
        <f t="shared" si="201"/>
        <v>0.70214981300332968</v>
      </c>
      <c r="AQ711" s="8"/>
      <c r="AR711" s="8">
        <f t="shared" si="202"/>
        <v>358.01003555943612</v>
      </c>
      <c r="AS711" s="8">
        <f t="shared" si="203"/>
        <v>49.769779129009237</v>
      </c>
    </row>
    <row r="712" spans="1:45">
      <c r="A712" s="19">
        <v>27.49413333</v>
      </c>
      <c r="B712" s="19">
        <v>1317.4268300000001</v>
      </c>
      <c r="C712" s="19">
        <v>-210.69598250000001</v>
      </c>
      <c r="E712" s="9">
        <f t="shared" si="189"/>
        <v>357.42683000000011</v>
      </c>
      <c r="F712" s="9">
        <f t="shared" si="194"/>
        <v>329.30401749999999</v>
      </c>
      <c r="I712">
        <v>1</v>
      </c>
      <c r="J712">
        <f t="shared" si="190"/>
        <v>0.311731045793669</v>
      </c>
      <c r="K712">
        <f t="shared" si="195"/>
        <v>0.74446930846090564</v>
      </c>
      <c r="O712">
        <f t="shared" si="196"/>
        <v>0.22556671271597339</v>
      </c>
      <c r="P712">
        <f t="shared" si="197"/>
        <v>0.20781882745522584</v>
      </c>
      <c r="Q712">
        <f t="shared" si="198"/>
        <v>0.95180407283728552</v>
      </c>
      <c r="R712">
        <f t="shared" si="188"/>
        <v>1</v>
      </c>
      <c r="AG712" s="8">
        <f t="shared" si="191"/>
        <v>0.64576867601959254</v>
      </c>
      <c r="AH712" s="8">
        <f t="shared" si="192"/>
        <v>-2.2182340879165763E-2</v>
      </c>
      <c r="AI712" s="8">
        <f t="shared" si="193"/>
        <v>0.7632108233149103</v>
      </c>
      <c r="AJ712" s="8"/>
      <c r="AK712" s="8"/>
      <c r="AL712" s="8"/>
      <c r="AN712" s="8">
        <f t="shared" si="199"/>
        <v>1.0000000000000002</v>
      </c>
      <c r="AO712" s="8">
        <f t="shared" si="200"/>
        <v>6.2488485187194343</v>
      </c>
      <c r="AP712" s="8">
        <f t="shared" si="201"/>
        <v>0.70252852529897292</v>
      </c>
      <c r="AQ712" s="8"/>
      <c r="AR712" s="8">
        <f t="shared" si="202"/>
        <v>358.03264693919976</v>
      </c>
      <c r="AS712" s="8">
        <f t="shared" si="203"/>
        <v>49.748080512819172</v>
      </c>
    </row>
    <row r="713" spans="1:45">
      <c r="A713" s="19">
        <v>27.5275</v>
      </c>
      <c r="B713" s="19">
        <v>1318.2149850000001</v>
      </c>
      <c r="C713" s="19">
        <v>-210.7767417</v>
      </c>
      <c r="E713" s="9">
        <f t="shared" si="189"/>
        <v>358.21498500000007</v>
      </c>
      <c r="F713" s="9">
        <f t="shared" si="194"/>
        <v>329.2232583</v>
      </c>
      <c r="I713">
        <v>1</v>
      </c>
      <c r="J713">
        <f t="shared" si="190"/>
        <v>0.31204937855396514</v>
      </c>
      <c r="K713">
        <f t="shared" si="195"/>
        <v>0.74324956754220051</v>
      </c>
      <c r="O713">
        <f t="shared" si="196"/>
        <v>0.22604310236087544</v>
      </c>
      <c r="P713">
        <f t="shared" si="197"/>
        <v>0.207748558244954</v>
      </c>
      <c r="Q713">
        <f t="shared" si="198"/>
        <v>0.95170638981894717</v>
      </c>
      <c r="R713">
        <f t="shared" si="188"/>
        <v>1</v>
      </c>
      <c r="AG713" s="8">
        <f t="shared" si="191"/>
        <v>0.64589488970298303</v>
      </c>
      <c r="AH713" s="8">
        <f t="shared" si="192"/>
        <v>-2.1716755253628262E-2</v>
      </c>
      <c r="AI713" s="8">
        <f t="shared" si="193"/>
        <v>0.76311740511983184</v>
      </c>
      <c r="AJ713" s="8"/>
      <c r="AK713" s="8"/>
      <c r="AL713" s="8"/>
      <c r="AN713" s="8">
        <f t="shared" si="199"/>
        <v>1.0000000000000002</v>
      </c>
      <c r="AO713" s="8">
        <f t="shared" si="200"/>
        <v>6.2495752297018088</v>
      </c>
      <c r="AP713" s="8">
        <f t="shared" si="201"/>
        <v>0.70267308969661746</v>
      </c>
      <c r="AQ713" s="8"/>
      <c r="AR713" s="8">
        <f t="shared" si="202"/>
        <v>358.07428441141565</v>
      </c>
      <c r="AS713" s="8">
        <f t="shared" si="203"/>
        <v>49.73979758296629</v>
      </c>
    </row>
    <row r="714" spans="1:45">
      <c r="A714" s="19">
        <v>27.560866669999999</v>
      </c>
      <c r="B714" s="19">
        <v>1318.654016</v>
      </c>
      <c r="C714" s="19">
        <v>-210.8190573</v>
      </c>
      <c r="E714" s="9">
        <f t="shared" si="189"/>
        <v>358.65401599999996</v>
      </c>
      <c r="F714" s="9">
        <f t="shared" si="194"/>
        <v>329.1809427</v>
      </c>
      <c r="I714">
        <v>1</v>
      </c>
      <c r="J714">
        <f t="shared" si="190"/>
        <v>0.31222795831764821</v>
      </c>
      <c r="K714">
        <f t="shared" si="195"/>
        <v>0.74257531054670378</v>
      </c>
      <c r="O714">
        <f t="shared" si="196"/>
        <v>0.22630833453060831</v>
      </c>
      <c r="P714">
        <f t="shared" si="197"/>
        <v>0.20771101835829608</v>
      </c>
      <c r="Q714">
        <f t="shared" si="198"/>
        <v>0.95165154892667614</v>
      </c>
      <c r="R714">
        <f t="shared" si="188"/>
        <v>1</v>
      </c>
      <c r="AG714" s="8">
        <f t="shared" si="191"/>
        <v>0.64596387960469082</v>
      </c>
      <c r="AH714" s="8">
        <f t="shared" si="192"/>
        <v>-2.1457142417234454E-2</v>
      </c>
      <c r="AI714" s="8">
        <f t="shared" si="193"/>
        <v>0.76306635182357696</v>
      </c>
      <c r="AJ714" s="8"/>
      <c r="AK714" s="8"/>
      <c r="AL714" s="8"/>
      <c r="AN714" s="8">
        <f t="shared" si="199"/>
        <v>1</v>
      </c>
      <c r="AO714" s="8">
        <f t="shared" si="200"/>
        <v>6.2499802681963974</v>
      </c>
      <c r="AP714" s="8">
        <f t="shared" si="201"/>
        <v>0.70275208410322365</v>
      </c>
      <c r="AQ714" s="8"/>
      <c r="AR714" s="8">
        <f t="shared" si="202"/>
        <v>358.09749140769588</v>
      </c>
      <c r="AS714" s="8">
        <f t="shared" si="203"/>
        <v>49.735271536862612</v>
      </c>
    </row>
    <row r="715" spans="1:45">
      <c r="A715" s="19">
        <v>27.594233330000002</v>
      </c>
      <c r="B715" s="19">
        <v>1319.4485749999999</v>
      </c>
      <c r="C715" s="19">
        <v>-211.4459124</v>
      </c>
      <c r="E715" s="9">
        <f t="shared" si="189"/>
        <v>359.44857499999989</v>
      </c>
      <c r="F715" s="9">
        <f t="shared" si="194"/>
        <v>328.5540876</v>
      </c>
      <c r="I715">
        <v>1</v>
      </c>
      <c r="J715">
        <f t="shared" si="190"/>
        <v>0.31232642974647035</v>
      </c>
      <c r="K715">
        <f t="shared" si="195"/>
        <v>0.74052370475278106</v>
      </c>
      <c r="O715">
        <f t="shared" si="196"/>
        <v>0.22680316713308027</v>
      </c>
      <c r="P715">
        <f t="shared" si="197"/>
        <v>0.20730950913409388</v>
      </c>
      <c r="Q715">
        <f t="shared" si="198"/>
        <v>0.95162129589505562</v>
      </c>
      <c r="R715">
        <f t="shared" si="188"/>
        <v>1</v>
      </c>
      <c r="AG715" s="8">
        <f t="shared" si="191"/>
        <v>0.64634362422986946</v>
      </c>
      <c r="AH715" s="8">
        <f t="shared" si="192"/>
        <v>-2.1049077450245313E-2</v>
      </c>
      <c r="AI715" s="8">
        <f t="shared" si="193"/>
        <v>0.76275609191660398</v>
      </c>
      <c r="AJ715" s="8"/>
      <c r="AK715" s="8"/>
      <c r="AL715" s="8"/>
      <c r="AN715" s="8">
        <f t="shared" si="199"/>
        <v>1</v>
      </c>
      <c r="AO715" s="8">
        <f t="shared" si="200"/>
        <v>6.2506304245203594</v>
      </c>
      <c r="AP715" s="8">
        <f t="shared" si="201"/>
        <v>0.7032319887544618</v>
      </c>
      <c r="AQ715" s="8"/>
      <c r="AR715" s="8">
        <f t="shared" si="202"/>
        <v>358.13474262108269</v>
      </c>
      <c r="AS715" s="8">
        <f t="shared" si="203"/>
        <v>49.70777502577797</v>
      </c>
    </row>
    <row r="716" spans="1:45">
      <c r="A716" s="19">
        <v>27.627600000000001</v>
      </c>
      <c r="B716" s="19">
        <v>1320.4236309999999</v>
      </c>
      <c r="C716" s="19">
        <v>-211.67972940000001</v>
      </c>
      <c r="E716" s="9">
        <f t="shared" si="189"/>
        <v>360.42363099999989</v>
      </c>
      <c r="F716" s="9">
        <f t="shared" si="194"/>
        <v>328.32027059999996</v>
      </c>
      <c r="I716">
        <v>1</v>
      </c>
      <c r="J716">
        <f t="shared" si="190"/>
        <v>0.31266728393540694</v>
      </c>
      <c r="K716">
        <f t="shared" si="195"/>
        <v>0.73882041362948203</v>
      </c>
      <c r="O716">
        <f t="shared" si="196"/>
        <v>0.22739572372744343</v>
      </c>
      <c r="P716">
        <f t="shared" si="197"/>
        <v>0.20714131684522394</v>
      </c>
      <c r="Q716">
        <f t="shared" si="198"/>
        <v>0.95151650520949915</v>
      </c>
      <c r="R716">
        <f t="shared" si="188"/>
        <v>1</v>
      </c>
      <c r="AG716" s="8">
        <f t="shared" si="191"/>
        <v>0.64656117528103685</v>
      </c>
      <c r="AH716" s="8">
        <f t="shared" si="192"/>
        <v>-2.0488310191619535E-2</v>
      </c>
      <c r="AI716" s="8">
        <f t="shared" si="193"/>
        <v>0.76258696275552507</v>
      </c>
      <c r="AJ716" s="8"/>
      <c r="AK716" s="8"/>
      <c r="AL716" s="8"/>
      <c r="AN716" s="8">
        <f t="shared" si="199"/>
        <v>1.0000000000000002</v>
      </c>
      <c r="AO716" s="8">
        <f t="shared" si="200"/>
        <v>6.2515077839812028</v>
      </c>
      <c r="AP716" s="8">
        <f t="shared" si="201"/>
        <v>0.7034934804398526</v>
      </c>
      <c r="AQ716" s="8"/>
      <c r="AR716" s="8">
        <f t="shared" si="202"/>
        <v>358.18501161530486</v>
      </c>
      <c r="AS716" s="8">
        <f t="shared" si="203"/>
        <v>49.692792655827311</v>
      </c>
    </row>
    <row r="717" spans="1:45">
      <c r="A717" s="19">
        <v>27.660966670000001</v>
      </c>
      <c r="B717" s="19">
        <v>1320.711063</v>
      </c>
      <c r="C717" s="19">
        <v>-211.82580110000001</v>
      </c>
      <c r="E717" s="9">
        <f t="shared" si="189"/>
        <v>360.71106299999997</v>
      </c>
      <c r="F717" s="9">
        <f t="shared" si="194"/>
        <v>328.17419889999996</v>
      </c>
      <c r="I717">
        <v>1</v>
      </c>
      <c r="J717">
        <f t="shared" si="190"/>
        <v>0.31273646497580743</v>
      </c>
      <c r="K717">
        <f t="shared" si="195"/>
        <v>0.73820205689475438</v>
      </c>
      <c r="O717">
        <f t="shared" si="196"/>
        <v>0.2275724577516898</v>
      </c>
      <c r="P717">
        <f t="shared" si="197"/>
        <v>0.20704496389223553</v>
      </c>
      <c r="Q717">
        <f t="shared" si="198"/>
        <v>0.95149522300415057</v>
      </c>
      <c r="R717">
        <f t="shared" si="188"/>
        <v>1</v>
      </c>
      <c r="AG717" s="8">
        <f t="shared" si="191"/>
        <v>0.64666099067541827</v>
      </c>
      <c r="AH717" s="8">
        <f t="shared" si="192"/>
        <v>-2.03316676314855E-2</v>
      </c>
      <c r="AI717" s="8">
        <f t="shared" si="193"/>
        <v>0.76250651566397076</v>
      </c>
      <c r="AJ717" s="8"/>
      <c r="AK717" s="8"/>
      <c r="AL717" s="8"/>
      <c r="AN717" s="8">
        <f t="shared" si="199"/>
        <v>0.99999999999999978</v>
      </c>
      <c r="AO717" s="8">
        <f t="shared" si="200"/>
        <v>6.2517546621212734</v>
      </c>
      <c r="AP717" s="8">
        <f t="shared" si="201"/>
        <v>0.70361783191992378</v>
      </c>
      <c r="AQ717" s="8"/>
      <c r="AR717" s="8">
        <f t="shared" si="202"/>
        <v>358.19915669078495</v>
      </c>
      <c r="AS717" s="8">
        <f t="shared" si="203"/>
        <v>49.685667840843031</v>
      </c>
    </row>
    <row r="718" spans="1:45">
      <c r="A718" s="19">
        <v>27.694333329999999</v>
      </c>
      <c r="B718" s="19">
        <v>1321.0696539999999</v>
      </c>
      <c r="C718" s="19">
        <v>-212.0106217</v>
      </c>
      <c r="E718" s="9">
        <f t="shared" si="189"/>
        <v>361.0696539999999</v>
      </c>
      <c r="F718" s="9">
        <f t="shared" si="194"/>
        <v>327.9893783</v>
      </c>
      <c r="I718">
        <v>1</v>
      </c>
      <c r="J718">
        <f t="shared" si="190"/>
        <v>0.31282187393763028</v>
      </c>
      <c r="K718">
        <f t="shared" si="195"/>
        <v>0.73742709673445817</v>
      </c>
      <c r="O718">
        <f t="shared" si="196"/>
        <v>0.22779299350341589</v>
      </c>
      <c r="P718">
        <f t="shared" si="197"/>
        <v>0.20692318363669893</v>
      </c>
      <c r="Q718">
        <f t="shared" si="198"/>
        <v>0.95146894231204715</v>
      </c>
      <c r="R718">
        <f t="shared" si="188"/>
        <v>1</v>
      </c>
      <c r="AG718" s="8">
        <f t="shared" si="191"/>
        <v>0.64678667194213424</v>
      </c>
      <c r="AH718" s="8">
        <f t="shared" si="192"/>
        <v>-2.0136541772956151E-2</v>
      </c>
      <c r="AI718" s="8">
        <f t="shared" si="193"/>
        <v>0.76240508962325526</v>
      </c>
      <c r="AJ718" s="8"/>
      <c r="AK718" s="8"/>
      <c r="AL718" s="8"/>
      <c r="AN718" s="8">
        <f t="shared" si="199"/>
        <v>0.99999999999999978</v>
      </c>
      <c r="AO718" s="8">
        <f t="shared" si="200"/>
        <v>6.2520621556540368</v>
      </c>
      <c r="AP718" s="8">
        <f t="shared" si="201"/>
        <v>0.70377458574398999</v>
      </c>
      <c r="AQ718" s="8"/>
      <c r="AR718" s="8">
        <f t="shared" si="202"/>
        <v>358.21677477243986</v>
      </c>
      <c r="AS718" s="8">
        <f t="shared" si="203"/>
        <v>49.676686508301501</v>
      </c>
    </row>
    <row r="719" spans="1:45">
      <c r="A719" s="19">
        <v>27.727699999999999</v>
      </c>
      <c r="B719" s="19">
        <v>1321.5525419999999</v>
      </c>
      <c r="C719" s="19">
        <v>-212.12804550000001</v>
      </c>
      <c r="E719" s="9">
        <f t="shared" si="189"/>
        <v>361.5525419999999</v>
      </c>
      <c r="F719" s="9">
        <f t="shared" si="194"/>
        <v>327.87195450000002</v>
      </c>
      <c r="I719">
        <v>1</v>
      </c>
      <c r="J719">
        <f t="shared" si="190"/>
        <v>0.31299063696144896</v>
      </c>
      <c r="K719">
        <f t="shared" si="195"/>
        <v>0.73658378044698669</v>
      </c>
      <c r="O719">
        <f t="shared" si="196"/>
        <v>0.22808635806117269</v>
      </c>
      <c r="P719">
        <f t="shared" si="197"/>
        <v>0.20683887215569219</v>
      </c>
      <c r="Q719">
        <f t="shared" si="198"/>
        <v>0.95141699282268011</v>
      </c>
      <c r="R719">
        <f t="shared" si="188"/>
        <v>1</v>
      </c>
      <c r="AG719" s="8">
        <f t="shared" si="191"/>
        <v>0.64689495053819601</v>
      </c>
      <c r="AH719" s="8">
        <f t="shared" si="192"/>
        <v>-1.985907144263066E-2</v>
      </c>
      <c r="AI719" s="8">
        <f t="shared" si="193"/>
        <v>0.76232049706775007</v>
      </c>
      <c r="AJ719" s="8"/>
      <c r="AK719" s="8"/>
      <c r="AL719" s="8"/>
      <c r="AN719" s="8">
        <f t="shared" si="199"/>
        <v>1.0000000000000002</v>
      </c>
      <c r="AO719" s="8">
        <f t="shared" si="200"/>
        <v>6.2524958786432441</v>
      </c>
      <c r="AP719" s="8">
        <f t="shared" si="201"/>
        <v>0.70390530129847428</v>
      </c>
      <c r="AQ719" s="8"/>
      <c r="AR719" s="8">
        <f t="shared" si="202"/>
        <v>358.24162526919923</v>
      </c>
      <c r="AS719" s="8">
        <f t="shared" si="203"/>
        <v>49.66919705871284</v>
      </c>
    </row>
    <row r="720" spans="1:45">
      <c r="A720" s="19">
        <v>27.761066670000002</v>
      </c>
      <c r="B720" s="19">
        <v>1322.086595</v>
      </c>
      <c r="C720" s="19">
        <v>-212.3023153</v>
      </c>
      <c r="E720" s="9">
        <f t="shared" si="189"/>
        <v>362.08659499999999</v>
      </c>
      <c r="F720" s="9">
        <f t="shared" si="194"/>
        <v>327.69768469999997</v>
      </c>
      <c r="I720">
        <v>1</v>
      </c>
      <c r="J720">
        <f t="shared" si="190"/>
        <v>0.31315946209302625</v>
      </c>
      <c r="K720">
        <f t="shared" si="195"/>
        <v>0.73558481922134555</v>
      </c>
      <c r="O720">
        <f t="shared" si="196"/>
        <v>0.22841195712197196</v>
      </c>
      <c r="P720">
        <f t="shared" si="197"/>
        <v>0.206718698069079</v>
      </c>
      <c r="Q720">
        <f t="shared" si="198"/>
        <v>0.95136499710276046</v>
      </c>
      <c r="R720">
        <f t="shared" si="188"/>
        <v>1</v>
      </c>
      <c r="AG720" s="8">
        <f t="shared" si="191"/>
        <v>0.64703518224248824</v>
      </c>
      <c r="AH720" s="8">
        <f t="shared" si="192"/>
        <v>-1.955720012972878E-2</v>
      </c>
      <c r="AI720" s="8">
        <f t="shared" si="193"/>
        <v>0.76220928153855216</v>
      </c>
      <c r="AJ720" s="8"/>
      <c r="AK720" s="8"/>
      <c r="AL720" s="8"/>
      <c r="AN720" s="8">
        <f t="shared" si="199"/>
        <v>1</v>
      </c>
      <c r="AO720" s="8">
        <f t="shared" si="200"/>
        <v>6.2529686387675243</v>
      </c>
      <c r="AP720" s="8">
        <f t="shared" si="201"/>
        <v>0.70407712504240905</v>
      </c>
      <c r="AQ720" s="8"/>
      <c r="AR720" s="8">
        <f t="shared" si="202"/>
        <v>358.26871242904258</v>
      </c>
      <c r="AS720" s="8">
        <f t="shared" si="203"/>
        <v>49.659352283365237</v>
      </c>
    </row>
    <row r="721" spans="1:45">
      <c r="A721" s="19">
        <v>27.79443333</v>
      </c>
      <c r="B721" s="19">
        <v>1323.2816479999999</v>
      </c>
      <c r="C721" s="19">
        <v>-212.71186689999999</v>
      </c>
      <c r="E721" s="9">
        <f t="shared" si="189"/>
        <v>363.2816479999999</v>
      </c>
      <c r="F721" s="9">
        <f t="shared" si="194"/>
        <v>327.28813309999998</v>
      </c>
      <c r="I721">
        <v>1</v>
      </c>
      <c r="J721">
        <f t="shared" si="190"/>
        <v>0.31353030868901843</v>
      </c>
      <c r="K721">
        <f t="shared" si="195"/>
        <v>0.73332381116691625</v>
      </c>
      <c r="O721">
        <f t="shared" si="196"/>
        <v>0.22914087164109451</v>
      </c>
      <c r="P721">
        <f t="shared" si="197"/>
        <v>0.20643786579695475</v>
      </c>
      <c r="Q721">
        <f t="shared" si="198"/>
        <v>0.95125068646953315</v>
      </c>
      <c r="R721">
        <f t="shared" si="188"/>
        <v>1</v>
      </c>
      <c r="AG721" s="8">
        <f t="shared" si="191"/>
        <v>0.64735770704772178</v>
      </c>
      <c r="AH721" s="8">
        <f t="shared" si="192"/>
        <v>-1.8883985788390345E-2</v>
      </c>
      <c r="AI721" s="8">
        <f t="shared" si="193"/>
        <v>0.76195235691390839</v>
      </c>
      <c r="AJ721" s="8"/>
      <c r="AK721" s="8"/>
      <c r="AL721" s="8"/>
      <c r="AN721" s="8">
        <f t="shared" si="199"/>
        <v>1.0000000000000002</v>
      </c>
      <c r="AO721" s="8">
        <f t="shared" si="200"/>
        <v>6.2540227098404486</v>
      </c>
      <c r="AP721" s="8">
        <f t="shared" si="201"/>
        <v>0.70447393092841459</v>
      </c>
      <c r="AQ721" s="8"/>
      <c r="AR721" s="8">
        <f t="shared" si="202"/>
        <v>358.32910625282796</v>
      </c>
      <c r="AS721" s="8">
        <f t="shared" si="203"/>
        <v>49.636616980811169</v>
      </c>
    </row>
    <row r="722" spans="1:45">
      <c r="A722" s="19">
        <v>27.8278</v>
      </c>
      <c r="B722" s="19">
        <v>1323.9647709999999</v>
      </c>
      <c r="C722" s="19">
        <v>-213.17379800000001</v>
      </c>
      <c r="E722" s="9">
        <f t="shared" si="189"/>
        <v>363.96477099999993</v>
      </c>
      <c r="F722" s="9">
        <f t="shared" si="194"/>
        <v>326.82620199999997</v>
      </c>
      <c r="I722">
        <v>1</v>
      </c>
      <c r="J722">
        <f t="shared" si="190"/>
        <v>0.31365077561558702</v>
      </c>
      <c r="K722">
        <f t="shared" si="195"/>
        <v>0.731687488708331</v>
      </c>
      <c r="O722">
        <f t="shared" si="196"/>
        <v>0.22956362559376631</v>
      </c>
      <c r="P722">
        <f t="shared" si="197"/>
        <v>0.2061392031542543</v>
      </c>
      <c r="Q722">
        <f t="shared" si="198"/>
        <v>0.9512135253071069</v>
      </c>
      <c r="R722">
        <f t="shared" si="188"/>
        <v>1</v>
      </c>
      <c r="AG722" s="8">
        <f t="shared" si="191"/>
        <v>0.64764731834544587</v>
      </c>
      <c r="AH722" s="8">
        <f t="shared" si="192"/>
        <v>-1.8524677284452951E-2</v>
      </c>
      <c r="AI722" s="8">
        <f t="shared" si="193"/>
        <v>0.76171503029115784</v>
      </c>
      <c r="AJ722" s="8"/>
      <c r="AK722" s="8"/>
      <c r="AL722" s="8"/>
      <c r="AN722" s="8">
        <f t="shared" si="199"/>
        <v>0.99999999999999989</v>
      </c>
      <c r="AO722" s="8">
        <f t="shared" si="200"/>
        <v>6.2545900712353761</v>
      </c>
      <c r="AP722" s="8">
        <f t="shared" si="201"/>
        <v>0.70484030426128086</v>
      </c>
      <c r="AQ722" s="8"/>
      <c r="AR722" s="8">
        <f t="shared" si="202"/>
        <v>358.36161366621599</v>
      </c>
      <c r="AS722" s="8">
        <f t="shared" si="203"/>
        <v>49.615625335111794</v>
      </c>
    </row>
    <row r="723" spans="1:45">
      <c r="A723" s="19">
        <v>27.861166669999999</v>
      </c>
      <c r="B723" s="19">
        <v>1324.4283989999999</v>
      </c>
      <c r="C723" s="19">
        <v>-213.48102230000001</v>
      </c>
      <c r="E723" s="9">
        <f t="shared" si="189"/>
        <v>364.4283989999999</v>
      </c>
      <c r="F723" s="9">
        <f t="shared" si="194"/>
        <v>326.51897769999999</v>
      </c>
      <c r="I723">
        <v>1</v>
      </c>
      <c r="J723">
        <f t="shared" si="190"/>
        <v>0.31373551943140193</v>
      </c>
      <c r="K723">
        <f t="shared" si="195"/>
        <v>0.73058725878805653</v>
      </c>
      <c r="O723">
        <f t="shared" si="196"/>
        <v>0.22985032282778378</v>
      </c>
      <c r="P723">
        <f t="shared" si="197"/>
        <v>0.20594029619997578</v>
      </c>
      <c r="Q723">
        <f t="shared" si="198"/>
        <v>0.95118737559801003</v>
      </c>
      <c r="R723">
        <f t="shared" si="188"/>
        <v>1</v>
      </c>
      <c r="AG723" s="8">
        <f t="shared" si="191"/>
        <v>0.64784085379588441</v>
      </c>
      <c r="AH723" s="8">
        <f t="shared" si="192"/>
        <v>-1.8280125044843276E-2</v>
      </c>
      <c r="AI723" s="8">
        <f t="shared" si="193"/>
        <v>0.76155634406218731</v>
      </c>
      <c r="AJ723" s="8"/>
      <c r="AK723" s="8"/>
      <c r="AL723" s="8"/>
      <c r="AN723" s="8">
        <f t="shared" si="199"/>
        <v>1.0000000000000002</v>
      </c>
      <c r="AO723" s="8">
        <f t="shared" si="200"/>
        <v>6.2549757928912264</v>
      </c>
      <c r="AP723" s="8">
        <f t="shared" si="201"/>
        <v>0.70508518835575618</v>
      </c>
      <c r="AQ723" s="8"/>
      <c r="AR723" s="8">
        <f t="shared" si="202"/>
        <v>358.383713889163</v>
      </c>
      <c r="AS723" s="8">
        <f t="shared" si="203"/>
        <v>49.601594510028477</v>
      </c>
    </row>
    <row r="724" spans="1:45">
      <c r="A724" s="19">
        <v>27.894533330000002</v>
      </c>
      <c r="B724" s="19">
        <v>1325.0281990000001</v>
      </c>
      <c r="C724" s="19">
        <v>-213.72785590000001</v>
      </c>
      <c r="E724" s="9">
        <f t="shared" si="189"/>
        <v>365.02819900000009</v>
      </c>
      <c r="F724" s="9">
        <f t="shared" si="194"/>
        <v>326.27214409999999</v>
      </c>
      <c r="I724">
        <v>1</v>
      </c>
      <c r="J724">
        <f t="shared" si="190"/>
        <v>0.31390642767717725</v>
      </c>
      <c r="K724">
        <f t="shared" si="195"/>
        <v>0.72939424535175035</v>
      </c>
      <c r="O724">
        <f t="shared" si="196"/>
        <v>0.23021705087314701</v>
      </c>
      <c r="P724">
        <f t="shared" si="197"/>
        <v>0.20577426895383616</v>
      </c>
      <c r="Q724">
        <f t="shared" si="198"/>
        <v>0.95113461703577229</v>
      </c>
      <c r="R724">
        <f t="shared" si="188"/>
        <v>1</v>
      </c>
      <c r="AG724" s="8">
        <f t="shared" si="191"/>
        <v>0.64802139727389729</v>
      </c>
      <c r="AH724" s="8">
        <f t="shared" si="192"/>
        <v>-1.7946936021073889E-2</v>
      </c>
      <c r="AI724" s="8">
        <f t="shared" si="193"/>
        <v>0.7614106488371708</v>
      </c>
      <c r="AJ724" s="8"/>
      <c r="AK724" s="8"/>
      <c r="AL724" s="8"/>
      <c r="AN724" s="8">
        <f t="shared" si="199"/>
        <v>1.0000000000000002</v>
      </c>
      <c r="AO724" s="8">
        <f t="shared" si="200"/>
        <v>6.255497410291758</v>
      </c>
      <c r="AP724" s="8">
        <f t="shared" si="201"/>
        <v>0.70530996274008295</v>
      </c>
      <c r="AQ724" s="8"/>
      <c r="AR724" s="8">
        <f t="shared" si="202"/>
        <v>358.41360036473401</v>
      </c>
      <c r="AS724" s="8">
        <f t="shared" si="203"/>
        <v>49.588715886463902</v>
      </c>
    </row>
    <row r="725" spans="1:45">
      <c r="A725" s="19">
        <v>27.927900000000001</v>
      </c>
      <c r="B725" s="19">
        <v>1325.469419</v>
      </c>
      <c r="C725" s="19">
        <v>-214.2416393</v>
      </c>
      <c r="E725" s="9">
        <f t="shared" si="189"/>
        <v>365.46941900000002</v>
      </c>
      <c r="F725" s="9">
        <f t="shared" si="194"/>
        <v>325.75836070000003</v>
      </c>
      <c r="I725">
        <v>1</v>
      </c>
      <c r="J725">
        <f t="shared" si="190"/>
        <v>0.31389858204683835</v>
      </c>
      <c r="K725">
        <f t="shared" si="195"/>
        <v>0.72801121091403953</v>
      </c>
      <c r="O725">
        <f t="shared" si="196"/>
        <v>0.23049585293390276</v>
      </c>
      <c r="P725">
        <f t="shared" si="197"/>
        <v>0.20545070885916303</v>
      </c>
      <c r="Q725">
        <f t="shared" si="198"/>
        <v>0.95113703955294482</v>
      </c>
      <c r="R725">
        <f t="shared" si="188"/>
        <v>1</v>
      </c>
      <c r="AG725" s="8">
        <f t="shared" si="191"/>
        <v>0.64830783406398618</v>
      </c>
      <c r="AH725" s="8">
        <f t="shared" si="192"/>
        <v>-1.7738941850295231E-2</v>
      </c>
      <c r="AI725" s="8">
        <f t="shared" si="193"/>
        <v>0.76117165096533568</v>
      </c>
      <c r="AJ725" s="8"/>
      <c r="AK725" s="8"/>
      <c r="AL725" s="8"/>
      <c r="AN725" s="8">
        <f t="shared" si="199"/>
        <v>1</v>
      </c>
      <c r="AO725" s="8">
        <f t="shared" si="200"/>
        <v>6.2558302205836549</v>
      </c>
      <c r="AP725" s="8">
        <f t="shared" si="201"/>
        <v>0.70567855330121199</v>
      </c>
      <c r="AQ725" s="8"/>
      <c r="AR725" s="8">
        <f t="shared" si="202"/>
        <v>358.43266898983825</v>
      </c>
      <c r="AS725" s="8">
        <f t="shared" si="203"/>
        <v>49.567597202942849</v>
      </c>
    </row>
    <row r="726" spans="1:45">
      <c r="A726" s="19">
        <v>27.961266670000001</v>
      </c>
      <c r="B726" s="19">
        <v>1326.0433459999999</v>
      </c>
      <c r="C726" s="19">
        <v>-214.59867180000001</v>
      </c>
      <c r="E726" s="9">
        <f t="shared" si="189"/>
        <v>366.04334599999993</v>
      </c>
      <c r="F726" s="9">
        <f t="shared" si="194"/>
        <v>325.40132819999997</v>
      </c>
      <c r="I726">
        <v>1</v>
      </c>
      <c r="J726">
        <f t="shared" si="190"/>
        <v>0.31401436573051594</v>
      </c>
      <c r="K726">
        <f t="shared" si="195"/>
        <v>0.72668730571268148</v>
      </c>
      <c r="O726">
        <f t="shared" si="196"/>
        <v>0.23084995259256874</v>
      </c>
      <c r="P726">
        <f t="shared" si="197"/>
        <v>0.20521854039802409</v>
      </c>
      <c r="Q726">
        <f t="shared" si="198"/>
        <v>0.95110128275852579</v>
      </c>
      <c r="R726">
        <f t="shared" si="188"/>
        <v>1</v>
      </c>
      <c r="AG726" s="8">
        <f t="shared" si="191"/>
        <v>0.64853626114868568</v>
      </c>
      <c r="AH726" s="8">
        <f t="shared" si="192"/>
        <v>-1.7433639545288315E-2</v>
      </c>
      <c r="AI726" s="8">
        <f t="shared" si="193"/>
        <v>0.76098409062705685</v>
      </c>
      <c r="AJ726" s="8"/>
      <c r="AK726" s="8"/>
      <c r="AL726" s="8"/>
      <c r="AN726" s="8">
        <f t="shared" si="199"/>
        <v>1</v>
      </c>
      <c r="AO726" s="8">
        <f t="shared" si="200"/>
        <v>6.2563102608124073</v>
      </c>
      <c r="AP726" s="8">
        <f t="shared" si="201"/>
        <v>0.70596770353445726</v>
      </c>
      <c r="AQ726" s="8"/>
      <c r="AR726" s="8">
        <f t="shared" si="202"/>
        <v>358.46017326894224</v>
      </c>
      <c r="AS726" s="8">
        <f t="shared" si="203"/>
        <v>49.551030114932672</v>
      </c>
    </row>
    <row r="727" spans="1:45">
      <c r="A727" s="19">
        <v>27.994633329999999</v>
      </c>
      <c r="B727" s="19">
        <v>1326.548857</v>
      </c>
      <c r="C727" s="19">
        <v>-214.42827439999999</v>
      </c>
      <c r="E727" s="9">
        <f t="shared" si="189"/>
        <v>366.548857</v>
      </c>
      <c r="F727" s="9">
        <f t="shared" si="194"/>
        <v>325.57172560000004</v>
      </c>
      <c r="I727">
        <v>1</v>
      </c>
      <c r="J727">
        <f t="shared" si="190"/>
        <v>0.31431154174035197</v>
      </c>
      <c r="K727">
        <f t="shared" si="195"/>
        <v>0.72626200353420112</v>
      </c>
      <c r="O727">
        <f t="shared" si="196"/>
        <v>0.23114852392868143</v>
      </c>
      <c r="P727">
        <f t="shared" si="197"/>
        <v>0.20530803020715385</v>
      </c>
      <c r="Q727">
        <f t="shared" si="198"/>
        <v>0.95100944927905429</v>
      </c>
      <c r="R727">
        <f t="shared" si="188"/>
        <v>1</v>
      </c>
      <c r="AG727" s="8">
        <f t="shared" si="191"/>
        <v>0.64851308004334318</v>
      </c>
      <c r="AH727" s="8">
        <f t="shared" si="192"/>
        <v>-1.7110660189839533E-2</v>
      </c>
      <c r="AI727" s="8">
        <f t="shared" si="193"/>
        <v>0.76101117621265213</v>
      </c>
      <c r="AJ727" s="8"/>
      <c r="AK727" s="8"/>
      <c r="AL727" s="8"/>
      <c r="AN727" s="8">
        <f t="shared" si="199"/>
        <v>1</v>
      </c>
      <c r="AO727" s="8">
        <f t="shared" si="200"/>
        <v>6.2568069781881226</v>
      </c>
      <c r="AP727" s="8">
        <f t="shared" si="201"/>
        <v>0.70592595341303421</v>
      </c>
      <c r="AQ727" s="8"/>
      <c r="AR727" s="8">
        <f t="shared" si="202"/>
        <v>358.48863307818158</v>
      </c>
      <c r="AS727" s="8">
        <f t="shared" si="203"/>
        <v>49.553422220684368</v>
      </c>
    </row>
    <row r="728" spans="1:45">
      <c r="A728" s="19">
        <v>28.027999999999999</v>
      </c>
      <c r="B728" s="19">
        <v>1327.446379</v>
      </c>
      <c r="C728" s="19">
        <v>-214.7655905</v>
      </c>
      <c r="E728" s="9">
        <f t="shared" si="189"/>
        <v>367.44637899999998</v>
      </c>
      <c r="F728" s="9">
        <f t="shared" si="194"/>
        <v>325.23440949999997</v>
      </c>
      <c r="I728">
        <v>1</v>
      </c>
      <c r="J728">
        <f t="shared" si="190"/>
        <v>0.31458247053486604</v>
      </c>
      <c r="K728">
        <f t="shared" si="195"/>
        <v>0.72453342981024493</v>
      </c>
      <c r="O728">
        <f t="shared" si="196"/>
        <v>0.23169599493504547</v>
      </c>
      <c r="P728">
        <f t="shared" si="197"/>
        <v>0.20507892961496435</v>
      </c>
      <c r="Q728">
        <f t="shared" si="198"/>
        <v>0.95092565353924485</v>
      </c>
      <c r="R728">
        <f t="shared" si="188"/>
        <v>1</v>
      </c>
      <c r="AG728" s="8">
        <f t="shared" si="191"/>
        <v>0.64876770133151351</v>
      </c>
      <c r="AH728" s="8">
        <f t="shared" si="192"/>
        <v>-1.6608670243841883E-2</v>
      </c>
      <c r="AI728" s="8">
        <f t="shared" si="193"/>
        <v>0.76080524563238616</v>
      </c>
      <c r="AJ728" s="8"/>
      <c r="AK728" s="8"/>
      <c r="AL728" s="8"/>
      <c r="AN728" s="8">
        <f t="shared" si="199"/>
        <v>1</v>
      </c>
      <c r="AO728" s="8">
        <f t="shared" si="200"/>
        <v>6.2575905629874571</v>
      </c>
      <c r="AP728" s="8">
        <f t="shared" si="201"/>
        <v>0.7062433265484841</v>
      </c>
      <c r="AQ728" s="8"/>
      <c r="AR728" s="8">
        <f t="shared" si="202"/>
        <v>358.53352918007403</v>
      </c>
      <c r="AS728" s="8">
        <f t="shared" si="203"/>
        <v>49.535238079492252</v>
      </c>
    </row>
    <row r="729" spans="1:45">
      <c r="A729" s="19">
        <v>28.061366670000002</v>
      </c>
      <c r="B729" s="19">
        <v>1328.183677</v>
      </c>
      <c r="C729" s="19">
        <v>-215.05466100000001</v>
      </c>
      <c r="E729" s="9">
        <f t="shared" si="189"/>
        <v>368.18367699999999</v>
      </c>
      <c r="F729" s="9">
        <f t="shared" si="194"/>
        <v>324.94533899999999</v>
      </c>
      <c r="I729">
        <v>1</v>
      </c>
      <c r="J729">
        <f t="shared" si="190"/>
        <v>0.31480086996440632</v>
      </c>
      <c r="K729">
        <f t="shared" si="195"/>
        <v>0.72309752211044043</v>
      </c>
      <c r="O729">
        <f t="shared" si="196"/>
        <v>0.23214593615748971</v>
      </c>
      <c r="P729">
        <f t="shared" si="197"/>
        <v>0.20488344441779222</v>
      </c>
      <c r="Q729">
        <f t="shared" si="198"/>
        <v>0.95085805382773303</v>
      </c>
      <c r="R729">
        <f t="shared" si="188"/>
        <v>1</v>
      </c>
      <c r="AG729" s="8">
        <f t="shared" si="191"/>
        <v>0.64898219699664661</v>
      </c>
      <c r="AH729" s="8">
        <f t="shared" si="192"/>
        <v>-1.6197680131379955E-2</v>
      </c>
      <c r="AI729" s="8">
        <f t="shared" si="193"/>
        <v>0.76063114788954522</v>
      </c>
      <c r="AJ729" s="8"/>
      <c r="AK729" s="8"/>
      <c r="AL729" s="8"/>
      <c r="AN729" s="8">
        <f t="shared" si="199"/>
        <v>1</v>
      </c>
      <c r="AO729" s="8">
        <f t="shared" si="200"/>
        <v>6.2582318984171055</v>
      </c>
      <c r="AP729" s="8">
        <f t="shared" si="201"/>
        <v>0.70651154792344883</v>
      </c>
      <c r="AQ729" s="8"/>
      <c r="AR729" s="8">
        <f t="shared" si="202"/>
        <v>358.57027499344508</v>
      </c>
      <c r="AS729" s="8">
        <f t="shared" si="203"/>
        <v>49.519870126731583</v>
      </c>
    </row>
    <row r="730" spans="1:45">
      <c r="A730" s="19">
        <v>28.09473333</v>
      </c>
      <c r="B730" s="19">
        <v>1328.3806139999999</v>
      </c>
      <c r="C730" s="19">
        <v>-214.91674230000001</v>
      </c>
      <c r="E730" s="9">
        <f t="shared" si="189"/>
        <v>368.38061399999992</v>
      </c>
      <c r="F730" s="9">
        <f t="shared" si="194"/>
        <v>325.08325769999999</v>
      </c>
      <c r="I730">
        <v>1</v>
      </c>
      <c r="J730">
        <f t="shared" si="190"/>
        <v>0.31494539179943326</v>
      </c>
      <c r="K730">
        <f t="shared" si="195"/>
        <v>0.72304275125539264</v>
      </c>
      <c r="O730">
        <f t="shared" si="196"/>
        <v>0.23226019179276225</v>
      </c>
      <c r="P730">
        <f t="shared" si="197"/>
        <v>0.20496165355220883</v>
      </c>
      <c r="Q730">
        <f t="shared" si="198"/>
        <v>0.95081329601638076</v>
      </c>
      <c r="R730">
        <f t="shared" si="188"/>
        <v>1</v>
      </c>
      <c r="AG730" s="8">
        <f t="shared" si="191"/>
        <v>0.6489399889691263</v>
      </c>
      <c r="AH730" s="8">
        <f t="shared" si="192"/>
        <v>-1.6063950106259384E-2</v>
      </c>
      <c r="AI730" s="8">
        <f t="shared" si="193"/>
        <v>0.76066999429695792</v>
      </c>
      <c r="AJ730" s="8"/>
      <c r="AK730" s="8"/>
      <c r="AL730" s="8"/>
      <c r="AN730" s="8">
        <f t="shared" si="199"/>
        <v>1.0000000000000002</v>
      </c>
      <c r="AO730" s="8">
        <f t="shared" si="200"/>
        <v>6.2584362233962514</v>
      </c>
      <c r="AP730" s="8">
        <f t="shared" si="201"/>
        <v>0.70645170702888116</v>
      </c>
      <c r="AQ730" s="8"/>
      <c r="AR730" s="8">
        <f t="shared" si="202"/>
        <v>358.58198195239925</v>
      </c>
      <c r="AS730" s="8">
        <f t="shared" si="203"/>
        <v>49.523298757432599</v>
      </c>
    </row>
    <row r="731" spans="1:45">
      <c r="A731" s="19">
        <v>28.1281</v>
      </c>
      <c r="B731" s="19">
        <v>1329.213831</v>
      </c>
      <c r="C731" s="19">
        <v>-215.650237</v>
      </c>
      <c r="E731" s="9">
        <f t="shared" si="189"/>
        <v>369.21383100000003</v>
      </c>
      <c r="F731" s="9">
        <f t="shared" si="194"/>
        <v>324.349763</v>
      </c>
      <c r="I731">
        <v>1</v>
      </c>
      <c r="J731">
        <f t="shared" si="190"/>
        <v>0.3150304624424109</v>
      </c>
      <c r="K731">
        <f t="shared" si="195"/>
        <v>0.72080185263576846</v>
      </c>
      <c r="O731">
        <f t="shared" si="196"/>
        <v>0.23277967368704869</v>
      </c>
      <c r="P731">
        <f t="shared" si="197"/>
        <v>0.20449405101406282</v>
      </c>
      <c r="Q731">
        <f t="shared" si="198"/>
        <v>0.95078694070649128</v>
      </c>
      <c r="R731">
        <f t="shared" ref="R731:R794" si="204">SQRT(O731^2+P731^2+Q731^2)</f>
        <v>1</v>
      </c>
      <c r="AG731" s="8">
        <f t="shared" si="191"/>
        <v>0.64937018007969594</v>
      </c>
      <c r="AH731" s="8">
        <f t="shared" si="192"/>
        <v>-1.5644855740490682E-2</v>
      </c>
      <c r="AI731" s="8">
        <f t="shared" si="193"/>
        <v>0.7603115201758569</v>
      </c>
      <c r="AJ731" s="8"/>
      <c r="AK731" s="8"/>
      <c r="AL731" s="8"/>
      <c r="AN731" s="8">
        <f t="shared" si="199"/>
        <v>1</v>
      </c>
      <c r="AO731" s="8">
        <f t="shared" si="200"/>
        <v>6.2590976137503924</v>
      </c>
      <c r="AP731" s="8">
        <f t="shared" si="201"/>
        <v>0.70700375882007149</v>
      </c>
      <c r="AQ731" s="8"/>
      <c r="AR731" s="8">
        <f t="shared" si="202"/>
        <v>358.61987682830221</v>
      </c>
      <c r="AS731" s="8">
        <f t="shared" si="203"/>
        <v>49.491668519724755</v>
      </c>
    </row>
    <row r="732" spans="1:45">
      <c r="A732" s="19">
        <v>28.161466669999999</v>
      </c>
      <c r="B732" s="19">
        <v>1329.533171</v>
      </c>
      <c r="C732" s="19">
        <v>-215.9337663</v>
      </c>
      <c r="E732" s="9">
        <f t="shared" si="189"/>
        <v>369.53317100000004</v>
      </c>
      <c r="F732" s="9">
        <f t="shared" si="194"/>
        <v>324.0662337</v>
      </c>
      <c r="I732">
        <v>1</v>
      </c>
      <c r="J732">
        <f t="shared" si="190"/>
        <v>0.31506250036914374</v>
      </c>
      <c r="K732">
        <f t="shared" si="195"/>
        <v>0.71993965913047719</v>
      </c>
      <c r="O732">
        <f t="shared" si="196"/>
        <v>0.23297880261515908</v>
      </c>
      <c r="P732">
        <f t="shared" si="197"/>
        <v>0.20431335809750706</v>
      </c>
      <c r="Q732">
        <f t="shared" si="198"/>
        <v>0.9507770134132012</v>
      </c>
      <c r="R732">
        <f t="shared" si="204"/>
        <v>1</v>
      </c>
      <c r="AG732" s="8">
        <f t="shared" si="191"/>
        <v>0.64953607789791179</v>
      </c>
      <c r="AH732" s="8">
        <f t="shared" si="192"/>
        <v>-1.5484501643385662E-2</v>
      </c>
      <c r="AI732" s="8">
        <f t="shared" si="193"/>
        <v>0.76017308142149687</v>
      </c>
      <c r="AJ732" s="8"/>
      <c r="AK732" s="8"/>
      <c r="AL732" s="8"/>
      <c r="AN732" s="8">
        <f t="shared" si="199"/>
        <v>0.99999999999999989</v>
      </c>
      <c r="AO732" s="8">
        <f t="shared" si="200"/>
        <v>6.259350496735621</v>
      </c>
      <c r="AP732" s="8">
        <f t="shared" si="201"/>
        <v>0.70721685966874315</v>
      </c>
      <c r="AQ732" s="8"/>
      <c r="AR732" s="8">
        <f t="shared" si="202"/>
        <v>358.63436595606646</v>
      </c>
      <c r="AS732" s="8">
        <f t="shared" si="203"/>
        <v>49.479458740485214</v>
      </c>
    </row>
    <row r="733" spans="1:45">
      <c r="A733" s="19">
        <v>28.194833330000002</v>
      </c>
      <c r="B733" s="19">
        <v>1330.4448640000001</v>
      </c>
      <c r="C733" s="19">
        <v>-216.4773763</v>
      </c>
      <c r="E733" s="9">
        <f t="shared" si="189"/>
        <v>370.44486400000005</v>
      </c>
      <c r="F733" s="9">
        <f t="shared" si="194"/>
        <v>323.5226237</v>
      </c>
      <c r="I733">
        <v>1</v>
      </c>
      <c r="J733">
        <f t="shared" si="190"/>
        <v>0.31526091178301013</v>
      </c>
      <c r="K733">
        <f t="shared" si="195"/>
        <v>0.71788645487704716</v>
      </c>
      <c r="O733">
        <f t="shared" si="196"/>
        <v>0.23353989068971218</v>
      </c>
      <c r="P733">
        <f t="shared" si="197"/>
        <v>0.20395866029484724</v>
      </c>
      <c r="Q733">
        <f t="shared" si="198"/>
        <v>0.95071551178434466</v>
      </c>
      <c r="R733">
        <f t="shared" si="204"/>
        <v>1</v>
      </c>
      <c r="AG733" s="8">
        <f t="shared" si="191"/>
        <v>0.64988660030055367</v>
      </c>
      <c r="AH733" s="8">
        <f t="shared" si="192"/>
        <v>-1.4997140074764104E-2</v>
      </c>
      <c r="AI733" s="8">
        <f t="shared" si="193"/>
        <v>0.75988320980224744</v>
      </c>
      <c r="AJ733" s="8"/>
      <c r="AK733" s="8"/>
      <c r="AL733" s="8"/>
      <c r="AN733" s="8">
        <f t="shared" si="199"/>
        <v>1</v>
      </c>
      <c r="AO733" s="8">
        <f t="shared" si="200"/>
        <v>6.2601128530158006</v>
      </c>
      <c r="AP733" s="8">
        <f t="shared" si="201"/>
        <v>0.7076628913985693</v>
      </c>
      <c r="AQ733" s="8"/>
      <c r="AR733" s="8">
        <f t="shared" si="202"/>
        <v>358.67804575340602</v>
      </c>
      <c r="AS733" s="8">
        <f t="shared" si="203"/>
        <v>49.453903004837251</v>
      </c>
    </row>
    <row r="734" spans="1:45">
      <c r="A734" s="19">
        <v>28.228200000000001</v>
      </c>
      <c r="B734" s="19">
        <v>1331.1183820000001</v>
      </c>
      <c r="C734" s="19">
        <v>-216.70881779999999</v>
      </c>
      <c r="E734" s="9">
        <f t="shared" si="189"/>
        <v>371.11838200000011</v>
      </c>
      <c r="F734" s="9">
        <f t="shared" si="194"/>
        <v>323.29118219999998</v>
      </c>
      <c r="I734">
        <v>1</v>
      </c>
      <c r="J734">
        <f t="shared" si="190"/>
        <v>0.31547585050841165</v>
      </c>
      <c r="K734">
        <f t="shared" si="195"/>
        <v>0.71663213453685415</v>
      </c>
      <c r="O734">
        <f t="shared" si="196"/>
        <v>0.23394961210065274</v>
      </c>
      <c r="P734">
        <f t="shared" si="197"/>
        <v>0.20379978556613623</v>
      </c>
      <c r="Q734">
        <f t="shared" si="198"/>
        <v>0.95064884494809698</v>
      </c>
      <c r="R734">
        <f t="shared" si="204"/>
        <v>1</v>
      </c>
      <c r="AG734" s="8">
        <f t="shared" si="191"/>
        <v>0.65006673521520275</v>
      </c>
      <c r="AH734" s="8">
        <f t="shared" si="192"/>
        <v>-1.4618214530613738E-2</v>
      </c>
      <c r="AI734" s="8">
        <f t="shared" si="193"/>
        <v>0.75973649877479521</v>
      </c>
      <c r="AJ734" s="8"/>
      <c r="AK734" s="8"/>
      <c r="AL734" s="8"/>
      <c r="AN734" s="8">
        <f t="shared" si="199"/>
        <v>1</v>
      </c>
      <c r="AO734" s="8">
        <f t="shared" si="200"/>
        <v>6.2607018443949629</v>
      </c>
      <c r="AP734" s="8">
        <f t="shared" si="201"/>
        <v>0.70788855021077557</v>
      </c>
      <c r="AQ734" s="8"/>
      <c r="AR734" s="8">
        <f t="shared" si="202"/>
        <v>358.71179247360163</v>
      </c>
      <c r="AS734" s="8">
        <f t="shared" si="203"/>
        <v>49.440973707287895</v>
      </c>
    </row>
    <row r="735" spans="1:45">
      <c r="A735" s="19">
        <v>28.261566670000001</v>
      </c>
      <c r="B735" s="19">
        <v>1331.516887</v>
      </c>
      <c r="C735" s="19">
        <v>-216.79359969999999</v>
      </c>
      <c r="E735" s="9">
        <f t="shared" si="189"/>
        <v>371.516887</v>
      </c>
      <c r="F735" s="9">
        <f t="shared" si="194"/>
        <v>323.20640030000004</v>
      </c>
      <c r="I735">
        <v>1</v>
      </c>
      <c r="J735">
        <f t="shared" si="190"/>
        <v>0.31562392854322091</v>
      </c>
      <c r="K735">
        <f t="shared" si="195"/>
        <v>0.71597075091308837</v>
      </c>
      <c r="O735">
        <f t="shared" si="196"/>
        <v>0.23419055319083434</v>
      </c>
      <c r="P735">
        <f t="shared" si="197"/>
        <v>0.20373740287362835</v>
      </c>
      <c r="Q735">
        <f t="shared" si="198"/>
        <v>0.95060289052078939</v>
      </c>
      <c r="R735">
        <f t="shared" si="204"/>
        <v>1</v>
      </c>
      <c r="AG735" s="8">
        <f t="shared" si="191"/>
        <v>0.65014915325065148</v>
      </c>
      <c r="AH735" s="8">
        <f t="shared" si="192"/>
        <v>-1.4388238317678381E-2</v>
      </c>
      <c r="AI735" s="8">
        <f t="shared" si="193"/>
        <v>0.75967036083131134</v>
      </c>
      <c r="AJ735" s="8"/>
      <c r="AK735" s="8"/>
      <c r="AL735" s="8"/>
      <c r="AN735" s="8">
        <f t="shared" si="199"/>
        <v>1.0000000000000002</v>
      </c>
      <c r="AO735" s="8">
        <f t="shared" si="200"/>
        <v>6.261058246064712</v>
      </c>
      <c r="AP735" s="8">
        <f t="shared" si="201"/>
        <v>0.70799025869016108</v>
      </c>
      <c r="AQ735" s="8"/>
      <c r="AR735" s="8">
        <f t="shared" si="202"/>
        <v>358.73221278508964</v>
      </c>
      <c r="AS735" s="8">
        <f t="shared" si="203"/>
        <v>49.435146240678414</v>
      </c>
    </row>
    <row r="736" spans="1:45">
      <c r="A736" s="19">
        <v>28.294933329999999</v>
      </c>
      <c r="B736" s="19">
        <v>1332.3137389999999</v>
      </c>
      <c r="C736" s="19">
        <v>-216.89181579999999</v>
      </c>
      <c r="E736" s="9">
        <f t="shared" ref="E736:E799" si="205">(B736-($B$15/2))</f>
        <v>372.31373899999994</v>
      </c>
      <c r="F736" s="9">
        <f t="shared" si="194"/>
        <v>323.10818419999998</v>
      </c>
      <c r="I736">
        <v>1</v>
      </c>
      <c r="J736">
        <f t="shared" ref="J736:J799" si="206">ATAN((SQRT(E736^2+F736^2)^$B$16)/($F$24))</f>
        <v>0.31594862855893024</v>
      </c>
      <c r="K736">
        <f t="shared" si="195"/>
        <v>0.71475948551041413</v>
      </c>
      <c r="O736">
        <f t="shared" si="196"/>
        <v>0.23467026536588889</v>
      </c>
      <c r="P736">
        <f t="shared" si="197"/>
        <v>0.20365588315854366</v>
      </c>
      <c r="Q736">
        <f t="shared" si="198"/>
        <v>0.9505020503965349</v>
      </c>
      <c r="R736">
        <f t="shared" si="204"/>
        <v>1</v>
      </c>
      <c r="AG736" s="8">
        <f t="shared" ref="AG736:AG799" si="207">$O736*$Z$27+$P736*$Z$31+$Q736*$Z$35</f>
        <v>0.65028087329625939</v>
      </c>
      <c r="AH736" s="8">
        <f t="shared" ref="AH736:AH799" si="208">$O736*$AA$27+$P736*$AA$31+$Q736*$AA$35</f>
        <v>-1.3920515373864906E-2</v>
      </c>
      <c r="AI736" s="8">
        <f t="shared" ref="AI736:AI799" si="209">$AB$27*$O736+$P736*$AB$31+$AB$35*$Q736</f>
        <v>0.75956632697663762</v>
      </c>
      <c r="AJ736" s="8"/>
      <c r="AK736" s="8"/>
      <c r="AL736" s="8"/>
      <c r="AN736" s="8">
        <f t="shared" si="199"/>
        <v>1.0000000000000002</v>
      </c>
      <c r="AO736" s="8">
        <f t="shared" si="200"/>
        <v>6.261781648943832</v>
      </c>
      <c r="AP736" s="8">
        <f t="shared" si="201"/>
        <v>0.70815021994074667</v>
      </c>
      <c r="AQ736" s="8"/>
      <c r="AR736" s="8">
        <f t="shared" si="202"/>
        <v>358.77366071695087</v>
      </c>
      <c r="AS736" s="8">
        <f t="shared" si="203"/>
        <v>49.425981136134226</v>
      </c>
    </row>
    <row r="737" spans="1:45">
      <c r="A737" s="19">
        <v>28.328299999999999</v>
      </c>
      <c r="B737" s="19">
        <v>1332.7907029999999</v>
      </c>
      <c r="C737" s="19">
        <v>-217.2088492</v>
      </c>
      <c r="E737" s="9">
        <f t="shared" si="205"/>
        <v>372.79070299999989</v>
      </c>
      <c r="F737" s="9">
        <f t="shared" ref="F737:F800" si="210">(($C$15/2)+C737)</f>
        <v>322.79115079999997</v>
      </c>
      <c r="I737">
        <v>1</v>
      </c>
      <c r="J737">
        <f t="shared" si="206"/>
        <v>0.31604095746954075</v>
      </c>
      <c r="K737">
        <f t="shared" ref="K737:K800" si="211">ATAN2(E737,F737)</f>
        <v>0.71363996188181533</v>
      </c>
      <c r="O737">
        <f t="shared" ref="O737:O800" si="212">COS(K737)*SIN(J737)</f>
        <v>0.23496445911135735</v>
      </c>
      <c r="P737">
        <f t="shared" ref="P737:P800" si="213">SIN(K737)*SIN(J737)</f>
        <v>0.20345048184759745</v>
      </c>
      <c r="Q737">
        <f t="shared" ref="Q737:Q800" si="214">COS(J737)</f>
        <v>0.95047335806454236</v>
      </c>
      <c r="R737">
        <f t="shared" si="204"/>
        <v>1</v>
      </c>
      <c r="AG737" s="8">
        <f t="shared" si="207"/>
        <v>0.65047888298945256</v>
      </c>
      <c r="AH737" s="8">
        <f t="shared" si="208"/>
        <v>-1.3669258943154738E-2</v>
      </c>
      <c r="AI737" s="8">
        <f t="shared" si="209"/>
        <v>0.75940132614101952</v>
      </c>
      <c r="AJ737" s="8"/>
      <c r="AK737" s="8"/>
      <c r="AL737" s="8"/>
      <c r="AN737" s="8">
        <f t="shared" ref="AN737:AN800" si="215">AG737^2+AH737^2+AI737^2</f>
        <v>1</v>
      </c>
      <c r="AO737" s="8">
        <f t="shared" ref="AO737:AO800" si="216">IF(ATAN2(AG737,AH737)&gt;=0,ATAN2(AG737,AH737),ATAN2(AG737,AH737)+2*PI())</f>
        <v>6.2621742524871014</v>
      </c>
      <c r="AP737" s="8">
        <f t="shared" ref="AP737:AP800" si="217">ACOS(AI737/AN737)</f>
        <v>0.70840386205647943</v>
      </c>
      <c r="AQ737" s="8"/>
      <c r="AR737" s="8">
        <f t="shared" ref="AR737:AR800" si="218">DEGREES(AO737)</f>
        <v>358.79615524300209</v>
      </c>
      <c r="AS737" s="8">
        <f t="shared" ref="AS737:AS800" si="219">90-DEGREES(AP737)</f>
        <v>49.411448513395968</v>
      </c>
    </row>
    <row r="738" spans="1:45">
      <c r="A738" s="19">
        <v>28.361666670000002</v>
      </c>
      <c r="B738" s="19">
        <v>1333.6984030000001</v>
      </c>
      <c r="C738" s="19">
        <v>-217.87855350000001</v>
      </c>
      <c r="E738" s="9">
        <f t="shared" si="205"/>
        <v>373.6984030000001</v>
      </c>
      <c r="F738" s="9">
        <f t="shared" si="210"/>
        <v>322.12144649999999</v>
      </c>
      <c r="I738">
        <v>1</v>
      </c>
      <c r="J738">
        <f t="shared" si="206"/>
        <v>0.31619149290453574</v>
      </c>
      <c r="K738">
        <f t="shared" si="211"/>
        <v>0.71140946390230453</v>
      </c>
      <c r="O738">
        <f t="shared" si="212"/>
        <v>0.23552604226429846</v>
      </c>
      <c r="P738">
        <f t="shared" si="213"/>
        <v>0.20301930330324675</v>
      </c>
      <c r="Q738">
        <f t="shared" si="214"/>
        <v>0.95042655997272096</v>
      </c>
      <c r="R738">
        <f t="shared" si="204"/>
        <v>1</v>
      </c>
      <c r="AG738" s="8">
        <f t="shared" si="207"/>
        <v>0.65088608091414124</v>
      </c>
      <c r="AH738" s="8">
        <f t="shared" si="208"/>
        <v>-1.3198485236895263E-2</v>
      </c>
      <c r="AI738" s="8">
        <f t="shared" si="209"/>
        <v>0.7590606758749141</v>
      </c>
      <c r="AJ738" s="8"/>
      <c r="AK738" s="8"/>
      <c r="AL738" s="8"/>
      <c r="AN738" s="8">
        <f t="shared" si="215"/>
        <v>1</v>
      </c>
      <c r="AO738" s="8">
        <f t="shared" si="216"/>
        <v>6.2629103665107175</v>
      </c>
      <c r="AP738" s="8">
        <f t="shared" si="217"/>
        <v>0.7089272781109387</v>
      </c>
      <c r="AQ738" s="8"/>
      <c r="AR738" s="8">
        <f t="shared" si="218"/>
        <v>358.83833146979566</v>
      </c>
      <c r="AS738" s="8">
        <f t="shared" si="219"/>
        <v>49.381458982546064</v>
      </c>
    </row>
    <row r="739" spans="1:45">
      <c r="A739" s="19">
        <v>28.39503333</v>
      </c>
      <c r="B739" s="19">
        <v>1334.4027209999999</v>
      </c>
      <c r="C739" s="19">
        <v>-217.86364610000001</v>
      </c>
      <c r="E739" s="9">
        <f t="shared" si="205"/>
        <v>374.40272099999993</v>
      </c>
      <c r="F739" s="9">
        <f t="shared" si="210"/>
        <v>322.13635390000002</v>
      </c>
      <c r="I739">
        <v>1</v>
      </c>
      <c r="J739">
        <f t="shared" si="206"/>
        <v>0.3165199027476242</v>
      </c>
      <c r="K739">
        <f t="shared" si="211"/>
        <v>0.71050128785129552</v>
      </c>
      <c r="O739">
        <f t="shared" si="212"/>
        <v>0.23594691470950588</v>
      </c>
      <c r="P739">
        <f t="shared" si="213"/>
        <v>0.20300888469898307</v>
      </c>
      <c r="Q739">
        <f t="shared" si="214"/>
        <v>0.95032438997025648</v>
      </c>
      <c r="R739">
        <f t="shared" si="204"/>
        <v>1</v>
      </c>
      <c r="AG739" s="8">
        <f t="shared" si="207"/>
        <v>0.65095506663357749</v>
      </c>
      <c r="AH739" s="8">
        <f t="shared" si="208"/>
        <v>-1.2773951834155417E-2</v>
      </c>
      <c r="AI739" s="8">
        <f t="shared" si="209"/>
        <v>0.75900877951352663</v>
      </c>
      <c r="AJ739" s="8"/>
      <c r="AK739" s="8"/>
      <c r="AL739" s="8"/>
      <c r="AN739" s="8">
        <f t="shared" si="215"/>
        <v>1</v>
      </c>
      <c r="AO739" s="8">
        <f t="shared" si="216"/>
        <v>6.2635644251674263</v>
      </c>
      <c r="AP739" s="8">
        <f t="shared" si="217"/>
        <v>0.70900698988493338</v>
      </c>
      <c r="AQ739" s="8"/>
      <c r="AR739" s="8">
        <f t="shared" si="218"/>
        <v>358.87580627037909</v>
      </c>
      <c r="AS739" s="8">
        <f t="shared" si="219"/>
        <v>49.37689183431867</v>
      </c>
    </row>
    <row r="740" spans="1:45">
      <c r="A740" s="19">
        <v>28.4284</v>
      </c>
      <c r="B740" s="19">
        <v>1334.7310629999999</v>
      </c>
      <c r="C740" s="19">
        <v>-217.9765323</v>
      </c>
      <c r="E740" s="9">
        <f t="shared" si="205"/>
        <v>374.73106299999995</v>
      </c>
      <c r="F740" s="9">
        <f t="shared" si="210"/>
        <v>322.02346769999997</v>
      </c>
      <c r="I740">
        <v>1</v>
      </c>
      <c r="J740">
        <f t="shared" si="206"/>
        <v>0.31662586562998235</v>
      </c>
      <c r="K740">
        <f t="shared" si="211"/>
        <v>0.70989467283908558</v>
      </c>
      <c r="O740">
        <f t="shared" si="212"/>
        <v>0.23614639148177716</v>
      </c>
      <c r="P740">
        <f t="shared" si="213"/>
        <v>0.20293134831420048</v>
      </c>
      <c r="Q740">
        <f t="shared" si="214"/>
        <v>0.95029140249794741</v>
      </c>
      <c r="R740">
        <f t="shared" si="204"/>
        <v>1</v>
      </c>
      <c r="AG740" s="8">
        <f t="shared" si="207"/>
        <v>0.65104249088737065</v>
      </c>
      <c r="AH740" s="8">
        <f t="shared" si="208"/>
        <v>-1.2589349336384337E-2</v>
      </c>
      <c r="AI740" s="8">
        <f t="shared" si="209"/>
        <v>0.7589368770473961</v>
      </c>
      <c r="AJ740" s="8"/>
      <c r="AK740" s="8"/>
      <c r="AL740" s="8"/>
      <c r="AN740" s="8">
        <f t="shared" si="215"/>
        <v>1</v>
      </c>
      <c r="AO740" s="8">
        <f t="shared" si="216"/>
        <v>6.2638505007809711</v>
      </c>
      <c r="AP740" s="8">
        <f t="shared" si="217"/>
        <v>0.70911741839678644</v>
      </c>
      <c r="AQ740" s="8"/>
      <c r="AR740" s="8">
        <f t="shared" si="218"/>
        <v>358.89219719565682</v>
      </c>
      <c r="AS740" s="8">
        <f t="shared" si="219"/>
        <v>49.370564746651581</v>
      </c>
    </row>
    <row r="741" spans="1:45">
      <c r="A741" s="19">
        <v>28.461766669999999</v>
      </c>
      <c r="B741" s="19">
        <v>1335.209564</v>
      </c>
      <c r="C741" s="19">
        <v>-218.24329230000001</v>
      </c>
      <c r="E741" s="9">
        <f t="shared" si="205"/>
        <v>375.209564</v>
      </c>
      <c r="F741" s="9">
        <f t="shared" si="210"/>
        <v>321.75670769999999</v>
      </c>
      <c r="I741">
        <v>1</v>
      </c>
      <c r="J741">
        <f t="shared" si="206"/>
        <v>0.31674025347277185</v>
      </c>
      <c r="K741">
        <f t="shared" si="211"/>
        <v>0.70885439770168501</v>
      </c>
      <c r="O741">
        <f t="shared" si="212"/>
        <v>0.23643988296451965</v>
      </c>
      <c r="P741">
        <f t="shared" si="213"/>
        <v>0.20275634101810144</v>
      </c>
      <c r="Q741">
        <f t="shared" si="214"/>
        <v>0.95025578026164914</v>
      </c>
      <c r="R741">
        <f t="shared" si="204"/>
        <v>1</v>
      </c>
      <c r="AG741" s="8">
        <f t="shared" si="207"/>
        <v>0.65121701711104674</v>
      </c>
      <c r="AH741" s="8">
        <f t="shared" si="208"/>
        <v>-1.2331669585644522E-2</v>
      </c>
      <c r="AI741" s="8">
        <f t="shared" si="209"/>
        <v>0.75879135903766137</v>
      </c>
      <c r="AJ741" s="8"/>
      <c r="AK741" s="8"/>
      <c r="AL741" s="8"/>
      <c r="AN741" s="8">
        <f t="shared" si="215"/>
        <v>1</v>
      </c>
      <c r="AO741" s="8">
        <f t="shared" si="216"/>
        <v>6.2642512259220995</v>
      </c>
      <c r="AP741" s="8">
        <f t="shared" si="217"/>
        <v>0.7093408629056096</v>
      </c>
      <c r="AQ741" s="8"/>
      <c r="AR741" s="8">
        <f t="shared" si="218"/>
        <v>358.91515705498824</v>
      </c>
      <c r="AS741" s="8">
        <f t="shared" si="219"/>
        <v>49.357762319340637</v>
      </c>
    </row>
    <row r="742" spans="1:45">
      <c r="A742" s="19">
        <v>28.495133330000002</v>
      </c>
      <c r="B742" s="19">
        <v>1335.9000410000001</v>
      </c>
      <c r="C742" s="19">
        <v>-218.67012199999999</v>
      </c>
      <c r="E742" s="9">
        <f t="shared" si="205"/>
        <v>375.9000410000001</v>
      </c>
      <c r="F742" s="9">
        <f t="shared" si="210"/>
        <v>321.32987800000001</v>
      </c>
      <c r="I742">
        <v>1</v>
      </c>
      <c r="J742">
        <f t="shared" si="206"/>
        <v>0.31688942309722357</v>
      </c>
      <c r="K742">
        <f t="shared" si="211"/>
        <v>0.7072902943042777</v>
      </c>
      <c r="O742">
        <f t="shared" si="212"/>
        <v>0.23686447010415917</v>
      </c>
      <c r="P742">
        <f t="shared" si="213"/>
        <v>0.20247837983370714</v>
      </c>
      <c r="Q742">
        <f t="shared" si="214"/>
        <v>0.95020930773287671</v>
      </c>
      <c r="R742">
        <f t="shared" si="204"/>
        <v>0.99999999999999989</v>
      </c>
      <c r="AG742" s="8">
        <f t="shared" si="207"/>
        <v>0.65148802959469987</v>
      </c>
      <c r="AH742" s="8">
        <f t="shared" si="208"/>
        <v>-1.1964501130093563E-2</v>
      </c>
      <c r="AI742" s="8">
        <f t="shared" si="209"/>
        <v>0.75856456416545281</v>
      </c>
      <c r="AJ742" s="8"/>
      <c r="AK742" s="8"/>
      <c r="AL742" s="8"/>
      <c r="AN742" s="8">
        <f t="shared" si="215"/>
        <v>1</v>
      </c>
      <c r="AO742" s="8">
        <f t="shared" si="216"/>
        <v>6.2648224888713031</v>
      </c>
      <c r="AP742" s="8">
        <f t="shared" si="217"/>
        <v>0.70968899301688337</v>
      </c>
      <c r="AQ742" s="8"/>
      <c r="AR742" s="8">
        <f t="shared" si="218"/>
        <v>358.94788801096979</v>
      </c>
      <c r="AS742" s="8">
        <f t="shared" si="219"/>
        <v>49.337815933243228</v>
      </c>
    </row>
    <row r="743" spans="1:45">
      <c r="A743" s="19">
        <v>28.528500000000001</v>
      </c>
      <c r="B743" s="19">
        <v>1336.5517629999999</v>
      </c>
      <c r="C743" s="19">
        <v>-218.91139949999999</v>
      </c>
      <c r="E743" s="9">
        <f t="shared" si="205"/>
        <v>376.55176299999994</v>
      </c>
      <c r="F743" s="9">
        <f t="shared" si="210"/>
        <v>321.08860049999998</v>
      </c>
      <c r="I743">
        <v>1</v>
      </c>
      <c r="J743">
        <f t="shared" si="206"/>
        <v>0.31709420523084025</v>
      </c>
      <c r="K743">
        <f t="shared" si="211"/>
        <v>0.70606394431051966</v>
      </c>
      <c r="O743">
        <f t="shared" si="212"/>
        <v>0.2372606609305408</v>
      </c>
      <c r="P743">
        <f t="shared" si="213"/>
        <v>0.20231400051071433</v>
      </c>
      <c r="Q743">
        <f t="shared" si="214"/>
        <v>0.95014547516270031</v>
      </c>
      <c r="R743">
        <f t="shared" si="204"/>
        <v>1</v>
      </c>
      <c r="AG743" s="8">
        <f t="shared" si="207"/>
        <v>0.65166911075092648</v>
      </c>
      <c r="AH743" s="8">
        <f t="shared" si="208"/>
        <v>-1.1600079661740537E-2</v>
      </c>
      <c r="AI743" s="8">
        <f t="shared" si="209"/>
        <v>0.75841466774116251</v>
      </c>
      <c r="AJ743" s="8"/>
      <c r="AK743" s="8"/>
      <c r="AL743" s="8"/>
      <c r="AN743" s="8">
        <f t="shared" si="215"/>
        <v>1</v>
      </c>
      <c r="AO743" s="8">
        <f t="shared" si="216"/>
        <v>6.2653866199284396</v>
      </c>
      <c r="AP743" s="8">
        <f t="shared" si="217"/>
        <v>0.70991900659269236</v>
      </c>
      <c r="AQ743" s="8"/>
      <c r="AR743" s="8">
        <f t="shared" si="218"/>
        <v>358.98021033963602</v>
      </c>
      <c r="AS743" s="8">
        <f t="shared" si="219"/>
        <v>49.32463712611866</v>
      </c>
    </row>
    <row r="744" spans="1:45">
      <c r="A744" s="19">
        <v>28.561866670000001</v>
      </c>
      <c r="B744" s="19">
        <v>1337.3582369999999</v>
      </c>
      <c r="C744" s="19">
        <v>-218.88843009999999</v>
      </c>
      <c r="E744" s="9">
        <f t="shared" si="205"/>
        <v>377.35823699999992</v>
      </c>
      <c r="F744" s="9">
        <f t="shared" si="210"/>
        <v>321.11156990000001</v>
      </c>
      <c r="I744">
        <v>1</v>
      </c>
      <c r="J744">
        <f t="shared" si="206"/>
        <v>0.31747401017366783</v>
      </c>
      <c r="K744">
        <f t="shared" si="211"/>
        <v>0.70504314424785119</v>
      </c>
      <c r="O744">
        <f t="shared" si="212"/>
        <v>0.2377418749194497</v>
      </c>
      <c r="P744">
        <f t="shared" si="213"/>
        <v>0.20230555265805406</v>
      </c>
      <c r="Q744">
        <f t="shared" si="214"/>
        <v>0.95002698081344195</v>
      </c>
      <c r="R744">
        <f t="shared" si="204"/>
        <v>1</v>
      </c>
      <c r="AG744" s="8">
        <f t="shared" si="207"/>
        <v>0.65174468819026532</v>
      </c>
      <c r="AH744" s="8">
        <f t="shared" si="208"/>
        <v>-1.1113620642472122E-2</v>
      </c>
      <c r="AI744" s="8">
        <f t="shared" si="209"/>
        <v>0.75835700619957946</v>
      </c>
      <c r="AJ744" s="8"/>
      <c r="AK744" s="8"/>
      <c r="AL744" s="8"/>
      <c r="AN744" s="8">
        <f t="shared" si="215"/>
        <v>1</v>
      </c>
      <c r="AO744" s="8">
        <f t="shared" si="216"/>
        <v>6.2661348519225708</v>
      </c>
      <c r="AP744" s="8">
        <f t="shared" si="217"/>
        <v>0.71000747087675042</v>
      </c>
      <c r="AQ744" s="8"/>
      <c r="AR744" s="8">
        <f t="shared" si="218"/>
        <v>359.02308087499637</v>
      </c>
      <c r="AS744" s="8">
        <f t="shared" si="219"/>
        <v>49.319568496004486</v>
      </c>
    </row>
    <row r="745" spans="1:45">
      <c r="A745" s="19">
        <v>28.595233329999999</v>
      </c>
      <c r="B745" s="19">
        <v>1337.7841410000001</v>
      </c>
      <c r="C745" s="19">
        <v>-219.53510779999999</v>
      </c>
      <c r="E745" s="9">
        <f t="shared" si="205"/>
        <v>377.78414100000009</v>
      </c>
      <c r="F745" s="9">
        <f t="shared" si="210"/>
        <v>320.46489220000001</v>
      </c>
      <c r="I745">
        <v>1</v>
      </c>
      <c r="J745">
        <f t="shared" si="206"/>
        <v>0.31741716061411002</v>
      </c>
      <c r="K745">
        <f t="shared" si="211"/>
        <v>0.70349183696052231</v>
      </c>
      <c r="O745">
        <f t="shared" si="212"/>
        <v>0.23801424009428851</v>
      </c>
      <c r="P745">
        <f t="shared" si="213"/>
        <v>0.20190156101306822</v>
      </c>
      <c r="Q745">
        <f t="shared" si="214"/>
        <v>0.95004472588022126</v>
      </c>
      <c r="R745">
        <f t="shared" si="204"/>
        <v>1</v>
      </c>
      <c r="AG745" s="8">
        <f t="shared" si="207"/>
        <v>0.65208835223757966</v>
      </c>
      <c r="AH745" s="8">
        <f t="shared" si="208"/>
        <v>-1.0929599081404895E-2</v>
      </c>
      <c r="AI745" s="8">
        <f t="shared" si="209"/>
        <v>0.75806419565891514</v>
      </c>
      <c r="AJ745" s="8"/>
      <c r="AK745" s="8"/>
      <c r="AL745" s="8"/>
      <c r="AN745" s="8">
        <f t="shared" si="215"/>
        <v>1</v>
      </c>
      <c r="AO745" s="8">
        <f t="shared" si="216"/>
        <v>6.2664259589435929</v>
      </c>
      <c r="AP745" s="8">
        <f t="shared" si="217"/>
        <v>0.7104565601169831</v>
      </c>
      <c r="AQ745" s="8"/>
      <c r="AR745" s="8">
        <f t="shared" si="218"/>
        <v>359.03976007868755</v>
      </c>
      <c r="AS745" s="8">
        <f t="shared" si="219"/>
        <v>49.293837577914417</v>
      </c>
    </row>
    <row r="746" spans="1:45">
      <c r="A746" s="19">
        <v>28.628599999999999</v>
      </c>
      <c r="B746" s="19">
        <v>1338.1934409999999</v>
      </c>
      <c r="C746" s="19">
        <v>-219.83456649999999</v>
      </c>
      <c r="E746" s="9">
        <f t="shared" si="205"/>
        <v>378.19344099999989</v>
      </c>
      <c r="F746" s="9">
        <f t="shared" si="210"/>
        <v>320.16543350000001</v>
      </c>
      <c r="I746">
        <v>1</v>
      </c>
      <c r="J746">
        <f t="shared" si="206"/>
        <v>0.31748882110912741</v>
      </c>
      <c r="K746">
        <f t="shared" si="211"/>
        <v>0.70249664521802124</v>
      </c>
      <c r="O746">
        <f t="shared" si="212"/>
        <v>0.23826701366099295</v>
      </c>
      <c r="P746">
        <f t="shared" si="213"/>
        <v>0.20170857938681774</v>
      </c>
      <c r="Q746">
        <f t="shared" si="214"/>
        <v>0.95002235721209427</v>
      </c>
      <c r="R746">
        <f t="shared" si="204"/>
        <v>1</v>
      </c>
      <c r="AG746" s="8">
        <f t="shared" si="207"/>
        <v>0.65227002573505688</v>
      </c>
      <c r="AH746" s="8">
        <f t="shared" si="208"/>
        <v>-1.0717144908861276E-2</v>
      </c>
      <c r="AI746" s="8">
        <f t="shared" si="209"/>
        <v>0.75791091582889258</v>
      </c>
      <c r="AJ746" s="8"/>
      <c r="AK746" s="8"/>
      <c r="AL746" s="8"/>
      <c r="AN746" s="8">
        <f t="shared" si="215"/>
        <v>1</v>
      </c>
      <c r="AO746" s="8">
        <f t="shared" si="216"/>
        <v>6.2667562513693582</v>
      </c>
      <c r="AP746" s="8">
        <f t="shared" si="217"/>
        <v>0.71069155492548397</v>
      </c>
      <c r="AQ746" s="8"/>
      <c r="AR746" s="8">
        <f t="shared" si="218"/>
        <v>359.05868444068904</v>
      </c>
      <c r="AS746" s="8">
        <f t="shared" si="219"/>
        <v>49.280373367179834</v>
      </c>
    </row>
    <row r="747" spans="1:45">
      <c r="A747" s="19">
        <v>28.661966670000002</v>
      </c>
      <c r="B747" s="19">
        <v>1339.193575</v>
      </c>
      <c r="C747" s="19">
        <v>-220.04272710000001</v>
      </c>
      <c r="E747" s="9">
        <f t="shared" si="205"/>
        <v>379.19357500000001</v>
      </c>
      <c r="F747" s="9">
        <f t="shared" si="210"/>
        <v>319.95727290000002</v>
      </c>
      <c r="I747">
        <v>1</v>
      </c>
      <c r="J747">
        <f t="shared" si="206"/>
        <v>0.31786893289398749</v>
      </c>
      <c r="K747">
        <f t="shared" si="211"/>
        <v>0.7008739624506054</v>
      </c>
      <c r="O747">
        <f t="shared" si="212"/>
        <v>0.23886998395091572</v>
      </c>
      <c r="P747">
        <f t="shared" si="213"/>
        <v>0.20155454543923051</v>
      </c>
      <c r="Q747">
        <f t="shared" si="214"/>
        <v>0.94990362457465882</v>
      </c>
      <c r="R747">
        <f t="shared" si="204"/>
        <v>1</v>
      </c>
      <c r="AG747" s="8">
        <f t="shared" si="207"/>
        <v>0.65247230785807431</v>
      </c>
      <c r="AH747" s="8">
        <f t="shared" si="208"/>
        <v>-1.0140205902453958E-2</v>
      </c>
      <c r="AI747" s="8">
        <f t="shared" si="209"/>
        <v>0.75774472198928189</v>
      </c>
      <c r="AJ747" s="8"/>
      <c r="AK747" s="8"/>
      <c r="AL747" s="8"/>
      <c r="AN747" s="8">
        <f t="shared" si="215"/>
        <v>1</v>
      </c>
      <c r="AO747" s="8">
        <f t="shared" si="216"/>
        <v>6.2676453532016927</v>
      </c>
      <c r="AP747" s="8">
        <f t="shared" si="217"/>
        <v>0.71094627585698467</v>
      </c>
      <c r="AQ747" s="8"/>
      <c r="AR747" s="8">
        <f t="shared" si="218"/>
        <v>359.10962622323916</v>
      </c>
      <c r="AS747" s="8">
        <f t="shared" si="219"/>
        <v>49.265778932851205</v>
      </c>
    </row>
    <row r="748" spans="1:45">
      <c r="A748" s="19">
        <v>28.69533333</v>
      </c>
      <c r="B748" s="19">
        <v>1339.552054</v>
      </c>
      <c r="C748" s="19">
        <v>-220.03821909999999</v>
      </c>
      <c r="E748" s="9">
        <f t="shared" si="205"/>
        <v>379.552054</v>
      </c>
      <c r="F748" s="9">
        <f t="shared" si="210"/>
        <v>319.96178090000001</v>
      </c>
      <c r="I748">
        <v>1</v>
      </c>
      <c r="J748">
        <f t="shared" si="206"/>
        <v>0.31803613047178497</v>
      </c>
      <c r="K748">
        <f t="shared" si="211"/>
        <v>0.70041521474323332</v>
      </c>
      <c r="O748">
        <f t="shared" si="212"/>
        <v>0.23908384911275057</v>
      </c>
      <c r="P748">
        <f t="shared" si="213"/>
        <v>0.2015473064639049</v>
      </c>
      <c r="Q748">
        <f t="shared" si="214"/>
        <v>0.9498513548711589</v>
      </c>
      <c r="R748">
        <f t="shared" si="204"/>
        <v>1</v>
      </c>
      <c r="AG748" s="8">
        <f t="shared" si="207"/>
        <v>0.65250826849158883</v>
      </c>
      <c r="AH748" s="8">
        <f t="shared" si="208"/>
        <v>-9.9247080348382477E-3</v>
      </c>
      <c r="AI748" s="8">
        <f t="shared" si="209"/>
        <v>0.75771660910958782</v>
      </c>
      <c r="AJ748" s="8"/>
      <c r="AK748" s="8"/>
      <c r="AL748" s="8"/>
      <c r="AN748" s="8">
        <f t="shared" si="215"/>
        <v>1</v>
      </c>
      <c r="AO748" s="8">
        <f t="shared" si="216"/>
        <v>6.2679763921810325</v>
      </c>
      <c r="AP748" s="8">
        <f t="shared" si="217"/>
        <v>0.71098935627873983</v>
      </c>
      <c r="AQ748" s="8"/>
      <c r="AR748" s="8">
        <f t="shared" si="218"/>
        <v>359.12859335960968</v>
      </c>
      <c r="AS748" s="8">
        <f t="shared" si="219"/>
        <v>49.263310606504987</v>
      </c>
    </row>
    <row r="749" spans="1:45">
      <c r="A749" s="19">
        <v>28.7287</v>
      </c>
      <c r="B749" s="19">
        <v>1340.1769959999999</v>
      </c>
      <c r="C749" s="19">
        <v>-220.43440440000001</v>
      </c>
      <c r="E749" s="9">
        <f t="shared" si="205"/>
        <v>380.17699599999992</v>
      </c>
      <c r="F749" s="9">
        <f t="shared" si="210"/>
        <v>319.56559559999999</v>
      </c>
      <c r="I749">
        <v>1</v>
      </c>
      <c r="J749">
        <f t="shared" si="206"/>
        <v>0.31817072762817056</v>
      </c>
      <c r="K749">
        <f t="shared" si="211"/>
        <v>0.6989942602849516</v>
      </c>
      <c r="O749">
        <f t="shared" si="212"/>
        <v>0.23946786080975854</v>
      </c>
      <c r="P749">
        <f t="shared" si="213"/>
        <v>0.20128963712135914</v>
      </c>
      <c r="Q749">
        <f t="shared" si="214"/>
        <v>0.94980925749686695</v>
      </c>
      <c r="R749">
        <f t="shared" si="204"/>
        <v>1</v>
      </c>
      <c r="AG749" s="8">
        <f t="shared" si="207"/>
        <v>0.65275708548265299</v>
      </c>
      <c r="AH749" s="8">
        <f t="shared" si="208"/>
        <v>-9.5936654648588471E-3</v>
      </c>
      <c r="AI749" s="8">
        <f t="shared" si="209"/>
        <v>0.75750653392240852</v>
      </c>
      <c r="AJ749" s="8"/>
      <c r="AK749" s="8"/>
      <c r="AL749" s="8"/>
      <c r="AN749" s="8">
        <f t="shared" si="215"/>
        <v>1.0000000000000002</v>
      </c>
      <c r="AO749" s="8">
        <f t="shared" si="216"/>
        <v>6.2684892203742484</v>
      </c>
      <c r="AP749" s="8">
        <f t="shared" si="217"/>
        <v>0.71131120914090251</v>
      </c>
      <c r="AQ749" s="8"/>
      <c r="AR749" s="8">
        <f t="shared" si="218"/>
        <v>359.15797625069627</v>
      </c>
      <c r="AS749" s="8">
        <f t="shared" si="219"/>
        <v>49.244869795878863</v>
      </c>
    </row>
    <row r="750" spans="1:45">
      <c r="A750" s="19">
        <v>28.762066669999999</v>
      </c>
      <c r="B750" s="19">
        <v>1341.376782</v>
      </c>
      <c r="C750" s="19">
        <v>-220.89873539999999</v>
      </c>
      <c r="E750" s="9">
        <f t="shared" si="205"/>
        <v>381.37678200000005</v>
      </c>
      <c r="F750" s="9">
        <f t="shared" si="210"/>
        <v>319.10126460000004</v>
      </c>
      <c r="I750">
        <v>1</v>
      </c>
      <c r="J750">
        <f t="shared" si="206"/>
        <v>0.31854551051117769</v>
      </c>
      <c r="K750">
        <f t="shared" si="211"/>
        <v>0.69672698133476074</v>
      </c>
      <c r="O750">
        <f t="shared" si="212"/>
        <v>0.24019661953747262</v>
      </c>
      <c r="P750">
        <f t="shared" si="213"/>
        <v>0.20097459694610503</v>
      </c>
      <c r="Q750">
        <f t="shared" si="214"/>
        <v>0.94969194760465414</v>
      </c>
      <c r="R750">
        <f t="shared" si="204"/>
        <v>1</v>
      </c>
      <c r="AG750" s="8">
        <f t="shared" si="207"/>
        <v>0.65309783030010526</v>
      </c>
      <c r="AH750" s="8">
        <f t="shared" si="208"/>
        <v>-8.9255089956736811E-3</v>
      </c>
      <c r="AI750" s="8">
        <f t="shared" si="209"/>
        <v>0.75722094486778624</v>
      </c>
      <c r="AJ750" s="8"/>
      <c r="AK750" s="8"/>
      <c r="AL750" s="8"/>
      <c r="AN750" s="8">
        <f t="shared" si="215"/>
        <v>1</v>
      </c>
      <c r="AO750" s="8">
        <f t="shared" si="216"/>
        <v>6.2695197383040213</v>
      </c>
      <c r="AP750" s="8">
        <f t="shared" si="217"/>
        <v>0.71174856293010447</v>
      </c>
      <c r="AQ750" s="8"/>
      <c r="AR750" s="8">
        <f t="shared" si="218"/>
        <v>359.2170205787848</v>
      </c>
      <c r="AS750" s="8">
        <f t="shared" si="219"/>
        <v>49.219811269603539</v>
      </c>
    </row>
    <row r="751" spans="1:45">
      <c r="A751" s="19">
        <v>28.795433330000002</v>
      </c>
      <c r="B751" s="19">
        <v>1342.195847</v>
      </c>
      <c r="C751" s="19">
        <v>-220.89138790000001</v>
      </c>
      <c r="E751" s="9">
        <f t="shared" si="205"/>
        <v>382.19584699999996</v>
      </c>
      <c r="F751" s="9">
        <f t="shared" si="210"/>
        <v>319.10861209999996</v>
      </c>
      <c r="I751">
        <v>1</v>
      </c>
      <c r="J751">
        <f t="shared" si="206"/>
        <v>0.31892758815395561</v>
      </c>
      <c r="K751">
        <f t="shared" si="211"/>
        <v>0.69568265847735744</v>
      </c>
      <c r="O751">
        <f t="shared" si="212"/>
        <v>0.24068488757771059</v>
      </c>
      <c r="P751">
        <f t="shared" si="213"/>
        <v>0.20095618785823111</v>
      </c>
      <c r="Q751">
        <f t="shared" si="214"/>
        <v>0.94957221708156148</v>
      </c>
      <c r="R751">
        <f t="shared" si="204"/>
        <v>1</v>
      </c>
      <c r="AG751" s="8">
        <f t="shared" si="207"/>
        <v>0.65318076741577924</v>
      </c>
      <c r="AH751" s="8">
        <f t="shared" si="208"/>
        <v>-8.4337181808160078E-3</v>
      </c>
      <c r="AI751" s="8">
        <f t="shared" si="209"/>
        <v>0.75715504190078553</v>
      </c>
      <c r="AJ751" s="8"/>
      <c r="AK751" s="8"/>
      <c r="AL751" s="8"/>
      <c r="AN751" s="8">
        <f t="shared" si="215"/>
        <v>1</v>
      </c>
      <c r="AO751" s="8">
        <f t="shared" si="216"/>
        <v>6.2702742571668537</v>
      </c>
      <c r="AP751" s="8">
        <f t="shared" si="217"/>
        <v>0.71184945586968129</v>
      </c>
      <c r="AQ751" s="8"/>
      <c r="AR751" s="8">
        <f t="shared" si="218"/>
        <v>359.26025132518811</v>
      </c>
      <c r="AS751" s="8">
        <f t="shared" si="219"/>
        <v>49.214030529983113</v>
      </c>
    </row>
    <row r="752" spans="1:45">
      <c r="A752" s="19">
        <v>28.828800000000001</v>
      </c>
      <c r="B752" s="19">
        <v>1342.05278</v>
      </c>
      <c r="C752" s="19">
        <v>-221.43058619999999</v>
      </c>
      <c r="E752" s="9">
        <f t="shared" si="205"/>
        <v>382.05277999999998</v>
      </c>
      <c r="F752" s="9">
        <f t="shared" si="210"/>
        <v>318.56941380000001</v>
      </c>
      <c r="I752">
        <v>1</v>
      </c>
      <c r="J752">
        <f t="shared" si="206"/>
        <v>0.31865285494467632</v>
      </c>
      <c r="K752">
        <f t="shared" si="211"/>
        <v>0.69503493879335287</v>
      </c>
      <c r="O752">
        <f t="shared" si="212"/>
        <v>0.24061462801095496</v>
      </c>
      <c r="P752">
        <f t="shared" si="213"/>
        <v>0.20063317167108427</v>
      </c>
      <c r="Q752">
        <f t="shared" si="214"/>
        <v>0.94965832340497658</v>
      </c>
      <c r="R752">
        <f t="shared" si="204"/>
        <v>1</v>
      </c>
      <c r="AG752" s="8">
        <f t="shared" si="207"/>
        <v>0.65341406239113764</v>
      </c>
      <c r="AH752" s="8">
        <f t="shared" si="208"/>
        <v>-8.578886816596798E-3</v>
      </c>
      <c r="AI752" s="8">
        <f t="shared" si="209"/>
        <v>0.75695208948155934</v>
      </c>
      <c r="AJ752" s="8"/>
      <c r="AK752" s="8"/>
      <c r="AL752" s="8"/>
      <c r="AN752" s="8">
        <f t="shared" si="215"/>
        <v>1</v>
      </c>
      <c r="AO752" s="8">
        <f t="shared" si="216"/>
        <v>6.2700567346239797</v>
      </c>
      <c r="AP752" s="8">
        <f t="shared" si="217"/>
        <v>0.71216008807205478</v>
      </c>
      <c r="AQ752" s="8"/>
      <c r="AR752" s="8">
        <f t="shared" si="218"/>
        <v>359.24778820153244</v>
      </c>
      <c r="AS752" s="8">
        <f t="shared" si="219"/>
        <v>49.19623261580626</v>
      </c>
    </row>
    <row r="753" spans="1:45">
      <c r="A753" s="19">
        <v>28.862166670000001</v>
      </c>
      <c r="B753" s="19">
        <v>1342.5672320000001</v>
      </c>
      <c r="C753" s="19">
        <v>-222.1098188</v>
      </c>
      <c r="E753" s="9">
        <f t="shared" si="205"/>
        <v>382.5672320000001</v>
      </c>
      <c r="F753" s="9">
        <f t="shared" si="210"/>
        <v>317.89018120000003</v>
      </c>
      <c r="I753">
        <v>1</v>
      </c>
      <c r="J753">
        <f t="shared" si="206"/>
        <v>0.31862923159103784</v>
      </c>
      <c r="K753">
        <f t="shared" si="211"/>
        <v>0.69332379093839147</v>
      </c>
      <c r="O753">
        <f t="shared" si="212"/>
        <v>0.24094033387292166</v>
      </c>
      <c r="P753">
        <f t="shared" si="213"/>
        <v>0.2002068133039987</v>
      </c>
      <c r="Q753">
        <f t="shared" si="214"/>
        <v>0.94966572404181404</v>
      </c>
      <c r="R753">
        <f t="shared" si="204"/>
        <v>1</v>
      </c>
      <c r="AG753" s="8">
        <f t="shared" si="207"/>
        <v>0.65378096638869454</v>
      </c>
      <c r="AH753" s="8">
        <f t="shared" si="208"/>
        <v>-8.3453447451220519E-3</v>
      </c>
      <c r="AI753" s="8">
        <f t="shared" si="209"/>
        <v>0.75663782829630577</v>
      </c>
      <c r="AJ753" s="8"/>
      <c r="AK753" s="8"/>
      <c r="AL753" s="8"/>
      <c r="AN753" s="8">
        <f t="shared" si="215"/>
        <v>1.0000000000000002</v>
      </c>
      <c r="AO753" s="8">
        <f t="shared" si="216"/>
        <v>6.2704212593427586</v>
      </c>
      <c r="AP753" s="8">
        <f t="shared" si="217"/>
        <v>0.71264086535694104</v>
      </c>
      <c r="AQ753" s="8"/>
      <c r="AR753" s="8">
        <f t="shared" si="218"/>
        <v>359.26867392944666</v>
      </c>
      <c r="AS753" s="8">
        <f t="shared" si="219"/>
        <v>49.168686106496516</v>
      </c>
    </row>
    <row r="754" spans="1:45">
      <c r="A754" s="19">
        <v>28.895533329999999</v>
      </c>
      <c r="B754" s="19">
        <v>1343.1196560000001</v>
      </c>
      <c r="C754" s="19">
        <v>-222.08775969999999</v>
      </c>
      <c r="E754" s="9">
        <f t="shared" si="205"/>
        <v>383.11965600000008</v>
      </c>
      <c r="F754" s="9">
        <f t="shared" si="210"/>
        <v>317.91224030000001</v>
      </c>
      <c r="I754">
        <v>1</v>
      </c>
      <c r="J754">
        <f t="shared" si="206"/>
        <v>0.31889419502863037</v>
      </c>
      <c r="K754">
        <f t="shared" si="211"/>
        <v>0.69264870749869367</v>
      </c>
      <c r="O754">
        <f t="shared" si="212"/>
        <v>0.24126906796192346</v>
      </c>
      <c r="P754">
        <f t="shared" si="213"/>
        <v>0.20020478905125152</v>
      </c>
      <c r="Q754">
        <f t="shared" si="214"/>
        <v>0.94958268691342973</v>
      </c>
      <c r="R754">
        <f t="shared" si="204"/>
        <v>1</v>
      </c>
      <c r="AG754" s="8">
        <f t="shared" si="207"/>
        <v>0.65382882560483002</v>
      </c>
      <c r="AH754" s="8">
        <f t="shared" si="208"/>
        <v>-8.0118034983335251E-3</v>
      </c>
      <c r="AI754" s="8">
        <f t="shared" si="209"/>
        <v>0.75660007785679806</v>
      </c>
      <c r="AJ754" s="8"/>
      <c r="AK754" s="8"/>
      <c r="AL754" s="8"/>
      <c r="AN754" s="8">
        <f t="shared" si="215"/>
        <v>1</v>
      </c>
      <c r="AO754" s="8">
        <f t="shared" si="216"/>
        <v>6.2709322491567754</v>
      </c>
      <c r="AP754" s="8">
        <f t="shared" si="217"/>
        <v>0.71269860044771227</v>
      </c>
      <c r="AQ754" s="8"/>
      <c r="AR754" s="8">
        <f t="shared" si="218"/>
        <v>359.29795148916401</v>
      </c>
      <c r="AS754" s="8">
        <f t="shared" si="219"/>
        <v>49.165378129465523</v>
      </c>
    </row>
    <row r="755" spans="1:45">
      <c r="A755" s="19">
        <v>28.928899999999999</v>
      </c>
      <c r="B755" s="19">
        <v>1343.4353719999999</v>
      </c>
      <c r="C755" s="19">
        <v>-222.05546369999999</v>
      </c>
      <c r="E755" s="9">
        <f t="shared" si="205"/>
        <v>383.43537199999992</v>
      </c>
      <c r="F755" s="9">
        <f t="shared" si="210"/>
        <v>317.94453629999998</v>
      </c>
      <c r="I755">
        <v>1</v>
      </c>
      <c r="J755">
        <f t="shared" si="206"/>
        <v>0.31905324802512802</v>
      </c>
      <c r="K755">
        <f t="shared" si="211"/>
        <v>0.69229385342314897</v>
      </c>
      <c r="O755">
        <f t="shared" si="212"/>
        <v>0.24145635671653939</v>
      </c>
      <c r="P755">
        <f t="shared" si="213"/>
        <v>0.20021556428791737</v>
      </c>
      <c r="Q755">
        <f t="shared" si="214"/>
        <v>0.94953280913196791</v>
      </c>
      <c r="R755">
        <f t="shared" si="204"/>
        <v>1</v>
      </c>
      <c r="AG755" s="8">
        <f t="shared" si="207"/>
        <v>0.65384707605481562</v>
      </c>
      <c r="AH755" s="8">
        <f t="shared" si="208"/>
        <v>-7.8190375916768473E-3</v>
      </c>
      <c r="AI755" s="8">
        <f t="shared" si="209"/>
        <v>0.75658632275881665</v>
      </c>
      <c r="AJ755" s="8"/>
      <c r="AK755" s="8"/>
      <c r="AL755" s="8"/>
      <c r="AN755" s="8">
        <f t="shared" si="215"/>
        <v>1.0000000000000002</v>
      </c>
      <c r="AO755" s="8">
        <f t="shared" si="216"/>
        <v>6.2712273659622619</v>
      </c>
      <c r="AP755" s="8">
        <f t="shared" si="217"/>
        <v>0.71271963637866287</v>
      </c>
      <c r="AQ755" s="8"/>
      <c r="AR755" s="8">
        <f t="shared" si="218"/>
        <v>359.3148604365818</v>
      </c>
      <c r="AS755" s="8">
        <f t="shared" si="219"/>
        <v>49.164172859403926</v>
      </c>
    </row>
    <row r="756" spans="1:45">
      <c r="A756" s="19">
        <v>28.962266670000002</v>
      </c>
      <c r="B756" s="19">
        <v>1344.657062</v>
      </c>
      <c r="C756" s="19">
        <v>-222.75189829999999</v>
      </c>
      <c r="E756" s="9">
        <f t="shared" si="205"/>
        <v>384.657062</v>
      </c>
      <c r="F756" s="9">
        <f t="shared" si="210"/>
        <v>317.24810170000001</v>
      </c>
      <c r="I756">
        <v>1</v>
      </c>
      <c r="J756">
        <f t="shared" si="206"/>
        <v>0.31935345344407484</v>
      </c>
      <c r="K756">
        <f t="shared" si="211"/>
        <v>0.68965466048813329</v>
      </c>
      <c r="O756">
        <f t="shared" si="212"/>
        <v>0.24220382188583822</v>
      </c>
      <c r="P756">
        <f t="shared" si="213"/>
        <v>0.19975898094330866</v>
      </c>
      <c r="Q756">
        <f t="shared" si="214"/>
        <v>0.94943860159379656</v>
      </c>
      <c r="R756">
        <f t="shared" si="204"/>
        <v>1</v>
      </c>
      <c r="AG756" s="8">
        <f t="shared" si="207"/>
        <v>0.6542955160421362</v>
      </c>
      <c r="AH756" s="8">
        <f t="shared" si="208"/>
        <v>-7.1636205724344704E-3</v>
      </c>
      <c r="AI756" s="8">
        <f t="shared" si="209"/>
        <v>0.75620503848324694</v>
      </c>
      <c r="AJ756" s="8"/>
      <c r="AK756" s="8"/>
      <c r="AL756" s="8"/>
      <c r="AN756" s="8">
        <f t="shared" si="215"/>
        <v>1</v>
      </c>
      <c r="AO756" s="8">
        <f t="shared" si="216"/>
        <v>6.2722371435768478</v>
      </c>
      <c r="AP756" s="8">
        <f t="shared" si="217"/>
        <v>0.71330253798665511</v>
      </c>
      <c r="AQ756" s="8"/>
      <c r="AR756" s="8">
        <f t="shared" si="218"/>
        <v>359.37271643214433</v>
      </c>
      <c r="AS756" s="8">
        <f t="shared" si="219"/>
        <v>49.13077505739458</v>
      </c>
    </row>
    <row r="757" spans="1:45">
      <c r="A757" s="19">
        <v>28.99563333</v>
      </c>
      <c r="B757" s="19">
        <v>1345.17344</v>
      </c>
      <c r="C757" s="19">
        <v>-222.74220890000001</v>
      </c>
      <c r="E757" s="9">
        <f t="shared" si="205"/>
        <v>385.17344000000003</v>
      </c>
      <c r="F757" s="9">
        <f t="shared" si="210"/>
        <v>317.25779109999996</v>
      </c>
      <c r="I757">
        <v>1</v>
      </c>
      <c r="J757">
        <f t="shared" si="206"/>
        <v>0.31959751352168592</v>
      </c>
      <c r="K757">
        <f t="shared" si="211"/>
        <v>0.68901122416733629</v>
      </c>
      <c r="O757">
        <f t="shared" si="212"/>
        <v>0.24251115563163925</v>
      </c>
      <c r="P757">
        <f t="shared" si="213"/>
        <v>0.19975041257466297</v>
      </c>
      <c r="Q757">
        <f t="shared" si="214"/>
        <v>0.94936194998033219</v>
      </c>
      <c r="R757">
        <f t="shared" si="204"/>
        <v>1</v>
      </c>
      <c r="AG757" s="8">
        <f t="shared" si="207"/>
        <v>0.65434497053762442</v>
      </c>
      <c r="AH757" s="8">
        <f t="shared" si="208"/>
        <v>-6.8531951780076428E-3</v>
      </c>
      <c r="AI757" s="8">
        <f t="shared" si="209"/>
        <v>0.75616512300420702</v>
      </c>
      <c r="AJ757" s="8"/>
      <c r="AK757" s="8"/>
      <c r="AL757" s="8"/>
      <c r="AN757" s="8">
        <f t="shared" si="215"/>
        <v>1</v>
      </c>
      <c r="AO757" s="8">
        <f t="shared" si="216"/>
        <v>6.272712322860686</v>
      </c>
      <c r="AP757" s="8">
        <f t="shared" si="217"/>
        <v>0.71336353745725967</v>
      </c>
      <c r="AQ757" s="8"/>
      <c r="AR757" s="8">
        <f t="shared" si="218"/>
        <v>359.39994219962034</v>
      </c>
      <c r="AS757" s="8">
        <f t="shared" si="219"/>
        <v>49.127280045176406</v>
      </c>
    </row>
    <row r="758" spans="1:45">
      <c r="A758" s="19">
        <v>29.029</v>
      </c>
      <c r="B758" s="19">
        <v>1345.5171230000001</v>
      </c>
      <c r="C758" s="19">
        <v>-222.9275773</v>
      </c>
      <c r="E758" s="9">
        <f t="shared" si="205"/>
        <v>385.51712300000008</v>
      </c>
      <c r="F758" s="9">
        <f t="shared" si="210"/>
        <v>317.0724227</v>
      </c>
      <c r="I758">
        <v>1</v>
      </c>
      <c r="J758">
        <f t="shared" si="206"/>
        <v>0.31968650560321238</v>
      </c>
      <c r="K758">
        <f t="shared" si="211"/>
        <v>0.68828683163628257</v>
      </c>
      <c r="O758">
        <f t="shared" si="212"/>
        <v>0.24272104002877415</v>
      </c>
      <c r="P758">
        <f t="shared" si="213"/>
        <v>0.19962835270013957</v>
      </c>
      <c r="Q758">
        <f t="shared" si="214"/>
        <v>0.94933398629016696</v>
      </c>
      <c r="R758">
        <f t="shared" si="204"/>
        <v>1</v>
      </c>
      <c r="AG758" s="8">
        <f t="shared" si="207"/>
        <v>0.65446610770103764</v>
      </c>
      <c r="AH758" s="8">
        <f t="shared" si="208"/>
        <v>-6.6676934047704695E-3</v>
      </c>
      <c r="AI758" s="8">
        <f t="shared" si="209"/>
        <v>0.75606193908654984</v>
      </c>
      <c r="AJ758" s="8"/>
      <c r="AK758" s="8"/>
      <c r="AL758" s="8"/>
      <c r="AN758" s="8">
        <f t="shared" si="215"/>
        <v>1</v>
      </c>
      <c r="AO758" s="8">
        <f t="shared" si="216"/>
        <v>6.2729976708003417</v>
      </c>
      <c r="AP758" s="8">
        <f t="shared" si="217"/>
        <v>0.71352120484336246</v>
      </c>
      <c r="AQ758" s="8"/>
      <c r="AR758" s="8">
        <f t="shared" si="218"/>
        <v>359.41629143225532</v>
      </c>
      <c r="AS758" s="8">
        <f t="shared" si="219"/>
        <v>49.118246369385858</v>
      </c>
    </row>
    <row r="759" spans="1:45">
      <c r="A759" s="19">
        <v>29.062366669999999</v>
      </c>
      <c r="B759" s="19">
        <v>1346.224903</v>
      </c>
      <c r="C759" s="19">
        <v>-223.485669</v>
      </c>
      <c r="E759" s="9">
        <f t="shared" si="205"/>
        <v>386.22490300000004</v>
      </c>
      <c r="F759" s="9">
        <f t="shared" si="210"/>
        <v>316.51433099999997</v>
      </c>
      <c r="I759">
        <v>1</v>
      </c>
      <c r="J759">
        <f t="shared" si="206"/>
        <v>0.31980284233523337</v>
      </c>
      <c r="K759">
        <f t="shared" si="211"/>
        <v>0.68652328730866652</v>
      </c>
      <c r="O759">
        <f t="shared" si="212"/>
        <v>0.2431581363797598</v>
      </c>
      <c r="P759">
        <f t="shared" si="213"/>
        <v>0.19926999596772874</v>
      </c>
      <c r="Q759">
        <f t="shared" si="214"/>
        <v>0.94929741884161023</v>
      </c>
      <c r="R759">
        <f t="shared" si="204"/>
        <v>1</v>
      </c>
      <c r="AG759" s="8">
        <f t="shared" si="207"/>
        <v>0.65479655217206245</v>
      </c>
      <c r="AH759" s="8">
        <f t="shared" si="208"/>
        <v>-6.3050694062962154E-3</v>
      </c>
      <c r="AI759" s="8">
        <f t="shared" si="209"/>
        <v>0.75577888390941528</v>
      </c>
      <c r="AJ759" s="8"/>
      <c r="AK759" s="8"/>
      <c r="AL759" s="8"/>
      <c r="AN759" s="8">
        <f t="shared" si="215"/>
        <v>1.0000000000000002</v>
      </c>
      <c r="AO759" s="8">
        <f t="shared" si="216"/>
        <v>6.2735565537439788</v>
      </c>
      <c r="AP759" s="8">
        <f t="shared" si="217"/>
        <v>0.71395357227667577</v>
      </c>
      <c r="AQ759" s="8"/>
      <c r="AR759" s="8">
        <f t="shared" si="218"/>
        <v>359.4483130661676</v>
      </c>
      <c r="AS759" s="8">
        <f t="shared" si="219"/>
        <v>49.093473540258103</v>
      </c>
    </row>
    <row r="760" spans="1:45">
      <c r="A760" s="19">
        <v>29.095733330000002</v>
      </c>
      <c r="B760" s="19">
        <v>1346.404352</v>
      </c>
      <c r="C760" s="19">
        <v>-224.39411580000001</v>
      </c>
      <c r="E760" s="9">
        <f t="shared" si="205"/>
        <v>386.40435200000002</v>
      </c>
      <c r="F760" s="9">
        <f t="shared" si="210"/>
        <v>315.60588419999999</v>
      </c>
      <c r="I760">
        <v>1</v>
      </c>
      <c r="J760">
        <f t="shared" si="206"/>
        <v>0.31953968208887434</v>
      </c>
      <c r="K760">
        <f t="shared" si="211"/>
        <v>0.68488696063944876</v>
      </c>
      <c r="O760">
        <f t="shared" si="212"/>
        <v>0.24329039190509277</v>
      </c>
      <c r="P760">
        <f t="shared" si="213"/>
        <v>0.19871380551783052</v>
      </c>
      <c r="Q760">
        <f t="shared" si="214"/>
        <v>0.94938011813145118</v>
      </c>
      <c r="R760">
        <f t="shared" si="204"/>
        <v>1</v>
      </c>
      <c r="AG760" s="8">
        <f t="shared" si="207"/>
        <v>0.65523301965490854</v>
      </c>
      <c r="AH760" s="8">
        <f t="shared" si="208"/>
        <v>-6.2973778665081914E-3</v>
      </c>
      <c r="AI760" s="8">
        <f t="shared" si="209"/>
        <v>0.75540057783001247</v>
      </c>
      <c r="AJ760" s="8"/>
      <c r="AK760" s="8"/>
      <c r="AL760" s="8"/>
      <c r="AN760" s="8">
        <f t="shared" si="215"/>
        <v>1</v>
      </c>
      <c r="AO760" s="8">
        <f t="shared" si="216"/>
        <v>6.2735747048542656</v>
      </c>
      <c r="AP760" s="8">
        <f t="shared" si="217"/>
        <v>0.71453109903373768</v>
      </c>
      <c r="AQ760" s="8"/>
      <c r="AR760" s="8">
        <f t="shared" si="218"/>
        <v>359.44935304818051</v>
      </c>
      <c r="AS760" s="8">
        <f t="shared" si="219"/>
        <v>49.060383694522578</v>
      </c>
    </row>
    <row r="761" spans="1:45">
      <c r="A761" s="19">
        <v>29.129100000000001</v>
      </c>
      <c r="B761" s="19">
        <v>1347.323398</v>
      </c>
      <c r="C761" s="19">
        <v>-224.2076868</v>
      </c>
      <c r="E761" s="9">
        <f t="shared" si="205"/>
        <v>387.323398</v>
      </c>
      <c r="F761" s="9">
        <f t="shared" si="210"/>
        <v>315.79231319999997</v>
      </c>
      <c r="I761">
        <v>1</v>
      </c>
      <c r="J761">
        <f t="shared" si="206"/>
        <v>0.32004015383076279</v>
      </c>
      <c r="K761">
        <f t="shared" si="211"/>
        <v>0.68401253777183957</v>
      </c>
      <c r="O761">
        <f t="shared" si="212"/>
        <v>0.24383228077590491</v>
      </c>
      <c r="P761">
        <f t="shared" si="213"/>
        <v>0.19880120947161289</v>
      </c>
      <c r="Q761">
        <f t="shared" si="214"/>
        <v>0.94922278626476519</v>
      </c>
      <c r="R761">
        <f t="shared" si="204"/>
        <v>1</v>
      </c>
      <c r="AG761" s="8">
        <f t="shared" si="207"/>
        <v>0.65524265992430397</v>
      </c>
      <c r="AH761" s="8">
        <f t="shared" si="208"/>
        <v>-5.7264761233061789E-3</v>
      </c>
      <c r="AI761" s="8">
        <f t="shared" si="209"/>
        <v>0.75539675938312856</v>
      </c>
      <c r="AJ761" s="8"/>
      <c r="AK761" s="8"/>
      <c r="AL761" s="8"/>
      <c r="AN761" s="8">
        <f t="shared" si="215"/>
        <v>1</v>
      </c>
      <c r="AO761" s="8">
        <f t="shared" si="216"/>
        <v>6.2744460557736828</v>
      </c>
      <c r="AP761" s="8">
        <f t="shared" si="217"/>
        <v>0.71453692636173038</v>
      </c>
      <c r="AQ761" s="8"/>
      <c r="AR761" s="8">
        <f t="shared" si="218"/>
        <v>359.49927777833796</v>
      </c>
      <c r="AS761" s="8">
        <f t="shared" si="219"/>
        <v>49.060049813222754</v>
      </c>
    </row>
    <row r="762" spans="1:45">
      <c r="A762" s="19">
        <v>29.162466670000001</v>
      </c>
      <c r="B762" s="19">
        <v>1348.0667129999999</v>
      </c>
      <c r="C762" s="19">
        <v>-224.0779378</v>
      </c>
      <c r="E762" s="9">
        <f t="shared" si="205"/>
        <v>388.06671299999994</v>
      </c>
      <c r="F762" s="9">
        <f t="shared" si="210"/>
        <v>315.92206220000003</v>
      </c>
      <c r="I762">
        <v>1</v>
      </c>
      <c r="J762">
        <f t="shared" si="206"/>
        <v>0.32043697780031283</v>
      </c>
      <c r="K762">
        <f t="shared" si="211"/>
        <v>0.68327484018096896</v>
      </c>
      <c r="O762">
        <f t="shared" si="212"/>
        <v>0.24427096485795063</v>
      </c>
      <c r="P762">
        <f t="shared" si="213"/>
        <v>0.19885907337150951</v>
      </c>
      <c r="Q762">
        <f t="shared" si="214"/>
        <v>0.94909786885504621</v>
      </c>
      <c r="R762">
        <f t="shared" si="204"/>
        <v>1</v>
      </c>
      <c r="AG762" s="8">
        <f t="shared" si="207"/>
        <v>0.65525997055805241</v>
      </c>
      <c r="AH762" s="8">
        <f t="shared" si="208"/>
        <v>-5.2671718843014248E-3</v>
      </c>
      <c r="AI762" s="8">
        <f t="shared" si="209"/>
        <v>0.7553850858235166</v>
      </c>
      <c r="AJ762" s="8"/>
      <c r="AK762" s="8"/>
      <c r="AL762" s="8"/>
      <c r="AN762" s="8">
        <f t="shared" si="215"/>
        <v>1</v>
      </c>
      <c r="AO762" s="8">
        <f t="shared" si="216"/>
        <v>6.2751471869208686</v>
      </c>
      <c r="AP762" s="8">
        <f t="shared" si="217"/>
        <v>0.71455474112667794</v>
      </c>
      <c r="AQ762" s="8"/>
      <c r="AR762" s="8">
        <f t="shared" si="218"/>
        <v>359.53944963395685</v>
      </c>
      <c r="AS762" s="8">
        <f t="shared" si="219"/>
        <v>49.05902910237824</v>
      </c>
    </row>
    <row r="763" spans="1:45">
      <c r="A763" s="19">
        <v>29.195833329999999</v>
      </c>
      <c r="B763" s="19">
        <v>1349.2689310000001</v>
      </c>
      <c r="C763" s="19">
        <v>-224.5643614</v>
      </c>
      <c r="E763" s="9">
        <f t="shared" si="205"/>
        <v>389.26893100000007</v>
      </c>
      <c r="F763" s="9">
        <f t="shared" si="210"/>
        <v>315.4356386</v>
      </c>
      <c r="I763">
        <v>1</v>
      </c>
      <c r="J763">
        <f t="shared" si="206"/>
        <v>0.32081459569934095</v>
      </c>
      <c r="K763">
        <f t="shared" si="211"/>
        <v>0.68100704553862323</v>
      </c>
      <c r="O763">
        <f t="shared" si="212"/>
        <v>0.2449997425613388</v>
      </c>
      <c r="P763">
        <f t="shared" si="213"/>
        <v>0.19853022961051958</v>
      </c>
      <c r="Q763">
        <f t="shared" si="214"/>
        <v>0.94897885860311559</v>
      </c>
      <c r="R763">
        <f t="shared" si="204"/>
        <v>1</v>
      </c>
      <c r="AG763" s="8">
        <f t="shared" si="207"/>
        <v>0.65560773567285324</v>
      </c>
      <c r="AH763" s="8">
        <f t="shared" si="208"/>
        <v>-4.6008400270401428E-3</v>
      </c>
      <c r="AI763" s="8">
        <f t="shared" si="209"/>
        <v>0.75508763014431624</v>
      </c>
      <c r="AJ763" s="8"/>
      <c r="AK763" s="8"/>
      <c r="AL763" s="8"/>
      <c r="AN763" s="8">
        <f t="shared" si="215"/>
        <v>1</v>
      </c>
      <c r="AO763" s="8">
        <f t="shared" si="216"/>
        <v>6.2761677504120632</v>
      </c>
      <c r="AP763" s="8">
        <f t="shared" si="217"/>
        <v>0.71500855840531363</v>
      </c>
      <c r="AQ763" s="8"/>
      <c r="AR763" s="8">
        <f t="shared" si="218"/>
        <v>359.59792361472745</v>
      </c>
      <c r="AS763" s="8">
        <f t="shared" si="219"/>
        <v>49.033027287642305</v>
      </c>
    </row>
    <row r="764" spans="1:45">
      <c r="A764" s="19">
        <v>29.229199999999999</v>
      </c>
      <c r="B764" s="19">
        <v>1349.361433</v>
      </c>
      <c r="C764" s="19">
        <v>-224.5815704</v>
      </c>
      <c r="E764" s="9">
        <f t="shared" si="205"/>
        <v>389.36143300000003</v>
      </c>
      <c r="F764" s="9">
        <f t="shared" si="210"/>
        <v>315.41842959999997</v>
      </c>
      <c r="I764">
        <v>1</v>
      </c>
      <c r="J764">
        <f t="shared" si="206"/>
        <v>0.32085138039133348</v>
      </c>
      <c r="K764">
        <f t="shared" si="211"/>
        <v>0.68086414232204095</v>
      </c>
      <c r="O764">
        <f t="shared" si="212"/>
        <v>0.24505523495116946</v>
      </c>
      <c r="P764">
        <f t="shared" si="213"/>
        <v>0.19851718948639907</v>
      </c>
      <c r="Q764">
        <f t="shared" si="214"/>
        <v>0.94896725828737016</v>
      </c>
      <c r="R764">
        <f t="shared" si="204"/>
        <v>1</v>
      </c>
      <c r="AG764" s="8">
        <f t="shared" si="207"/>
        <v>0.65562517996561975</v>
      </c>
      <c r="AH764" s="8">
        <f t="shared" si="208"/>
        <v>-4.5473609769384749E-3</v>
      </c>
      <c r="AI764" s="8">
        <f t="shared" si="209"/>
        <v>0.75507280768359974</v>
      </c>
      <c r="AJ764" s="8"/>
      <c r="AK764" s="8"/>
      <c r="AL764" s="8"/>
      <c r="AN764" s="8">
        <f t="shared" si="215"/>
        <v>1.0000000000000002</v>
      </c>
      <c r="AO764" s="8">
        <f t="shared" si="216"/>
        <v>6.2762495027014422</v>
      </c>
      <c r="AP764" s="8">
        <f t="shared" si="217"/>
        <v>0.71503116628800734</v>
      </c>
      <c r="AQ764" s="8"/>
      <c r="AR764" s="8">
        <f t="shared" si="218"/>
        <v>359.60260767587442</v>
      </c>
      <c r="AS764" s="8">
        <f t="shared" si="219"/>
        <v>49.03173195138023</v>
      </c>
    </row>
    <row r="765" spans="1:45">
      <c r="A765" s="19">
        <v>29.262566669999998</v>
      </c>
      <c r="B765" s="19">
        <v>1349.94974</v>
      </c>
      <c r="C765" s="19">
        <v>-224.87303059999999</v>
      </c>
      <c r="E765" s="9">
        <f t="shared" si="205"/>
        <v>389.94974000000002</v>
      </c>
      <c r="F765" s="9">
        <f t="shared" si="210"/>
        <v>315.12696940000001</v>
      </c>
      <c r="I765">
        <v>1</v>
      </c>
      <c r="J765">
        <f t="shared" si="206"/>
        <v>0.32101650718892438</v>
      </c>
      <c r="K765">
        <f t="shared" si="211"/>
        <v>0.67967380605276806</v>
      </c>
      <c r="O765">
        <f t="shared" si="212"/>
        <v>0.24541323787218428</v>
      </c>
      <c r="P765">
        <f t="shared" si="213"/>
        <v>0.1983238401474578</v>
      </c>
      <c r="Q765">
        <f t="shared" si="214"/>
        <v>0.94891516855104407</v>
      </c>
      <c r="R765">
        <f t="shared" si="204"/>
        <v>1</v>
      </c>
      <c r="AG765" s="8">
        <f t="shared" si="207"/>
        <v>0.65581970797136635</v>
      </c>
      <c r="AH765" s="8">
        <f t="shared" si="208"/>
        <v>-4.2272001963601924E-3</v>
      </c>
      <c r="AI765" s="8">
        <f t="shared" si="209"/>
        <v>0.7549057169043375</v>
      </c>
      <c r="AJ765" s="8"/>
      <c r="AK765" s="8"/>
      <c r="AL765" s="8"/>
      <c r="AN765" s="8">
        <f t="shared" si="215"/>
        <v>1</v>
      </c>
      <c r="AO765" s="8">
        <f t="shared" si="216"/>
        <v>6.2767397222050212</v>
      </c>
      <c r="AP765" s="8">
        <f t="shared" si="217"/>
        <v>0.71528597994428422</v>
      </c>
      <c r="AQ765" s="8"/>
      <c r="AR765" s="8">
        <f t="shared" si="218"/>
        <v>359.63069518446446</v>
      </c>
      <c r="AS765" s="8">
        <f t="shared" si="219"/>
        <v>49.017132204313263</v>
      </c>
    </row>
    <row r="766" spans="1:45">
      <c r="A766" s="19">
        <v>29.29593333</v>
      </c>
      <c r="B766" s="19">
        <v>1350.323758</v>
      </c>
      <c r="C766" s="19">
        <v>-224.86293430000001</v>
      </c>
      <c r="E766" s="9">
        <f t="shared" si="205"/>
        <v>390.323758</v>
      </c>
      <c r="F766" s="9">
        <f t="shared" si="210"/>
        <v>315.13706569999999</v>
      </c>
      <c r="I766">
        <v>1</v>
      </c>
      <c r="J766">
        <f t="shared" si="206"/>
        <v>0.32119564138709383</v>
      </c>
      <c r="K766">
        <f t="shared" si="211"/>
        <v>0.67922084628658963</v>
      </c>
      <c r="O766">
        <f t="shared" si="212"/>
        <v>0.24563529897895728</v>
      </c>
      <c r="P766">
        <f t="shared" si="213"/>
        <v>0.19831943550966427</v>
      </c>
      <c r="Q766">
        <f t="shared" si="214"/>
        <v>0.94885863087956701</v>
      </c>
      <c r="R766">
        <f t="shared" si="204"/>
        <v>1</v>
      </c>
      <c r="AG766" s="8">
        <f t="shared" si="207"/>
        <v>0.65585352796521423</v>
      </c>
      <c r="AH766" s="8">
        <f t="shared" si="208"/>
        <v>-4.0022769206707332E-3</v>
      </c>
      <c r="AI766" s="8">
        <f t="shared" si="209"/>
        <v>0.75487756069115752</v>
      </c>
      <c r="AJ766" s="8"/>
      <c r="AK766" s="8"/>
      <c r="AL766" s="8"/>
      <c r="AN766" s="8">
        <f t="shared" si="215"/>
        <v>1</v>
      </c>
      <c r="AO766" s="8">
        <f t="shared" si="216"/>
        <v>6.2770829884901627</v>
      </c>
      <c r="AP766" s="8">
        <f t="shared" si="217"/>
        <v>0.71532891084787065</v>
      </c>
      <c r="AQ766" s="8"/>
      <c r="AR766" s="8">
        <f t="shared" si="218"/>
        <v>359.65036289385222</v>
      </c>
      <c r="AS766" s="8">
        <f t="shared" si="219"/>
        <v>49.014672444727083</v>
      </c>
    </row>
    <row r="767" spans="1:45">
      <c r="A767" s="19">
        <v>29.3293</v>
      </c>
      <c r="B767" s="19">
        <v>1351.2227419999999</v>
      </c>
      <c r="C767" s="19">
        <v>-225.66153130000001</v>
      </c>
      <c r="E767" s="9">
        <f t="shared" si="205"/>
        <v>391.22274199999993</v>
      </c>
      <c r="F767" s="9">
        <f t="shared" si="210"/>
        <v>314.33846870000002</v>
      </c>
      <c r="I767">
        <v>1</v>
      </c>
      <c r="J767">
        <f t="shared" si="206"/>
        <v>0.32131565460267614</v>
      </c>
      <c r="K767">
        <f t="shared" si="211"/>
        <v>0.67685746126865987</v>
      </c>
      <c r="O767">
        <f t="shared" si="212"/>
        <v>0.2461920870662235</v>
      </c>
      <c r="P767">
        <f t="shared" si="213"/>
        <v>0.19780967552866288</v>
      </c>
      <c r="Q767">
        <f t="shared" si="214"/>
        <v>0.94882073572051651</v>
      </c>
      <c r="R767">
        <f t="shared" si="204"/>
        <v>1</v>
      </c>
      <c r="AG767" s="8">
        <f t="shared" si="207"/>
        <v>0.656312685690289</v>
      </c>
      <c r="AH767" s="8">
        <f t="shared" si="208"/>
        <v>-3.5517925022611752E-3</v>
      </c>
      <c r="AI767" s="8">
        <f t="shared" si="209"/>
        <v>0.7544806447961544</v>
      </c>
      <c r="AJ767" s="8"/>
      <c r="AK767" s="8"/>
      <c r="AL767" s="8"/>
      <c r="AN767" s="8">
        <f t="shared" si="215"/>
        <v>1</v>
      </c>
      <c r="AO767" s="8">
        <f t="shared" si="216"/>
        <v>6.2777736217030862</v>
      </c>
      <c r="AP767" s="8">
        <f t="shared" si="217"/>
        <v>0.71593387884337201</v>
      </c>
      <c r="AQ767" s="8"/>
      <c r="AR767" s="8">
        <f t="shared" si="218"/>
        <v>359.68993326214428</v>
      </c>
      <c r="AS767" s="8">
        <f t="shared" si="219"/>
        <v>48.980010331844362</v>
      </c>
    </row>
    <row r="768" spans="1:45">
      <c r="A768" s="19">
        <v>29.362666669999999</v>
      </c>
      <c r="B768" s="19">
        <v>1351.567292</v>
      </c>
      <c r="C768" s="19">
        <v>-226.0901011</v>
      </c>
      <c r="E768" s="9">
        <f t="shared" si="205"/>
        <v>391.56729199999995</v>
      </c>
      <c r="F768" s="9">
        <f t="shared" si="210"/>
        <v>313.90989890000003</v>
      </c>
      <c r="I768">
        <v>1</v>
      </c>
      <c r="J768">
        <f t="shared" si="206"/>
        <v>0.32131593192276431</v>
      </c>
      <c r="K768">
        <f t="shared" si="211"/>
        <v>0.6757617450252027</v>
      </c>
      <c r="O768">
        <f t="shared" si="212"/>
        <v>0.24640888780887224</v>
      </c>
      <c r="P768">
        <f t="shared" si="213"/>
        <v>0.19753996475309421</v>
      </c>
      <c r="Q768">
        <f t="shared" si="214"/>
        <v>0.94882064813859368</v>
      </c>
      <c r="R768">
        <f t="shared" si="204"/>
        <v>1</v>
      </c>
      <c r="AG768" s="8">
        <f t="shared" si="207"/>
        <v>0.65654481280789379</v>
      </c>
      <c r="AH768" s="8">
        <f t="shared" si="208"/>
        <v>-3.3925432856832249E-3</v>
      </c>
      <c r="AI768" s="8">
        <f t="shared" si="209"/>
        <v>0.75427939082617301</v>
      </c>
      <c r="AJ768" s="8"/>
      <c r="AK768" s="8"/>
      <c r="AL768" s="8"/>
      <c r="AN768" s="8">
        <f t="shared" si="215"/>
        <v>1.0000000000000002</v>
      </c>
      <c r="AO768" s="8">
        <f t="shared" si="216"/>
        <v>6.2780180847362725</v>
      </c>
      <c r="AP768" s="8">
        <f t="shared" si="217"/>
        <v>0.71624046375725214</v>
      </c>
      <c r="AQ768" s="8"/>
      <c r="AR768" s="8">
        <f t="shared" si="218"/>
        <v>359.70393996219286</v>
      </c>
      <c r="AS768" s="8">
        <f t="shared" si="219"/>
        <v>48.962444310216654</v>
      </c>
    </row>
    <row r="769" spans="1:45">
      <c r="A769" s="19">
        <v>29.396033330000002</v>
      </c>
      <c r="B769" s="19">
        <v>1352.6507280000001</v>
      </c>
      <c r="C769" s="19">
        <v>-226.21621619999999</v>
      </c>
      <c r="E769" s="9">
        <f t="shared" si="205"/>
        <v>392.65072800000007</v>
      </c>
      <c r="F769" s="9">
        <f t="shared" si="210"/>
        <v>313.78378380000004</v>
      </c>
      <c r="I769">
        <v>1</v>
      </c>
      <c r="J769">
        <f t="shared" si="206"/>
        <v>0.32177797491196508</v>
      </c>
      <c r="K769">
        <f t="shared" si="211"/>
        <v>0.67421770125922464</v>
      </c>
      <c r="O769">
        <f t="shared" si="212"/>
        <v>0.24705605092044028</v>
      </c>
      <c r="P769">
        <f t="shared" si="213"/>
        <v>0.19743292687464781</v>
      </c>
      <c r="Q769">
        <f t="shared" si="214"/>
        <v>0.94867462656556112</v>
      </c>
      <c r="R769">
        <f t="shared" si="204"/>
        <v>1</v>
      </c>
      <c r="AG769" s="8">
        <f t="shared" si="207"/>
        <v>0.65671345110695578</v>
      </c>
      <c r="AH769" s="8">
        <f t="shared" si="208"/>
        <v>-2.7582268943527333E-3</v>
      </c>
      <c r="AI769" s="8">
        <f t="shared" si="209"/>
        <v>0.75413515719636848</v>
      </c>
      <c r="AJ769" s="8"/>
      <c r="AK769" s="8"/>
      <c r="AL769" s="8"/>
      <c r="AN769" s="8">
        <f t="shared" si="215"/>
        <v>1</v>
      </c>
      <c r="AO769" s="8">
        <f t="shared" si="216"/>
        <v>6.2789852855854749</v>
      </c>
      <c r="AP769" s="8">
        <f t="shared" si="217"/>
        <v>0.71646011899855355</v>
      </c>
      <c r="AQ769" s="8"/>
      <c r="AR769" s="8">
        <f t="shared" si="218"/>
        <v>359.75935648879363</v>
      </c>
      <c r="AS769" s="8">
        <f t="shared" si="219"/>
        <v>48.949858991942151</v>
      </c>
    </row>
    <row r="770" spans="1:45">
      <c r="A770" s="19">
        <v>29.429400000000001</v>
      </c>
      <c r="B770" s="19">
        <v>1353.065834</v>
      </c>
      <c r="C770" s="19">
        <v>-226.47329550000001</v>
      </c>
      <c r="E770" s="9">
        <f t="shared" si="205"/>
        <v>393.065834</v>
      </c>
      <c r="F770" s="9">
        <f t="shared" si="210"/>
        <v>313.52670449999999</v>
      </c>
      <c r="I770">
        <v>1</v>
      </c>
      <c r="J770">
        <f t="shared" si="206"/>
        <v>0.32187674447349229</v>
      </c>
      <c r="K770">
        <f t="shared" si="211"/>
        <v>0.6733028610423607</v>
      </c>
      <c r="O770">
        <f t="shared" si="212"/>
        <v>0.24730981753277681</v>
      </c>
      <c r="P770">
        <f t="shared" si="213"/>
        <v>0.19726525526903935</v>
      </c>
      <c r="Q770">
        <f t="shared" si="214"/>
        <v>0.94864338569113804</v>
      </c>
      <c r="R770">
        <f t="shared" si="204"/>
        <v>1</v>
      </c>
      <c r="AG770" s="8">
        <f t="shared" si="207"/>
        <v>0.65687381548046064</v>
      </c>
      <c r="AH770" s="8">
        <f t="shared" si="208"/>
        <v>-2.5380542071177792E-3</v>
      </c>
      <c r="AI770" s="8">
        <f t="shared" si="209"/>
        <v>0.75399625252184332</v>
      </c>
      <c r="AJ770" s="8"/>
      <c r="AK770" s="8"/>
      <c r="AL770" s="8"/>
      <c r="AN770" s="8">
        <f t="shared" si="215"/>
        <v>0.99999999999999989</v>
      </c>
      <c r="AO770" s="8">
        <f t="shared" si="216"/>
        <v>6.2793214881065698</v>
      </c>
      <c r="AP770" s="8">
        <f t="shared" si="217"/>
        <v>0.7166716063455264</v>
      </c>
      <c r="AQ770" s="8"/>
      <c r="AR770" s="8">
        <f t="shared" si="218"/>
        <v>359.77861947431398</v>
      </c>
      <c r="AS770" s="8">
        <f t="shared" si="219"/>
        <v>48.937741659540187</v>
      </c>
    </row>
    <row r="771" spans="1:45">
      <c r="A771" s="19">
        <v>29.462766670000001</v>
      </c>
      <c r="B771" s="19">
        <v>1354.280833</v>
      </c>
      <c r="C771" s="19">
        <v>-226.8470629</v>
      </c>
      <c r="E771" s="9">
        <f t="shared" si="205"/>
        <v>394.28083300000003</v>
      </c>
      <c r="F771" s="9">
        <f t="shared" si="210"/>
        <v>313.15293710000003</v>
      </c>
      <c r="I771">
        <v>1</v>
      </c>
      <c r="J771">
        <f t="shared" si="206"/>
        <v>0.32230901502786297</v>
      </c>
      <c r="K771">
        <f t="shared" si="211"/>
        <v>0.67121782080942172</v>
      </c>
      <c r="O771">
        <f t="shared" si="212"/>
        <v>0.24804167436657434</v>
      </c>
      <c r="P771">
        <f t="shared" si="213"/>
        <v>0.19700419688190762</v>
      </c>
      <c r="Q771">
        <f t="shared" si="214"/>
        <v>0.94850654936502199</v>
      </c>
      <c r="R771">
        <f t="shared" si="204"/>
        <v>1</v>
      </c>
      <c r="AG771" s="8">
        <f t="shared" si="207"/>
        <v>0.65716899030912124</v>
      </c>
      <c r="AH771" s="8">
        <f t="shared" si="208"/>
        <v>-1.8523390138336926E-3</v>
      </c>
      <c r="AI771" s="8">
        <f t="shared" si="209"/>
        <v>0.75374099465019673</v>
      </c>
      <c r="AJ771" s="8"/>
      <c r="AK771" s="8"/>
      <c r="AL771" s="8"/>
      <c r="AN771" s="8">
        <f t="shared" si="215"/>
        <v>0.99999999999999989</v>
      </c>
      <c r="AO771" s="8">
        <f t="shared" si="216"/>
        <v>6.280366649976278</v>
      </c>
      <c r="AP771" s="8">
        <f t="shared" si="217"/>
        <v>0.71706011181540119</v>
      </c>
      <c r="AQ771" s="8"/>
      <c r="AR771" s="8">
        <f t="shared" si="218"/>
        <v>359.83850283835631</v>
      </c>
      <c r="AS771" s="8">
        <f t="shared" si="219"/>
        <v>48.915481935798617</v>
      </c>
    </row>
    <row r="772" spans="1:45">
      <c r="A772" s="19">
        <v>29.496133329999999</v>
      </c>
      <c r="B772" s="19">
        <v>1354.2646440000001</v>
      </c>
      <c r="C772" s="19">
        <v>-227.0726765</v>
      </c>
      <c r="E772" s="9">
        <f t="shared" si="205"/>
        <v>394.26464400000009</v>
      </c>
      <c r="F772" s="9">
        <f t="shared" si="210"/>
        <v>312.9273235</v>
      </c>
      <c r="I772">
        <v>1</v>
      </c>
      <c r="J772">
        <f t="shared" si="206"/>
        <v>0.32221691437213718</v>
      </c>
      <c r="K772">
        <f t="shared" si="211"/>
        <v>0.6708868399331499</v>
      </c>
      <c r="O772">
        <f t="shared" si="212"/>
        <v>0.24803843933297001</v>
      </c>
      <c r="P772">
        <f t="shared" si="213"/>
        <v>0.19686777936289768</v>
      </c>
      <c r="Q772">
        <f t="shared" si="214"/>
        <v>0.94853571891731414</v>
      </c>
      <c r="R772">
        <f t="shared" si="204"/>
        <v>1</v>
      </c>
      <c r="AG772" s="8">
        <f t="shared" si="207"/>
        <v>0.65727088945449486</v>
      </c>
      <c r="AH772" s="8">
        <f t="shared" si="208"/>
        <v>-1.8866491383200401E-3</v>
      </c>
      <c r="AI772" s="8">
        <f t="shared" si="209"/>
        <v>0.75365205395509016</v>
      </c>
      <c r="AJ772" s="8"/>
      <c r="AK772" s="8"/>
      <c r="AL772" s="8"/>
      <c r="AN772" s="8">
        <f t="shared" si="215"/>
        <v>1</v>
      </c>
      <c r="AO772" s="8">
        <f t="shared" si="216"/>
        <v>6.2803148864945664</v>
      </c>
      <c r="AP772" s="8">
        <f t="shared" si="217"/>
        <v>0.71719543992965384</v>
      </c>
      <c r="AQ772" s="8"/>
      <c r="AR772" s="8">
        <f t="shared" si="218"/>
        <v>359.83553700932129</v>
      </c>
      <c r="AS772" s="8">
        <f t="shared" si="219"/>
        <v>48.907728206002474</v>
      </c>
    </row>
    <row r="773" spans="1:45">
      <c r="A773" s="19">
        <v>29.529499999999999</v>
      </c>
      <c r="B773" s="19">
        <v>1354.7054000000001</v>
      </c>
      <c r="C773" s="19">
        <v>-227.06575900000001</v>
      </c>
      <c r="E773" s="9">
        <f t="shared" si="205"/>
        <v>394.70540000000005</v>
      </c>
      <c r="F773" s="9">
        <f t="shared" si="210"/>
        <v>312.93424099999999</v>
      </c>
      <c r="I773">
        <v>1</v>
      </c>
      <c r="J773">
        <f t="shared" si="206"/>
        <v>0.32242739997538461</v>
      </c>
      <c r="K773">
        <f t="shared" si="211"/>
        <v>0.67035361009642425</v>
      </c>
      <c r="O773">
        <f t="shared" si="212"/>
        <v>0.24829982292553782</v>
      </c>
      <c r="P773">
        <f t="shared" si="213"/>
        <v>0.19685952264052525</v>
      </c>
      <c r="Q773">
        <f t="shared" si="214"/>
        <v>0.94846904339619387</v>
      </c>
      <c r="R773">
        <f t="shared" si="204"/>
        <v>1</v>
      </c>
      <c r="AG773" s="8">
        <f t="shared" si="207"/>
        <v>0.65731244389028376</v>
      </c>
      <c r="AH773" s="8">
        <f t="shared" si="208"/>
        <v>-1.6223782021602129E-3</v>
      </c>
      <c r="AI773" s="8">
        <f t="shared" si="209"/>
        <v>0.75361642696795816</v>
      </c>
      <c r="AJ773" s="8"/>
      <c r="AK773" s="8"/>
      <c r="AL773" s="8"/>
      <c r="AN773" s="8">
        <f t="shared" si="215"/>
        <v>1</v>
      </c>
      <c r="AO773" s="8">
        <f t="shared" si="216"/>
        <v>6.2807171127573778</v>
      </c>
      <c r="AP773" s="8">
        <f t="shared" si="217"/>
        <v>0.71724964244169709</v>
      </c>
      <c r="AQ773" s="8"/>
      <c r="AR773" s="8">
        <f t="shared" si="218"/>
        <v>359.85858287658971</v>
      </c>
      <c r="AS773" s="8">
        <f t="shared" si="219"/>
        <v>48.90462263082339</v>
      </c>
    </row>
    <row r="774" spans="1:45">
      <c r="A774" s="19">
        <v>29.562866669999998</v>
      </c>
      <c r="B774" s="19">
        <v>1355.415692</v>
      </c>
      <c r="C774" s="19">
        <v>-227.69646449999999</v>
      </c>
      <c r="E774" s="9">
        <f t="shared" si="205"/>
        <v>395.41569200000004</v>
      </c>
      <c r="F774" s="9">
        <f t="shared" si="210"/>
        <v>312.30353550000001</v>
      </c>
      <c r="I774">
        <v>1</v>
      </c>
      <c r="J774">
        <f t="shared" si="206"/>
        <v>0.32252710527979367</v>
      </c>
      <c r="K774">
        <f t="shared" si="211"/>
        <v>0.66849698633187371</v>
      </c>
      <c r="O774">
        <f t="shared" si="212"/>
        <v>0.24873909974999481</v>
      </c>
      <c r="P774">
        <f t="shared" si="213"/>
        <v>0.19645679683600048</v>
      </c>
      <c r="Q774">
        <f t="shared" si="214"/>
        <v>0.9484374450813825</v>
      </c>
      <c r="R774">
        <f t="shared" si="204"/>
        <v>1</v>
      </c>
      <c r="AG774" s="8">
        <f t="shared" si="207"/>
        <v>0.65767378093927142</v>
      </c>
      <c r="AH774" s="8">
        <f t="shared" si="208"/>
        <v>-1.2665796338501845E-3</v>
      </c>
      <c r="AI774" s="8">
        <f t="shared" si="209"/>
        <v>0.75330179452930701</v>
      </c>
      <c r="AJ774" s="8"/>
      <c r="AK774" s="8"/>
      <c r="AL774" s="8"/>
      <c r="AN774" s="8">
        <f t="shared" si="215"/>
        <v>0.99999999999999989</v>
      </c>
      <c r="AO774" s="8">
        <f t="shared" si="216"/>
        <v>6.281259461715325</v>
      </c>
      <c r="AP774" s="8">
        <f t="shared" si="217"/>
        <v>0.71772817469677375</v>
      </c>
      <c r="AQ774" s="8"/>
      <c r="AR774" s="8">
        <f t="shared" si="218"/>
        <v>359.88965718290342</v>
      </c>
      <c r="AS774" s="8">
        <f t="shared" si="219"/>
        <v>48.87720475224662</v>
      </c>
    </row>
    <row r="775" spans="1:45">
      <c r="A775" s="19">
        <v>29.59623333</v>
      </c>
      <c r="B775" s="19">
        <v>1356.261452</v>
      </c>
      <c r="C775" s="19">
        <v>-227.78392289999999</v>
      </c>
      <c r="E775" s="9">
        <f t="shared" si="205"/>
        <v>396.26145199999996</v>
      </c>
      <c r="F775" s="9">
        <f t="shared" si="210"/>
        <v>312.21607710000001</v>
      </c>
      <c r="I775">
        <v>1</v>
      </c>
      <c r="J775">
        <f t="shared" si="206"/>
        <v>0.32289418924707364</v>
      </c>
      <c r="K775">
        <f t="shared" si="211"/>
        <v>0.66732183699017489</v>
      </c>
      <c r="O775">
        <f t="shared" si="212"/>
        <v>0.24924324763724515</v>
      </c>
      <c r="P775">
        <f t="shared" si="213"/>
        <v>0.19637981092585441</v>
      </c>
      <c r="Q775">
        <f t="shared" si="214"/>
        <v>0.94832102864376289</v>
      </c>
      <c r="R775">
        <f t="shared" si="204"/>
        <v>1</v>
      </c>
      <c r="AG775" s="8">
        <f t="shared" si="207"/>
        <v>0.65779937552293288</v>
      </c>
      <c r="AH775" s="8">
        <f t="shared" si="208"/>
        <v>-7.7060584508714669E-4</v>
      </c>
      <c r="AI775" s="8">
        <f t="shared" si="209"/>
        <v>0.75319279585526511</v>
      </c>
      <c r="AJ775" s="8"/>
      <c r="AK775" s="8"/>
      <c r="AL775" s="8"/>
      <c r="AN775" s="8">
        <f t="shared" si="215"/>
        <v>1</v>
      </c>
      <c r="AO775" s="8">
        <f t="shared" si="216"/>
        <v>6.2820138170243229</v>
      </c>
      <c r="AP775" s="8">
        <f t="shared" si="217"/>
        <v>0.71789389230917844</v>
      </c>
      <c r="AQ775" s="8"/>
      <c r="AR775" s="8">
        <f t="shared" si="218"/>
        <v>359.93287855836229</v>
      </c>
      <c r="AS775" s="8">
        <f t="shared" si="219"/>
        <v>48.867709832464847</v>
      </c>
    </row>
    <row r="776" spans="1:45">
      <c r="A776" s="19">
        <v>29.6296</v>
      </c>
      <c r="B776" s="19">
        <v>1356.780949</v>
      </c>
      <c r="C776" s="19">
        <v>-227.86823459999999</v>
      </c>
      <c r="E776" s="9">
        <f t="shared" si="205"/>
        <v>396.78094899999996</v>
      </c>
      <c r="F776" s="9">
        <f t="shared" si="210"/>
        <v>312.13176540000001</v>
      </c>
      <c r="I776">
        <v>1</v>
      </c>
      <c r="J776">
        <f t="shared" si="206"/>
        <v>0.32310844826247709</v>
      </c>
      <c r="K776">
        <f t="shared" si="211"/>
        <v>0.66655380038379342</v>
      </c>
      <c r="O776">
        <f t="shared" si="212"/>
        <v>0.24955369099666258</v>
      </c>
      <c r="P776">
        <f t="shared" si="213"/>
        <v>0.19631394684948544</v>
      </c>
      <c r="Q776">
        <f t="shared" si="214"/>
        <v>0.94825301981186416</v>
      </c>
      <c r="R776">
        <f t="shared" si="204"/>
        <v>1</v>
      </c>
      <c r="AG776" s="8">
        <f t="shared" si="207"/>
        <v>0.65789044759052207</v>
      </c>
      <c r="AH776" s="8">
        <f t="shared" si="208"/>
        <v>-4.6934872009612993E-4</v>
      </c>
      <c r="AI776" s="8">
        <f t="shared" si="209"/>
        <v>0.75311349654678317</v>
      </c>
      <c r="AJ776" s="8"/>
      <c r="AK776" s="8"/>
      <c r="AL776" s="8"/>
      <c r="AN776" s="8">
        <f t="shared" si="215"/>
        <v>1</v>
      </c>
      <c r="AO776" s="8">
        <f t="shared" si="216"/>
        <v>6.2824718925948506</v>
      </c>
      <c r="AP776" s="8">
        <f t="shared" si="217"/>
        <v>0.71801443633056805</v>
      </c>
      <c r="AQ776" s="8"/>
      <c r="AR776" s="8">
        <f t="shared" si="218"/>
        <v>359.95912435525156</v>
      </c>
      <c r="AS776" s="8">
        <f t="shared" si="219"/>
        <v>48.860803168793687</v>
      </c>
    </row>
    <row r="777" spans="1:45">
      <c r="A777" s="19">
        <v>29.662966669999999</v>
      </c>
      <c r="B777" s="19">
        <v>1357.281334</v>
      </c>
      <c r="C777" s="19">
        <v>-227.861413</v>
      </c>
      <c r="E777" s="9">
        <f t="shared" si="205"/>
        <v>397.28133400000002</v>
      </c>
      <c r="F777" s="9">
        <f t="shared" si="210"/>
        <v>312.13858700000003</v>
      </c>
      <c r="I777">
        <v>1</v>
      </c>
      <c r="J777">
        <f t="shared" si="206"/>
        <v>0.3233476867534148</v>
      </c>
      <c r="K777">
        <f t="shared" si="211"/>
        <v>0.66595206694578135</v>
      </c>
      <c r="O777">
        <f t="shared" si="212"/>
        <v>0.24985015283036621</v>
      </c>
      <c r="P777">
        <f t="shared" si="213"/>
        <v>0.19630389598471437</v>
      </c>
      <c r="Q777">
        <f t="shared" si="214"/>
        <v>0.94817703070252923</v>
      </c>
      <c r="R777">
        <f t="shared" si="204"/>
        <v>1</v>
      </c>
      <c r="AG777" s="8">
        <f t="shared" si="207"/>
        <v>0.65793772168435272</v>
      </c>
      <c r="AH777" s="8">
        <f t="shared" si="208"/>
        <v>-1.6962386486735204E-4</v>
      </c>
      <c r="AI777" s="8">
        <f t="shared" si="209"/>
        <v>0.75307232429066717</v>
      </c>
      <c r="AJ777" s="8"/>
      <c r="AK777" s="8"/>
      <c r="AL777" s="8"/>
      <c r="AN777" s="8">
        <f t="shared" si="215"/>
        <v>1</v>
      </c>
      <c r="AO777" s="8">
        <f t="shared" si="216"/>
        <v>6.282927495755315</v>
      </c>
      <c r="AP777" s="8">
        <f t="shared" si="217"/>
        <v>0.71807701631044873</v>
      </c>
      <c r="AQ777" s="8"/>
      <c r="AR777" s="8">
        <f t="shared" si="218"/>
        <v>359.98522849347899</v>
      </c>
      <c r="AS777" s="8">
        <f t="shared" si="219"/>
        <v>48.857217600064509</v>
      </c>
    </row>
    <row r="778" spans="1:45">
      <c r="A778" s="19">
        <v>29.696333330000002</v>
      </c>
      <c r="B778" s="19">
        <v>1358.186275</v>
      </c>
      <c r="C778" s="19">
        <v>-228.6869264</v>
      </c>
      <c r="E778" s="9">
        <f t="shared" si="205"/>
        <v>398.18627500000002</v>
      </c>
      <c r="F778" s="9">
        <f t="shared" si="210"/>
        <v>311.3130736</v>
      </c>
      <c r="I778">
        <v>1</v>
      </c>
      <c r="J778">
        <f t="shared" si="206"/>
        <v>0.32346983197157497</v>
      </c>
      <c r="K778">
        <f t="shared" si="211"/>
        <v>0.66356165560743285</v>
      </c>
      <c r="O778">
        <f t="shared" si="212"/>
        <v>0.2504099234375235</v>
      </c>
      <c r="P778">
        <f t="shared" si="213"/>
        <v>0.19577742333101794</v>
      </c>
      <c r="Q778">
        <f t="shared" si="214"/>
        <v>0.94813821289824673</v>
      </c>
      <c r="R778">
        <f t="shared" si="204"/>
        <v>1</v>
      </c>
      <c r="AG778" s="8">
        <f t="shared" si="207"/>
        <v>0.65840717738215071</v>
      </c>
      <c r="AH778" s="8">
        <f t="shared" si="208"/>
        <v>2.8112273519415032E-4</v>
      </c>
      <c r="AI778" s="8">
        <f t="shared" si="209"/>
        <v>0.75266188274794199</v>
      </c>
      <c r="AJ778" s="8"/>
      <c r="AK778" s="8"/>
      <c r="AL778" s="8"/>
      <c r="AN778" s="8">
        <f t="shared" si="215"/>
        <v>0.99999999999999978</v>
      </c>
      <c r="AO778" s="8">
        <f t="shared" si="216"/>
        <v>4.2697395740486695E-4</v>
      </c>
      <c r="AP778" s="8">
        <f t="shared" si="217"/>
        <v>0.71870062415696945</v>
      </c>
      <c r="AQ778" s="8"/>
      <c r="AR778" s="8">
        <f t="shared" si="218"/>
        <v>2.4463805721297461E-2</v>
      </c>
      <c r="AS778" s="8">
        <f t="shared" si="219"/>
        <v>48.821487502387633</v>
      </c>
    </row>
    <row r="779" spans="1:45">
      <c r="A779" s="19">
        <v>29.729700000000001</v>
      </c>
      <c r="B779" s="19">
        <v>1358.389919</v>
      </c>
      <c r="C779" s="19">
        <v>-228.7521289</v>
      </c>
      <c r="E779" s="9">
        <f t="shared" si="205"/>
        <v>398.38991899999996</v>
      </c>
      <c r="F779" s="9">
        <f t="shared" si="210"/>
        <v>311.2478711</v>
      </c>
      <c r="I779">
        <v>1</v>
      </c>
      <c r="J779">
        <f t="shared" si="206"/>
        <v>0.32354220759876873</v>
      </c>
      <c r="K779">
        <f t="shared" si="211"/>
        <v>0.66321195048098702</v>
      </c>
      <c r="O779">
        <f t="shared" si="212"/>
        <v>0.2505324473440782</v>
      </c>
      <c r="P779">
        <f t="shared" si="213"/>
        <v>0.1957320884851938</v>
      </c>
      <c r="Q779">
        <f t="shared" si="214"/>
        <v>0.94811520521770509</v>
      </c>
      <c r="R779">
        <f t="shared" si="204"/>
        <v>1</v>
      </c>
      <c r="AG779" s="8">
        <f t="shared" si="207"/>
        <v>0.65845749653083607</v>
      </c>
      <c r="AH779" s="8">
        <f t="shared" si="208"/>
        <v>3.9567547754471022E-4</v>
      </c>
      <c r="AI779" s="8">
        <f t="shared" si="209"/>
        <v>0.75261781051424803</v>
      </c>
      <c r="AJ779" s="8"/>
      <c r="AK779" s="8"/>
      <c r="AL779" s="8"/>
      <c r="AN779" s="8">
        <f t="shared" si="215"/>
        <v>1</v>
      </c>
      <c r="AO779" s="8">
        <f t="shared" si="216"/>
        <v>6.0091263597690557E-4</v>
      </c>
      <c r="AP779" s="8">
        <f t="shared" si="217"/>
        <v>0.71876755924690461</v>
      </c>
      <c r="AQ779" s="8"/>
      <c r="AR779" s="8">
        <f t="shared" si="218"/>
        <v>3.4429757897557881E-2</v>
      </c>
      <c r="AS779" s="8">
        <f t="shared" si="219"/>
        <v>48.817652404233016</v>
      </c>
    </row>
    <row r="780" spans="1:45">
      <c r="A780" s="19">
        <v>29.763066670000001</v>
      </c>
      <c r="B780" s="19">
        <v>1358.721556</v>
      </c>
      <c r="C780" s="19">
        <v>-228.8156267</v>
      </c>
      <c r="E780" s="9">
        <f t="shared" si="205"/>
        <v>398.72155599999996</v>
      </c>
      <c r="F780" s="9">
        <f t="shared" si="210"/>
        <v>311.1843733</v>
      </c>
      <c r="I780">
        <v>1</v>
      </c>
      <c r="J780">
        <f t="shared" si="206"/>
        <v>0.32367594214752926</v>
      </c>
      <c r="K780">
        <f t="shared" si="211"/>
        <v>0.6627093415008759</v>
      </c>
      <c r="O780">
        <f t="shared" si="212"/>
        <v>0.25073074683097135</v>
      </c>
      <c r="P780">
        <f t="shared" si="213"/>
        <v>0.19568415388014984</v>
      </c>
      <c r="Q780">
        <f t="shared" si="214"/>
        <v>0.94807267891960334</v>
      </c>
      <c r="R780">
        <f t="shared" si="204"/>
        <v>1</v>
      </c>
      <c r="AG780" s="8">
        <f t="shared" si="207"/>
        <v>0.65851984722394041</v>
      </c>
      <c r="AH780" s="8">
        <f t="shared" si="208"/>
        <v>5.8685983907980077E-4</v>
      </c>
      <c r="AI780" s="8">
        <f t="shared" si="209"/>
        <v>0.75256313117750306</v>
      </c>
      <c r="AJ780" s="8"/>
      <c r="AK780" s="8"/>
      <c r="AL780" s="8"/>
      <c r="AN780" s="8">
        <f t="shared" si="215"/>
        <v>1.0000000000000002</v>
      </c>
      <c r="AO780" s="8">
        <f t="shared" si="216"/>
        <v>8.9117994877765201E-4</v>
      </c>
      <c r="AP780" s="8">
        <f t="shared" si="217"/>
        <v>0.71885059684991282</v>
      </c>
      <c r="AQ780" s="8"/>
      <c r="AR780" s="8">
        <f t="shared" si="218"/>
        <v>5.1060849851644351E-2</v>
      </c>
      <c r="AS780" s="8">
        <f t="shared" si="219"/>
        <v>48.812894700039763</v>
      </c>
    </row>
    <row r="781" spans="1:45">
      <c r="A781" s="19">
        <v>29.796433329999999</v>
      </c>
      <c r="B781" s="19">
        <v>1359.5845529999999</v>
      </c>
      <c r="C781" s="19">
        <v>-229.8549898</v>
      </c>
      <c r="E781" s="9">
        <f t="shared" si="205"/>
        <v>399.58455299999991</v>
      </c>
      <c r="F781" s="9">
        <f t="shared" si="210"/>
        <v>310.1450102</v>
      </c>
      <c r="I781">
        <v>1</v>
      </c>
      <c r="J781">
        <f t="shared" si="206"/>
        <v>0.3237016003541705</v>
      </c>
      <c r="K781">
        <f t="shared" si="211"/>
        <v>0.66003978749535686</v>
      </c>
      <c r="O781">
        <f t="shared" si="212"/>
        <v>0.25127145876138229</v>
      </c>
      <c r="P781">
        <f t="shared" si="213"/>
        <v>0.19502903341841094</v>
      </c>
      <c r="Q781">
        <f t="shared" si="214"/>
        <v>0.94806451791837842</v>
      </c>
      <c r="R781">
        <f t="shared" si="204"/>
        <v>1</v>
      </c>
      <c r="AG781" s="8">
        <f t="shared" si="207"/>
        <v>0.65908247201565207</v>
      </c>
      <c r="AH781" s="8">
        <f t="shared" si="208"/>
        <v>9.8924584949972028E-4</v>
      </c>
      <c r="AI781" s="8">
        <f t="shared" si="209"/>
        <v>0.75207002099165365</v>
      </c>
      <c r="AJ781" s="8"/>
      <c r="AK781" s="8"/>
      <c r="AL781" s="8"/>
      <c r="AN781" s="8">
        <f t="shared" si="215"/>
        <v>1</v>
      </c>
      <c r="AO781" s="8">
        <f t="shared" si="216"/>
        <v>1.5009428237514274E-3</v>
      </c>
      <c r="AP781" s="8">
        <f t="shared" si="217"/>
        <v>0.71959909247703724</v>
      </c>
      <c r="AQ781" s="8"/>
      <c r="AR781" s="8">
        <f t="shared" si="218"/>
        <v>8.5997689091404969E-2</v>
      </c>
      <c r="AS781" s="8">
        <f t="shared" si="219"/>
        <v>48.770009059621536</v>
      </c>
    </row>
    <row r="782" spans="1:45">
      <c r="A782" s="19">
        <v>29.829799999999999</v>
      </c>
      <c r="B782" s="19">
        <v>1360.1564060000001</v>
      </c>
      <c r="C782" s="19">
        <v>-229.91301350000001</v>
      </c>
      <c r="E782" s="9">
        <f t="shared" si="205"/>
        <v>400.15640600000006</v>
      </c>
      <c r="F782" s="9">
        <f t="shared" si="210"/>
        <v>310.08698649999997</v>
      </c>
      <c r="I782">
        <v>1</v>
      </c>
      <c r="J782">
        <f t="shared" si="206"/>
        <v>0.32395201496438863</v>
      </c>
      <c r="K782">
        <f t="shared" si="211"/>
        <v>0.6592566264139692</v>
      </c>
      <c r="O782">
        <f t="shared" si="212"/>
        <v>0.25161177253417216</v>
      </c>
      <c r="P782">
        <f t="shared" si="213"/>
        <v>0.19497760161571648</v>
      </c>
      <c r="Q782">
        <f t="shared" si="214"/>
        <v>0.94798483679349799</v>
      </c>
      <c r="R782">
        <f t="shared" si="204"/>
        <v>1</v>
      </c>
      <c r="AG782" s="8">
        <f t="shared" si="207"/>
        <v>0.65916612877748659</v>
      </c>
      <c r="AH782" s="8">
        <f t="shared" si="208"/>
        <v>1.3244434007730344E-3</v>
      </c>
      <c r="AI782" s="8">
        <f t="shared" si="209"/>
        <v>0.7519961838481497</v>
      </c>
      <c r="AJ782" s="8"/>
      <c r="AK782" s="8"/>
      <c r="AL782" s="8"/>
      <c r="AN782" s="8">
        <f t="shared" si="215"/>
        <v>1</v>
      </c>
      <c r="AO782" s="8">
        <f t="shared" si="216"/>
        <v>2.0092683173804828E-3</v>
      </c>
      <c r="AP782" s="8">
        <f t="shared" si="217"/>
        <v>0.71971111539482624</v>
      </c>
      <c r="AQ782" s="8"/>
      <c r="AR782" s="8">
        <f t="shared" si="218"/>
        <v>0.11512259449525405</v>
      </c>
      <c r="AS782" s="8">
        <f t="shared" si="219"/>
        <v>48.763590619223486</v>
      </c>
    </row>
    <row r="783" spans="1:45">
      <c r="A783" s="19">
        <v>29.863166669999998</v>
      </c>
      <c r="B783" s="19">
        <v>1360.4909660000001</v>
      </c>
      <c r="C783" s="19">
        <v>-229.8322703</v>
      </c>
      <c r="E783" s="9">
        <f t="shared" si="205"/>
        <v>400.49096600000007</v>
      </c>
      <c r="F783" s="9">
        <f t="shared" si="210"/>
        <v>310.1677297</v>
      </c>
      <c r="I783">
        <v>1</v>
      </c>
      <c r="J783">
        <f t="shared" si="206"/>
        <v>0.32414081387058435</v>
      </c>
      <c r="K783">
        <f t="shared" si="211"/>
        <v>0.6589780686689336</v>
      </c>
      <c r="O783">
        <f t="shared" si="212"/>
        <v>0.25180757449884816</v>
      </c>
      <c r="P783">
        <f t="shared" si="213"/>
        <v>0.19501709235451606</v>
      </c>
      <c r="Q783">
        <f t="shared" si="214"/>
        <v>0.94792472228262792</v>
      </c>
      <c r="R783">
        <f t="shared" si="204"/>
        <v>1</v>
      </c>
      <c r="AG783" s="8">
        <f t="shared" si="207"/>
        <v>0.65916249132960758</v>
      </c>
      <c r="AH783" s="8">
        <f t="shared" si="208"/>
        <v>1.5329875324247011E-3</v>
      </c>
      <c r="AI783" s="8">
        <f t="shared" si="209"/>
        <v>0.75199897604542687</v>
      </c>
      <c r="AJ783" s="8"/>
      <c r="AK783" s="8"/>
      <c r="AL783" s="8"/>
      <c r="AN783" s="8">
        <f t="shared" si="215"/>
        <v>1</v>
      </c>
      <c r="AO783" s="8">
        <f t="shared" si="216"/>
        <v>2.3256553411013878E-3</v>
      </c>
      <c r="AP783" s="8">
        <f t="shared" si="217"/>
        <v>0.71970687943932787</v>
      </c>
      <c r="AQ783" s="8"/>
      <c r="AR783" s="8">
        <f t="shared" si="218"/>
        <v>0.13325023564716737</v>
      </c>
      <c r="AS783" s="8">
        <f t="shared" si="219"/>
        <v>48.763833321595747</v>
      </c>
    </row>
    <row r="784" spans="1:45">
      <c r="A784" s="19">
        <v>29.89653333</v>
      </c>
      <c r="B784" s="19">
        <v>1361.4281080000001</v>
      </c>
      <c r="C784" s="19">
        <v>-229.84543550000001</v>
      </c>
      <c r="E784" s="9">
        <f t="shared" si="205"/>
        <v>401.42810800000007</v>
      </c>
      <c r="F784" s="9">
        <f t="shared" si="210"/>
        <v>310.15456449999999</v>
      </c>
      <c r="I784">
        <v>1</v>
      </c>
      <c r="J784">
        <f t="shared" si="206"/>
        <v>0.32458167335669275</v>
      </c>
      <c r="K784">
        <f t="shared" si="211"/>
        <v>0.65782639487740957</v>
      </c>
      <c r="O784">
        <f t="shared" si="212"/>
        <v>0.2523626741962367</v>
      </c>
      <c r="P784">
        <f t="shared" si="213"/>
        <v>0.19498244829280659</v>
      </c>
      <c r="Q784">
        <f t="shared" si="214"/>
        <v>0.94778421886538455</v>
      </c>
      <c r="R784">
        <f t="shared" si="204"/>
        <v>1</v>
      </c>
      <c r="AG784" s="8">
        <f t="shared" si="207"/>
        <v>0.65926177759308668</v>
      </c>
      <c r="AH784" s="8">
        <f t="shared" si="208"/>
        <v>2.091026367262605E-3</v>
      </c>
      <c r="AI784" s="8">
        <f t="shared" si="209"/>
        <v>0.75191059057146881</v>
      </c>
      <c r="AJ784" s="8"/>
      <c r="AK784" s="8"/>
      <c r="AL784" s="8"/>
      <c r="AN784" s="8">
        <f t="shared" si="215"/>
        <v>1</v>
      </c>
      <c r="AO784" s="8">
        <f t="shared" si="216"/>
        <v>3.1717588162717427E-3</v>
      </c>
      <c r="AP784" s="8">
        <f t="shared" si="217"/>
        <v>0.71984095635841783</v>
      </c>
      <c r="AQ784" s="8"/>
      <c r="AR784" s="8">
        <f t="shared" si="218"/>
        <v>0.18172839380578076</v>
      </c>
      <c r="AS784" s="8">
        <f t="shared" si="219"/>
        <v>48.756151280001781</v>
      </c>
    </row>
    <row r="785" spans="1:45">
      <c r="A785" s="19">
        <v>29.9299</v>
      </c>
      <c r="B785" s="19">
        <v>1362.221642</v>
      </c>
      <c r="C785" s="19">
        <v>-230.46025779999999</v>
      </c>
      <c r="E785" s="9">
        <f t="shared" si="205"/>
        <v>402.22164199999997</v>
      </c>
      <c r="F785" s="9">
        <f t="shared" si="210"/>
        <v>309.53974219999998</v>
      </c>
      <c r="I785">
        <v>1</v>
      </c>
      <c r="J785">
        <f t="shared" si="206"/>
        <v>0.32473375148915457</v>
      </c>
      <c r="K785">
        <f t="shared" si="211"/>
        <v>0.65591188864962069</v>
      </c>
      <c r="O785">
        <f t="shared" si="212"/>
        <v>0.25284973129707961</v>
      </c>
      <c r="P785">
        <f t="shared" si="213"/>
        <v>0.1945868458292388</v>
      </c>
      <c r="Q785">
        <f t="shared" si="214"/>
        <v>0.94773570831388576</v>
      </c>
      <c r="R785">
        <f t="shared" si="204"/>
        <v>1</v>
      </c>
      <c r="AG785" s="8">
        <f t="shared" si="207"/>
        <v>0.6596220896111199</v>
      </c>
      <c r="AH785" s="8">
        <f t="shared" si="208"/>
        <v>2.4979277730994287E-3</v>
      </c>
      <c r="AI785" s="8">
        <f t="shared" si="209"/>
        <v>0.75159328047415397</v>
      </c>
      <c r="AJ785" s="8"/>
      <c r="AK785" s="8"/>
      <c r="AL785" s="8"/>
      <c r="AN785" s="8">
        <f t="shared" si="215"/>
        <v>1.0000000000000002</v>
      </c>
      <c r="AO785" s="8">
        <f t="shared" si="216"/>
        <v>3.786889299028985E-3</v>
      </c>
      <c r="AP785" s="8">
        <f t="shared" si="217"/>
        <v>0.72032213315245419</v>
      </c>
      <c r="AQ785" s="8"/>
      <c r="AR785" s="8">
        <f t="shared" si="218"/>
        <v>0.21697277431761561</v>
      </c>
      <c r="AS785" s="8">
        <f t="shared" si="219"/>
        <v>48.72858188050386</v>
      </c>
    </row>
    <row r="786" spans="1:45">
      <c r="A786" s="19">
        <v>29.963266669999999</v>
      </c>
      <c r="B786" s="19">
        <v>1362.6973230000001</v>
      </c>
      <c r="C786" s="19">
        <v>-230.80768399999999</v>
      </c>
      <c r="E786" s="9">
        <f t="shared" si="205"/>
        <v>402.6973230000001</v>
      </c>
      <c r="F786" s="9">
        <f t="shared" si="210"/>
        <v>309.19231600000001</v>
      </c>
      <c r="I786">
        <v>1</v>
      </c>
      <c r="J786">
        <f t="shared" si="206"/>
        <v>0.32483317638897979</v>
      </c>
      <c r="K786">
        <f t="shared" si="211"/>
        <v>0.6547981685207549</v>
      </c>
      <c r="O786">
        <f t="shared" si="212"/>
        <v>0.25314102779686282</v>
      </c>
      <c r="P786">
        <f t="shared" si="213"/>
        <v>0.19436250550672865</v>
      </c>
      <c r="Q786">
        <f t="shared" si="214"/>
        <v>0.94770398147264046</v>
      </c>
      <c r="R786">
        <f t="shared" si="204"/>
        <v>1</v>
      </c>
      <c r="AG786" s="8">
        <f t="shared" si="207"/>
        <v>0.65982826300789887</v>
      </c>
      <c r="AH786" s="8">
        <f t="shared" si="208"/>
        <v>2.7441203646877965E-3</v>
      </c>
      <c r="AI786" s="8">
        <f t="shared" si="209"/>
        <v>0.75141142734150856</v>
      </c>
      <c r="AJ786" s="8"/>
      <c r="AK786" s="8"/>
      <c r="AL786" s="8"/>
      <c r="AN786" s="8">
        <f t="shared" si="215"/>
        <v>1</v>
      </c>
      <c r="AO786" s="8">
        <f t="shared" si="216"/>
        <v>4.1588163132289342E-3</v>
      </c>
      <c r="AP786" s="8">
        <f t="shared" si="217"/>
        <v>0.72059778080046799</v>
      </c>
      <c r="AQ786" s="8"/>
      <c r="AR786" s="8">
        <f t="shared" si="218"/>
        <v>0.23828262251817492</v>
      </c>
      <c r="AS786" s="8">
        <f t="shared" si="219"/>
        <v>48.712788433639957</v>
      </c>
    </row>
    <row r="787" spans="1:45">
      <c r="A787" s="19">
        <v>29.996633330000002</v>
      </c>
      <c r="B787" s="19">
        <v>1363.0796310000001</v>
      </c>
      <c r="C787" s="19">
        <v>-230.8406507</v>
      </c>
      <c r="E787" s="9">
        <f t="shared" si="205"/>
        <v>403.07963100000006</v>
      </c>
      <c r="F787" s="9">
        <f t="shared" si="210"/>
        <v>309.15934930000003</v>
      </c>
      <c r="I787">
        <v>1</v>
      </c>
      <c r="J787">
        <f t="shared" si="206"/>
        <v>0.32500341390102522</v>
      </c>
      <c r="K787">
        <f t="shared" si="211"/>
        <v>0.65428836701432158</v>
      </c>
      <c r="O787">
        <f t="shared" si="212"/>
        <v>0.25336809363446156</v>
      </c>
      <c r="P787">
        <f t="shared" si="213"/>
        <v>0.19433161325239878</v>
      </c>
      <c r="Q787">
        <f t="shared" si="214"/>
        <v>0.94764963632070198</v>
      </c>
      <c r="R787">
        <f t="shared" si="204"/>
        <v>1</v>
      </c>
      <c r="AG787" s="8">
        <f t="shared" si="207"/>
        <v>0.65988116892780502</v>
      </c>
      <c r="AH787" s="8">
        <f t="shared" si="208"/>
        <v>2.9686841797635921E-3</v>
      </c>
      <c r="AI787" s="8">
        <f t="shared" si="209"/>
        <v>0.75136411267022485</v>
      </c>
      <c r="AJ787" s="8"/>
      <c r="AK787" s="8"/>
      <c r="AL787" s="8"/>
      <c r="AN787" s="8">
        <f t="shared" si="215"/>
        <v>0.99999999999999978</v>
      </c>
      <c r="AO787" s="8">
        <f t="shared" si="216"/>
        <v>4.4987859810465408E-3</v>
      </c>
      <c r="AP787" s="8">
        <f t="shared" si="217"/>
        <v>0.72066948480762372</v>
      </c>
      <c r="AQ787" s="8"/>
      <c r="AR787" s="8">
        <f t="shared" si="218"/>
        <v>0.25776144964658837</v>
      </c>
      <c r="AS787" s="8">
        <f t="shared" si="219"/>
        <v>48.708680096655762</v>
      </c>
    </row>
    <row r="788" spans="1:45">
      <c r="A788" s="19">
        <v>30.03</v>
      </c>
      <c r="B788" s="19">
        <v>1363.621404</v>
      </c>
      <c r="C788" s="19">
        <v>-231.58127150000001</v>
      </c>
      <c r="E788" s="9">
        <f t="shared" si="205"/>
        <v>403.62140399999998</v>
      </c>
      <c r="F788" s="9">
        <f t="shared" si="210"/>
        <v>308.41872849999999</v>
      </c>
      <c r="I788">
        <v>1</v>
      </c>
      <c r="J788">
        <f t="shared" si="206"/>
        <v>0.32499137943602946</v>
      </c>
      <c r="K788">
        <f t="shared" si="211"/>
        <v>0.6524823716350634</v>
      </c>
      <c r="O788">
        <f t="shared" si="212"/>
        <v>0.2537095804837512</v>
      </c>
      <c r="P788">
        <f t="shared" si="213"/>
        <v>0.19386679062507542</v>
      </c>
      <c r="Q788">
        <f t="shared" si="214"/>
        <v>0.94765347900141861</v>
      </c>
      <c r="R788">
        <f t="shared" si="204"/>
        <v>1</v>
      </c>
      <c r="AG788" s="8">
        <f t="shared" si="207"/>
        <v>0.66027363742921841</v>
      </c>
      <c r="AH788" s="8">
        <f t="shared" si="208"/>
        <v>3.2116539126675892E-3</v>
      </c>
      <c r="AI788" s="8">
        <f t="shared" si="209"/>
        <v>0.75101824811061291</v>
      </c>
      <c r="AJ788" s="8"/>
      <c r="AK788" s="8"/>
      <c r="AL788" s="8"/>
      <c r="AN788" s="8">
        <f t="shared" si="215"/>
        <v>1</v>
      </c>
      <c r="AO788" s="8">
        <f t="shared" si="216"/>
        <v>4.864087254171914E-3</v>
      </c>
      <c r="AP788" s="8">
        <f t="shared" si="217"/>
        <v>0.72119345480602948</v>
      </c>
      <c r="AQ788" s="8"/>
      <c r="AR788" s="8">
        <f t="shared" si="218"/>
        <v>0.27869167084742802</v>
      </c>
      <c r="AS788" s="8">
        <f t="shared" si="219"/>
        <v>48.678658827155637</v>
      </c>
    </row>
    <row r="789" spans="1:45">
      <c r="A789" s="19">
        <v>30.063366670000001</v>
      </c>
      <c r="B789" s="19">
        <v>1364.3177169999999</v>
      </c>
      <c r="C789" s="19">
        <v>-231.7200125</v>
      </c>
      <c r="E789" s="9">
        <f t="shared" si="205"/>
        <v>404.3177169999999</v>
      </c>
      <c r="F789" s="9">
        <f t="shared" si="210"/>
        <v>308.2799875</v>
      </c>
      <c r="I789">
        <v>1</v>
      </c>
      <c r="J789">
        <f t="shared" si="206"/>
        <v>0.3252734321190151</v>
      </c>
      <c r="K789">
        <f t="shared" si="211"/>
        <v>0.65143403434289437</v>
      </c>
      <c r="O789">
        <f t="shared" si="212"/>
        <v>0.25412522033900653</v>
      </c>
      <c r="P789">
        <f t="shared" si="213"/>
        <v>0.19376276738707371</v>
      </c>
      <c r="Q789">
        <f t="shared" si="214"/>
        <v>0.94756338171235499</v>
      </c>
      <c r="R789">
        <f t="shared" si="204"/>
        <v>1</v>
      </c>
      <c r="AG789" s="8">
        <f t="shared" si="207"/>
        <v>0.66040574706380784</v>
      </c>
      <c r="AH789" s="8">
        <f t="shared" si="208"/>
        <v>3.6120549410474379E-3</v>
      </c>
      <c r="AI789" s="8">
        <f t="shared" si="209"/>
        <v>0.75090026122261855</v>
      </c>
      <c r="AJ789" s="8"/>
      <c r="AK789" s="8"/>
      <c r="AL789" s="8"/>
      <c r="AN789" s="8">
        <f t="shared" si="215"/>
        <v>1</v>
      </c>
      <c r="AO789" s="8">
        <f t="shared" si="216"/>
        <v>5.4693935352790671E-3</v>
      </c>
      <c r="AP789" s="8">
        <f t="shared" si="217"/>
        <v>0.72137212846264109</v>
      </c>
      <c r="AQ789" s="8"/>
      <c r="AR789" s="8">
        <f t="shared" si="218"/>
        <v>0.31337316606762727</v>
      </c>
      <c r="AS789" s="8">
        <f t="shared" si="219"/>
        <v>48.668421580721621</v>
      </c>
    </row>
    <row r="790" spans="1:45">
      <c r="A790" s="19">
        <v>30.096733329999999</v>
      </c>
      <c r="B790" s="19">
        <v>1365.0277530000001</v>
      </c>
      <c r="C790" s="19">
        <v>-231.77586629999999</v>
      </c>
      <c r="E790" s="9">
        <f t="shared" si="205"/>
        <v>405.02775300000008</v>
      </c>
      <c r="F790" s="9">
        <f t="shared" si="210"/>
        <v>308.22413370000004</v>
      </c>
      <c r="I790">
        <v>1</v>
      </c>
      <c r="J790">
        <f t="shared" si="206"/>
        <v>0.32559248584746259</v>
      </c>
      <c r="K790">
        <f t="shared" si="211"/>
        <v>0.65050091269544819</v>
      </c>
      <c r="O790">
        <f t="shared" si="212"/>
        <v>0.25454648422780074</v>
      </c>
      <c r="P790">
        <f t="shared" si="213"/>
        <v>0.19370862615306905</v>
      </c>
      <c r="Q790">
        <f t="shared" si="214"/>
        <v>0.94746137415788967</v>
      </c>
      <c r="R790">
        <f t="shared" si="204"/>
        <v>1</v>
      </c>
      <c r="AG790" s="8">
        <f t="shared" si="207"/>
        <v>0.66050113722114268</v>
      </c>
      <c r="AH790" s="8">
        <f t="shared" si="208"/>
        <v>4.0295471116500448E-3</v>
      </c>
      <c r="AI790" s="8">
        <f t="shared" si="209"/>
        <v>0.75081423167095895</v>
      </c>
      <c r="AJ790" s="8"/>
      <c r="AK790" s="8"/>
      <c r="AL790" s="8"/>
      <c r="AN790" s="8">
        <f t="shared" si="215"/>
        <v>1.0000000000000002</v>
      </c>
      <c r="AO790" s="8">
        <f t="shared" si="216"/>
        <v>6.1006664390336465E-3</v>
      </c>
      <c r="AP790" s="8">
        <f t="shared" si="217"/>
        <v>0.72150238459002092</v>
      </c>
      <c r="AQ790" s="8"/>
      <c r="AR790" s="8">
        <f t="shared" si="218"/>
        <v>0.3495424391737329</v>
      </c>
      <c r="AS790" s="8">
        <f t="shared" si="219"/>
        <v>48.660958454367034</v>
      </c>
    </row>
    <row r="791" spans="1:45">
      <c r="A791" s="19">
        <v>30.130099999999999</v>
      </c>
      <c r="B791" s="19">
        <v>1365.4757729999999</v>
      </c>
      <c r="C791" s="19">
        <v>-232.2357964</v>
      </c>
      <c r="E791" s="9">
        <f t="shared" si="205"/>
        <v>405.47577299999989</v>
      </c>
      <c r="F791" s="9">
        <f t="shared" si="210"/>
        <v>307.76420359999997</v>
      </c>
      <c r="I791">
        <v>1</v>
      </c>
      <c r="J791">
        <f t="shared" si="206"/>
        <v>0.32563958704589735</v>
      </c>
      <c r="K791">
        <f t="shared" si="211"/>
        <v>0.64924893175101839</v>
      </c>
      <c r="O791">
        <f t="shared" si="212"/>
        <v>0.25482435065600517</v>
      </c>
      <c r="P791">
        <f t="shared" si="213"/>
        <v>0.19341676755995135</v>
      </c>
      <c r="Q791">
        <f t="shared" si="214"/>
        <v>0.94744630683717646</v>
      </c>
      <c r="R791">
        <f t="shared" si="204"/>
        <v>1</v>
      </c>
      <c r="AG791" s="8">
        <f t="shared" si="207"/>
        <v>0.66075550573172082</v>
      </c>
      <c r="AH791" s="8">
        <f t="shared" si="208"/>
        <v>4.2469613905592452E-3</v>
      </c>
      <c r="AI791" s="8">
        <f t="shared" si="209"/>
        <v>0.75058918521663043</v>
      </c>
      <c r="AJ791" s="8"/>
      <c r="AK791" s="8"/>
      <c r="AL791" s="8"/>
      <c r="AN791" s="8">
        <f t="shared" si="215"/>
        <v>1.0000000000000002</v>
      </c>
      <c r="AO791" s="8">
        <f t="shared" si="216"/>
        <v>6.4273439598123948E-3</v>
      </c>
      <c r="AP791" s="8">
        <f t="shared" si="217"/>
        <v>0.72184303307063369</v>
      </c>
      <c r="AQ791" s="8"/>
      <c r="AR791" s="8">
        <f t="shared" si="218"/>
        <v>0.36825968237615242</v>
      </c>
      <c r="AS791" s="8">
        <f t="shared" si="219"/>
        <v>48.641440734130377</v>
      </c>
    </row>
    <row r="792" spans="1:45">
      <c r="A792" s="19">
        <v>30.163466669999998</v>
      </c>
      <c r="B792" s="19">
        <v>1366.2597679999999</v>
      </c>
      <c r="C792" s="19">
        <v>-232.76563680000001</v>
      </c>
      <c r="E792" s="9">
        <f t="shared" si="205"/>
        <v>406.25976799999989</v>
      </c>
      <c r="F792" s="9">
        <f t="shared" si="210"/>
        <v>307.23436319999996</v>
      </c>
      <c r="I792">
        <v>1</v>
      </c>
      <c r="J792">
        <f t="shared" si="206"/>
        <v>0.32582277754763539</v>
      </c>
      <c r="K792">
        <f t="shared" si="211"/>
        <v>0.64748977128255947</v>
      </c>
      <c r="O792">
        <f t="shared" si="212"/>
        <v>0.25530263709136153</v>
      </c>
      <c r="P792">
        <f t="shared" si="213"/>
        <v>0.19307287924716482</v>
      </c>
      <c r="Q792">
        <f t="shared" si="214"/>
        <v>0.94738768558252129</v>
      </c>
      <c r="R792">
        <f t="shared" si="204"/>
        <v>1</v>
      </c>
      <c r="AG792" s="8">
        <f t="shared" si="207"/>
        <v>0.66107461582414784</v>
      </c>
      <c r="AH792" s="8">
        <f t="shared" si="208"/>
        <v>4.6571636048473586E-3</v>
      </c>
      <c r="AI792" s="8">
        <f t="shared" si="209"/>
        <v>0.75030571311973415</v>
      </c>
      <c r="AJ792" s="8"/>
      <c r="AK792" s="8"/>
      <c r="AL792" s="8"/>
      <c r="AN792" s="8">
        <f t="shared" si="215"/>
        <v>0.99999999999999978</v>
      </c>
      <c r="AO792" s="8">
        <f t="shared" si="216"/>
        <v>7.0447215050369475E-3</v>
      </c>
      <c r="AP792" s="8">
        <f t="shared" si="217"/>
        <v>0.72227193182721694</v>
      </c>
      <c r="AQ792" s="8"/>
      <c r="AR792" s="8">
        <f t="shared" si="218"/>
        <v>0.40363281008366642</v>
      </c>
      <c r="AS792" s="8">
        <f t="shared" si="219"/>
        <v>48.616866645539751</v>
      </c>
    </row>
    <row r="793" spans="1:45">
      <c r="A793" s="19">
        <v>30.19683333</v>
      </c>
      <c r="B793" s="19">
        <v>1366.9521299999999</v>
      </c>
      <c r="C793" s="19">
        <v>-232.7541062</v>
      </c>
      <c r="E793" s="9">
        <f t="shared" si="205"/>
        <v>406.9521299999999</v>
      </c>
      <c r="F793" s="9">
        <f t="shared" si="210"/>
        <v>307.24589379999998</v>
      </c>
      <c r="I793">
        <v>1</v>
      </c>
      <c r="J793">
        <f t="shared" si="206"/>
        <v>0.32615875060791888</v>
      </c>
      <c r="K793">
        <f t="shared" si="211"/>
        <v>0.64668879673076218</v>
      </c>
      <c r="O793">
        <f t="shared" si="212"/>
        <v>0.25571121454011947</v>
      </c>
      <c r="P793">
        <f t="shared" si="213"/>
        <v>0.1930601043077538</v>
      </c>
      <c r="Q793">
        <f t="shared" si="214"/>
        <v>0.947280091041238</v>
      </c>
      <c r="R793">
        <f t="shared" si="204"/>
        <v>1</v>
      </c>
      <c r="AG793" s="8">
        <f t="shared" si="207"/>
        <v>0.66113702529977902</v>
      </c>
      <c r="AH793" s="8">
        <f t="shared" si="208"/>
        <v>5.0712333917317665E-3</v>
      </c>
      <c r="AI793" s="8">
        <f t="shared" si="209"/>
        <v>0.75024803656500549</v>
      </c>
      <c r="AJ793" s="8"/>
      <c r="AK793" s="8"/>
      <c r="AL793" s="8"/>
      <c r="AN793" s="8">
        <f t="shared" si="215"/>
        <v>0.99999999999999989</v>
      </c>
      <c r="AO793" s="8">
        <f t="shared" si="216"/>
        <v>7.670322102535908E-3</v>
      </c>
      <c r="AP793" s="8">
        <f t="shared" si="217"/>
        <v>0.7223591720071868</v>
      </c>
      <c r="AQ793" s="8"/>
      <c r="AR793" s="8">
        <f t="shared" si="218"/>
        <v>0.43947708398121943</v>
      </c>
      <c r="AS793" s="8">
        <f t="shared" si="219"/>
        <v>48.611868151423515</v>
      </c>
    </row>
    <row r="794" spans="1:45">
      <c r="A794" s="19">
        <v>30.2302</v>
      </c>
      <c r="B794" s="19">
        <v>1367.3025479999999</v>
      </c>
      <c r="C794" s="19">
        <v>-233.03718499999999</v>
      </c>
      <c r="E794" s="9">
        <f t="shared" si="205"/>
        <v>407.30254799999989</v>
      </c>
      <c r="F794" s="9">
        <f t="shared" si="210"/>
        <v>306.96281499999998</v>
      </c>
      <c r="I794">
        <v>1</v>
      </c>
      <c r="J794">
        <f t="shared" si="206"/>
        <v>0.32622438241227553</v>
      </c>
      <c r="K794">
        <f t="shared" si="211"/>
        <v>0.6458318442210057</v>
      </c>
      <c r="O794">
        <f t="shared" si="212"/>
        <v>0.25592621369944252</v>
      </c>
      <c r="P794">
        <f t="shared" si="213"/>
        <v>0.1928783195077691</v>
      </c>
      <c r="Q794">
        <f t="shared" si="214"/>
        <v>0.94725906013367123</v>
      </c>
      <c r="R794">
        <f t="shared" si="204"/>
        <v>1</v>
      </c>
      <c r="AG794" s="8">
        <f t="shared" si="207"/>
        <v>0.66130063732162703</v>
      </c>
      <c r="AH794" s="8">
        <f t="shared" si="208"/>
        <v>5.2495358160472572E-3</v>
      </c>
      <c r="AI794" s="8">
        <f t="shared" si="209"/>
        <v>0.75010259928340872</v>
      </c>
      <c r="AJ794" s="8"/>
      <c r="AK794" s="8"/>
      <c r="AL794" s="8"/>
      <c r="AN794" s="8">
        <f t="shared" si="215"/>
        <v>1</v>
      </c>
      <c r="AO794" s="8">
        <f t="shared" si="216"/>
        <v>7.9380318987466916E-3</v>
      </c>
      <c r="AP794" s="8">
        <f t="shared" si="217"/>
        <v>0.72257911863284652</v>
      </c>
      <c r="AQ794" s="8"/>
      <c r="AR794" s="8">
        <f t="shared" si="218"/>
        <v>0.45481572543840465</v>
      </c>
      <c r="AS794" s="8">
        <f t="shared" si="219"/>
        <v>48.599266138055071</v>
      </c>
    </row>
    <row r="795" spans="1:45">
      <c r="A795" s="19">
        <v>30.263566669999999</v>
      </c>
      <c r="B795" s="19">
        <v>1367.6381180000001</v>
      </c>
      <c r="C795" s="19">
        <v>-233.18563280000001</v>
      </c>
      <c r="E795" s="9">
        <f t="shared" si="205"/>
        <v>407.63811800000008</v>
      </c>
      <c r="F795" s="9">
        <f t="shared" si="210"/>
        <v>306.81436719999999</v>
      </c>
      <c r="I795">
        <v>1</v>
      </c>
      <c r="J795">
        <f t="shared" si="206"/>
        <v>0.32633172393400234</v>
      </c>
      <c r="K795">
        <f t="shared" si="211"/>
        <v>0.6452036247241959</v>
      </c>
      <c r="O795">
        <f t="shared" si="212"/>
        <v>0.25612857183316545</v>
      </c>
      <c r="P795">
        <f t="shared" si="213"/>
        <v>0.1927786490487928</v>
      </c>
      <c r="Q795">
        <f t="shared" si="214"/>
        <v>0.94722465506427</v>
      </c>
      <c r="R795">
        <f t="shared" ref="R795:R858" si="220">SQRT(O795^2+P795^2+Q795^2)</f>
        <v>1</v>
      </c>
      <c r="AG795" s="8">
        <f t="shared" si="207"/>
        <v>0.66140120778944089</v>
      </c>
      <c r="AH795" s="8">
        <f t="shared" si="208"/>
        <v>5.433532287714371E-3</v>
      </c>
      <c r="AI795" s="8">
        <f t="shared" si="209"/>
        <v>0.7500126126016462</v>
      </c>
      <c r="AJ795" s="8"/>
      <c r="AK795" s="8"/>
      <c r="AL795" s="8"/>
      <c r="AN795" s="8">
        <f t="shared" si="215"/>
        <v>0.99999999999999978</v>
      </c>
      <c r="AO795" s="8">
        <f t="shared" si="216"/>
        <v>8.2149986932070623E-3</v>
      </c>
      <c r="AP795" s="8">
        <f t="shared" si="217"/>
        <v>0.72271517914592642</v>
      </c>
      <c r="AQ795" s="8"/>
      <c r="AR795" s="8">
        <f t="shared" si="218"/>
        <v>0.47068475382625125</v>
      </c>
      <c r="AS795" s="8">
        <f t="shared" si="219"/>
        <v>48.591470444897205</v>
      </c>
    </row>
    <row r="796" spans="1:45">
      <c r="A796" s="19">
        <v>30.296933330000002</v>
      </c>
      <c r="B796" s="19">
        <v>1368.4079119999999</v>
      </c>
      <c r="C796" s="19">
        <v>-233.5808605</v>
      </c>
      <c r="E796" s="9">
        <f t="shared" si="205"/>
        <v>408.4079119999999</v>
      </c>
      <c r="F796" s="9">
        <f t="shared" si="210"/>
        <v>306.41913950000003</v>
      </c>
      <c r="I796">
        <v>1</v>
      </c>
      <c r="J796">
        <f t="shared" si="206"/>
        <v>0.32655868406933125</v>
      </c>
      <c r="K796">
        <f t="shared" si="211"/>
        <v>0.64367848508479419</v>
      </c>
      <c r="O796">
        <f t="shared" si="212"/>
        <v>0.25659424449510138</v>
      </c>
      <c r="P796">
        <f t="shared" si="213"/>
        <v>0.19251680804568158</v>
      </c>
      <c r="Q796">
        <f t="shared" si="214"/>
        <v>0.94715187394202538</v>
      </c>
      <c r="R796">
        <f t="shared" si="220"/>
        <v>1</v>
      </c>
      <c r="AG796" s="8">
        <f t="shared" si="207"/>
        <v>0.66165675046014349</v>
      </c>
      <c r="AH796" s="8">
        <f t="shared" si="208"/>
        <v>5.8496659628726189E-3</v>
      </c>
      <c r="AI796" s="8">
        <f t="shared" si="209"/>
        <v>0.74978405289699679</v>
      </c>
      <c r="AJ796" s="8"/>
      <c r="AK796" s="8"/>
      <c r="AL796" s="8"/>
      <c r="AN796" s="8">
        <f t="shared" si="215"/>
        <v>1.0000000000000004</v>
      </c>
      <c r="AO796" s="8">
        <f t="shared" si="216"/>
        <v>8.8407071467381509E-3</v>
      </c>
      <c r="AP796" s="8">
        <f t="shared" si="217"/>
        <v>0.72306066874262609</v>
      </c>
      <c r="AQ796" s="8"/>
      <c r="AR796" s="8">
        <f t="shared" si="218"/>
        <v>0.50653520741924019</v>
      </c>
      <c r="AS796" s="8">
        <f t="shared" si="219"/>
        <v>48.571675349140641</v>
      </c>
    </row>
    <row r="797" spans="1:45">
      <c r="A797" s="19">
        <v>30.330300000000001</v>
      </c>
      <c r="B797" s="19">
        <v>1369.204009</v>
      </c>
      <c r="C797" s="19">
        <v>-233.7708543</v>
      </c>
      <c r="E797" s="9">
        <f t="shared" si="205"/>
        <v>409.20400900000004</v>
      </c>
      <c r="F797" s="9">
        <f t="shared" si="210"/>
        <v>306.2291457</v>
      </c>
      <c r="I797">
        <v>1</v>
      </c>
      <c r="J797">
        <f t="shared" si="206"/>
        <v>0.32687277245095681</v>
      </c>
      <c r="K797">
        <f t="shared" si="211"/>
        <v>0.64244634865353289</v>
      </c>
      <c r="O797">
        <f t="shared" si="212"/>
        <v>0.25706942361498308</v>
      </c>
      <c r="P797">
        <f t="shared" si="213"/>
        <v>0.19237873590629381</v>
      </c>
      <c r="Q797">
        <f t="shared" si="214"/>
        <v>0.94705107223072016</v>
      </c>
      <c r="R797">
        <f t="shared" si="220"/>
        <v>1</v>
      </c>
      <c r="AG797" s="8">
        <f t="shared" si="207"/>
        <v>0.66182085087331699</v>
      </c>
      <c r="AH797" s="8">
        <f t="shared" si="208"/>
        <v>6.303573220015124E-3</v>
      </c>
      <c r="AI797" s="8">
        <f t="shared" si="209"/>
        <v>0.74963552898323771</v>
      </c>
      <c r="AJ797" s="8"/>
      <c r="AK797" s="8"/>
      <c r="AL797" s="8"/>
      <c r="AN797" s="8">
        <f t="shared" si="215"/>
        <v>1</v>
      </c>
      <c r="AO797" s="8">
        <f t="shared" si="216"/>
        <v>9.5243034524395837E-3</v>
      </c>
      <c r="AP797" s="8">
        <f t="shared" si="217"/>
        <v>0.72328510418852321</v>
      </c>
      <c r="AQ797" s="8"/>
      <c r="AR797" s="8">
        <f t="shared" si="218"/>
        <v>0.54570239062666714</v>
      </c>
      <c r="AS797" s="8">
        <f t="shared" si="219"/>
        <v>48.5588161453176</v>
      </c>
    </row>
    <row r="798" spans="1:45">
      <c r="A798" s="19">
        <v>30.363666670000001</v>
      </c>
      <c r="B798" s="19">
        <v>1369.6262240000001</v>
      </c>
      <c r="C798" s="19">
        <v>-233.90989519999999</v>
      </c>
      <c r="E798" s="9">
        <f t="shared" si="205"/>
        <v>409.62622400000009</v>
      </c>
      <c r="F798" s="9">
        <f t="shared" si="210"/>
        <v>306.09010480000001</v>
      </c>
      <c r="I798">
        <v>1</v>
      </c>
      <c r="J798">
        <f t="shared" si="206"/>
        <v>0.32702576066337236</v>
      </c>
      <c r="K798">
        <f t="shared" si="211"/>
        <v>0.64173394205985279</v>
      </c>
      <c r="O798">
        <f t="shared" si="212"/>
        <v>0.25732247080233345</v>
      </c>
      <c r="P798">
        <f t="shared" si="213"/>
        <v>0.19228227452371596</v>
      </c>
      <c r="Q798">
        <f t="shared" si="214"/>
        <v>0.94700193923991971</v>
      </c>
      <c r="R798">
        <f t="shared" si="220"/>
        <v>1</v>
      </c>
      <c r="AG798" s="8">
        <f t="shared" si="207"/>
        <v>0.66192528661556682</v>
      </c>
      <c r="AH798" s="8">
        <f t="shared" si="208"/>
        <v>6.5401391264826025E-3</v>
      </c>
      <c r="AI798" s="8">
        <f t="shared" si="209"/>
        <v>0.74954128740123849</v>
      </c>
      <c r="AJ798" s="8"/>
      <c r="AK798" s="8"/>
      <c r="AL798" s="8"/>
      <c r="AN798" s="8">
        <f t="shared" si="215"/>
        <v>1</v>
      </c>
      <c r="AO798" s="8">
        <f t="shared" si="216"/>
        <v>9.880157846541485E-3</v>
      </c>
      <c r="AP798" s="8">
        <f t="shared" si="217"/>
        <v>0.72342748367061072</v>
      </c>
      <c r="AQ798" s="8"/>
      <c r="AR798" s="8">
        <f t="shared" si="218"/>
        <v>0.56609134552989115</v>
      </c>
      <c r="AS798" s="8">
        <f t="shared" si="219"/>
        <v>48.550658401904727</v>
      </c>
    </row>
    <row r="799" spans="1:45">
      <c r="A799" s="19">
        <v>30.397033329999999</v>
      </c>
      <c r="B799" s="19">
        <v>1370.2654130000001</v>
      </c>
      <c r="C799" s="19">
        <v>-234.27265310000001</v>
      </c>
      <c r="E799" s="9">
        <f t="shared" si="205"/>
        <v>410.26541300000008</v>
      </c>
      <c r="F799" s="9">
        <f t="shared" si="210"/>
        <v>305.72734689999999</v>
      </c>
      <c r="I799">
        <v>1</v>
      </c>
      <c r="J799">
        <f t="shared" si="206"/>
        <v>0.32720302189698258</v>
      </c>
      <c r="K799">
        <f t="shared" si="211"/>
        <v>0.64041820217413736</v>
      </c>
      <c r="O799">
        <f t="shared" si="212"/>
        <v>0.25770984066259439</v>
      </c>
      <c r="P799">
        <f t="shared" si="213"/>
        <v>0.19204384127744323</v>
      </c>
      <c r="Q799">
        <f t="shared" si="214"/>
        <v>0.9469449831183776</v>
      </c>
      <c r="R799">
        <f t="shared" si="220"/>
        <v>1</v>
      </c>
      <c r="AG799" s="8">
        <f t="shared" si="207"/>
        <v>0.662152820876444</v>
      </c>
      <c r="AH799" s="8">
        <f t="shared" si="208"/>
        <v>6.8818086774928289E-3</v>
      </c>
      <c r="AI799" s="8">
        <f t="shared" si="209"/>
        <v>0.74933722883271603</v>
      </c>
      <c r="AJ799" s="8"/>
      <c r="AK799" s="8"/>
      <c r="AL799" s="8"/>
      <c r="AN799" s="8">
        <f t="shared" si="215"/>
        <v>1</v>
      </c>
      <c r="AO799" s="8">
        <f t="shared" si="216"/>
        <v>1.0392707988868908E-2</v>
      </c>
      <c r="AP799" s="8">
        <f t="shared" si="217"/>
        <v>0.72373569521163472</v>
      </c>
      <c r="AQ799" s="8"/>
      <c r="AR799" s="8">
        <f t="shared" si="218"/>
        <v>0.59545830547408218</v>
      </c>
      <c r="AS799" s="8">
        <f t="shared" si="219"/>
        <v>48.532999181406829</v>
      </c>
    </row>
    <row r="800" spans="1:45">
      <c r="A800" s="19">
        <v>30.430399999999999</v>
      </c>
      <c r="B800" s="19">
        <v>1370.9412870000001</v>
      </c>
      <c r="C800" s="19">
        <v>-234.71210339999999</v>
      </c>
      <c r="E800" s="9">
        <f t="shared" ref="E800:E863" si="221">(B800-($B$15/2))</f>
        <v>410.9412870000001</v>
      </c>
      <c r="F800" s="9">
        <f t="shared" si="210"/>
        <v>305.28789660000001</v>
      </c>
      <c r="I800">
        <v>1</v>
      </c>
      <c r="J800">
        <f t="shared" ref="J800:J863" si="222">ATAN((SQRT(E800^2+F800^2)^$B$16)/($F$24))</f>
        <v>0.32737101546892339</v>
      </c>
      <c r="K800">
        <f t="shared" si="211"/>
        <v>0.63894099698305684</v>
      </c>
      <c r="O800">
        <f t="shared" si="212"/>
        <v>0.25812094236553124</v>
      </c>
      <c r="P800">
        <f t="shared" si="213"/>
        <v>0.19175780593489708</v>
      </c>
      <c r="Q800">
        <f t="shared" si="214"/>
        <v>0.94689097734394134</v>
      </c>
      <c r="R800">
        <f t="shared" si="220"/>
        <v>1</v>
      </c>
      <c r="AG800" s="8">
        <f t="shared" ref="AG800:AG863" si="223">$O800*$Z$27+$P800*$Z$31+$Q800*$Z$35</f>
        <v>0.66241874607803075</v>
      </c>
      <c r="AH800" s="8">
        <f t="shared" ref="AH800:AH863" si="224">$O800*$AA$27+$P800*$AA$31+$Q800*$AA$35</f>
        <v>7.2370251001028785E-3</v>
      </c>
      <c r="AI800" s="8">
        <f t="shared" ref="AI800:AI863" si="225">$AB$27*$O800+$P800*$AB$31+$AB$35*$Q800</f>
        <v>0.74909881211500395</v>
      </c>
      <c r="AJ800" s="8"/>
      <c r="AK800" s="8"/>
      <c r="AL800" s="8"/>
      <c r="AN800" s="8">
        <f t="shared" si="215"/>
        <v>1</v>
      </c>
      <c r="AO800" s="8">
        <f t="shared" si="216"/>
        <v>1.0924716773243092E-2</v>
      </c>
      <c r="AP800" s="8">
        <f t="shared" si="217"/>
        <v>0.72409566543838644</v>
      </c>
      <c r="AQ800" s="8"/>
      <c r="AR800" s="8">
        <f t="shared" si="218"/>
        <v>0.62594016348260839</v>
      </c>
      <c r="AS800" s="8">
        <f t="shared" si="219"/>
        <v>48.512374406663589</v>
      </c>
    </row>
    <row r="801" spans="1:45">
      <c r="A801" s="19">
        <v>30.463766669999998</v>
      </c>
      <c r="B801" s="19">
        <v>1371.4455849999999</v>
      </c>
      <c r="C801" s="19">
        <v>-234.85685380000001</v>
      </c>
      <c r="E801" s="9">
        <f t="shared" si="221"/>
        <v>411.44558499999994</v>
      </c>
      <c r="F801" s="9">
        <f t="shared" ref="F801:F864" si="226">(($C$15/2)+C801)</f>
        <v>305.14314619999999</v>
      </c>
      <c r="I801">
        <v>1</v>
      </c>
      <c r="J801">
        <f t="shared" si="222"/>
        <v>0.32756223772143017</v>
      </c>
      <c r="K801">
        <f t="shared" ref="K801:K864" si="227">ATAN2(E801,F801)</f>
        <v>0.63812707537262336</v>
      </c>
      <c r="O801">
        <f t="shared" ref="O801:O864" si="228">COS(K801)*SIN(J801)</f>
        <v>0.25842236298989113</v>
      </c>
      <c r="P801">
        <f t="shared" ref="P801:P864" si="229">SIN(K801)*SIN(J801)</f>
        <v>0.19165550868937828</v>
      </c>
      <c r="Q801">
        <f t="shared" ref="Q801:Q864" si="230">COS(J801)</f>
        <v>0.94682947160285236</v>
      </c>
      <c r="R801">
        <f t="shared" si="220"/>
        <v>1</v>
      </c>
      <c r="AG801" s="8">
        <f t="shared" si="223"/>
        <v>0.66253342500147416</v>
      </c>
      <c r="AH801" s="8">
        <f t="shared" si="224"/>
        <v>7.5217826426202672E-3</v>
      </c>
      <c r="AI801" s="8">
        <f t="shared" si="225"/>
        <v>0.74899458178393608</v>
      </c>
      <c r="AJ801" s="8"/>
      <c r="AK801" s="8"/>
      <c r="AL801" s="8"/>
      <c r="AN801" s="8">
        <f t="shared" ref="AN801:AN864" si="231">AG801^2+AH801^2+AI801^2</f>
        <v>1</v>
      </c>
      <c r="AO801" s="8">
        <f t="shared" ref="AO801:AO864" si="232">IF(ATAN2(AG801,AH801)&gt;=0,ATAN2(AG801,AH801),ATAN2(AG801,AH801)+2*PI())</f>
        <v>1.1352573648215427E-2</v>
      </c>
      <c r="AP801" s="8">
        <f t="shared" ref="AP801:AP864" si="233">ACOS(AI801/AN801)</f>
        <v>0.72425299015529243</v>
      </c>
      <c r="AQ801" s="8"/>
      <c r="AR801" s="8">
        <f t="shared" ref="AR801:AR864" si="234">DEGREES(AO801)</f>
        <v>0.65045455665417973</v>
      </c>
      <c r="AS801" s="8">
        <f t="shared" ref="AS801:AS864" si="235">90-DEGREES(AP801)</f>
        <v>48.50336036437178</v>
      </c>
    </row>
    <row r="802" spans="1:45">
      <c r="A802" s="19">
        <v>30.49713333</v>
      </c>
      <c r="B802" s="19">
        <v>1372.199288</v>
      </c>
      <c r="C802" s="19">
        <v>-235.0864962</v>
      </c>
      <c r="E802" s="9">
        <f t="shared" si="221"/>
        <v>412.19928800000002</v>
      </c>
      <c r="F802" s="9">
        <f t="shared" si="226"/>
        <v>304.9135038</v>
      </c>
      <c r="I802">
        <v>1</v>
      </c>
      <c r="J802">
        <f t="shared" si="222"/>
        <v>0.32784361842219922</v>
      </c>
      <c r="K802">
        <f t="shared" si="227"/>
        <v>0.63689164784771046</v>
      </c>
      <c r="O802">
        <f t="shared" si="228"/>
        <v>0.25887311946815061</v>
      </c>
      <c r="P802">
        <f t="shared" si="229"/>
        <v>0.19149453236481523</v>
      </c>
      <c r="Q802">
        <f t="shared" si="230"/>
        <v>0.9467389038648456</v>
      </c>
      <c r="R802">
        <f t="shared" si="220"/>
        <v>1</v>
      </c>
      <c r="AG802" s="8">
        <f t="shared" si="223"/>
        <v>0.66271073668267222</v>
      </c>
      <c r="AH802" s="8">
        <f t="shared" si="224"/>
        <v>7.9458732110851971E-3</v>
      </c>
      <c r="AI802" s="8">
        <f t="shared" si="225"/>
        <v>0.74883332096296518</v>
      </c>
      <c r="AJ802" s="8"/>
      <c r="AK802" s="8"/>
      <c r="AL802" s="8"/>
      <c r="AN802" s="8">
        <f t="shared" si="231"/>
        <v>1</v>
      </c>
      <c r="AO802" s="8">
        <f t="shared" si="232"/>
        <v>1.1989382456547871E-2</v>
      </c>
      <c r="AP802" s="8">
        <f t="shared" si="233"/>
        <v>0.724496341280916</v>
      </c>
      <c r="AQ802" s="8"/>
      <c r="AR802" s="8">
        <f t="shared" si="234"/>
        <v>0.68694101372838412</v>
      </c>
      <c r="AS802" s="8">
        <f t="shared" si="235"/>
        <v>48.489417371933797</v>
      </c>
    </row>
    <row r="803" spans="1:45">
      <c r="A803" s="19">
        <v>30.5305</v>
      </c>
      <c r="B803" s="19">
        <v>1372.6032</v>
      </c>
      <c r="C803" s="19">
        <v>-235.65377079999999</v>
      </c>
      <c r="E803" s="9">
        <f t="shared" si="221"/>
        <v>412.60320000000002</v>
      </c>
      <c r="F803" s="9">
        <f t="shared" si="226"/>
        <v>304.34622920000004</v>
      </c>
      <c r="I803">
        <v>1</v>
      </c>
      <c r="J803">
        <f t="shared" si="222"/>
        <v>0.32783632279251318</v>
      </c>
      <c r="K803">
        <f t="shared" si="227"/>
        <v>0.63553362779918643</v>
      </c>
      <c r="O803">
        <f t="shared" si="228"/>
        <v>0.25912737559766902</v>
      </c>
      <c r="P803">
        <f t="shared" si="229"/>
        <v>0.19113870092535074</v>
      </c>
      <c r="Q803">
        <f t="shared" si="230"/>
        <v>0.94674125304881163</v>
      </c>
      <c r="R803">
        <f t="shared" si="220"/>
        <v>1</v>
      </c>
      <c r="AG803" s="8">
        <f t="shared" si="223"/>
        <v>0.66300840699439445</v>
      </c>
      <c r="AH803" s="8">
        <f t="shared" si="224"/>
        <v>8.1252816618156976E-3</v>
      </c>
      <c r="AI803" s="8">
        <f t="shared" si="225"/>
        <v>0.74856785400701775</v>
      </c>
      <c r="AJ803" s="8"/>
      <c r="AK803" s="8"/>
      <c r="AL803" s="8"/>
      <c r="AN803" s="8">
        <f t="shared" si="231"/>
        <v>1.0000000000000004</v>
      </c>
      <c r="AO803" s="8">
        <f t="shared" si="232"/>
        <v>1.2254557915355412E-2</v>
      </c>
      <c r="AP803" s="8">
        <f t="shared" si="233"/>
        <v>0.7248967993226233</v>
      </c>
      <c r="AQ803" s="8"/>
      <c r="AR803" s="8">
        <f t="shared" si="234"/>
        <v>0.70213444834850147</v>
      </c>
      <c r="AS803" s="8">
        <f t="shared" si="235"/>
        <v>48.466472816271889</v>
      </c>
    </row>
    <row r="804" spans="1:45">
      <c r="A804" s="19">
        <v>30.563866669999999</v>
      </c>
      <c r="B804" s="19">
        <v>1373.9812890000001</v>
      </c>
      <c r="C804" s="19">
        <v>-235.75883580000001</v>
      </c>
      <c r="E804" s="9">
        <f t="shared" si="221"/>
        <v>413.98128900000006</v>
      </c>
      <c r="F804" s="9">
        <f t="shared" si="226"/>
        <v>304.24116419999996</v>
      </c>
      <c r="I804">
        <v>1</v>
      </c>
      <c r="J804">
        <f t="shared" si="222"/>
        <v>0.32846459440705555</v>
      </c>
      <c r="K804">
        <f t="shared" si="227"/>
        <v>0.63377676488969314</v>
      </c>
      <c r="O804">
        <f t="shared" si="228"/>
        <v>0.25994202522961807</v>
      </c>
      <c r="P804">
        <f t="shared" si="229"/>
        <v>0.19103535952409856</v>
      </c>
      <c r="Q804">
        <f t="shared" si="230"/>
        <v>0.94653876567788975</v>
      </c>
      <c r="R804">
        <f t="shared" si="220"/>
        <v>1</v>
      </c>
      <c r="AG804" s="8">
        <f t="shared" si="223"/>
        <v>0.66318824072539373</v>
      </c>
      <c r="AH804" s="8">
        <f t="shared" si="224"/>
        <v>8.934348442607043E-3</v>
      </c>
      <c r="AI804" s="8">
        <f t="shared" si="225"/>
        <v>0.74839931505945634</v>
      </c>
      <c r="AJ804" s="8"/>
      <c r="AK804" s="8"/>
      <c r="AL804" s="8"/>
      <c r="AN804" s="8">
        <f t="shared" si="231"/>
        <v>1</v>
      </c>
      <c r="AO804" s="8">
        <f t="shared" si="232"/>
        <v>1.347099881337575E-2</v>
      </c>
      <c r="AP804" s="8">
        <f t="shared" si="233"/>
        <v>0.72515094711179329</v>
      </c>
      <c r="AQ804" s="8"/>
      <c r="AR804" s="8">
        <f t="shared" si="234"/>
        <v>0.7718313778321706</v>
      </c>
      <c r="AS804" s="8">
        <f t="shared" si="235"/>
        <v>48.451911220579873</v>
      </c>
    </row>
    <row r="805" spans="1:45">
      <c r="A805" s="19">
        <v>30.597233330000002</v>
      </c>
      <c r="B805" s="19">
        <v>1374.285541</v>
      </c>
      <c r="C805" s="19">
        <v>-235.98375899999999</v>
      </c>
      <c r="E805" s="9">
        <f t="shared" si="221"/>
        <v>414.28554099999997</v>
      </c>
      <c r="F805" s="9">
        <f t="shared" si="226"/>
        <v>304.01624100000004</v>
      </c>
      <c r="I805">
        <v>1</v>
      </c>
      <c r="J805">
        <f t="shared" si="222"/>
        <v>0.32853181470143827</v>
      </c>
      <c r="K805">
        <f t="shared" si="227"/>
        <v>0.63307343366324254</v>
      </c>
      <c r="O805">
        <f t="shared" si="228"/>
        <v>0.26012761807481821</v>
      </c>
      <c r="P805">
        <f t="shared" si="229"/>
        <v>0.19089012963498503</v>
      </c>
      <c r="Q805">
        <f t="shared" si="230"/>
        <v>0.94651707893870574</v>
      </c>
      <c r="R805">
        <f t="shared" si="220"/>
        <v>1</v>
      </c>
      <c r="AG805" s="8">
        <f t="shared" si="223"/>
        <v>0.66331989580508011</v>
      </c>
      <c r="AH805" s="8">
        <f t="shared" si="224"/>
        <v>9.0912354770614212E-3</v>
      </c>
      <c r="AI805" s="8">
        <f t="shared" si="225"/>
        <v>0.74828073960689256</v>
      </c>
      <c r="AJ805" s="8"/>
      <c r="AK805" s="8"/>
      <c r="AL805" s="8"/>
      <c r="AN805" s="8">
        <f t="shared" si="231"/>
        <v>0.99999999999999989</v>
      </c>
      <c r="AO805" s="8">
        <f t="shared" si="232"/>
        <v>1.3704799676335143E-2</v>
      </c>
      <c r="AP805" s="8">
        <f t="shared" si="233"/>
        <v>0.72532970893310378</v>
      </c>
      <c r="AQ805" s="8"/>
      <c r="AR805" s="8">
        <f t="shared" si="234"/>
        <v>0.78522718052626028</v>
      </c>
      <c r="AS805" s="8">
        <f t="shared" si="235"/>
        <v>48.441668922680705</v>
      </c>
    </row>
    <row r="806" spans="1:45">
      <c r="A806" s="19">
        <v>30.630600000000001</v>
      </c>
      <c r="B806" s="19">
        <v>1374.690554</v>
      </c>
      <c r="C806" s="19">
        <v>-236.11769910000001</v>
      </c>
      <c r="E806" s="9">
        <f t="shared" si="221"/>
        <v>414.69055400000002</v>
      </c>
      <c r="F806" s="9">
        <f t="shared" si="226"/>
        <v>303.88230090000002</v>
      </c>
      <c r="I806">
        <v>1</v>
      </c>
      <c r="J806">
        <f t="shared" si="222"/>
        <v>0.32868016495614022</v>
      </c>
      <c r="K806">
        <f t="shared" si="227"/>
        <v>0.63239731790524079</v>
      </c>
      <c r="O806">
        <f t="shared" si="228"/>
        <v>0.26036988095495095</v>
      </c>
      <c r="P806">
        <f t="shared" si="229"/>
        <v>0.190797204678189</v>
      </c>
      <c r="Q806">
        <f t="shared" si="230"/>
        <v>0.94646920276282309</v>
      </c>
      <c r="R806">
        <f t="shared" si="220"/>
        <v>1</v>
      </c>
      <c r="AG806" s="8">
        <f t="shared" si="223"/>
        <v>0.66341961196286081</v>
      </c>
      <c r="AH806" s="8">
        <f t="shared" si="224"/>
        <v>9.3178602666625365E-3</v>
      </c>
      <c r="AI806" s="8">
        <f t="shared" si="225"/>
        <v>0.74818954546498317</v>
      </c>
      <c r="AJ806" s="8"/>
      <c r="AK806" s="8"/>
      <c r="AL806" s="8"/>
      <c r="AN806" s="8">
        <f t="shared" si="231"/>
        <v>1</v>
      </c>
      <c r="AO806" s="8">
        <f t="shared" si="232"/>
        <v>1.4044275247770287E-2</v>
      </c>
      <c r="AP806" s="8">
        <f t="shared" si="233"/>
        <v>0.72546716675731004</v>
      </c>
      <c r="AQ806" s="8"/>
      <c r="AR806" s="8">
        <f t="shared" si="234"/>
        <v>0.80467769801728595</v>
      </c>
      <c r="AS806" s="8">
        <f t="shared" si="235"/>
        <v>48.433793169492638</v>
      </c>
    </row>
    <row r="807" spans="1:45">
      <c r="A807" s="19">
        <v>30.663966670000001</v>
      </c>
      <c r="B807" s="19">
        <v>1375.218169</v>
      </c>
      <c r="C807" s="19">
        <v>-236.46624980000001</v>
      </c>
      <c r="E807" s="9">
        <f t="shared" si="221"/>
        <v>415.21816899999999</v>
      </c>
      <c r="F807" s="9">
        <f t="shared" si="226"/>
        <v>303.53375019999999</v>
      </c>
      <c r="I807">
        <v>1</v>
      </c>
      <c r="J807">
        <f t="shared" si="222"/>
        <v>0.32881201300490071</v>
      </c>
      <c r="K807">
        <f t="shared" si="227"/>
        <v>0.63124435305225746</v>
      </c>
      <c r="O807">
        <f t="shared" si="228"/>
        <v>0.26069043033906403</v>
      </c>
      <c r="P807">
        <f t="shared" si="229"/>
        <v>0.19057052381074385</v>
      </c>
      <c r="Q807">
        <f t="shared" si="230"/>
        <v>0.94642663476052502</v>
      </c>
      <c r="R807">
        <f t="shared" si="220"/>
        <v>1</v>
      </c>
      <c r="AG807" s="8">
        <f t="shared" si="223"/>
        <v>0.66362881098479309</v>
      </c>
      <c r="AH807" s="8">
        <f t="shared" si="224"/>
        <v>9.5943492670950148E-3</v>
      </c>
      <c r="AI807" s="8">
        <f t="shared" si="225"/>
        <v>0.74800050113155048</v>
      </c>
      <c r="AJ807" s="8"/>
      <c r="AK807" s="8"/>
      <c r="AL807" s="8"/>
      <c r="AN807" s="8">
        <f t="shared" si="231"/>
        <v>0.99999999999999989</v>
      </c>
      <c r="AO807" s="8">
        <f t="shared" si="232"/>
        <v>1.4456396004803949E-2</v>
      </c>
      <c r="AP807" s="8">
        <f t="shared" si="233"/>
        <v>0.72575204729414122</v>
      </c>
      <c r="AQ807" s="8"/>
      <c r="AR807" s="8">
        <f t="shared" si="234"/>
        <v>0.82829047804505118</v>
      </c>
      <c r="AS807" s="8">
        <f t="shared" si="235"/>
        <v>48.417470717066792</v>
      </c>
    </row>
    <row r="808" spans="1:45">
      <c r="A808" s="19">
        <v>30.697333329999999</v>
      </c>
      <c r="B808" s="19">
        <v>1376.1767359999999</v>
      </c>
      <c r="C808" s="19">
        <v>-236.8372124</v>
      </c>
      <c r="E808" s="9">
        <f t="shared" si="221"/>
        <v>416.17673599999989</v>
      </c>
      <c r="F808" s="9">
        <f t="shared" si="226"/>
        <v>303.1627876</v>
      </c>
      <c r="I808">
        <v>1</v>
      </c>
      <c r="J808">
        <f t="shared" si="222"/>
        <v>0.32914511695872917</v>
      </c>
      <c r="K808">
        <f t="shared" si="227"/>
        <v>0.6295640410022223</v>
      </c>
      <c r="O808">
        <f t="shared" si="228"/>
        <v>0.26126508407845989</v>
      </c>
      <c r="P808">
        <f t="shared" si="229"/>
        <v>0.19031782495351759</v>
      </c>
      <c r="Q808">
        <f t="shared" si="230"/>
        <v>0.94631901668857821</v>
      </c>
      <c r="R808">
        <f t="shared" si="220"/>
        <v>1</v>
      </c>
      <c r="AG808" s="8">
        <f t="shared" si="223"/>
        <v>0.66388900139830986</v>
      </c>
      <c r="AH808" s="8">
        <f t="shared" si="224"/>
        <v>1.012478478283213E-2</v>
      </c>
      <c r="AI808" s="8">
        <f t="shared" si="225"/>
        <v>0.74776258435111365</v>
      </c>
      <c r="AJ808" s="8"/>
      <c r="AK808" s="8"/>
      <c r="AL808" s="8"/>
      <c r="AN808" s="8">
        <f t="shared" si="231"/>
        <v>1</v>
      </c>
      <c r="AO808" s="8">
        <f t="shared" si="232"/>
        <v>1.5249537069055753E-2</v>
      </c>
      <c r="AP808" s="8">
        <f t="shared" si="233"/>
        <v>0.7261104462755803</v>
      </c>
      <c r="AQ808" s="8"/>
      <c r="AR808" s="8">
        <f t="shared" si="234"/>
        <v>0.87373411358519404</v>
      </c>
      <c r="AS808" s="8">
        <f t="shared" si="235"/>
        <v>48.396935968048545</v>
      </c>
    </row>
    <row r="809" spans="1:45">
      <c r="A809" s="19">
        <v>30.730699999999999</v>
      </c>
      <c r="B809" s="19">
        <v>1376.5266369999999</v>
      </c>
      <c r="C809" s="19">
        <v>-237.45256509999999</v>
      </c>
      <c r="E809" s="9">
        <f t="shared" si="221"/>
        <v>416.52663699999994</v>
      </c>
      <c r="F809" s="9">
        <f t="shared" si="226"/>
        <v>302.54743489999998</v>
      </c>
      <c r="I809">
        <v>1</v>
      </c>
      <c r="J809">
        <f t="shared" si="222"/>
        <v>0.3290977529351457</v>
      </c>
      <c r="K809">
        <f t="shared" si="227"/>
        <v>0.62819771338574937</v>
      </c>
      <c r="O809">
        <f t="shared" si="228"/>
        <v>0.26148861181419142</v>
      </c>
      <c r="P809">
        <f t="shared" si="229"/>
        <v>0.18993433248290781</v>
      </c>
      <c r="Q809">
        <f t="shared" si="230"/>
        <v>0.94633432529722783</v>
      </c>
      <c r="R809">
        <f t="shared" si="220"/>
        <v>1</v>
      </c>
      <c r="AG809" s="8">
        <f t="shared" si="223"/>
        <v>0.66420266274086481</v>
      </c>
      <c r="AH809" s="8">
        <f t="shared" si="224"/>
        <v>1.0266849361525554E-2</v>
      </c>
      <c r="AI809" s="8">
        <f t="shared" si="225"/>
        <v>0.74748204969225374</v>
      </c>
      <c r="AJ809" s="8"/>
      <c r="AK809" s="8"/>
      <c r="AL809" s="8"/>
      <c r="AN809" s="8">
        <f t="shared" si="231"/>
        <v>1.0000000000000002</v>
      </c>
      <c r="AO809" s="8">
        <f t="shared" si="232"/>
        <v>1.5456173791301649E-2</v>
      </c>
      <c r="AP809" s="8">
        <f t="shared" si="233"/>
        <v>0.72653285927443212</v>
      </c>
      <c r="AQ809" s="8"/>
      <c r="AR809" s="8">
        <f t="shared" si="234"/>
        <v>0.88557352566230096</v>
      </c>
      <c r="AS809" s="8">
        <f t="shared" si="235"/>
        <v>48.372733486002872</v>
      </c>
    </row>
    <row r="810" spans="1:45">
      <c r="A810" s="19">
        <v>30.764066669999998</v>
      </c>
      <c r="B810" s="19">
        <v>1376.9421970000001</v>
      </c>
      <c r="C810" s="19">
        <v>-237.75525540000001</v>
      </c>
      <c r="E810" s="9">
        <f t="shared" si="221"/>
        <v>416.94219700000008</v>
      </c>
      <c r="F810" s="9">
        <f t="shared" si="226"/>
        <v>302.24474459999999</v>
      </c>
      <c r="I810">
        <v>1</v>
      </c>
      <c r="J810">
        <f t="shared" si="222"/>
        <v>0.32919280294487924</v>
      </c>
      <c r="K810">
        <f t="shared" si="227"/>
        <v>0.62724790292577182</v>
      </c>
      <c r="O810">
        <f t="shared" si="228"/>
        <v>0.26174172117403466</v>
      </c>
      <c r="P810">
        <f t="shared" si="229"/>
        <v>0.18973867417744356</v>
      </c>
      <c r="Q810">
        <f t="shared" si="230"/>
        <v>0.94630360187322538</v>
      </c>
      <c r="R810">
        <f t="shared" si="220"/>
        <v>1</v>
      </c>
      <c r="AG810" s="8">
        <f t="shared" si="223"/>
        <v>0.66437993442165455</v>
      </c>
      <c r="AH810" s="8">
        <f t="shared" si="224"/>
        <v>1.0481540687391822E-2</v>
      </c>
      <c r="AI810" s="8">
        <f t="shared" si="225"/>
        <v>0.74732151049109818</v>
      </c>
      <c r="AJ810" s="8"/>
      <c r="AK810" s="8"/>
      <c r="AL810" s="8"/>
      <c r="AN810" s="8">
        <f t="shared" si="231"/>
        <v>1</v>
      </c>
      <c r="AO810" s="8">
        <f t="shared" si="232"/>
        <v>1.5775117024277627E-2</v>
      </c>
      <c r="AP810" s="8">
        <f t="shared" si="233"/>
        <v>0.72677449968942365</v>
      </c>
      <c r="AQ810" s="8"/>
      <c r="AR810" s="8">
        <f t="shared" si="234"/>
        <v>0.90384762681608222</v>
      </c>
      <c r="AS810" s="8">
        <f t="shared" si="235"/>
        <v>48.358888510064062</v>
      </c>
    </row>
    <row r="811" spans="1:45">
      <c r="A811" s="19">
        <v>30.79743333</v>
      </c>
      <c r="B811" s="19">
        <v>1377.573834</v>
      </c>
      <c r="C811" s="19">
        <v>-237.74829819999999</v>
      </c>
      <c r="E811" s="9">
        <f t="shared" si="221"/>
        <v>417.57383400000003</v>
      </c>
      <c r="F811" s="9">
        <f t="shared" si="226"/>
        <v>302.25170179999998</v>
      </c>
      <c r="I811">
        <v>1</v>
      </c>
      <c r="J811">
        <f t="shared" si="222"/>
        <v>0.32950183268570471</v>
      </c>
      <c r="K811">
        <f t="shared" si="227"/>
        <v>0.6265396625156866</v>
      </c>
      <c r="O811">
        <f t="shared" si="228"/>
        <v>0.26211291465873082</v>
      </c>
      <c r="P811">
        <f t="shared" si="229"/>
        <v>0.1897247099044993</v>
      </c>
      <c r="Q811">
        <f t="shared" si="230"/>
        <v>0.94620365377690152</v>
      </c>
      <c r="R811">
        <f t="shared" si="220"/>
        <v>1</v>
      </c>
      <c r="AG811" s="8">
        <f t="shared" si="223"/>
        <v>0.66443643603190627</v>
      </c>
      <c r="AH811" s="8">
        <f t="shared" si="224"/>
        <v>1.0857950599595823E-2</v>
      </c>
      <c r="AI811" s="8">
        <f t="shared" si="225"/>
        <v>0.7472659013911952</v>
      </c>
      <c r="AJ811" s="8"/>
      <c r="AK811" s="8"/>
      <c r="AL811" s="8"/>
      <c r="AN811" s="8">
        <f t="shared" si="231"/>
        <v>1.0000000000000002</v>
      </c>
      <c r="AO811" s="8">
        <f t="shared" si="232"/>
        <v>1.6340139756670549E-2</v>
      </c>
      <c r="AP811" s="8">
        <f t="shared" si="233"/>
        <v>0.72685818608838537</v>
      </c>
      <c r="AQ811" s="8"/>
      <c r="AR811" s="8">
        <f t="shared" si="234"/>
        <v>0.93622104471114642</v>
      </c>
      <c r="AS811" s="8">
        <f t="shared" si="235"/>
        <v>48.354093632600907</v>
      </c>
    </row>
    <row r="812" spans="1:45">
      <c r="A812" s="19">
        <v>30.8308</v>
      </c>
      <c r="B812" s="19">
        <v>1377.940891</v>
      </c>
      <c r="C812" s="19">
        <v>-237.74541139999999</v>
      </c>
      <c r="E812" s="9">
        <f t="shared" si="221"/>
        <v>417.94089099999997</v>
      </c>
      <c r="F812" s="9">
        <f t="shared" si="226"/>
        <v>302.25458860000003</v>
      </c>
      <c r="I812">
        <v>1</v>
      </c>
      <c r="J812">
        <f t="shared" si="222"/>
        <v>0.329681052465708</v>
      </c>
      <c r="K812">
        <f t="shared" si="227"/>
        <v>0.62612692402250947</v>
      </c>
      <c r="O812">
        <f t="shared" si="228"/>
        <v>0.26232860474639885</v>
      </c>
      <c r="P812">
        <f t="shared" si="229"/>
        <v>0.18971588139155018</v>
      </c>
      <c r="Q812">
        <f t="shared" si="230"/>
        <v>0.94614564813227087</v>
      </c>
      <c r="R812">
        <f t="shared" si="220"/>
        <v>1</v>
      </c>
      <c r="AG812" s="8">
        <f t="shared" si="223"/>
        <v>0.66446974707522477</v>
      </c>
      <c r="AH812" s="8">
        <f t="shared" si="224"/>
        <v>1.1076531237675602E-2</v>
      </c>
      <c r="AI812" s="8">
        <f t="shared" si="225"/>
        <v>0.74723307319572507</v>
      </c>
      <c r="AJ812" s="8"/>
      <c r="AK812" s="8"/>
      <c r="AL812" s="8"/>
      <c r="AN812" s="8">
        <f t="shared" si="231"/>
        <v>1.0000000000000002</v>
      </c>
      <c r="AO812" s="8">
        <f t="shared" si="232"/>
        <v>1.666818613739492E-2</v>
      </c>
      <c r="AP812" s="8">
        <f t="shared" si="233"/>
        <v>0.72690758569920033</v>
      </c>
      <c r="AQ812" s="8"/>
      <c r="AR812" s="8">
        <f t="shared" si="234"/>
        <v>0.95501671781119457</v>
      </c>
      <c r="AS812" s="8">
        <f t="shared" si="235"/>
        <v>48.351263243391628</v>
      </c>
    </row>
    <row r="813" spans="1:45">
      <c r="A813" s="19">
        <v>30.864166669999999</v>
      </c>
      <c r="B813" s="19">
        <v>1378.51819</v>
      </c>
      <c r="C813" s="19">
        <v>-237.9581915</v>
      </c>
      <c r="E813" s="9">
        <f t="shared" si="221"/>
        <v>418.51819</v>
      </c>
      <c r="F813" s="9">
        <f t="shared" si="226"/>
        <v>302.0418085</v>
      </c>
      <c r="I813">
        <v>1</v>
      </c>
      <c r="J813">
        <f t="shared" si="222"/>
        <v>0.32988677687642476</v>
      </c>
      <c r="K813">
        <f t="shared" si="227"/>
        <v>0.62513739960141823</v>
      </c>
      <c r="O813">
        <f t="shared" si="228"/>
        <v>0.26267403370103443</v>
      </c>
      <c r="P813">
        <f t="shared" si="229"/>
        <v>0.18957011207816413</v>
      </c>
      <c r="Q813">
        <f t="shared" si="230"/>
        <v>0.94607902662827281</v>
      </c>
      <c r="R813">
        <f t="shared" si="220"/>
        <v>1</v>
      </c>
      <c r="AG813" s="8">
        <f t="shared" si="223"/>
        <v>0.66462106910389673</v>
      </c>
      <c r="AH813" s="8">
        <f t="shared" si="224"/>
        <v>1.1396960927059163E-2</v>
      </c>
      <c r="AI813" s="8">
        <f t="shared" si="225"/>
        <v>0.74709366466649985</v>
      </c>
      <c r="AJ813" s="8"/>
      <c r="AK813" s="8"/>
      <c r="AL813" s="8"/>
      <c r="AN813" s="8">
        <f t="shared" si="231"/>
        <v>1</v>
      </c>
      <c r="AO813" s="8">
        <f t="shared" si="232"/>
        <v>1.7146377897581284E-2</v>
      </c>
      <c r="AP813" s="8">
        <f t="shared" si="233"/>
        <v>0.72711733600075401</v>
      </c>
      <c r="AQ813" s="8"/>
      <c r="AR813" s="8">
        <f t="shared" si="234"/>
        <v>0.98241508746780526</v>
      </c>
      <c r="AS813" s="8">
        <f t="shared" si="235"/>
        <v>48.339245436361004</v>
      </c>
    </row>
    <row r="814" spans="1:45">
      <c r="A814" s="19">
        <v>30.897533330000002</v>
      </c>
      <c r="B814" s="19">
        <v>1379.35511</v>
      </c>
      <c r="C814" s="19">
        <v>-238.68598779999999</v>
      </c>
      <c r="E814" s="9">
        <f t="shared" si="221"/>
        <v>419.35510999999997</v>
      </c>
      <c r="F814" s="9">
        <f t="shared" si="226"/>
        <v>301.31401219999998</v>
      </c>
      <c r="I814">
        <v>1</v>
      </c>
      <c r="J814">
        <f t="shared" si="222"/>
        <v>0.33003886484425682</v>
      </c>
      <c r="K814">
        <f t="shared" si="227"/>
        <v>0.62304605214226538</v>
      </c>
      <c r="O814">
        <f t="shared" si="228"/>
        <v>0.2631867644267053</v>
      </c>
      <c r="P814">
        <f t="shared" si="229"/>
        <v>0.1891043129231138</v>
      </c>
      <c r="Q814">
        <f t="shared" si="230"/>
        <v>0.94602974893207192</v>
      </c>
      <c r="R814">
        <f t="shared" si="220"/>
        <v>1</v>
      </c>
      <c r="AG814" s="8">
        <f t="shared" si="223"/>
        <v>0.66503120405770111</v>
      </c>
      <c r="AH814" s="8">
        <f t="shared" si="224"/>
        <v>1.1816491366173409E-2</v>
      </c>
      <c r="AI814" s="8">
        <f t="shared" si="225"/>
        <v>0.74672208227784287</v>
      </c>
      <c r="AJ814" s="8"/>
      <c r="AK814" s="8"/>
      <c r="AL814" s="8"/>
      <c r="AN814" s="8">
        <f t="shared" si="231"/>
        <v>1</v>
      </c>
      <c r="AO814" s="8">
        <f t="shared" si="232"/>
        <v>1.7766456653422007E-2</v>
      </c>
      <c r="AP814" s="8">
        <f t="shared" si="233"/>
        <v>0.72767616743952401</v>
      </c>
      <c r="AQ814" s="8"/>
      <c r="AR814" s="8">
        <f t="shared" si="234"/>
        <v>1.0179429831432019</v>
      </c>
      <c r="AS814" s="8">
        <f t="shared" si="235"/>
        <v>48.307226753460256</v>
      </c>
    </row>
    <row r="815" spans="1:45">
      <c r="A815" s="19">
        <v>30.930900000000001</v>
      </c>
      <c r="B815" s="19">
        <v>1380.0344889999999</v>
      </c>
      <c r="C815" s="19">
        <v>-238.70503679999999</v>
      </c>
      <c r="E815" s="9">
        <f t="shared" si="221"/>
        <v>420.03448899999989</v>
      </c>
      <c r="F815" s="9">
        <f t="shared" si="226"/>
        <v>301.29496319999998</v>
      </c>
      <c r="I815">
        <v>1</v>
      </c>
      <c r="J815">
        <f t="shared" si="222"/>
        <v>0.33036279330787571</v>
      </c>
      <c r="K815">
        <f t="shared" si="227"/>
        <v>0.6222492280551104</v>
      </c>
      <c r="O815">
        <f t="shared" si="228"/>
        <v>0.26358635855825691</v>
      </c>
      <c r="P815">
        <f t="shared" si="229"/>
        <v>0.1890731458526303</v>
      </c>
      <c r="Q815">
        <f t="shared" si="230"/>
        <v>0.94592472063023492</v>
      </c>
      <c r="R815">
        <f t="shared" si="220"/>
        <v>1</v>
      </c>
      <c r="AG815" s="8">
        <f t="shared" si="223"/>
        <v>0.66510355949972699</v>
      </c>
      <c r="AH815" s="8">
        <f t="shared" si="224"/>
        <v>1.2218254870377365E-2</v>
      </c>
      <c r="AI815" s="8">
        <f t="shared" si="225"/>
        <v>0.74665116981674629</v>
      </c>
      <c r="AJ815" s="8"/>
      <c r="AK815" s="8"/>
      <c r="AL815" s="8"/>
      <c r="AN815" s="8">
        <f t="shared" si="231"/>
        <v>1</v>
      </c>
      <c r="AO815" s="8">
        <f t="shared" si="232"/>
        <v>1.8368388693654571E-2</v>
      </c>
      <c r="AP815" s="8">
        <f t="shared" si="233"/>
        <v>0.72778277450824025</v>
      </c>
      <c r="AQ815" s="8"/>
      <c r="AR815" s="8">
        <f t="shared" si="234"/>
        <v>1.0524311486022264</v>
      </c>
      <c r="AS815" s="8">
        <f t="shared" si="235"/>
        <v>48.301118618356554</v>
      </c>
    </row>
    <row r="816" spans="1:45">
      <c r="A816" s="19">
        <v>30.964266670000001</v>
      </c>
      <c r="B816" s="19">
        <v>1380.5584940000001</v>
      </c>
      <c r="C816" s="19">
        <v>-238.92751179999999</v>
      </c>
      <c r="E816" s="9">
        <f t="shared" si="221"/>
        <v>420.55849400000011</v>
      </c>
      <c r="F816" s="9">
        <f t="shared" si="226"/>
        <v>301.07248820000001</v>
      </c>
      <c r="I816">
        <v>1</v>
      </c>
      <c r="J816">
        <f t="shared" si="222"/>
        <v>0.33054027758304988</v>
      </c>
      <c r="K816">
        <f t="shared" si="227"/>
        <v>0.62130919771590631</v>
      </c>
      <c r="O816">
        <f t="shared" si="228"/>
        <v>0.26390048400353072</v>
      </c>
      <c r="P816">
        <f t="shared" si="229"/>
        <v>0.18892300711949783</v>
      </c>
      <c r="Q816">
        <f t="shared" si="230"/>
        <v>0.94586713227790531</v>
      </c>
      <c r="R816">
        <f t="shared" si="220"/>
        <v>1</v>
      </c>
      <c r="AG816" s="8">
        <f t="shared" si="223"/>
        <v>0.66525387739943209</v>
      </c>
      <c r="AH816" s="8">
        <f t="shared" si="224"/>
        <v>1.2505835288281364E-2</v>
      </c>
      <c r="AI816" s="8">
        <f t="shared" si="225"/>
        <v>0.74651247992834235</v>
      </c>
      <c r="AJ816" s="8"/>
      <c r="AK816" s="8"/>
      <c r="AL816" s="8"/>
      <c r="AN816" s="8">
        <f t="shared" si="231"/>
        <v>1</v>
      </c>
      <c r="AO816" s="8">
        <f t="shared" si="232"/>
        <v>1.8796376679823923E-2</v>
      </c>
      <c r="AP816" s="8">
        <f t="shared" si="233"/>
        <v>0.72799123869441007</v>
      </c>
      <c r="AQ816" s="8"/>
      <c r="AR816" s="8">
        <f t="shared" si="234"/>
        <v>1.0769530538920338</v>
      </c>
      <c r="AS816" s="8">
        <f t="shared" si="235"/>
        <v>48.289174500309393</v>
      </c>
    </row>
    <row r="817" spans="1:45">
      <c r="A817" s="19">
        <v>30.997633329999999</v>
      </c>
      <c r="B817" s="19">
        <v>1381.4027579999999</v>
      </c>
      <c r="C817" s="19">
        <v>-239.16447389999999</v>
      </c>
      <c r="E817" s="9">
        <f t="shared" si="221"/>
        <v>421.40275799999995</v>
      </c>
      <c r="F817" s="9">
        <f t="shared" si="226"/>
        <v>300.83552610000004</v>
      </c>
      <c r="I817">
        <v>1</v>
      </c>
      <c r="J817">
        <f t="shared" si="222"/>
        <v>0.33086902464114537</v>
      </c>
      <c r="K817">
        <f t="shared" si="227"/>
        <v>0.61998789907783813</v>
      </c>
      <c r="O817">
        <f t="shared" si="228"/>
        <v>0.26440294153818433</v>
      </c>
      <c r="P817">
        <f t="shared" si="229"/>
        <v>0.18875481118713336</v>
      </c>
      <c r="Q817">
        <f t="shared" si="230"/>
        <v>0.94576038495998827</v>
      </c>
      <c r="R817">
        <f t="shared" si="220"/>
        <v>1</v>
      </c>
      <c r="AG817" s="8">
        <f t="shared" si="223"/>
        <v>0.66544056197604817</v>
      </c>
      <c r="AH817" s="8">
        <f t="shared" si="224"/>
        <v>1.2982105960972212E-2</v>
      </c>
      <c r="AI817" s="8">
        <f t="shared" si="225"/>
        <v>0.74633794182114266</v>
      </c>
      <c r="AJ817" s="8"/>
      <c r="AK817" s="8"/>
      <c r="AL817" s="8"/>
      <c r="AN817" s="8">
        <f t="shared" si="231"/>
        <v>1</v>
      </c>
      <c r="AO817" s="8">
        <f t="shared" si="232"/>
        <v>1.95065646293687E-2</v>
      </c>
      <c r="AP817" s="8">
        <f t="shared" si="233"/>
        <v>0.7282535169190667</v>
      </c>
      <c r="AQ817" s="8"/>
      <c r="AR817" s="8">
        <f t="shared" si="234"/>
        <v>1.1176438260619994</v>
      </c>
      <c r="AS817" s="8">
        <f t="shared" si="235"/>
        <v>48.274147064978386</v>
      </c>
    </row>
    <row r="818" spans="1:45">
      <c r="A818" s="19">
        <v>31.030999999999999</v>
      </c>
      <c r="B818" s="19">
        <v>1382.1806959999999</v>
      </c>
      <c r="C818" s="19">
        <v>-239.37990590000001</v>
      </c>
      <c r="E818" s="9">
        <f t="shared" si="221"/>
        <v>422.1806959999999</v>
      </c>
      <c r="F818" s="9">
        <f t="shared" si="226"/>
        <v>300.62009409999996</v>
      </c>
      <c r="I818">
        <v>1</v>
      </c>
      <c r="J818">
        <f t="shared" si="222"/>
        <v>0.33117337207642056</v>
      </c>
      <c r="K818">
        <f t="shared" si="227"/>
        <v>0.61877746293051183</v>
      </c>
      <c r="O818">
        <f t="shared" si="228"/>
        <v>0.26486568203107019</v>
      </c>
      <c r="P818">
        <f t="shared" si="229"/>
        <v>0.18860157986958506</v>
      </c>
      <c r="Q818">
        <f t="shared" si="230"/>
        <v>0.94566146931812367</v>
      </c>
      <c r="R818">
        <f t="shared" si="220"/>
        <v>1</v>
      </c>
      <c r="AG818" s="8">
        <f t="shared" si="223"/>
        <v>0.6656110476237137</v>
      </c>
      <c r="AH818" s="8">
        <f t="shared" si="224"/>
        <v>1.3421182796914788E-2</v>
      </c>
      <c r="AI818" s="8">
        <f t="shared" si="225"/>
        <v>0.74617813230728913</v>
      </c>
      <c r="AJ818" s="8"/>
      <c r="AK818" s="8"/>
      <c r="AL818" s="8"/>
      <c r="AN818" s="8">
        <f t="shared" si="231"/>
        <v>1.0000000000000002</v>
      </c>
      <c r="AO818" s="8">
        <f t="shared" si="232"/>
        <v>2.0160969958591818E-2</v>
      </c>
      <c r="AP818" s="8">
        <f t="shared" si="233"/>
        <v>0.72849359487167542</v>
      </c>
      <c r="AQ818" s="8"/>
      <c r="AR818" s="8">
        <f t="shared" si="234"/>
        <v>1.1551384895173533</v>
      </c>
      <c r="AS818" s="8">
        <f t="shared" si="235"/>
        <v>48.260391611539767</v>
      </c>
    </row>
    <row r="819" spans="1:45">
      <c r="A819" s="19">
        <v>31.064366669999998</v>
      </c>
      <c r="B819" s="19">
        <v>1382.344529</v>
      </c>
      <c r="C819" s="19">
        <v>-239.75378850000001</v>
      </c>
      <c r="E819" s="9">
        <f t="shared" si="221"/>
        <v>422.34452899999997</v>
      </c>
      <c r="F819" s="9">
        <f t="shared" si="226"/>
        <v>300.24621149999996</v>
      </c>
      <c r="I819">
        <v>1</v>
      </c>
      <c r="J819">
        <f t="shared" si="222"/>
        <v>0.33112353205093048</v>
      </c>
      <c r="K819">
        <f t="shared" si="227"/>
        <v>0.61800633904030755</v>
      </c>
      <c r="O819">
        <f t="shared" si="228"/>
        <v>0.26497262405217636</v>
      </c>
      <c r="P819">
        <f t="shared" si="229"/>
        <v>0.18836997062859959</v>
      </c>
      <c r="Q819">
        <f t="shared" si="230"/>
        <v>0.94567767377065881</v>
      </c>
      <c r="R819">
        <f t="shared" si="220"/>
        <v>1</v>
      </c>
      <c r="AG819" s="8">
        <f t="shared" si="223"/>
        <v>0.665796407370285</v>
      </c>
      <c r="AH819" s="8">
        <f t="shared" si="224"/>
        <v>1.3478522371622892E-2</v>
      </c>
      <c r="AI819" s="8">
        <f t="shared" si="225"/>
        <v>0.74601171128039223</v>
      </c>
      <c r="AJ819" s="8"/>
      <c r="AK819" s="8"/>
      <c r="AL819" s="8"/>
      <c r="AN819" s="8">
        <f t="shared" si="231"/>
        <v>1</v>
      </c>
      <c r="AO819" s="8">
        <f t="shared" si="232"/>
        <v>2.0241445257020985E-2</v>
      </c>
      <c r="AP819" s="8">
        <f t="shared" si="233"/>
        <v>0.72874353649417412</v>
      </c>
      <c r="AQ819" s="8"/>
      <c r="AR819" s="8">
        <f t="shared" si="234"/>
        <v>1.1597493844724003</v>
      </c>
      <c r="AS819" s="8">
        <f t="shared" si="235"/>
        <v>48.246071011445942</v>
      </c>
    </row>
    <row r="820" spans="1:45">
      <c r="A820" s="19">
        <v>31.097733330000001</v>
      </c>
      <c r="B820" s="19">
        <v>1382.5701779999999</v>
      </c>
      <c r="C820" s="19">
        <v>-240.0807599</v>
      </c>
      <c r="E820" s="9">
        <f t="shared" si="221"/>
        <v>422.57017799999994</v>
      </c>
      <c r="F820" s="9">
        <f t="shared" si="226"/>
        <v>299.91924010000002</v>
      </c>
      <c r="I820">
        <v>1</v>
      </c>
      <c r="J820">
        <f t="shared" si="222"/>
        <v>0.33112030726330316</v>
      </c>
      <c r="K820">
        <f t="shared" si="227"/>
        <v>0.61723974832749573</v>
      </c>
      <c r="O820">
        <f t="shared" si="228"/>
        <v>0.26511446195651617</v>
      </c>
      <c r="P820">
        <f t="shared" si="229"/>
        <v>0.18816502467317678</v>
      </c>
      <c r="Q820">
        <f t="shared" si="230"/>
        <v>0.94567872216268545</v>
      </c>
      <c r="R820">
        <f t="shared" si="220"/>
        <v>1</v>
      </c>
      <c r="AG820" s="8">
        <f t="shared" si="223"/>
        <v>0.66596612739552541</v>
      </c>
      <c r="AH820" s="8">
        <f t="shared" si="224"/>
        <v>1.357759515656537E-2</v>
      </c>
      <c r="AI820" s="8">
        <f t="shared" si="225"/>
        <v>0.74585840886294985</v>
      </c>
      <c r="AJ820" s="8"/>
      <c r="AK820" s="8"/>
      <c r="AL820" s="8"/>
      <c r="AN820" s="8">
        <f t="shared" si="231"/>
        <v>1</v>
      </c>
      <c r="AO820" s="8">
        <f t="shared" si="232"/>
        <v>2.0384992317525611E-2</v>
      </c>
      <c r="AP820" s="8">
        <f t="shared" si="233"/>
        <v>0.72897371384949261</v>
      </c>
      <c r="AQ820" s="8"/>
      <c r="AR820" s="8">
        <f t="shared" si="234"/>
        <v>1.1679740252008244</v>
      </c>
      <c r="AS820" s="8">
        <f t="shared" si="235"/>
        <v>48.232882820446704</v>
      </c>
    </row>
    <row r="821" spans="1:45">
      <c r="A821" s="19">
        <v>31.1311</v>
      </c>
      <c r="B821" s="19">
        <v>1383.9423870000001</v>
      </c>
      <c r="C821" s="19">
        <v>-240.6754598</v>
      </c>
      <c r="E821" s="9">
        <f t="shared" si="221"/>
        <v>423.94238700000005</v>
      </c>
      <c r="F821" s="9">
        <f t="shared" si="226"/>
        <v>299.3245402</v>
      </c>
      <c r="I821">
        <v>1</v>
      </c>
      <c r="J821">
        <f t="shared" si="222"/>
        <v>0.33158501218570396</v>
      </c>
      <c r="K821">
        <f t="shared" si="227"/>
        <v>0.61477486496047373</v>
      </c>
      <c r="O821">
        <f t="shared" si="228"/>
        <v>0.26593642987175775</v>
      </c>
      <c r="P821">
        <f t="shared" si="229"/>
        <v>0.18776442751357492</v>
      </c>
      <c r="Q821">
        <f t="shared" si="230"/>
        <v>0.94552754324110677</v>
      </c>
      <c r="R821">
        <f t="shared" si="220"/>
        <v>1</v>
      </c>
      <c r="AG821" s="8">
        <f t="shared" si="223"/>
        <v>0.66636373028597395</v>
      </c>
      <c r="AH821" s="8">
        <f t="shared" si="224"/>
        <v>1.4328939378213834E-2</v>
      </c>
      <c r="AI821" s="8">
        <f t="shared" si="225"/>
        <v>0.74548914174229075</v>
      </c>
      <c r="AJ821" s="8"/>
      <c r="AK821" s="8"/>
      <c r="AL821" s="8"/>
      <c r="AN821" s="8">
        <f t="shared" si="231"/>
        <v>1</v>
      </c>
      <c r="AO821" s="8">
        <f t="shared" si="232"/>
        <v>2.149986686794278E-2</v>
      </c>
      <c r="AP821" s="8">
        <f t="shared" si="233"/>
        <v>0.72952791005813944</v>
      </c>
      <c r="AQ821" s="8"/>
      <c r="AR821" s="8">
        <f t="shared" si="234"/>
        <v>1.2318516316262733</v>
      </c>
      <c r="AS821" s="8">
        <f t="shared" si="235"/>
        <v>48.201129716669094</v>
      </c>
    </row>
    <row r="822" spans="1:45">
      <c r="A822" s="19">
        <v>31.164466669999999</v>
      </c>
      <c r="B822" s="19">
        <v>1383.96721</v>
      </c>
      <c r="C822" s="19">
        <v>-240.55903069999999</v>
      </c>
      <c r="E822" s="9">
        <f t="shared" si="221"/>
        <v>423.96721000000002</v>
      </c>
      <c r="F822" s="9">
        <f t="shared" si="226"/>
        <v>299.44096930000001</v>
      </c>
      <c r="I822">
        <v>1</v>
      </c>
      <c r="J822">
        <f t="shared" si="222"/>
        <v>0.33163733935282114</v>
      </c>
      <c r="K822">
        <f t="shared" si="227"/>
        <v>0.61493052243886281</v>
      </c>
      <c r="O822">
        <f t="shared" si="228"/>
        <v>0.26594761265030697</v>
      </c>
      <c r="P822">
        <f t="shared" si="229"/>
        <v>0.18783436321650646</v>
      </c>
      <c r="Q822">
        <f t="shared" si="230"/>
        <v>0.9455105072502642</v>
      </c>
      <c r="R822">
        <f t="shared" si="220"/>
        <v>1</v>
      </c>
      <c r="AG822" s="8">
        <f t="shared" si="223"/>
        <v>0.66631307922551364</v>
      </c>
      <c r="AH822" s="8">
        <f t="shared" si="224"/>
        <v>1.4356110335278782E-2</v>
      </c>
      <c r="AI822" s="8">
        <f t="shared" si="225"/>
        <v>0.74553389094598232</v>
      </c>
      <c r="AJ822" s="8"/>
      <c r="AK822" s="8"/>
      <c r="AL822" s="8"/>
      <c r="AN822" s="8">
        <f t="shared" si="231"/>
        <v>1.0000000000000002</v>
      </c>
      <c r="AO822" s="8">
        <f t="shared" si="232"/>
        <v>2.1542259896079111E-2</v>
      </c>
      <c r="AP822" s="8">
        <f t="shared" si="233"/>
        <v>0.72946076873653598</v>
      </c>
      <c r="AQ822" s="8"/>
      <c r="AR822" s="8">
        <f t="shared" si="234"/>
        <v>1.2342805732192645</v>
      </c>
      <c r="AS822" s="8">
        <f t="shared" si="235"/>
        <v>48.204976631027897</v>
      </c>
    </row>
    <row r="823" spans="1:45">
      <c r="A823" s="19">
        <v>31.197833330000002</v>
      </c>
      <c r="B823" s="19">
        <v>1384.675765</v>
      </c>
      <c r="C823" s="19">
        <v>-241.196912</v>
      </c>
      <c r="E823" s="9">
        <f t="shared" si="221"/>
        <v>424.67576499999996</v>
      </c>
      <c r="F823" s="9">
        <f t="shared" si="226"/>
        <v>298.803088</v>
      </c>
      <c r="I823">
        <v>1</v>
      </c>
      <c r="J823">
        <f t="shared" si="222"/>
        <v>0.3317639611372038</v>
      </c>
      <c r="K823">
        <f t="shared" si="227"/>
        <v>0.61313990881230307</v>
      </c>
      <c r="O823">
        <f t="shared" si="228"/>
        <v>0.26638143700513006</v>
      </c>
      <c r="P823">
        <f t="shared" si="229"/>
        <v>0.18742674417272279</v>
      </c>
      <c r="Q823">
        <f t="shared" si="230"/>
        <v>0.94546927268309178</v>
      </c>
      <c r="R823">
        <f t="shared" si="220"/>
        <v>1</v>
      </c>
      <c r="AG823" s="8">
        <f t="shared" si="223"/>
        <v>0.6666685117854726</v>
      </c>
      <c r="AH823" s="8">
        <f t="shared" si="224"/>
        <v>1.4708672405965129E-2</v>
      </c>
      <c r="AI823" s="8">
        <f t="shared" si="225"/>
        <v>0.74520919905070759</v>
      </c>
      <c r="AJ823" s="8"/>
      <c r="AK823" s="8"/>
      <c r="AL823" s="8"/>
      <c r="AN823" s="8">
        <f t="shared" si="231"/>
        <v>1</v>
      </c>
      <c r="AO823" s="8">
        <f t="shared" si="232"/>
        <v>2.2059368703800711E-2</v>
      </c>
      <c r="AP823" s="8">
        <f t="shared" si="233"/>
        <v>0.72994781930602892</v>
      </c>
      <c r="AQ823" s="8"/>
      <c r="AR823" s="8">
        <f t="shared" si="234"/>
        <v>1.2639087254507542</v>
      </c>
      <c r="AS823" s="8">
        <f t="shared" si="235"/>
        <v>48.177070688986511</v>
      </c>
    </row>
    <row r="824" spans="1:45">
      <c r="A824" s="19">
        <v>31.231200000000001</v>
      </c>
      <c r="B824" s="19">
        <v>1385.2476300000001</v>
      </c>
      <c r="C824" s="19">
        <v>-241.6276244</v>
      </c>
      <c r="E824" s="9">
        <f t="shared" si="221"/>
        <v>425.24763000000007</v>
      </c>
      <c r="F824" s="9">
        <f t="shared" si="226"/>
        <v>298.3723756</v>
      </c>
      <c r="I824">
        <v>1</v>
      </c>
      <c r="J824">
        <f t="shared" si="222"/>
        <v>0.33189577823301908</v>
      </c>
      <c r="K824">
        <f t="shared" si="227"/>
        <v>0.61182835387793577</v>
      </c>
      <c r="O824">
        <f t="shared" si="228"/>
        <v>0.26672904719399948</v>
      </c>
      <c r="P824">
        <f t="shared" si="229"/>
        <v>0.18714879011271182</v>
      </c>
      <c r="Q824">
        <f t="shared" si="230"/>
        <v>0.94542633015075761</v>
      </c>
      <c r="R824">
        <f t="shared" si="220"/>
        <v>1</v>
      </c>
      <c r="AG824" s="8">
        <f t="shared" si="223"/>
        <v>0.66691695296981057</v>
      </c>
      <c r="AH824" s="8">
        <f t="shared" si="224"/>
        <v>1.5002175956564001E-2</v>
      </c>
      <c r="AI824" s="8">
        <f t="shared" si="225"/>
        <v>0.74498101489771651</v>
      </c>
      <c r="AJ824" s="8"/>
      <c r="AK824" s="8"/>
      <c r="AL824" s="8"/>
      <c r="AN824" s="8">
        <f t="shared" si="231"/>
        <v>1</v>
      </c>
      <c r="AO824" s="8">
        <f t="shared" si="232"/>
        <v>2.249102561629868E-2</v>
      </c>
      <c r="AP824" s="8">
        <f t="shared" si="233"/>
        <v>0.73028994591568874</v>
      </c>
      <c r="AQ824" s="8"/>
      <c r="AR824" s="8">
        <f t="shared" si="234"/>
        <v>1.2886408447345357</v>
      </c>
      <c r="AS824" s="8">
        <f t="shared" si="235"/>
        <v>48.157468278193882</v>
      </c>
    </row>
    <row r="825" spans="1:45">
      <c r="A825" s="19">
        <v>31.264566670000001</v>
      </c>
      <c r="B825" s="19">
        <v>1385.872912</v>
      </c>
      <c r="C825" s="19">
        <v>-241.67699930000001</v>
      </c>
      <c r="E825" s="9">
        <f t="shared" si="221"/>
        <v>425.87291200000004</v>
      </c>
      <c r="F825" s="9">
        <f t="shared" si="226"/>
        <v>298.32300069999997</v>
      </c>
      <c r="I825">
        <v>1</v>
      </c>
      <c r="J825">
        <f t="shared" si="222"/>
        <v>0.33218513701044255</v>
      </c>
      <c r="K825">
        <f t="shared" si="227"/>
        <v>0.61105992156883071</v>
      </c>
      <c r="O825">
        <f t="shared" si="228"/>
        <v>0.26709683117940419</v>
      </c>
      <c r="P825">
        <f t="shared" si="229"/>
        <v>0.1871007192749117</v>
      </c>
      <c r="Q825">
        <f t="shared" si="230"/>
        <v>0.9453320070857284</v>
      </c>
      <c r="R825">
        <f t="shared" si="220"/>
        <v>1</v>
      </c>
      <c r="AG825" s="8">
        <f t="shared" si="223"/>
        <v>0.66699686101507616</v>
      </c>
      <c r="AH825" s="8">
        <f t="shared" si="224"/>
        <v>1.5368026121933887E-2</v>
      </c>
      <c r="AI825" s="8">
        <f t="shared" si="225"/>
        <v>0.74490201447515969</v>
      </c>
      <c r="AJ825" s="8"/>
      <c r="AK825" s="8"/>
      <c r="AL825" s="8"/>
      <c r="AN825" s="8">
        <f t="shared" si="231"/>
        <v>1.0000000000000004</v>
      </c>
      <c r="AO825" s="8">
        <f t="shared" si="232"/>
        <v>2.3036551457158265E-2</v>
      </c>
      <c r="AP825" s="8">
        <f t="shared" si="233"/>
        <v>0.73040836428864964</v>
      </c>
      <c r="AQ825" s="8"/>
      <c r="AR825" s="8">
        <f t="shared" si="234"/>
        <v>1.3198971730311153</v>
      </c>
      <c r="AS825" s="8">
        <f t="shared" si="235"/>
        <v>48.150683405206415</v>
      </c>
    </row>
    <row r="826" spans="1:45">
      <c r="A826" s="19">
        <v>31.297933329999999</v>
      </c>
      <c r="B826" s="19">
        <v>1386.463469</v>
      </c>
      <c r="C826" s="19">
        <v>-241.71998160000001</v>
      </c>
      <c r="E826" s="9">
        <f t="shared" si="221"/>
        <v>426.46346900000003</v>
      </c>
      <c r="F826" s="9">
        <f t="shared" si="226"/>
        <v>298.28001840000002</v>
      </c>
      <c r="I826">
        <v>1</v>
      </c>
      <c r="J826">
        <f t="shared" si="222"/>
        <v>0.33245979521849045</v>
      </c>
      <c r="K826">
        <f t="shared" si="227"/>
        <v>0.61034122414539971</v>
      </c>
      <c r="O826">
        <f t="shared" si="228"/>
        <v>0.26744398617295057</v>
      </c>
      <c r="P826">
        <f t="shared" si="229"/>
        <v>0.18705751586107611</v>
      </c>
      <c r="Q826">
        <f t="shared" si="230"/>
        <v>0.9452424027834373</v>
      </c>
      <c r="R826">
        <f t="shared" si="220"/>
        <v>1</v>
      </c>
      <c r="AG826" s="8">
        <f t="shared" si="223"/>
        <v>0.66707056973240586</v>
      </c>
      <c r="AH826" s="8">
        <f t="shared" si="224"/>
        <v>1.5713883746919122E-2</v>
      </c>
      <c r="AI826" s="8">
        <f t="shared" si="225"/>
        <v>0.74482879163903948</v>
      </c>
      <c r="AJ826" s="8"/>
      <c r="AK826" s="8"/>
      <c r="AL826" s="8"/>
      <c r="AN826" s="8">
        <f t="shared" si="231"/>
        <v>1</v>
      </c>
      <c r="AO826" s="8">
        <f t="shared" si="232"/>
        <v>2.3552197958733843E-2</v>
      </c>
      <c r="AP826" s="8">
        <f t="shared" si="233"/>
        <v>0.73051810831870534</v>
      </c>
      <c r="AQ826" s="8"/>
      <c r="AR826" s="8">
        <f t="shared" si="234"/>
        <v>1.3494415412920817</v>
      </c>
      <c r="AS826" s="8">
        <f t="shared" si="235"/>
        <v>48.14439553545747</v>
      </c>
    </row>
    <row r="827" spans="1:45">
      <c r="A827" s="19">
        <v>31.331299999999999</v>
      </c>
      <c r="B827" s="19">
        <v>1387.170869</v>
      </c>
      <c r="C827" s="19">
        <v>-242.47006680000001</v>
      </c>
      <c r="E827" s="9">
        <f t="shared" si="221"/>
        <v>427.17086900000004</v>
      </c>
      <c r="F827" s="9">
        <f t="shared" si="226"/>
        <v>297.52993319999996</v>
      </c>
      <c r="I827">
        <v>1</v>
      </c>
      <c r="J827">
        <f t="shared" si="222"/>
        <v>0.33254997107036821</v>
      </c>
      <c r="K827">
        <f t="shared" si="227"/>
        <v>0.60838165477834838</v>
      </c>
      <c r="O827">
        <f t="shared" si="228"/>
        <v>0.26787996766888084</v>
      </c>
      <c r="P827">
        <f t="shared" si="229"/>
        <v>0.18658179822215418</v>
      </c>
      <c r="Q827">
        <f t="shared" si="230"/>
        <v>0.94521296832719481</v>
      </c>
      <c r="R827">
        <f t="shared" si="220"/>
        <v>1</v>
      </c>
      <c r="AG827" s="8">
        <f t="shared" si="223"/>
        <v>0.66747608176522288</v>
      </c>
      <c r="AH827" s="8">
        <f t="shared" si="224"/>
        <v>1.6053662766335353E-2</v>
      </c>
      <c r="AI827" s="8">
        <f t="shared" si="225"/>
        <v>0.74445816550235389</v>
      </c>
      <c r="AJ827" s="8"/>
      <c r="AK827" s="8"/>
      <c r="AL827" s="8"/>
      <c r="AN827" s="8">
        <f t="shared" si="231"/>
        <v>0.99999999999999978</v>
      </c>
      <c r="AO827" s="8">
        <f t="shared" si="232"/>
        <v>2.4046656931081802E-2</v>
      </c>
      <c r="AP827" s="8">
        <f t="shared" si="233"/>
        <v>0.73107338475811745</v>
      </c>
      <c r="AQ827" s="8"/>
      <c r="AR827" s="8">
        <f t="shared" si="234"/>
        <v>1.3777719535499957</v>
      </c>
      <c r="AS827" s="8">
        <f t="shared" si="235"/>
        <v>48.112580539016101</v>
      </c>
    </row>
    <row r="828" spans="1:45">
      <c r="A828" s="19">
        <v>31.364666669999998</v>
      </c>
      <c r="B828" s="19">
        <v>1388.3430189999999</v>
      </c>
      <c r="C828" s="19">
        <v>-242.51183800000001</v>
      </c>
      <c r="E828" s="9">
        <f t="shared" si="221"/>
        <v>428.34301899999991</v>
      </c>
      <c r="F828" s="9">
        <f t="shared" si="226"/>
        <v>297.48816199999999</v>
      </c>
      <c r="I828">
        <v>1</v>
      </c>
      <c r="J828">
        <f t="shared" si="222"/>
        <v>0.33311112763449269</v>
      </c>
      <c r="K828">
        <f t="shared" si="227"/>
        <v>0.60703134138190329</v>
      </c>
      <c r="O828">
        <f t="shared" si="228"/>
        <v>0.26856727668596614</v>
      </c>
      <c r="P828">
        <f t="shared" si="229"/>
        <v>0.18652244105944801</v>
      </c>
      <c r="Q828">
        <f t="shared" si="230"/>
        <v>0.94502962751159736</v>
      </c>
      <c r="R828">
        <f t="shared" si="220"/>
        <v>1</v>
      </c>
      <c r="AG828" s="8">
        <f t="shared" si="223"/>
        <v>0.66760200560581517</v>
      </c>
      <c r="AH828" s="8">
        <f t="shared" si="224"/>
        <v>1.674449822227303E-2</v>
      </c>
      <c r="AI828" s="8">
        <f t="shared" si="225"/>
        <v>0.74433002350461286</v>
      </c>
      <c r="AJ828" s="8"/>
      <c r="AK828" s="8"/>
      <c r="AL828" s="8"/>
      <c r="AN828" s="8">
        <f t="shared" si="231"/>
        <v>1</v>
      </c>
      <c r="AO828" s="8">
        <f t="shared" si="232"/>
        <v>2.5076300207990853E-2</v>
      </c>
      <c r="AP828" s="8">
        <f t="shared" si="233"/>
        <v>0.73126528863472706</v>
      </c>
      <c r="AQ828" s="8"/>
      <c r="AR828" s="8">
        <f t="shared" si="234"/>
        <v>1.4367661677209043</v>
      </c>
      <c r="AS828" s="8">
        <f t="shared" si="235"/>
        <v>48.101585256814175</v>
      </c>
    </row>
    <row r="829" spans="1:45">
      <c r="A829" s="19">
        <v>31.398033330000001</v>
      </c>
      <c r="B829" s="19">
        <v>1388.338542</v>
      </c>
      <c r="C829" s="19">
        <v>-242.5308149</v>
      </c>
      <c r="E829" s="9">
        <f t="shared" si="221"/>
        <v>428.33854199999996</v>
      </c>
      <c r="F829" s="9">
        <f t="shared" si="226"/>
        <v>297.4691851</v>
      </c>
      <c r="I829">
        <v>1</v>
      </c>
      <c r="J829">
        <f t="shared" si="222"/>
        <v>0.3331024574595659</v>
      </c>
      <c r="K829">
        <f t="shared" si="227"/>
        <v>0.60700635045093676</v>
      </c>
      <c r="O829">
        <f t="shared" si="228"/>
        <v>0.26856520809468515</v>
      </c>
      <c r="P829">
        <f t="shared" si="229"/>
        <v>0.18651105554292594</v>
      </c>
      <c r="Q829">
        <f t="shared" si="230"/>
        <v>0.94503246249074535</v>
      </c>
      <c r="R829">
        <f t="shared" si="220"/>
        <v>1</v>
      </c>
      <c r="AG829" s="8">
        <f t="shared" si="223"/>
        <v>0.66761021556322453</v>
      </c>
      <c r="AH829" s="8">
        <f t="shared" si="224"/>
        <v>1.6739823195398185E-2</v>
      </c>
      <c r="AI829" s="8">
        <f t="shared" si="225"/>
        <v>0.74432276493132432</v>
      </c>
      <c r="AJ829" s="8"/>
      <c r="AK829" s="8"/>
      <c r="AL829" s="8"/>
      <c r="AN829" s="8">
        <f t="shared" si="231"/>
        <v>0.99999999999999978</v>
      </c>
      <c r="AO829" s="8">
        <f t="shared" si="232"/>
        <v>2.506899373247783E-2</v>
      </c>
      <c r="AP829" s="8">
        <f t="shared" si="233"/>
        <v>0.7312761577561846</v>
      </c>
      <c r="AQ829" s="8"/>
      <c r="AR829" s="8">
        <f t="shared" si="234"/>
        <v>1.4363475375108923</v>
      </c>
      <c r="AS829" s="8">
        <f t="shared" si="235"/>
        <v>48.100962502027642</v>
      </c>
    </row>
    <row r="830" spans="1:45">
      <c r="A830" s="19">
        <v>31.4314</v>
      </c>
      <c r="B830" s="19">
        <v>1388.759364</v>
      </c>
      <c r="C830" s="19">
        <v>-243.11871410000001</v>
      </c>
      <c r="E830" s="9">
        <f t="shared" si="221"/>
        <v>428.75936400000001</v>
      </c>
      <c r="F830" s="9">
        <f t="shared" si="226"/>
        <v>296.88128589999997</v>
      </c>
      <c r="I830">
        <v>1</v>
      </c>
      <c r="J830">
        <f t="shared" si="222"/>
        <v>0.33310891605707288</v>
      </c>
      <c r="K830">
        <f t="shared" si="227"/>
        <v>0.60562014936127373</v>
      </c>
      <c r="O830">
        <f t="shared" si="228"/>
        <v>0.26882850986063372</v>
      </c>
      <c r="P830">
        <f t="shared" si="229"/>
        <v>0.186142065678607</v>
      </c>
      <c r="Q830">
        <f t="shared" si="230"/>
        <v>0.94503035066129615</v>
      </c>
      <c r="R830">
        <f t="shared" si="220"/>
        <v>1</v>
      </c>
      <c r="AG830" s="8">
        <f t="shared" si="223"/>
        <v>0.66791544949944415</v>
      </c>
      <c r="AH830" s="8">
        <f t="shared" si="224"/>
        <v>1.6926820104717022E-2</v>
      </c>
      <c r="AI830" s="8">
        <f t="shared" si="225"/>
        <v>0.74404464589236718</v>
      </c>
      <c r="AJ830" s="8"/>
      <c r="AK830" s="8"/>
      <c r="AL830" s="8"/>
      <c r="AN830" s="8">
        <f t="shared" si="231"/>
        <v>1</v>
      </c>
      <c r="AO830" s="8">
        <f t="shared" si="232"/>
        <v>2.5337335335686786E-2</v>
      </c>
      <c r="AP830" s="8">
        <f t="shared" si="233"/>
        <v>0.73169251921389566</v>
      </c>
      <c r="AQ830" s="8"/>
      <c r="AR830" s="8">
        <f t="shared" si="234"/>
        <v>1.4517223788425397</v>
      </c>
      <c r="AS830" s="8">
        <f t="shared" si="235"/>
        <v>48.077106747748886</v>
      </c>
    </row>
    <row r="831" spans="1:45">
      <c r="A831" s="19">
        <v>31.464766669999999</v>
      </c>
      <c r="B831" s="19">
        <v>1389.375569</v>
      </c>
      <c r="C831" s="19">
        <v>-243.5075449</v>
      </c>
      <c r="E831" s="9">
        <f t="shared" si="221"/>
        <v>429.37556900000004</v>
      </c>
      <c r="F831" s="9">
        <f t="shared" si="226"/>
        <v>296.49245510000003</v>
      </c>
      <c r="I831">
        <v>1</v>
      </c>
      <c r="J831">
        <f t="shared" si="222"/>
        <v>0.33327971028171915</v>
      </c>
      <c r="K831">
        <f t="shared" si="227"/>
        <v>0.60433523094110542</v>
      </c>
      <c r="O831">
        <f t="shared" si="228"/>
        <v>0.26920027886436743</v>
      </c>
      <c r="P831">
        <f t="shared" si="229"/>
        <v>0.18588819988055943</v>
      </c>
      <c r="Q831">
        <f t="shared" si="230"/>
        <v>0.94497449013426393</v>
      </c>
      <c r="R831">
        <f t="shared" si="220"/>
        <v>1</v>
      </c>
      <c r="AG831" s="8">
        <f t="shared" si="223"/>
        <v>0.66814792102137266</v>
      </c>
      <c r="AH831" s="8">
        <f t="shared" si="224"/>
        <v>1.7250852454426535E-2</v>
      </c>
      <c r="AI831" s="8">
        <f t="shared" si="225"/>
        <v>0.74382845046718482</v>
      </c>
      <c r="AJ831" s="8"/>
      <c r="AK831" s="8"/>
      <c r="AL831" s="8"/>
      <c r="AN831" s="8">
        <f t="shared" si="231"/>
        <v>1</v>
      </c>
      <c r="AO831" s="8">
        <f t="shared" si="232"/>
        <v>2.5813177309310788E-2</v>
      </c>
      <c r="AP831" s="8">
        <f t="shared" si="233"/>
        <v>0.73201604386029984</v>
      </c>
      <c r="AQ831" s="8"/>
      <c r="AR831" s="8">
        <f t="shared" si="234"/>
        <v>1.4789861156463706</v>
      </c>
      <c r="AS831" s="8">
        <f t="shared" si="235"/>
        <v>48.058570150941463</v>
      </c>
    </row>
    <row r="832" spans="1:45">
      <c r="A832" s="19">
        <v>31.498133330000002</v>
      </c>
      <c r="B832" s="19">
        <v>1390.1335710000001</v>
      </c>
      <c r="C832" s="19">
        <v>-243.72381920000001</v>
      </c>
      <c r="E832" s="9">
        <f t="shared" si="221"/>
        <v>430.13357100000007</v>
      </c>
      <c r="F832" s="9">
        <f t="shared" si="226"/>
        <v>296.27618080000002</v>
      </c>
      <c r="I832">
        <v>1</v>
      </c>
      <c r="J832">
        <f t="shared" si="222"/>
        <v>0.33357929877390446</v>
      </c>
      <c r="K832">
        <f t="shared" si="227"/>
        <v>0.60316984834664222</v>
      </c>
      <c r="O832">
        <f t="shared" si="228"/>
        <v>0.26964986229784255</v>
      </c>
      <c r="P832">
        <f t="shared" si="229"/>
        <v>0.18573493617137524</v>
      </c>
      <c r="Q832">
        <f t="shared" si="230"/>
        <v>0.94487643914332509</v>
      </c>
      <c r="R832">
        <f t="shared" si="220"/>
        <v>1</v>
      </c>
      <c r="AG832" s="8">
        <f t="shared" si="223"/>
        <v>0.66831476002500445</v>
      </c>
      <c r="AH832" s="8">
        <f t="shared" si="224"/>
        <v>1.7677258516979599E-2</v>
      </c>
      <c r="AI832" s="8">
        <f t="shared" si="225"/>
        <v>0.74366853911137365</v>
      </c>
      <c r="AJ832" s="8"/>
      <c r="AK832" s="8"/>
      <c r="AL832" s="8"/>
      <c r="AN832" s="8">
        <f t="shared" si="231"/>
        <v>1</v>
      </c>
      <c r="AO832" s="8">
        <f t="shared" si="232"/>
        <v>2.6444332516615696E-2</v>
      </c>
      <c r="AP832" s="8">
        <f t="shared" si="233"/>
        <v>0.73225526754472947</v>
      </c>
      <c r="AQ832" s="8"/>
      <c r="AR832" s="8">
        <f t="shared" si="234"/>
        <v>1.5151486452426464</v>
      </c>
      <c r="AS832" s="8">
        <f t="shared" si="235"/>
        <v>48.044863643464076</v>
      </c>
    </row>
    <row r="833" spans="1:45">
      <c r="A833" s="19">
        <v>31.531500000000001</v>
      </c>
      <c r="B833" s="19">
        <v>1390.507597</v>
      </c>
      <c r="C833" s="19">
        <v>-243.49932870000001</v>
      </c>
      <c r="E833" s="9">
        <f t="shared" si="221"/>
        <v>430.50759700000003</v>
      </c>
      <c r="F833" s="9">
        <f t="shared" si="226"/>
        <v>296.50067130000002</v>
      </c>
      <c r="I833">
        <v>1</v>
      </c>
      <c r="J833">
        <f t="shared" si="222"/>
        <v>0.33383948496867771</v>
      </c>
      <c r="K833">
        <f t="shared" si="227"/>
        <v>0.60311763972661769</v>
      </c>
      <c r="O833">
        <f t="shared" si="228"/>
        <v>0.26986201965641049</v>
      </c>
      <c r="P833">
        <f t="shared" si="229"/>
        <v>0.18586029734220813</v>
      </c>
      <c r="Q833">
        <f t="shared" si="230"/>
        <v>0.94479121514693876</v>
      </c>
      <c r="R833">
        <f t="shared" si="220"/>
        <v>1</v>
      </c>
      <c r="AG833" s="8">
        <f t="shared" si="223"/>
        <v>0.66824672122863271</v>
      </c>
      <c r="AH833" s="8">
        <f t="shared" si="224"/>
        <v>1.7922831684658747E-2</v>
      </c>
      <c r="AI833" s="8">
        <f t="shared" si="225"/>
        <v>0.74372380066230614</v>
      </c>
      <c r="AJ833" s="8"/>
      <c r="AK833" s="8"/>
      <c r="AL833" s="8"/>
      <c r="AN833" s="8">
        <f t="shared" si="231"/>
        <v>1.0000000000000002</v>
      </c>
      <c r="AO833" s="8">
        <f t="shared" si="232"/>
        <v>2.6814251951632107E-2</v>
      </c>
      <c r="AP833" s="8">
        <f t="shared" si="233"/>
        <v>0.73217260474412116</v>
      </c>
      <c r="AQ833" s="8"/>
      <c r="AR833" s="8">
        <f t="shared" si="234"/>
        <v>1.5363434676289507</v>
      </c>
      <c r="AS833" s="8">
        <f t="shared" si="235"/>
        <v>48.049599873061659</v>
      </c>
    </row>
    <row r="834" spans="1:45">
      <c r="A834" s="19">
        <v>31.564866670000001</v>
      </c>
      <c r="B834" s="19">
        <v>1391.2959390000001</v>
      </c>
      <c r="C834" s="19">
        <v>-243.90180040000001</v>
      </c>
      <c r="E834" s="9">
        <f t="shared" si="221"/>
        <v>431.29593900000009</v>
      </c>
      <c r="F834" s="9">
        <f t="shared" si="226"/>
        <v>296.09819959999999</v>
      </c>
      <c r="I834">
        <v>1</v>
      </c>
      <c r="J834">
        <f t="shared" si="222"/>
        <v>0.33409136790220267</v>
      </c>
      <c r="K834">
        <f t="shared" si="227"/>
        <v>0.60162931738658176</v>
      </c>
      <c r="O834">
        <f t="shared" si="228"/>
        <v>0.27033452364880955</v>
      </c>
      <c r="P834">
        <f t="shared" si="229"/>
        <v>0.18559313571959257</v>
      </c>
      <c r="Q834">
        <f t="shared" si="230"/>
        <v>0.94470864995369874</v>
      </c>
      <c r="R834">
        <f t="shared" si="220"/>
        <v>1</v>
      </c>
      <c r="AG834" s="8">
        <f t="shared" si="223"/>
        <v>0.6685005202908284</v>
      </c>
      <c r="AH834" s="8">
        <f t="shared" si="224"/>
        <v>1.8347294423668559E-2</v>
      </c>
      <c r="AI834" s="8">
        <f t="shared" si="225"/>
        <v>0.74348532679416279</v>
      </c>
      <c r="AJ834" s="8"/>
      <c r="AK834" s="8"/>
      <c r="AL834" s="8"/>
      <c r="AN834" s="8">
        <f t="shared" si="231"/>
        <v>1</v>
      </c>
      <c r="AO834" s="8">
        <f t="shared" si="232"/>
        <v>2.7438557238020987E-2</v>
      </c>
      <c r="AP834" s="8">
        <f t="shared" si="233"/>
        <v>0.73252927070467688</v>
      </c>
      <c r="AQ834" s="8"/>
      <c r="AR834" s="8">
        <f t="shared" si="234"/>
        <v>1.5721135256667396</v>
      </c>
      <c r="AS834" s="8">
        <f t="shared" si="235"/>
        <v>48.029164418825836</v>
      </c>
    </row>
    <row r="835" spans="1:45">
      <c r="A835" s="19">
        <v>31.598233329999999</v>
      </c>
      <c r="B835" s="19">
        <v>1391.597049</v>
      </c>
      <c r="C835" s="19">
        <v>-244.12799100000001</v>
      </c>
      <c r="E835" s="9">
        <f t="shared" si="221"/>
        <v>431.59704899999997</v>
      </c>
      <c r="F835" s="9">
        <f t="shared" si="226"/>
        <v>295.87200899999999</v>
      </c>
      <c r="I835">
        <v>1</v>
      </c>
      <c r="J835">
        <f t="shared" si="222"/>
        <v>0.33416326578560612</v>
      </c>
      <c r="K835">
        <f t="shared" si="227"/>
        <v>0.60094726811377741</v>
      </c>
      <c r="O835">
        <f t="shared" si="228"/>
        <v>0.27051706627132377</v>
      </c>
      <c r="P835">
        <f t="shared" si="229"/>
        <v>0.18544711566478461</v>
      </c>
      <c r="Q835">
        <f t="shared" si="230"/>
        <v>0.94468507141140334</v>
      </c>
      <c r="R835">
        <f t="shared" si="220"/>
        <v>1</v>
      </c>
      <c r="AG835" s="8">
        <f t="shared" si="223"/>
        <v>0.66863026736602071</v>
      </c>
      <c r="AH835" s="8">
        <f t="shared" si="224"/>
        <v>1.8501705911966704E-2</v>
      </c>
      <c r="AI835" s="8">
        <f t="shared" si="225"/>
        <v>0.74336481786562292</v>
      </c>
      <c r="AJ835" s="8"/>
      <c r="AK835" s="8"/>
      <c r="AL835" s="8"/>
      <c r="AN835" s="8">
        <f t="shared" si="231"/>
        <v>1</v>
      </c>
      <c r="AO835" s="8">
        <f t="shared" si="232"/>
        <v>2.7663997292409447E-2</v>
      </c>
      <c r="AP835" s="8">
        <f t="shared" si="233"/>
        <v>0.73270945232024753</v>
      </c>
      <c r="AQ835" s="8"/>
      <c r="AR835" s="8">
        <f t="shared" si="234"/>
        <v>1.5850302893163981</v>
      </c>
      <c r="AS835" s="8">
        <f t="shared" si="235"/>
        <v>48.01884077270779</v>
      </c>
    </row>
    <row r="836" spans="1:45">
      <c r="A836" s="19">
        <v>31.631599999999999</v>
      </c>
      <c r="B836" s="19">
        <v>1392.529423</v>
      </c>
      <c r="C836" s="19">
        <v>-244.4305257</v>
      </c>
      <c r="E836" s="9">
        <f t="shared" si="221"/>
        <v>432.52942299999995</v>
      </c>
      <c r="F836" s="9">
        <f t="shared" si="226"/>
        <v>295.56947430000002</v>
      </c>
      <c r="I836">
        <v>1</v>
      </c>
      <c r="J836">
        <f t="shared" si="222"/>
        <v>0.33452081376696585</v>
      </c>
      <c r="K836">
        <f t="shared" si="227"/>
        <v>0.59946462336599016</v>
      </c>
      <c r="O836">
        <f t="shared" si="228"/>
        <v>0.27107057959329506</v>
      </c>
      <c r="P836">
        <f t="shared" si="229"/>
        <v>0.18523638959143493</v>
      </c>
      <c r="Q836">
        <f t="shared" si="230"/>
        <v>0.94456774285917966</v>
      </c>
      <c r="R836">
        <f t="shared" si="220"/>
        <v>1</v>
      </c>
      <c r="AG836" s="8">
        <f t="shared" si="223"/>
        <v>0.66885133516521189</v>
      </c>
      <c r="AH836" s="8">
        <f t="shared" si="224"/>
        <v>1.9022011082801604E-2</v>
      </c>
      <c r="AI836" s="8">
        <f t="shared" si="225"/>
        <v>0.74315278008097319</v>
      </c>
      <c r="AJ836" s="8"/>
      <c r="AK836" s="8"/>
      <c r="AL836" s="8"/>
      <c r="AN836" s="8">
        <f t="shared" si="231"/>
        <v>1</v>
      </c>
      <c r="AO836" s="8">
        <f t="shared" si="232"/>
        <v>2.8432155380896388E-2</v>
      </c>
      <c r="AP836" s="8">
        <f t="shared" si="233"/>
        <v>0.73302639779062684</v>
      </c>
      <c r="AQ836" s="8"/>
      <c r="AR836" s="8">
        <f t="shared" si="234"/>
        <v>1.6290425057855367</v>
      </c>
      <c r="AS836" s="8">
        <f t="shared" si="235"/>
        <v>48.000681134919269</v>
      </c>
    </row>
    <row r="837" spans="1:45">
      <c r="A837" s="19">
        <v>31.664966669999998</v>
      </c>
      <c r="B837" s="19">
        <v>1393.2977860000001</v>
      </c>
      <c r="C837" s="19">
        <v>-244.87031709999999</v>
      </c>
      <c r="E837" s="9">
        <f t="shared" si="221"/>
        <v>433.29778600000009</v>
      </c>
      <c r="F837" s="9">
        <f t="shared" si="226"/>
        <v>295.12968290000003</v>
      </c>
      <c r="I837">
        <v>1</v>
      </c>
      <c r="J837">
        <f t="shared" si="222"/>
        <v>0.3347518691730475</v>
      </c>
      <c r="K837">
        <f t="shared" si="227"/>
        <v>0.59794511094001102</v>
      </c>
      <c r="O837">
        <f t="shared" si="228"/>
        <v>0.27153210856412757</v>
      </c>
      <c r="P837">
        <f t="shared" si="229"/>
        <v>0.18494713725054515</v>
      </c>
      <c r="Q837">
        <f t="shared" si="230"/>
        <v>0.94449185832464799</v>
      </c>
      <c r="R837">
        <f t="shared" si="220"/>
        <v>1</v>
      </c>
      <c r="AG837" s="8">
        <f t="shared" si="223"/>
        <v>0.66911965257868511</v>
      </c>
      <c r="AH837" s="8">
        <f t="shared" si="224"/>
        <v>1.9430496780606321E-2</v>
      </c>
      <c r="AI837" s="8">
        <f t="shared" si="225"/>
        <v>0.74290063018403651</v>
      </c>
      <c r="AJ837" s="8"/>
      <c r="AK837" s="8"/>
      <c r="AL837" s="8"/>
      <c r="AN837" s="8">
        <f t="shared" si="231"/>
        <v>1</v>
      </c>
      <c r="AO837" s="8">
        <f t="shared" si="232"/>
        <v>2.9030738866701884E-2</v>
      </c>
      <c r="AP837" s="8">
        <f t="shared" si="233"/>
        <v>0.73340315605714967</v>
      </c>
      <c r="AQ837" s="8"/>
      <c r="AR837" s="8">
        <f t="shared" si="234"/>
        <v>1.6633388132084206</v>
      </c>
      <c r="AS837" s="8">
        <f t="shared" si="235"/>
        <v>47.979094476350845</v>
      </c>
    </row>
    <row r="838" spans="1:45">
      <c r="A838" s="19">
        <v>31.698333330000001</v>
      </c>
      <c r="B838" s="19">
        <v>1393.825783</v>
      </c>
      <c r="C838" s="19">
        <v>-245.4668968</v>
      </c>
      <c r="E838" s="9">
        <f t="shared" si="221"/>
        <v>433.825783</v>
      </c>
      <c r="F838" s="9">
        <f t="shared" si="226"/>
        <v>294.53310320000003</v>
      </c>
      <c r="I838">
        <v>1</v>
      </c>
      <c r="J838">
        <f t="shared" si="222"/>
        <v>0.33481226951266535</v>
      </c>
      <c r="K838">
        <f t="shared" si="227"/>
        <v>0.59643793702589387</v>
      </c>
      <c r="O838">
        <f t="shared" si="228"/>
        <v>0.27185774494150161</v>
      </c>
      <c r="P838">
        <f t="shared" si="229"/>
        <v>0.18456972449370204</v>
      </c>
      <c r="Q838">
        <f t="shared" si="230"/>
        <v>0.94447201298696004</v>
      </c>
      <c r="R838">
        <f t="shared" si="220"/>
        <v>1</v>
      </c>
      <c r="AG838" s="8">
        <f t="shared" si="223"/>
        <v>0.66943731651854221</v>
      </c>
      <c r="AH838" s="8">
        <f t="shared" si="224"/>
        <v>1.9679949918325945E-2</v>
      </c>
      <c r="AI838" s="8">
        <f t="shared" si="225"/>
        <v>0.74260782302886197</v>
      </c>
      <c r="AJ838" s="8"/>
      <c r="AK838" s="8"/>
      <c r="AL838" s="8"/>
      <c r="AN838" s="8">
        <f t="shared" si="231"/>
        <v>1.0000000000000002</v>
      </c>
      <c r="AO838" s="8">
        <f t="shared" si="232"/>
        <v>2.9389284182439232E-2</v>
      </c>
      <c r="AP838" s="8">
        <f t="shared" si="233"/>
        <v>0.73384046615438769</v>
      </c>
      <c r="AQ838" s="8"/>
      <c r="AR838" s="8">
        <f t="shared" si="234"/>
        <v>1.6838819465643562</v>
      </c>
      <c r="AS838" s="8">
        <f t="shared" si="235"/>
        <v>47.954038453440653</v>
      </c>
    </row>
    <row r="839" spans="1:45">
      <c r="A839" s="19">
        <v>31.7317</v>
      </c>
      <c r="B839" s="19">
        <v>1394.3943979999999</v>
      </c>
      <c r="C839" s="19">
        <v>-245.60937620000001</v>
      </c>
      <c r="E839" s="9">
        <f t="shared" si="221"/>
        <v>434.39439799999991</v>
      </c>
      <c r="F839" s="9">
        <f t="shared" si="226"/>
        <v>294.39062379999996</v>
      </c>
      <c r="I839">
        <v>1</v>
      </c>
      <c r="J839">
        <f t="shared" si="222"/>
        <v>0.33504550494429619</v>
      </c>
      <c r="K839">
        <f t="shared" si="227"/>
        <v>0.59560464828557302</v>
      </c>
      <c r="O839">
        <f t="shared" si="228"/>
        <v>0.27219379646524622</v>
      </c>
      <c r="P839">
        <f t="shared" si="229"/>
        <v>0.1844667010091002</v>
      </c>
      <c r="Q839">
        <f t="shared" si="230"/>
        <v>0.94439534803209157</v>
      </c>
      <c r="R839">
        <f t="shared" si="220"/>
        <v>1</v>
      </c>
      <c r="AG839" s="8">
        <f t="shared" si="223"/>
        <v>0.66955265301300115</v>
      </c>
      <c r="AH839" s="8">
        <f t="shared" si="224"/>
        <v>2.0001577934136261E-2</v>
      </c>
      <c r="AI839" s="8">
        <f t="shared" si="225"/>
        <v>0.74249524020251889</v>
      </c>
      <c r="AJ839" s="8"/>
      <c r="AK839" s="8"/>
      <c r="AL839" s="8"/>
      <c r="AN839" s="8">
        <f t="shared" si="231"/>
        <v>0.99999999999999989</v>
      </c>
      <c r="AO839" s="8">
        <f t="shared" si="232"/>
        <v>2.9864165621949188E-2</v>
      </c>
      <c r="AP839" s="8">
        <f t="shared" si="233"/>
        <v>0.73400855317463787</v>
      </c>
      <c r="AQ839" s="8"/>
      <c r="AR839" s="8">
        <f t="shared" si="234"/>
        <v>1.7110906488173736</v>
      </c>
      <c r="AS839" s="8">
        <f t="shared" si="235"/>
        <v>47.944407776589387</v>
      </c>
    </row>
    <row r="840" spans="1:45">
      <c r="A840" s="19">
        <v>31.76506667</v>
      </c>
      <c r="B840" s="19">
        <v>1394.9778329999999</v>
      </c>
      <c r="C840" s="19">
        <v>-245.6133739</v>
      </c>
      <c r="E840" s="9">
        <f t="shared" si="221"/>
        <v>434.97783299999992</v>
      </c>
      <c r="F840" s="9">
        <f t="shared" si="226"/>
        <v>294.3866261</v>
      </c>
      <c r="I840">
        <v>1</v>
      </c>
      <c r="J840">
        <f t="shared" si="222"/>
        <v>0.33533257826341256</v>
      </c>
      <c r="K840">
        <f t="shared" si="227"/>
        <v>0.59497517113713871</v>
      </c>
      <c r="O840">
        <f t="shared" si="228"/>
        <v>0.27253437257755708</v>
      </c>
      <c r="P840">
        <f t="shared" si="229"/>
        <v>0.184447271452997</v>
      </c>
      <c r="Q840">
        <f t="shared" si="230"/>
        <v>0.94430091592526888</v>
      </c>
      <c r="R840">
        <f t="shared" si="220"/>
        <v>1</v>
      </c>
      <c r="AG840" s="8">
        <f t="shared" si="223"/>
        <v>0.66960645689718501</v>
      </c>
      <c r="AH840" s="8">
        <f t="shared" si="224"/>
        <v>2.0346599834633383E-2</v>
      </c>
      <c r="AI840" s="8">
        <f t="shared" si="225"/>
        <v>0.74243734332047673</v>
      </c>
      <c r="AJ840" s="8"/>
      <c r="AK840" s="8"/>
      <c r="AL840" s="8"/>
      <c r="AN840" s="8">
        <f t="shared" si="231"/>
        <v>0.99999999999999978</v>
      </c>
      <c r="AO840" s="8">
        <f t="shared" si="232"/>
        <v>3.0376560834808459E-2</v>
      </c>
      <c r="AP840" s="8">
        <f t="shared" si="233"/>
        <v>0.73409498146918006</v>
      </c>
      <c r="AQ840" s="8"/>
      <c r="AR840" s="8">
        <f t="shared" si="234"/>
        <v>1.7404487319569173</v>
      </c>
      <c r="AS840" s="8">
        <f t="shared" si="235"/>
        <v>47.939455800081603</v>
      </c>
    </row>
    <row r="841" spans="1:45">
      <c r="A841" s="19">
        <v>31.798433330000002</v>
      </c>
      <c r="B841" s="19">
        <v>1395.4091579999999</v>
      </c>
      <c r="C841" s="19">
        <v>-245.88628439999999</v>
      </c>
      <c r="E841" s="9">
        <f t="shared" si="221"/>
        <v>435.40915799999993</v>
      </c>
      <c r="F841" s="9">
        <f t="shared" si="226"/>
        <v>294.11371559999998</v>
      </c>
      <c r="I841">
        <v>1</v>
      </c>
      <c r="J841">
        <f t="shared" si="222"/>
        <v>0.33545462605501608</v>
      </c>
      <c r="K841">
        <f t="shared" si="227"/>
        <v>0.59408492763646226</v>
      </c>
      <c r="O841">
        <f t="shared" si="228"/>
        <v>0.27279396856846505</v>
      </c>
      <c r="P841">
        <f t="shared" si="229"/>
        <v>0.18426908624861968</v>
      </c>
      <c r="Q841">
        <f t="shared" si="230"/>
        <v>0.94426074500943125</v>
      </c>
      <c r="R841">
        <f t="shared" si="220"/>
        <v>1</v>
      </c>
      <c r="AG841" s="8">
        <f t="shared" si="223"/>
        <v>0.66976848194392413</v>
      </c>
      <c r="AH841" s="8">
        <f t="shared" si="224"/>
        <v>2.0573038693584955E-2</v>
      </c>
      <c r="AI841" s="8">
        <f t="shared" si="225"/>
        <v>0.7422849390048567</v>
      </c>
      <c r="AJ841" s="8"/>
      <c r="AK841" s="8"/>
      <c r="AL841" s="8"/>
      <c r="AN841" s="8">
        <f t="shared" si="231"/>
        <v>1.0000000000000002</v>
      </c>
      <c r="AO841" s="8">
        <f t="shared" si="232"/>
        <v>3.0706986973599051E-2</v>
      </c>
      <c r="AP841" s="8">
        <f t="shared" si="233"/>
        <v>0.73432245061545998</v>
      </c>
      <c r="AQ841" s="8"/>
      <c r="AR841" s="8">
        <f t="shared" si="234"/>
        <v>1.7593807551504221</v>
      </c>
      <c r="AS841" s="8">
        <f t="shared" si="235"/>
        <v>47.926422778030322</v>
      </c>
    </row>
    <row r="842" spans="1:45">
      <c r="A842" s="19">
        <v>31.831800000000001</v>
      </c>
      <c r="B842" s="19">
        <v>1396.2046849999999</v>
      </c>
      <c r="C842" s="19">
        <v>-246.57800589999999</v>
      </c>
      <c r="E842" s="9">
        <f t="shared" si="221"/>
        <v>436.20468499999993</v>
      </c>
      <c r="F842" s="9">
        <f t="shared" si="226"/>
        <v>293.42199410000001</v>
      </c>
      <c r="I842">
        <v>1</v>
      </c>
      <c r="J842">
        <f t="shared" si="222"/>
        <v>0.33561758820516885</v>
      </c>
      <c r="K842">
        <f t="shared" si="227"/>
        <v>0.59214754747522003</v>
      </c>
      <c r="O842">
        <f t="shared" si="228"/>
        <v>0.27327813200318918</v>
      </c>
      <c r="P842">
        <f t="shared" si="229"/>
        <v>0.18382611923642866</v>
      </c>
      <c r="Q842">
        <f t="shared" si="230"/>
        <v>0.94420708557779942</v>
      </c>
      <c r="R842">
        <f t="shared" si="220"/>
        <v>1</v>
      </c>
      <c r="AG842" s="8">
        <f t="shared" si="223"/>
        <v>0.67015241780634804</v>
      </c>
      <c r="AH842" s="8">
        <f t="shared" si="224"/>
        <v>2.0970691686248377E-2</v>
      </c>
      <c r="AI842" s="8">
        <f t="shared" si="225"/>
        <v>0.74192719790994743</v>
      </c>
      <c r="AJ842" s="8"/>
      <c r="AK842" s="8"/>
      <c r="AL842" s="8"/>
      <c r="AN842" s="8">
        <f t="shared" si="231"/>
        <v>1</v>
      </c>
      <c r="AO842" s="8">
        <f t="shared" si="232"/>
        <v>3.1282213128030485E-2</v>
      </c>
      <c r="AP842" s="8">
        <f t="shared" si="233"/>
        <v>0.73485616756814931</v>
      </c>
      <c r="AQ842" s="8"/>
      <c r="AR842" s="8">
        <f t="shared" si="234"/>
        <v>1.7923387860648841</v>
      </c>
      <c r="AS842" s="8">
        <f t="shared" si="235"/>
        <v>47.895843049186638</v>
      </c>
    </row>
    <row r="843" spans="1:45">
      <c r="A843" s="19">
        <v>31.865166670000001</v>
      </c>
      <c r="B843" s="19">
        <v>1396.366072</v>
      </c>
      <c r="C843" s="19">
        <v>-246.59707460000001</v>
      </c>
      <c r="E843" s="9">
        <f t="shared" si="221"/>
        <v>436.36607200000003</v>
      </c>
      <c r="F843" s="9">
        <f t="shared" si="226"/>
        <v>293.40292539999996</v>
      </c>
      <c r="I843">
        <v>1</v>
      </c>
      <c r="J843">
        <f t="shared" si="222"/>
        <v>0.33569116586768505</v>
      </c>
      <c r="K843">
        <f t="shared" si="227"/>
        <v>0.59194615405365303</v>
      </c>
      <c r="O843">
        <f t="shared" si="228"/>
        <v>0.27337279932865388</v>
      </c>
      <c r="P843">
        <f t="shared" si="229"/>
        <v>0.18380984268596895</v>
      </c>
      <c r="Q843">
        <f t="shared" si="230"/>
        <v>0.9441828500449343</v>
      </c>
      <c r="R843">
        <f t="shared" si="220"/>
        <v>1</v>
      </c>
      <c r="AG843" s="8">
        <f t="shared" si="223"/>
        <v>0.6701753527692107</v>
      </c>
      <c r="AH843" s="8">
        <f t="shared" si="224"/>
        <v>2.10641915536392E-2</v>
      </c>
      <c r="AI843" s="8">
        <f t="shared" si="225"/>
        <v>0.74190383229557166</v>
      </c>
      <c r="AJ843" s="8"/>
      <c r="AK843" s="8"/>
      <c r="AL843" s="8"/>
      <c r="AN843" s="8">
        <f t="shared" si="231"/>
        <v>1</v>
      </c>
      <c r="AO843" s="8">
        <f t="shared" si="232"/>
        <v>3.1420521721224892E-2</v>
      </c>
      <c r="AP843" s="8">
        <f t="shared" si="233"/>
        <v>0.73489101595768858</v>
      </c>
      <c r="AQ843" s="8"/>
      <c r="AR843" s="8">
        <f t="shared" si="234"/>
        <v>1.8002632847253153</v>
      </c>
      <c r="AS843" s="8">
        <f t="shared" si="235"/>
        <v>47.893846383543213</v>
      </c>
    </row>
    <row r="844" spans="1:45">
      <c r="A844" s="19">
        <v>31.898533329999999</v>
      </c>
      <c r="B844" s="19">
        <v>1397.350954</v>
      </c>
      <c r="C844" s="19">
        <v>-246.76128929999999</v>
      </c>
      <c r="E844" s="9">
        <f t="shared" si="221"/>
        <v>437.350954</v>
      </c>
      <c r="F844" s="9">
        <f t="shared" si="226"/>
        <v>293.23871070000001</v>
      </c>
      <c r="I844">
        <v>1</v>
      </c>
      <c r="J844">
        <f t="shared" si="222"/>
        <v>0.33612447962497843</v>
      </c>
      <c r="K844">
        <f t="shared" si="227"/>
        <v>0.59064370571225921</v>
      </c>
      <c r="O844">
        <f t="shared" si="228"/>
        <v>0.27395175853982873</v>
      </c>
      <c r="P844">
        <f t="shared" si="229"/>
        <v>0.18368145703922961</v>
      </c>
      <c r="Q844">
        <f t="shared" si="230"/>
        <v>0.94404001839587348</v>
      </c>
      <c r="R844">
        <f t="shared" si="220"/>
        <v>1</v>
      </c>
      <c r="AG844" s="8">
        <f t="shared" si="223"/>
        <v>0.67033681313962623</v>
      </c>
      <c r="AH844" s="8">
        <f t="shared" si="224"/>
        <v>2.1629624070476416E-2</v>
      </c>
      <c r="AI844" s="8">
        <f t="shared" si="225"/>
        <v>0.74174167761585286</v>
      </c>
      <c r="AJ844" s="8"/>
      <c r="AK844" s="8"/>
      <c r="AL844" s="8"/>
      <c r="AN844" s="8">
        <f t="shared" si="231"/>
        <v>1</v>
      </c>
      <c r="AO844" s="8">
        <f t="shared" si="232"/>
        <v>3.2255609116679504E-2</v>
      </c>
      <c r="AP844" s="8">
        <f t="shared" si="233"/>
        <v>0.73513282276933101</v>
      </c>
      <c r="AQ844" s="8"/>
      <c r="AR844" s="8">
        <f t="shared" si="234"/>
        <v>1.848110268009437</v>
      </c>
      <c r="AS844" s="8">
        <f t="shared" si="235"/>
        <v>47.879991873778586</v>
      </c>
    </row>
    <row r="845" spans="1:45">
      <c r="A845" s="19">
        <v>31.931899999999999</v>
      </c>
      <c r="B845" s="19">
        <v>1397.3574759999999</v>
      </c>
      <c r="C845" s="19">
        <v>-247.21817870000001</v>
      </c>
      <c r="E845" s="9">
        <f t="shared" si="221"/>
        <v>437.35747599999991</v>
      </c>
      <c r="F845" s="9">
        <f t="shared" si="226"/>
        <v>292.78182129999999</v>
      </c>
      <c r="I845">
        <v>1</v>
      </c>
      <c r="J845">
        <f t="shared" si="222"/>
        <v>0.33597597399458579</v>
      </c>
      <c r="K845">
        <f t="shared" si="227"/>
        <v>0.58991577727288769</v>
      </c>
      <c r="O845">
        <f t="shared" si="228"/>
        <v>0.27396888936991476</v>
      </c>
      <c r="P845">
        <f t="shared" si="229"/>
        <v>0.18340399972781499</v>
      </c>
      <c r="Q845">
        <f t="shared" si="230"/>
        <v>0.9440889897362722</v>
      </c>
      <c r="R845">
        <f t="shared" si="220"/>
        <v>1</v>
      </c>
      <c r="AG845" s="8">
        <f t="shared" si="223"/>
        <v>0.67054423355590465</v>
      </c>
      <c r="AH845" s="8">
        <f t="shared" si="224"/>
        <v>2.1585162419953785E-2</v>
      </c>
      <c r="AI845" s="8">
        <f t="shared" si="225"/>
        <v>0.74155546765446245</v>
      </c>
      <c r="AJ845" s="8"/>
      <c r="AK845" s="8"/>
      <c r="AL845" s="8"/>
      <c r="AN845" s="8">
        <f t="shared" si="231"/>
        <v>0.99999999999999989</v>
      </c>
      <c r="AO845" s="8">
        <f t="shared" si="232"/>
        <v>3.2179400325671452E-2</v>
      </c>
      <c r="AP845" s="8">
        <f t="shared" si="233"/>
        <v>0.73541042133627066</v>
      </c>
      <c r="AQ845" s="8"/>
      <c r="AR845" s="8">
        <f t="shared" si="234"/>
        <v>1.8437438259228811</v>
      </c>
      <c r="AS845" s="8">
        <f t="shared" si="235"/>
        <v>47.864086647494062</v>
      </c>
    </row>
    <row r="846" spans="1:45">
      <c r="A846" s="19">
        <v>31.965266669999998</v>
      </c>
      <c r="B846" s="19">
        <v>1398.352997</v>
      </c>
      <c r="C846" s="19">
        <v>-247.4894716</v>
      </c>
      <c r="E846" s="9">
        <f t="shared" si="221"/>
        <v>438.35299699999996</v>
      </c>
      <c r="F846" s="9">
        <f t="shared" si="226"/>
        <v>292.5105284</v>
      </c>
      <c r="I846">
        <v>1</v>
      </c>
      <c r="J846">
        <f t="shared" si="222"/>
        <v>0.3363798516650221</v>
      </c>
      <c r="K846">
        <f t="shared" si="227"/>
        <v>0.58843710689862405</v>
      </c>
      <c r="O846">
        <f t="shared" si="228"/>
        <v>0.27455692734863663</v>
      </c>
      <c r="P846">
        <f t="shared" si="229"/>
        <v>0.1832103178129523</v>
      </c>
      <c r="Q846">
        <f t="shared" si="230"/>
        <v>0.94395575801610132</v>
      </c>
      <c r="R846">
        <f t="shared" si="220"/>
        <v>1</v>
      </c>
      <c r="AG846" s="8">
        <f t="shared" si="223"/>
        <v>0.67075474849451688</v>
      </c>
      <c r="AH846" s="8">
        <f t="shared" si="224"/>
        <v>2.2145442150919792E-2</v>
      </c>
      <c r="AI846" s="8">
        <f t="shared" si="225"/>
        <v>0.74134853258369482</v>
      </c>
      <c r="AJ846" s="8"/>
      <c r="AK846" s="8"/>
      <c r="AL846" s="8"/>
      <c r="AN846" s="8">
        <f t="shared" si="231"/>
        <v>1</v>
      </c>
      <c r="AO846" s="8">
        <f t="shared" si="232"/>
        <v>3.3003718586218068E-2</v>
      </c>
      <c r="AP846" s="8">
        <f t="shared" si="233"/>
        <v>0.73571881664463801</v>
      </c>
      <c r="AQ846" s="8"/>
      <c r="AR846" s="8">
        <f t="shared" si="234"/>
        <v>1.8909737832277675</v>
      </c>
      <c r="AS846" s="8">
        <f t="shared" si="235"/>
        <v>47.846416897902976</v>
      </c>
    </row>
    <row r="847" spans="1:45">
      <c r="A847" s="19">
        <v>31.998633330000001</v>
      </c>
      <c r="B847" s="19">
        <v>1398.5496989999999</v>
      </c>
      <c r="C847" s="19">
        <v>-247.51155309999999</v>
      </c>
      <c r="E847" s="9">
        <f t="shared" si="221"/>
        <v>438.54969899999992</v>
      </c>
      <c r="F847" s="9">
        <f t="shared" si="226"/>
        <v>292.48844689999999</v>
      </c>
      <c r="I847">
        <v>1</v>
      </c>
      <c r="J847">
        <f t="shared" si="222"/>
        <v>0.33647015401097202</v>
      </c>
      <c r="K847">
        <f t="shared" si="227"/>
        <v>0.58819514153097385</v>
      </c>
      <c r="O847">
        <f t="shared" si="228"/>
        <v>0.27467216478606826</v>
      </c>
      <c r="P847">
        <f t="shared" si="229"/>
        <v>0.18319117552270395</v>
      </c>
      <c r="Q847">
        <f t="shared" si="230"/>
        <v>0.94392594789122353</v>
      </c>
      <c r="R847">
        <f t="shared" si="220"/>
        <v>1</v>
      </c>
      <c r="AG847" s="8">
        <f t="shared" si="223"/>
        <v>0.67078203983105955</v>
      </c>
      <c r="AH847" s="8">
        <f t="shared" si="224"/>
        <v>2.2259459020966377E-2</v>
      </c>
      <c r="AI847" s="8">
        <f t="shared" si="225"/>
        <v>0.74132042432687417</v>
      </c>
      <c r="AJ847" s="8"/>
      <c r="AK847" s="8"/>
      <c r="AL847" s="8"/>
      <c r="AN847" s="8">
        <f t="shared" si="231"/>
        <v>1</v>
      </c>
      <c r="AO847" s="8">
        <f t="shared" si="232"/>
        <v>3.3172166792833337E-2</v>
      </c>
      <c r="AP847" s="8">
        <f t="shared" si="233"/>
        <v>0.73576069827134483</v>
      </c>
      <c r="AQ847" s="8"/>
      <c r="AR847" s="8">
        <f t="shared" si="234"/>
        <v>1.9006251545333701</v>
      </c>
      <c r="AS847" s="8">
        <f t="shared" si="235"/>
        <v>47.844017257453537</v>
      </c>
    </row>
    <row r="848" spans="1:45">
      <c r="A848" s="19">
        <v>32.031999999999996</v>
      </c>
      <c r="B848" s="19">
        <v>1399.5035820000001</v>
      </c>
      <c r="C848" s="19">
        <v>-247.91274010000001</v>
      </c>
      <c r="E848" s="9">
        <f t="shared" si="221"/>
        <v>439.50358200000005</v>
      </c>
      <c r="F848" s="9">
        <f t="shared" si="226"/>
        <v>292.08725989999999</v>
      </c>
      <c r="I848">
        <v>1</v>
      </c>
      <c r="J848">
        <f t="shared" si="222"/>
        <v>0.33681113329033835</v>
      </c>
      <c r="K848">
        <f t="shared" si="227"/>
        <v>0.58655970469083618</v>
      </c>
      <c r="O848">
        <f t="shared" si="228"/>
        <v>0.27523943929609579</v>
      </c>
      <c r="P848">
        <f t="shared" si="229"/>
        <v>0.18291985988958104</v>
      </c>
      <c r="Q848">
        <f t="shared" si="230"/>
        <v>0.9438133162410598</v>
      </c>
      <c r="R848">
        <f t="shared" si="220"/>
        <v>1</v>
      </c>
      <c r="AG848" s="8">
        <f t="shared" si="223"/>
        <v>0.67104728880103448</v>
      </c>
      <c r="AH848" s="8">
        <f t="shared" si="224"/>
        <v>2.278121574347447E-2</v>
      </c>
      <c r="AI848" s="8">
        <f t="shared" si="225"/>
        <v>0.74106447250022067</v>
      </c>
      <c r="AJ848" s="8"/>
      <c r="AK848" s="8"/>
      <c r="AL848" s="8"/>
      <c r="AN848" s="8">
        <f t="shared" si="231"/>
        <v>1</v>
      </c>
      <c r="AO848" s="8">
        <f t="shared" si="232"/>
        <v>3.3935715490862044E-2</v>
      </c>
      <c r="AP848" s="8">
        <f t="shared" si="233"/>
        <v>0.73614198034415146</v>
      </c>
      <c r="AQ848" s="8"/>
      <c r="AR848" s="8">
        <f t="shared" si="234"/>
        <v>1.944373272383124</v>
      </c>
      <c r="AS848" s="8">
        <f t="shared" si="235"/>
        <v>47.822171403877718</v>
      </c>
    </row>
    <row r="849" spans="1:45">
      <c r="A849" s="19">
        <v>32.065366670000003</v>
      </c>
      <c r="B849" s="19">
        <v>1400.240722</v>
      </c>
      <c r="C849" s="19">
        <v>-248.23497789999999</v>
      </c>
      <c r="E849" s="9">
        <f t="shared" si="221"/>
        <v>440.24072200000001</v>
      </c>
      <c r="F849" s="9">
        <f t="shared" si="226"/>
        <v>291.76502210000001</v>
      </c>
      <c r="I849">
        <v>1</v>
      </c>
      <c r="J849">
        <f t="shared" si="222"/>
        <v>0.3370711347330248</v>
      </c>
      <c r="K849">
        <f t="shared" si="227"/>
        <v>0.58527903318839225</v>
      </c>
      <c r="O849">
        <f t="shared" si="228"/>
        <v>0.27567801360214905</v>
      </c>
      <c r="P849">
        <f t="shared" si="229"/>
        <v>0.18270277534915347</v>
      </c>
      <c r="Q849">
        <f t="shared" si="230"/>
        <v>0.94372735930251073</v>
      </c>
      <c r="R849">
        <f t="shared" si="220"/>
        <v>1</v>
      </c>
      <c r="AG849" s="8">
        <f t="shared" si="223"/>
        <v>0.67125756144399973</v>
      </c>
      <c r="AH849" s="8">
        <f t="shared" si="224"/>
        <v>2.3183047255292355E-2</v>
      </c>
      <c r="AI849" s="8">
        <f t="shared" si="225"/>
        <v>0.74086154747308486</v>
      </c>
      <c r="AJ849" s="8"/>
      <c r="AK849" s="8"/>
      <c r="AL849" s="8"/>
      <c r="AN849" s="8">
        <f t="shared" si="231"/>
        <v>1.0000000000000002</v>
      </c>
      <c r="AO849" s="8">
        <f t="shared" si="232"/>
        <v>3.4523017249049812E-2</v>
      </c>
      <c r="AP849" s="8">
        <f t="shared" si="233"/>
        <v>0.73644415633580151</v>
      </c>
      <c r="AQ849" s="8"/>
      <c r="AR849" s="8">
        <f t="shared" si="234"/>
        <v>1.9780231844278959</v>
      </c>
      <c r="AS849" s="8">
        <f t="shared" si="235"/>
        <v>47.804857994885985</v>
      </c>
    </row>
    <row r="850" spans="1:45">
      <c r="A850" s="19">
        <v>32.098733330000002</v>
      </c>
      <c r="B850" s="19">
        <v>1400.9047969999999</v>
      </c>
      <c r="C850" s="19">
        <v>-248.57018009999999</v>
      </c>
      <c r="E850" s="9">
        <f t="shared" si="221"/>
        <v>440.90479699999992</v>
      </c>
      <c r="F850" s="9">
        <f t="shared" si="226"/>
        <v>291.42981989999998</v>
      </c>
      <c r="I850">
        <v>1</v>
      </c>
      <c r="J850">
        <f t="shared" si="222"/>
        <v>0.33729100459651823</v>
      </c>
      <c r="K850">
        <f t="shared" si="227"/>
        <v>0.58405623613315638</v>
      </c>
      <c r="O850">
        <f t="shared" si="228"/>
        <v>0.27607431017788664</v>
      </c>
      <c r="P850">
        <f t="shared" si="229"/>
        <v>0.18247995268275172</v>
      </c>
      <c r="Q850">
        <f t="shared" si="230"/>
        <v>0.94365462014908019</v>
      </c>
      <c r="R850">
        <f t="shared" si="220"/>
        <v>1</v>
      </c>
      <c r="AG850" s="8">
        <f t="shared" si="223"/>
        <v>0.67146712507485973</v>
      </c>
      <c r="AH850" s="8">
        <f t="shared" si="224"/>
        <v>2.3540251985577187E-2</v>
      </c>
      <c r="AI850" s="8">
        <f t="shared" si="225"/>
        <v>0.74066035163235133</v>
      </c>
      <c r="AJ850" s="8"/>
      <c r="AK850" s="8"/>
      <c r="AL850" s="8"/>
      <c r="AN850" s="8">
        <f t="shared" si="231"/>
        <v>1</v>
      </c>
      <c r="AO850" s="8">
        <f t="shared" si="232"/>
        <v>3.5043584553267504E-2</v>
      </c>
      <c r="AP850" s="8">
        <f t="shared" si="233"/>
        <v>0.7367436579911969</v>
      </c>
      <c r="AQ850" s="8"/>
      <c r="AR850" s="8">
        <f t="shared" si="234"/>
        <v>2.0078494939120723</v>
      </c>
      <c r="AS850" s="8">
        <f t="shared" si="235"/>
        <v>47.787697814074654</v>
      </c>
    </row>
    <row r="851" spans="1:45">
      <c r="A851" s="19">
        <v>32.132100000000001</v>
      </c>
      <c r="B851" s="19">
        <v>1401.3546429999999</v>
      </c>
      <c r="C851" s="19">
        <v>-248.75910049999999</v>
      </c>
      <c r="E851" s="9">
        <f t="shared" si="221"/>
        <v>441.3546429999999</v>
      </c>
      <c r="F851" s="9">
        <f t="shared" si="226"/>
        <v>291.24089950000001</v>
      </c>
      <c r="I851">
        <v>1</v>
      </c>
      <c r="J851">
        <f t="shared" si="222"/>
        <v>0.337452717896365</v>
      </c>
      <c r="K851">
        <f t="shared" si="227"/>
        <v>0.5832890942853749</v>
      </c>
      <c r="O851">
        <f t="shared" si="228"/>
        <v>0.27634158302691919</v>
      </c>
      <c r="P851">
        <f t="shared" si="229"/>
        <v>0.18235215712914543</v>
      </c>
      <c r="Q851">
        <f t="shared" si="230"/>
        <v>0.94360109171223605</v>
      </c>
      <c r="R851">
        <f t="shared" si="220"/>
        <v>1</v>
      </c>
      <c r="AG851" s="8">
        <f t="shared" si="223"/>
        <v>0.67159173872644951</v>
      </c>
      <c r="AH851" s="8">
        <f t="shared" si="224"/>
        <v>2.3786216032820162E-2</v>
      </c>
      <c r="AI851" s="8">
        <f t="shared" si="225"/>
        <v>0.74053950090540366</v>
      </c>
      <c r="AJ851" s="8"/>
      <c r="AK851" s="8"/>
      <c r="AL851" s="8"/>
      <c r="AN851" s="8">
        <f t="shared" si="231"/>
        <v>1</v>
      </c>
      <c r="AO851" s="8">
        <f t="shared" si="232"/>
        <v>3.5402873859000206E-2</v>
      </c>
      <c r="AP851" s="8">
        <f t="shared" si="233"/>
        <v>0.7369235097718041</v>
      </c>
      <c r="AQ851" s="8"/>
      <c r="AR851" s="8">
        <f t="shared" si="234"/>
        <v>2.0284352547547417</v>
      </c>
      <c r="AS851" s="8">
        <f t="shared" si="235"/>
        <v>47.777393066107948</v>
      </c>
    </row>
    <row r="852" spans="1:45">
      <c r="A852" s="19">
        <v>32.165466670000001</v>
      </c>
      <c r="B852" s="19">
        <v>1401.9292479999999</v>
      </c>
      <c r="C852" s="19">
        <v>-248.9131898</v>
      </c>
      <c r="E852" s="9">
        <f t="shared" si="221"/>
        <v>441.92924799999992</v>
      </c>
      <c r="F852" s="9">
        <f t="shared" si="226"/>
        <v>291.0868102</v>
      </c>
      <c r="I852">
        <v>1</v>
      </c>
      <c r="J852">
        <f t="shared" si="222"/>
        <v>0.337688119200655</v>
      </c>
      <c r="K852">
        <f t="shared" si="227"/>
        <v>0.58244800658268758</v>
      </c>
      <c r="O852">
        <f t="shared" si="228"/>
        <v>0.2766803524112077</v>
      </c>
      <c r="P852">
        <f t="shared" si="229"/>
        <v>0.18224184435149748</v>
      </c>
      <c r="Q852">
        <f t="shared" si="230"/>
        <v>0.94352312783363956</v>
      </c>
      <c r="R852">
        <f t="shared" si="220"/>
        <v>1</v>
      </c>
      <c r="AG852" s="8">
        <f t="shared" si="223"/>
        <v>0.67171137374279932</v>
      </c>
      <c r="AH852" s="8">
        <f t="shared" si="224"/>
        <v>2.4109550459048612E-2</v>
      </c>
      <c r="AI852" s="8">
        <f t="shared" si="225"/>
        <v>0.74042052913275169</v>
      </c>
      <c r="AJ852" s="8"/>
      <c r="AK852" s="8"/>
      <c r="AL852" s="8"/>
      <c r="AN852" s="8">
        <f t="shared" si="231"/>
        <v>1</v>
      </c>
      <c r="AO852" s="8">
        <f t="shared" si="232"/>
        <v>3.5877321795852221E-2</v>
      </c>
      <c r="AP852" s="8">
        <f t="shared" si="233"/>
        <v>0.73710053045437884</v>
      </c>
      <c r="AQ852" s="8"/>
      <c r="AR852" s="8">
        <f t="shared" si="234"/>
        <v>2.0556191191350517</v>
      </c>
      <c r="AS852" s="8">
        <f t="shared" si="235"/>
        <v>47.767250528109891</v>
      </c>
    </row>
    <row r="853" spans="1:45">
      <c r="A853" s="19">
        <v>32.198833329999999</v>
      </c>
      <c r="B853" s="19">
        <v>1402.8046569999999</v>
      </c>
      <c r="C853" s="19">
        <v>-249.4066535</v>
      </c>
      <c r="E853" s="9">
        <f t="shared" si="221"/>
        <v>442.80465699999991</v>
      </c>
      <c r="F853" s="9">
        <f t="shared" si="226"/>
        <v>290.5933465</v>
      </c>
      <c r="I853">
        <v>1</v>
      </c>
      <c r="J853">
        <f t="shared" si="222"/>
        <v>0.33796249763752328</v>
      </c>
      <c r="K853">
        <f t="shared" si="227"/>
        <v>0.58076075816899808</v>
      </c>
      <c r="O853">
        <f t="shared" si="228"/>
        <v>0.27720387273623354</v>
      </c>
      <c r="P853">
        <f t="shared" si="229"/>
        <v>0.18191678828974517</v>
      </c>
      <c r="Q853">
        <f t="shared" si="230"/>
        <v>0.94343218891363789</v>
      </c>
      <c r="R853">
        <f t="shared" si="220"/>
        <v>1</v>
      </c>
      <c r="AG853" s="8">
        <f t="shared" si="223"/>
        <v>0.67201035020552968</v>
      </c>
      <c r="AH853" s="8">
        <f t="shared" si="224"/>
        <v>2.4574796010041422E-2</v>
      </c>
      <c r="AI853" s="8">
        <f t="shared" si="225"/>
        <v>0.74013388560294036</v>
      </c>
      <c r="AJ853" s="8"/>
      <c r="AK853" s="8"/>
      <c r="AL853" s="8"/>
      <c r="AN853" s="8">
        <f t="shared" si="231"/>
        <v>1.0000000000000002</v>
      </c>
      <c r="AO853" s="8">
        <f t="shared" si="232"/>
        <v>3.6552785507429082E-2</v>
      </c>
      <c r="AP853" s="8">
        <f t="shared" si="233"/>
        <v>0.73752689188463627</v>
      </c>
      <c r="AQ853" s="8"/>
      <c r="AR853" s="8">
        <f t="shared" si="234"/>
        <v>2.0943203390226475</v>
      </c>
      <c r="AS853" s="8">
        <f t="shared" si="235"/>
        <v>47.742821817608977</v>
      </c>
    </row>
    <row r="854" spans="1:45">
      <c r="A854" s="19">
        <v>32.232199999999999</v>
      </c>
      <c r="B854" s="19">
        <v>1403.3756550000001</v>
      </c>
      <c r="C854" s="19">
        <v>-249.68804299999999</v>
      </c>
      <c r="E854" s="9">
        <f t="shared" si="221"/>
        <v>443.37565500000005</v>
      </c>
      <c r="F854" s="9">
        <f t="shared" si="226"/>
        <v>290.31195700000001</v>
      </c>
      <c r="I854">
        <v>1</v>
      </c>
      <c r="J854">
        <f t="shared" si="222"/>
        <v>0.33815513279199094</v>
      </c>
      <c r="K854">
        <f t="shared" si="227"/>
        <v>0.57972571197765144</v>
      </c>
      <c r="O854">
        <f t="shared" si="228"/>
        <v>0.2775440558800904</v>
      </c>
      <c r="P854">
        <f t="shared" si="229"/>
        <v>0.18172932389863944</v>
      </c>
      <c r="Q854">
        <f t="shared" si="230"/>
        <v>0.94336830023113061</v>
      </c>
      <c r="R854">
        <f t="shared" si="220"/>
        <v>1</v>
      </c>
      <c r="AG854" s="8">
        <f t="shared" si="223"/>
        <v>0.67218690251742175</v>
      </c>
      <c r="AH854" s="8">
        <f t="shared" si="224"/>
        <v>2.4882475103869595E-2</v>
      </c>
      <c r="AI854" s="8">
        <f t="shared" si="225"/>
        <v>0.73996326295076265</v>
      </c>
      <c r="AJ854" s="8"/>
      <c r="AK854" s="8"/>
      <c r="AL854" s="8"/>
      <c r="AN854" s="8">
        <f t="shared" si="231"/>
        <v>1</v>
      </c>
      <c r="AO854" s="8">
        <f t="shared" si="232"/>
        <v>3.7000303167717477E-2</v>
      </c>
      <c r="AP854" s="8">
        <f t="shared" si="233"/>
        <v>0.73778058571517569</v>
      </c>
      <c r="AQ854" s="8"/>
      <c r="AR854" s="8">
        <f t="shared" si="234"/>
        <v>2.1199612122147422</v>
      </c>
      <c r="AS854" s="8">
        <f t="shared" si="235"/>
        <v>47.728286231830559</v>
      </c>
    </row>
    <row r="855" spans="1:45">
      <c r="A855" s="19">
        <v>32.265566669999998</v>
      </c>
      <c r="B855" s="19">
        <v>1403.8218589999999</v>
      </c>
      <c r="C855" s="19">
        <v>-249.73453359999999</v>
      </c>
      <c r="E855" s="9">
        <f t="shared" si="221"/>
        <v>443.8218589999999</v>
      </c>
      <c r="F855" s="9">
        <f t="shared" si="226"/>
        <v>290.26546640000004</v>
      </c>
      <c r="I855">
        <v>1</v>
      </c>
      <c r="J855">
        <f t="shared" si="222"/>
        <v>0.33836241742099044</v>
      </c>
      <c r="K855">
        <f t="shared" si="227"/>
        <v>0.57919145628685265</v>
      </c>
      <c r="O855">
        <f t="shared" si="228"/>
        <v>0.27780475353326339</v>
      </c>
      <c r="P855">
        <f t="shared" si="229"/>
        <v>0.18168804604207153</v>
      </c>
      <c r="Q855">
        <f t="shared" si="230"/>
        <v>0.94329951385534849</v>
      </c>
      <c r="R855">
        <f t="shared" si="220"/>
        <v>1</v>
      </c>
      <c r="AG855" s="8">
        <f t="shared" si="223"/>
        <v>0.67224644376961429</v>
      </c>
      <c r="AH855" s="8">
        <f t="shared" si="224"/>
        <v>2.5141135496734024E-2</v>
      </c>
      <c r="AI855" s="8">
        <f t="shared" si="225"/>
        <v>0.73990042718263227</v>
      </c>
      <c r="AJ855" s="8"/>
      <c r="AK855" s="8"/>
      <c r="AL855" s="8"/>
      <c r="AN855" s="8">
        <f t="shared" si="231"/>
        <v>1</v>
      </c>
      <c r="AO855" s="8">
        <f t="shared" si="232"/>
        <v>3.7381267301664488E-2</v>
      </c>
      <c r="AP855" s="8">
        <f t="shared" si="233"/>
        <v>0.73787399654333885</v>
      </c>
      <c r="AQ855" s="8"/>
      <c r="AR855" s="8">
        <f t="shared" si="234"/>
        <v>2.1417888492357622</v>
      </c>
      <c r="AS855" s="8">
        <f t="shared" si="235"/>
        <v>47.722934185615991</v>
      </c>
    </row>
    <row r="856" spans="1:45">
      <c r="A856" s="19">
        <v>32.298933329999997</v>
      </c>
      <c r="B856" s="19">
        <v>1404.3513459999999</v>
      </c>
      <c r="C856" s="19">
        <v>-249.76232730000001</v>
      </c>
      <c r="E856" s="9">
        <f t="shared" si="221"/>
        <v>444.35134599999992</v>
      </c>
      <c r="F856" s="9">
        <f t="shared" si="226"/>
        <v>290.23767269999996</v>
      </c>
      <c r="I856">
        <v>1</v>
      </c>
      <c r="J856">
        <f t="shared" si="222"/>
        <v>0.33861738700583954</v>
      </c>
      <c r="K856">
        <f t="shared" si="227"/>
        <v>0.57860157522726152</v>
      </c>
      <c r="O856">
        <f t="shared" si="228"/>
        <v>0.27811323449929476</v>
      </c>
      <c r="P856">
        <f t="shared" si="229"/>
        <v>0.1816556620223328</v>
      </c>
      <c r="Q856">
        <f t="shared" si="230"/>
        <v>0.94321484787484566</v>
      </c>
      <c r="R856">
        <f t="shared" si="220"/>
        <v>1</v>
      </c>
      <c r="AG856" s="8">
        <f t="shared" si="223"/>
        <v>0.67230465729983724</v>
      </c>
      <c r="AH856" s="8">
        <f t="shared" si="224"/>
        <v>2.5450906760757341E-2</v>
      </c>
      <c r="AI856" s="8">
        <f t="shared" si="225"/>
        <v>0.73983694089846819</v>
      </c>
      <c r="AJ856" s="8"/>
      <c r="AK856" s="8"/>
      <c r="AL856" s="8"/>
      <c r="AN856" s="8">
        <f t="shared" si="231"/>
        <v>0.99999999999999978</v>
      </c>
      <c r="AO856" s="8">
        <f t="shared" si="232"/>
        <v>3.7838142413127787E-2</v>
      </c>
      <c r="AP856" s="8">
        <f t="shared" si="233"/>
        <v>0.73796836467456306</v>
      </c>
      <c r="AQ856" s="8"/>
      <c r="AR856" s="8">
        <f t="shared" si="234"/>
        <v>2.1679658648871785</v>
      </c>
      <c r="AS856" s="8">
        <f t="shared" si="235"/>
        <v>47.717527289976303</v>
      </c>
    </row>
    <row r="857" spans="1:45">
      <c r="A857" s="19">
        <v>32.332299999999996</v>
      </c>
      <c r="B857" s="19">
        <v>1404.887328</v>
      </c>
      <c r="C857" s="19">
        <v>-250.08005840000001</v>
      </c>
      <c r="E857" s="9">
        <f t="shared" si="221"/>
        <v>444.88732800000002</v>
      </c>
      <c r="F857" s="9">
        <f t="shared" si="226"/>
        <v>289.91994160000002</v>
      </c>
      <c r="I857">
        <v>1</v>
      </c>
      <c r="J857">
        <f t="shared" si="222"/>
        <v>0.33878135134501813</v>
      </c>
      <c r="K857">
        <f t="shared" si="227"/>
        <v>0.57754865600616956</v>
      </c>
      <c r="O857">
        <f t="shared" si="228"/>
        <v>0.27843391462842232</v>
      </c>
      <c r="P857">
        <f t="shared" si="229"/>
        <v>0.18144716468195646</v>
      </c>
      <c r="Q857">
        <f t="shared" si="230"/>
        <v>0.94316036897951316</v>
      </c>
      <c r="R857">
        <f t="shared" si="220"/>
        <v>1</v>
      </c>
      <c r="AG857" s="8">
        <f t="shared" si="223"/>
        <v>0.67249430569183966</v>
      </c>
      <c r="AH857" s="8">
        <f t="shared" si="224"/>
        <v>2.573396226090463E-2</v>
      </c>
      <c r="AI857" s="8">
        <f t="shared" si="225"/>
        <v>0.73965476541316555</v>
      </c>
      <c r="AJ857" s="8"/>
      <c r="AK857" s="8"/>
      <c r="AL857" s="8"/>
      <c r="AN857" s="8">
        <f t="shared" si="231"/>
        <v>1.0000000000000002</v>
      </c>
      <c r="AO857" s="8">
        <f t="shared" si="232"/>
        <v>3.8247777187245771E-2</v>
      </c>
      <c r="AP857" s="8">
        <f t="shared" si="233"/>
        <v>0.73823910204543353</v>
      </c>
      <c r="AQ857" s="8"/>
      <c r="AR857" s="8">
        <f t="shared" si="234"/>
        <v>2.1914362085859338</v>
      </c>
      <c r="AS857" s="8">
        <f t="shared" si="235"/>
        <v>47.702015181268962</v>
      </c>
    </row>
    <row r="858" spans="1:45">
      <c r="A858" s="19">
        <v>32.365666670000003</v>
      </c>
      <c r="B858" s="19">
        <v>1405.3603559999999</v>
      </c>
      <c r="C858" s="19">
        <v>-250.596599</v>
      </c>
      <c r="E858" s="9">
        <f t="shared" si="221"/>
        <v>445.36035599999991</v>
      </c>
      <c r="F858" s="9">
        <f t="shared" si="226"/>
        <v>289.40340100000003</v>
      </c>
      <c r="I858">
        <v>1</v>
      </c>
      <c r="J858">
        <f t="shared" si="222"/>
        <v>0.33884968645345043</v>
      </c>
      <c r="K858">
        <f t="shared" si="227"/>
        <v>0.57624762169611443</v>
      </c>
      <c r="O858">
        <f t="shared" si="228"/>
        <v>0.27872379022923965</v>
      </c>
      <c r="P858">
        <f t="shared" si="229"/>
        <v>0.18111987684856387</v>
      </c>
      <c r="Q858">
        <f t="shared" si="230"/>
        <v>0.94313765642699676</v>
      </c>
      <c r="R858">
        <f t="shared" si="220"/>
        <v>1</v>
      </c>
      <c r="AG858" s="8">
        <f t="shared" si="223"/>
        <v>0.67276820012016902</v>
      </c>
      <c r="AH858" s="8">
        <f t="shared" si="224"/>
        <v>2.5958914867742766E-2</v>
      </c>
      <c r="AI858" s="8">
        <f t="shared" si="225"/>
        <v>0.73939778444755799</v>
      </c>
      <c r="AJ858" s="8"/>
      <c r="AK858" s="8"/>
      <c r="AL858" s="8"/>
      <c r="AN858" s="8">
        <f t="shared" si="231"/>
        <v>1</v>
      </c>
      <c r="AO858" s="8">
        <f t="shared" si="232"/>
        <v>3.8566096974838045E-2</v>
      </c>
      <c r="AP858" s="8">
        <f t="shared" si="233"/>
        <v>0.73862087355204509</v>
      </c>
      <c r="AQ858" s="8"/>
      <c r="AR858" s="8">
        <f t="shared" si="234"/>
        <v>2.2096745889504716</v>
      </c>
      <c r="AS858" s="8">
        <f t="shared" si="235"/>
        <v>47.680141285201763</v>
      </c>
    </row>
    <row r="859" spans="1:45">
      <c r="A859" s="19">
        <v>32.399033330000002</v>
      </c>
      <c r="B859" s="19">
        <v>1406.2458360000001</v>
      </c>
      <c r="C859" s="19">
        <v>-250.8622398</v>
      </c>
      <c r="E859" s="9">
        <f t="shared" si="221"/>
        <v>446.24583600000005</v>
      </c>
      <c r="F859" s="9">
        <f t="shared" si="226"/>
        <v>289.1377602</v>
      </c>
      <c r="I859">
        <v>1</v>
      </c>
      <c r="J859">
        <f t="shared" si="222"/>
        <v>0.33920591703040587</v>
      </c>
      <c r="K859">
        <f t="shared" si="227"/>
        <v>0.57492133568744774</v>
      </c>
      <c r="O859">
        <f t="shared" si="228"/>
        <v>0.27924570563130591</v>
      </c>
      <c r="P859">
        <f t="shared" si="229"/>
        <v>0.18093273114979683</v>
      </c>
      <c r="Q859">
        <f t="shared" si="230"/>
        <v>0.94301918468562951</v>
      </c>
      <c r="R859">
        <f t="shared" ref="R859:R922" si="236">SQRT(O859^2+P859^2+Q859^2)</f>
        <v>1</v>
      </c>
      <c r="AG859" s="8">
        <f t="shared" si="223"/>
        <v>0.67296400055750305</v>
      </c>
      <c r="AH859" s="8">
        <f t="shared" si="224"/>
        <v>2.6453688705222189E-2</v>
      </c>
      <c r="AI859" s="8">
        <f t="shared" si="225"/>
        <v>0.73920204024848868</v>
      </c>
      <c r="AJ859" s="8"/>
      <c r="AK859" s="8"/>
      <c r="AL859" s="8"/>
      <c r="AN859" s="8">
        <f t="shared" si="231"/>
        <v>1</v>
      </c>
      <c r="AO859" s="8">
        <f t="shared" si="232"/>
        <v>3.928898984157006E-2</v>
      </c>
      <c r="AP859" s="8">
        <f t="shared" si="233"/>
        <v>0.73891156421436743</v>
      </c>
      <c r="AQ859" s="8"/>
      <c r="AR859" s="8">
        <f t="shared" si="234"/>
        <v>2.2510932992543293</v>
      </c>
      <c r="AS859" s="8">
        <f t="shared" si="235"/>
        <v>47.663485937106834</v>
      </c>
    </row>
    <row r="860" spans="1:45">
      <c r="A860" s="19">
        <v>32.432400000000001</v>
      </c>
      <c r="B860" s="19">
        <v>1406.6789719999999</v>
      </c>
      <c r="C860" s="19">
        <v>-251.26685599999999</v>
      </c>
      <c r="E860" s="9">
        <f t="shared" si="221"/>
        <v>446.67897199999993</v>
      </c>
      <c r="F860" s="9">
        <f t="shared" si="226"/>
        <v>288.73314400000004</v>
      </c>
      <c r="I860">
        <v>1</v>
      </c>
      <c r="J860">
        <f t="shared" si="222"/>
        <v>0.33929153379055366</v>
      </c>
      <c r="K860">
        <f t="shared" si="227"/>
        <v>0.57384007379227953</v>
      </c>
      <c r="O860">
        <f t="shared" si="228"/>
        <v>0.27950898280027509</v>
      </c>
      <c r="P860">
        <f t="shared" si="229"/>
        <v>0.18067451668659562</v>
      </c>
      <c r="Q860">
        <f t="shared" si="230"/>
        <v>0.94299069324888918</v>
      </c>
      <c r="R860">
        <f t="shared" si="236"/>
        <v>1</v>
      </c>
      <c r="AG860" s="8">
        <f t="shared" si="223"/>
        <v>0.67318365243651135</v>
      </c>
      <c r="AH860" s="8">
        <f t="shared" si="224"/>
        <v>2.6666807798280068E-2</v>
      </c>
      <c r="AI860" s="8">
        <f t="shared" si="225"/>
        <v>0.7389943514358468</v>
      </c>
      <c r="AJ860" s="8"/>
      <c r="AK860" s="8"/>
      <c r="AL860" s="8"/>
      <c r="AN860" s="8">
        <f t="shared" si="231"/>
        <v>1</v>
      </c>
      <c r="AO860" s="8">
        <f t="shared" si="232"/>
        <v>3.9592275316502633E-2</v>
      </c>
      <c r="AP860" s="8">
        <f t="shared" si="233"/>
        <v>0.7392198918964179</v>
      </c>
      <c r="AQ860" s="8"/>
      <c r="AR860" s="8">
        <f t="shared" si="234"/>
        <v>2.2684702769555867</v>
      </c>
      <c r="AS860" s="8">
        <f t="shared" si="235"/>
        <v>47.645820062218291</v>
      </c>
    </row>
    <row r="861" spans="1:45">
      <c r="A861" s="19">
        <v>32.465766670000001</v>
      </c>
      <c r="B861" s="19">
        <v>1407.142511</v>
      </c>
      <c r="C861" s="19">
        <v>-251.19853929999999</v>
      </c>
      <c r="E861" s="9">
        <f t="shared" si="221"/>
        <v>447.14251100000001</v>
      </c>
      <c r="F861" s="9">
        <f t="shared" si="226"/>
        <v>288.80146070000001</v>
      </c>
      <c r="I861">
        <v>1</v>
      </c>
      <c r="J861">
        <f t="shared" si="222"/>
        <v>0.339545392068411</v>
      </c>
      <c r="K861">
        <f t="shared" si="227"/>
        <v>0.57347512253401844</v>
      </c>
      <c r="O861">
        <f t="shared" si="228"/>
        <v>0.27977598173427309</v>
      </c>
      <c r="P861">
        <f t="shared" si="229"/>
        <v>0.1807023716285267</v>
      </c>
      <c r="Q861">
        <f t="shared" si="230"/>
        <v>0.94290617398150989</v>
      </c>
      <c r="R861">
        <f t="shared" si="236"/>
        <v>1</v>
      </c>
      <c r="AG861" s="8">
        <f t="shared" si="223"/>
        <v>0.67319238153339567</v>
      </c>
      <c r="AH861" s="8">
        <f t="shared" si="224"/>
        <v>2.6947526083159923E-2</v>
      </c>
      <c r="AI861" s="8">
        <f t="shared" si="225"/>
        <v>0.73897621631781385</v>
      </c>
      <c r="AJ861" s="8"/>
      <c r="AK861" s="8"/>
      <c r="AL861" s="8"/>
      <c r="AN861" s="8">
        <f t="shared" si="231"/>
        <v>1</v>
      </c>
      <c r="AO861" s="8">
        <f t="shared" si="232"/>
        <v>4.000809791348918E-2</v>
      </c>
      <c r="AP861" s="8">
        <f t="shared" si="233"/>
        <v>0.73924680971962009</v>
      </c>
      <c r="AQ861" s="8"/>
      <c r="AR861" s="8">
        <f t="shared" si="234"/>
        <v>2.292295156789085</v>
      </c>
      <c r="AS861" s="8">
        <f t="shared" si="235"/>
        <v>47.644277784555122</v>
      </c>
    </row>
    <row r="862" spans="1:45">
      <c r="A862" s="19">
        <v>32.499133329999999</v>
      </c>
      <c r="B862" s="19">
        <v>1407.994545</v>
      </c>
      <c r="C862" s="19">
        <v>-251.23068180000001</v>
      </c>
      <c r="E862" s="9">
        <f t="shared" si="221"/>
        <v>447.99454500000002</v>
      </c>
      <c r="F862" s="9">
        <f t="shared" si="226"/>
        <v>288.76931819999999</v>
      </c>
      <c r="I862">
        <v>1</v>
      </c>
      <c r="J862">
        <f t="shared" si="222"/>
        <v>0.33996114613875739</v>
      </c>
      <c r="K862">
        <f t="shared" si="227"/>
        <v>0.5725571541029103</v>
      </c>
      <c r="O862">
        <f t="shared" si="228"/>
        <v>0.28027121623120665</v>
      </c>
      <c r="P862">
        <f t="shared" si="229"/>
        <v>0.18065784265781698</v>
      </c>
      <c r="Q862">
        <f t="shared" si="230"/>
        <v>0.9427676220779454</v>
      </c>
      <c r="R862">
        <f t="shared" si="236"/>
        <v>1</v>
      </c>
      <c r="AG862" s="8">
        <f t="shared" si="223"/>
        <v>0.67327945035621173</v>
      </c>
      <c r="AH862" s="8">
        <f t="shared" si="224"/>
        <v>2.7446834826053146E-2</v>
      </c>
      <c r="AI862" s="8">
        <f t="shared" si="225"/>
        <v>0.73887851030197715</v>
      </c>
      <c r="AJ862" s="8"/>
      <c r="AK862" s="8"/>
      <c r="AL862" s="8"/>
      <c r="AN862" s="8">
        <f t="shared" si="231"/>
        <v>1.0000000000000002</v>
      </c>
      <c r="AO862" s="8">
        <f t="shared" si="232"/>
        <v>4.0743328360691701E-2</v>
      </c>
      <c r="AP862" s="8">
        <f t="shared" si="233"/>
        <v>0.73939182037245954</v>
      </c>
      <c r="AQ862" s="8"/>
      <c r="AR862" s="8">
        <f t="shared" si="234"/>
        <v>2.3344207583833056</v>
      </c>
      <c r="AS862" s="8">
        <f t="shared" si="235"/>
        <v>47.63596928616299</v>
      </c>
    </row>
    <row r="863" spans="1:45">
      <c r="A863" s="19">
        <v>32.532499999999999</v>
      </c>
      <c r="B863" s="19">
        <v>1408.3239599999999</v>
      </c>
      <c r="C863" s="19">
        <v>-251.894116</v>
      </c>
      <c r="E863" s="9">
        <f t="shared" si="221"/>
        <v>448.32395999999994</v>
      </c>
      <c r="F863" s="9">
        <f t="shared" si="226"/>
        <v>288.105884</v>
      </c>
      <c r="I863">
        <v>1</v>
      </c>
      <c r="J863">
        <f t="shared" si="222"/>
        <v>0.33991231620774454</v>
      </c>
      <c r="K863">
        <f t="shared" si="227"/>
        <v>0.57117588494522598</v>
      </c>
      <c r="O863">
        <f t="shared" si="228"/>
        <v>0.28048175765114342</v>
      </c>
      <c r="P863">
        <f t="shared" si="229"/>
        <v>0.18024565257220795</v>
      </c>
      <c r="Q863">
        <f t="shared" si="230"/>
        <v>0.94278390331705608</v>
      </c>
      <c r="R863">
        <f t="shared" si="236"/>
        <v>1</v>
      </c>
      <c r="AG863" s="8">
        <f t="shared" si="223"/>
        <v>0.67360674922447572</v>
      </c>
      <c r="AH863" s="8">
        <f t="shared" si="224"/>
        <v>2.7571530792555365E-2</v>
      </c>
      <c r="AI863" s="8">
        <f t="shared" si="225"/>
        <v>0.73857549247791143</v>
      </c>
      <c r="AJ863" s="8"/>
      <c r="AK863" s="8"/>
      <c r="AL863" s="8"/>
      <c r="AN863" s="8">
        <f t="shared" si="231"/>
        <v>1</v>
      </c>
      <c r="AO863" s="8">
        <f t="shared" si="232"/>
        <v>4.090836210218847E-2</v>
      </c>
      <c r="AP863" s="8">
        <f t="shared" si="233"/>
        <v>0.73984139855571918</v>
      </c>
      <c r="AQ863" s="8"/>
      <c r="AR863" s="8">
        <f t="shared" si="234"/>
        <v>2.3438764952483235</v>
      </c>
      <c r="AS863" s="8">
        <f t="shared" si="235"/>
        <v>47.610210353701049</v>
      </c>
    </row>
    <row r="864" spans="1:45">
      <c r="A864" s="19">
        <v>32.565866669999998</v>
      </c>
      <c r="B864" s="19">
        <v>1409.2486409999999</v>
      </c>
      <c r="C864" s="19">
        <v>-251.8926414</v>
      </c>
      <c r="E864" s="9">
        <f t="shared" ref="E864:E927" si="237">(B864-($B$15/2))</f>
        <v>449.24864099999991</v>
      </c>
      <c r="F864" s="9">
        <f t="shared" si="226"/>
        <v>288.1073586</v>
      </c>
      <c r="I864">
        <v>1</v>
      </c>
      <c r="J864">
        <f t="shared" ref="J864:J927" si="238">ATAN((SQRT(E864^2+F864^2)^$B$16)/($F$24))</f>
        <v>0.3403758138942044</v>
      </c>
      <c r="K864">
        <f t="shared" si="227"/>
        <v>0.57024152682858631</v>
      </c>
      <c r="O864">
        <f t="shared" si="228"/>
        <v>0.28101785439491467</v>
      </c>
      <c r="P864">
        <f t="shared" si="229"/>
        <v>0.18021938045029787</v>
      </c>
      <c r="Q864">
        <f t="shared" si="230"/>
        <v>0.94262926987304474</v>
      </c>
      <c r="R864">
        <f t="shared" si="236"/>
        <v>1</v>
      </c>
      <c r="AG864" s="8">
        <f t="shared" ref="AG864:AG927" si="239">$O864*$Z$27+$P864*$Z$31+$Q864*$Z$35</f>
        <v>0.67368447977796819</v>
      </c>
      <c r="AH864" s="8">
        <f t="shared" ref="AH864:AH927" si="240">$O864*$AA$27+$P864*$AA$31+$Q864*$AA$35</f>
        <v>2.8117051508509738E-2</v>
      </c>
      <c r="AI864" s="8">
        <f t="shared" ref="AI864:AI927" si="241">$AB$27*$O864+$P864*$AB$31+$AB$35*$Q864</f>
        <v>0.73848402360562704</v>
      </c>
      <c r="AJ864" s="8"/>
      <c r="AK864" s="8"/>
      <c r="AL864" s="8"/>
      <c r="AN864" s="8">
        <f t="shared" si="231"/>
        <v>1</v>
      </c>
      <c r="AO864" s="8">
        <f t="shared" si="232"/>
        <v>4.171202331984572E-2</v>
      </c>
      <c r="AP864" s="8">
        <f t="shared" si="233"/>
        <v>0.73997706458917134</v>
      </c>
      <c r="AQ864" s="8"/>
      <c r="AR864" s="8">
        <f t="shared" si="234"/>
        <v>2.3899228911784287</v>
      </c>
      <c r="AS864" s="8">
        <f t="shared" si="235"/>
        <v>47.602437262560962</v>
      </c>
    </row>
    <row r="865" spans="1:45">
      <c r="A865" s="19">
        <v>32.599233329999997</v>
      </c>
      <c r="B865" s="19">
        <v>1409.9735539999999</v>
      </c>
      <c r="C865" s="19">
        <v>-252.5941206</v>
      </c>
      <c r="E865" s="9">
        <f t="shared" si="237"/>
        <v>449.97355399999992</v>
      </c>
      <c r="F865" s="9">
        <f t="shared" ref="F865:F928" si="242">(($C$15/2)+C865)</f>
        <v>287.4058794</v>
      </c>
      <c r="I865">
        <v>1</v>
      </c>
      <c r="J865">
        <f t="shared" si="238"/>
        <v>0.34051409116023901</v>
      </c>
      <c r="K865">
        <f t="shared" ref="K865:K928" si="243">ATAN2(E865,F865)</f>
        <v>0.56840266440059273</v>
      </c>
      <c r="O865">
        <f t="shared" ref="O865:O928" si="244">COS(K865)*SIN(J865)</f>
        <v>0.28145862416753475</v>
      </c>
      <c r="P865">
        <f t="shared" ref="P865:P928" si="245">SIN(K865)*SIN(J865)</f>
        <v>0.17977248368152859</v>
      </c>
      <c r="Q865">
        <f t="shared" ref="Q865:Q928" si="246">COS(J865)</f>
        <v>0.94258309818959352</v>
      </c>
      <c r="R865">
        <f t="shared" si="236"/>
        <v>1</v>
      </c>
      <c r="AG865" s="8">
        <f t="shared" si="239"/>
        <v>0.67406206767816346</v>
      </c>
      <c r="AH865" s="8">
        <f t="shared" si="240"/>
        <v>2.8470955062389114E-2</v>
      </c>
      <c r="AI865" s="8">
        <f t="shared" si="241"/>
        <v>0.73812582507000424</v>
      </c>
      <c r="AJ865" s="8"/>
      <c r="AK865" s="8"/>
      <c r="AL865" s="8"/>
      <c r="AN865" s="8">
        <f t="shared" ref="AN865:AN928" si="247">AG865^2+AH865^2+AI865^2</f>
        <v>1.0000000000000002</v>
      </c>
      <c r="AO865" s="8">
        <f t="shared" ref="AO865:AO928" si="248">IF(ATAN2(AG865,AH865)&gt;=0,ATAN2(AG865,AH865),ATAN2(AG865,AH865)+2*PI())</f>
        <v>4.2212792309487102E-2</v>
      </c>
      <c r="AP865" s="8">
        <f t="shared" ref="AP865:AP928" si="249">ACOS(AI865/AN865)</f>
        <v>0.7405081484135535</v>
      </c>
      <c r="AQ865" s="8"/>
      <c r="AR865" s="8">
        <f t="shared" ref="AR865:AR928" si="250">DEGREES(AO865)</f>
        <v>2.41861484079591</v>
      </c>
      <c r="AS865" s="8">
        <f t="shared" ref="AS865:AS928" si="251">90-DEGREES(AP865)</f>
        <v>47.572008400856198</v>
      </c>
    </row>
    <row r="866" spans="1:45">
      <c r="A866" s="19">
        <v>32.632599999999996</v>
      </c>
      <c r="B866" s="19">
        <v>1410.2240099999999</v>
      </c>
      <c r="C866" s="19">
        <v>-252.74096779999999</v>
      </c>
      <c r="E866" s="9">
        <f t="shared" si="237"/>
        <v>450.22400999999991</v>
      </c>
      <c r="F866" s="9">
        <f t="shared" si="242"/>
        <v>287.25903219999998</v>
      </c>
      <c r="I866">
        <v>1</v>
      </c>
      <c r="J866">
        <f t="shared" si="238"/>
        <v>0.34059266927683701</v>
      </c>
      <c r="K866">
        <f t="shared" si="243"/>
        <v>0.56791849663689054</v>
      </c>
      <c r="O866">
        <f t="shared" si="244"/>
        <v>0.2816080699846174</v>
      </c>
      <c r="P866">
        <f t="shared" si="245"/>
        <v>0.17967602759233361</v>
      </c>
      <c r="Q866">
        <f t="shared" si="246"/>
        <v>0.94255685241166109</v>
      </c>
      <c r="R866">
        <f t="shared" si="236"/>
        <v>1</v>
      </c>
      <c r="AG866" s="8">
        <f t="shared" si="239"/>
        <v>0.67414939753014425</v>
      </c>
      <c r="AH866" s="8">
        <f t="shared" si="240"/>
        <v>2.8603229501000749E-2</v>
      </c>
      <c r="AI866" s="8">
        <f t="shared" si="241"/>
        <v>0.73804095080954468</v>
      </c>
      <c r="AJ866" s="8"/>
      <c r="AK866" s="8"/>
      <c r="AL866" s="8"/>
      <c r="AN866" s="8">
        <f t="shared" si="247"/>
        <v>1.0000000000000002</v>
      </c>
      <c r="AO866" s="8">
        <f t="shared" si="248"/>
        <v>4.2403188953968329E-2</v>
      </c>
      <c r="AP866" s="8">
        <f t="shared" si="249"/>
        <v>0.7406339421965541</v>
      </c>
      <c r="AQ866" s="8"/>
      <c r="AR866" s="8">
        <f t="shared" si="250"/>
        <v>2.4295237649581374</v>
      </c>
      <c r="AS866" s="8">
        <f t="shared" si="251"/>
        <v>47.564800948001277</v>
      </c>
    </row>
    <row r="867" spans="1:45">
      <c r="A867" s="19">
        <v>32.665966670000003</v>
      </c>
      <c r="B867" s="19">
        <v>1411.029106</v>
      </c>
      <c r="C867" s="19">
        <v>-254.00207900000001</v>
      </c>
      <c r="E867" s="9">
        <f t="shared" si="237"/>
        <v>451.02910599999996</v>
      </c>
      <c r="F867" s="9">
        <f t="shared" si="242"/>
        <v>285.99792100000002</v>
      </c>
      <c r="I867">
        <v>1</v>
      </c>
      <c r="J867">
        <f t="shared" si="238"/>
        <v>0.34059414763446766</v>
      </c>
      <c r="K867">
        <f t="shared" si="243"/>
        <v>0.5651169658291787</v>
      </c>
      <c r="O867">
        <f t="shared" si="244"/>
        <v>0.28211150893526149</v>
      </c>
      <c r="P867">
        <f t="shared" si="245"/>
        <v>0.17888713604584472</v>
      </c>
      <c r="Q867">
        <f t="shared" si="246"/>
        <v>0.94255635857151021</v>
      </c>
      <c r="R867">
        <f t="shared" si="236"/>
        <v>1</v>
      </c>
      <c r="AG867" s="8">
        <f t="shared" si="239"/>
        <v>0.6747854848024667</v>
      </c>
      <c r="AH867" s="8">
        <f t="shared" si="240"/>
        <v>2.8945722443284805E-2</v>
      </c>
      <c r="AI867" s="8">
        <f t="shared" si="241"/>
        <v>0.73744606219854236</v>
      </c>
      <c r="AJ867" s="8"/>
      <c r="AK867" s="8"/>
      <c r="AL867" s="8"/>
      <c r="AN867" s="8">
        <f t="shared" si="247"/>
        <v>1</v>
      </c>
      <c r="AO867" s="8">
        <f t="shared" si="248"/>
        <v>4.2869902357099407E-2</v>
      </c>
      <c r="AP867" s="8">
        <f t="shared" si="249"/>
        <v>0.741515152886006</v>
      </c>
      <c r="AQ867" s="8"/>
      <c r="AR867" s="8">
        <f t="shared" si="250"/>
        <v>2.4562644731997358</v>
      </c>
      <c r="AS867" s="8">
        <f t="shared" si="251"/>
        <v>47.51431129463387</v>
      </c>
    </row>
    <row r="868" spans="1:45">
      <c r="A868" s="19">
        <v>32.699333330000002</v>
      </c>
      <c r="B868" s="19">
        <v>1411.4238339999999</v>
      </c>
      <c r="C868" s="19">
        <v>-252.74954700000001</v>
      </c>
      <c r="E868" s="9">
        <f t="shared" si="237"/>
        <v>451.42383399999994</v>
      </c>
      <c r="F868" s="9">
        <f t="shared" si="242"/>
        <v>287.25045299999999</v>
      </c>
      <c r="I868">
        <v>1</v>
      </c>
      <c r="J868">
        <f t="shared" si="238"/>
        <v>0.34119172744100634</v>
      </c>
      <c r="K868">
        <f t="shared" si="243"/>
        <v>0.56669885020885291</v>
      </c>
      <c r="O868">
        <f t="shared" si="244"/>
        <v>0.28230333071455338</v>
      </c>
      <c r="P868">
        <f t="shared" si="245"/>
        <v>0.17963552990240272</v>
      </c>
      <c r="Q868">
        <f t="shared" si="246"/>
        <v>0.9423565704467457</v>
      </c>
      <c r="R868">
        <f t="shared" si="236"/>
        <v>1</v>
      </c>
      <c r="AG868" s="8">
        <f t="shared" si="239"/>
        <v>0.67425424113765153</v>
      </c>
      <c r="AH868" s="8">
        <f t="shared" si="240"/>
        <v>2.9309555669218501E-2</v>
      </c>
      <c r="AI868" s="8">
        <f t="shared" si="241"/>
        <v>0.73791745355043781</v>
      </c>
      <c r="AJ868" s="8"/>
      <c r="AK868" s="8"/>
      <c r="AL868" s="8"/>
      <c r="AN868" s="8">
        <f t="shared" si="247"/>
        <v>0.99999999999999989</v>
      </c>
      <c r="AO868" s="8">
        <f t="shared" si="248"/>
        <v>4.3442241250703062E-2</v>
      </c>
      <c r="AP868" s="8">
        <f t="shared" si="249"/>
        <v>0.74081694896483907</v>
      </c>
      <c r="AQ868" s="8"/>
      <c r="AR868" s="8">
        <f t="shared" si="250"/>
        <v>2.4890570762544124</v>
      </c>
      <c r="AS868" s="8">
        <f t="shared" si="251"/>
        <v>47.554315432556223</v>
      </c>
    </row>
    <row r="869" spans="1:45">
      <c r="A869" s="19">
        <v>32.732700000000001</v>
      </c>
      <c r="B869" s="19">
        <v>1411.5670299999999</v>
      </c>
      <c r="C869" s="19">
        <v>-253.73146270000001</v>
      </c>
      <c r="E869" s="9">
        <f t="shared" si="237"/>
        <v>451.56702999999993</v>
      </c>
      <c r="F869" s="9">
        <f t="shared" si="242"/>
        <v>286.26853729999999</v>
      </c>
      <c r="I869">
        <v>1</v>
      </c>
      <c r="J869">
        <f t="shared" si="238"/>
        <v>0.34095055225659837</v>
      </c>
      <c r="K869">
        <f t="shared" si="243"/>
        <v>0.56500563611683974</v>
      </c>
      <c r="O869">
        <f t="shared" si="244"/>
        <v>0.28241512756894688</v>
      </c>
      <c r="P869">
        <f t="shared" si="245"/>
        <v>0.17903558078754184</v>
      </c>
      <c r="Q869">
        <f t="shared" si="246"/>
        <v>0.94243724275533758</v>
      </c>
      <c r="R869">
        <f t="shared" si="236"/>
        <v>1</v>
      </c>
      <c r="AG869" s="8">
        <f t="shared" si="239"/>
        <v>0.67470872056304521</v>
      </c>
      <c r="AH869" s="8">
        <f t="shared" si="240"/>
        <v>2.9291139269495503E-2</v>
      </c>
      <c r="AI869" s="8">
        <f t="shared" si="241"/>
        <v>0.73750265867756282</v>
      </c>
      <c r="AJ869" s="8"/>
      <c r="AK869" s="8"/>
      <c r="AL869" s="8"/>
      <c r="AN869" s="8">
        <f t="shared" si="247"/>
        <v>1</v>
      </c>
      <c r="AO869" s="8">
        <f t="shared" si="248"/>
        <v>4.338577164877E-2</v>
      </c>
      <c r="AP869" s="8">
        <f t="shared" si="249"/>
        <v>0.74143135282217376</v>
      </c>
      <c r="AQ869" s="8"/>
      <c r="AR869" s="8">
        <f t="shared" si="250"/>
        <v>2.485821606392864</v>
      </c>
      <c r="AS869" s="8">
        <f t="shared" si="251"/>
        <v>47.519112684614385</v>
      </c>
    </row>
    <row r="870" spans="1:45">
      <c r="A870" s="19">
        <v>32.766066670000001</v>
      </c>
      <c r="B870" s="19">
        <v>1412.955966</v>
      </c>
      <c r="C870" s="19">
        <v>-253.73542610000001</v>
      </c>
      <c r="E870" s="9">
        <f t="shared" si="237"/>
        <v>452.95596599999999</v>
      </c>
      <c r="F870" s="9">
        <f t="shared" si="242"/>
        <v>286.26457389999996</v>
      </c>
      <c r="I870">
        <v>1</v>
      </c>
      <c r="J870">
        <f t="shared" si="238"/>
        <v>0.34164708067089594</v>
      </c>
      <c r="K870">
        <f t="shared" si="243"/>
        <v>0.56361152036814843</v>
      </c>
      <c r="O870">
        <f t="shared" si="244"/>
        <v>0.28321928516323797</v>
      </c>
      <c r="P870">
        <f t="shared" si="245"/>
        <v>0.17899233937348541</v>
      </c>
      <c r="Q870">
        <f t="shared" si="246"/>
        <v>0.94220410684587419</v>
      </c>
      <c r="R870">
        <f t="shared" si="236"/>
        <v>1</v>
      </c>
      <c r="AG870" s="8">
        <f t="shared" si="239"/>
        <v>0.67482674618785266</v>
      </c>
      <c r="AH870" s="8">
        <f t="shared" si="240"/>
        <v>3.010912296054874E-2</v>
      </c>
      <c r="AI870" s="8">
        <f t="shared" si="241"/>
        <v>0.73736171811673412</v>
      </c>
      <c r="AJ870" s="8"/>
      <c r="AK870" s="8"/>
      <c r="AL870" s="8"/>
      <c r="AN870" s="8">
        <f t="shared" si="247"/>
        <v>1</v>
      </c>
      <c r="AO870" s="8">
        <f t="shared" si="248"/>
        <v>4.4587988373303959E-2</v>
      </c>
      <c r="AP870" s="8">
        <f t="shared" si="249"/>
        <v>0.74164002345113333</v>
      </c>
      <c r="AQ870" s="8"/>
      <c r="AR870" s="8">
        <f t="shared" si="250"/>
        <v>2.5547035507687017</v>
      </c>
      <c r="AS870" s="8">
        <f t="shared" si="251"/>
        <v>47.507156738266659</v>
      </c>
    </row>
    <row r="871" spans="1:45">
      <c r="A871" s="19">
        <v>32.799433329999999</v>
      </c>
      <c r="B871" s="19">
        <v>1413.2438380000001</v>
      </c>
      <c r="C871" s="19">
        <v>-253.92828420000001</v>
      </c>
      <c r="E871" s="9">
        <f t="shared" si="237"/>
        <v>453.2438380000001</v>
      </c>
      <c r="F871" s="9">
        <f t="shared" si="242"/>
        <v>286.07171579999999</v>
      </c>
      <c r="I871">
        <v>1</v>
      </c>
      <c r="J871">
        <f t="shared" si="238"/>
        <v>0.34173054134357617</v>
      </c>
      <c r="K871">
        <f t="shared" si="243"/>
        <v>0.56302040382949381</v>
      </c>
      <c r="O871">
        <f t="shared" si="244"/>
        <v>0.28339153914307591</v>
      </c>
      <c r="P871">
        <f t="shared" si="245"/>
        <v>0.17886686381351877</v>
      </c>
      <c r="Q871">
        <f t="shared" si="246"/>
        <v>0.94217614094798363</v>
      </c>
      <c r="R871">
        <f t="shared" si="236"/>
        <v>1</v>
      </c>
      <c r="AG871" s="8">
        <f t="shared" si="239"/>
        <v>0.67493763065511236</v>
      </c>
      <c r="AH871" s="8">
        <f t="shared" si="240"/>
        <v>3.0258527851471262E-2</v>
      </c>
      <c r="AI871" s="8">
        <f t="shared" si="241"/>
        <v>0.73725410559584215</v>
      </c>
      <c r="AJ871" s="8"/>
      <c r="AK871" s="8"/>
      <c r="AL871" s="8"/>
      <c r="AN871" s="8">
        <f t="shared" si="247"/>
        <v>1.0000000000000002</v>
      </c>
      <c r="AO871" s="8">
        <f t="shared" si="248"/>
        <v>4.4801591986041445E-2</v>
      </c>
      <c r="AP871" s="8">
        <f t="shared" si="249"/>
        <v>0.74179931799920595</v>
      </c>
      <c r="AQ871" s="8"/>
      <c r="AR871" s="8">
        <f t="shared" si="250"/>
        <v>2.5669421362673064</v>
      </c>
      <c r="AS871" s="8">
        <f t="shared" si="251"/>
        <v>47.498029832962658</v>
      </c>
    </row>
    <row r="872" spans="1:45">
      <c r="A872" s="19">
        <v>32.832799999999999</v>
      </c>
      <c r="B872" s="19">
        <v>1413.642895</v>
      </c>
      <c r="C872" s="19">
        <v>-254.36123019999999</v>
      </c>
      <c r="E872" s="9">
        <f t="shared" si="237"/>
        <v>453.64289499999995</v>
      </c>
      <c r="F872" s="9">
        <f t="shared" si="242"/>
        <v>285.63876979999998</v>
      </c>
      <c r="I872">
        <v>1</v>
      </c>
      <c r="J872">
        <f t="shared" si="238"/>
        <v>0.34179395777680716</v>
      </c>
      <c r="K872">
        <f t="shared" si="243"/>
        <v>0.56194012899946666</v>
      </c>
      <c r="O872">
        <f t="shared" si="244"/>
        <v>0.28363515990403343</v>
      </c>
      <c r="P872">
        <f t="shared" si="245"/>
        <v>0.17859245463772644</v>
      </c>
      <c r="Q872">
        <f t="shared" si="246"/>
        <v>0.94215488706087225</v>
      </c>
      <c r="R872">
        <f t="shared" si="236"/>
        <v>1</v>
      </c>
      <c r="AG872" s="8">
        <f t="shared" si="239"/>
        <v>0.67516584460182516</v>
      </c>
      <c r="AH872" s="8">
        <f t="shared" si="240"/>
        <v>3.0448309973295951E-2</v>
      </c>
      <c r="AI872" s="8">
        <f t="shared" si="241"/>
        <v>0.73703730075408946</v>
      </c>
      <c r="AJ872" s="8"/>
      <c r="AK872" s="8"/>
      <c r="AL872" s="8"/>
      <c r="AN872" s="8">
        <f t="shared" si="247"/>
        <v>0.99999999999999989</v>
      </c>
      <c r="AO872" s="8">
        <f t="shared" si="248"/>
        <v>4.5066991431537515E-2</v>
      </c>
      <c r="AP872" s="8">
        <f t="shared" si="249"/>
        <v>0.74212016155564386</v>
      </c>
      <c r="AQ872" s="8"/>
      <c r="AR872" s="8">
        <f t="shared" si="250"/>
        <v>2.5821484043793439</v>
      </c>
      <c r="AS872" s="8">
        <f t="shared" si="251"/>
        <v>47.479646851294795</v>
      </c>
    </row>
    <row r="873" spans="1:45">
      <c r="A873" s="19">
        <v>32.866166669999998</v>
      </c>
      <c r="B873" s="19">
        <v>1414.4186360000001</v>
      </c>
      <c r="C873" s="19">
        <v>-254.73960629999999</v>
      </c>
      <c r="E873" s="9">
        <f t="shared" si="237"/>
        <v>454.41863600000011</v>
      </c>
      <c r="F873" s="9">
        <f t="shared" si="242"/>
        <v>285.26039370000001</v>
      </c>
      <c r="I873">
        <v>1</v>
      </c>
      <c r="J873">
        <f t="shared" si="238"/>
        <v>0.34206457566504128</v>
      </c>
      <c r="K873">
        <f t="shared" si="243"/>
        <v>0.56057297107706106</v>
      </c>
      <c r="O873">
        <f t="shared" si="244"/>
        <v>0.28409499033403868</v>
      </c>
      <c r="P873">
        <f t="shared" si="245"/>
        <v>0.17834006436057692</v>
      </c>
      <c r="Q873">
        <f t="shared" si="246"/>
        <v>0.94206414745014455</v>
      </c>
      <c r="R873">
        <f t="shared" si="236"/>
        <v>1</v>
      </c>
      <c r="AG873" s="8">
        <f t="shared" si="239"/>
        <v>0.6754006848639611</v>
      </c>
      <c r="AH873" s="8">
        <f t="shared" si="240"/>
        <v>3.0865617127790956E-2</v>
      </c>
      <c r="AI873" s="8">
        <f t="shared" si="241"/>
        <v>0.7368047424960108</v>
      </c>
      <c r="AJ873" s="8"/>
      <c r="AK873" s="8"/>
      <c r="AL873" s="8"/>
      <c r="AN873" s="8">
        <f t="shared" si="247"/>
        <v>0.99999999999999978</v>
      </c>
      <c r="AO873" s="8">
        <f t="shared" si="248"/>
        <v>4.5667938252886682E-2</v>
      </c>
      <c r="AP873" s="8">
        <f t="shared" si="249"/>
        <v>0.74246419341809733</v>
      </c>
      <c r="AQ873" s="8"/>
      <c r="AR873" s="8">
        <f t="shared" si="250"/>
        <v>2.6165801209544535</v>
      </c>
      <c r="AS873" s="8">
        <f t="shared" si="251"/>
        <v>47.459935277558188</v>
      </c>
    </row>
    <row r="874" spans="1:45">
      <c r="A874" s="19">
        <v>32.899533329999997</v>
      </c>
      <c r="B874" s="19">
        <v>1414.9799780000001</v>
      </c>
      <c r="C874" s="19">
        <v>-254.90758099999999</v>
      </c>
      <c r="E874" s="9">
        <f t="shared" si="237"/>
        <v>454.97997800000007</v>
      </c>
      <c r="F874" s="9">
        <f t="shared" si="242"/>
        <v>285.09241900000001</v>
      </c>
      <c r="I874">
        <v>1</v>
      </c>
      <c r="J874">
        <f t="shared" si="238"/>
        <v>0.34229412310590063</v>
      </c>
      <c r="K874">
        <f t="shared" si="243"/>
        <v>0.55975215075326556</v>
      </c>
      <c r="O874">
        <f t="shared" si="244"/>
        <v>0.28442451831133297</v>
      </c>
      <c r="P874">
        <f t="shared" si="245"/>
        <v>0.17822163143251041</v>
      </c>
      <c r="Q874">
        <f t="shared" si="246"/>
        <v>0.9419871248976287</v>
      </c>
      <c r="R874">
        <f t="shared" si="236"/>
        <v>1</v>
      </c>
      <c r="AG874" s="8">
        <f t="shared" si="239"/>
        <v>0.67552284727129619</v>
      </c>
      <c r="AH874" s="8">
        <f t="shared" si="240"/>
        <v>3.1178592995630916E-2</v>
      </c>
      <c r="AI874" s="8">
        <f t="shared" si="241"/>
        <v>0.73667956273626456</v>
      </c>
      <c r="AJ874" s="8"/>
      <c r="AK874" s="8"/>
      <c r="AL874" s="8"/>
      <c r="AN874" s="8">
        <f t="shared" si="247"/>
        <v>1</v>
      </c>
      <c r="AO874" s="8">
        <f t="shared" si="248"/>
        <v>4.6122025119293079E-2</v>
      </c>
      <c r="AP874" s="8">
        <f t="shared" si="249"/>
        <v>0.7426493229832386</v>
      </c>
      <c r="AQ874" s="8"/>
      <c r="AR874" s="8">
        <f t="shared" si="250"/>
        <v>2.6425973819318607</v>
      </c>
      <c r="AS874" s="8">
        <f t="shared" si="251"/>
        <v>47.449328134812504</v>
      </c>
    </row>
    <row r="875" spans="1:45">
      <c r="A875" s="19">
        <v>32.932899999999997</v>
      </c>
      <c r="B875" s="19">
        <v>1415.460603</v>
      </c>
      <c r="C875" s="19">
        <v>-254.96259499999999</v>
      </c>
      <c r="E875" s="9">
        <f t="shared" si="237"/>
        <v>455.46060299999999</v>
      </c>
      <c r="F875" s="9">
        <f t="shared" si="242"/>
        <v>285.03740500000004</v>
      </c>
      <c r="I875">
        <v>1</v>
      </c>
      <c r="J875">
        <f t="shared" si="238"/>
        <v>0.34251879064004781</v>
      </c>
      <c r="K875">
        <f t="shared" si="243"/>
        <v>0.55919041820437521</v>
      </c>
      <c r="O875">
        <f t="shared" si="244"/>
        <v>0.28470397801718328</v>
      </c>
      <c r="P875">
        <f t="shared" si="245"/>
        <v>0.17817410013659288</v>
      </c>
      <c r="Q875">
        <f t="shared" si="246"/>
        <v>0.9419116916896757</v>
      </c>
      <c r="R875">
        <f t="shared" si="236"/>
        <v>1</v>
      </c>
      <c r="AG875" s="8">
        <f t="shared" si="239"/>
        <v>0.67558739638862897</v>
      </c>
      <c r="AH875" s="8">
        <f t="shared" si="240"/>
        <v>3.1455797299897614E-2</v>
      </c>
      <c r="AI875" s="8">
        <f t="shared" si="241"/>
        <v>0.73660858171559573</v>
      </c>
      <c r="AJ875" s="8"/>
      <c r="AK875" s="8"/>
      <c r="AL875" s="8"/>
      <c r="AN875" s="8">
        <f t="shared" si="247"/>
        <v>1.0000000000000002</v>
      </c>
      <c r="AO875" s="8">
        <f t="shared" si="248"/>
        <v>4.6527060792037729E-2</v>
      </c>
      <c r="AP875" s="8">
        <f t="shared" si="249"/>
        <v>0.74275428091947138</v>
      </c>
      <c r="AQ875" s="8"/>
      <c r="AR875" s="8">
        <f t="shared" si="250"/>
        <v>2.6658042165323712</v>
      </c>
      <c r="AS875" s="8">
        <f t="shared" si="251"/>
        <v>47.44331448803996</v>
      </c>
    </row>
    <row r="876" spans="1:45">
      <c r="A876" s="19">
        <v>32.966266670000003</v>
      </c>
      <c r="B876" s="19">
        <v>1416.217799</v>
      </c>
      <c r="C876" s="19">
        <v>-255.1439431</v>
      </c>
      <c r="E876" s="9">
        <f t="shared" si="237"/>
        <v>456.21779900000001</v>
      </c>
      <c r="F876" s="9">
        <f t="shared" si="242"/>
        <v>284.8560569</v>
      </c>
      <c r="I876">
        <v>1</v>
      </c>
      <c r="J876">
        <f t="shared" si="238"/>
        <v>0.342843089084029</v>
      </c>
      <c r="K876">
        <f t="shared" si="243"/>
        <v>0.55815774466143808</v>
      </c>
      <c r="O876">
        <f t="shared" si="244"/>
        <v>0.28514690831700906</v>
      </c>
      <c r="P876">
        <f t="shared" si="245"/>
        <v>0.17804176890610313</v>
      </c>
      <c r="Q876">
        <f t="shared" si="246"/>
        <v>0.94180272308060198</v>
      </c>
      <c r="R876">
        <f t="shared" si="236"/>
        <v>1</v>
      </c>
      <c r="AG876" s="8">
        <f t="shared" si="239"/>
        <v>0.67573155048742273</v>
      </c>
      <c r="AH876" s="8">
        <f t="shared" si="240"/>
        <v>3.1882547198538891E-2</v>
      </c>
      <c r="AI876" s="8">
        <f t="shared" si="241"/>
        <v>0.73645799259699574</v>
      </c>
      <c r="AJ876" s="8"/>
      <c r="AK876" s="8"/>
      <c r="AL876" s="8"/>
      <c r="AN876" s="8">
        <f t="shared" si="247"/>
        <v>1</v>
      </c>
      <c r="AO876" s="8">
        <f t="shared" si="248"/>
        <v>4.7147302960021932E-2</v>
      </c>
      <c r="AP876" s="8">
        <f t="shared" si="249"/>
        <v>0.74297691372680341</v>
      </c>
      <c r="AQ876" s="8"/>
      <c r="AR876" s="8">
        <f t="shared" si="250"/>
        <v>2.7013414750339102</v>
      </c>
      <c r="AS876" s="8">
        <f t="shared" si="251"/>
        <v>47.430558567798684</v>
      </c>
    </row>
    <row r="877" spans="1:45">
      <c r="A877" s="19">
        <v>32.999633330000002</v>
      </c>
      <c r="B877" s="19">
        <v>1416.561029</v>
      </c>
      <c r="C877" s="19">
        <v>-255.4996194</v>
      </c>
      <c r="E877" s="9">
        <f t="shared" si="237"/>
        <v>456.56102899999996</v>
      </c>
      <c r="F877" s="9">
        <f t="shared" si="242"/>
        <v>284.50038059999997</v>
      </c>
      <c r="I877">
        <v>1</v>
      </c>
      <c r="J877">
        <f t="shared" si="238"/>
        <v>0.34290425313143819</v>
      </c>
      <c r="K877">
        <f t="shared" si="243"/>
        <v>0.55725899823045566</v>
      </c>
      <c r="O877">
        <f t="shared" si="244"/>
        <v>0.28535569636934355</v>
      </c>
      <c r="P877">
        <f t="shared" si="245"/>
        <v>0.17781588674195906</v>
      </c>
      <c r="Q877">
        <f t="shared" si="246"/>
        <v>0.94178216004113058</v>
      </c>
      <c r="R877">
        <f t="shared" si="236"/>
        <v>1</v>
      </c>
      <c r="AG877" s="8">
        <f t="shared" si="239"/>
        <v>0.67591985742562422</v>
      </c>
      <c r="AH877" s="8">
        <f t="shared" si="240"/>
        <v>3.204742595168758E-2</v>
      </c>
      <c r="AI877" s="8">
        <f t="shared" si="241"/>
        <v>0.73627801055552022</v>
      </c>
      <c r="AJ877" s="8"/>
      <c r="AK877" s="8"/>
      <c r="AL877" s="8"/>
      <c r="AN877" s="8">
        <f t="shared" si="247"/>
        <v>0.99999999999999978</v>
      </c>
      <c r="AO877" s="8">
        <f t="shared" si="248"/>
        <v>4.7377575546197835E-2</v>
      </c>
      <c r="AP877" s="8">
        <f t="shared" si="249"/>
        <v>0.74324293062889413</v>
      </c>
      <c r="AQ877" s="8"/>
      <c r="AR877" s="8">
        <f t="shared" si="250"/>
        <v>2.7145351223593521</v>
      </c>
      <c r="AS877" s="8">
        <f t="shared" si="251"/>
        <v>47.415316922029739</v>
      </c>
    </row>
    <row r="878" spans="1:45">
      <c r="A878" s="19">
        <v>33.033000000000001</v>
      </c>
      <c r="B878" s="19">
        <v>1417.2774119999999</v>
      </c>
      <c r="C878" s="19">
        <v>-255.8166707</v>
      </c>
      <c r="E878" s="9">
        <f t="shared" si="237"/>
        <v>457.27741199999991</v>
      </c>
      <c r="F878" s="9">
        <f t="shared" si="242"/>
        <v>284.18332929999997</v>
      </c>
      <c r="I878">
        <v>1</v>
      </c>
      <c r="J878">
        <f t="shared" si="238"/>
        <v>0.34316597901497631</v>
      </c>
      <c r="K878">
        <f t="shared" si="243"/>
        <v>0.55605549728536219</v>
      </c>
      <c r="O878">
        <f t="shared" si="244"/>
        <v>0.28577883516739855</v>
      </c>
      <c r="P878">
        <f t="shared" si="245"/>
        <v>0.17760243276863899</v>
      </c>
      <c r="Q878">
        <f t="shared" si="246"/>
        <v>0.94169412934616192</v>
      </c>
      <c r="R878">
        <f t="shared" si="236"/>
        <v>1</v>
      </c>
      <c r="AG878" s="8">
        <f t="shared" si="239"/>
        <v>0.6761213976633772</v>
      </c>
      <c r="AH878" s="8">
        <f t="shared" si="240"/>
        <v>3.2435886784434098E-2</v>
      </c>
      <c r="AI878" s="8">
        <f t="shared" si="241"/>
        <v>0.7360759260227363</v>
      </c>
      <c r="AJ878" s="8"/>
      <c r="AK878" s="8"/>
      <c r="AL878" s="8"/>
      <c r="AN878" s="8">
        <f t="shared" si="247"/>
        <v>1</v>
      </c>
      <c r="AO878" s="8">
        <f t="shared" si="248"/>
        <v>4.7936713692280482E-2</v>
      </c>
      <c r="AP878" s="8">
        <f t="shared" si="249"/>
        <v>0.74354152370523374</v>
      </c>
      <c r="AQ878" s="8"/>
      <c r="AR878" s="8">
        <f t="shared" si="250"/>
        <v>2.7465713782946568</v>
      </c>
      <c r="AS878" s="8">
        <f t="shared" si="251"/>
        <v>47.398208798963651</v>
      </c>
    </row>
    <row r="879" spans="1:45">
      <c r="A879" s="19">
        <v>33.066366670000001</v>
      </c>
      <c r="B879" s="19">
        <v>1418.070099</v>
      </c>
      <c r="C879" s="19">
        <v>-256.16846270000002</v>
      </c>
      <c r="E879" s="9">
        <f t="shared" si="237"/>
        <v>458.07009900000003</v>
      </c>
      <c r="F879" s="9">
        <f t="shared" si="242"/>
        <v>283.83153729999998</v>
      </c>
      <c r="I879">
        <v>1</v>
      </c>
      <c r="J879">
        <f t="shared" si="238"/>
        <v>0.3434557623815872</v>
      </c>
      <c r="K879">
        <f t="shared" si="243"/>
        <v>0.55472457324233204</v>
      </c>
      <c r="O879">
        <f t="shared" si="244"/>
        <v>0.28624691195365315</v>
      </c>
      <c r="P879">
        <f t="shared" si="245"/>
        <v>0.17736565046386737</v>
      </c>
      <c r="Q879">
        <f t="shared" si="246"/>
        <v>0.94159658635348009</v>
      </c>
      <c r="R879">
        <f t="shared" si="236"/>
        <v>1</v>
      </c>
      <c r="AG879" s="8">
        <f t="shared" si="239"/>
        <v>0.67634461667109436</v>
      </c>
      <c r="AH879" s="8">
        <f t="shared" si="240"/>
        <v>3.2865538062420041E-2</v>
      </c>
      <c r="AI879" s="8">
        <f t="shared" si="241"/>
        <v>0.73585176218304871</v>
      </c>
      <c r="AJ879" s="8"/>
      <c r="AK879" s="8"/>
      <c r="AL879" s="8"/>
      <c r="AN879" s="8">
        <f t="shared" si="247"/>
        <v>1</v>
      </c>
      <c r="AO879" s="8">
        <f t="shared" si="248"/>
        <v>4.8554694925674428E-2</v>
      </c>
      <c r="AP879" s="8">
        <f t="shared" si="249"/>
        <v>0.7438726270192173</v>
      </c>
      <c r="AQ879" s="8"/>
      <c r="AR879" s="8">
        <f t="shared" si="250"/>
        <v>2.7819790947864189</v>
      </c>
      <c r="AS879" s="8">
        <f t="shared" si="251"/>
        <v>47.379237976489598</v>
      </c>
    </row>
    <row r="880" spans="1:45">
      <c r="A880" s="19">
        <v>33.099733329999999</v>
      </c>
      <c r="B880" s="19">
        <v>1418.8925630000001</v>
      </c>
      <c r="C880" s="19">
        <v>-256.58898190000002</v>
      </c>
      <c r="E880" s="9">
        <f t="shared" si="237"/>
        <v>458.89256300000011</v>
      </c>
      <c r="F880" s="9">
        <f t="shared" si="242"/>
        <v>283.41101809999998</v>
      </c>
      <c r="I880">
        <v>1</v>
      </c>
      <c r="J880">
        <f t="shared" si="238"/>
        <v>0.34373965252944433</v>
      </c>
      <c r="K880">
        <f t="shared" si="243"/>
        <v>0.55325863782270235</v>
      </c>
      <c r="O880">
        <f t="shared" si="244"/>
        <v>0.28673403115446666</v>
      </c>
      <c r="P880">
        <f t="shared" si="245"/>
        <v>0.17708629480100008</v>
      </c>
      <c r="Q880">
        <f t="shared" si="246"/>
        <v>0.94150095038271875</v>
      </c>
      <c r="R880">
        <f t="shared" si="236"/>
        <v>1</v>
      </c>
      <c r="AG880" s="8">
        <f t="shared" si="239"/>
        <v>0.67660092261560922</v>
      </c>
      <c r="AH880" s="8">
        <f t="shared" si="240"/>
        <v>3.3305452640350619E-2</v>
      </c>
      <c r="AI880" s="8">
        <f t="shared" si="241"/>
        <v>0.73559631479509724</v>
      </c>
      <c r="AJ880" s="8"/>
      <c r="AK880" s="8"/>
      <c r="AL880" s="8"/>
      <c r="AN880" s="8">
        <f t="shared" si="247"/>
        <v>1</v>
      </c>
      <c r="AO880" s="8">
        <f t="shared" si="248"/>
        <v>4.9184962828630656E-2</v>
      </c>
      <c r="AP880" s="8">
        <f t="shared" si="249"/>
        <v>0.74424979282129289</v>
      </c>
      <c r="AQ880" s="8"/>
      <c r="AR880" s="8">
        <f t="shared" si="250"/>
        <v>2.8180907855883719</v>
      </c>
      <c r="AS880" s="8">
        <f t="shared" si="251"/>
        <v>47.357627967854</v>
      </c>
    </row>
    <row r="881" spans="1:45">
      <c r="A881" s="19">
        <v>33.133099999999999</v>
      </c>
      <c r="B881" s="19">
        <v>1418.5944420000001</v>
      </c>
      <c r="C881" s="19">
        <v>-256.70112030000001</v>
      </c>
      <c r="E881" s="9">
        <f t="shared" si="237"/>
        <v>458.59444200000007</v>
      </c>
      <c r="F881" s="9">
        <f t="shared" si="242"/>
        <v>283.29887969999999</v>
      </c>
      <c r="I881">
        <v>1</v>
      </c>
      <c r="J881">
        <f t="shared" si="238"/>
        <v>0.34355410656277141</v>
      </c>
      <c r="K881">
        <f t="shared" si="243"/>
        <v>0.55337225066502804</v>
      </c>
      <c r="O881">
        <f t="shared" si="244"/>
        <v>0.28656528489416849</v>
      </c>
      <c r="P881">
        <f t="shared" si="245"/>
        <v>0.17702705644964895</v>
      </c>
      <c r="Q881">
        <f t="shared" si="246"/>
        <v>0.94156346508257049</v>
      </c>
      <c r="R881">
        <f t="shared" si="236"/>
        <v>1</v>
      </c>
      <c r="AG881" s="8">
        <f t="shared" si="239"/>
        <v>0.67662697009726958</v>
      </c>
      <c r="AH881" s="8">
        <f t="shared" si="240"/>
        <v>3.3118440965675622E-2</v>
      </c>
      <c r="AI881" s="8">
        <f t="shared" si="241"/>
        <v>0.735580799236217</v>
      </c>
      <c r="AJ881" s="8"/>
      <c r="AK881" s="8"/>
      <c r="AL881" s="8"/>
      <c r="AN881" s="8">
        <f t="shared" si="247"/>
        <v>1</v>
      </c>
      <c r="AO881" s="8">
        <f t="shared" si="248"/>
        <v>4.8907348607343672E-2</v>
      </c>
      <c r="AP881" s="8">
        <f t="shared" si="249"/>
        <v>0.74427269642979843</v>
      </c>
      <c r="AQ881" s="8"/>
      <c r="AR881" s="8">
        <f t="shared" si="250"/>
        <v>2.8021846623758169</v>
      </c>
      <c r="AS881" s="8">
        <f t="shared" si="251"/>
        <v>47.356315687751014</v>
      </c>
    </row>
    <row r="882" spans="1:45">
      <c r="A882" s="19">
        <v>33.166466669999998</v>
      </c>
      <c r="B882" s="19">
        <v>1419.458646</v>
      </c>
      <c r="C882" s="19">
        <v>-257.06080780000002</v>
      </c>
      <c r="E882" s="9">
        <f t="shared" si="237"/>
        <v>459.45864600000004</v>
      </c>
      <c r="F882" s="9">
        <f t="shared" si="242"/>
        <v>282.93919219999998</v>
      </c>
      <c r="I882">
        <v>1</v>
      </c>
      <c r="J882">
        <f t="shared" si="238"/>
        <v>0.34387863808366165</v>
      </c>
      <c r="K882">
        <f t="shared" si="243"/>
        <v>0.55196340697357793</v>
      </c>
      <c r="O882">
        <f t="shared" si="244"/>
        <v>0.28707457805303643</v>
      </c>
      <c r="P882">
        <f t="shared" si="245"/>
        <v>0.17678337304698793</v>
      </c>
      <c r="Q882">
        <f t="shared" si="246"/>
        <v>0.94145410172233068</v>
      </c>
      <c r="R882">
        <f t="shared" si="236"/>
        <v>1</v>
      </c>
      <c r="AG882" s="8">
        <f t="shared" si="239"/>
        <v>0.67685913539046383</v>
      </c>
      <c r="AH882" s="8">
        <f t="shared" si="240"/>
        <v>3.358919159895557E-2</v>
      </c>
      <c r="AI882" s="8">
        <f t="shared" si="241"/>
        <v>0.73534582139711813</v>
      </c>
      <c r="AJ882" s="8"/>
      <c r="AK882" s="8"/>
      <c r="AL882" s="8"/>
      <c r="AN882" s="8">
        <f t="shared" si="247"/>
        <v>1</v>
      </c>
      <c r="AO882" s="8">
        <f t="shared" si="248"/>
        <v>4.9584407918422793E-2</v>
      </c>
      <c r="AP882" s="8">
        <f t="shared" si="249"/>
        <v>0.74461949415482631</v>
      </c>
      <c r="AQ882" s="8"/>
      <c r="AR882" s="8">
        <f t="shared" si="250"/>
        <v>2.8409773033806855</v>
      </c>
      <c r="AS882" s="8">
        <f t="shared" si="251"/>
        <v>47.336445641762182</v>
      </c>
    </row>
    <row r="883" spans="1:45">
      <c r="A883" s="19">
        <v>33.199833329999997</v>
      </c>
      <c r="B883" s="19">
        <v>1420.166614</v>
      </c>
      <c r="C883" s="19">
        <v>-257.03101249999997</v>
      </c>
      <c r="E883" s="9">
        <f t="shared" si="237"/>
        <v>460.16661399999998</v>
      </c>
      <c r="F883" s="9">
        <f t="shared" si="242"/>
        <v>282.96898750000003</v>
      </c>
      <c r="I883">
        <v>1</v>
      </c>
      <c r="J883">
        <f t="shared" si="238"/>
        <v>0.34424572607738846</v>
      </c>
      <c r="K883">
        <f t="shared" si="243"/>
        <v>0.55132317296668343</v>
      </c>
      <c r="O883">
        <f t="shared" si="244"/>
        <v>0.28748207279474691</v>
      </c>
      <c r="P883">
        <f t="shared" si="245"/>
        <v>0.17678055858074665</v>
      </c>
      <c r="Q883">
        <f t="shared" si="246"/>
        <v>0.94133027781407042</v>
      </c>
      <c r="R883">
        <f t="shared" si="236"/>
        <v>1</v>
      </c>
      <c r="AG883" s="8">
        <f t="shared" si="239"/>
        <v>0.67690335765894605</v>
      </c>
      <c r="AH883" s="8">
        <f t="shared" si="240"/>
        <v>3.4008522884173831E-2</v>
      </c>
      <c r="AI883" s="8">
        <f t="shared" si="241"/>
        <v>0.73528583881459431</v>
      </c>
      <c r="AJ883" s="8"/>
      <c r="AK883" s="8"/>
      <c r="AL883" s="8"/>
      <c r="AN883" s="8">
        <f t="shared" si="247"/>
        <v>1</v>
      </c>
      <c r="AO883" s="8">
        <f t="shared" si="248"/>
        <v>5.0199117925340597E-2</v>
      </c>
      <c r="AP883" s="8">
        <f t="shared" si="249"/>
        <v>0.74470799999161874</v>
      </c>
      <c r="AQ883" s="8"/>
      <c r="AR883" s="8">
        <f t="shared" si="250"/>
        <v>2.8761975924015335</v>
      </c>
      <c r="AS883" s="8">
        <f t="shared" si="251"/>
        <v>47.331374630851698</v>
      </c>
    </row>
    <row r="884" spans="1:45">
      <c r="A884" s="19">
        <v>33.233199999999997</v>
      </c>
      <c r="B884" s="19">
        <v>1420.5746750000001</v>
      </c>
      <c r="C884" s="19">
        <v>-257.64924100000002</v>
      </c>
      <c r="E884" s="9">
        <f t="shared" si="237"/>
        <v>460.57467500000007</v>
      </c>
      <c r="F884" s="9">
        <f t="shared" si="242"/>
        <v>282.35075899999998</v>
      </c>
      <c r="I884">
        <v>1</v>
      </c>
      <c r="J884">
        <f t="shared" si="238"/>
        <v>0.34426012695352554</v>
      </c>
      <c r="K884">
        <f t="shared" si="243"/>
        <v>0.54995269679387704</v>
      </c>
      <c r="O884">
        <f t="shared" si="244"/>
        <v>0.28773563339849245</v>
      </c>
      <c r="P884">
        <f t="shared" si="245"/>
        <v>0.17639349033120433</v>
      </c>
      <c r="Q884">
        <f t="shared" si="246"/>
        <v>0.94132541761154187</v>
      </c>
      <c r="R884">
        <f t="shared" si="236"/>
        <v>1</v>
      </c>
      <c r="AG884" s="8">
        <f t="shared" si="239"/>
        <v>0.67721421373680424</v>
      </c>
      <c r="AH884" s="8">
        <f t="shared" si="240"/>
        <v>3.4184059228877017E-2</v>
      </c>
      <c r="AI884" s="8">
        <f t="shared" si="241"/>
        <v>0.73499140049899814</v>
      </c>
      <c r="AJ884" s="8"/>
      <c r="AK884" s="8"/>
      <c r="AL884" s="8"/>
      <c r="AN884" s="8">
        <f t="shared" si="247"/>
        <v>1</v>
      </c>
      <c r="AO884" s="8">
        <f t="shared" si="248"/>
        <v>5.0434662278133965E-2</v>
      </c>
      <c r="AP884" s="8">
        <f t="shared" si="249"/>
        <v>0.74514232809644509</v>
      </c>
      <c r="AQ884" s="8"/>
      <c r="AR884" s="8">
        <f t="shared" si="250"/>
        <v>2.8896932897047338</v>
      </c>
      <c r="AS884" s="8">
        <f t="shared" si="251"/>
        <v>47.306489463521231</v>
      </c>
    </row>
    <row r="885" spans="1:45">
      <c r="A885" s="19">
        <v>33.266566670000003</v>
      </c>
      <c r="B885" s="19">
        <v>1421.341768</v>
      </c>
      <c r="C885" s="19">
        <v>-257.77033340000003</v>
      </c>
      <c r="E885" s="9">
        <f t="shared" si="237"/>
        <v>461.341768</v>
      </c>
      <c r="F885" s="9">
        <f t="shared" si="242"/>
        <v>282.22966659999997</v>
      </c>
      <c r="I885">
        <v>1</v>
      </c>
      <c r="J885">
        <f t="shared" si="238"/>
        <v>0.344610724463837</v>
      </c>
      <c r="K885">
        <f t="shared" si="243"/>
        <v>0.54902049562439426</v>
      </c>
      <c r="O885">
        <f t="shared" si="244"/>
        <v>0.28818144925625672</v>
      </c>
      <c r="P885">
        <f t="shared" si="245"/>
        <v>0.17629740029066293</v>
      </c>
      <c r="Q885">
        <f t="shared" si="246"/>
        <v>0.94120703299291031</v>
      </c>
      <c r="R885">
        <f t="shared" si="236"/>
        <v>1</v>
      </c>
      <c r="AG885" s="8">
        <f t="shared" si="239"/>
        <v>0.67733073942041133</v>
      </c>
      <c r="AH885" s="8">
        <f t="shared" si="240"/>
        <v>3.4622309701739407E-2</v>
      </c>
      <c r="AI885" s="8">
        <f t="shared" si="241"/>
        <v>0.7348635010034964</v>
      </c>
      <c r="AJ885" s="8"/>
      <c r="AK885" s="8"/>
      <c r="AL885" s="8"/>
      <c r="AN885" s="8">
        <f t="shared" si="247"/>
        <v>1</v>
      </c>
      <c r="AO885" s="8">
        <f t="shared" si="248"/>
        <v>5.1071361224573439E-2</v>
      </c>
      <c r="AP885" s="8">
        <f t="shared" si="249"/>
        <v>0.74533092988094274</v>
      </c>
      <c r="AQ885" s="8"/>
      <c r="AR885" s="8">
        <f t="shared" si="250"/>
        <v>2.9261734521561418</v>
      </c>
      <c r="AS885" s="8">
        <f t="shared" si="251"/>
        <v>47.295683377260886</v>
      </c>
    </row>
    <row r="886" spans="1:45">
      <c r="A886" s="19">
        <v>33.299933330000002</v>
      </c>
      <c r="B886" s="19">
        <v>1422.1616509999999</v>
      </c>
      <c r="C886" s="19">
        <v>-257.92156130000001</v>
      </c>
      <c r="E886" s="9">
        <f t="shared" si="237"/>
        <v>462.16165099999989</v>
      </c>
      <c r="F886" s="9">
        <f t="shared" si="242"/>
        <v>282.07843869999999</v>
      </c>
      <c r="I886">
        <v>1</v>
      </c>
      <c r="J886">
        <f t="shared" si="238"/>
        <v>0.34497892670251246</v>
      </c>
      <c r="K886">
        <f t="shared" si="243"/>
        <v>0.54799202278670023</v>
      </c>
      <c r="O886">
        <f t="shared" si="244"/>
        <v>0.28865840371429463</v>
      </c>
      <c r="P886">
        <f t="shared" si="245"/>
        <v>0.17618145439194505</v>
      </c>
      <c r="Q886">
        <f t="shared" si="246"/>
        <v>0.94108257931674322</v>
      </c>
      <c r="R886">
        <f t="shared" si="236"/>
        <v>1</v>
      </c>
      <c r="AG886" s="8">
        <f t="shared" si="239"/>
        <v>0.6774648771989118</v>
      </c>
      <c r="AH886" s="8">
        <f t="shared" si="240"/>
        <v>3.5088332074926398E-2</v>
      </c>
      <c r="AI886" s="8">
        <f t="shared" si="241"/>
        <v>0.7347177343130239</v>
      </c>
      <c r="AJ886" s="8"/>
      <c r="AK886" s="8"/>
      <c r="AL886" s="8"/>
      <c r="AN886" s="8">
        <f t="shared" si="247"/>
        <v>1.0000000000000002</v>
      </c>
      <c r="AO886" s="8">
        <f t="shared" si="248"/>
        <v>5.1747342134154231E-2</v>
      </c>
      <c r="AP886" s="8">
        <f t="shared" si="249"/>
        <v>0.7455458318144621</v>
      </c>
      <c r="AQ886" s="8"/>
      <c r="AR886" s="8">
        <f t="shared" si="250"/>
        <v>2.9649043053065358</v>
      </c>
      <c r="AS886" s="8">
        <f t="shared" si="251"/>
        <v>47.283370403461021</v>
      </c>
    </row>
    <row r="887" spans="1:45">
      <c r="A887" s="19">
        <v>33.333300000000001</v>
      </c>
      <c r="B887" s="19">
        <v>1422.550162</v>
      </c>
      <c r="C887" s="19">
        <v>-258.49838970000002</v>
      </c>
      <c r="E887" s="9">
        <f t="shared" si="237"/>
        <v>462.550162</v>
      </c>
      <c r="F887" s="9">
        <f t="shared" si="242"/>
        <v>281.50161029999998</v>
      </c>
      <c r="I887">
        <v>1</v>
      </c>
      <c r="J887">
        <f t="shared" si="238"/>
        <v>0.34499764115736259</v>
      </c>
      <c r="K887">
        <f t="shared" si="243"/>
        <v>0.5467089192863307</v>
      </c>
      <c r="O887">
        <f t="shared" si="244"/>
        <v>0.2888992697719534</v>
      </c>
      <c r="P887">
        <f t="shared" si="245"/>
        <v>0.17582008684995118</v>
      </c>
      <c r="Q887">
        <f t="shared" si="246"/>
        <v>0.941076250356637</v>
      </c>
      <c r="R887">
        <f t="shared" si="236"/>
        <v>1</v>
      </c>
      <c r="AG887" s="8">
        <f t="shared" si="239"/>
        <v>0.67775513527510833</v>
      </c>
      <c r="AH887" s="8">
        <f t="shared" si="240"/>
        <v>3.5256630940805112E-2</v>
      </c>
      <c r="AI887" s="8">
        <f t="shared" si="241"/>
        <v>0.73444192866619717</v>
      </c>
      <c r="AJ887" s="8"/>
      <c r="AK887" s="8"/>
      <c r="AL887" s="8"/>
      <c r="AN887" s="8">
        <f t="shared" si="247"/>
        <v>1</v>
      </c>
      <c r="AO887" s="8">
        <f t="shared" si="248"/>
        <v>5.1972871265200948E-2</v>
      </c>
      <c r="AP887" s="8">
        <f t="shared" si="249"/>
        <v>0.74595231170099119</v>
      </c>
      <c r="AQ887" s="8"/>
      <c r="AR887" s="8">
        <f t="shared" si="250"/>
        <v>2.9778261726727653</v>
      </c>
      <c r="AS887" s="8">
        <f t="shared" si="251"/>
        <v>47.260080821505952</v>
      </c>
    </row>
    <row r="888" spans="1:45">
      <c r="A888" s="19">
        <v>33.366666670000001</v>
      </c>
      <c r="B888" s="19">
        <v>1423.3467089999999</v>
      </c>
      <c r="C888" s="19">
        <v>-258.83948400000003</v>
      </c>
      <c r="E888" s="9">
        <f t="shared" si="237"/>
        <v>463.34670899999992</v>
      </c>
      <c r="F888" s="9">
        <f t="shared" si="242"/>
        <v>281.16051599999997</v>
      </c>
      <c r="I888">
        <v>1</v>
      </c>
      <c r="J888">
        <f t="shared" si="238"/>
        <v>0.3452962632909527</v>
      </c>
      <c r="K888">
        <f t="shared" si="243"/>
        <v>0.54540723744215824</v>
      </c>
      <c r="O888">
        <f t="shared" si="244"/>
        <v>0.28936812769638037</v>
      </c>
      <c r="P888">
        <f t="shared" si="245"/>
        <v>0.17558966216174893</v>
      </c>
      <c r="Q888">
        <f t="shared" si="246"/>
        <v>0.94097521604738044</v>
      </c>
      <c r="R888">
        <f t="shared" si="236"/>
        <v>1</v>
      </c>
      <c r="AG888" s="8">
        <f t="shared" si="239"/>
        <v>0.67797225148377627</v>
      </c>
      <c r="AH888" s="8">
        <f t="shared" si="240"/>
        <v>3.5689081287237634E-2</v>
      </c>
      <c r="AI888" s="8">
        <f t="shared" si="241"/>
        <v>0.73422061786284121</v>
      </c>
      <c r="AJ888" s="8"/>
      <c r="AK888" s="8"/>
      <c r="AL888" s="8"/>
      <c r="AN888" s="8">
        <f t="shared" si="247"/>
        <v>1.0000000000000002</v>
      </c>
      <c r="AO888" s="8">
        <f t="shared" si="248"/>
        <v>5.2592374258336239E-2</v>
      </c>
      <c r="AP888" s="8">
        <f t="shared" si="249"/>
        <v>0.74627834831823936</v>
      </c>
      <c r="AQ888" s="8"/>
      <c r="AR888" s="8">
        <f t="shared" si="250"/>
        <v>3.0133210795751397</v>
      </c>
      <c r="AS888" s="8">
        <f t="shared" si="251"/>
        <v>47.241400299370909</v>
      </c>
    </row>
    <row r="889" spans="1:45">
      <c r="A889" s="19">
        <v>33.400033329999999</v>
      </c>
      <c r="B889" s="19">
        <v>1423.9354989999999</v>
      </c>
      <c r="C889" s="19">
        <v>-258.87109229999999</v>
      </c>
      <c r="E889" s="9">
        <f t="shared" si="237"/>
        <v>463.93549899999994</v>
      </c>
      <c r="F889" s="9">
        <f t="shared" si="242"/>
        <v>281.12890770000001</v>
      </c>
      <c r="I889">
        <v>1</v>
      </c>
      <c r="J889">
        <f t="shared" si="238"/>
        <v>0.34558504023620656</v>
      </c>
      <c r="K889">
        <f t="shared" si="243"/>
        <v>0.54479435713782443</v>
      </c>
      <c r="O889">
        <f t="shared" si="244"/>
        <v>0.28970807108449492</v>
      </c>
      <c r="P889">
        <f t="shared" si="245"/>
        <v>0.17555309682361259</v>
      </c>
      <c r="Q889">
        <f t="shared" si="246"/>
        <v>0.94087743290193782</v>
      </c>
      <c r="R889">
        <f t="shared" si="236"/>
        <v>1</v>
      </c>
      <c r="AG889" s="8">
        <f t="shared" si="239"/>
        <v>0.67803364853168779</v>
      </c>
      <c r="AH889" s="8">
        <f t="shared" si="240"/>
        <v>3.6031570565519644E-2</v>
      </c>
      <c r="AI889" s="8">
        <f t="shared" si="241"/>
        <v>0.73414719054246169</v>
      </c>
      <c r="AJ889" s="8"/>
      <c r="AK889" s="8"/>
      <c r="AL889" s="8"/>
      <c r="AN889" s="8">
        <f t="shared" si="247"/>
        <v>0.99999999999999978</v>
      </c>
      <c r="AO889" s="8">
        <f t="shared" si="248"/>
        <v>5.3091333065668211E-2</v>
      </c>
      <c r="AP889" s="8">
        <f t="shared" si="249"/>
        <v>0.74638649656107581</v>
      </c>
      <c r="AQ889" s="8"/>
      <c r="AR889" s="8">
        <f t="shared" si="250"/>
        <v>3.0419093133861428</v>
      </c>
      <c r="AS889" s="8">
        <f t="shared" si="251"/>
        <v>47.235203861494625</v>
      </c>
    </row>
    <row r="890" spans="1:45">
      <c r="A890" s="19">
        <v>33.433399999999999</v>
      </c>
      <c r="B890" s="19">
        <v>1424.3480689999999</v>
      </c>
      <c r="C890" s="19">
        <v>-259.0070935</v>
      </c>
      <c r="E890" s="9">
        <f t="shared" si="237"/>
        <v>464.3480689999999</v>
      </c>
      <c r="F890" s="9">
        <f t="shared" si="242"/>
        <v>280.9929065</v>
      </c>
      <c r="I890">
        <v>1</v>
      </c>
      <c r="J890">
        <f t="shared" si="238"/>
        <v>0.3457524817370734</v>
      </c>
      <c r="K890">
        <f t="shared" si="243"/>
        <v>0.54418611237242454</v>
      </c>
      <c r="O890">
        <f t="shared" si="244"/>
        <v>0.28994957750734757</v>
      </c>
      <c r="P890">
        <f t="shared" si="245"/>
        <v>0.17545841139749982</v>
      </c>
      <c r="Q890">
        <f t="shared" si="246"/>
        <v>0.94082069937537849</v>
      </c>
      <c r="R890">
        <f t="shared" si="236"/>
        <v>1</v>
      </c>
      <c r="AG890" s="8">
        <f t="shared" si="239"/>
        <v>0.67812769014703178</v>
      </c>
      <c r="AH890" s="8">
        <f t="shared" si="240"/>
        <v>3.6259698411497843E-2</v>
      </c>
      <c r="AI890" s="8">
        <f t="shared" si="241"/>
        <v>0.73404909245019745</v>
      </c>
      <c r="AJ890" s="8"/>
      <c r="AK890" s="8"/>
      <c r="AL890" s="8"/>
      <c r="AN890" s="8">
        <f t="shared" si="247"/>
        <v>1</v>
      </c>
      <c r="AO890" s="8">
        <f t="shared" si="248"/>
        <v>5.3419439595012802E-2</v>
      </c>
      <c r="AP890" s="8">
        <f t="shared" si="249"/>
        <v>0.74653096169367572</v>
      </c>
      <c r="AQ890" s="8"/>
      <c r="AR890" s="8">
        <f t="shared" si="250"/>
        <v>3.0607084327482732</v>
      </c>
      <c r="AS890" s="8">
        <f t="shared" si="251"/>
        <v>47.226926619109854</v>
      </c>
    </row>
    <row r="891" spans="1:45">
      <c r="A891" s="19">
        <v>33.466766669999998</v>
      </c>
      <c r="B891" s="19">
        <v>1424.474236</v>
      </c>
      <c r="C891" s="19">
        <v>-259.46836660000002</v>
      </c>
      <c r="E891" s="9">
        <f t="shared" si="237"/>
        <v>464.47423600000002</v>
      </c>
      <c r="F891" s="9">
        <f t="shared" si="242"/>
        <v>280.53163339999998</v>
      </c>
      <c r="I891">
        <v>1</v>
      </c>
      <c r="J891">
        <f t="shared" si="238"/>
        <v>0.34567502157365743</v>
      </c>
      <c r="K891">
        <f t="shared" si="243"/>
        <v>0.54333844204698178</v>
      </c>
      <c r="O891">
        <f t="shared" si="244"/>
        <v>0.29003582228553931</v>
      </c>
      <c r="P891">
        <f t="shared" si="245"/>
        <v>0.17517488950727172</v>
      </c>
      <c r="Q891">
        <f t="shared" si="246"/>
        <v>0.94084694816812064</v>
      </c>
      <c r="R891">
        <f t="shared" si="236"/>
        <v>1</v>
      </c>
      <c r="AG891" s="8">
        <f t="shared" si="239"/>
        <v>0.67834469429960409</v>
      </c>
      <c r="AH891" s="8">
        <f t="shared" si="240"/>
        <v>3.628590560932804E-2</v>
      </c>
      <c r="AI891" s="8">
        <f t="shared" si="241"/>
        <v>0.73384726528732647</v>
      </c>
      <c r="AJ891" s="8"/>
      <c r="AK891" s="8"/>
      <c r="AL891" s="8"/>
      <c r="AN891" s="8">
        <f t="shared" si="247"/>
        <v>1.0000000000000002</v>
      </c>
      <c r="AO891" s="8">
        <f t="shared" si="248"/>
        <v>5.3440906950893596E-2</v>
      </c>
      <c r="AP891" s="8">
        <f t="shared" si="249"/>
        <v>0.74682811354988599</v>
      </c>
      <c r="AQ891" s="8"/>
      <c r="AR891" s="8">
        <f t="shared" si="250"/>
        <v>3.061938421637548</v>
      </c>
      <c r="AS891" s="8">
        <f t="shared" si="251"/>
        <v>47.209901071874526</v>
      </c>
    </row>
    <row r="892" spans="1:45">
      <c r="A892" s="19">
        <v>33.500133329999997</v>
      </c>
      <c r="B892" s="19">
        <v>1425.841991</v>
      </c>
      <c r="C892" s="19">
        <v>-259.87200150000001</v>
      </c>
      <c r="E892" s="9">
        <f t="shared" si="237"/>
        <v>465.84199100000001</v>
      </c>
      <c r="F892" s="9">
        <f t="shared" si="242"/>
        <v>280.12799849999999</v>
      </c>
      <c r="I892">
        <v>1</v>
      </c>
      <c r="J892">
        <f t="shared" si="238"/>
        <v>0.34624583717050161</v>
      </c>
      <c r="K892">
        <f t="shared" si="243"/>
        <v>0.5414019663361771</v>
      </c>
      <c r="O892">
        <f t="shared" si="244"/>
        <v>0.29083469783735399</v>
      </c>
      <c r="P892">
        <f t="shared" si="245"/>
        <v>0.17488964793543108</v>
      </c>
      <c r="Q892">
        <f t="shared" si="246"/>
        <v>0.94065338439771529</v>
      </c>
      <c r="R892">
        <f t="shared" si="236"/>
        <v>1</v>
      </c>
      <c r="AG892" s="8">
        <f t="shared" si="239"/>
        <v>0.67863472781245304</v>
      </c>
      <c r="AH892" s="8">
        <f t="shared" si="240"/>
        <v>3.7046910306705316E-2</v>
      </c>
      <c r="AI892" s="8">
        <f t="shared" si="241"/>
        <v>0.73354102314979275</v>
      </c>
      <c r="AJ892" s="8"/>
      <c r="AK892" s="8"/>
      <c r="AL892" s="8"/>
      <c r="AN892" s="8">
        <f t="shared" si="247"/>
        <v>1</v>
      </c>
      <c r="AO892" s="8">
        <f t="shared" si="248"/>
        <v>5.4536222806548476E-2</v>
      </c>
      <c r="AP892" s="8">
        <f t="shared" si="249"/>
        <v>0.74727881438699184</v>
      </c>
      <c r="AQ892" s="8"/>
      <c r="AR892" s="8">
        <f t="shared" si="250"/>
        <v>3.1246953974003331</v>
      </c>
      <c r="AS892" s="8">
        <f t="shared" si="251"/>
        <v>47.184077816085342</v>
      </c>
    </row>
    <row r="893" spans="1:45">
      <c r="A893" s="19">
        <v>33.533499999999997</v>
      </c>
      <c r="B893" s="19">
        <v>1426.2843190000001</v>
      </c>
      <c r="C893" s="19">
        <v>-259.80941760000002</v>
      </c>
      <c r="E893" s="9">
        <f t="shared" si="237"/>
        <v>466.2843190000001</v>
      </c>
      <c r="F893" s="9">
        <f t="shared" si="242"/>
        <v>280.19058239999998</v>
      </c>
      <c r="I893">
        <v>1</v>
      </c>
      <c r="J893">
        <f t="shared" si="238"/>
        <v>0.34648956339357417</v>
      </c>
      <c r="K893">
        <f t="shared" si="243"/>
        <v>0.54108153025194317</v>
      </c>
      <c r="O893">
        <f t="shared" si="244"/>
        <v>0.29108722753937299</v>
      </c>
      <c r="P893">
        <f t="shared" si="245"/>
        <v>0.1749145242292787</v>
      </c>
      <c r="Q893">
        <f t="shared" si="246"/>
        <v>0.94057064337405638</v>
      </c>
      <c r="R893">
        <f t="shared" si="236"/>
        <v>1</v>
      </c>
      <c r="AG893" s="8">
        <f t="shared" si="239"/>
        <v>0.67864181263844325</v>
      </c>
      <c r="AH893" s="8">
        <f t="shared" si="240"/>
        <v>3.7312963619982042E-2</v>
      </c>
      <c r="AI893" s="8">
        <f t="shared" si="241"/>
        <v>0.73352098326135307</v>
      </c>
      <c r="AJ893" s="8"/>
      <c r="AK893" s="8"/>
      <c r="AL893" s="8"/>
      <c r="AN893" s="8">
        <f t="shared" si="247"/>
        <v>1.0000000000000002</v>
      </c>
      <c r="AO893" s="8">
        <f t="shared" si="248"/>
        <v>5.4926519316193939E-2</v>
      </c>
      <c r="AP893" s="8">
        <f t="shared" si="249"/>
        <v>0.74730829972763713</v>
      </c>
      <c r="AQ893" s="8"/>
      <c r="AR893" s="8">
        <f t="shared" si="250"/>
        <v>3.147057740161705</v>
      </c>
      <c r="AS893" s="8">
        <f t="shared" si="251"/>
        <v>47.182388430508865</v>
      </c>
    </row>
    <row r="894" spans="1:45">
      <c r="A894" s="19">
        <v>33.566866670000003</v>
      </c>
      <c r="B894" s="19">
        <v>1426.466023</v>
      </c>
      <c r="C894" s="19">
        <v>-260.57314389999999</v>
      </c>
      <c r="E894" s="9">
        <f t="shared" si="237"/>
        <v>466.46602299999995</v>
      </c>
      <c r="F894" s="9">
        <f t="shared" si="242"/>
        <v>279.42685610000001</v>
      </c>
      <c r="I894">
        <v>1</v>
      </c>
      <c r="J894">
        <f t="shared" si="238"/>
        <v>0.34634908284860616</v>
      </c>
      <c r="K894">
        <f t="shared" si="243"/>
        <v>0.53970550907411119</v>
      </c>
      <c r="O894">
        <f t="shared" si="244"/>
        <v>0.29121428444300207</v>
      </c>
      <c r="P894">
        <f t="shared" si="245"/>
        <v>0.17444591447407351</v>
      </c>
      <c r="Q894">
        <f t="shared" si="246"/>
        <v>0.94061834101810626</v>
      </c>
      <c r="R894">
        <f t="shared" si="236"/>
        <v>1</v>
      </c>
      <c r="AG894" s="8">
        <f t="shared" si="239"/>
        <v>0.6789985757280812</v>
      </c>
      <c r="AH894" s="8">
        <f t="shared" si="240"/>
        <v>3.734043316208091E-2</v>
      </c>
      <c r="AI894" s="8">
        <f t="shared" si="241"/>
        <v>0.73318935222117432</v>
      </c>
      <c r="AJ894" s="8"/>
      <c r="AK894" s="8"/>
      <c r="AL894" s="8"/>
      <c r="AN894" s="8">
        <f t="shared" si="247"/>
        <v>0.99999999999999989</v>
      </c>
      <c r="AO894" s="8">
        <f t="shared" si="248"/>
        <v>5.4938051565766706E-2</v>
      </c>
      <c r="AP894" s="8">
        <f t="shared" si="249"/>
        <v>0.74779610313214784</v>
      </c>
      <c r="AQ894" s="8"/>
      <c r="AR894" s="8">
        <f t="shared" si="250"/>
        <v>3.1477184893905163</v>
      </c>
      <c r="AS894" s="8">
        <f t="shared" si="251"/>
        <v>47.154439354198288</v>
      </c>
    </row>
    <row r="895" spans="1:45">
      <c r="A895" s="19">
        <v>33.600233330000002</v>
      </c>
      <c r="B895" s="19">
        <v>1427.143669</v>
      </c>
      <c r="C895" s="19">
        <v>-260.60918299999997</v>
      </c>
      <c r="E895" s="9">
        <f t="shared" si="237"/>
        <v>467.14366900000005</v>
      </c>
      <c r="F895" s="9">
        <f t="shared" si="242"/>
        <v>279.39081700000003</v>
      </c>
      <c r="I895">
        <v>1</v>
      </c>
      <c r="J895">
        <f t="shared" si="238"/>
        <v>0.34668259160830733</v>
      </c>
      <c r="K895">
        <f t="shared" si="243"/>
        <v>0.53900895425038486</v>
      </c>
      <c r="O895">
        <f t="shared" si="244"/>
        <v>0.29160493546801686</v>
      </c>
      <c r="P895">
        <f t="shared" si="245"/>
        <v>0.17440403577778449</v>
      </c>
      <c r="Q895">
        <f t="shared" si="246"/>
        <v>0.94050507383804949</v>
      </c>
      <c r="R895">
        <f t="shared" si="236"/>
        <v>1</v>
      </c>
      <c r="AG895" s="8">
        <f t="shared" si="239"/>
        <v>0.67906838956814408</v>
      </c>
      <c r="AH895" s="8">
        <f t="shared" si="240"/>
        <v>3.7734288478462163E-2</v>
      </c>
      <c r="AI895" s="8">
        <f t="shared" si="241"/>
        <v>0.73310452580948604</v>
      </c>
      <c r="AJ895" s="8"/>
      <c r="AK895" s="8"/>
      <c r="AL895" s="8"/>
      <c r="AN895" s="8">
        <f t="shared" si="247"/>
        <v>0.99999999999999978</v>
      </c>
      <c r="AO895" s="8">
        <f t="shared" si="248"/>
        <v>5.5510641569449765E-2</v>
      </c>
      <c r="AP895" s="8">
        <f t="shared" si="249"/>
        <v>0.74792083496686712</v>
      </c>
      <c r="AQ895" s="8"/>
      <c r="AR895" s="8">
        <f t="shared" si="250"/>
        <v>3.1805254799929359</v>
      </c>
      <c r="AS895" s="8">
        <f t="shared" si="251"/>
        <v>47.147292746497946</v>
      </c>
    </row>
    <row r="896" spans="1:45">
      <c r="A896" s="19">
        <v>33.633600000000001</v>
      </c>
      <c r="B896" s="19">
        <v>1427.8738739999999</v>
      </c>
      <c r="C896" s="19">
        <v>-260.60586439999997</v>
      </c>
      <c r="E896" s="9">
        <f t="shared" si="237"/>
        <v>467.87387399999989</v>
      </c>
      <c r="F896" s="9">
        <f t="shared" si="242"/>
        <v>279.39413560000003</v>
      </c>
      <c r="I896">
        <v>1</v>
      </c>
      <c r="J896">
        <f t="shared" si="238"/>
        <v>0.3470548542438695</v>
      </c>
      <c r="K896">
        <f t="shared" si="243"/>
        <v>0.53832640006186072</v>
      </c>
      <c r="O896">
        <f t="shared" si="244"/>
        <v>0.29202448494254735</v>
      </c>
      <c r="P896">
        <f t="shared" si="245"/>
        <v>0.17438445076452005</v>
      </c>
      <c r="Q896">
        <f t="shared" si="246"/>
        <v>0.94037852140805334</v>
      </c>
      <c r="R896">
        <f t="shared" si="236"/>
        <v>1</v>
      </c>
      <c r="AG896" s="8">
        <f t="shared" si="239"/>
        <v>0.6791245871978262</v>
      </c>
      <c r="AH896" s="8">
        <f t="shared" si="240"/>
        <v>3.8162948636209337E-2</v>
      </c>
      <c r="AI896" s="8">
        <f t="shared" si="241"/>
        <v>0.73303027523750497</v>
      </c>
      <c r="AJ896" s="8"/>
      <c r="AK896" s="8"/>
      <c r="AL896" s="8"/>
      <c r="AN896" s="8">
        <f t="shared" si="247"/>
        <v>1</v>
      </c>
      <c r="AO896" s="8">
        <f t="shared" si="248"/>
        <v>5.6135287905279628E-2</v>
      </c>
      <c r="AP896" s="8">
        <f t="shared" si="249"/>
        <v>0.748030001940311</v>
      </c>
      <c r="AQ896" s="8"/>
      <c r="AR896" s="8">
        <f t="shared" si="250"/>
        <v>3.2163150787242984</v>
      </c>
      <c r="AS896" s="8">
        <f t="shared" si="251"/>
        <v>47.141037939657402</v>
      </c>
    </row>
    <row r="897" spans="1:45">
      <c r="A897" s="19">
        <v>33.666966670000001</v>
      </c>
      <c r="B897" s="19">
        <v>1428.1893709999999</v>
      </c>
      <c r="C897" s="19">
        <v>-260.825559</v>
      </c>
      <c r="E897" s="9">
        <f t="shared" si="237"/>
        <v>468.18937099999994</v>
      </c>
      <c r="F897" s="9">
        <f t="shared" si="242"/>
        <v>279.174441</v>
      </c>
      <c r="I897">
        <v>1</v>
      </c>
      <c r="J897">
        <f t="shared" si="238"/>
        <v>0.34714862999106383</v>
      </c>
      <c r="K897">
        <f t="shared" si="243"/>
        <v>0.53768362866672048</v>
      </c>
      <c r="O897">
        <f t="shared" si="244"/>
        <v>0.29221225426146197</v>
      </c>
      <c r="P897">
        <f t="shared" si="245"/>
        <v>0.17424187260499238</v>
      </c>
      <c r="Q897">
        <f t="shared" si="246"/>
        <v>0.94034662135328606</v>
      </c>
      <c r="R897">
        <f t="shared" si="236"/>
        <v>1</v>
      </c>
      <c r="AG897" s="8">
        <f t="shared" si="239"/>
        <v>0.67924789420460163</v>
      </c>
      <c r="AH897" s="8">
        <f t="shared" si="240"/>
        <v>3.8325235346775899E-2</v>
      </c>
      <c r="AI897" s="8">
        <f t="shared" si="241"/>
        <v>0.73290754843583683</v>
      </c>
      <c r="AJ897" s="8"/>
      <c r="AK897" s="8"/>
      <c r="AL897" s="8"/>
      <c r="AN897" s="8">
        <f t="shared" si="247"/>
        <v>1</v>
      </c>
      <c r="AO897" s="8">
        <f t="shared" si="248"/>
        <v>5.6363284968930435E-2</v>
      </c>
      <c r="AP897" s="8">
        <f t="shared" si="249"/>
        <v>0.74821041298458235</v>
      </c>
      <c r="AQ897" s="8"/>
      <c r="AR897" s="8">
        <f t="shared" si="250"/>
        <v>3.2293783482128653</v>
      </c>
      <c r="AS897" s="8">
        <f t="shared" si="251"/>
        <v>47.130701148243105</v>
      </c>
    </row>
    <row r="898" spans="1:45">
      <c r="A898" s="19">
        <v>33.700333329999999</v>
      </c>
      <c r="B898" s="19">
        <v>1429.191131</v>
      </c>
      <c r="C898" s="19">
        <v>-261.23800590000002</v>
      </c>
      <c r="E898" s="9">
        <f t="shared" si="237"/>
        <v>469.19113100000004</v>
      </c>
      <c r="F898" s="9">
        <f t="shared" si="242"/>
        <v>278.76199409999998</v>
      </c>
      <c r="I898">
        <v>1</v>
      </c>
      <c r="J898">
        <f t="shared" si="238"/>
        <v>0.34753341712906416</v>
      </c>
      <c r="K898">
        <f t="shared" si="243"/>
        <v>0.53609445577396375</v>
      </c>
      <c r="O898">
        <f t="shared" si="244"/>
        <v>0.29279983569366025</v>
      </c>
      <c r="P898">
        <f t="shared" si="245"/>
        <v>0.17396208213943642</v>
      </c>
      <c r="Q898">
        <f t="shared" si="246"/>
        <v>0.94021564026316728</v>
      </c>
      <c r="R898">
        <f t="shared" si="236"/>
        <v>1</v>
      </c>
      <c r="AG898" s="8">
        <f t="shared" si="239"/>
        <v>0.67951142236115403</v>
      </c>
      <c r="AH898" s="8">
        <f t="shared" si="240"/>
        <v>3.8869941261890528E-2</v>
      </c>
      <c r="AI898" s="8">
        <f t="shared" si="241"/>
        <v>0.73263452999911127</v>
      </c>
      <c r="AJ898" s="8"/>
      <c r="AK898" s="8"/>
      <c r="AL898" s="8"/>
      <c r="AN898" s="8">
        <f t="shared" si="247"/>
        <v>1.0000000000000002</v>
      </c>
      <c r="AO898" s="8">
        <f t="shared" si="248"/>
        <v>5.7140508359221624E-2</v>
      </c>
      <c r="AP898" s="8">
        <f t="shared" si="249"/>
        <v>0.74861163027155841</v>
      </c>
      <c r="AQ898" s="8"/>
      <c r="AR898" s="8">
        <f t="shared" si="250"/>
        <v>3.2739099682153996</v>
      </c>
      <c r="AS898" s="8">
        <f t="shared" si="251"/>
        <v>47.107713091031684</v>
      </c>
    </row>
    <row r="899" spans="1:45">
      <c r="A899" s="19">
        <v>33.733699999999999</v>
      </c>
      <c r="B899" s="19">
        <v>1429.7238179999999</v>
      </c>
      <c r="C899" s="19">
        <v>-261.55415410000001</v>
      </c>
      <c r="E899" s="9">
        <f t="shared" si="237"/>
        <v>469.72381799999994</v>
      </c>
      <c r="F899" s="9">
        <f t="shared" si="242"/>
        <v>278.44584589999999</v>
      </c>
      <c r="I899">
        <v>1</v>
      </c>
      <c r="J899">
        <f t="shared" si="238"/>
        <v>0.34770908631304553</v>
      </c>
      <c r="K899">
        <f t="shared" si="243"/>
        <v>0.5350984275987275</v>
      </c>
      <c r="O899">
        <f t="shared" si="244"/>
        <v>0.29311503666551841</v>
      </c>
      <c r="P899">
        <f t="shared" si="245"/>
        <v>0.17375457918623108</v>
      </c>
      <c r="Q899">
        <f t="shared" si="246"/>
        <v>0.94015579639354852</v>
      </c>
      <c r="R899">
        <f t="shared" si="236"/>
        <v>1</v>
      </c>
      <c r="AG899" s="8">
        <f t="shared" si="239"/>
        <v>0.67969476033570952</v>
      </c>
      <c r="AH899" s="8">
        <f t="shared" si="240"/>
        <v>3.9149514619346237E-2</v>
      </c>
      <c r="AI899" s="8">
        <f t="shared" si="241"/>
        <v>0.73244955340095064</v>
      </c>
      <c r="AJ899" s="8"/>
      <c r="AK899" s="8"/>
      <c r="AL899" s="8"/>
      <c r="AN899" s="8">
        <f t="shared" si="247"/>
        <v>1</v>
      </c>
      <c r="AO899" s="8">
        <f t="shared" si="248"/>
        <v>5.7535100525960954E-2</v>
      </c>
      <c r="AP899" s="8">
        <f t="shared" si="249"/>
        <v>0.74888336624809493</v>
      </c>
      <c r="AQ899" s="8"/>
      <c r="AR899" s="8">
        <f t="shared" si="250"/>
        <v>3.2965184339984854</v>
      </c>
      <c r="AS899" s="8">
        <f t="shared" si="251"/>
        <v>47.092143766434276</v>
      </c>
    </row>
    <row r="900" spans="1:45">
      <c r="A900" s="19">
        <v>33.767066669999998</v>
      </c>
      <c r="B900" s="19">
        <v>1430.3393269999999</v>
      </c>
      <c r="C900" s="19">
        <v>-261.76873499999999</v>
      </c>
      <c r="E900" s="9">
        <f t="shared" si="237"/>
        <v>470.33932699999991</v>
      </c>
      <c r="F900" s="9">
        <f t="shared" si="242"/>
        <v>278.23126500000001</v>
      </c>
      <c r="I900">
        <v>1</v>
      </c>
      <c r="J900">
        <f t="shared" si="238"/>
        <v>0.34795784986174821</v>
      </c>
      <c r="K900">
        <f t="shared" si="243"/>
        <v>0.5341863034263642</v>
      </c>
      <c r="O900">
        <f t="shared" si="244"/>
        <v>0.29347468495514323</v>
      </c>
      <c r="P900">
        <f t="shared" si="245"/>
        <v>0.17360622034598858</v>
      </c>
      <c r="Q900">
        <f t="shared" si="246"/>
        <v>0.94007100239697827</v>
      </c>
      <c r="R900">
        <f t="shared" si="236"/>
        <v>1</v>
      </c>
      <c r="AG900" s="8">
        <f t="shared" si="239"/>
        <v>0.67983898112012087</v>
      </c>
      <c r="AH900" s="8">
        <f t="shared" si="240"/>
        <v>3.9488088076314376E-2</v>
      </c>
      <c r="AI900" s="8">
        <f t="shared" si="241"/>
        <v>0.73229751511911689</v>
      </c>
      <c r="AJ900" s="8"/>
      <c r="AK900" s="8"/>
      <c r="AL900" s="8"/>
      <c r="AN900" s="8">
        <f t="shared" si="247"/>
        <v>1</v>
      </c>
      <c r="AO900" s="8">
        <f t="shared" si="248"/>
        <v>5.8019281726807849E-2</v>
      </c>
      <c r="AP900" s="8">
        <f t="shared" si="249"/>
        <v>0.74910665541712629</v>
      </c>
      <c r="AQ900" s="8"/>
      <c r="AR900" s="8">
        <f t="shared" si="250"/>
        <v>3.3242599733265887</v>
      </c>
      <c r="AS900" s="8">
        <f t="shared" si="251"/>
        <v>47.079350239437794</v>
      </c>
    </row>
    <row r="901" spans="1:45">
      <c r="A901" s="19">
        <v>33.800433329999997</v>
      </c>
      <c r="B901" s="19">
        <v>1430.3706689999999</v>
      </c>
      <c r="C901" s="19">
        <v>-262.0873517</v>
      </c>
      <c r="E901" s="9">
        <f t="shared" si="237"/>
        <v>470.37066899999991</v>
      </c>
      <c r="F901" s="9">
        <f t="shared" si="242"/>
        <v>277.9126483</v>
      </c>
      <c r="I901">
        <v>1</v>
      </c>
      <c r="J901">
        <f t="shared" si="238"/>
        <v>0.34787784842648101</v>
      </c>
      <c r="K901">
        <f t="shared" si="243"/>
        <v>0.53365515579771106</v>
      </c>
      <c r="O901">
        <f t="shared" si="244"/>
        <v>0.2935021033906508</v>
      </c>
      <c r="P901">
        <f t="shared" si="245"/>
        <v>0.17341206034025938</v>
      </c>
      <c r="Q901">
        <f t="shared" si="246"/>
        <v>0.94009827817830294</v>
      </c>
      <c r="R901">
        <f t="shared" si="236"/>
        <v>1</v>
      </c>
      <c r="AG901" s="8">
        <f t="shared" si="239"/>
        <v>0.67998405499001346</v>
      </c>
      <c r="AH901" s="8">
        <f t="shared" si="240"/>
        <v>3.9473525350750494E-2</v>
      </c>
      <c r="AI901" s="8">
        <f t="shared" si="241"/>
        <v>0.73216359220854588</v>
      </c>
      <c r="AJ901" s="8"/>
      <c r="AK901" s="8"/>
      <c r="AL901" s="8"/>
      <c r="AN901" s="8">
        <f t="shared" si="247"/>
        <v>1</v>
      </c>
      <c r="AO901" s="8">
        <f t="shared" si="248"/>
        <v>5.798558680586921E-2</v>
      </c>
      <c r="AP901" s="8">
        <f t="shared" si="249"/>
        <v>0.74930329526288775</v>
      </c>
      <c r="AQ901" s="8"/>
      <c r="AR901" s="8">
        <f t="shared" si="250"/>
        <v>3.3223293965657779</v>
      </c>
      <c r="AS901" s="8">
        <f t="shared" si="251"/>
        <v>47.068083606191564</v>
      </c>
    </row>
    <row r="902" spans="1:45">
      <c r="A902" s="19">
        <v>33.833799999999997</v>
      </c>
      <c r="B902" s="19">
        <v>1431.402916</v>
      </c>
      <c r="C902" s="19">
        <v>-262.47927320000002</v>
      </c>
      <c r="E902" s="9">
        <f t="shared" si="237"/>
        <v>471.402916</v>
      </c>
      <c r="F902" s="9">
        <f t="shared" si="242"/>
        <v>277.52072679999998</v>
      </c>
      <c r="I902">
        <v>1</v>
      </c>
      <c r="J902">
        <f t="shared" si="238"/>
        <v>0.34828620837460356</v>
      </c>
      <c r="K902">
        <f t="shared" si="243"/>
        <v>0.53207842589243504</v>
      </c>
      <c r="O902">
        <f t="shared" si="244"/>
        <v>0.29410596416456619</v>
      </c>
      <c r="P902">
        <f t="shared" si="245"/>
        <v>0.17314381850613147</v>
      </c>
      <c r="Q902">
        <f t="shared" si="246"/>
        <v>0.93995898844361647</v>
      </c>
      <c r="R902">
        <f t="shared" si="236"/>
        <v>1</v>
      </c>
      <c r="AG902" s="8">
        <f t="shared" si="239"/>
        <v>0.68023991362899106</v>
      </c>
      <c r="AH902" s="8">
        <f t="shared" si="240"/>
        <v>4.0037901755663297E-2</v>
      </c>
      <c r="AI902" s="8">
        <f t="shared" si="241"/>
        <v>0.7318952290656271</v>
      </c>
      <c r="AJ902" s="8"/>
      <c r="AK902" s="8"/>
      <c r="AL902" s="8"/>
      <c r="AN902" s="8">
        <f t="shared" si="247"/>
        <v>1</v>
      </c>
      <c r="AO902" s="8">
        <f t="shared" si="248"/>
        <v>5.8790673815282121E-2</v>
      </c>
      <c r="AP902" s="8">
        <f t="shared" si="249"/>
        <v>0.74969720950678864</v>
      </c>
      <c r="AQ902" s="8"/>
      <c r="AR902" s="8">
        <f t="shared" si="250"/>
        <v>3.3684574843459467</v>
      </c>
      <c r="AS902" s="8">
        <f t="shared" si="251"/>
        <v>47.045513982525954</v>
      </c>
    </row>
    <row r="903" spans="1:45">
      <c r="A903" s="19">
        <v>33.867166670000003</v>
      </c>
      <c r="B903" s="19">
        <v>1431.9992850000001</v>
      </c>
      <c r="C903" s="19">
        <v>-262.72609890000001</v>
      </c>
      <c r="E903" s="9">
        <f t="shared" si="237"/>
        <v>471.9992850000001</v>
      </c>
      <c r="F903" s="9">
        <f t="shared" si="242"/>
        <v>277.27390109999999</v>
      </c>
      <c r="I903">
        <v>1</v>
      </c>
      <c r="J903">
        <f t="shared" si="238"/>
        <v>0.34851633407583726</v>
      </c>
      <c r="K903">
        <f t="shared" si="243"/>
        <v>0.53113717359584767</v>
      </c>
      <c r="O903">
        <f t="shared" si="244"/>
        <v>0.29445530630346683</v>
      </c>
      <c r="P903">
        <f t="shared" si="245"/>
        <v>0.17297647278927053</v>
      </c>
      <c r="Q903">
        <f t="shared" si="246"/>
        <v>0.93988042454937548</v>
      </c>
      <c r="R903">
        <f t="shared" si="236"/>
        <v>1</v>
      </c>
      <c r="AG903" s="8">
        <f t="shared" si="239"/>
        <v>0.68039668472304871</v>
      </c>
      <c r="AH903" s="8">
        <f t="shared" si="240"/>
        <v>4.0361780245453671E-2</v>
      </c>
      <c r="AI903" s="8">
        <f t="shared" si="241"/>
        <v>0.7317316981744757</v>
      </c>
      <c r="AJ903" s="8"/>
      <c r="AK903" s="8"/>
      <c r="AL903" s="8"/>
      <c r="AN903" s="8">
        <f t="shared" si="247"/>
        <v>1</v>
      </c>
      <c r="AO903" s="8">
        <f t="shared" si="248"/>
        <v>5.9251517272630928E-2</v>
      </c>
      <c r="AP903" s="8">
        <f t="shared" si="249"/>
        <v>0.74993716503867769</v>
      </c>
      <c r="AQ903" s="8"/>
      <c r="AR903" s="8">
        <f t="shared" si="250"/>
        <v>3.3948618694682504</v>
      </c>
      <c r="AS903" s="8">
        <f t="shared" si="251"/>
        <v>47.031765543277892</v>
      </c>
    </row>
    <row r="904" spans="1:45">
      <c r="A904" s="19">
        <v>33.900533330000002</v>
      </c>
      <c r="B904" s="19">
        <v>1432.3857479999999</v>
      </c>
      <c r="C904" s="19">
        <v>-262.86149349999999</v>
      </c>
      <c r="E904" s="9">
        <f t="shared" si="237"/>
        <v>472.38574799999992</v>
      </c>
      <c r="F904" s="9">
        <f t="shared" si="242"/>
        <v>277.13850650000001</v>
      </c>
      <c r="I904">
        <v>1</v>
      </c>
      <c r="J904">
        <f t="shared" si="238"/>
        <v>0.34867294498241641</v>
      </c>
      <c r="K904">
        <f t="shared" si="243"/>
        <v>0.53056660288688473</v>
      </c>
      <c r="O904">
        <f t="shared" si="244"/>
        <v>0.29468090922140405</v>
      </c>
      <c r="P904">
        <f t="shared" si="245"/>
        <v>0.17288291914277229</v>
      </c>
      <c r="Q904">
        <f t="shared" si="246"/>
        <v>0.93982692981693194</v>
      </c>
      <c r="R904">
        <f t="shared" si="236"/>
        <v>1</v>
      </c>
      <c r="AG904" s="8">
        <f t="shared" si="239"/>
        <v>0.68048722297609321</v>
      </c>
      <c r="AH904" s="8">
        <f t="shared" si="240"/>
        <v>4.0574167066854072E-2</v>
      </c>
      <c r="AI904" s="8">
        <f t="shared" si="241"/>
        <v>0.73163575386466428</v>
      </c>
      <c r="AJ904" s="8"/>
      <c r="AK904" s="8"/>
      <c r="AL904" s="8"/>
      <c r="AN904" s="8">
        <f t="shared" si="247"/>
        <v>0.99999999999999989</v>
      </c>
      <c r="AO904" s="8">
        <f t="shared" si="248"/>
        <v>5.9554662362176401E-2</v>
      </c>
      <c r="AP904" s="8">
        <f t="shared" si="249"/>
        <v>0.75007791926036649</v>
      </c>
      <c r="AQ904" s="8"/>
      <c r="AR904" s="8">
        <f t="shared" si="250"/>
        <v>3.4122308036793214</v>
      </c>
      <c r="AS904" s="8">
        <f t="shared" si="251"/>
        <v>47.023700920426478</v>
      </c>
    </row>
    <row r="905" spans="1:45">
      <c r="A905" s="19">
        <v>33.933900000000001</v>
      </c>
      <c r="B905" s="19">
        <v>1432.925618</v>
      </c>
      <c r="C905" s="19">
        <v>-263.14984520000002</v>
      </c>
      <c r="E905" s="9">
        <f t="shared" si="237"/>
        <v>472.92561799999999</v>
      </c>
      <c r="F905" s="9">
        <f t="shared" si="242"/>
        <v>276.85015479999998</v>
      </c>
      <c r="I905">
        <v>1</v>
      </c>
      <c r="J905">
        <f t="shared" si="238"/>
        <v>0.34886222087223229</v>
      </c>
      <c r="K905">
        <f t="shared" si="243"/>
        <v>0.52961423986971612</v>
      </c>
      <c r="O905">
        <f t="shared" si="244"/>
        <v>0.29499893405219174</v>
      </c>
      <c r="P905">
        <f t="shared" si="245"/>
        <v>0.17269206287358332</v>
      </c>
      <c r="Q905">
        <f t="shared" si="246"/>
        <v>0.9397622467031419</v>
      </c>
      <c r="R905">
        <f t="shared" si="236"/>
        <v>1</v>
      </c>
      <c r="AG905" s="8">
        <f t="shared" si="239"/>
        <v>0.68065798373273634</v>
      </c>
      <c r="AH905" s="8">
        <f t="shared" si="240"/>
        <v>4.0860583395606775E-2</v>
      </c>
      <c r="AI905" s="8">
        <f t="shared" si="241"/>
        <v>0.73146095036266745</v>
      </c>
      <c r="AJ905" s="8"/>
      <c r="AK905" s="8"/>
      <c r="AL905" s="8"/>
      <c r="AN905" s="8">
        <f t="shared" si="247"/>
        <v>1</v>
      </c>
      <c r="AO905" s="8">
        <f t="shared" si="248"/>
        <v>5.9959049681988508E-2</v>
      </c>
      <c r="AP905" s="8">
        <f t="shared" si="249"/>
        <v>0.75033430849475602</v>
      </c>
      <c r="AQ905" s="8"/>
      <c r="AR905" s="8">
        <f t="shared" si="250"/>
        <v>3.4354004903931621</v>
      </c>
      <c r="AS905" s="8">
        <f t="shared" si="251"/>
        <v>47.00901089938337</v>
      </c>
    </row>
    <row r="906" spans="1:45">
      <c r="A906" s="19">
        <v>33.967266670000001</v>
      </c>
      <c r="B906" s="19">
        <v>1433.417469</v>
      </c>
      <c r="C906" s="19">
        <v>-263.47610309999999</v>
      </c>
      <c r="E906" s="9">
        <f t="shared" si="237"/>
        <v>473.41746899999998</v>
      </c>
      <c r="F906" s="9">
        <f t="shared" si="242"/>
        <v>276.52389690000001</v>
      </c>
      <c r="I906">
        <v>1</v>
      </c>
      <c r="J906">
        <f t="shared" si="238"/>
        <v>0.34901593648584661</v>
      </c>
      <c r="K906">
        <f t="shared" si="243"/>
        <v>0.528647464634872</v>
      </c>
      <c r="O906">
        <f t="shared" si="244"/>
        <v>0.29529048351595055</v>
      </c>
      <c r="P906">
        <f t="shared" si="245"/>
        <v>0.17247964125995499</v>
      </c>
      <c r="Q906">
        <f t="shared" si="246"/>
        <v>0.9397096911790116</v>
      </c>
      <c r="R906">
        <f t="shared" si="236"/>
        <v>1</v>
      </c>
      <c r="AG906" s="8">
        <f t="shared" si="239"/>
        <v>0.68084186960700199</v>
      </c>
      <c r="AH906" s="8">
        <f t="shared" si="240"/>
        <v>4.1114933431047995E-2</v>
      </c>
      <c r="AI906" s="8">
        <f t="shared" si="241"/>
        <v>0.73127553687991143</v>
      </c>
      <c r="AJ906" s="8"/>
      <c r="AK906" s="8"/>
      <c r="AL906" s="8"/>
      <c r="AN906" s="8">
        <f t="shared" si="247"/>
        <v>1</v>
      </c>
      <c r="AO906" s="8">
        <f t="shared" si="248"/>
        <v>6.031512694820023E-2</v>
      </c>
      <c r="AP906" s="8">
        <f t="shared" si="249"/>
        <v>0.75060618264571721</v>
      </c>
      <c r="AQ906" s="8"/>
      <c r="AR906" s="8">
        <f t="shared" si="250"/>
        <v>3.4558022149276502</v>
      </c>
      <c r="AS906" s="8">
        <f t="shared" si="251"/>
        <v>46.993433657974585</v>
      </c>
    </row>
    <row r="907" spans="1:45">
      <c r="A907" s="19">
        <v>34.000633329999999</v>
      </c>
      <c r="B907" s="19">
        <v>1434.3860319999999</v>
      </c>
      <c r="C907" s="19">
        <v>-263.714921</v>
      </c>
      <c r="E907" s="9">
        <f t="shared" si="237"/>
        <v>474.38603199999989</v>
      </c>
      <c r="F907" s="9">
        <f t="shared" si="242"/>
        <v>276.285079</v>
      </c>
      <c r="I907">
        <v>1</v>
      </c>
      <c r="J907">
        <f t="shared" si="238"/>
        <v>0.34943952118226046</v>
      </c>
      <c r="K907">
        <f t="shared" si="243"/>
        <v>0.52738197002050913</v>
      </c>
      <c r="O907">
        <f t="shared" si="244"/>
        <v>0.29585245564026746</v>
      </c>
      <c r="P907">
        <f t="shared" si="245"/>
        <v>0.17230612531803072</v>
      </c>
      <c r="Q907">
        <f t="shared" si="246"/>
        <v>0.93956475224941827</v>
      </c>
      <c r="R907">
        <f t="shared" si="236"/>
        <v>1</v>
      </c>
      <c r="AG907" s="8">
        <f t="shared" si="239"/>
        <v>0.68102323799678943</v>
      </c>
      <c r="AH907" s="8">
        <f t="shared" si="240"/>
        <v>4.1657326847698462E-2</v>
      </c>
      <c r="AI907" s="8">
        <f t="shared" si="241"/>
        <v>0.73107593068591192</v>
      </c>
      <c r="AJ907" s="8"/>
      <c r="AK907" s="8"/>
      <c r="AL907" s="8"/>
      <c r="AN907" s="8">
        <f t="shared" si="247"/>
        <v>1</v>
      </c>
      <c r="AO907" s="8">
        <f t="shared" si="248"/>
        <v>6.1092611304178167E-2</v>
      </c>
      <c r="AP907" s="8">
        <f t="shared" si="249"/>
        <v>0.75089877920054626</v>
      </c>
      <c r="AQ907" s="8"/>
      <c r="AR907" s="8">
        <f t="shared" si="250"/>
        <v>3.5003487871626331</v>
      </c>
      <c r="AS907" s="8">
        <f t="shared" si="251"/>
        <v>46.976669110282813</v>
      </c>
    </row>
    <row r="908" spans="1:45">
      <c r="A908" s="19">
        <v>34.033999999999999</v>
      </c>
      <c r="B908" s="19">
        <v>1434.5717070000001</v>
      </c>
      <c r="C908" s="19">
        <v>-263.83554359999999</v>
      </c>
      <c r="E908" s="9">
        <f t="shared" si="237"/>
        <v>474.57170700000006</v>
      </c>
      <c r="F908" s="9">
        <f t="shared" si="242"/>
        <v>276.16445640000001</v>
      </c>
      <c r="I908">
        <v>1</v>
      </c>
      <c r="J908">
        <f t="shared" si="238"/>
        <v>0.34949851140850891</v>
      </c>
      <c r="K908">
        <f t="shared" si="243"/>
        <v>0.5270219501380059</v>
      </c>
      <c r="O908">
        <f t="shared" si="244"/>
        <v>0.29596237401257863</v>
      </c>
      <c r="P908">
        <f t="shared" si="245"/>
        <v>0.17222747780460765</v>
      </c>
      <c r="Q908">
        <f t="shared" si="246"/>
        <v>0.93954455405685888</v>
      </c>
      <c r="R908">
        <f t="shared" si="236"/>
        <v>1</v>
      </c>
      <c r="AG908" s="8">
        <f t="shared" si="239"/>
        <v>0.68109142406648082</v>
      </c>
      <c r="AH908" s="8">
        <f t="shared" si="240"/>
        <v>4.1753571776358134E-2</v>
      </c>
      <c r="AI908" s="8">
        <f t="shared" si="241"/>
        <v>0.73100691604594936</v>
      </c>
      <c r="AJ908" s="8"/>
      <c r="AK908" s="8"/>
      <c r="AL908" s="8"/>
      <c r="AN908" s="8">
        <f t="shared" si="247"/>
        <v>1</v>
      </c>
      <c r="AO908" s="8">
        <f t="shared" si="248"/>
        <v>6.122729233589351E-2</v>
      </c>
      <c r="AP908" s="8">
        <f t="shared" si="249"/>
        <v>0.75099992428895879</v>
      </c>
      <c r="AQ908" s="8"/>
      <c r="AR908" s="8">
        <f t="shared" si="250"/>
        <v>3.5080654418603898</v>
      </c>
      <c r="AS908" s="8">
        <f t="shared" si="251"/>
        <v>46.970873923598297</v>
      </c>
    </row>
    <row r="909" spans="1:45">
      <c r="A909" s="19">
        <v>34.067366669999998</v>
      </c>
      <c r="B909" s="19">
        <v>1435.3756550000001</v>
      </c>
      <c r="C909" s="19">
        <v>-264.56310159999998</v>
      </c>
      <c r="E909" s="9">
        <f t="shared" si="237"/>
        <v>475.37565500000005</v>
      </c>
      <c r="F909" s="9">
        <f t="shared" si="242"/>
        <v>275.43689840000002</v>
      </c>
      <c r="I909">
        <v>1</v>
      </c>
      <c r="J909">
        <f t="shared" si="238"/>
        <v>0.34969353713299572</v>
      </c>
      <c r="K909">
        <f t="shared" si="243"/>
        <v>0.52514139294187168</v>
      </c>
      <c r="O909">
        <f t="shared" si="244"/>
        <v>0.29644427342873758</v>
      </c>
      <c r="P909">
        <f t="shared" si="245"/>
        <v>0.17176245851641903</v>
      </c>
      <c r="Q909">
        <f t="shared" si="246"/>
        <v>0.93947775417819412</v>
      </c>
      <c r="R909">
        <f t="shared" si="236"/>
        <v>1</v>
      </c>
      <c r="AG909" s="8">
        <f t="shared" si="239"/>
        <v>0.68147819890670092</v>
      </c>
      <c r="AH909" s="8">
        <f t="shared" si="240"/>
        <v>4.2149102290643503E-2</v>
      </c>
      <c r="AI909" s="8">
        <f t="shared" si="241"/>
        <v>0.73062364976160743</v>
      </c>
      <c r="AJ909" s="8"/>
      <c r="AK909" s="8"/>
      <c r="AL909" s="8"/>
      <c r="AN909" s="8">
        <f t="shared" si="247"/>
        <v>1.0000000000000002</v>
      </c>
      <c r="AO909" s="8">
        <f t="shared" si="248"/>
        <v>6.1770838986143432E-2</v>
      </c>
      <c r="AP909" s="8">
        <f t="shared" si="249"/>
        <v>0.75156142470371556</v>
      </c>
      <c r="AQ909" s="8"/>
      <c r="AR909" s="8">
        <f t="shared" si="250"/>
        <v>3.5392083708881836</v>
      </c>
      <c r="AS909" s="8">
        <f t="shared" si="251"/>
        <v>46.938702319637891</v>
      </c>
    </row>
    <row r="910" spans="1:45">
      <c r="A910" s="19">
        <v>34.100733329999997</v>
      </c>
      <c r="B910" s="19">
        <v>1435.943507</v>
      </c>
      <c r="C910" s="19">
        <v>-264.90331780000002</v>
      </c>
      <c r="E910" s="9">
        <f t="shared" si="237"/>
        <v>475.94350699999995</v>
      </c>
      <c r="F910" s="9">
        <f t="shared" si="242"/>
        <v>275.09668219999998</v>
      </c>
      <c r="I910">
        <v>1</v>
      </c>
      <c r="J910">
        <f t="shared" si="238"/>
        <v>0.34988332382786363</v>
      </c>
      <c r="K910">
        <f t="shared" si="243"/>
        <v>0.52408803938114557</v>
      </c>
      <c r="O910">
        <f t="shared" si="244"/>
        <v>0.29677939920945373</v>
      </c>
      <c r="P910">
        <f t="shared" si="245"/>
        <v>0.17153932529187763</v>
      </c>
      <c r="Q910">
        <f t="shared" si="246"/>
        <v>0.939412714456901</v>
      </c>
      <c r="R910">
        <f t="shared" si="236"/>
        <v>1</v>
      </c>
      <c r="AG910" s="8">
        <f t="shared" si="239"/>
        <v>0.68167359609709322</v>
      </c>
      <c r="AH910" s="8">
        <f t="shared" si="240"/>
        <v>4.2446325957694209E-2</v>
      </c>
      <c r="AI910" s="8">
        <f t="shared" si="241"/>
        <v>0.73042413555190666</v>
      </c>
      <c r="AJ910" s="8"/>
      <c r="AK910" s="8"/>
      <c r="AL910" s="8"/>
      <c r="AN910" s="8">
        <f t="shared" si="247"/>
        <v>1</v>
      </c>
      <c r="AO910" s="8">
        <f t="shared" si="248"/>
        <v>6.2187525956065637E-2</v>
      </c>
      <c r="AP910" s="8">
        <f t="shared" si="249"/>
        <v>0.75185358749600661</v>
      </c>
      <c r="AQ910" s="8"/>
      <c r="AR910" s="8">
        <f t="shared" si="250"/>
        <v>3.5630827756428207</v>
      </c>
      <c r="AS910" s="8">
        <f t="shared" si="251"/>
        <v>46.921962624708854</v>
      </c>
    </row>
    <row r="911" spans="1:45">
      <c r="A911" s="19">
        <v>34.134099999999997</v>
      </c>
      <c r="B911" s="19">
        <v>1436.3774289999999</v>
      </c>
      <c r="C911" s="19">
        <v>-264.84383409999998</v>
      </c>
      <c r="E911" s="9">
        <f t="shared" si="237"/>
        <v>476.37742899999989</v>
      </c>
      <c r="F911" s="9">
        <f t="shared" si="242"/>
        <v>275.15616590000002</v>
      </c>
      <c r="I911">
        <v>1</v>
      </c>
      <c r="J911">
        <f t="shared" si="238"/>
        <v>0.35012295958819056</v>
      </c>
      <c r="K911">
        <f t="shared" si="243"/>
        <v>0.52378693949485833</v>
      </c>
      <c r="O911">
        <f t="shared" si="244"/>
        <v>0.29702596345625454</v>
      </c>
      <c r="P911">
        <f t="shared" si="245"/>
        <v>0.17156254747194694</v>
      </c>
      <c r="Q911">
        <f t="shared" si="246"/>
        <v>0.93933054317307263</v>
      </c>
      <c r="R911">
        <f t="shared" si="236"/>
        <v>1</v>
      </c>
      <c r="AG911" s="8">
        <f t="shared" si="239"/>
        <v>0.68168013835321983</v>
      </c>
      <c r="AH911" s="8">
        <f t="shared" si="240"/>
        <v>4.2706307722760128E-2</v>
      </c>
      <c r="AI911" s="8">
        <f t="shared" si="241"/>
        <v>0.73040287530610393</v>
      </c>
      <c r="AJ911" s="8"/>
      <c r="AK911" s="8"/>
      <c r="AL911" s="8"/>
      <c r="AN911" s="8">
        <f t="shared" si="247"/>
        <v>1</v>
      </c>
      <c r="AO911" s="8">
        <f t="shared" si="248"/>
        <v>6.2566832471499773E-2</v>
      </c>
      <c r="AP911" s="8">
        <f t="shared" si="249"/>
        <v>0.75188471499785792</v>
      </c>
      <c r="AQ911" s="8"/>
      <c r="AR911" s="8">
        <f t="shared" si="250"/>
        <v>3.5848154381190107</v>
      </c>
      <c r="AS911" s="8">
        <f t="shared" si="251"/>
        <v>46.920179150225991</v>
      </c>
    </row>
    <row r="912" spans="1:45">
      <c r="A912" s="19">
        <v>34.167466670000003</v>
      </c>
      <c r="B912" s="19">
        <v>1436.9719050000001</v>
      </c>
      <c r="C912" s="19">
        <v>-264.87943749999999</v>
      </c>
      <c r="E912" s="9">
        <f t="shared" si="237"/>
        <v>476.97190500000011</v>
      </c>
      <c r="F912" s="9">
        <f t="shared" si="242"/>
        <v>275.12056250000001</v>
      </c>
      <c r="I912">
        <v>1</v>
      </c>
      <c r="J912">
        <f t="shared" si="238"/>
        <v>0.3504166716523317</v>
      </c>
      <c r="K912">
        <f t="shared" si="243"/>
        <v>0.52319095867694054</v>
      </c>
      <c r="O912">
        <f t="shared" si="244"/>
        <v>0.29736713220214289</v>
      </c>
      <c r="P912">
        <f t="shared" si="245"/>
        <v>0.17152333674761283</v>
      </c>
      <c r="Q912">
        <f t="shared" si="246"/>
        <v>0.93922975551077936</v>
      </c>
      <c r="R912">
        <f t="shared" si="236"/>
        <v>1</v>
      </c>
      <c r="AG912" s="8">
        <f t="shared" si="239"/>
        <v>0.68174132008673072</v>
      </c>
      <c r="AH912" s="8">
        <f t="shared" si="240"/>
        <v>4.3050360784108732E-2</v>
      </c>
      <c r="AI912" s="8">
        <f t="shared" si="241"/>
        <v>0.73032557049767877</v>
      </c>
      <c r="AJ912" s="8"/>
      <c r="AK912" s="8"/>
      <c r="AL912" s="8"/>
      <c r="AN912" s="8">
        <f t="shared" si="247"/>
        <v>1</v>
      </c>
      <c r="AO912" s="8">
        <f t="shared" si="248"/>
        <v>6.3063911683660531E-2</v>
      </c>
      <c r="AP912" s="8">
        <f t="shared" si="249"/>
        <v>0.75199788960284442</v>
      </c>
      <c r="AQ912" s="8"/>
      <c r="AR912" s="8">
        <f t="shared" si="250"/>
        <v>3.6132959790595098</v>
      </c>
      <c r="AS912" s="8">
        <f t="shared" si="251"/>
        <v>46.913694723012206</v>
      </c>
    </row>
    <row r="913" spans="1:45">
      <c r="A913" s="19">
        <v>34.200833330000002</v>
      </c>
      <c r="B913" s="19">
        <v>1437.41058</v>
      </c>
      <c r="C913" s="19">
        <v>-265.16170169999998</v>
      </c>
      <c r="E913" s="9">
        <f t="shared" si="237"/>
        <v>477.41057999999998</v>
      </c>
      <c r="F913" s="9">
        <f t="shared" si="242"/>
        <v>274.83829830000002</v>
      </c>
      <c r="I913">
        <v>1</v>
      </c>
      <c r="J913">
        <f t="shared" si="238"/>
        <v>0.3505579652975202</v>
      </c>
      <c r="K913">
        <f t="shared" si="243"/>
        <v>0.52234921974807902</v>
      </c>
      <c r="O913">
        <f t="shared" si="244"/>
        <v>0.29762641236441606</v>
      </c>
      <c r="P913">
        <f t="shared" si="245"/>
        <v>0.171339178749181</v>
      </c>
      <c r="Q913">
        <f t="shared" si="246"/>
        <v>0.939181241554921</v>
      </c>
      <c r="R913">
        <f t="shared" si="236"/>
        <v>1</v>
      </c>
      <c r="AG913" s="8">
        <f t="shared" si="239"/>
        <v>0.68190071093963467</v>
      </c>
      <c r="AH913" s="8">
        <f t="shared" si="240"/>
        <v>4.327786315902471E-2</v>
      </c>
      <c r="AI913" s="8">
        <f t="shared" si="241"/>
        <v>0.73016330158424814</v>
      </c>
      <c r="AJ913" s="8"/>
      <c r="AK913" s="8"/>
      <c r="AL913" s="8"/>
      <c r="AN913" s="8">
        <f t="shared" si="247"/>
        <v>1.0000000000000002</v>
      </c>
      <c r="AO913" s="8">
        <f t="shared" si="248"/>
        <v>6.3381508144294649E-2</v>
      </c>
      <c r="AP913" s="8">
        <f t="shared" si="249"/>
        <v>0.75223540753102713</v>
      </c>
      <c r="AQ913" s="8"/>
      <c r="AR913" s="8">
        <f t="shared" si="250"/>
        <v>3.6314929158421378</v>
      </c>
      <c r="AS913" s="8">
        <f t="shared" si="251"/>
        <v>46.900085948168645</v>
      </c>
    </row>
    <row r="914" spans="1:45">
      <c r="A914" s="19">
        <v>34.234200000000001</v>
      </c>
      <c r="B914" s="19">
        <v>1438.3883880000001</v>
      </c>
      <c r="C914" s="19">
        <v>-265.71578</v>
      </c>
      <c r="E914" s="9">
        <f t="shared" si="237"/>
        <v>478.38838800000008</v>
      </c>
      <c r="F914" s="9">
        <f t="shared" si="242"/>
        <v>274.28422</v>
      </c>
      <c r="I914">
        <v>1</v>
      </c>
      <c r="J914">
        <f t="shared" si="238"/>
        <v>0.35089574469154361</v>
      </c>
      <c r="K914">
        <f t="shared" si="243"/>
        <v>0.52059375089714344</v>
      </c>
      <c r="O914">
        <f t="shared" si="244"/>
        <v>0.29820192711289478</v>
      </c>
      <c r="P914">
        <f t="shared" si="245"/>
        <v>0.17097422310479907</v>
      </c>
      <c r="Q914">
        <f t="shared" si="246"/>
        <v>0.93906518714084286</v>
      </c>
      <c r="R914">
        <f t="shared" si="236"/>
        <v>1</v>
      </c>
      <c r="AG914" s="8">
        <f t="shared" si="239"/>
        <v>0.68222216930664958</v>
      </c>
      <c r="AH914" s="8">
        <f t="shared" si="240"/>
        <v>4.3792597090386964E-2</v>
      </c>
      <c r="AI914" s="8">
        <f t="shared" si="241"/>
        <v>0.72983225480010694</v>
      </c>
      <c r="AJ914" s="8"/>
      <c r="AK914" s="8"/>
      <c r="AL914" s="8"/>
      <c r="AN914" s="8">
        <f t="shared" si="247"/>
        <v>1</v>
      </c>
      <c r="AO914" s="8">
        <f t="shared" si="248"/>
        <v>6.410315908787978E-2</v>
      </c>
      <c r="AP914" s="8">
        <f t="shared" si="249"/>
        <v>0.7527197839036357</v>
      </c>
      <c r="AQ914" s="8"/>
      <c r="AR914" s="8">
        <f t="shared" si="250"/>
        <v>3.6728404691911991</v>
      </c>
      <c r="AS914" s="8">
        <f t="shared" si="251"/>
        <v>46.872333226322318</v>
      </c>
    </row>
    <row r="915" spans="1:45">
      <c r="A915" s="19">
        <v>34.267566670000001</v>
      </c>
      <c r="B915" s="19">
        <v>1438.5343720000001</v>
      </c>
      <c r="C915" s="19">
        <v>-265.71930400000002</v>
      </c>
      <c r="E915" s="9">
        <f t="shared" si="237"/>
        <v>478.53437200000008</v>
      </c>
      <c r="F915" s="9">
        <f t="shared" si="242"/>
        <v>274.28069599999998</v>
      </c>
      <c r="I915">
        <v>1</v>
      </c>
      <c r="J915">
        <f t="shared" si="238"/>
        <v>0.35096951089339573</v>
      </c>
      <c r="K915">
        <f t="shared" si="243"/>
        <v>0.52045656166885423</v>
      </c>
      <c r="O915">
        <f t="shared" si="244"/>
        <v>0.29828547853456189</v>
      </c>
      <c r="P915">
        <f t="shared" si="245"/>
        <v>0.17096775790047675</v>
      </c>
      <c r="Q915">
        <f t="shared" si="246"/>
        <v>0.93903982825750865</v>
      </c>
      <c r="R915">
        <f t="shared" si="236"/>
        <v>1</v>
      </c>
      <c r="AG915" s="8">
        <f t="shared" si="239"/>
        <v>0.6822347808000605</v>
      </c>
      <c r="AH915" s="8">
        <f t="shared" si="240"/>
        <v>4.3877575247787182E-2</v>
      </c>
      <c r="AI915" s="8">
        <f t="shared" si="241"/>
        <v>0.72981536175738859</v>
      </c>
      <c r="AJ915" s="8"/>
      <c r="AK915" s="8"/>
      <c r="AL915" s="8"/>
      <c r="AN915" s="8">
        <f t="shared" si="247"/>
        <v>0.99999999999999978</v>
      </c>
      <c r="AO915" s="8">
        <f t="shared" si="248"/>
        <v>6.4226023765944162E-2</v>
      </c>
      <c r="AP915" s="8">
        <f t="shared" si="249"/>
        <v>0.7527444945102747</v>
      </c>
      <c r="AQ915" s="8"/>
      <c r="AR915" s="8">
        <f t="shared" si="250"/>
        <v>3.6798800966955221</v>
      </c>
      <c r="AS915" s="8">
        <f t="shared" si="251"/>
        <v>46.870917412852691</v>
      </c>
    </row>
    <row r="916" spans="1:45">
      <c r="A916" s="19">
        <v>34.300933329999999</v>
      </c>
      <c r="B916" s="19">
        <v>1439.483573</v>
      </c>
      <c r="C916" s="19">
        <v>-266.55578489999999</v>
      </c>
      <c r="E916" s="9">
        <f t="shared" si="237"/>
        <v>479.48357299999998</v>
      </c>
      <c r="F916" s="9">
        <f t="shared" si="242"/>
        <v>273.44421510000001</v>
      </c>
      <c r="I916">
        <v>1</v>
      </c>
      <c r="J916">
        <f t="shared" si="238"/>
        <v>0.35121096156102055</v>
      </c>
      <c r="K916">
        <f t="shared" si="243"/>
        <v>0.51828664318260431</v>
      </c>
      <c r="O916">
        <f t="shared" si="244"/>
        <v>0.29885270832350352</v>
      </c>
      <c r="P916">
        <f t="shared" si="245"/>
        <v>0.17043241699967404</v>
      </c>
      <c r="Q916">
        <f t="shared" si="246"/>
        <v>0.93895678812358352</v>
      </c>
      <c r="R916">
        <f t="shared" si="236"/>
        <v>1</v>
      </c>
      <c r="AG916" s="8">
        <f t="shared" si="239"/>
        <v>0.68267962314685371</v>
      </c>
      <c r="AH916" s="8">
        <f t="shared" si="240"/>
        <v>4.4346419410487503E-2</v>
      </c>
      <c r="AI916" s="8">
        <f t="shared" si="241"/>
        <v>0.72937091196834758</v>
      </c>
      <c r="AJ916" s="8"/>
      <c r="AK916" s="8"/>
      <c r="AL916" s="8"/>
      <c r="AN916" s="8">
        <f t="shared" si="247"/>
        <v>1</v>
      </c>
      <c r="AO916" s="8">
        <f t="shared" si="248"/>
        <v>6.486820307317423E-2</v>
      </c>
      <c r="AP916" s="8">
        <f t="shared" si="249"/>
        <v>0.75339438758091881</v>
      </c>
      <c r="AQ916" s="8"/>
      <c r="AR916" s="8">
        <f t="shared" si="250"/>
        <v>3.7166742606904397</v>
      </c>
      <c r="AS916" s="8">
        <f t="shared" si="251"/>
        <v>46.833681282769987</v>
      </c>
    </row>
    <row r="917" spans="1:45">
      <c r="A917" s="19">
        <v>34.334299999999999</v>
      </c>
      <c r="B917" s="19">
        <v>1440.0040200000001</v>
      </c>
      <c r="C917" s="19">
        <v>-266.71801210000001</v>
      </c>
      <c r="E917" s="9">
        <f t="shared" si="237"/>
        <v>480.00402000000008</v>
      </c>
      <c r="F917" s="9">
        <f t="shared" si="242"/>
        <v>273.28198789999999</v>
      </c>
      <c r="I917">
        <v>1</v>
      </c>
      <c r="J917">
        <f t="shared" si="238"/>
        <v>0.35143053637362004</v>
      </c>
      <c r="K917">
        <f t="shared" si="243"/>
        <v>0.51756472821719035</v>
      </c>
      <c r="O917">
        <f t="shared" si="244"/>
        <v>0.29915482926003018</v>
      </c>
      <c r="P917">
        <f t="shared" si="245"/>
        <v>0.17031862864412287</v>
      </c>
      <c r="Q917">
        <f t="shared" si="246"/>
        <v>0.93888122404657104</v>
      </c>
      <c r="R917">
        <f t="shared" si="236"/>
        <v>1</v>
      </c>
      <c r="AG917" s="8">
        <f t="shared" si="239"/>
        <v>0.68279111959424066</v>
      </c>
      <c r="AH917" s="8">
        <f t="shared" si="240"/>
        <v>4.4633892143900566E-2</v>
      </c>
      <c r="AI917" s="8">
        <f t="shared" si="241"/>
        <v>0.72924899909107166</v>
      </c>
      <c r="AJ917" s="8"/>
      <c r="AK917" s="8"/>
      <c r="AL917" s="8"/>
      <c r="AN917" s="8">
        <f t="shared" si="247"/>
        <v>0.99999999999999989</v>
      </c>
      <c r="AO917" s="8">
        <f t="shared" si="248"/>
        <v>6.5276885968279713E-2</v>
      </c>
      <c r="AP917" s="8">
        <f t="shared" si="249"/>
        <v>0.75357257499333208</v>
      </c>
      <c r="AQ917" s="8"/>
      <c r="AR917" s="8">
        <f t="shared" si="250"/>
        <v>3.7400900657391718</v>
      </c>
      <c r="AS917" s="8">
        <f t="shared" si="251"/>
        <v>46.823471896076349</v>
      </c>
    </row>
    <row r="918" spans="1:45">
      <c r="A918" s="19">
        <v>34.367666669999998</v>
      </c>
      <c r="B918" s="19">
        <v>1440.31798</v>
      </c>
      <c r="C918" s="19">
        <v>-266.82374909999999</v>
      </c>
      <c r="E918" s="9">
        <f t="shared" si="237"/>
        <v>480.31798000000003</v>
      </c>
      <c r="F918" s="9">
        <f t="shared" si="242"/>
        <v>273.17625090000001</v>
      </c>
      <c r="I918">
        <v>1</v>
      </c>
      <c r="J918">
        <f t="shared" si="238"/>
        <v>0.35156076275281023</v>
      </c>
      <c r="K918">
        <f t="shared" si="243"/>
        <v>0.51711731703814656</v>
      </c>
      <c r="O918">
        <f t="shared" si="244"/>
        <v>0.29933727966074536</v>
      </c>
      <c r="P918">
        <f t="shared" si="245"/>
        <v>0.17024521091699968</v>
      </c>
      <c r="Q918">
        <f t="shared" si="246"/>
        <v>0.93883638679225201</v>
      </c>
      <c r="R918">
        <f t="shared" si="236"/>
        <v>1</v>
      </c>
      <c r="AG918" s="8">
        <f t="shared" si="239"/>
        <v>0.68286184688819529</v>
      </c>
      <c r="AH918" s="8">
        <f t="shared" si="240"/>
        <v>4.4806478822785323E-2</v>
      </c>
      <c r="AI918" s="8">
        <f t="shared" si="241"/>
        <v>0.7291721864689753</v>
      </c>
      <c r="AJ918" s="8"/>
      <c r="AK918" s="8"/>
      <c r="AL918" s="8"/>
      <c r="AN918" s="8">
        <f t="shared" si="247"/>
        <v>0.99999999999999978</v>
      </c>
      <c r="AO918" s="8">
        <f t="shared" si="248"/>
        <v>6.5521805031789254E-2</v>
      </c>
      <c r="AP918" s="8">
        <f t="shared" si="249"/>
        <v>0.75368482666367009</v>
      </c>
      <c r="AQ918" s="8"/>
      <c r="AR918" s="8">
        <f t="shared" si="250"/>
        <v>3.7541228944005649</v>
      </c>
      <c r="AS918" s="8">
        <f t="shared" si="251"/>
        <v>46.817040349122692</v>
      </c>
    </row>
    <row r="919" spans="1:45">
      <c r="A919" s="19">
        <v>34.401033329999997</v>
      </c>
      <c r="B919" s="19">
        <v>1441.041131</v>
      </c>
      <c r="C919" s="19">
        <v>-266.90437859999997</v>
      </c>
      <c r="E919" s="9">
        <f t="shared" si="237"/>
        <v>481.04113099999995</v>
      </c>
      <c r="F919" s="9">
        <f t="shared" si="242"/>
        <v>273.09562140000003</v>
      </c>
      <c r="I919">
        <v>1</v>
      </c>
      <c r="J919">
        <f t="shared" si="238"/>
        <v>0.35190838082761533</v>
      </c>
      <c r="K919">
        <f t="shared" si="243"/>
        <v>0.51634430595673275</v>
      </c>
      <c r="O919">
        <f t="shared" si="244"/>
        <v>0.29975258289052498</v>
      </c>
      <c r="P919">
        <f t="shared" si="245"/>
        <v>0.17017488238597822</v>
      </c>
      <c r="Q919">
        <f t="shared" si="246"/>
        <v>0.93871662308461201</v>
      </c>
      <c r="R919">
        <f t="shared" si="236"/>
        <v>1</v>
      </c>
      <c r="AG919" s="8">
        <f t="shared" si="239"/>
        <v>0.68295198230018661</v>
      </c>
      <c r="AH919" s="8">
        <f t="shared" si="240"/>
        <v>4.5220656788263869E-2</v>
      </c>
      <c r="AI919" s="8">
        <f t="shared" si="241"/>
        <v>0.72906219355544954</v>
      </c>
      <c r="AJ919" s="8"/>
      <c r="AK919" s="8"/>
      <c r="AL919" s="8"/>
      <c r="AN919" s="8">
        <f t="shared" si="247"/>
        <v>1</v>
      </c>
      <c r="AO919" s="8">
        <f t="shared" si="248"/>
        <v>6.6117011631915315E-2</v>
      </c>
      <c r="AP919" s="8">
        <f t="shared" si="249"/>
        <v>0.75384554364654555</v>
      </c>
      <c r="AQ919" s="8"/>
      <c r="AR919" s="8">
        <f t="shared" si="250"/>
        <v>3.7882257205261189</v>
      </c>
      <c r="AS919" s="8">
        <f t="shared" si="251"/>
        <v>46.80783194430785</v>
      </c>
    </row>
    <row r="920" spans="1:45">
      <c r="A920" s="19">
        <v>34.434399999999997</v>
      </c>
      <c r="B920" s="19">
        <v>1442.1203499999999</v>
      </c>
      <c r="C920" s="19">
        <v>-267.55013869999999</v>
      </c>
      <c r="E920" s="9">
        <f t="shared" si="237"/>
        <v>482.12034999999992</v>
      </c>
      <c r="F920" s="9">
        <f t="shared" si="242"/>
        <v>272.44986130000001</v>
      </c>
      <c r="I920">
        <v>1</v>
      </c>
      <c r="J920">
        <f t="shared" si="238"/>
        <v>0.35227472842082247</v>
      </c>
      <c r="K920">
        <f t="shared" si="243"/>
        <v>0.51436808074149332</v>
      </c>
      <c r="O920">
        <f t="shared" si="244"/>
        <v>0.30038767874672606</v>
      </c>
      <c r="P920">
        <f t="shared" si="245"/>
        <v>0.16975135235584746</v>
      </c>
      <c r="Q920">
        <f t="shared" si="246"/>
        <v>0.93859028379294163</v>
      </c>
      <c r="R920">
        <f t="shared" si="236"/>
        <v>1</v>
      </c>
      <c r="AG920" s="8">
        <f t="shared" si="239"/>
        <v>0.68332042480477417</v>
      </c>
      <c r="AH920" s="8">
        <f t="shared" si="240"/>
        <v>4.5784686308254441E-2</v>
      </c>
      <c r="AI920" s="8">
        <f t="shared" si="241"/>
        <v>0.7286816585754563</v>
      </c>
      <c r="AJ920" s="8"/>
      <c r="AK920" s="8"/>
      <c r="AL920" s="8"/>
      <c r="AN920" s="8">
        <f t="shared" si="247"/>
        <v>1.0000000000000002</v>
      </c>
      <c r="AO920" s="8">
        <f t="shared" si="248"/>
        <v>6.6903246013488765E-2</v>
      </c>
      <c r="AP920" s="8">
        <f t="shared" si="249"/>
        <v>0.7544013531314494</v>
      </c>
      <c r="AQ920" s="8"/>
      <c r="AR920" s="8">
        <f t="shared" si="250"/>
        <v>3.833273632298356</v>
      </c>
      <c r="AS920" s="8">
        <f t="shared" si="251"/>
        <v>46.775986406609519</v>
      </c>
    </row>
    <row r="921" spans="1:45">
      <c r="A921" s="19">
        <v>34.467766670000003</v>
      </c>
      <c r="B921" s="19">
        <v>1442.394452</v>
      </c>
      <c r="C921" s="19">
        <v>-267.59429829999999</v>
      </c>
      <c r="E921" s="9">
        <f t="shared" si="237"/>
        <v>482.394452</v>
      </c>
      <c r="F921" s="9">
        <f t="shared" si="242"/>
        <v>272.40570170000001</v>
      </c>
      <c r="I921">
        <v>1</v>
      </c>
      <c r="J921">
        <f t="shared" si="238"/>
        <v>0.35240272690160623</v>
      </c>
      <c r="K921">
        <f t="shared" si="243"/>
        <v>0.51405526226932108</v>
      </c>
      <c r="O921">
        <f t="shared" si="244"/>
        <v>0.30054537414195598</v>
      </c>
      <c r="P921">
        <f t="shared" si="245"/>
        <v>0.16971644925930565</v>
      </c>
      <c r="Q921">
        <f t="shared" si="246"/>
        <v>0.93854611231025042</v>
      </c>
      <c r="R921">
        <f t="shared" si="236"/>
        <v>1</v>
      </c>
      <c r="AG921" s="8">
        <f t="shared" si="239"/>
        <v>0.68336050936779924</v>
      </c>
      <c r="AH921" s="8">
        <f t="shared" si="240"/>
        <v>4.5940203347743624E-2</v>
      </c>
      <c r="AI921" s="8">
        <f t="shared" si="241"/>
        <v>0.72863427860137753</v>
      </c>
      <c r="AJ921" s="8"/>
      <c r="AK921" s="8"/>
      <c r="AL921" s="8"/>
      <c r="AN921" s="8">
        <f t="shared" si="247"/>
        <v>0.99999999999999989</v>
      </c>
      <c r="AO921" s="8">
        <f t="shared" si="248"/>
        <v>6.7125889713215814E-2</v>
      </c>
      <c r="AP921" s="8">
        <f t="shared" si="249"/>
        <v>0.75447053332088521</v>
      </c>
      <c r="AQ921" s="8"/>
      <c r="AR921" s="8">
        <f t="shared" si="250"/>
        <v>3.8460301766278939</v>
      </c>
      <c r="AS921" s="8">
        <f t="shared" si="251"/>
        <v>46.772022673728934</v>
      </c>
    </row>
    <row r="922" spans="1:45">
      <c r="A922" s="19">
        <v>34.501133330000002</v>
      </c>
      <c r="B922" s="19">
        <v>1442.8753509999999</v>
      </c>
      <c r="C922" s="19">
        <v>-267.56547369999998</v>
      </c>
      <c r="E922" s="9">
        <f t="shared" si="237"/>
        <v>482.87535099999991</v>
      </c>
      <c r="F922" s="9">
        <f t="shared" si="242"/>
        <v>272.43452630000002</v>
      </c>
      <c r="I922">
        <v>1</v>
      </c>
      <c r="J922">
        <f t="shared" si="238"/>
        <v>0.35265815178741033</v>
      </c>
      <c r="K922">
        <f t="shared" si="243"/>
        <v>0.51367403115564891</v>
      </c>
      <c r="O922">
        <f t="shared" si="244"/>
        <v>0.30081883362516321</v>
      </c>
      <c r="P922">
        <f t="shared" si="245"/>
        <v>0.16971965181297868</v>
      </c>
      <c r="Q922">
        <f t="shared" si="246"/>
        <v>0.93845792080672308</v>
      </c>
      <c r="R922">
        <f t="shared" si="236"/>
        <v>1</v>
      </c>
      <c r="AG922" s="8">
        <f t="shared" si="239"/>
        <v>0.68338341104186306</v>
      </c>
      <c r="AH922" s="8">
        <f t="shared" si="240"/>
        <v>4.6223909938988006E-2</v>
      </c>
      <c r="AI922" s="8">
        <f t="shared" si="241"/>
        <v>0.72859485563839965</v>
      </c>
      <c r="AJ922" s="8"/>
      <c r="AK922" s="8"/>
      <c r="AL922" s="8"/>
      <c r="AN922" s="8">
        <f t="shared" si="247"/>
        <v>1</v>
      </c>
      <c r="AO922" s="8">
        <f t="shared" si="248"/>
        <v>6.753691769133946E-2</v>
      </c>
      <c r="AP922" s="8">
        <f t="shared" si="249"/>
        <v>0.75452809148219568</v>
      </c>
      <c r="AQ922" s="8"/>
      <c r="AR922" s="8">
        <f t="shared" si="250"/>
        <v>3.8695803450361743</v>
      </c>
      <c r="AS922" s="8">
        <f t="shared" si="251"/>
        <v>46.768724834009305</v>
      </c>
    </row>
    <row r="923" spans="1:45">
      <c r="A923" s="19">
        <v>34.534500000000001</v>
      </c>
      <c r="B923" s="19">
        <v>1443.4015139999999</v>
      </c>
      <c r="C923" s="19">
        <v>-267.88239129999999</v>
      </c>
      <c r="E923" s="9">
        <f t="shared" si="237"/>
        <v>483.40151399999991</v>
      </c>
      <c r="F923" s="9">
        <f t="shared" si="242"/>
        <v>272.11760870000001</v>
      </c>
      <c r="I923">
        <v>1</v>
      </c>
      <c r="J923">
        <f t="shared" si="238"/>
        <v>0.3528367550144057</v>
      </c>
      <c r="K923">
        <f t="shared" si="243"/>
        <v>0.51271038323890916</v>
      </c>
      <c r="O923">
        <f t="shared" si="244"/>
        <v>0.30112829891746523</v>
      </c>
      <c r="P923">
        <f t="shared" si="245"/>
        <v>0.16951190726580859</v>
      </c>
      <c r="Q923">
        <f t="shared" si="246"/>
        <v>0.93839621742960022</v>
      </c>
      <c r="R923">
        <f t="shared" ref="R923:R986" si="252">SQRT(O923^2+P923^2+Q923^2)</f>
        <v>1</v>
      </c>
      <c r="AG923" s="8">
        <f t="shared" si="239"/>
        <v>0.68356365906147898</v>
      </c>
      <c r="AH923" s="8">
        <f t="shared" si="240"/>
        <v>4.6498555982479761E-2</v>
      </c>
      <c r="AI923" s="8">
        <f t="shared" si="241"/>
        <v>0.7284082703415895</v>
      </c>
      <c r="AJ923" s="8"/>
      <c r="AK923" s="8"/>
      <c r="AL923" s="8"/>
      <c r="AN923" s="8">
        <f t="shared" si="247"/>
        <v>0.99999999999999989</v>
      </c>
      <c r="AO923" s="8">
        <f t="shared" si="248"/>
        <v>6.7919108931953964E-2</v>
      </c>
      <c r="AP923" s="8">
        <f t="shared" si="249"/>
        <v>0.75480046122985556</v>
      </c>
      <c r="AQ923" s="8"/>
      <c r="AR923" s="8">
        <f t="shared" si="250"/>
        <v>3.8914782900902547</v>
      </c>
      <c r="AS923" s="8">
        <f t="shared" si="251"/>
        <v>46.753119197001354</v>
      </c>
    </row>
    <row r="924" spans="1:45">
      <c r="A924" s="19">
        <v>34.567866670000001</v>
      </c>
      <c r="B924" s="19">
        <v>1444.1934429999999</v>
      </c>
      <c r="C924" s="19">
        <v>-268.58745269999997</v>
      </c>
      <c r="E924" s="9">
        <f t="shared" si="237"/>
        <v>484.19344299999989</v>
      </c>
      <c r="F924" s="9">
        <f t="shared" si="242"/>
        <v>271.41254730000003</v>
      </c>
      <c r="I924">
        <v>1</v>
      </c>
      <c r="J924">
        <f t="shared" si="238"/>
        <v>0.35304031491870186</v>
      </c>
      <c r="K924">
        <f t="shared" si="243"/>
        <v>0.51090364045641423</v>
      </c>
      <c r="O924">
        <f t="shared" si="244"/>
        <v>0.30160069261609795</v>
      </c>
      <c r="P924">
        <f t="shared" si="245"/>
        <v>0.16906096816015634</v>
      </c>
      <c r="Q924">
        <f t="shared" si="246"/>
        <v>0.93832585558442361</v>
      </c>
      <c r="R924">
        <f t="shared" si="252"/>
        <v>1</v>
      </c>
      <c r="AG924" s="8">
        <f t="shared" si="239"/>
        <v>0.68393629836622805</v>
      </c>
      <c r="AH924" s="8">
        <f t="shared" si="240"/>
        <v>4.6888495871009517E-2</v>
      </c>
      <c r="AI924" s="8">
        <f t="shared" si="241"/>
        <v>0.72803338435270681</v>
      </c>
      <c r="AJ924" s="8"/>
      <c r="AK924" s="8"/>
      <c r="AL924" s="8"/>
      <c r="AN924" s="8">
        <f t="shared" si="247"/>
        <v>1</v>
      </c>
      <c r="AO924" s="8">
        <f t="shared" si="248"/>
        <v>6.8449712672928154E-2</v>
      </c>
      <c r="AP924" s="8">
        <f t="shared" si="249"/>
        <v>0.75534746652391049</v>
      </c>
      <c r="AQ924" s="8"/>
      <c r="AR924" s="8">
        <f t="shared" si="250"/>
        <v>3.9218796450419284</v>
      </c>
      <c r="AS924" s="8">
        <f t="shared" si="251"/>
        <v>46.721778102280695</v>
      </c>
    </row>
    <row r="925" spans="1:45">
      <c r="A925" s="19">
        <v>34.601233329999999</v>
      </c>
      <c r="B925" s="19">
        <v>1444.507008</v>
      </c>
      <c r="C925" s="19">
        <v>-268.56187640000002</v>
      </c>
      <c r="E925" s="9">
        <f t="shared" si="237"/>
        <v>484.50700800000004</v>
      </c>
      <c r="F925" s="9">
        <f t="shared" si="242"/>
        <v>271.43812359999998</v>
      </c>
      <c r="I925">
        <v>1</v>
      </c>
      <c r="J925">
        <f t="shared" si="238"/>
        <v>0.35320899615403428</v>
      </c>
      <c r="K925">
        <f t="shared" si="243"/>
        <v>0.51066773574508562</v>
      </c>
      <c r="O925">
        <f t="shared" si="244"/>
        <v>0.30177864680939548</v>
      </c>
      <c r="P925">
        <f t="shared" si="245"/>
        <v>0.16906717194994508</v>
      </c>
      <c r="Q925">
        <f t="shared" si="246"/>
        <v>0.93826752032601979</v>
      </c>
      <c r="R925">
        <f t="shared" si="252"/>
        <v>1</v>
      </c>
      <c r="AG925" s="8">
        <f t="shared" si="239"/>
        <v>0.68394804592761849</v>
      </c>
      <c r="AH925" s="8">
        <f t="shared" si="240"/>
        <v>4.7074080355668124E-2</v>
      </c>
      <c r="AI925" s="8">
        <f t="shared" si="241"/>
        <v>0.72801037178769679</v>
      </c>
      <c r="AJ925" s="8"/>
      <c r="AK925" s="8"/>
      <c r="AL925" s="8"/>
      <c r="AN925" s="8">
        <f t="shared" si="247"/>
        <v>1</v>
      </c>
      <c r="AO925" s="8">
        <f t="shared" si="248"/>
        <v>6.8718609279244447E-2</v>
      </c>
      <c r="AP925" s="8">
        <f t="shared" si="249"/>
        <v>0.75538103436610515</v>
      </c>
      <c r="AQ925" s="8"/>
      <c r="AR925" s="8">
        <f t="shared" si="250"/>
        <v>3.9372862857092428</v>
      </c>
      <c r="AS925" s="8">
        <f t="shared" si="251"/>
        <v>46.719854806595578</v>
      </c>
    </row>
    <row r="926" spans="1:45">
      <c r="A926" s="19">
        <v>34.634599999999999</v>
      </c>
      <c r="B926" s="19">
        <v>1445.0730309999999</v>
      </c>
      <c r="C926" s="19">
        <v>-268.51878440000002</v>
      </c>
      <c r="E926" s="9">
        <f t="shared" si="237"/>
        <v>485.0730309999999</v>
      </c>
      <c r="F926" s="9">
        <f t="shared" si="242"/>
        <v>271.48121559999998</v>
      </c>
      <c r="I926">
        <v>1</v>
      </c>
      <c r="J926">
        <f t="shared" si="238"/>
        <v>0.35351259550131697</v>
      </c>
      <c r="K926">
        <f t="shared" si="243"/>
        <v>0.51023768445464879</v>
      </c>
      <c r="O926">
        <f t="shared" si="244"/>
        <v>0.30209988721907027</v>
      </c>
      <c r="P926">
        <f t="shared" si="245"/>
        <v>0.16907648822648341</v>
      </c>
      <c r="Q926">
        <f t="shared" si="246"/>
        <v>0.93816245889036987</v>
      </c>
      <c r="R926">
        <f t="shared" si="252"/>
        <v>1</v>
      </c>
      <c r="AG926" s="8">
        <f t="shared" si="239"/>
        <v>0.68397055775437732</v>
      </c>
      <c r="AH926" s="8">
        <f t="shared" si="240"/>
        <v>4.7408708332149108E-2</v>
      </c>
      <c r="AI926" s="8">
        <f t="shared" si="241"/>
        <v>0.72796750648599928</v>
      </c>
      <c r="AJ926" s="8"/>
      <c r="AK926" s="8"/>
      <c r="AL926" s="8"/>
      <c r="AN926" s="8">
        <f t="shared" si="247"/>
        <v>1.0000000000000002</v>
      </c>
      <c r="AO926" s="8">
        <f t="shared" si="248"/>
        <v>6.9203274974523998E-2</v>
      </c>
      <c r="AP926" s="8">
        <f t="shared" si="249"/>
        <v>0.7554435576994587</v>
      </c>
      <c r="AQ926" s="8"/>
      <c r="AR926" s="8">
        <f t="shared" si="250"/>
        <v>3.9650555845235349</v>
      </c>
      <c r="AS926" s="8">
        <f t="shared" si="251"/>
        <v>46.716272483473332</v>
      </c>
    </row>
    <row r="927" spans="1:45">
      <c r="A927" s="19">
        <v>34.667966669999998</v>
      </c>
      <c r="B927" s="19">
        <v>1445.5340880000001</v>
      </c>
      <c r="C927" s="19">
        <v>-268.90962669999999</v>
      </c>
      <c r="E927" s="9">
        <f t="shared" si="237"/>
        <v>485.53408800000011</v>
      </c>
      <c r="F927" s="9">
        <f t="shared" si="242"/>
        <v>271.09037330000001</v>
      </c>
      <c r="I927">
        <v>1</v>
      </c>
      <c r="J927">
        <f t="shared" si="238"/>
        <v>0.35363741801141862</v>
      </c>
      <c r="K927">
        <f t="shared" si="243"/>
        <v>0.50921943939571945</v>
      </c>
      <c r="O927">
        <f t="shared" si="244"/>
        <v>0.30237413580458639</v>
      </c>
      <c r="P927">
        <f t="shared" si="245"/>
        <v>0.16882587521132031</v>
      </c>
      <c r="Q927">
        <f t="shared" si="246"/>
        <v>0.93811923861285418</v>
      </c>
      <c r="R927">
        <f t="shared" si="252"/>
        <v>1</v>
      </c>
      <c r="AG927" s="8">
        <f t="shared" si="239"/>
        <v>0.68417846993866327</v>
      </c>
      <c r="AH927" s="8">
        <f t="shared" si="240"/>
        <v>4.7637644518674305E-2</v>
      </c>
      <c r="AI927" s="8">
        <f t="shared" si="241"/>
        <v>0.72775715461759782</v>
      </c>
      <c r="AJ927" s="8"/>
      <c r="AK927" s="8"/>
      <c r="AL927" s="8"/>
      <c r="AN927" s="8">
        <f t="shared" si="247"/>
        <v>1.0000000000000002</v>
      </c>
      <c r="AO927" s="8">
        <f t="shared" si="248"/>
        <v>6.9515320169102598E-2</v>
      </c>
      <c r="AP927" s="8">
        <f t="shared" si="249"/>
        <v>0.75575031681889093</v>
      </c>
      <c r="AQ927" s="8"/>
      <c r="AR927" s="8">
        <f t="shared" si="250"/>
        <v>3.9829344571902272</v>
      </c>
      <c r="AS927" s="8">
        <f t="shared" si="251"/>
        <v>46.698696480602713</v>
      </c>
    </row>
    <row r="928" spans="1:45">
      <c r="A928" s="19">
        <v>34.701333329999997</v>
      </c>
      <c r="B928" s="19">
        <v>1446.3384410000001</v>
      </c>
      <c r="C928" s="19">
        <v>-269.74629270000003</v>
      </c>
      <c r="E928" s="9">
        <f t="shared" ref="E928:E991" si="253">(B928-($B$15/2))</f>
        <v>486.3384410000001</v>
      </c>
      <c r="F928" s="9">
        <f t="shared" si="242"/>
        <v>270.25370729999997</v>
      </c>
      <c r="I928">
        <v>1</v>
      </c>
      <c r="J928">
        <f t="shared" ref="J928:J991" si="254">ATAN((SQRT(E928^2+F928^2)^$B$16)/($F$24))</f>
        <v>0.35381163732218718</v>
      </c>
      <c r="K928">
        <f t="shared" si="243"/>
        <v>0.5072017041550827</v>
      </c>
      <c r="O928">
        <f t="shared" si="244"/>
        <v>0.30285702412639565</v>
      </c>
      <c r="P928">
        <f t="shared" si="245"/>
        <v>0.16829480594564789</v>
      </c>
      <c r="Q928">
        <f t="shared" si="246"/>
        <v>0.93805889006448873</v>
      </c>
      <c r="R928">
        <f t="shared" si="252"/>
        <v>1</v>
      </c>
      <c r="AG928" s="8">
        <f t="shared" ref="AG928:AG991" si="255">$O928*$Z$27+$P928*$Z$31+$Q928*$Z$35</f>
        <v>0.68460980343323141</v>
      </c>
      <c r="AH928" s="8">
        <f t="shared" ref="AH928:AH991" si="256">$O928*$AA$27+$P928*$AA$31+$Q928*$AA$35</f>
        <v>4.8021152220110885E-2</v>
      </c>
      <c r="AI928" s="8">
        <f t="shared" ref="AI928:AI991" si="257">$AB$27*$O928+$P928*$AB$31+$AB$35*$Q928</f>
        <v>0.72732618953435568</v>
      </c>
      <c r="AJ928" s="8"/>
      <c r="AK928" s="8"/>
      <c r="AL928" s="8"/>
      <c r="AN928" s="8">
        <f t="shared" si="247"/>
        <v>1.0000000000000002</v>
      </c>
      <c r="AO928" s="8">
        <f t="shared" si="248"/>
        <v>7.00291267641205E-2</v>
      </c>
      <c r="AP928" s="8">
        <f t="shared" si="249"/>
        <v>0.75637848770847171</v>
      </c>
      <c r="AQ928" s="8"/>
      <c r="AR928" s="8">
        <f t="shared" si="250"/>
        <v>4.0123734065707399</v>
      </c>
      <c r="AS928" s="8">
        <f t="shared" si="251"/>
        <v>46.662704939816756</v>
      </c>
    </row>
    <row r="929" spans="1:45">
      <c r="A929" s="19">
        <v>34.734699999999997</v>
      </c>
      <c r="B929" s="19">
        <v>1446.904536</v>
      </c>
      <c r="C929" s="19">
        <v>-269.81894240000003</v>
      </c>
      <c r="E929" s="9">
        <f t="shared" si="253"/>
        <v>486.90453600000001</v>
      </c>
      <c r="F929" s="9">
        <f t="shared" ref="F929:F992" si="258">(($C$15/2)+C929)</f>
        <v>270.18105759999997</v>
      </c>
      <c r="I929">
        <v>1</v>
      </c>
      <c r="J929">
        <f t="shared" si="254"/>
        <v>0.3540825306804955</v>
      </c>
      <c r="K929">
        <f t="shared" ref="K929:K992" si="259">ATAN2(E929,F929)</f>
        <v>0.50659385794472755</v>
      </c>
      <c r="O929">
        <f t="shared" ref="O929:O992" si="260">COS(K929)*SIN(J929)</f>
        <v>0.30318145219619136</v>
      </c>
      <c r="P929">
        <f t="shared" ref="P929:P992" si="261">SIN(K929)*SIN(J929)</f>
        <v>0.16823397471711132</v>
      </c>
      <c r="Q929">
        <f t="shared" ref="Q929:Q992" si="262">COS(J929)</f>
        <v>0.93796499763855301</v>
      </c>
      <c r="R929">
        <f t="shared" si="252"/>
        <v>1</v>
      </c>
      <c r="AG929" s="8">
        <f t="shared" si="255"/>
        <v>0.68468349545730345</v>
      </c>
      <c r="AH929" s="8">
        <f t="shared" si="256"/>
        <v>4.8343803913884487E-2</v>
      </c>
      <c r="AI929" s="8">
        <f t="shared" si="257"/>
        <v>0.72723544170475118</v>
      </c>
      <c r="AJ929" s="8"/>
      <c r="AK929" s="8"/>
      <c r="AL929" s="8"/>
      <c r="AN929" s="8">
        <f t="shared" ref="AN929:AN992" si="263">AG929^2+AH929^2+AI929^2</f>
        <v>0.99999999999999989</v>
      </c>
      <c r="AO929" s="8">
        <f t="shared" ref="AO929:AO992" si="264">IF(ATAN2(AG929,AH929)&gt;=0,ATAN2(AG929,AH929),ATAN2(AG929,AH929)+2*PI())</f>
        <v>7.0490534102580021E-2</v>
      </c>
      <c r="AP929" s="8">
        <f t="shared" ref="AP929:AP992" si="265">ACOS(AI929/AN929)</f>
        <v>0.75651070764028705</v>
      </c>
      <c r="AQ929" s="8"/>
      <c r="AR929" s="8">
        <f t="shared" ref="AR929:AR992" si="266">DEGREES(AO929)</f>
        <v>4.0388100997008349</v>
      </c>
      <c r="AS929" s="8">
        <f t="shared" ref="AS929:AS992" si="267">90-DEGREES(AP929)</f>
        <v>46.655129295756232</v>
      </c>
    </row>
    <row r="930" spans="1:45">
      <c r="A930" s="19">
        <v>34.768066670000003</v>
      </c>
      <c r="B930" s="19">
        <v>1447.348428</v>
      </c>
      <c r="C930" s="19">
        <v>-269.87044040000001</v>
      </c>
      <c r="E930" s="9">
        <f t="shared" si="253"/>
        <v>487.34842800000001</v>
      </c>
      <c r="F930" s="9">
        <f t="shared" si="258"/>
        <v>270.12955959999999</v>
      </c>
      <c r="I930">
        <v>1</v>
      </c>
      <c r="J930">
        <f t="shared" si="254"/>
        <v>0.35429655651665404</v>
      </c>
      <c r="K930">
        <f t="shared" si="259"/>
        <v>0.5061265134329147</v>
      </c>
      <c r="O930">
        <f t="shared" si="260"/>
        <v>0.3034356160149006</v>
      </c>
      <c r="P930">
        <f t="shared" si="261"/>
        <v>0.16818958390291516</v>
      </c>
      <c r="Q930">
        <f t="shared" si="262"/>
        <v>0.93789076698740459</v>
      </c>
      <c r="R930">
        <f t="shared" si="252"/>
        <v>1</v>
      </c>
      <c r="AG930" s="8">
        <f t="shared" si="255"/>
        <v>0.684738780965084</v>
      </c>
      <c r="AH930" s="8">
        <f t="shared" si="256"/>
        <v>4.8597317238945781E-2</v>
      </c>
      <c r="AI930" s="8">
        <f t="shared" si="257"/>
        <v>0.72716648891407809</v>
      </c>
      <c r="AJ930" s="8"/>
      <c r="AK930" s="8"/>
      <c r="AL930" s="8"/>
      <c r="AN930" s="8">
        <f t="shared" si="263"/>
        <v>1</v>
      </c>
      <c r="AO930" s="8">
        <f t="shared" si="264"/>
        <v>7.0853249273311533E-2</v>
      </c>
      <c r="AP930" s="8">
        <f t="shared" si="265"/>
        <v>0.75661115973510151</v>
      </c>
      <c r="AQ930" s="8"/>
      <c r="AR930" s="8">
        <f t="shared" si="266"/>
        <v>4.0595921481491182</v>
      </c>
      <c r="AS930" s="8">
        <f t="shared" si="267"/>
        <v>46.649373814680111</v>
      </c>
    </row>
    <row r="931" spans="1:45">
      <c r="A931" s="19">
        <v>34.801433330000002</v>
      </c>
      <c r="B931" s="19">
        <v>1448.2027419999999</v>
      </c>
      <c r="C931" s="19">
        <v>-270.48355179999999</v>
      </c>
      <c r="E931" s="9">
        <f t="shared" si="253"/>
        <v>488.20274199999994</v>
      </c>
      <c r="F931" s="9">
        <f t="shared" si="258"/>
        <v>269.51644820000001</v>
      </c>
      <c r="I931">
        <v>1</v>
      </c>
      <c r="J931">
        <f t="shared" si="254"/>
        <v>0.35456213887826576</v>
      </c>
      <c r="K931">
        <f t="shared" si="259"/>
        <v>0.50442221968874246</v>
      </c>
      <c r="O931">
        <f t="shared" si="260"/>
        <v>0.30393987332650052</v>
      </c>
      <c r="P931">
        <f t="shared" si="261"/>
        <v>0.16779257484243371</v>
      </c>
      <c r="Q931">
        <f t="shared" si="262"/>
        <v>0.93779859523781384</v>
      </c>
      <c r="R931">
        <f t="shared" si="252"/>
        <v>1</v>
      </c>
      <c r="AG931" s="8">
        <f t="shared" si="255"/>
        <v>0.68507360873087497</v>
      </c>
      <c r="AH931" s="8">
        <f t="shared" si="256"/>
        <v>4.9032609089513013E-2</v>
      </c>
      <c r="AI931" s="8">
        <f t="shared" si="257"/>
        <v>0.72682181713700023</v>
      </c>
      <c r="AJ931" s="8"/>
      <c r="AK931" s="8"/>
      <c r="AL931" s="8"/>
      <c r="AN931" s="8">
        <f t="shared" si="263"/>
        <v>1</v>
      </c>
      <c r="AO931" s="8">
        <f t="shared" si="264"/>
        <v>7.1450920123080325E-2</v>
      </c>
      <c r="AP931" s="8">
        <f t="shared" si="265"/>
        <v>0.75711312577395129</v>
      </c>
      <c r="AQ931" s="8"/>
      <c r="AR931" s="8">
        <f t="shared" si="266"/>
        <v>4.0938361653788675</v>
      </c>
      <c r="AS931" s="8">
        <f t="shared" si="267"/>
        <v>46.620613279195119</v>
      </c>
    </row>
    <row r="932" spans="1:45">
      <c r="A932" s="19">
        <v>34.834800000000001</v>
      </c>
      <c r="B932" s="19">
        <v>1448.634663</v>
      </c>
      <c r="C932" s="19">
        <v>-270.70405419999997</v>
      </c>
      <c r="E932" s="9">
        <f t="shared" si="253"/>
        <v>488.63466300000005</v>
      </c>
      <c r="F932" s="9">
        <f t="shared" si="258"/>
        <v>269.29594580000003</v>
      </c>
      <c r="I932">
        <v>1</v>
      </c>
      <c r="J932">
        <f t="shared" si="254"/>
        <v>0.35472218932455934</v>
      </c>
      <c r="K932">
        <f t="shared" si="259"/>
        <v>0.50370207739048778</v>
      </c>
      <c r="O932">
        <f t="shared" si="260"/>
        <v>0.30419207866590786</v>
      </c>
      <c r="P932">
        <f t="shared" si="261"/>
        <v>0.16764609580962875</v>
      </c>
      <c r="Q932">
        <f t="shared" si="262"/>
        <v>0.93774301694904816</v>
      </c>
      <c r="R932">
        <f t="shared" si="252"/>
        <v>1</v>
      </c>
      <c r="AG932" s="8">
        <f t="shared" si="255"/>
        <v>0.68520297739653446</v>
      </c>
      <c r="AH932" s="8">
        <f t="shared" si="256"/>
        <v>4.9261784475223724E-2</v>
      </c>
      <c r="AI932" s="8">
        <f t="shared" si="257"/>
        <v>0.72668435813442478</v>
      </c>
      <c r="AJ932" s="8"/>
      <c r="AK932" s="8"/>
      <c r="AL932" s="8"/>
      <c r="AN932" s="8">
        <f t="shared" si="263"/>
        <v>1</v>
      </c>
      <c r="AO932" s="8">
        <f t="shared" si="264"/>
        <v>7.1770227392317101E-2</v>
      </c>
      <c r="AP932" s="8">
        <f t="shared" si="265"/>
        <v>0.75731324114072474</v>
      </c>
      <c r="AQ932" s="8"/>
      <c r="AR932" s="8">
        <f t="shared" si="266"/>
        <v>4.112131124273982</v>
      </c>
      <c r="AS932" s="8">
        <f t="shared" si="267"/>
        <v>46.609147513263288</v>
      </c>
    </row>
    <row r="933" spans="1:45">
      <c r="A933" s="19">
        <v>34.868166670000001</v>
      </c>
      <c r="B933" s="19">
        <v>1449.220202</v>
      </c>
      <c r="C933" s="19">
        <v>-270.7747554</v>
      </c>
      <c r="E933" s="9">
        <f t="shared" si="253"/>
        <v>489.22020199999997</v>
      </c>
      <c r="F933" s="9">
        <f t="shared" si="258"/>
        <v>269.2252446</v>
      </c>
      <c r="I933">
        <v>1</v>
      </c>
      <c r="J933">
        <f t="shared" si="254"/>
        <v>0.35500418748195006</v>
      </c>
      <c r="K933">
        <f t="shared" si="259"/>
        <v>0.50308506708226819</v>
      </c>
      <c r="O933">
        <f t="shared" si="260"/>
        <v>0.30452712530887394</v>
      </c>
      <c r="P933">
        <f t="shared" si="261"/>
        <v>0.16758586310100179</v>
      </c>
      <c r="Q933">
        <f t="shared" si="262"/>
        <v>0.93764503328274806</v>
      </c>
      <c r="R933">
        <f t="shared" si="252"/>
        <v>1</v>
      </c>
      <c r="AG933" s="8">
        <f t="shared" si="255"/>
        <v>0.68527678721443186</v>
      </c>
      <c r="AH933" s="8">
        <f t="shared" si="256"/>
        <v>4.9595721721778285E-2</v>
      </c>
      <c r="AI933" s="8">
        <f t="shared" si="257"/>
        <v>0.72659203772953784</v>
      </c>
      <c r="AJ933" s="8"/>
      <c r="AK933" s="8"/>
      <c r="AL933" s="8"/>
      <c r="AN933" s="8">
        <f t="shared" si="263"/>
        <v>1</v>
      </c>
      <c r="AO933" s="8">
        <f t="shared" si="264"/>
        <v>7.2247304233526877E-2</v>
      </c>
      <c r="AP933" s="8">
        <f t="shared" si="265"/>
        <v>0.7574476191228614</v>
      </c>
      <c r="AQ933" s="8"/>
      <c r="AR933" s="8">
        <f t="shared" si="266"/>
        <v>4.1394656137787349</v>
      </c>
      <c r="AS933" s="8">
        <f t="shared" si="267"/>
        <v>46.601448222027372</v>
      </c>
    </row>
    <row r="934" spans="1:45">
      <c r="A934" s="19">
        <v>34.901533329999999</v>
      </c>
      <c r="B934" s="19">
        <v>1449.912421</v>
      </c>
      <c r="C934" s="19">
        <v>-270.84386219999999</v>
      </c>
      <c r="E934" s="9">
        <f t="shared" si="253"/>
        <v>489.91242099999999</v>
      </c>
      <c r="F934" s="9">
        <f t="shared" si="258"/>
        <v>269.15613780000001</v>
      </c>
      <c r="I934">
        <v>1</v>
      </c>
      <c r="J934">
        <f t="shared" si="254"/>
        <v>0.35534175485540309</v>
      </c>
      <c r="K934">
        <f t="shared" si="259"/>
        <v>0.50237970357105421</v>
      </c>
      <c r="O934">
        <f t="shared" si="260"/>
        <v>0.30492265023633436</v>
      </c>
      <c r="P934">
        <f t="shared" si="261"/>
        <v>0.16752341714020766</v>
      </c>
      <c r="Q934">
        <f t="shared" si="262"/>
        <v>0.93752764336979322</v>
      </c>
      <c r="R934">
        <f t="shared" si="252"/>
        <v>1</v>
      </c>
      <c r="AG934" s="8">
        <f t="shared" si="255"/>
        <v>0.68535748164770105</v>
      </c>
      <c r="AH934" s="8">
        <f t="shared" si="256"/>
        <v>4.9991883536789683E-2</v>
      </c>
      <c r="AI934" s="8">
        <f t="shared" si="257"/>
        <v>0.72648877068401085</v>
      </c>
      <c r="AJ934" s="8"/>
      <c r="AK934" s="8"/>
      <c r="AL934" s="8"/>
      <c r="AN934" s="8">
        <f t="shared" si="263"/>
        <v>1</v>
      </c>
      <c r="AO934" s="8">
        <f t="shared" si="264"/>
        <v>7.2813828907590902E-2</v>
      </c>
      <c r="AP934" s="8">
        <f t="shared" si="265"/>
        <v>0.75759790798522331</v>
      </c>
      <c r="AQ934" s="8"/>
      <c r="AR934" s="8">
        <f t="shared" si="266"/>
        <v>4.1719250865926281</v>
      </c>
      <c r="AS934" s="8">
        <f t="shared" si="267"/>
        <v>46.592837304506219</v>
      </c>
    </row>
    <row r="935" spans="1:45">
      <c r="A935" s="19">
        <v>34.934899999999999</v>
      </c>
      <c r="B935" s="19">
        <v>1450.3039269999999</v>
      </c>
      <c r="C935" s="19">
        <v>-271.25817480000001</v>
      </c>
      <c r="E935" s="9">
        <f t="shared" si="253"/>
        <v>490.30392699999993</v>
      </c>
      <c r="F935" s="9">
        <f t="shared" si="258"/>
        <v>268.74182519999999</v>
      </c>
      <c r="I935">
        <v>1</v>
      </c>
      <c r="J935">
        <f t="shared" si="254"/>
        <v>0.35542648033666774</v>
      </c>
      <c r="K935">
        <f t="shared" si="259"/>
        <v>0.50139309856254766</v>
      </c>
      <c r="O935">
        <f t="shared" si="260"/>
        <v>0.30515743559301001</v>
      </c>
      <c r="P935">
        <f t="shared" si="261"/>
        <v>0.16726067587587767</v>
      </c>
      <c r="Q935">
        <f t="shared" si="262"/>
        <v>0.93749816309571643</v>
      </c>
      <c r="R935">
        <f t="shared" si="252"/>
        <v>1</v>
      </c>
      <c r="AG935" s="8">
        <f t="shared" si="255"/>
        <v>0.68556980944211021</v>
      </c>
      <c r="AH935" s="8">
        <f t="shared" si="256"/>
        <v>5.0177625205110932E-2</v>
      </c>
      <c r="AI935" s="8">
        <f t="shared" si="257"/>
        <v>0.7262755966644372</v>
      </c>
      <c r="AJ935" s="8"/>
      <c r="AK935" s="8"/>
      <c r="AL935" s="8"/>
      <c r="AN935" s="8">
        <f t="shared" si="263"/>
        <v>1</v>
      </c>
      <c r="AO935" s="8">
        <f t="shared" si="264"/>
        <v>7.3060849361709243E-2</v>
      </c>
      <c r="AP935" s="8">
        <f t="shared" si="265"/>
        <v>0.75790807358067347</v>
      </c>
      <c r="AQ935" s="8"/>
      <c r="AR935" s="8">
        <f t="shared" si="266"/>
        <v>4.1860783160670145</v>
      </c>
      <c r="AS935" s="8">
        <f t="shared" si="267"/>
        <v>46.575066124936761</v>
      </c>
    </row>
    <row r="936" spans="1:45">
      <c r="A936" s="19">
        <v>34.968266669999998</v>
      </c>
      <c r="B936" s="19">
        <v>1450.9380100000001</v>
      </c>
      <c r="C936" s="19">
        <v>-271.69270790000002</v>
      </c>
      <c r="E936" s="9">
        <f t="shared" si="253"/>
        <v>490.93801000000008</v>
      </c>
      <c r="F936" s="9">
        <f t="shared" si="258"/>
        <v>268.30729209999998</v>
      </c>
      <c r="I936">
        <v>1</v>
      </c>
      <c r="J936">
        <f t="shared" si="254"/>
        <v>0.35563110932375708</v>
      </c>
      <c r="K936">
        <f t="shared" si="259"/>
        <v>0.50016726647235876</v>
      </c>
      <c r="O936">
        <f t="shared" si="260"/>
        <v>0.30553057281425572</v>
      </c>
      <c r="P936">
        <f t="shared" si="261"/>
        <v>0.16697847584780573</v>
      </c>
      <c r="Q936">
        <f t="shared" si="262"/>
        <v>0.93742693458174997</v>
      </c>
      <c r="R936">
        <f t="shared" si="252"/>
        <v>1</v>
      </c>
      <c r="AG936" s="8">
        <f t="shared" si="255"/>
        <v>0.68580843511580936</v>
      </c>
      <c r="AH936" s="8">
        <f t="shared" si="256"/>
        <v>5.0502537846791151E-2</v>
      </c>
      <c r="AI936" s="8">
        <f t="shared" si="257"/>
        <v>0.72602774326814679</v>
      </c>
      <c r="AJ936" s="8"/>
      <c r="AK936" s="8"/>
      <c r="AL936" s="8"/>
      <c r="AN936" s="8">
        <f t="shared" si="263"/>
        <v>1</v>
      </c>
      <c r="AO936" s="8">
        <f t="shared" si="264"/>
        <v>7.3506745245441582E-2</v>
      </c>
      <c r="AP936" s="8">
        <f t="shared" si="265"/>
        <v>0.7582685695055652</v>
      </c>
      <c r="AQ936" s="8"/>
      <c r="AR936" s="8">
        <f t="shared" si="266"/>
        <v>4.2116262683071328</v>
      </c>
      <c r="AS936" s="8">
        <f t="shared" si="267"/>
        <v>46.554411229908801</v>
      </c>
    </row>
    <row r="937" spans="1:45">
      <c r="A937" s="19">
        <v>35.001633329999997</v>
      </c>
      <c r="B937" s="19">
        <v>1451.34662</v>
      </c>
      <c r="C937" s="19">
        <v>-271.78530389999997</v>
      </c>
      <c r="E937" s="9">
        <f t="shared" si="253"/>
        <v>491.34662000000003</v>
      </c>
      <c r="F937" s="9">
        <f t="shared" si="258"/>
        <v>268.21469610000003</v>
      </c>
      <c r="I937">
        <v>1</v>
      </c>
      <c r="J937">
        <f t="shared" si="254"/>
        <v>0.35581606151389589</v>
      </c>
      <c r="K937">
        <f t="shared" si="259"/>
        <v>0.49967205731766889</v>
      </c>
      <c r="O937">
        <f t="shared" si="260"/>
        <v>0.30576540117251727</v>
      </c>
      <c r="P937">
        <f t="shared" si="261"/>
        <v>0.16691022348618437</v>
      </c>
      <c r="Q937">
        <f t="shared" si="262"/>
        <v>0.93736252151534283</v>
      </c>
      <c r="R937">
        <f t="shared" si="252"/>
        <v>1</v>
      </c>
      <c r="AG937" s="8">
        <f t="shared" si="255"/>
        <v>0.68587886206759952</v>
      </c>
      <c r="AH937" s="8">
        <f t="shared" si="256"/>
        <v>5.0730993565241522E-2</v>
      </c>
      <c r="AI937" s="8">
        <f t="shared" si="257"/>
        <v>0.72594528227734778</v>
      </c>
      <c r="AJ937" s="8"/>
      <c r="AK937" s="8"/>
      <c r="AL937" s="8"/>
      <c r="AN937" s="8">
        <f t="shared" si="263"/>
        <v>0.99999999999999989</v>
      </c>
      <c r="AO937" s="8">
        <f t="shared" si="264"/>
        <v>7.3830505052812731E-2</v>
      </c>
      <c r="AP937" s="8">
        <f t="shared" si="265"/>
        <v>0.75838847632437845</v>
      </c>
      <c r="AQ937" s="8"/>
      <c r="AR937" s="8">
        <f t="shared" si="266"/>
        <v>4.2301763388454683</v>
      </c>
      <c r="AS937" s="8">
        <f t="shared" si="267"/>
        <v>46.547541075255957</v>
      </c>
    </row>
    <row r="938" spans="1:45">
      <c r="A938" s="19">
        <v>35.034999999999997</v>
      </c>
      <c r="B938" s="19">
        <v>1452.206357</v>
      </c>
      <c r="C938" s="19">
        <v>-272.57663500000001</v>
      </c>
      <c r="E938" s="9">
        <f t="shared" si="253"/>
        <v>492.20635700000003</v>
      </c>
      <c r="F938" s="9">
        <f t="shared" si="258"/>
        <v>267.42336499999999</v>
      </c>
      <c r="I938">
        <v>1</v>
      </c>
      <c r="J938">
        <f t="shared" si="254"/>
        <v>0.35603767731513603</v>
      </c>
      <c r="K938">
        <f t="shared" si="259"/>
        <v>0.49769671031111895</v>
      </c>
      <c r="O938">
        <f t="shared" si="260"/>
        <v>0.30627703545065588</v>
      </c>
      <c r="P938">
        <f t="shared" si="261"/>
        <v>0.16640507437094862</v>
      </c>
      <c r="Q938">
        <f t="shared" si="262"/>
        <v>0.93728529743038047</v>
      </c>
      <c r="R938">
        <f t="shared" si="252"/>
        <v>1</v>
      </c>
      <c r="AG938" s="8">
        <f t="shared" si="255"/>
        <v>0.68629173305386704</v>
      </c>
      <c r="AH938" s="8">
        <f t="shared" si="256"/>
        <v>5.1150791904069848E-2</v>
      </c>
      <c r="AI938" s="8">
        <f t="shared" si="257"/>
        <v>0.72552550170859353</v>
      </c>
      <c r="AJ938" s="8"/>
      <c r="AK938" s="8"/>
      <c r="AL938" s="8"/>
      <c r="AN938" s="8">
        <f t="shared" si="263"/>
        <v>1</v>
      </c>
      <c r="AO938" s="8">
        <f t="shared" si="264"/>
        <v>7.4394589045630358E-2</v>
      </c>
      <c r="AP938" s="8">
        <f t="shared" si="265"/>
        <v>0.75899864565373809</v>
      </c>
      <c r="AQ938" s="8"/>
      <c r="AR938" s="8">
        <f t="shared" si="266"/>
        <v>4.2624959709248067</v>
      </c>
      <c r="AS938" s="8">
        <f t="shared" si="267"/>
        <v>46.512580947895323</v>
      </c>
    </row>
    <row r="939" spans="1:45">
      <c r="A939" s="19">
        <v>35.068366670000003</v>
      </c>
      <c r="B939" s="19">
        <v>1452.7050919999999</v>
      </c>
      <c r="C939" s="19">
        <v>-272.56027319999998</v>
      </c>
      <c r="E939" s="9">
        <f t="shared" si="253"/>
        <v>492.70509199999992</v>
      </c>
      <c r="F939" s="9">
        <f t="shared" si="258"/>
        <v>267.43972680000002</v>
      </c>
      <c r="I939">
        <v>1</v>
      </c>
      <c r="J939">
        <f t="shared" si="254"/>
        <v>0.35630016470048426</v>
      </c>
      <c r="K939">
        <f t="shared" si="259"/>
        <v>0.4972976429565788</v>
      </c>
      <c r="O939">
        <f t="shared" si="260"/>
        <v>0.30655963304193939</v>
      </c>
      <c r="P939">
        <f t="shared" si="261"/>
        <v>0.16640019727793787</v>
      </c>
      <c r="Q939">
        <f t="shared" si="262"/>
        <v>0.93719377171162144</v>
      </c>
      <c r="R939">
        <f t="shared" si="252"/>
        <v>1</v>
      </c>
      <c r="AG939" s="8">
        <f t="shared" si="255"/>
        <v>0.68632001455257208</v>
      </c>
      <c r="AH939" s="8">
        <f t="shared" si="256"/>
        <v>5.1442709935583419E-2</v>
      </c>
      <c r="AI939" s="8">
        <f t="shared" si="257"/>
        <v>0.72547810802190349</v>
      </c>
      <c r="AJ939" s="8"/>
      <c r="AK939" s="8"/>
      <c r="AL939" s="8"/>
      <c r="AN939" s="8">
        <f t="shared" si="263"/>
        <v>1</v>
      </c>
      <c r="AO939" s="8">
        <f t="shared" si="264"/>
        <v>7.4814509919699082E-2</v>
      </c>
      <c r="AP939" s="8">
        <f t="shared" si="265"/>
        <v>0.7590675097794285</v>
      </c>
      <c r="AQ939" s="8"/>
      <c r="AR939" s="8">
        <f t="shared" si="266"/>
        <v>4.2865556647383887</v>
      </c>
      <c r="AS939" s="8">
        <f t="shared" si="267"/>
        <v>46.508635324133408</v>
      </c>
    </row>
    <row r="940" spans="1:45">
      <c r="A940" s="19">
        <v>35.101733330000002</v>
      </c>
      <c r="B940" s="19">
        <v>1453.1697380000001</v>
      </c>
      <c r="C940" s="19">
        <v>-272.5345456</v>
      </c>
      <c r="E940" s="9">
        <f t="shared" si="253"/>
        <v>493.16973800000005</v>
      </c>
      <c r="F940" s="9">
        <f t="shared" si="258"/>
        <v>267.4654544</v>
      </c>
      <c r="I940">
        <v>1</v>
      </c>
      <c r="J940">
        <f t="shared" si="254"/>
        <v>0.35654765378953712</v>
      </c>
      <c r="K940">
        <f t="shared" si="259"/>
        <v>0.49694285045103898</v>
      </c>
      <c r="O940">
        <f t="shared" si="260"/>
        <v>0.3068225319930577</v>
      </c>
      <c r="P940">
        <f t="shared" si="261"/>
        <v>0.16640199431637004</v>
      </c>
      <c r="Q940">
        <f t="shared" si="262"/>
        <v>0.93710741654780638</v>
      </c>
      <c r="R940">
        <f t="shared" si="252"/>
        <v>1</v>
      </c>
      <c r="AG940" s="8">
        <f t="shared" si="255"/>
        <v>0.68634165035897576</v>
      </c>
      <c r="AH940" s="8">
        <f t="shared" si="256"/>
        <v>5.1715689761232198E-2</v>
      </c>
      <c r="AI940" s="8">
        <f t="shared" si="257"/>
        <v>0.72543823059929613</v>
      </c>
      <c r="AJ940" s="8"/>
      <c r="AK940" s="8"/>
      <c r="AL940" s="8"/>
      <c r="AN940" s="8">
        <f t="shared" si="263"/>
        <v>1</v>
      </c>
      <c r="AO940" s="8">
        <f t="shared" si="264"/>
        <v>7.5207658352102691E-2</v>
      </c>
      <c r="AP940" s="8">
        <f t="shared" si="265"/>
        <v>0.75912544872682741</v>
      </c>
      <c r="AQ940" s="8"/>
      <c r="AR940" s="8">
        <f t="shared" si="266"/>
        <v>4.3090814106373001</v>
      </c>
      <c r="AS940" s="8">
        <f t="shared" si="267"/>
        <v>46.505315666978014</v>
      </c>
    </row>
    <row r="941" spans="1:45">
      <c r="A941" s="19">
        <v>35.135100000000001</v>
      </c>
      <c r="B941" s="19">
        <v>1453.9203649999999</v>
      </c>
      <c r="C941" s="19">
        <v>-273.1305036</v>
      </c>
      <c r="E941" s="9">
        <f t="shared" si="253"/>
        <v>493.92036499999995</v>
      </c>
      <c r="F941" s="9">
        <f t="shared" si="258"/>
        <v>266.8694964</v>
      </c>
      <c r="I941">
        <v>1</v>
      </c>
      <c r="J941">
        <f t="shared" si="254"/>
        <v>0.35676906384166568</v>
      </c>
      <c r="K941">
        <f t="shared" si="259"/>
        <v>0.49537227938091188</v>
      </c>
      <c r="O941">
        <f t="shared" si="260"/>
        <v>0.307266035701172</v>
      </c>
      <c r="P941">
        <f t="shared" si="261"/>
        <v>0.16601852853019372</v>
      </c>
      <c r="Q941">
        <f t="shared" si="262"/>
        <v>0.93703011237054457</v>
      </c>
      <c r="R941">
        <f t="shared" si="252"/>
        <v>1</v>
      </c>
      <c r="AG941" s="8">
        <f t="shared" si="255"/>
        <v>0.68665940441751794</v>
      </c>
      <c r="AH941" s="8">
        <f t="shared" si="256"/>
        <v>5.2091693629384983E-2</v>
      </c>
      <c r="AI941" s="8">
        <f t="shared" si="257"/>
        <v>0.72511055555673842</v>
      </c>
      <c r="AJ941" s="8"/>
      <c r="AK941" s="8"/>
      <c r="AL941" s="8"/>
      <c r="AN941" s="8">
        <f t="shared" si="263"/>
        <v>1</v>
      </c>
      <c r="AO941" s="8">
        <f t="shared" si="264"/>
        <v>7.5717460033858486E-2</v>
      </c>
      <c r="AP941" s="8">
        <f t="shared" si="265"/>
        <v>0.75960140244431384</v>
      </c>
      <c r="AQ941" s="8"/>
      <c r="AR941" s="8">
        <f t="shared" si="266"/>
        <v>4.3382908953905783</v>
      </c>
      <c r="AS941" s="8">
        <f t="shared" si="267"/>
        <v>46.478045527722479</v>
      </c>
    </row>
    <row r="942" spans="1:45">
      <c r="A942" s="19">
        <v>35.168466670000001</v>
      </c>
      <c r="B942" s="19">
        <v>1454.5032349999999</v>
      </c>
      <c r="C942" s="19">
        <v>-273.17134800000002</v>
      </c>
      <c r="E942" s="9">
        <f t="shared" si="253"/>
        <v>494.5032349999999</v>
      </c>
      <c r="F942" s="9">
        <f t="shared" si="258"/>
        <v>266.82865199999998</v>
      </c>
      <c r="I942">
        <v>1</v>
      </c>
      <c r="J942">
        <f t="shared" si="254"/>
        <v>0.35705928081380311</v>
      </c>
      <c r="K942">
        <f t="shared" si="259"/>
        <v>0.49481522737595746</v>
      </c>
      <c r="O942">
        <f t="shared" si="260"/>
        <v>0.30759778038294933</v>
      </c>
      <c r="P942">
        <f t="shared" si="261"/>
        <v>0.16597646949220549</v>
      </c>
      <c r="Q942">
        <f t="shared" si="262"/>
        <v>0.93692871504634001</v>
      </c>
      <c r="R942">
        <f t="shared" si="252"/>
        <v>1</v>
      </c>
      <c r="AG942" s="8">
        <f t="shared" si="255"/>
        <v>0.6867187651080976</v>
      </c>
      <c r="AH942" s="8">
        <f t="shared" si="256"/>
        <v>5.2426543858944241E-2</v>
      </c>
      <c r="AI942" s="8">
        <f t="shared" si="257"/>
        <v>0.72503020292082698</v>
      </c>
      <c r="AJ942" s="8"/>
      <c r="AK942" s="8"/>
      <c r="AL942" s="8"/>
      <c r="AN942" s="8">
        <f t="shared" si="263"/>
        <v>1</v>
      </c>
      <c r="AO942" s="8">
        <f t="shared" si="264"/>
        <v>7.619574131416787E-2</v>
      </c>
      <c r="AP942" s="8">
        <f t="shared" si="265"/>
        <v>0.75971807963226068</v>
      </c>
      <c r="AQ942" s="8"/>
      <c r="AR942" s="8">
        <f t="shared" si="266"/>
        <v>4.3656943941724196</v>
      </c>
      <c r="AS942" s="8">
        <f t="shared" si="267"/>
        <v>46.471360417287677</v>
      </c>
    </row>
    <row r="943" spans="1:45">
      <c r="A943" s="19">
        <v>35.201833329999999</v>
      </c>
      <c r="B943" s="19">
        <v>1455.0496169999999</v>
      </c>
      <c r="C943" s="19">
        <v>-273.3503541</v>
      </c>
      <c r="E943" s="9">
        <f t="shared" si="253"/>
        <v>495.0496169999999</v>
      </c>
      <c r="F943" s="9">
        <f t="shared" si="258"/>
        <v>266.6496459</v>
      </c>
      <c r="I943">
        <v>1</v>
      </c>
      <c r="J943">
        <f t="shared" si="254"/>
        <v>0.35729212613175809</v>
      </c>
      <c r="K943">
        <f t="shared" si="259"/>
        <v>0.49407363249790742</v>
      </c>
      <c r="O943">
        <f t="shared" si="260"/>
        <v>0.30791284416615267</v>
      </c>
      <c r="P943">
        <f t="shared" si="261"/>
        <v>0.16585176120834472</v>
      </c>
      <c r="Q943">
        <f t="shared" si="262"/>
        <v>0.93684730543541661</v>
      </c>
      <c r="R943">
        <f t="shared" si="252"/>
        <v>1</v>
      </c>
      <c r="AG943" s="8">
        <f t="shared" si="255"/>
        <v>0.68683674625300062</v>
      </c>
      <c r="AH943" s="8">
        <f t="shared" si="256"/>
        <v>5.2726053891438529E-2</v>
      </c>
      <c r="AI943" s="8">
        <f t="shared" si="257"/>
        <v>0.72489671487573215</v>
      </c>
      <c r="AJ943" s="8"/>
      <c r="AK943" s="8"/>
      <c r="AL943" s="8"/>
      <c r="AN943" s="8">
        <f t="shared" si="263"/>
        <v>1.0000000000000002</v>
      </c>
      <c r="AO943" s="8">
        <f t="shared" si="264"/>
        <v>7.6616234697620494E-2</v>
      </c>
      <c r="AP943" s="8">
        <f t="shared" si="265"/>
        <v>0.75991188117384667</v>
      </c>
      <c r="AQ943" s="8"/>
      <c r="AR943" s="8">
        <f t="shared" si="266"/>
        <v>4.3897868903574313</v>
      </c>
      <c r="AS943" s="8">
        <f t="shared" si="267"/>
        <v>46.460256406891666</v>
      </c>
    </row>
    <row r="944" spans="1:45">
      <c r="A944" s="19">
        <v>35.235199999999999</v>
      </c>
      <c r="B944" s="19">
        <v>1455.6252360000001</v>
      </c>
      <c r="C944" s="19">
        <v>-273.57880569999998</v>
      </c>
      <c r="E944" s="9">
        <f t="shared" si="253"/>
        <v>495.62523600000009</v>
      </c>
      <c r="F944" s="9">
        <f t="shared" si="258"/>
        <v>266.42119430000002</v>
      </c>
      <c r="I944">
        <v>1</v>
      </c>
      <c r="J944">
        <f t="shared" si="254"/>
        <v>0.35752648841744489</v>
      </c>
      <c r="K944">
        <f t="shared" si="259"/>
        <v>0.49323108114615011</v>
      </c>
      <c r="O944">
        <f t="shared" si="260"/>
        <v>0.30824585661916515</v>
      </c>
      <c r="P944">
        <f t="shared" si="261"/>
        <v>0.16569622225310682</v>
      </c>
      <c r="Q944">
        <f t="shared" si="262"/>
        <v>0.9367653141572686</v>
      </c>
      <c r="R944">
        <f t="shared" si="252"/>
        <v>1</v>
      </c>
      <c r="AG944" s="8">
        <f t="shared" si="255"/>
        <v>0.68697861086910494</v>
      </c>
      <c r="AH944" s="8">
        <f t="shared" si="256"/>
        <v>5.3037478971426244E-2</v>
      </c>
      <c r="AI944" s="8">
        <f t="shared" si="257"/>
        <v>0.72473954910209659</v>
      </c>
      <c r="AJ944" s="8"/>
      <c r="AK944" s="8"/>
      <c r="AL944" s="8"/>
      <c r="AN944" s="8">
        <f t="shared" si="263"/>
        <v>0.99999999999999978</v>
      </c>
      <c r="AO944" s="8">
        <f t="shared" si="264"/>
        <v>7.705113023610359E-2</v>
      </c>
      <c r="AP944" s="8">
        <f t="shared" si="265"/>
        <v>0.76014000803081427</v>
      </c>
      <c r="AQ944" s="8"/>
      <c r="AR944" s="8">
        <f t="shared" si="266"/>
        <v>4.4147045692415823</v>
      </c>
      <c r="AS944" s="8">
        <f t="shared" si="267"/>
        <v>46.447185700793838</v>
      </c>
    </row>
    <row r="945" spans="1:45">
      <c r="A945" s="19">
        <v>35.268566669999998</v>
      </c>
      <c r="B945" s="19">
        <v>1456.2993220000001</v>
      </c>
      <c r="C945" s="19">
        <v>-274.01848660000002</v>
      </c>
      <c r="E945" s="9">
        <f t="shared" si="253"/>
        <v>496.29932200000007</v>
      </c>
      <c r="F945" s="9">
        <f t="shared" si="258"/>
        <v>265.98151339999998</v>
      </c>
      <c r="I945">
        <v>1</v>
      </c>
      <c r="J945">
        <f t="shared" si="254"/>
        <v>0.35775338290886199</v>
      </c>
      <c r="K945">
        <f t="shared" si="259"/>
        <v>0.49197648717169423</v>
      </c>
      <c r="O945">
        <f t="shared" si="260"/>
        <v>0.30864082654520419</v>
      </c>
      <c r="P945">
        <f t="shared" si="261"/>
        <v>0.16540976483848652</v>
      </c>
      <c r="Q945">
        <f t="shared" si="262"/>
        <v>0.93668588645584372</v>
      </c>
      <c r="R945">
        <f t="shared" si="252"/>
        <v>1</v>
      </c>
      <c r="AG945" s="8">
        <f t="shared" si="255"/>
        <v>0.68722091767538818</v>
      </c>
      <c r="AH945" s="8">
        <f t="shared" si="256"/>
        <v>5.3384610908181751E-2</v>
      </c>
      <c r="AI945" s="8">
        <f t="shared" si="257"/>
        <v>0.72448429494888245</v>
      </c>
      <c r="AJ945" s="8"/>
      <c r="AK945" s="8"/>
      <c r="AL945" s="8"/>
      <c r="AN945" s="8">
        <f t="shared" si="263"/>
        <v>0.99999999999999989</v>
      </c>
      <c r="AO945" s="8">
        <f t="shared" si="264"/>
        <v>7.7526184063649514E-2</v>
      </c>
      <c r="AP945" s="8">
        <f t="shared" si="265"/>
        <v>0.76051039403569931</v>
      </c>
      <c r="AQ945" s="8"/>
      <c r="AR945" s="8">
        <f t="shared" si="266"/>
        <v>4.4419231486014992</v>
      </c>
      <c r="AS945" s="8">
        <f t="shared" si="267"/>
        <v>46.425964145923217</v>
      </c>
    </row>
    <row r="946" spans="1:45">
      <c r="A946" s="19">
        <v>35.301933329999997</v>
      </c>
      <c r="B946" s="19">
        <v>1456.722552</v>
      </c>
      <c r="C946" s="19">
        <v>-274.42024300000003</v>
      </c>
      <c r="E946" s="9">
        <f t="shared" si="253"/>
        <v>496.72255199999995</v>
      </c>
      <c r="F946" s="9">
        <f t="shared" si="258"/>
        <v>265.57975699999997</v>
      </c>
      <c r="I946">
        <v>1</v>
      </c>
      <c r="J946">
        <f t="shared" si="254"/>
        <v>0.35786124935685315</v>
      </c>
      <c r="K946">
        <f t="shared" si="259"/>
        <v>0.49099288157312115</v>
      </c>
      <c r="O946">
        <f t="shared" si="260"/>
        <v>0.30889247438200507</v>
      </c>
      <c r="P946">
        <f t="shared" si="261"/>
        <v>0.165153742174971</v>
      </c>
      <c r="Q946">
        <f t="shared" si="262"/>
        <v>0.93664810933229647</v>
      </c>
      <c r="R946">
        <f t="shared" si="252"/>
        <v>1</v>
      </c>
      <c r="AG946" s="8">
        <f t="shared" si="255"/>
        <v>0.68742866473941655</v>
      </c>
      <c r="AH946" s="8">
        <f t="shared" si="256"/>
        <v>5.3589756616215178E-2</v>
      </c>
      <c r="AI946" s="8">
        <f t="shared" si="257"/>
        <v>0.7242720268520646</v>
      </c>
      <c r="AJ946" s="8"/>
      <c r="AK946" s="8"/>
      <c r="AL946" s="8"/>
      <c r="AN946" s="8">
        <f t="shared" si="263"/>
        <v>1</v>
      </c>
      <c r="AO946" s="8">
        <f t="shared" si="264"/>
        <v>7.7799477603654354E-2</v>
      </c>
      <c r="AP946" s="8">
        <f t="shared" si="265"/>
        <v>0.76081829543554458</v>
      </c>
      <c r="AQ946" s="8"/>
      <c r="AR946" s="8">
        <f t="shared" si="266"/>
        <v>4.4575817150119663</v>
      </c>
      <c r="AS946" s="8">
        <f t="shared" si="267"/>
        <v>46.408322695205911</v>
      </c>
    </row>
    <row r="947" spans="1:45">
      <c r="A947" s="19">
        <v>35.335299999999997</v>
      </c>
      <c r="B947" s="19">
        <v>1457.32051</v>
      </c>
      <c r="C947" s="19">
        <v>-274.5163134</v>
      </c>
      <c r="E947" s="9">
        <f t="shared" si="253"/>
        <v>497.32051000000001</v>
      </c>
      <c r="F947" s="9">
        <f t="shared" si="258"/>
        <v>265.4836866</v>
      </c>
      <c r="I947">
        <v>1</v>
      </c>
      <c r="J947">
        <f t="shared" si="254"/>
        <v>0.35814457772680286</v>
      </c>
      <c r="K947">
        <f t="shared" si="259"/>
        <v>0.49034248309514461</v>
      </c>
      <c r="O947">
        <f t="shared" si="260"/>
        <v>0.30923392218574597</v>
      </c>
      <c r="P947">
        <f t="shared" si="261"/>
        <v>0.16507777184506098</v>
      </c>
      <c r="Q947">
        <f t="shared" si="262"/>
        <v>0.93654882980669518</v>
      </c>
      <c r="R947">
        <f t="shared" si="252"/>
        <v>1</v>
      </c>
      <c r="AG947" s="8">
        <f t="shared" si="255"/>
        <v>0.6875130330577911</v>
      </c>
      <c r="AH947" s="8">
        <f t="shared" si="256"/>
        <v>5.392745330951676E-2</v>
      </c>
      <c r="AI947" s="8">
        <f t="shared" si="257"/>
        <v>0.72416687245083688</v>
      </c>
      <c r="AJ947" s="8"/>
      <c r="AK947" s="8"/>
      <c r="AL947" s="8"/>
      <c r="AN947" s="8">
        <f t="shared" si="263"/>
        <v>1</v>
      </c>
      <c r="AO947" s="8">
        <f t="shared" si="264"/>
        <v>7.8278169842867909E-2</v>
      </c>
      <c r="AP947" s="8">
        <f t="shared" si="265"/>
        <v>0.76097078824640363</v>
      </c>
      <c r="AQ947" s="8"/>
      <c r="AR947" s="8">
        <f t="shared" si="266"/>
        <v>4.48500876000457</v>
      </c>
      <c r="AS947" s="8">
        <f t="shared" si="267"/>
        <v>46.399585500737601</v>
      </c>
    </row>
    <row r="948" spans="1:45">
      <c r="A948" s="19">
        <v>35.368666670000003</v>
      </c>
      <c r="B948" s="19">
        <v>1458.02709</v>
      </c>
      <c r="C948" s="19">
        <v>-274.50807409999999</v>
      </c>
      <c r="E948" s="9">
        <f t="shared" si="253"/>
        <v>498.02709000000004</v>
      </c>
      <c r="F948" s="9">
        <f t="shared" si="258"/>
        <v>265.49192590000001</v>
      </c>
      <c r="I948">
        <v>1</v>
      </c>
      <c r="J948">
        <f t="shared" si="254"/>
        <v>0.35851312147555048</v>
      </c>
      <c r="K948">
        <f t="shared" si="259"/>
        <v>0.4897657725730245</v>
      </c>
      <c r="O948">
        <f t="shared" si="260"/>
        <v>0.30963363518753062</v>
      </c>
      <c r="P948">
        <f t="shared" si="261"/>
        <v>0.1650617642694005</v>
      </c>
      <c r="Q948">
        <f t="shared" si="262"/>
        <v>0.93641957793332586</v>
      </c>
      <c r="R948">
        <f t="shared" si="252"/>
        <v>1</v>
      </c>
      <c r="AG948" s="8">
        <f t="shared" si="255"/>
        <v>0.68755863439630083</v>
      </c>
      <c r="AH948" s="8">
        <f t="shared" si="256"/>
        <v>5.4338757005130744E-2</v>
      </c>
      <c r="AI948" s="8">
        <f t="shared" si="257"/>
        <v>0.72409282813340403</v>
      </c>
      <c r="AJ948" s="8"/>
      <c r="AK948" s="8"/>
      <c r="AL948" s="8"/>
      <c r="AN948" s="8">
        <f t="shared" si="263"/>
        <v>1.0000000000000002</v>
      </c>
      <c r="AO948" s="8">
        <f t="shared" si="264"/>
        <v>7.8867522897864015E-2</v>
      </c>
      <c r="AP948" s="8">
        <f t="shared" si="265"/>
        <v>0.76107815118604039</v>
      </c>
      <c r="AQ948" s="8"/>
      <c r="AR948" s="8">
        <f t="shared" si="266"/>
        <v>4.5187762026989882</v>
      </c>
      <c r="AS948" s="8">
        <f t="shared" si="267"/>
        <v>46.393434057420293</v>
      </c>
    </row>
    <row r="949" spans="1:45">
      <c r="A949" s="19">
        <v>35.402033330000002</v>
      </c>
      <c r="B949" s="19">
        <v>1458.380412</v>
      </c>
      <c r="C949" s="19">
        <v>-274.78275009999999</v>
      </c>
      <c r="E949" s="9">
        <f t="shared" si="253"/>
        <v>498.38041199999998</v>
      </c>
      <c r="F949" s="9">
        <f t="shared" si="258"/>
        <v>265.21724990000001</v>
      </c>
      <c r="I949">
        <v>1</v>
      </c>
      <c r="J949">
        <f t="shared" si="254"/>
        <v>0.35862045360208389</v>
      </c>
      <c r="K949">
        <f t="shared" si="259"/>
        <v>0.48904202579635442</v>
      </c>
      <c r="O949">
        <f t="shared" si="260"/>
        <v>0.30984174191790309</v>
      </c>
      <c r="P949">
        <f t="shared" si="261"/>
        <v>0.16488484040920093</v>
      </c>
      <c r="Q949">
        <f t="shared" si="262"/>
        <v>0.93638191159831352</v>
      </c>
      <c r="R949">
        <f t="shared" si="252"/>
        <v>1</v>
      </c>
      <c r="AG949" s="8">
        <f t="shared" si="255"/>
        <v>0.68770491483407004</v>
      </c>
      <c r="AH949" s="8">
        <f t="shared" si="256"/>
        <v>5.4516092967839269E-2</v>
      </c>
      <c r="AI949" s="8">
        <f t="shared" si="257"/>
        <v>0.72394056780966931</v>
      </c>
      <c r="AJ949" s="8"/>
      <c r="AK949" s="8"/>
      <c r="AL949" s="8"/>
      <c r="AN949" s="8">
        <f t="shared" si="263"/>
        <v>1</v>
      </c>
      <c r="AO949" s="8">
        <f t="shared" si="264"/>
        <v>7.9107077802426609E-2</v>
      </c>
      <c r="AP949" s="8">
        <f t="shared" si="265"/>
        <v>0.76129888792155531</v>
      </c>
      <c r="AQ949" s="8"/>
      <c r="AR949" s="8">
        <f t="shared" si="266"/>
        <v>4.5325016876920836</v>
      </c>
      <c r="AS949" s="8">
        <f t="shared" si="267"/>
        <v>46.380786774091796</v>
      </c>
    </row>
    <row r="950" spans="1:45">
      <c r="A950" s="19">
        <v>35.435400000000001</v>
      </c>
      <c r="B950" s="19">
        <v>1459.063885</v>
      </c>
      <c r="C950" s="19">
        <v>-275.16834069999999</v>
      </c>
      <c r="E950" s="9">
        <f t="shared" si="253"/>
        <v>499.06388500000003</v>
      </c>
      <c r="F950" s="9">
        <f t="shared" si="258"/>
        <v>264.83165930000001</v>
      </c>
      <c r="I950">
        <v>1</v>
      </c>
      <c r="J950">
        <f t="shared" si="254"/>
        <v>0.35886866208805707</v>
      </c>
      <c r="K950">
        <f t="shared" si="259"/>
        <v>0.48787122820255713</v>
      </c>
      <c r="O950">
        <f t="shared" si="260"/>
        <v>0.31023986910211715</v>
      </c>
      <c r="P950">
        <f t="shared" si="261"/>
        <v>0.16463090555095664</v>
      </c>
      <c r="Q950">
        <f t="shared" si="262"/>
        <v>0.93629476584939486</v>
      </c>
      <c r="R950">
        <f t="shared" si="252"/>
        <v>1</v>
      </c>
      <c r="AG950" s="8">
        <f t="shared" si="255"/>
        <v>0.68792314906101226</v>
      </c>
      <c r="AH950" s="8">
        <f t="shared" si="256"/>
        <v>5.487387371793756E-2</v>
      </c>
      <c r="AI950" s="8">
        <f t="shared" si="257"/>
        <v>0.72370615512731973</v>
      </c>
      <c r="AJ950" s="8"/>
      <c r="AK950" s="8"/>
      <c r="AL950" s="8"/>
      <c r="AN950" s="8">
        <f t="shared" si="263"/>
        <v>1</v>
      </c>
      <c r="AO950" s="8">
        <f t="shared" si="264"/>
        <v>7.9598907875374533E-2</v>
      </c>
      <c r="AP950" s="8">
        <f t="shared" si="265"/>
        <v>0.76163862368187984</v>
      </c>
      <c r="AQ950" s="8"/>
      <c r="AR950" s="8">
        <f t="shared" si="266"/>
        <v>4.560681475109611</v>
      </c>
      <c r="AS950" s="8">
        <f t="shared" si="267"/>
        <v>46.361321348875535</v>
      </c>
    </row>
    <row r="951" spans="1:45">
      <c r="A951" s="19">
        <v>35.468766670000001</v>
      </c>
      <c r="B951" s="19">
        <v>1459.59241</v>
      </c>
      <c r="C951" s="19">
        <v>-275.42475999999999</v>
      </c>
      <c r="E951" s="9">
        <f t="shared" si="253"/>
        <v>499.59240999999997</v>
      </c>
      <c r="F951" s="9">
        <f t="shared" si="258"/>
        <v>264.57524000000001</v>
      </c>
      <c r="I951">
        <v>1</v>
      </c>
      <c r="J951">
        <f t="shared" si="254"/>
        <v>0.35907235495751827</v>
      </c>
      <c r="K951">
        <f t="shared" si="259"/>
        <v>0.48703233434618914</v>
      </c>
      <c r="O951">
        <f t="shared" si="260"/>
        <v>0.31054640245559312</v>
      </c>
      <c r="P951">
        <f t="shared" si="261"/>
        <v>0.16445984229589306</v>
      </c>
      <c r="Q951">
        <f t="shared" si="262"/>
        <v>0.93622320639572842</v>
      </c>
      <c r="R951">
        <f t="shared" si="252"/>
        <v>1</v>
      </c>
      <c r="AG951" s="8">
        <f t="shared" si="255"/>
        <v>0.68807328270075818</v>
      </c>
      <c r="AH951" s="8">
        <f t="shared" si="256"/>
        <v>5.5154727783946922E-2</v>
      </c>
      <c r="AI951" s="8">
        <f t="shared" si="257"/>
        <v>0.72354206072382632</v>
      </c>
      <c r="AJ951" s="8"/>
      <c r="AK951" s="8"/>
      <c r="AL951" s="8"/>
      <c r="AN951" s="8">
        <f t="shared" si="263"/>
        <v>0.99999999999999989</v>
      </c>
      <c r="AO951" s="8">
        <f t="shared" si="264"/>
        <v>7.9987194984764684E-2</v>
      </c>
      <c r="AP951" s="8">
        <f t="shared" si="265"/>
        <v>0.76187637471637393</v>
      </c>
      <c r="AQ951" s="8"/>
      <c r="AR951" s="8">
        <f t="shared" si="266"/>
        <v>4.5829286877170015</v>
      </c>
      <c r="AS951" s="8">
        <f t="shared" si="267"/>
        <v>46.347699218024154</v>
      </c>
    </row>
    <row r="952" spans="1:45">
      <c r="A952" s="19">
        <v>35.502133329999999</v>
      </c>
      <c r="B952" s="19">
        <v>1460.304707</v>
      </c>
      <c r="C952" s="19">
        <v>-275.68948039999998</v>
      </c>
      <c r="E952" s="9">
        <f t="shared" si="253"/>
        <v>500.30470700000001</v>
      </c>
      <c r="F952" s="9">
        <f t="shared" si="258"/>
        <v>264.31051960000002</v>
      </c>
      <c r="I952">
        <v>1</v>
      </c>
      <c r="J952">
        <f t="shared" si="254"/>
        <v>0.35936936598142744</v>
      </c>
      <c r="K952">
        <f t="shared" si="259"/>
        <v>0.48602973995007065</v>
      </c>
      <c r="O952">
        <f t="shared" si="260"/>
        <v>0.31095698586837589</v>
      </c>
      <c r="P952">
        <f t="shared" si="261"/>
        <v>0.16427829152548887</v>
      </c>
      <c r="Q952">
        <f t="shared" si="262"/>
        <v>0.93611879367584605</v>
      </c>
      <c r="R952">
        <f t="shared" si="252"/>
        <v>1</v>
      </c>
      <c r="AG952" s="8">
        <f t="shared" si="255"/>
        <v>0.68823964814575511</v>
      </c>
      <c r="AH952" s="8">
        <f t="shared" si="256"/>
        <v>5.5541359553020864E-2</v>
      </c>
      <c r="AI952" s="8">
        <f t="shared" si="257"/>
        <v>0.7233542314103163</v>
      </c>
      <c r="AJ952" s="8"/>
      <c r="AK952" s="8"/>
      <c r="AL952" s="8"/>
      <c r="AN952" s="8">
        <f t="shared" si="263"/>
        <v>1.0000000000000002</v>
      </c>
      <c r="AO952" s="8">
        <f t="shared" si="264"/>
        <v>8.0526101617305501E-2</v>
      </c>
      <c r="AP952" s="8">
        <f t="shared" si="265"/>
        <v>0.76214844178620189</v>
      </c>
      <c r="AQ952" s="8"/>
      <c r="AR952" s="8">
        <f t="shared" si="266"/>
        <v>4.6138057633131977</v>
      </c>
      <c r="AS952" s="8">
        <f t="shared" si="267"/>
        <v>46.332110923178519</v>
      </c>
    </row>
    <row r="953" spans="1:45">
      <c r="A953" s="19">
        <v>35.535499999999999</v>
      </c>
      <c r="B953" s="19">
        <v>1459.864865</v>
      </c>
      <c r="C953" s="19">
        <v>-277.01663200000002</v>
      </c>
      <c r="E953" s="9">
        <f t="shared" si="253"/>
        <v>499.86486500000001</v>
      </c>
      <c r="F953" s="9">
        <f t="shared" si="258"/>
        <v>262.98336799999998</v>
      </c>
      <c r="I953">
        <v>1</v>
      </c>
      <c r="J953">
        <f t="shared" si="254"/>
        <v>0.35877746707201474</v>
      </c>
      <c r="K953">
        <f t="shared" si="259"/>
        <v>0.48431592566675141</v>
      </c>
      <c r="O953">
        <f t="shared" si="260"/>
        <v>0.31074765295914653</v>
      </c>
      <c r="P953">
        <f t="shared" si="261"/>
        <v>0.16348711440899438</v>
      </c>
      <c r="Q953">
        <f t="shared" si="262"/>
        <v>0.93632679103110272</v>
      </c>
      <c r="R953">
        <f t="shared" si="252"/>
        <v>1</v>
      </c>
      <c r="AG953" s="8">
        <f t="shared" si="255"/>
        <v>0.68879677270498896</v>
      </c>
      <c r="AH953" s="8">
        <f t="shared" si="256"/>
        <v>5.5151460109937323E-2</v>
      </c>
      <c r="AI953" s="8">
        <f t="shared" si="257"/>
        <v>0.72285359676696204</v>
      </c>
      <c r="AJ953" s="8"/>
      <c r="AK953" s="8"/>
      <c r="AL953" s="8"/>
      <c r="AN953" s="8">
        <f t="shared" si="263"/>
        <v>1</v>
      </c>
      <c r="AO953" s="8">
        <f t="shared" si="264"/>
        <v>7.9898822529226643E-2</v>
      </c>
      <c r="AP953" s="8">
        <f t="shared" si="265"/>
        <v>0.76287322278123937</v>
      </c>
      <c r="AQ953" s="8"/>
      <c r="AR953" s="8">
        <f t="shared" si="266"/>
        <v>4.5778653189894642</v>
      </c>
      <c r="AS953" s="8">
        <f t="shared" si="267"/>
        <v>46.290584031091576</v>
      </c>
    </row>
    <row r="954" spans="1:45">
      <c r="A954" s="19">
        <v>35.568866669999998</v>
      </c>
      <c r="B954" s="19">
        <v>1460.426195</v>
      </c>
      <c r="C954" s="19">
        <v>-276.73596670000001</v>
      </c>
      <c r="E954" s="9">
        <f t="shared" si="253"/>
        <v>500.42619500000001</v>
      </c>
      <c r="F954" s="9">
        <f t="shared" si="258"/>
        <v>263.26403329999999</v>
      </c>
      <c r="I954">
        <v>1</v>
      </c>
      <c r="J954">
        <f t="shared" si="254"/>
        <v>0.35914593245341841</v>
      </c>
      <c r="K954">
        <f t="shared" si="259"/>
        <v>0.48429298828075501</v>
      </c>
      <c r="O954">
        <f t="shared" si="260"/>
        <v>0.31105671178818844</v>
      </c>
      <c r="P954">
        <f t="shared" si="261"/>
        <v>0.16364060344681625</v>
      </c>
      <c r="Q954">
        <f t="shared" si="262"/>
        <v>0.93619734829526291</v>
      </c>
      <c r="R954">
        <f t="shared" si="252"/>
        <v>1</v>
      </c>
      <c r="AG954" s="8">
        <f t="shared" si="255"/>
        <v>0.68871121220441567</v>
      </c>
      <c r="AH954" s="8">
        <f t="shared" si="256"/>
        <v>5.5505792727971348E-2</v>
      </c>
      <c r="AI954" s="8">
        <f t="shared" si="257"/>
        <v>0.72290799771310033</v>
      </c>
      <c r="AJ954" s="8"/>
      <c r="AK954" s="8"/>
      <c r="AL954" s="8"/>
      <c r="AN954" s="8">
        <f t="shared" si="263"/>
        <v>1</v>
      </c>
      <c r="AO954" s="8">
        <f t="shared" si="264"/>
        <v>8.0419893691353217E-2</v>
      </c>
      <c r="AP954" s="8">
        <f t="shared" si="265"/>
        <v>0.76279449182472958</v>
      </c>
      <c r="AQ954" s="8"/>
      <c r="AR954" s="8">
        <f t="shared" si="266"/>
        <v>4.6077204974052943</v>
      </c>
      <c r="AS954" s="8">
        <f t="shared" si="267"/>
        <v>46.295094982616618</v>
      </c>
    </row>
    <row r="955" spans="1:45">
      <c r="A955" s="19">
        <v>35.602233329999997</v>
      </c>
      <c r="B955" s="19">
        <v>1461.2681909999999</v>
      </c>
      <c r="C955" s="19">
        <v>-276.45530150000002</v>
      </c>
      <c r="E955" s="9">
        <f t="shared" si="253"/>
        <v>501.26819099999989</v>
      </c>
      <c r="F955" s="9">
        <f t="shared" si="258"/>
        <v>263.54469849999998</v>
      </c>
      <c r="I955">
        <v>1</v>
      </c>
      <c r="J955">
        <f t="shared" si="254"/>
        <v>0.35966010934241821</v>
      </c>
      <c r="K955">
        <f t="shared" si="259"/>
        <v>0.48403937321897939</v>
      </c>
      <c r="O955">
        <f t="shared" si="260"/>
        <v>0.31152423465022344</v>
      </c>
      <c r="P955">
        <f t="shared" si="261"/>
        <v>0.16378569789667025</v>
      </c>
      <c r="Q955">
        <f t="shared" si="262"/>
        <v>0.93601650433637829</v>
      </c>
      <c r="R955">
        <f t="shared" si="252"/>
        <v>1</v>
      </c>
      <c r="AG955" s="8">
        <f t="shared" si="255"/>
        <v>0.68864483854806935</v>
      </c>
      <c r="AH955" s="8">
        <f t="shared" si="256"/>
        <v>5.6022884815520646E-2</v>
      </c>
      <c r="AI955" s="8">
        <f t="shared" si="257"/>
        <v>0.7229313402516524</v>
      </c>
      <c r="AJ955" s="8"/>
      <c r="AK955" s="8"/>
      <c r="AL955" s="8"/>
      <c r="AN955" s="8">
        <f t="shared" si="263"/>
        <v>1</v>
      </c>
      <c r="AO955" s="8">
        <f t="shared" si="264"/>
        <v>8.1173603282376897E-2</v>
      </c>
      <c r="AP955" s="8">
        <f t="shared" si="265"/>
        <v>0.76276070769613846</v>
      </c>
      <c r="AQ955" s="8"/>
      <c r="AR955" s="8">
        <f t="shared" si="266"/>
        <v>4.6509048759494824</v>
      </c>
      <c r="AS955" s="8">
        <f t="shared" si="267"/>
        <v>46.297030670599419</v>
      </c>
    </row>
    <row r="956" spans="1:45">
      <c r="A956" s="19">
        <v>35.635599999999997</v>
      </c>
      <c r="B956" s="19">
        <v>1462.4341669999999</v>
      </c>
      <c r="C956" s="19">
        <v>-276.81174279999999</v>
      </c>
      <c r="E956" s="9">
        <f t="shared" si="253"/>
        <v>502.43416699999989</v>
      </c>
      <c r="F956" s="9">
        <f t="shared" si="258"/>
        <v>263.18825720000001</v>
      </c>
      <c r="I956">
        <v>1</v>
      </c>
      <c r="J956">
        <f t="shared" si="254"/>
        <v>0.36016878267731195</v>
      </c>
      <c r="K956">
        <f t="shared" si="259"/>
        <v>0.48252650056411828</v>
      </c>
      <c r="O956">
        <f t="shared" si="260"/>
        <v>0.31219338967231969</v>
      </c>
      <c r="P956">
        <f t="shared" si="261"/>
        <v>0.1635351246668269</v>
      </c>
      <c r="Q956">
        <f t="shared" si="262"/>
        <v>0.93583735255925349</v>
      </c>
      <c r="R956">
        <f t="shared" si="252"/>
        <v>1</v>
      </c>
      <c r="AG956" s="8">
        <f t="shared" si="255"/>
        <v>0.68888229385935973</v>
      </c>
      <c r="AH956" s="8">
        <f t="shared" si="256"/>
        <v>5.6663186080007755E-2</v>
      </c>
      <c r="AI956" s="8">
        <f t="shared" si="257"/>
        <v>0.72265515188804208</v>
      </c>
      <c r="AJ956" s="8"/>
      <c r="AK956" s="8"/>
      <c r="AL956" s="8"/>
      <c r="AN956" s="8">
        <f t="shared" si="263"/>
        <v>1</v>
      </c>
      <c r="AO956" s="8">
        <f t="shared" si="264"/>
        <v>8.2069047739723677E-2</v>
      </c>
      <c r="AP956" s="8">
        <f t="shared" si="265"/>
        <v>0.7631603642188165</v>
      </c>
      <c r="AQ956" s="8"/>
      <c r="AR956" s="8">
        <f t="shared" si="266"/>
        <v>4.7022100641438351</v>
      </c>
      <c r="AS956" s="8">
        <f t="shared" si="267"/>
        <v>46.274132038595091</v>
      </c>
    </row>
    <row r="957" spans="1:45">
      <c r="A957" s="19">
        <v>35.668966670000003</v>
      </c>
      <c r="B957" s="19">
        <v>1463.1121869999999</v>
      </c>
      <c r="C957" s="19">
        <v>-276.91112559999999</v>
      </c>
      <c r="E957" s="9">
        <f t="shared" si="253"/>
        <v>503.11218699999995</v>
      </c>
      <c r="F957" s="9">
        <f t="shared" si="258"/>
        <v>263.08887440000001</v>
      </c>
      <c r="I957">
        <v>1</v>
      </c>
      <c r="J957">
        <f t="shared" si="254"/>
        <v>0.36049416334796169</v>
      </c>
      <c r="K957">
        <f t="shared" si="259"/>
        <v>0.48181729524984468</v>
      </c>
      <c r="O957">
        <f t="shared" si="260"/>
        <v>0.31257911156756663</v>
      </c>
      <c r="P957">
        <f t="shared" si="261"/>
        <v>0.16345476962827601</v>
      </c>
      <c r="Q957">
        <f t="shared" si="262"/>
        <v>0.93572262839871412</v>
      </c>
      <c r="R957">
        <f t="shared" si="252"/>
        <v>1</v>
      </c>
      <c r="AG957" s="8">
        <f t="shared" si="255"/>
        <v>0.68897245025942144</v>
      </c>
      <c r="AH957" s="8">
        <f t="shared" si="256"/>
        <v>5.704632094623624E-2</v>
      </c>
      <c r="AI957" s="8">
        <f t="shared" si="257"/>
        <v>0.72253905088239212</v>
      </c>
      <c r="AJ957" s="8"/>
      <c r="AK957" s="8"/>
      <c r="AL957" s="8"/>
      <c r="AN957" s="8">
        <f t="shared" si="263"/>
        <v>0.99999999999999989</v>
      </c>
      <c r="AO957" s="8">
        <f t="shared" si="264"/>
        <v>8.261069143077282E-2</v>
      </c>
      <c r="AP957" s="8">
        <f t="shared" si="265"/>
        <v>0.76332831755319341</v>
      </c>
      <c r="AQ957" s="8"/>
      <c r="AR957" s="8">
        <f t="shared" si="266"/>
        <v>4.7332439616408388</v>
      </c>
      <c r="AS957" s="8">
        <f t="shared" si="267"/>
        <v>46.264509021380142</v>
      </c>
    </row>
    <row r="958" spans="1:45">
      <c r="A958" s="19">
        <v>35.702333330000002</v>
      </c>
      <c r="B958" s="19">
        <v>1463.442945</v>
      </c>
      <c r="C958" s="19">
        <v>-276.98403860000002</v>
      </c>
      <c r="E958" s="9">
        <f t="shared" si="253"/>
        <v>503.44294500000001</v>
      </c>
      <c r="F958" s="9">
        <f t="shared" si="258"/>
        <v>263.01596139999998</v>
      </c>
      <c r="I958">
        <v>1</v>
      </c>
      <c r="J958">
        <f t="shared" si="254"/>
        <v>0.36064629085309474</v>
      </c>
      <c r="K958">
        <f t="shared" si="259"/>
        <v>0.48143370463749752</v>
      </c>
      <c r="O958">
        <f t="shared" si="260"/>
        <v>0.31276795326598755</v>
      </c>
      <c r="P958">
        <f t="shared" si="261"/>
        <v>0.16340076813145923</v>
      </c>
      <c r="Q958">
        <f t="shared" si="262"/>
        <v>0.93566895662079874</v>
      </c>
      <c r="R958">
        <f t="shared" si="252"/>
        <v>1</v>
      </c>
      <c r="AG958" s="8">
        <f t="shared" si="255"/>
        <v>0.68902718575512212</v>
      </c>
      <c r="AH958" s="8">
        <f t="shared" si="256"/>
        <v>5.7230718509781564E-2</v>
      </c>
      <c r="AI958" s="8">
        <f t="shared" si="257"/>
        <v>0.72247227085143595</v>
      </c>
      <c r="AJ958" s="8"/>
      <c r="AK958" s="8"/>
      <c r="AL958" s="8"/>
      <c r="AN958" s="8">
        <f t="shared" si="263"/>
        <v>1</v>
      </c>
      <c r="AO958" s="8">
        <f t="shared" si="264"/>
        <v>8.2869951108481263E-2</v>
      </c>
      <c r="AP958" s="8">
        <f t="shared" si="265"/>
        <v>0.76342490912290406</v>
      </c>
      <c r="AQ958" s="8"/>
      <c r="AR958" s="8">
        <f t="shared" si="266"/>
        <v>4.7480984469714542</v>
      </c>
      <c r="AS958" s="8">
        <f t="shared" si="267"/>
        <v>46.258974732099176</v>
      </c>
    </row>
    <row r="959" spans="1:45">
      <c r="A959" s="19">
        <v>35.735700000000001</v>
      </c>
      <c r="B959" s="19">
        <v>1464.0337529999999</v>
      </c>
      <c r="C959" s="19">
        <v>-277.67946719999998</v>
      </c>
      <c r="E959" s="9">
        <f t="shared" si="253"/>
        <v>504.03375299999993</v>
      </c>
      <c r="F959" s="9">
        <f t="shared" si="258"/>
        <v>262.32053280000002</v>
      </c>
      <c r="I959">
        <v>1</v>
      </c>
      <c r="J959">
        <f t="shared" si="254"/>
        <v>0.36076495729558905</v>
      </c>
      <c r="K959">
        <f t="shared" si="259"/>
        <v>0.47986746056616753</v>
      </c>
      <c r="O959">
        <f t="shared" si="260"/>
        <v>0.31312198487707654</v>
      </c>
      <c r="P959">
        <f t="shared" si="261"/>
        <v>0.16296195525688986</v>
      </c>
      <c r="Q959">
        <f t="shared" si="262"/>
        <v>0.93562707513490184</v>
      </c>
      <c r="R959">
        <f t="shared" si="252"/>
        <v>1</v>
      </c>
      <c r="AG959" s="8">
        <f t="shared" si="255"/>
        <v>0.68937473735533705</v>
      </c>
      <c r="AH959" s="8">
        <f t="shared" si="256"/>
        <v>5.7502887531383606E-2</v>
      </c>
      <c r="AI959" s="8">
        <f t="shared" si="257"/>
        <v>0.72211902718444776</v>
      </c>
      <c r="AJ959" s="8"/>
      <c r="AK959" s="8"/>
      <c r="AL959" s="8"/>
      <c r="AN959" s="8">
        <f t="shared" si="263"/>
        <v>1</v>
      </c>
      <c r="AO959" s="8">
        <f t="shared" si="264"/>
        <v>8.3220453141840553E-2</v>
      </c>
      <c r="AP959" s="8">
        <f t="shared" si="265"/>
        <v>0.76393568362643693</v>
      </c>
      <c r="AQ959" s="8"/>
      <c r="AR959" s="8">
        <f t="shared" si="266"/>
        <v>4.7681807341936953</v>
      </c>
      <c r="AS959" s="8">
        <f t="shared" si="267"/>
        <v>46.229709508763854</v>
      </c>
    </row>
    <row r="960" spans="1:45">
      <c r="A960" s="19">
        <v>35.769066670000001</v>
      </c>
      <c r="B960" s="19">
        <v>1464.8492329999999</v>
      </c>
      <c r="C960" s="19">
        <v>-278.3342207</v>
      </c>
      <c r="E960" s="9">
        <f t="shared" si="253"/>
        <v>504.84923299999991</v>
      </c>
      <c r="F960" s="9">
        <f t="shared" si="258"/>
        <v>261.6657793</v>
      </c>
      <c r="I960">
        <v>1</v>
      </c>
      <c r="J960">
        <f t="shared" si="254"/>
        <v>0.36101237244678097</v>
      </c>
      <c r="K960">
        <f t="shared" si="259"/>
        <v>0.47818398112273131</v>
      </c>
      <c r="O960">
        <f t="shared" si="260"/>
        <v>0.31360139729187381</v>
      </c>
      <c r="P960">
        <f t="shared" si="261"/>
        <v>0.16254110860845278</v>
      </c>
      <c r="Q960">
        <f t="shared" si="262"/>
        <v>0.93553971141203807</v>
      </c>
      <c r="R960">
        <f t="shared" si="252"/>
        <v>1</v>
      </c>
      <c r="AG960" s="8">
        <f t="shared" si="255"/>
        <v>0.68971922687308251</v>
      </c>
      <c r="AH960" s="8">
        <f t="shared" si="256"/>
        <v>5.7909346725877608E-2</v>
      </c>
      <c r="AI960" s="8">
        <f t="shared" si="257"/>
        <v>0.72175750473644507</v>
      </c>
      <c r="AJ960" s="8"/>
      <c r="AK960" s="8"/>
      <c r="AL960" s="8"/>
      <c r="AN960" s="8">
        <f t="shared" si="263"/>
        <v>1.0000000000000002</v>
      </c>
      <c r="AO960" s="8">
        <f t="shared" si="264"/>
        <v>8.376429364378167E-2</v>
      </c>
      <c r="AP960" s="8">
        <f t="shared" si="265"/>
        <v>0.76445814704546433</v>
      </c>
      <c r="AQ960" s="8"/>
      <c r="AR960" s="8">
        <f t="shared" si="266"/>
        <v>4.7993404996831979</v>
      </c>
      <c r="AS960" s="8">
        <f t="shared" si="267"/>
        <v>46.199774559903609</v>
      </c>
    </row>
    <row r="961" spans="1:45">
      <c r="A961" s="19">
        <v>35.80243333</v>
      </c>
      <c r="B961" s="19">
        <v>1465.3624380000001</v>
      </c>
      <c r="C961" s="19">
        <v>-278.54901990000002</v>
      </c>
      <c r="E961" s="9">
        <f t="shared" si="253"/>
        <v>505.36243800000011</v>
      </c>
      <c r="F961" s="9">
        <f t="shared" si="258"/>
        <v>261.45098009999998</v>
      </c>
      <c r="I961">
        <v>1</v>
      </c>
      <c r="J961">
        <f t="shared" si="254"/>
        <v>0.36122166398979511</v>
      </c>
      <c r="K961">
        <f t="shared" si="259"/>
        <v>0.47743376201277726</v>
      </c>
      <c r="O961">
        <f t="shared" si="260"/>
        <v>0.31389714915400063</v>
      </c>
      <c r="P961">
        <f t="shared" si="261"/>
        <v>0.16239576020271873</v>
      </c>
      <c r="Q961">
        <f t="shared" si="262"/>
        <v>0.93546576464410081</v>
      </c>
      <c r="R961">
        <f t="shared" si="252"/>
        <v>1</v>
      </c>
      <c r="AG961" s="8">
        <f t="shared" si="255"/>
        <v>0.68984870700511058</v>
      </c>
      <c r="AH961" s="8">
        <f t="shared" si="256"/>
        <v>5.8185032252078661E-2</v>
      </c>
      <c r="AI961" s="8">
        <f t="shared" si="257"/>
        <v>0.72161157381599805</v>
      </c>
      <c r="AJ961" s="8"/>
      <c r="AK961" s="8"/>
      <c r="AL961" s="8"/>
      <c r="AN961" s="8">
        <f t="shared" si="263"/>
        <v>1</v>
      </c>
      <c r="AO961" s="8">
        <f t="shared" si="264"/>
        <v>8.4145467268027324E-2</v>
      </c>
      <c r="AP961" s="8">
        <f t="shared" si="265"/>
        <v>0.76466896222041292</v>
      </c>
      <c r="AQ961" s="8"/>
      <c r="AR961" s="8">
        <f t="shared" si="266"/>
        <v>4.8211801396141789</v>
      </c>
      <c r="AS961" s="8">
        <f t="shared" si="267"/>
        <v>46.187695740121747</v>
      </c>
    </row>
    <row r="962" spans="1:45">
      <c r="A962" s="19">
        <v>35.835799999999999</v>
      </c>
      <c r="B962" s="19">
        <v>1465.890907</v>
      </c>
      <c r="C962" s="19">
        <v>-278.64719919999999</v>
      </c>
      <c r="E962" s="9">
        <f t="shared" si="253"/>
        <v>505.89090699999997</v>
      </c>
      <c r="F962" s="9">
        <f t="shared" si="258"/>
        <v>261.35280080000001</v>
      </c>
      <c r="I962">
        <v>1</v>
      </c>
      <c r="J962">
        <f t="shared" si="254"/>
        <v>0.36147043204057749</v>
      </c>
      <c r="K962">
        <f t="shared" si="259"/>
        <v>0.47685415984480128</v>
      </c>
      <c r="O962">
        <f t="shared" si="260"/>
        <v>0.31419796481015366</v>
      </c>
      <c r="P962">
        <f t="shared" si="261"/>
        <v>0.16232060504063084</v>
      </c>
      <c r="Q962">
        <f t="shared" si="262"/>
        <v>0.93537781676090703</v>
      </c>
      <c r="R962">
        <f t="shared" si="252"/>
        <v>1</v>
      </c>
      <c r="AG962" s="8">
        <f t="shared" si="255"/>
        <v>0.68992760332653114</v>
      </c>
      <c r="AH962" s="8">
        <f t="shared" si="256"/>
        <v>5.8481294666788142E-2</v>
      </c>
      <c r="AI962" s="8">
        <f t="shared" si="257"/>
        <v>0.7215121900163608</v>
      </c>
      <c r="AJ962" s="8"/>
      <c r="AK962" s="8"/>
      <c r="AL962" s="8"/>
      <c r="AN962" s="8">
        <f t="shared" si="263"/>
        <v>1.0000000000000002</v>
      </c>
      <c r="AO962" s="8">
        <f t="shared" si="264"/>
        <v>8.4562253152133948E-2</v>
      </c>
      <c r="AP962" s="8">
        <f t="shared" si="265"/>
        <v>0.76481250783673105</v>
      </c>
      <c r="AQ962" s="8"/>
      <c r="AR962" s="8">
        <f t="shared" si="266"/>
        <v>4.8450602117341175</v>
      </c>
      <c r="AS962" s="8">
        <f t="shared" si="267"/>
        <v>46.17947118213911</v>
      </c>
    </row>
    <row r="963" spans="1:45">
      <c r="A963" s="19">
        <v>35.869166669999998</v>
      </c>
      <c r="B963" s="19">
        <v>1466.3748210000001</v>
      </c>
      <c r="C963" s="19">
        <v>-278.6665519</v>
      </c>
      <c r="E963" s="9">
        <f t="shared" si="253"/>
        <v>506.37482100000011</v>
      </c>
      <c r="F963" s="9">
        <f t="shared" si="258"/>
        <v>261.3334481</v>
      </c>
      <c r="I963">
        <v>1</v>
      </c>
      <c r="J963">
        <f t="shared" si="254"/>
        <v>0.36171724532625876</v>
      </c>
      <c r="K963">
        <f t="shared" si="259"/>
        <v>0.47643420621313243</v>
      </c>
      <c r="O963">
        <f t="shared" si="260"/>
        <v>0.31447124840028062</v>
      </c>
      <c r="P963">
        <f t="shared" si="261"/>
        <v>0.16229451438849671</v>
      </c>
      <c r="Q963">
        <f t="shared" si="262"/>
        <v>0.93529050274712566</v>
      </c>
      <c r="R963">
        <f t="shared" si="252"/>
        <v>1</v>
      </c>
      <c r="AG963" s="8">
        <f t="shared" si="255"/>
        <v>0.68996861464131731</v>
      </c>
      <c r="AH963" s="8">
        <f t="shared" si="256"/>
        <v>5.8759652042764843E-2</v>
      </c>
      <c r="AI963" s="8">
        <f t="shared" si="257"/>
        <v>0.72145035456485485</v>
      </c>
      <c r="AJ963" s="8"/>
      <c r="AK963" s="8"/>
      <c r="AL963" s="8"/>
      <c r="AN963" s="8">
        <f t="shared" si="263"/>
        <v>1.0000000000000002</v>
      </c>
      <c r="AO963" s="8">
        <f t="shared" si="264"/>
        <v>8.4957794303485892E-2</v>
      </c>
      <c r="AP963" s="8">
        <f t="shared" si="265"/>
        <v>0.7649018094252541</v>
      </c>
      <c r="AQ963" s="8"/>
      <c r="AR963" s="8">
        <f t="shared" si="266"/>
        <v>4.867723050330329</v>
      </c>
      <c r="AS963" s="8">
        <f t="shared" si="267"/>
        <v>46.174354578012924</v>
      </c>
    </row>
    <row r="964" spans="1:45">
      <c r="A964" s="19">
        <v>35.902533329999997</v>
      </c>
      <c r="B964" s="19">
        <v>1467.3489649999999</v>
      </c>
      <c r="C964" s="19">
        <v>-279.37075140000002</v>
      </c>
      <c r="E964" s="9">
        <f t="shared" si="253"/>
        <v>507.34896499999991</v>
      </c>
      <c r="F964" s="9">
        <f t="shared" si="258"/>
        <v>260.62924859999998</v>
      </c>
      <c r="I964">
        <v>1</v>
      </c>
      <c r="J964">
        <f t="shared" si="254"/>
        <v>0.362035859612716</v>
      </c>
      <c r="K964">
        <f t="shared" si="259"/>
        <v>0.4745538148260573</v>
      </c>
      <c r="O964">
        <f t="shared" si="260"/>
        <v>0.31504092075166501</v>
      </c>
      <c r="P964">
        <f t="shared" si="261"/>
        <v>0.16183905776521806</v>
      </c>
      <c r="Q964">
        <f t="shared" si="262"/>
        <v>0.93517770377271592</v>
      </c>
      <c r="R964">
        <f t="shared" si="252"/>
        <v>1</v>
      </c>
      <c r="AG964" s="8">
        <f t="shared" si="255"/>
        <v>0.6903446895855101</v>
      </c>
      <c r="AH964" s="8">
        <f t="shared" si="256"/>
        <v>5.9252703030045262E-2</v>
      </c>
      <c r="AI964" s="8">
        <f t="shared" si="257"/>
        <v>0.72105015549871365</v>
      </c>
      <c r="AJ964" s="8"/>
      <c r="AK964" s="8"/>
      <c r="AL964" s="8"/>
      <c r="AN964" s="8">
        <f t="shared" si="263"/>
        <v>1.0000000000000002</v>
      </c>
      <c r="AO964" s="8">
        <f t="shared" si="264"/>
        <v>8.5620764418061338E-2</v>
      </c>
      <c r="AP964" s="8">
        <f t="shared" si="265"/>
        <v>0.76547956859688093</v>
      </c>
      <c r="AQ964" s="8"/>
      <c r="AR964" s="8">
        <f t="shared" si="266"/>
        <v>4.9057084398388069</v>
      </c>
      <c r="AS964" s="8">
        <f t="shared" si="267"/>
        <v>46.141251415903731</v>
      </c>
    </row>
    <row r="965" spans="1:45">
      <c r="A965" s="19">
        <v>35.935899999999997</v>
      </c>
      <c r="B965" s="19">
        <v>1467.688735</v>
      </c>
      <c r="C965" s="19">
        <v>-279.55374569999998</v>
      </c>
      <c r="E965" s="9">
        <f t="shared" si="253"/>
        <v>507.68873499999995</v>
      </c>
      <c r="F965" s="9">
        <f t="shared" si="258"/>
        <v>260.44625430000002</v>
      </c>
      <c r="I965">
        <v>1</v>
      </c>
      <c r="J965">
        <f t="shared" si="254"/>
        <v>0.36216399362863072</v>
      </c>
      <c r="K965">
        <f t="shared" si="259"/>
        <v>0.47399645420301934</v>
      </c>
      <c r="O965">
        <f t="shared" si="260"/>
        <v>0.31523768912132261</v>
      </c>
      <c r="P965">
        <f t="shared" si="261"/>
        <v>0.16171813492343168</v>
      </c>
      <c r="Q965">
        <f t="shared" si="262"/>
        <v>0.93513231373658301</v>
      </c>
      <c r="R965">
        <f t="shared" si="252"/>
        <v>1</v>
      </c>
      <c r="AG965" s="8">
        <f t="shared" si="255"/>
        <v>0.69044811099110071</v>
      </c>
      <c r="AH965" s="8">
        <f t="shared" si="256"/>
        <v>5.9430960623754636E-2</v>
      </c>
      <c r="AI965" s="8">
        <f t="shared" si="257"/>
        <v>0.72093645139371232</v>
      </c>
      <c r="AJ965" s="8"/>
      <c r="AK965" s="8"/>
      <c r="AL965" s="8"/>
      <c r="AN965" s="8">
        <f t="shared" si="263"/>
        <v>1.0000000000000002</v>
      </c>
      <c r="AO965" s="8">
        <f t="shared" si="264"/>
        <v>8.5864285496447312E-2</v>
      </c>
      <c r="AP965" s="8">
        <f t="shared" si="265"/>
        <v>0.76564365751151764</v>
      </c>
      <c r="AQ965" s="8"/>
      <c r="AR965" s="8">
        <f t="shared" si="266"/>
        <v>4.9196611698527972</v>
      </c>
      <c r="AS965" s="8">
        <f t="shared" si="267"/>
        <v>46.131849813630168</v>
      </c>
    </row>
    <row r="966" spans="1:45">
      <c r="A966" s="19">
        <v>35.969266670000003</v>
      </c>
      <c r="B966" s="19">
        <v>1468.1733240000001</v>
      </c>
      <c r="C966" s="19">
        <v>-279.66145030000001</v>
      </c>
      <c r="E966" s="9">
        <f t="shared" si="253"/>
        <v>508.17332400000009</v>
      </c>
      <c r="F966" s="9">
        <f t="shared" si="258"/>
        <v>260.33854969999999</v>
      </c>
      <c r="I966">
        <v>1</v>
      </c>
      <c r="J966">
        <f t="shared" si="254"/>
        <v>0.36238783243793016</v>
      </c>
      <c r="K966">
        <f t="shared" si="259"/>
        <v>0.47344123365712709</v>
      </c>
      <c r="O966">
        <f t="shared" si="260"/>
        <v>0.31551371662897187</v>
      </c>
      <c r="P966">
        <f t="shared" si="261"/>
        <v>0.16163851882481595</v>
      </c>
      <c r="Q966">
        <f t="shared" si="262"/>
        <v>0.93505298451536556</v>
      </c>
      <c r="R966">
        <f t="shared" si="252"/>
        <v>1</v>
      </c>
      <c r="AG966" s="8">
        <f t="shared" si="255"/>
        <v>0.69052788335754711</v>
      </c>
      <c r="AH966" s="8">
        <f t="shared" si="256"/>
        <v>5.9700626319060091E-2</v>
      </c>
      <c r="AI966" s="8">
        <f t="shared" si="257"/>
        <v>0.72083776088857732</v>
      </c>
      <c r="AJ966" s="8"/>
      <c r="AK966" s="8"/>
      <c r="AL966" s="8"/>
      <c r="AN966" s="8">
        <f t="shared" si="263"/>
        <v>1</v>
      </c>
      <c r="AO966" s="8">
        <f t="shared" si="264"/>
        <v>8.6242051478044521E-2</v>
      </c>
      <c r="AP966" s="8">
        <f t="shared" si="265"/>
        <v>0.76578605726364413</v>
      </c>
      <c r="AQ966" s="8"/>
      <c r="AR966" s="8">
        <f t="shared" si="266"/>
        <v>4.9413055662419341</v>
      </c>
      <c r="AS966" s="8">
        <f t="shared" si="267"/>
        <v>46.123690908829616</v>
      </c>
    </row>
    <row r="967" spans="1:45">
      <c r="A967" s="19">
        <v>36.002633330000002</v>
      </c>
      <c r="B967" s="19">
        <v>1468.4985220000001</v>
      </c>
      <c r="C967" s="19">
        <v>-279.82087130000002</v>
      </c>
      <c r="E967" s="9">
        <f t="shared" si="253"/>
        <v>508.49852200000009</v>
      </c>
      <c r="F967" s="9">
        <f t="shared" si="258"/>
        <v>260.17912869999998</v>
      </c>
      <c r="I967">
        <v>1</v>
      </c>
      <c r="J967">
        <f t="shared" si="254"/>
        <v>0.36251483110016403</v>
      </c>
      <c r="K967">
        <f t="shared" si="259"/>
        <v>0.47293324616712318</v>
      </c>
      <c r="O967">
        <f t="shared" si="260"/>
        <v>0.31570149967014383</v>
      </c>
      <c r="P967">
        <f t="shared" si="261"/>
        <v>0.16153231043896982</v>
      </c>
      <c r="Q967">
        <f t="shared" si="262"/>
        <v>0.93500795493421895</v>
      </c>
      <c r="R967">
        <f t="shared" si="252"/>
        <v>1</v>
      </c>
      <c r="AG967" s="8">
        <f t="shared" si="255"/>
        <v>0.6906198296866275</v>
      </c>
      <c r="AH967" s="8">
        <f t="shared" si="256"/>
        <v>5.9872778196959964E-2</v>
      </c>
      <c r="AI967" s="8">
        <f t="shared" si="257"/>
        <v>0.72073538922033742</v>
      </c>
      <c r="AJ967" s="8"/>
      <c r="AK967" s="8"/>
      <c r="AL967" s="8"/>
      <c r="AN967" s="8">
        <f t="shared" si="263"/>
        <v>1</v>
      </c>
      <c r="AO967" s="8">
        <f t="shared" si="264"/>
        <v>8.6478043729570325E-2</v>
      </c>
      <c r="AP967" s="8">
        <f t="shared" si="265"/>
        <v>0.76593374625677535</v>
      </c>
      <c r="AQ967" s="8"/>
      <c r="AR967" s="8">
        <f t="shared" si="266"/>
        <v>4.9548269262521529</v>
      </c>
      <c r="AS967" s="8">
        <f t="shared" si="267"/>
        <v>46.115228952842656</v>
      </c>
    </row>
    <row r="968" spans="1:45">
      <c r="A968" s="19">
        <v>36.036000000000001</v>
      </c>
      <c r="B968" s="19">
        <v>1468.8460339999999</v>
      </c>
      <c r="C968" s="19">
        <v>-280.6142294</v>
      </c>
      <c r="E968" s="9">
        <f t="shared" si="253"/>
        <v>508.84603399999992</v>
      </c>
      <c r="F968" s="9">
        <f t="shared" si="258"/>
        <v>259.3857706</v>
      </c>
      <c r="I968">
        <v>1</v>
      </c>
      <c r="J968">
        <f t="shared" si="254"/>
        <v>0.36248475254611245</v>
      </c>
      <c r="K968">
        <f t="shared" si="259"/>
        <v>0.47141949811999423</v>
      </c>
      <c r="O968">
        <f t="shared" si="260"/>
        <v>0.3159206008663582</v>
      </c>
      <c r="P968">
        <f t="shared" si="261"/>
        <v>0.16104146053761983</v>
      </c>
      <c r="Q968">
        <f t="shared" si="262"/>
        <v>0.93501862117080292</v>
      </c>
      <c r="R968">
        <f t="shared" si="252"/>
        <v>1</v>
      </c>
      <c r="AG968" s="8">
        <f t="shared" si="255"/>
        <v>0.69099287624903416</v>
      </c>
      <c r="AH968" s="8">
        <f t="shared" si="256"/>
        <v>5.9993898418419511E-2</v>
      </c>
      <c r="AI968" s="8">
        <f t="shared" si="257"/>
        <v>0.72036766801796948</v>
      </c>
      <c r="AJ968" s="8"/>
      <c r="AK968" s="8"/>
      <c r="AL968" s="8"/>
      <c r="AN968" s="8">
        <f t="shared" si="263"/>
        <v>1.0000000000000002</v>
      </c>
      <c r="AO968" s="8">
        <f t="shared" si="264"/>
        <v>8.660556454017436E-2</v>
      </c>
      <c r="AP968" s="8">
        <f t="shared" si="265"/>
        <v>0.7664640613430751</v>
      </c>
      <c r="AQ968" s="8"/>
      <c r="AR968" s="8">
        <f t="shared" si="266"/>
        <v>4.9621333304998512</v>
      </c>
      <c r="AS968" s="8">
        <f t="shared" si="267"/>
        <v>46.084844136585566</v>
      </c>
    </row>
    <row r="969" spans="1:45">
      <c r="A969" s="19">
        <v>36.069366670000001</v>
      </c>
      <c r="B969" s="19">
        <v>1469.5928269999999</v>
      </c>
      <c r="C969" s="19">
        <v>-280.61076960000003</v>
      </c>
      <c r="E969" s="9">
        <f t="shared" si="253"/>
        <v>509.59282699999994</v>
      </c>
      <c r="F969" s="9">
        <f t="shared" si="258"/>
        <v>259.38923039999997</v>
      </c>
      <c r="I969">
        <v>1</v>
      </c>
      <c r="J969">
        <f t="shared" si="254"/>
        <v>0.36287538721545759</v>
      </c>
      <c r="K969">
        <f t="shared" si="259"/>
        <v>0.47083176057595555</v>
      </c>
      <c r="O969">
        <f t="shared" si="260"/>
        <v>0.31634068052119019</v>
      </c>
      <c r="P969">
        <f t="shared" si="261"/>
        <v>0.1610214298887763</v>
      </c>
      <c r="Q969">
        <f t="shared" si="262"/>
        <v>0.93488003132164732</v>
      </c>
      <c r="R969">
        <f t="shared" si="252"/>
        <v>1</v>
      </c>
      <c r="AG969" s="8">
        <f t="shared" si="255"/>
        <v>0.69104070633984427</v>
      </c>
      <c r="AH969" s="8">
        <f t="shared" si="256"/>
        <v>6.0426400142547021E-2</v>
      </c>
      <c r="AI969" s="8">
        <f t="shared" si="257"/>
        <v>0.72028563247307809</v>
      </c>
      <c r="AJ969" s="8"/>
      <c r="AK969" s="8"/>
      <c r="AL969" s="8"/>
      <c r="AN969" s="8">
        <f t="shared" si="263"/>
        <v>1.0000000000000002</v>
      </c>
      <c r="AO969" s="8">
        <f t="shared" si="264"/>
        <v>8.7220754646456164E-2</v>
      </c>
      <c r="AP969" s="8">
        <f t="shared" si="265"/>
        <v>0.76658233038194523</v>
      </c>
      <c r="AQ969" s="8"/>
      <c r="AR969" s="8">
        <f t="shared" si="266"/>
        <v>4.9973811271880031</v>
      </c>
      <c r="AS969" s="8">
        <f t="shared" si="267"/>
        <v>46.078067819811238</v>
      </c>
    </row>
    <row r="970" spans="1:45">
      <c r="A970" s="19">
        <v>36.10273333</v>
      </c>
      <c r="B970" s="19">
        <v>1470.5071439999999</v>
      </c>
      <c r="C970" s="19">
        <v>-280.60902429999999</v>
      </c>
      <c r="E970" s="9">
        <f t="shared" si="253"/>
        <v>510.50714399999993</v>
      </c>
      <c r="F970" s="9">
        <f t="shared" si="258"/>
        <v>259.39097570000001</v>
      </c>
      <c r="I970">
        <v>1</v>
      </c>
      <c r="J970">
        <f t="shared" si="254"/>
        <v>0.36335299527807535</v>
      </c>
      <c r="K970">
        <f t="shared" si="259"/>
        <v>0.47011016615840218</v>
      </c>
      <c r="O970">
        <f t="shared" si="260"/>
        <v>0.31685482273314775</v>
      </c>
      <c r="P970">
        <f t="shared" si="261"/>
        <v>0.16099536037834908</v>
      </c>
      <c r="Q970">
        <f t="shared" si="262"/>
        <v>0.93471039110913445</v>
      </c>
      <c r="R970">
        <f t="shared" si="252"/>
        <v>1</v>
      </c>
      <c r="AG970" s="8">
        <f t="shared" si="255"/>
        <v>0.69110016278297592</v>
      </c>
      <c r="AH970" s="8">
        <f t="shared" si="256"/>
        <v>6.0955489295894838E-2</v>
      </c>
      <c r="AI970" s="8">
        <f t="shared" si="257"/>
        <v>0.72018399963206792</v>
      </c>
      <c r="AJ970" s="8"/>
      <c r="AK970" s="8"/>
      <c r="AL970" s="8"/>
      <c r="AN970" s="8">
        <f t="shared" si="263"/>
        <v>1.0000000000000002</v>
      </c>
      <c r="AO970" s="8">
        <f t="shared" si="264"/>
        <v>8.7973005160346313E-2</v>
      </c>
      <c r="AP970" s="8">
        <f t="shared" si="265"/>
        <v>0.76672883231920175</v>
      </c>
      <c r="AQ970" s="8"/>
      <c r="AR970" s="8">
        <f t="shared" si="266"/>
        <v>5.0404819067704558</v>
      </c>
      <c r="AS970" s="8">
        <f t="shared" si="267"/>
        <v>46.069673877115946</v>
      </c>
    </row>
    <row r="971" spans="1:45">
      <c r="A971" s="19">
        <v>36.136099999999999</v>
      </c>
      <c r="B971" s="19">
        <v>1471.1720339999999</v>
      </c>
      <c r="C971" s="19">
        <v>-280.80056500000001</v>
      </c>
      <c r="E971" s="9">
        <f t="shared" si="253"/>
        <v>511.17203399999994</v>
      </c>
      <c r="F971" s="9">
        <f t="shared" si="258"/>
        <v>259.19943499999999</v>
      </c>
      <c r="I971">
        <v>1</v>
      </c>
      <c r="J971">
        <f t="shared" si="254"/>
        <v>0.36364926955430471</v>
      </c>
      <c r="K971">
        <f t="shared" si="259"/>
        <v>0.46928671479754974</v>
      </c>
      <c r="O971">
        <f t="shared" si="260"/>
        <v>0.31723426520242792</v>
      </c>
      <c r="P971">
        <f t="shared" si="261"/>
        <v>0.16085962618038979</v>
      </c>
      <c r="Q971">
        <f t="shared" si="262"/>
        <v>0.93460505115614523</v>
      </c>
      <c r="R971">
        <f t="shared" si="252"/>
        <v>1</v>
      </c>
      <c r="AG971" s="8">
        <f t="shared" si="255"/>
        <v>0.69122826505324186</v>
      </c>
      <c r="AH971" s="8">
        <f t="shared" si="256"/>
        <v>6.1320705285701216E-2</v>
      </c>
      <c r="AI971" s="8">
        <f t="shared" si="257"/>
        <v>0.72003003874473825</v>
      </c>
      <c r="AJ971" s="8"/>
      <c r="AK971" s="8"/>
      <c r="AL971" s="8"/>
      <c r="AN971" s="8">
        <f t="shared" si="263"/>
        <v>0.99999999999999978</v>
      </c>
      <c r="AO971" s="8">
        <f t="shared" si="264"/>
        <v>8.8481042144678959E-2</v>
      </c>
      <c r="AP971" s="8">
        <f t="shared" si="265"/>
        <v>0.76695072177830859</v>
      </c>
      <c r="AQ971" s="8"/>
      <c r="AR971" s="8">
        <f t="shared" si="266"/>
        <v>5.06959028180927</v>
      </c>
      <c r="AS971" s="8">
        <f t="shared" si="267"/>
        <v>46.056960547590684</v>
      </c>
    </row>
    <row r="972" spans="1:45">
      <c r="A972" s="19">
        <v>36.169466669999998</v>
      </c>
      <c r="B972" s="19">
        <v>1472.2319930000001</v>
      </c>
      <c r="C972" s="19">
        <v>-281.43144089999998</v>
      </c>
      <c r="E972" s="9">
        <f t="shared" si="253"/>
        <v>512.2319930000001</v>
      </c>
      <c r="F972" s="9">
        <f t="shared" si="258"/>
        <v>258.56855910000002</v>
      </c>
      <c r="I972">
        <v>1</v>
      </c>
      <c r="J972">
        <f t="shared" si="254"/>
        <v>0.36403605696719821</v>
      </c>
      <c r="K972">
        <f t="shared" si="259"/>
        <v>0.46747066190883663</v>
      </c>
      <c r="O972">
        <f t="shared" si="260"/>
        <v>0.31784855691853653</v>
      </c>
      <c r="P972">
        <f t="shared" si="261"/>
        <v>0.1604461347544926</v>
      </c>
      <c r="Q972">
        <f t="shared" si="262"/>
        <v>0.93446740590945543</v>
      </c>
      <c r="R972">
        <f t="shared" si="252"/>
        <v>1</v>
      </c>
      <c r="AG972" s="8">
        <f t="shared" si="255"/>
        <v>0.69157563253699805</v>
      </c>
      <c r="AH972" s="8">
        <f t="shared" si="256"/>
        <v>6.1869995689224577E-2</v>
      </c>
      <c r="AI972" s="8">
        <f t="shared" si="257"/>
        <v>0.71964939249225124</v>
      </c>
      <c r="AJ972" s="8"/>
      <c r="AK972" s="8"/>
      <c r="AL972" s="8"/>
      <c r="AN972" s="8">
        <f t="shared" si="263"/>
        <v>0.99999999999999989</v>
      </c>
      <c r="AO972" s="8">
        <f t="shared" si="264"/>
        <v>8.9224839269131995E-2</v>
      </c>
      <c r="AP972" s="8">
        <f t="shared" si="265"/>
        <v>0.7674990925639964</v>
      </c>
      <c r="AQ972" s="8"/>
      <c r="AR972" s="8">
        <f t="shared" si="266"/>
        <v>5.112206717854396</v>
      </c>
      <c r="AS972" s="8">
        <f t="shared" si="267"/>
        <v>46.025541215962505</v>
      </c>
    </row>
    <row r="973" spans="1:45">
      <c r="A973" s="19">
        <v>36.202833329999997</v>
      </c>
      <c r="B973" s="19">
        <v>1472.3490300000001</v>
      </c>
      <c r="C973" s="19">
        <v>-281.60812449999997</v>
      </c>
      <c r="E973" s="9">
        <f t="shared" si="253"/>
        <v>512.34903000000008</v>
      </c>
      <c r="F973" s="9">
        <f t="shared" si="258"/>
        <v>258.39187550000003</v>
      </c>
      <c r="I973">
        <v>1</v>
      </c>
      <c r="J973">
        <f t="shared" si="254"/>
        <v>0.36405062511997227</v>
      </c>
      <c r="K973">
        <f t="shared" si="259"/>
        <v>0.46710387751210586</v>
      </c>
      <c r="O973">
        <f t="shared" si="260"/>
        <v>0.31791953977943627</v>
      </c>
      <c r="P973">
        <f t="shared" si="261"/>
        <v>0.16033567223052103</v>
      </c>
      <c r="Q973">
        <f t="shared" si="262"/>
        <v>0.93446221883863145</v>
      </c>
      <c r="R973">
        <f t="shared" si="252"/>
        <v>1</v>
      </c>
      <c r="AG973" s="8">
        <f t="shared" si="255"/>
        <v>0.69166111455208423</v>
      </c>
      <c r="AH973" s="8">
        <f t="shared" si="256"/>
        <v>6.1919867475772328E-2</v>
      </c>
      <c r="AI973" s="8">
        <f t="shared" si="257"/>
        <v>0.71956294556373002</v>
      </c>
      <c r="AJ973" s="8"/>
      <c r="AK973" s="8"/>
      <c r="AL973" s="8"/>
      <c r="AN973" s="8">
        <f t="shared" si="263"/>
        <v>1</v>
      </c>
      <c r="AO973" s="8">
        <f t="shared" si="264"/>
        <v>8.928540198522103E-2</v>
      </c>
      <c r="AP973" s="8">
        <f t="shared" si="265"/>
        <v>0.76762358725857194</v>
      </c>
      <c r="AQ973" s="8"/>
      <c r="AR973" s="8">
        <f t="shared" si="266"/>
        <v>5.1156767058821471</v>
      </c>
      <c r="AS973" s="8">
        <f t="shared" si="267"/>
        <v>46.018408195391551</v>
      </c>
    </row>
    <row r="974" spans="1:45">
      <c r="A974" s="19">
        <v>36.236199999999997</v>
      </c>
      <c r="B974" s="19">
        <v>1472.4503990000001</v>
      </c>
      <c r="C974" s="19">
        <v>-281.70984120000003</v>
      </c>
      <c r="E974" s="9">
        <f t="shared" si="253"/>
        <v>512.45039900000006</v>
      </c>
      <c r="F974" s="9">
        <f t="shared" si="258"/>
        <v>258.29015879999997</v>
      </c>
      <c r="I974">
        <v>1</v>
      </c>
      <c r="J974">
        <f t="shared" si="254"/>
        <v>0.36407679069286825</v>
      </c>
      <c r="K974">
        <f t="shared" si="259"/>
        <v>0.4668660733440641</v>
      </c>
      <c r="O974">
        <f t="shared" si="260"/>
        <v>0.31797949327198483</v>
      </c>
      <c r="P974">
        <f t="shared" si="261"/>
        <v>0.16027107008333988</v>
      </c>
      <c r="Q974">
        <f t="shared" si="262"/>
        <v>0.93445290194467956</v>
      </c>
      <c r="R974">
        <f t="shared" si="252"/>
        <v>1</v>
      </c>
      <c r="AG974" s="8">
        <f t="shared" si="255"/>
        <v>0.69171253478963513</v>
      </c>
      <c r="AH974" s="8">
        <f t="shared" si="256"/>
        <v>6.1968224561371743E-2</v>
      </c>
      <c r="AI974" s="8">
        <f t="shared" si="257"/>
        <v>0.71950935251712278</v>
      </c>
      <c r="AJ974" s="8"/>
      <c r="AK974" s="8"/>
      <c r="AL974" s="8"/>
      <c r="AN974" s="8">
        <f t="shared" si="263"/>
        <v>1</v>
      </c>
      <c r="AO974" s="8">
        <f t="shared" si="264"/>
        <v>8.9348152983665524E-2</v>
      </c>
      <c r="AP974" s="8">
        <f t="shared" si="265"/>
        <v>0.76770076007408472</v>
      </c>
      <c r="AQ974" s="8"/>
      <c r="AR974" s="8">
        <f t="shared" si="266"/>
        <v>5.1192720732532484</v>
      </c>
      <c r="AS974" s="8">
        <f t="shared" si="267"/>
        <v>46.013986518769528</v>
      </c>
    </row>
    <row r="975" spans="1:45">
      <c r="A975" s="19">
        <v>36.269566670000003</v>
      </c>
      <c r="B975" s="19">
        <v>1473.0151310000001</v>
      </c>
      <c r="C975" s="19">
        <v>-282.1622926</v>
      </c>
      <c r="E975" s="9">
        <f t="shared" si="253"/>
        <v>513.01513100000011</v>
      </c>
      <c r="F975" s="9">
        <f t="shared" si="258"/>
        <v>257.8377074</v>
      </c>
      <c r="I975">
        <v>1</v>
      </c>
      <c r="J975">
        <f t="shared" si="254"/>
        <v>0.3642528978511223</v>
      </c>
      <c r="K975">
        <f t="shared" si="259"/>
        <v>0.46571969122115359</v>
      </c>
      <c r="O975">
        <f t="shared" si="260"/>
        <v>0.31831004881035063</v>
      </c>
      <c r="P975">
        <f t="shared" si="261"/>
        <v>0.15998033638435291</v>
      </c>
      <c r="Q975">
        <f t="shared" si="262"/>
        <v>0.93439017802880475</v>
      </c>
      <c r="R975">
        <f t="shared" si="252"/>
        <v>1</v>
      </c>
      <c r="AG975" s="8">
        <f t="shared" si="255"/>
        <v>0.69194857614171601</v>
      </c>
      <c r="AH975" s="8">
        <f t="shared" si="256"/>
        <v>6.2249090192273371E-2</v>
      </c>
      <c r="AI975" s="8">
        <f t="shared" si="257"/>
        <v>0.71925810301009896</v>
      </c>
      <c r="AJ975" s="8"/>
      <c r="AK975" s="8"/>
      <c r="AL975" s="8"/>
      <c r="AN975" s="8">
        <f t="shared" si="263"/>
        <v>1</v>
      </c>
      <c r="AO975" s="8">
        <f t="shared" si="264"/>
        <v>8.9720497144566119E-2</v>
      </c>
      <c r="AP975" s="8">
        <f t="shared" si="265"/>
        <v>0.76806247164070252</v>
      </c>
      <c r="AQ975" s="8"/>
      <c r="AR975" s="8">
        <f t="shared" si="266"/>
        <v>5.1406058221991922</v>
      </c>
      <c r="AS975" s="8">
        <f t="shared" si="267"/>
        <v>45.993261972601267</v>
      </c>
    </row>
    <row r="976" spans="1:45">
      <c r="A976" s="19">
        <v>36.302933330000002</v>
      </c>
      <c r="B976" s="19">
        <v>1473.8898349999999</v>
      </c>
      <c r="C976" s="19">
        <v>-282.00642319999997</v>
      </c>
      <c r="E976" s="9">
        <f t="shared" si="253"/>
        <v>513.88983499999995</v>
      </c>
      <c r="F976" s="9">
        <f t="shared" si="258"/>
        <v>257.99357680000003</v>
      </c>
      <c r="I976">
        <v>1</v>
      </c>
      <c r="J976">
        <f t="shared" si="254"/>
        <v>0.36475097290824421</v>
      </c>
      <c r="K976">
        <f t="shared" si="259"/>
        <v>0.46527878055076122</v>
      </c>
      <c r="O976">
        <f t="shared" si="260"/>
        <v>0.31879643857610718</v>
      </c>
      <c r="P976">
        <f t="shared" si="261"/>
        <v>0.16004876504193047</v>
      </c>
      <c r="Q976">
        <f t="shared" si="262"/>
        <v>0.93421262224385693</v>
      </c>
      <c r="R976">
        <f t="shared" si="252"/>
        <v>1</v>
      </c>
      <c r="AG976" s="8">
        <f t="shared" si="255"/>
        <v>0.69193663890716239</v>
      </c>
      <c r="AH976" s="8">
        <f t="shared" si="256"/>
        <v>6.2770145406377265E-2</v>
      </c>
      <c r="AI976" s="8">
        <f t="shared" si="257"/>
        <v>0.71922430199731258</v>
      </c>
      <c r="AJ976" s="8"/>
      <c r="AK976" s="8"/>
      <c r="AL976" s="8"/>
      <c r="AN976" s="8">
        <f t="shared" si="263"/>
        <v>1</v>
      </c>
      <c r="AO976" s="8">
        <f t="shared" si="264"/>
        <v>9.0468979532012522E-2</v>
      </c>
      <c r="AP976" s="8">
        <f t="shared" si="265"/>
        <v>0.76811112295995865</v>
      </c>
      <c r="AQ976" s="8"/>
      <c r="AR976" s="8">
        <f t="shared" si="266"/>
        <v>5.1834907040397473</v>
      </c>
      <c r="AS976" s="8">
        <f t="shared" si="267"/>
        <v>45.990474457340142</v>
      </c>
    </row>
    <row r="977" spans="1:45">
      <c r="A977" s="19">
        <v>36.336300000000001</v>
      </c>
      <c r="B977" s="19">
        <v>1474.4594589999999</v>
      </c>
      <c r="C977" s="19">
        <v>-282.06860710000001</v>
      </c>
      <c r="E977" s="9">
        <f t="shared" si="253"/>
        <v>514.45945899999992</v>
      </c>
      <c r="F977" s="9">
        <f t="shared" si="258"/>
        <v>257.93139289999999</v>
      </c>
      <c r="I977">
        <v>1</v>
      </c>
      <c r="J977">
        <f t="shared" si="254"/>
        <v>0.36503236408587703</v>
      </c>
      <c r="K977">
        <f t="shared" si="259"/>
        <v>0.46473812141847165</v>
      </c>
      <c r="O977">
        <f t="shared" si="260"/>
        <v>0.31911790912799842</v>
      </c>
      <c r="P977">
        <f t="shared" si="261"/>
        <v>0.15999419460712117</v>
      </c>
      <c r="Q977">
        <f t="shared" si="262"/>
        <v>0.93411220833783837</v>
      </c>
      <c r="R977">
        <f t="shared" si="252"/>
        <v>1</v>
      </c>
      <c r="AG977" s="8">
        <f t="shared" si="255"/>
        <v>0.69200084750206625</v>
      </c>
      <c r="AH977" s="8">
        <f t="shared" si="256"/>
        <v>6.3092910605630437E-2</v>
      </c>
      <c r="AI977" s="8">
        <f t="shared" si="257"/>
        <v>0.71913427931627061</v>
      </c>
      <c r="AJ977" s="8"/>
      <c r="AK977" s="8"/>
      <c r="AL977" s="8"/>
      <c r="AN977" s="8">
        <f t="shared" si="263"/>
        <v>1</v>
      </c>
      <c r="AO977" s="8">
        <f t="shared" si="264"/>
        <v>9.0923228202826209E-2</v>
      </c>
      <c r="AP977" s="8">
        <f t="shared" si="265"/>
        <v>0.7682406847061527</v>
      </c>
      <c r="AQ977" s="8"/>
      <c r="AR977" s="8">
        <f t="shared" si="266"/>
        <v>5.2095172357267989</v>
      </c>
      <c r="AS977" s="8">
        <f t="shared" si="267"/>
        <v>45.983051116096881</v>
      </c>
    </row>
    <row r="978" spans="1:45">
      <c r="A978" s="19">
        <v>36.369666670000001</v>
      </c>
      <c r="B978" s="19">
        <v>1475.132312</v>
      </c>
      <c r="C978" s="19">
        <v>-282.54009000000002</v>
      </c>
      <c r="E978" s="9">
        <f t="shared" si="253"/>
        <v>515.13231199999996</v>
      </c>
      <c r="F978" s="9">
        <f t="shared" si="258"/>
        <v>257.45990999999998</v>
      </c>
      <c r="I978">
        <v>1</v>
      </c>
      <c r="J978">
        <f t="shared" si="254"/>
        <v>0.36526072372990076</v>
      </c>
      <c r="K978">
        <f t="shared" si="259"/>
        <v>0.46348259544980136</v>
      </c>
      <c r="O978">
        <f t="shared" si="260"/>
        <v>0.31950933525562036</v>
      </c>
      <c r="P978">
        <f t="shared" si="261"/>
        <v>0.15968876885182043</v>
      </c>
      <c r="Q978">
        <f t="shared" si="262"/>
        <v>0.93403066426488457</v>
      </c>
      <c r="R978">
        <f t="shared" si="252"/>
        <v>1</v>
      </c>
      <c r="AG978" s="8">
        <f t="shared" si="255"/>
        <v>0.69225179608745824</v>
      </c>
      <c r="AH978" s="8">
        <f t="shared" si="256"/>
        <v>6.3434102871135156E-2</v>
      </c>
      <c r="AI978" s="8">
        <f t="shared" si="257"/>
        <v>0.71886268884024185</v>
      </c>
      <c r="AJ978" s="8"/>
      <c r="AK978" s="8"/>
      <c r="AL978" s="8"/>
      <c r="AN978" s="8">
        <f t="shared" si="263"/>
        <v>1</v>
      </c>
      <c r="AO978" s="8">
        <f t="shared" si="264"/>
        <v>9.1379239622632003E-2</v>
      </c>
      <c r="AP978" s="8">
        <f t="shared" si="265"/>
        <v>0.76863145583519521</v>
      </c>
      <c r="AQ978" s="8"/>
      <c r="AR978" s="8">
        <f t="shared" si="266"/>
        <v>5.2356447654914389</v>
      </c>
      <c r="AS978" s="8">
        <f t="shared" si="267"/>
        <v>45.96066157964718</v>
      </c>
    </row>
    <row r="979" spans="1:45">
      <c r="A979" s="19">
        <v>36.40303333</v>
      </c>
      <c r="B979" s="19">
        <v>1475.464397</v>
      </c>
      <c r="C979" s="19">
        <v>-282.93277399999999</v>
      </c>
      <c r="E979" s="9">
        <f t="shared" si="253"/>
        <v>515.46439699999996</v>
      </c>
      <c r="F979" s="9">
        <f t="shared" si="258"/>
        <v>257.06722600000001</v>
      </c>
      <c r="I979">
        <v>1</v>
      </c>
      <c r="J979">
        <f t="shared" si="254"/>
        <v>0.36533186754130775</v>
      </c>
      <c r="K979">
        <f t="shared" si="259"/>
        <v>0.46261504018328897</v>
      </c>
      <c r="O979">
        <f t="shared" si="260"/>
        <v>0.31970721881106273</v>
      </c>
      <c r="P979">
        <f t="shared" si="261"/>
        <v>0.15944117256256388</v>
      </c>
      <c r="Q979">
        <f t="shared" si="262"/>
        <v>0.93400524984176081</v>
      </c>
      <c r="R979">
        <f t="shared" si="252"/>
        <v>1</v>
      </c>
      <c r="AG979" s="8">
        <f t="shared" si="255"/>
        <v>0.69244598151671077</v>
      </c>
      <c r="AH979" s="8">
        <f t="shared" si="256"/>
        <v>6.3586407319230986E-2</v>
      </c>
      <c r="AI979" s="8">
        <f t="shared" si="257"/>
        <v>0.71866218175551144</v>
      </c>
      <c r="AJ979" s="8"/>
      <c r="AK979" s="8"/>
      <c r="AL979" s="8"/>
      <c r="AN979" s="8">
        <f t="shared" si="263"/>
        <v>0.99999999999999989</v>
      </c>
      <c r="AO979" s="8">
        <f t="shared" si="264"/>
        <v>9.1571872639550453E-2</v>
      </c>
      <c r="AP979" s="8">
        <f t="shared" si="265"/>
        <v>0.76891984911620925</v>
      </c>
      <c r="AQ979" s="8"/>
      <c r="AR979" s="8">
        <f t="shared" si="266"/>
        <v>5.2466818243557389</v>
      </c>
      <c r="AS979" s="8">
        <f t="shared" si="267"/>
        <v>45.944137861805146</v>
      </c>
    </row>
    <row r="980" spans="1:45">
      <c r="A980" s="19">
        <v>36.436399999999999</v>
      </c>
      <c r="B980" s="19">
        <v>1476.200488</v>
      </c>
      <c r="C980" s="19">
        <v>-283.15457900000001</v>
      </c>
      <c r="E980" s="9">
        <f t="shared" si="253"/>
        <v>516.20048799999995</v>
      </c>
      <c r="F980" s="9">
        <f t="shared" si="258"/>
        <v>256.84542099999999</v>
      </c>
      <c r="I980">
        <v>1</v>
      </c>
      <c r="J980">
        <f t="shared" si="254"/>
        <v>0.36565913831846975</v>
      </c>
      <c r="K980">
        <f t="shared" si="259"/>
        <v>0.46170101226339716</v>
      </c>
      <c r="O980">
        <f t="shared" si="260"/>
        <v>0.32012646928077815</v>
      </c>
      <c r="P980">
        <f t="shared" si="261"/>
        <v>0.15928504464270291</v>
      </c>
      <c r="Q980">
        <f t="shared" si="262"/>
        <v>0.93388827930272</v>
      </c>
      <c r="R980">
        <f t="shared" si="252"/>
        <v>1</v>
      </c>
      <c r="AG980" s="8">
        <f t="shared" si="255"/>
        <v>0.69259078094265858</v>
      </c>
      <c r="AH980" s="8">
        <f t="shared" si="256"/>
        <v>6.3989066638708403E-2</v>
      </c>
      <c r="AI980" s="8">
        <f t="shared" si="257"/>
        <v>0.71848688888799161</v>
      </c>
      <c r="AJ980" s="8"/>
      <c r="AK980" s="8"/>
      <c r="AL980" s="8"/>
      <c r="AN980" s="8">
        <f t="shared" si="263"/>
        <v>1</v>
      </c>
      <c r="AO980" s="8">
        <f t="shared" si="264"/>
        <v>9.2129325807341803E-2</v>
      </c>
      <c r="AP980" s="8">
        <f t="shared" si="265"/>
        <v>0.76917190588708584</v>
      </c>
      <c r="AQ980" s="8"/>
      <c r="AR980" s="8">
        <f t="shared" si="266"/>
        <v>5.278621538146381</v>
      </c>
      <c r="AS980" s="8">
        <f t="shared" si="267"/>
        <v>45.929696072636226</v>
      </c>
    </row>
    <row r="981" spans="1:45">
      <c r="A981" s="19">
        <v>36.469766669999998</v>
      </c>
      <c r="B981" s="19">
        <v>1476.511424</v>
      </c>
      <c r="C981" s="19">
        <v>-283.5055691</v>
      </c>
      <c r="E981" s="9">
        <f t="shared" si="253"/>
        <v>516.51142400000003</v>
      </c>
      <c r="F981" s="9">
        <f t="shared" si="258"/>
        <v>256.4944309</v>
      </c>
      <c r="I981">
        <v>1</v>
      </c>
      <c r="J981">
        <f t="shared" si="254"/>
        <v>0.3657305474607328</v>
      </c>
      <c r="K981">
        <f t="shared" si="259"/>
        <v>0.46091592521825059</v>
      </c>
      <c r="O981">
        <f t="shared" si="260"/>
        <v>0.32031115137075</v>
      </c>
      <c r="P981">
        <f t="shared" si="261"/>
        <v>0.15906332883309909</v>
      </c>
      <c r="Q981">
        <f t="shared" si="262"/>
        <v>0.93386274351645371</v>
      </c>
      <c r="R981">
        <f t="shared" si="252"/>
        <v>1</v>
      </c>
      <c r="AG981" s="8">
        <f t="shared" si="255"/>
        <v>0.69276508104122037</v>
      </c>
      <c r="AH981" s="8">
        <f t="shared" si="256"/>
        <v>6.4133302986598695E-2</v>
      </c>
      <c r="AI981" s="8">
        <f t="shared" si="257"/>
        <v>0.7183059667982582</v>
      </c>
      <c r="AJ981" s="8"/>
      <c r="AK981" s="8"/>
      <c r="AL981" s="8"/>
      <c r="AN981" s="8">
        <f t="shared" si="263"/>
        <v>0.99999999999999978</v>
      </c>
      <c r="AO981" s="8">
        <f t="shared" si="264"/>
        <v>9.2312715483062302E-2</v>
      </c>
      <c r="AP981" s="8">
        <f t="shared" si="265"/>
        <v>0.76943198821285563</v>
      </c>
      <c r="AQ981" s="8"/>
      <c r="AR981" s="8">
        <f t="shared" si="266"/>
        <v>5.2891289925714382</v>
      </c>
      <c r="AS981" s="8">
        <f t="shared" si="267"/>
        <v>45.914794453043669</v>
      </c>
    </row>
    <row r="982" spans="1:45">
      <c r="A982" s="19">
        <v>36.503133329999997</v>
      </c>
      <c r="B982" s="19">
        <v>1476.936586</v>
      </c>
      <c r="C982" s="19">
        <v>-283.88622040000001</v>
      </c>
      <c r="E982" s="9">
        <f t="shared" si="253"/>
        <v>516.93658600000003</v>
      </c>
      <c r="F982" s="9">
        <f t="shared" si="258"/>
        <v>256.11377959999999</v>
      </c>
      <c r="I982">
        <v>1</v>
      </c>
      <c r="J982">
        <f t="shared" si="254"/>
        <v>0.3658542679120349</v>
      </c>
      <c r="K982">
        <f t="shared" si="259"/>
        <v>0.45999717991916261</v>
      </c>
      <c r="O982">
        <f t="shared" si="260"/>
        <v>0.3205606805832899</v>
      </c>
      <c r="P982">
        <f t="shared" si="261"/>
        <v>0.15882026871151797</v>
      </c>
      <c r="Q982">
        <f t="shared" si="262"/>
        <v>0.93381849002382644</v>
      </c>
      <c r="R982">
        <f t="shared" si="252"/>
        <v>1</v>
      </c>
      <c r="AG982" s="8">
        <f t="shared" si="255"/>
        <v>0.69295964234787522</v>
      </c>
      <c r="AH982" s="8">
        <f t="shared" si="256"/>
        <v>6.4340470135430705E-2</v>
      </c>
      <c r="AI982" s="8">
        <f t="shared" si="257"/>
        <v>0.71809974096907792</v>
      </c>
      <c r="AJ982" s="8"/>
      <c r="AK982" s="8"/>
      <c r="AL982" s="8"/>
      <c r="AN982" s="8">
        <f t="shared" si="263"/>
        <v>1.0000000000000002</v>
      </c>
      <c r="AO982" s="8">
        <f t="shared" si="264"/>
        <v>9.2583356683976339E-2</v>
      </c>
      <c r="AP982" s="8">
        <f t="shared" si="265"/>
        <v>0.769728360472829</v>
      </c>
      <c r="AQ982" s="8"/>
      <c r="AR982" s="8">
        <f t="shared" si="266"/>
        <v>5.3046355911461651</v>
      </c>
      <c r="AS982" s="8">
        <f t="shared" si="267"/>
        <v>45.897813573382436</v>
      </c>
    </row>
    <row r="983" spans="1:45">
      <c r="A983" s="19">
        <v>36.536499999999997</v>
      </c>
      <c r="B983" s="19">
        <v>1478.295842</v>
      </c>
      <c r="C983" s="19">
        <v>-283.90870519999999</v>
      </c>
      <c r="E983" s="9">
        <f t="shared" si="253"/>
        <v>518.29584199999999</v>
      </c>
      <c r="F983" s="9">
        <f t="shared" si="258"/>
        <v>256.09129480000001</v>
      </c>
      <c r="I983">
        <v>1</v>
      </c>
      <c r="J983">
        <f t="shared" si="254"/>
        <v>0.36656009026627434</v>
      </c>
      <c r="K983">
        <f t="shared" si="259"/>
        <v>0.45891852466424149</v>
      </c>
      <c r="O983">
        <f t="shared" si="260"/>
        <v>0.32132263967688846</v>
      </c>
      <c r="P983">
        <f t="shared" si="261"/>
        <v>0.15876633415748725</v>
      </c>
      <c r="Q983">
        <f t="shared" si="262"/>
        <v>0.93356575149759513</v>
      </c>
      <c r="R983">
        <f t="shared" si="252"/>
        <v>1</v>
      </c>
      <c r="AG983" s="8">
        <f t="shared" si="255"/>
        <v>0.69305593569238955</v>
      </c>
      <c r="AH983" s="8">
        <f t="shared" si="256"/>
        <v>6.512238145961502E-2</v>
      </c>
      <c r="AI983" s="8">
        <f t="shared" si="257"/>
        <v>0.71793631015193449</v>
      </c>
      <c r="AJ983" s="8"/>
      <c r="AK983" s="8"/>
      <c r="AL983" s="8"/>
      <c r="AN983" s="8">
        <f t="shared" si="263"/>
        <v>0.99999999999999978</v>
      </c>
      <c r="AO983" s="8">
        <f t="shared" si="264"/>
        <v>9.3689017614126333E-2</v>
      </c>
      <c r="AP983" s="8">
        <f t="shared" si="265"/>
        <v>0.76996316659957897</v>
      </c>
      <c r="AQ983" s="8"/>
      <c r="AR983" s="8">
        <f t="shared" si="266"/>
        <v>5.3679852960162684</v>
      </c>
      <c r="AS983" s="8">
        <f t="shared" si="267"/>
        <v>45.884360173315855</v>
      </c>
    </row>
    <row r="984" spans="1:45">
      <c r="A984" s="19">
        <v>36.569866670000003</v>
      </c>
      <c r="B984" s="19">
        <v>1478.457105</v>
      </c>
      <c r="C984" s="19">
        <v>-283.92040580000003</v>
      </c>
      <c r="E984" s="9">
        <f t="shared" si="253"/>
        <v>518.45710499999996</v>
      </c>
      <c r="F984" s="9">
        <f t="shared" si="258"/>
        <v>256.07959419999997</v>
      </c>
      <c r="I984">
        <v>1</v>
      </c>
      <c r="J984">
        <f t="shared" si="254"/>
        <v>0.36664149502402871</v>
      </c>
      <c r="K984">
        <f t="shared" si="259"/>
        <v>0.45877684568018107</v>
      </c>
      <c r="O984">
        <f t="shared" si="260"/>
        <v>0.32141326748386195</v>
      </c>
      <c r="P984">
        <f t="shared" si="261"/>
        <v>0.15875446264308291</v>
      </c>
      <c r="Q984">
        <f t="shared" si="262"/>
        <v>0.933536572436374</v>
      </c>
      <c r="R984">
        <f t="shared" si="252"/>
        <v>1</v>
      </c>
      <c r="AG984" s="8">
        <f t="shared" si="255"/>
        <v>0.6930712984828824</v>
      </c>
      <c r="AH984" s="8">
        <f t="shared" si="256"/>
        <v>6.5214213053196191E-2</v>
      </c>
      <c r="AI984" s="8">
        <f t="shared" si="257"/>
        <v>0.71791314351744784</v>
      </c>
      <c r="AJ984" s="8"/>
      <c r="AK984" s="8"/>
      <c r="AL984" s="8"/>
      <c r="AN984" s="8">
        <f t="shared" si="263"/>
        <v>1</v>
      </c>
      <c r="AO984" s="8">
        <f t="shared" si="264"/>
        <v>9.3818291297422668E-2</v>
      </c>
      <c r="AP984" s="8">
        <f t="shared" si="265"/>
        <v>0.76999644622064711</v>
      </c>
      <c r="AQ984" s="8"/>
      <c r="AR984" s="8">
        <f t="shared" si="266"/>
        <v>5.3753921324712595</v>
      </c>
      <c r="AS984" s="8">
        <f t="shared" si="267"/>
        <v>45.882453391484852</v>
      </c>
    </row>
    <row r="985" spans="1:45">
      <c r="A985" s="19">
        <v>36.603233330000002</v>
      </c>
      <c r="B985" s="19">
        <v>1478.5659270000001</v>
      </c>
      <c r="C985" s="19">
        <v>-284.12582079999999</v>
      </c>
      <c r="E985" s="9">
        <f t="shared" si="253"/>
        <v>518.5659270000001</v>
      </c>
      <c r="F985" s="9">
        <f t="shared" si="258"/>
        <v>255.87417920000001</v>
      </c>
      <c r="I985">
        <v>1</v>
      </c>
      <c r="J985">
        <f t="shared" si="254"/>
        <v>0.36664537682730952</v>
      </c>
      <c r="K985">
        <f t="shared" si="259"/>
        <v>0.45837500759914435</v>
      </c>
      <c r="O985">
        <f t="shared" si="260"/>
        <v>0.32148028484821567</v>
      </c>
      <c r="P985">
        <f t="shared" si="261"/>
        <v>0.15862689724024112</v>
      </c>
      <c r="Q985">
        <f t="shared" si="262"/>
        <v>0.93353518087206766</v>
      </c>
      <c r="R985">
        <f t="shared" si="252"/>
        <v>1</v>
      </c>
      <c r="AG985" s="8">
        <f t="shared" si="255"/>
        <v>0.69316849397951197</v>
      </c>
      <c r="AH985" s="8">
        <f t="shared" si="256"/>
        <v>6.5256383556580144E-2</v>
      </c>
      <c r="AI985" s="8">
        <f t="shared" si="257"/>
        <v>0.71781546609089697</v>
      </c>
      <c r="AJ985" s="8"/>
      <c r="AK985" s="8"/>
      <c r="AL985" s="8"/>
      <c r="AN985" s="8">
        <f t="shared" si="263"/>
        <v>0.99999999999999978</v>
      </c>
      <c r="AO985" s="8">
        <f t="shared" si="264"/>
        <v>9.3865516416389905E-2</v>
      </c>
      <c r="AP985" s="8">
        <f t="shared" si="265"/>
        <v>0.77013675045070229</v>
      </c>
      <c r="AQ985" s="8"/>
      <c r="AR985" s="8">
        <f t="shared" si="266"/>
        <v>5.3780979324750851</v>
      </c>
      <c r="AS985" s="8">
        <f t="shared" si="267"/>
        <v>45.874414551254858</v>
      </c>
    </row>
    <row r="986" spans="1:45">
      <c r="A986" s="19">
        <v>36.636600000000001</v>
      </c>
      <c r="B986" s="19">
        <v>1479.250282</v>
      </c>
      <c r="C986" s="19">
        <v>-285.15923620000001</v>
      </c>
      <c r="E986" s="9">
        <f t="shared" si="253"/>
        <v>519.25028199999997</v>
      </c>
      <c r="F986" s="9">
        <f t="shared" si="258"/>
        <v>254.84076379999999</v>
      </c>
      <c r="I986">
        <v>1</v>
      </c>
      <c r="J986">
        <f t="shared" si="254"/>
        <v>0.36673748539483125</v>
      </c>
      <c r="K986">
        <f t="shared" si="259"/>
        <v>0.45624926827640172</v>
      </c>
      <c r="O986">
        <f t="shared" si="260"/>
        <v>0.32189394744875321</v>
      </c>
      <c r="P986">
        <f t="shared" si="261"/>
        <v>0.15798103972996463</v>
      </c>
      <c r="Q986">
        <f t="shared" si="262"/>
        <v>0.93350215729889918</v>
      </c>
      <c r="R986">
        <f t="shared" si="252"/>
        <v>1</v>
      </c>
      <c r="AG986" s="8">
        <f t="shared" si="255"/>
        <v>0.69366587658704648</v>
      </c>
      <c r="AH986" s="8">
        <f t="shared" si="256"/>
        <v>6.5547454296156438E-2</v>
      </c>
      <c r="AI986" s="8">
        <f t="shared" si="257"/>
        <v>0.71730828999393126</v>
      </c>
      <c r="AJ986" s="8"/>
      <c r="AK986" s="8"/>
      <c r="AL986" s="8"/>
      <c r="AN986" s="8">
        <f t="shared" si="263"/>
        <v>1</v>
      </c>
      <c r="AO986" s="8">
        <f t="shared" si="264"/>
        <v>9.4214520789760434E-2</v>
      </c>
      <c r="AP986" s="8">
        <f t="shared" si="265"/>
        <v>0.7708649341682724</v>
      </c>
      <c r="AQ986" s="8"/>
      <c r="AR986" s="8">
        <f t="shared" si="266"/>
        <v>5.3980944101008248</v>
      </c>
      <c r="AS986" s="8">
        <f t="shared" si="267"/>
        <v>45.832692697527946</v>
      </c>
    </row>
    <row r="987" spans="1:45">
      <c r="A987" s="19">
        <v>36.669966670000001</v>
      </c>
      <c r="B987" s="19">
        <v>1479.7438079999999</v>
      </c>
      <c r="C987" s="19">
        <v>-284.9123907</v>
      </c>
      <c r="E987" s="9">
        <f t="shared" si="253"/>
        <v>519.74380799999994</v>
      </c>
      <c r="F987" s="9">
        <f t="shared" si="258"/>
        <v>255.0876093</v>
      </c>
      <c r="I987">
        <v>1</v>
      </c>
      <c r="J987">
        <f t="shared" si="254"/>
        <v>0.36705964600807683</v>
      </c>
      <c r="K987">
        <f t="shared" si="259"/>
        <v>0.45625644704229795</v>
      </c>
      <c r="O987">
        <f t="shared" si="260"/>
        <v>0.32216277124431247</v>
      </c>
      <c r="P987">
        <f t="shared" si="261"/>
        <v>0.15811584449347485</v>
      </c>
      <c r="Q987">
        <f t="shared" si="262"/>
        <v>0.93338659115304423</v>
      </c>
      <c r="R987">
        <f t="shared" ref="R987:R1050" si="268">SQRT(O987^2+P987^2+Q987^2)</f>
        <v>1</v>
      </c>
      <c r="AG987" s="8">
        <f t="shared" si="255"/>
        <v>0.6935885017049942</v>
      </c>
      <c r="AH987" s="8">
        <f t="shared" si="256"/>
        <v>6.5856720771857058E-2</v>
      </c>
      <c r="AI987" s="8">
        <f t="shared" si="257"/>
        <v>0.7173547815633482</v>
      </c>
      <c r="AJ987" s="8"/>
      <c r="AK987" s="8"/>
      <c r="AL987" s="8"/>
      <c r="AN987" s="8">
        <f t="shared" si="263"/>
        <v>1</v>
      </c>
      <c r="AO987" s="8">
        <f t="shared" si="264"/>
        <v>9.4666896749780211E-2</v>
      </c>
      <c r="AP987" s="8">
        <f t="shared" si="265"/>
        <v>0.77079820611497507</v>
      </c>
      <c r="AQ987" s="8"/>
      <c r="AR987" s="8">
        <f t="shared" si="266"/>
        <v>5.4240136433631365</v>
      </c>
      <c r="AS987" s="8">
        <f t="shared" si="267"/>
        <v>45.836515933357006</v>
      </c>
    </row>
    <row r="988" spans="1:45">
      <c r="A988" s="19">
        <v>36.70333333</v>
      </c>
      <c r="B988" s="19">
        <v>1480.8789770000001</v>
      </c>
      <c r="C988" s="19">
        <v>-285.25468130000002</v>
      </c>
      <c r="E988" s="9">
        <f t="shared" si="253"/>
        <v>520.87897700000008</v>
      </c>
      <c r="F988" s="9">
        <f t="shared" si="258"/>
        <v>254.74531869999998</v>
      </c>
      <c r="I988">
        <v>1</v>
      </c>
      <c r="J988">
        <f t="shared" si="254"/>
        <v>0.3675667278858159</v>
      </c>
      <c r="K988">
        <f t="shared" si="259"/>
        <v>0.45486394685522868</v>
      </c>
      <c r="O988">
        <f t="shared" si="260"/>
        <v>0.32280777202105493</v>
      </c>
      <c r="P988">
        <f t="shared" si="261"/>
        <v>0.1578750005154087</v>
      </c>
      <c r="Q988">
        <f t="shared" si="262"/>
        <v>0.93320449341774081</v>
      </c>
      <c r="R988">
        <f t="shared" si="268"/>
        <v>1</v>
      </c>
      <c r="AG988" s="8">
        <f t="shared" si="255"/>
        <v>0.69381008925057497</v>
      </c>
      <c r="AH988" s="8">
        <f t="shared" si="256"/>
        <v>6.6476695876711123E-2</v>
      </c>
      <c r="AI988" s="8">
        <f t="shared" si="257"/>
        <v>0.71708326501141018</v>
      </c>
      <c r="AJ988" s="8"/>
      <c r="AK988" s="8"/>
      <c r="AL988" s="8"/>
      <c r="AN988" s="8">
        <f t="shared" si="263"/>
        <v>0.99999999999999978</v>
      </c>
      <c r="AO988" s="8">
        <f t="shared" si="264"/>
        <v>9.5522369052432929E-2</v>
      </c>
      <c r="AP988" s="8">
        <f t="shared" si="265"/>
        <v>0.7711878414909713</v>
      </c>
      <c r="AQ988" s="8"/>
      <c r="AR988" s="8">
        <f t="shared" si="266"/>
        <v>5.4730285957954754</v>
      </c>
      <c r="AS988" s="8">
        <f t="shared" si="267"/>
        <v>45.814191470763426</v>
      </c>
    </row>
    <row r="989" spans="1:45">
      <c r="A989" s="19">
        <v>36.736699999999999</v>
      </c>
      <c r="B989" s="19">
        <v>1481.39275</v>
      </c>
      <c r="C989" s="19">
        <v>-285.6778635</v>
      </c>
      <c r="E989" s="9">
        <f t="shared" si="253"/>
        <v>521.39274999999998</v>
      </c>
      <c r="F989" s="9">
        <f t="shared" si="258"/>
        <v>254.3221365</v>
      </c>
      <c r="I989">
        <v>1</v>
      </c>
      <c r="J989">
        <f t="shared" si="254"/>
        <v>0.36772773521098251</v>
      </c>
      <c r="K989">
        <f t="shared" si="259"/>
        <v>0.45381953754708315</v>
      </c>
      <c r="O989">
        <f t="shared" si="260"/>
        <v>0.3231075219168878</v>
      </c>
      <c r="P989">
        <f t="shared" si="261"/>
        <v>0.15760364004509744</v>
      </c>
      <c r="Q989">
        <f t="shared" si="262"/>
        <v>0.9331466240228613</v>
      </c>
      <c r="R989">
        <f t="shared" si="268"/>
        <v>1</v>
      </c>
      <c r="AG989" s="8">
        <f t="shared" si="255"/>
        <v>0.69402802739658875</v>
      </c>
      <c r="AH989" s="8">
        <f t="shared" si="256"/>
        <v>6.6730367295586623E-2</v>
      </c>
      <c r="AI989" s="8">
        <f t="shared" si="257"/>
        <v>0.71684876736212366</v>
      </c>
      <c r="AJ989" s="8"/>
      <c r="AK989" s="8"/>
      <c r="AL989" s="8"/>
      <c r="AN989" s="8">
        <f t="shared" si="263"/>
        <v>1</v>
      </c>
      <c r="AO989" s="8">
        <f t="shared" si="264"/>
        <v>9.5854725806733335E-2</v>
      </c>
      <c r="AP989" s="8">
        <f t="shared" si="265"/>
        <v>0.77152422783766983</v>
      </c>
      <c r="AQ989" s="8"/>
      <c r="AR989" s="8">
        <f t="shared" si="266"/>
        <v>5.4920712351095551</v>
      </c>
      <c r="AS989" s="8">
        <f t="shared" si="267"/>
        <v>45.79491795281178</v>
      </c>
    </row>
    <row r="990" spans="1:45">
      <c r="A990" s="19">
        <v>36.770066669999999</v>
      </c>
      <c r="B990" s="19">
        <v>1481.784306</v>
      </c>
      <c r="C990" s="19">
        <v>-285.92710549999998</v>
      </c>
      <c r="E990" s="9">
        <f t="shared" si="253"/>
        <v>521.78430600000002</v>
      </c>
      <c r="F990" s="9">
        <f t="shared" si="258"/>
        <v>254.07289450000002</v>
      </c>
      <c r="I990">
        <v>1</v>
      </c>
      <c r="J990">
        <f t="shared" si="254"/>
        <v>0.36786938943593817</v>
      </c>
      <c r="K990">
        <f t="shared" si="259"/>
        <v>0.45313776111764742</v>
      </c>
      <c r="O990">
        <f t="shared" si="260"/>
        <v>0.32333373787158426</v>
      </c>
      <c r="P990">
        <f t="shared" si="261"/>
        <v>0.15744118350416175</v>
      </c>
      <c r="Q990">
        <f t="shared" si="262"/>
        <v>0.93309569053275476</v>
      </c>
      <c r="R990">
        <f t="shared" si="268"/>
        <v>1</v>
      </c>
      <c r="AG990" s="8">
        <f t="shared" si="255"/>
        <v>0.69416186205502561</v>
      </c>
      <c r="AH990" s="8">
        <f t="shared" si="256"/>
        <v>6.6930999933017044E-2</v>
      </c>
      <c r="AI990" s="8">
        <f t="shared" si="257"/>
        <v>0.71670046080372107</v>
      </c>
      <c r="AJ990" s="8"/>
      <c r="AK990" s="8"/>
      <c r="AL990" s="8"/>
      <c r="AN990" s="8">
        <f t="shared" si="263"/>
        <v>1</v>
      </c>
      <c r="AO990" s="8">
        <f t="shared" si="264"/>
        <v>9.6122732163593114E-2</v>
      </c>
      <c r="AP990" s="8">
        <f t="shared" si="265"/>
        <v>0.77173691321409432</v>
      </c>
      <c r="AQ990" s="8"/>
      <c r="AR990" s="8">
        <f t="shared" si="266"/>
        <v>5.5074268682402971</v>
      </c>
      <c r="AS990" s="8">
        <f t="shared" si="267"/>
        <v>45.782731978378507</v>
      </c>
    </row>
    <row r="991" spans="1:45">
      <c r="A991" s="19">
        <v>36.803433329999997</v>
      </c>
      <c r="B991" s="19">
        <v>1482.420576</v>
      </c>
      <c r="C991" s="19">
        <v>-286.06476450000002</v>
      </c>
      <c r="E991" s="9">
        <f t="shared" si="253"/>
        <v>522.42057599999998</v>
      </c>
      <c r="F991" s="9">
        <f t="shared" si="258"/>
        <v>253.93523549999998</v>
      </c>
      <c r="I991">
        <v>1</v>
      </c>
      <c r="J991">
        <f t="shared" si="254"/>
        <v>0.36816802373431579</v>
      </c>
      <c r="K991">
        <f t="shared" si="259"/>
        <v>0.45244514452826373</v>
      </c>
      <c r="O991">
        <f t="shared" si="260"/>
        <v>0.32369330867008206</v>
      </c>
      <c r="P991">
        <f t="shared" si="261"/>
        <v>0.15733901064209133</v>
      </c>
      <c r="Q991">
        <f t="shared" si="262"/>
        <v>0.93298825161541177</v>
      </c>
      <c r="R991">
        <f t="shared" si="268"/>
        <v>1</v>
      </c>
      <c r="AG991" s="8">
        <f t="shared" si="255"/>
        <v>0.69426185758835368</v>
      </c>
      <c r="AH991" s="8">
        <f t="shared" si="256"/>
        <v>6.7283706312246616E-2</v>
      </c>
      <c r="AI991" s="8">
        <f t="shared" si="257"/>
        <v>0.71657056593391832</v>
      </c>
      <c r="AJ991" s="8"/>
      <c r="AK991" s="8"/>
      <c r="AL991" s="8"/>
      <c r="AN991" s="8">
        <f t="shared" si="263"/>
        <v>1.0000000000000002</v>
      </c>
      <c r="AO991" s="8">
        <f t="shared" si="264"/>
        <v>9.661230064891925E-2</v>
      </c>
      <c r="AP991" s="8">
        <f t="shared" si="265"/>
        <v>0.77192315633689856</v>
      </c>
      <c r="AQ991" s="8"/>
      <c r="AR991" s="8">
        <f t="shared" si="266"/>
        <v>5.5354770762320973</v>
      </c>
      <c r="AS991" s="8">
        <f t="shared" si="267"/>
        <v>45.772061033478487</v>
      </c>
    </row>
    <row r="992" spans="1:45">
      <c r="A992" s="19">
        <v>36.836799999999997</v>
      </c>
      <c r="B992" s="19">
        <v>1483.132466</v>
      </c>
      <c r="C992" s="19">
        <v>-286.09276469999998</v>
      </c>
      <c r="E992" s="9">
        <f t="shared" ref="E992:E1055" si="269">(B992-($B$15/2))</f>
        <v>523.13246600000002</v>
      </c>
      <c r="F992" s="9">
        <f t="shared" si="258"/>
        <v>253.90723530000002</v>
      </c>
      <c r="I992">
        <v>1</v>
      </c>
      <c r="J992">
        <f t="shared" ref="J992:J1055" si="270">ATAN((SQRT(E992^2+F992^2)^$B$16)/($F$24))</f>
        <v>0.36853434482436986</v>
      </c>
      <c r="K992">
        <f t="shared" si="259"/>
        <v>0.45186664097904133</v>
      </c>
      <c r="O992">
        <f t="shared" si="260"/>
        <v>0.3240917246686556</v>
      </c>
      <c r="P992">
        <f t="shared" si="261"/>
        <v>0.15730094984054604</v>
      </c>
      <c r="Q992">
        <f t="shared" si="262"/>
        <v>0.93285634755870017</v>
      </c>
      <c r="R992">
        <f t="shared" si="268"/>
        <v>1</v>
      </c>
      <c r="AG992" s="8">
        <f t="shared" ref="AG992:AG1055" si="271">$O992*$Z$27+$P992*$Z$31+$Q992*$Z$35</f>
        <v>0.69431828831768405</v>
      </c>
      <c r="AH992" s="8">
        <f t="shared" ref="AH992:AH1055" si="272">$O992*$AA$27+$P992*$AA$31+$Q992*$AA$35</f>
        <v>6.7690823697048763E-2</v>
      </c>
      <c r="AI992" s="8">
        <f t="shared" ref="AI992:AI1055" si="273">$AB$27*$O992+$P992*$AB$31+$AB$35*$Q992</f>
        <v>0.71647754109589257</v>
      </c>
      <c r="AJ992" s="8"/>
      <c r="AK992" s="8"/>
      <c r="AL992" s="8"/>
      <c r="AN992" s="8">
        <f t="shared" si="263"/>
        <v>1</v>
      </c>
      <c r="AO992" s="8">
        <f t="shared" si="264"/>
        <v>9.7185364917105319E-2</v>
      </c>
      <c r="AP992" s="8">
        <f t="shared" si="265"/>
        <v>0.77205651335318159</v>
      </c>
      <c r="AQ992" s="8"/>
      <c r="AR992" s="8">
        <f t="shared" si="266"/>
        <v>5.5683112401889128</v>
      </c>
      <c r="AS992" s="8">
        <f t="shared" si="267"/>
        <v>45.764420239277008</v>
      </c>
    </row>
    <row r="993" spans="1:45">
      <c r="A993" s="19">
        <v>36.870166670000003</v>
      </c>
      <c r="B993" s="19">
        <v>1483.5523479999999</v>
      </c>
      <c r="C993" s="19">
        <v>-286.71264839999998</v>
      </c>
      <c r="E993" s="9">
        <f t="shared" si="269"/>
        <v>523.55234799999994</v>
      </c>
      <c r="F993" s="9">
        <f t="shared" ref="F993:F1056" si="274">(($C$15/2)+C993)</f>
        <v>253.28735160000002</v>
      </c>
      <c r="I993">
        <v>1</v>
      </c>
      <c r="J993">
        <f t="shared" si="270"/>
        <v>0.36859705417361621</v>
      </c>
      <c r="K993">
        <f t="shared" ref="K993:K1056" si="275">ATAN2(E993,F993)</f>
        <v>0.45059256125870562</v>
      </c>
      <c r="O993">
        <f t="shared" ref="O993:O1056" si="276">COS(K993)*SIN(J993)</f>
        <v>0.3243445348823713</v>
      </c>
      <c r="P993">
        <f t="shared" ref="P993:P1056" si="277">SIN(K993)*SIN(J993)</f>
        <v>0.15691337945501807</v>
      </c>
      <c r="Q993">
        <f t="shared" ref="Q993:Q1056" si="278">COS(J993)</f>
        <v>0.93283375477088293</v>
      </c>
      <c r="R993">
        <f t="shared" si="268"/>
        <v>1</v>
      </c>
      <c r="AG993" s="8">
        <f t="shared" si="271"/>
        <v>0.69461622531483913</v>
      </c>
      <c r="AH993" s="8">
        <f t="shared" si="272"/>
        <v>6.7870599521265285E-2</v>
      </c>
      <c r="AI993" s="8">
        <f t="shared" si="273"/>
        <v>0.71617168420008659</v>
      </c>
      <c r="AJ993" s="8"/>
      <c r="AK993" s="8"/>
      <c r="AL993" s="8"/>
      <c r="AN993" s="8">
        <f t="shared" ref="AN993:AN1056" si="279">AG993^2+AH993^2+AI993^2</f>
        <v>1</v>
      </c>
      <c r="AO993" s="8">
        <f t="shared" ref="AO993:AO1056" si="280">IF(ATAN2(AG993,AH993)&gt;=0,ATAN2(AG993,AH993),ATAN2(AG993,AH993)+2*PI())</f>
        <v>9.7400313698285862E-2</v>
      </c>
      <c r="AP993" s="8">
        <f t="shared" ref="AP993:AP1056" si="281">ACOS(AI993/AN993)</f>
        <v>0.7724948499660913</v>
      </c>
      <c r="AQ993" s="8"/>
      <c r="AR993" s="8">
        <f t="shared" ref="AR993:AR1056" si="282">DEGREES(AO993)</f>
        <v>5.5806268981620386</v>
      </c>
      <c r="AS993" s="8">
        <f t="shared" ref="AS993:AS1056" si="283">90-DEGREES(AP993)</f>
        <v>45.739305401351224</v>
      </c>
    </row>
    <row r="994" spans="1:45">
      <c r="A994" s="19">
        <v>36.903533330000002</v>
      </c>
      <c r="B994" s="19">
        <v>1483.8174160000001</v>
      </c>
      <c r="C994" s="19">
        <v>-287.08196859999998</v>
      </c>
      <c r="E994" s="9">
        <f t="shared" si="269"/>
        <v>523.81741600000009</v>
      </c>
      <c r="F994" s="9">
        <f t="shared" si="274"/>
        <v>252.91803140000002</v>
      </c>
      <c r="I994">
        <v>1</v>
      </c>
      <c r="J994">
        <f t="shared" si="270"/>
        <v>0.36864250313064761</v>
      </c>
      <c r="K994">
        <f t="shared" si="275"/>
        <v>0.44982255960262013</v>
      </c>
      <c r="O994">
        <f t="shared" si="276"/>
        <v>0.32450344086118155</v>
      </c>
      <c r="P994">
        <f t="shared" si="277"/>
        <v>0.1566820211360371</v>
      </c>
      <c r="Q994">
        <f t="shared" si="278"/>
        <v>0.93281737822683175</v>
      </c>
      <c r="R994">
        <f t="shared" si="268"/>
        <v>1</v>
      </c>
      <c r="AG994" s="8">
        <f t="shared" si="271"/>
        <v>0.69479457414653334</v>
      </c>
      <c r="AH994" s="8">
        <f t="shared" si="272"/>
        <v>6.7986280339573657E-2</v>
      </c>
      <c r="AI994" s="8">
        <f t="shared" si="273"/>
        <v>0.71598768524474388</v>
      </c>
      <c r="AJ994" s="8"/>
      <c r="AK994" s="8"/>
      <c r="AL994" s="8"/>
      <c r="AN994" s="8">
        <f t="shared" si="279"/>
        <v>1</v>
      </c>
      <c r="AO994" s="8">
        <f t="shared" si="280"/>
        <v>9.7540389537661018E-2</v>
      </c>
      <c r="AP994" s="8">
        <f t="shared" si="281"/>
        <v>0.77275845178532299</v>
      </c>
      <c r="AQ994" s="8"/>
      <c r="AR994" s="8">
        <f t="shared" si="282"/>
        <v>5.5886526525699871</v>
      </c>
      <c r="AS994" s="8">
        <f t="shared" si="283"/>
        <v>45.724202129637277</v>
      </c>
    </row>
    <row r="995" spans="1:45">
      <c r="A995" s="19">
        <v>36.936900000000001</v>
      </c>
      <c r="B995" s="19">
        <v>1484.3806039999999</v>
      </c>
      <c r="C995" s="19">
        <v>-287.18588419999998</v>
      </c>
      <c r="E995" s="9">
        <f t="shared" si="269"/>
        <v>524.38060399999995</v>
      </c>
      <c r="F995" s="9">
        <f t="shared" si="274"/>
        <v>252.81411580000002</v>
      </c>
      <c r="I995">
        <v>1</v>
      </c>
      <c r="J995">
        <f t="shared" si="270"/>
        <v>0.36891190490099651</v>
      </c>
      <c r="K995">
        <f t="shared" si="275"/>
        <v>0.44924116266270481</v>
      </c>
      <c r="O995">
        <f t="shared" si="276"/>
        <v>0.32482083630475755</v>
      </c>
      <c r="P995">
        <f t="shared" si="277"/>
        <v>0.15660245992585156</v>
      </c>
      <c r="Q995">
        <f t="shared" si="278"/>
        <v>0.93272026559277132</v>
      </c>
      <c r="R995">
        <f t="shared" si="268"/>
        <v>1</v>
      </c>
      <c r="AG995" s="8">
        <f t="shared" si="271"/>
        <v>0.6948748178431402</v>
      </c>
      <c r="AH995" s="8">
        <f t="shared" si="272"/>
        <v>6.8300052407994361E-2</v>
      </c>
      <c r="AI995" s="8">
        <f t="shared" si="273"/>
        <v>0.71587994130896548</v>
      </c>
      <c r="AJ995" s="8"/>
      <c r="AK995" s="8"/>
      <c r="AL995" s="8"/>
      <c r="AN995" s="8">
        <f t="shared" si="279"/>
        <v>0.99999999999999978</v>
      </c>
      <c r="AO995" s="8">
        <f t="shared" si="280"/>
        <v>9.797644772951182E-2</v>
      </c>
      <c r="AP995" s="8">
        <f t="shared" si="281"/>
        <v>0.772912775547</v>
      </c>
      <c r="AQ995" s="8"/>
      <c r="AR995" s="8">
        <f t="shared" si="282"/>
        <v>5.6136369465851441</v>
      </c>
      <c r="AS995" s="8">
        <f t="shared" si="283"/>
        <v>45.715360029414605</v>
      </c>
    </row>
    <row r="996" spans="1:45">
      <c r="A996" s="19">
        <v>36.970266670000001</v>
      </c>
      <c r="B996" s="19">
        <v>1485.0677519999999</v>
      </c>
      <c r="C996" s="19">
        <v>-287.36345590000002</v>
      </c>
      <c r="E996" s="9">
        <f t="shared" si="269"/>
        <v>525.06775199999993</v>
      </c>
      <c r="F996" s="9">
        <f t="shared" si="274"/>
        <v>252.63654409999998</v>
      </c>
      <c r="I996">
        <v>1</v>
      </c>
      <c r="J996">
        <f t="shared" si="270"/>
        <v>0.36922785087107796</v>
      </c>
      <c r="K996">
        <f t="shared" si="275"/>
        <v>0.44845451306592582</v>
      </c>
      <c r="O996">
        <f t="shared" si="276"/>
        <v>0.32520946065636547</v>
      </c>
      <c r="P996">
        <f t="shared" si="277"/>
        <v>0.15647465291079063</v>
      </c>
      <c r="Q996">
        <f t="shared" si="278"/>
        <v>0.93260628868566153</v>
      </c>
      <c r="R996">
        <f t="shared" si="268"/>
        <v>1</v>
      </c>
      <c r="AG996" s="8">
        <f t="shared" si="271"/>
        <v>0.69499485809318196</v>
      </c>
      <c r="AH996" s="8">
        <f t="shared" si="272"/>
        <v>6.8677722239209538E-2</v>
      </c>
      <c r="AI996" s="8">
        <f t="shared" si="273"/>
        <v>0.71572726487962712</v>
      </c>
      <c r="AJ996" s="8"/>
      <c r="AK996" s="8"/>
      <c r="AL996" s="8"/>
      <c r="AN996" s="8">
        <f t="shared" si="279"/>
        <v>1</v>
      </c>
      <c r="AO996" s="8">
        <f t="shared" si="280"/>
        <v>9.8497820537574221E-2</v>
      </c>
      <c r="AP996" s="8">
        <f t="shared" si="281"/>
        <v>0.77313141519856321</v>
      </c>
      <c r="AQ996" s="8"/>
      <c r="AR996" s="8">
        <f t="shared" si="282"/>
        <v>5.6435094080400043</v>
      </c>
      <c r="AS996" s="8">
        <f t="shared" si="283"/>
        <v>45.702832900145822</v>
      </c>
    </row>
    <row r="997" spans="1:45">
      <c r="A997" s="19">
        <v>37.00363333</v>
      </c>
      <c r="B997" s="19">
        <v>1486.1114950000001</v>
      </c>
      <c r="C997" s="19">
        <v>-287.81162999999998</v>
      </c>
      <c r="E997" s="9">
        <f t="shared" si="269"/>
        <v>526.1114950000001</v>
      </c>
      <c r="F997" s="9">
        <f t="shared" si="274"/>
        <v>252.18837000000002</v>
      </c>
      <c r="I997">
        <v>1</v>
      </c>
      <c r="J997">
        <f t="shared" si="270"/>
        <v>0.3696630609167203</v>
      </c>
      <c r="K997">
        <f t="shared" si="275"/>
        <v>0.44698665024951373</v>
      </c>
      <c r="O997">
        <f t="shared" si="276"/>
        <v>0.32580476617549586</v>
      </c>
      <c r="P997">
        <f t="shared" si="277"/>
        <v>0.15617254840635905</v>
      </c>
      <c r="Q997">
        <f t="shared" si="278"/>
        <v>0.93244913505327143</v>
      </c>
      <c r="R997">
        <f t="shared" si="268"/>
        <v>1</v>
      </c>
      <c r="AG997" s="8">
        <f t="shared" si="271"/>
        <v>0.69525510999547191</v>
      </c>
      <c r="AH997" s="8">
        <f t="shared" si="272"/>
        <v>6.9233388541650398E-2</v>
      </c>
      <c r="AI997" s="8">
        <f t="shared" si="273"/>
        <v>0.71542090403917147</v>
      </c>
      <c r="AJ997" s="8"/>
      <c r="AK997" s="8"/>
      <c r="AL997" s="8"/>
      <c r="AN997" s="8">
        <f t="shared" si="279"/>
        <v>1.0000000000000002</v>
      </c>
      <c r="AO997" s="8">
        <f t="shared" si="280"/>
        <v>9.9252629411099816E-2</v>
      </c>
      <c r="AP997" s="8">
        <f t="shared" si="281"/>
        <v>0.77356999027302675</v>
      </c>
      <c r="AQ997" s="8"/>
      <c r="AR997" s="8">
        <f t="shared" si="282"/>
        <v>5.6867567708320452</v>
      </c>
      <c r="AS997" s="8">
        <f t="shared" si="283"/>
        <v>45.677704399379422</v>
      </c>
    </row>
    <row r="998" spans="1:45">
      <c r="A998" s="19">
        <v>37.036999999999999</v>
      </c>
      <c r="B998" s="19">
        <v>1486.589158</v>
      </c>
      <c r="C998" s="19">
        <v>-287.96744560000002</v>
      </c>
      <c r="E998" s="9">
        <f t="shared" si="269"/>
        <v>526.589158</v>
      </c>
      <c r="F998" s="9">
        <f t="shared" si="274"/>
        <v>252.03255439999998</v>
      </c>
      <c r="I998">
        <v>1</v>
      </c>
      <c r="J998">
        <f t="shared" si="270"/>
        <v>0.36987482359861978</v>
      </c>
      <c r="K998">
        <f t="shared" si="275"/>
        <v>0.44639230245417505</v>
      </c>
      <c r="O998">
        <f t="shared" si="276"/>
        <v>0.32607563124471522</v>
      </c>
      <c r="P998">
        <f t="shared" si="277"/>
        <v>0.15606412137751996</v>
      </c>
      <c r="Q998">
        <f t="shared" si="278"/>
        <v>0.93237260401999322</v>
      </c>
      <c r="R998">
        <f t="shared" si="268"/>
        <v>1</v>
      </c>
      <c r="AG998" s="8">
        <f t="shared" si="271"/>
        <v>0.69535247958540414</v>
      </c>
      <c r="AH998" s="8">
        <f t="shared" si="272"/>
        <v>6.9492533999004291E-2</v>
      </c>
      <c r="AI998" s="8">
        <f t="shared" si="273"/>
        <v>0.71530113718127653</v>
      </c>
      <c r="AJ998" s="8"/>
      <c r="AK998" s="8"/>
      <c r="AL998" s="8"/>
      <c r="AN998" s="8">
        <f t="shared" si="279"/>
        <v>1</v>
      </c>
      <c r="AO998" s="8">
        <f t="shared" si="280"/>
        <v>9.960783253660789E-2</v>
      </c>
      <c r="AP998" s="8">
        <f t="shared" si="281"/>
        <v>0.77374139062239544</v>
      </c>
      <c r="AQ998" s="8"/>
      <c r="AR998" s="8">
        <f t="shared" si="282"/>
        <v>5.7071084107935128</v>
      </c>
      <c r="AS998" s="8">
        <f t="shared" si="283"/>
        <v>45.667883882753529</v>
      </c>
    </row>
    <row r="999" spans="1:45">
      <c r="A999" s="19">
        <v>37.070366669999999</v>
      </c>
      <c r="B999" s="19">
        <v>1486.9421629999999</v>
      </c>
      <c r="C999" s="19">
        <v>-288.05651710000001</v>
      </c>
      <c r="E999" s="9">
        <f t="shared" si="269"/>
        <v>526.94216299999994</v>
      </c>
      <c r="F999" s="9">
        <f t="shared" si="274"/>
        <v>251.94348289999999</v>
      </c>
      <c r="I999">
        <v>1</v>
      </c>
      <c r="J999">
        <f t="shared" si="270"/>
        <v>0.37003792950340264</v>
      </c>
      <c r="K999">
        <f t="shared" si="275"/>
        <v>0.44599382502133489</v>
      </c>
      <c r="O999">
        <f t="shared" si="276"/>
        <v>0.32627498886886219</v>
      </c>
      <c r="P999">
        <f t="shared" si="277"/>
        <v>0.15599977160829295</v>
      </c>
      <c r="Q999">
        <f t="shared" si="278"/>
        <v>0.93231362904163551</v>
      </c>
      <c r="R999">
        <f t="shared" si="268"/>
        <v>1</v>
      </c>
      <c r="AG999" s="8">
        <f t="shared" si="271"/>
        <v>0.69541296166348032</v>
      </c>
      <c r="AH999" s="8">
        <f t="shared" si="272"/>
        <v>6.9686620287651102E-2</v>
      </c>
      <c r="AI999" s="8">
        <f t="shared" si="273"/>
        <v>0.71522345298746437</v>
      </c>
      <c r="AJ999" s="8"/>
      <c r="AK999" s="8"/>
      <c r="AL999" s="8"/>
      <c r="AN999" s="8">
        <f t="shared" si="279"/>
        <v>1</v>
      </c>
      <c r="AO999" s="8">
        <f t="shared" si="280"/>
        <v>9.9875554429264338E-2</v>
      </c>
      <c r="AP999" s="8">
        <f t="shared" si="281"/>
        <v>0.77385254969208139</v>
      </c>
      <c r="AQ999" s="8"/>
      <c r="AR999" s="8">
        <f t="shared" si="282"/>
        <v>5.7224477453259821</v>
      </c>
      <c r="AS999" s="8">
        <f t="shared" si="283"/>
        <v>45.661514937205922</v>
      </c>
    </row>
    <row r="1000" spans="1:45">
      <c r="A1000" s="19">
        <v>37.103733329999997</v>
      </c>
      <c r="B1000" s="19">
        <v>1487.4098200000001</v>
      </c>
      <c r="C1000" s="19">
        <v>-288.26813019999997</v>
      </c>
      <c r="E1000" s="9">
        <f t="shared" si="269"/>
        <v>527.40982000000008</v>
      </c>
      <c r="F1000" s="9">
        <f t="shared" si="274"/>
        <v>251.73186980000003</v>
      </c>
      <c r="I1000">
        <v>1</v>
      </c>
      <c r="J1000">
        <f t="shared" si="270"/>
        <v>0.3702305756295336</v>
      </c>
      <c r="K1000">
        <f t="shared" si="275"/>
        <v>0.44532196354246251</v>
      </c>
      <c r="O1000">
        <f t="shared" si="276"/>
        <v>0.32654180934137167</v>
      </c>
      <c r="P1000">
        <f t="shared" si="277"/>
        <v>0.15585788719932936</v>
      </c>
      <c r="Q1000">
        <f t="shared" si="278"/>
        <v>0.93224394111725095</v>
      </c>
      <c r="R1000">
        <f t="shared" si="268"/>
        <v>1</v>
      </c>
      <c r="AG1000" s="8">
        <f t="shared" si="271"/>
        <v>0.69553403303172112</v>
      </c>
      <c r="AH1000" s="8">
        <f t="shared" si="272"/>
        <v>6.9934370147234859E-2</v>
      </c>
      <c r="AI1000" s="8">
        <f t="shared" si="273"/>
        <v>0.71508152875510522</v>
      </c>
      <c r="AJ1000" s="8"/>
      <c r="AK1000" s="8"/>
      <c r="AL1000" s="8"/>
      <c r="AN1000" s="8">
        <f t="shared" si="279"/>
        <v>1.0000000000000002</v>
      </c>
      <c r="AO1000" s="8">
        <f t="shared" si="280"/>
        <v>0.10021093279045649</v>
      </c>
      <c r="AP1000" s="8">
        <f t="shared" si="281"/>
        <v>0.7740555978130107</v>
      </c>
      <c r="AQ1000" s="8"/>
      <c r="AR1000" s="8">
        <f t="shared" si="282"/>
        <v>5.741663509962307</v>
      </c>
      <c r="AS1000" s="8">
        <f t="shared" si="283"/>
        <v>45.649881136838609</v>
      </c>
    </row>
    <row r="1001" spans="1:45">
      <c r="A1001" s="19">
        <v>37.137099999999997</v>
      </c>
      <c r="B1001" s="19">
        <v>1488.2621529999999</v>
      </c>
      <c r="C1001" s="19">
        <v>-288.68884200000002</v>
      </c>
      <c r="E1001" s="9">
        <f t="shared" si="269"/>
        <v>528.2621529999999</v>
      </c>
      <c r="F1001" s="9">
        <f t="shared" si="274"/>
        <v>251.31115799999998</v>
      </c>
      <c r="I1001">
        <v>1</v>
      </c>
      <c r="J1001">
        <f t="shared" si="270"/>
        <v>0.37057324418147974</v>
      </c>
      <c r="K1001">
        <f t="shared" si="275"/>
        <v>0.44404533211499281</v>
      </c>
      <c r="O1001">
        <f t="shared" si="276"/>
        <v>0.32702896781567742</v>
      </c>
      <c r="P1001">
        <f t="shared" si="277"/>
        <v>0.15557811237198862</v>
      </c>
      <c r="Q1001">
        <f t="shared" si="278"/>
        <v>0.93211989848955668</v>
      </c>
      <c r="R1001">
        <f t="shared" si="268"/>
        <v>1</v>
      </c>
      <c r="AG1001" s="8">
        <f t="shared" si="271"/>
        <v>0.69576981840254781</v>
      </c>
      <c r="AH1001" s="8">
        <f t="shared" si="272"/>
        <v>7.0382312844920525E-2</v>
      </c>
      <c r="AI1001" s="8">
        <f t="shared" si="273"/>
        <v>0.71480814897333489</v>
      </c>
      <c r="AJ1001" s="8"/>
      <c r="AK1001" s="8"/>
      <c r="AL1001" s="8"/>
      <c r="AN1001" s="8">
        <f t="shared" si="279"/>
        <v>1</v>
      </c>
      <c r="AO1001" s="8">
        <f t="shared" si="280"/>
        <v>0.10081452817165465</v>
      </c>
      <c r="AP1001" s="8">
        <f t="shared" si="281"/>
        <v>0.77444659791605353</v>
      </c>
      <c r="AQ1001" s="8"/>
      <c r="AR1001" s="8">
        <f t="shared" si="282"/>
        <v>5.776246977838551</v>
      </c>
      <c r="AS1001" s="8">
        <f t="shared" si="283"/>
        <v>45.627478481145076</v>
      </c>
    </row>
    <row r="1002" spans="1:45">
      <c r="A1002" s="19">
        <v>37.170466670000003</v>
      </c>
      <c r="B1002" s="19">
        <v>1488.5283159999999</v>
      </c>
      <c r="C1002" s="19">
        <v>-288.83628809999999</v>
      </c>
      <c r="E1002" s="9">
        <f t="shared" si="269"/>
        <v>528.5283159999999</v>
      </c>
      <c r="F1002" s="9">
        <f t="shared" si="274"/>
        <v>251.16371190000001</v>
      </c>
      <c r="I1002">
        <v>1</v>
      </c>
      <c r="J1002">
        <f t="shared" si="270"/>
        <v>0.37067633157727148</v>
      </c>
      <c r="K1002">
        <f t="shared" si="275"/>
        <v>0.44362239691558347</v>
      </c>
      <c r="O1002">
        <f t="shared" si="276"/>
        <v>0.3271815248759149</v>
      </c>
      <c r="P1002">
        <f t="shared" si="277"/>
        <v>0.15548102867006464</v>
      </c>
      <c r="Q1002">
        <f t="shared" si="278"/>
        <v>0.93208256045458204</v>
      </c>
      <c r="R1002">
        <f t="shared" si="268"/>
        <v>1</v>
      </c>
      <c r="AG1002" s="8">
        <f t="shared" si="271"/>
        <v>0.69585042441044886</v>
      </c>
      <c r="AH1002" s="8">
        <f t="shared" si="272"/>
        <v>7.0520566424560116E-2</v>
      </c>
      <c r="AI1002" s="8">
        <f t="shared" si="273"/>
        <v>0.71471605310008068</v>
      </c>
      <c r="AJ1002" s="8"/>
      <c r="AK1002" s="8"/>
      <c r="AL1002" s="8"/>
      <c r="AN1002" s="8">
        <f t="shared" si="279"/>
        <v>1</v>
      </c>
      <c r="AO1002" s="8">
        <f t="shared" si="280"/>
        <v>0.10099959590982067</v>
      </c>
      <c r="AP1002" s="8">
        <f t="shared" si="281"/>
        <v>0.77457828240388182</v>
      </c>
      <c r="AQ1002" s="8"/>
      <c r="AR1002" s="8">
        <f t="shared" si="282"/>
        <v>5.7868505781594965</v>
      </c>
      <c r="AS1002" s="8">
        <f t="shared" si="283"/>
        <v>45.619933515765176</v>
      </c>
    </row>
    <row r="1003" spans="1:45">
      <c r="A1003" s="19">
        <v>37.203833330000002</v>
      </c>
      <c r="B1003" s="19">
        <v>1489.0967129999999</v>
      </c>
      <c r="C1003" s="19">
        <v>-289.07375289999999</v>
      </c>
      <c r="E1003" s="9">
        <f t="shared" si="269"/>
        <v>529.09671299999991</v>
      </c>
      <c r="F1003" s="9">
        <f t="shared" si="274"/>
        <v>250.92624710000001</v>
      </c>
      <c r="I1003">
        <v>1</v>
      </c>
      <c r="J1003">
        <f t="shared" si="270"/>
        <v>0.3709159599368127</v>
      </c>
      <c r="K1003">
        <f t="shared" si="275"/>
        <v>0.44283951390620596</v>
      </c>
      <c r="O1003">
        <f t="shared" si="276"/>
        <v>0.32750494707637101</v>
      </c>
      <c r="P1003">
        <f t="shared" si="277"/>
        <v>0.15532054019121813</v>
      </c>
      <c r="Q1003">
        <f t="shared" si="278"/>
        <v>0.93199572930095109</v>
      </c>
      <c r="R1003">
        <f t="shared" si="268"/>
        <v>1</v>
      </c>
      <c r="AG1003" s="8">
        <f t="shared" si="271"/>
        <v>0.6959885756635058</v>
      </c>
      <c r="AH1003" s="8">
        <f t="shared" si="272"/>
        <v>7.0823478378057303E-2</v>
      </c>
      <c r="AI1003" s="8">
        <f t="shared" si="273"/>
        <v>0.71455156388907126</v>
      </c>
      <c r="AJ1003" s="8"/>
      <c r="AK1003" s="8"/>
      <c r="AL1003" s="8"/>
      <c r="AN1003" s="8">
        <f t="shared" si="279"/>
        <v>1.0000000000000002</v>
      </c>
      <c r="AO1003" s="8">
        <f t="shared" si="280"/>
        <v>0.10141046762289961</v>
      </c>
      <c r="AP1003" s="8">
        <f t="shared" si="281"/>
        <v>0.77481343537515557</v>
      </c>
      <c r="AQ1003" s="8"/>
      <c r="AR1003" s="8">
        <f t="shared" si="282"/>
        <v>5.81039179324023</v>
      </c>
      <c r="AS1003" s="8">
        <f t="shared" si="283"/>
        <v>45.606460242971224</v>
      </c>
    </row>
    <row r="1004" spans="1:45">
      <c r="A1004" s="19">
        <v>37.237200000000001</v>
      </c>
      <c r="B1004" s="19">
        <v>1490.089078</v>
      </c>
      <c r="C1004" s="19">
        <v>-289.7754003</v>
      </c>
      <c r="E1004" s="9">
        <f t="shared" si="269"/>
        <v>530.08907799999997</v>
      </c>
      <c r="F1004" s="9">
        <f t="shared" si="274"/>
        <v>250.2245997</v>
      </c>
      <c r="I1004">
        <v>1</v>
      </c>
      <c r="J1004">
        <f t="shared" si="270"/>
        <v>0.37126338343114346</v>
      </c>
      <c r="K1004">
        <f t="shared" si="275"/>
        <v>0.44103255779845596</v>
      </c>
      <c r="O1004">
        <f t="shared" si="276"/>
        <v>0.32807786337021594</v>
      </c>
      <c r="P1004">
        <f t="shared" si="277"/>
        <v>0.15486671097238414</v>
      </c>
      <c r="Q1004">
        <f t="shared" si="278"/>
        <v>0.93186974272106826</v>
      </c>
      <c r="R1004">
        <f t="shared" si="268"/>
        <v>1</v>
      </c>
      <c r="AG1004" s="8">
        <f t="shared" si="271"/>
        <v>0.69635508792815692</v>
      </c>
      <c r="AH1004" s="8">
        <f t="shared" si="272"/>
        <v>7.1323608254643289E-2</v>
      </c>
      <c r="AI1004" s="8">
        <f t="shared" si="273"/>
        <v>0.71414461730248091</v>
      </c>
      <c r="AJ1004" s="8"/>
      <c r="AK1004" s="8"/>
      <c r="AL1004" s="8"/>
      <c r="AN1004" s="8">
        <f t="shared" si="279"/>
        <v>1</v>
      </c>
      <c r="AO1004" s="8">
        <f t="shared" si="280"/>
        <v>0.1020682634930595</v>
      </c>
      <c r="AP1004" s="8">
        <f t="shared" si="281"/>
        <v>0.77539496168148092</v>
      </c>
      <c r="AQ1004" s="8"/>
      <c r="AR1004" s="8">
        <f t="shared" si="282"/>
        <v>5.8480807203815273</v>
      </c>
      <c r="AS1004" s="8">
        <f t="shared" si="283"/>
        <v>45.573141239942956</v>
      </c>
    </row>
    <row r="1005" spans="1:45">
      <c r="A1005" s="19">
        <v>37.270566670000001</v>
      </c>
      <c r="B1005" s="19">
        <v>1490.4595389999999</v>
      </c>
      <c r="C1005" s="19">
        <v>-290.0186061</v>
      </c>
      <c r="E1005" s="9">
        <f t="shared" si="269"/>
        <v>530.45953899999995</v>
      </c>
      <c r="F1005" s="9">
        <f t="shared" si="274"/>
        <v>249.9813939</v>
      </c>
      <c r="I1005">
        <v>1</v>
      </c>
      <c r="J1005">
        <f t="shared" si="270"/>
        <v>0.37139798740958274</v>
      </c>
      <c r="K1005">
        <f t="shared" si="275"/>
        <v>0.44038783306829477</v>
      </c>
      <c r="O1005">
        <f t="shared" si="276"/>
        <v>0.32829110392747668</v>
      </c>
      <c r="P1005">
        <f t="shared" si="277"/>
        <v>0.15470862852135533</v>
      </c>
      <c r="Q1005">
        <f t="shared" si="278"/>
        <v>0.93182090089411496</v>
      </c>
      <c r="R1005">
        <f t="shared" si="268"/>
        <v>1</v>
      </c>
      <c r="AG1005" s="8">
        <f t="shared" si="271"/>
        <v>0.69648359681710459</v>
      </c>
      <c r="AH1005" s="8">
        <f t="shared" si="272"/>
        <v>7.1512135611915773E-2</v>
      </c>
      <c r="AI1005" s="8">
        <f t="shared" si="273"/>
        <v>0.71400042984926282</v>
      </c>
      <c r="AJ1005" s="8"/>
      <c r="AK1005" s="8"/>
      <c r="AL1005" s="8"/>
      <c r="AN1005" s="8">
        <f t="shared" si="279"/>
        <v>1.0000000000000002</v>
      </c>
      <c r="AO1005" s="8">
        <f t="shared" si="280"/>
        <v>0.10231742930542885</v>
      </c>
      <c r="AP1005" s="8">
        <f t="shared" si="281"/>
        <v>0.7756009226530669</v>
      </c>
      <c r="AQ1005" s="8"/>
      <c r="AR1005" s="8">
        <f t="shared" si="282"/>
        <v>5.862356869829239</v>
      </c>
      <c r="AS1005" s="8">
        <f t="shared" si="283"/>
        <v>45.561340545526662</v>
      </c>
    </row>
    <row r="1006" spans="1:45">
      <c r="A1006" s="19">
        <v>37.30393333</v>
      </c>
      <c r="B1006" s="19">
        <v>1490.519047</v>
      </c>
      <c r="C1006" s="19">
        <v>-290.04115919999998</v>
      </c>
      <c r="E1006" s="9">
        <f t="shared" si="269"/>
        <v>530.519047</v>
      </c>
      <c r="F1006" s="9">
        <f t="shared" si="274"/>
        <v>249.95884080000002</v>
      </c>
      <c r="I1006">
        <v>1</v>
      </c>
      <c r="J1006">
        <f t="shared" si="270"/>
        <v>0.37142371640638239</v>
      </c>
      <c r="K1006">
        <f t="shared" si="275"/>
        <v>0.44030978976615637</v>
      </c>
      <c r="O1006">
        <f t="shared" si="276"/>
        <v>0.32832486488224211</v>
      </c>
      <c r="P1006">
        <f t="shared" si="277"/>
        <v>0.15469322561717916</v>
      </c>
      <c r="Q1006">
        <f t="shared" si="278"/>
        <v>0.93181156305779445</v>
      </c>
      <c r="R1006">
        <f t="shared" si="268"/>
        <v>1</v>
      </c>
      <c r="AG1006" s="8">
        <f t="shared" si="271"/>
        <v>0.69649700998774811</v>
      </c>
      <c r="AH1006" s="8">
        <f t="shared" si="272"/>
        <v>7.1544060666235587E-2</v>
      </c>
      <c r="AI1006" s="8">
        <f t="shared" si="273"/>
        <v>0.71398414720602366</v>
      </c>
      <c r="AJ1006" s="8"/>
      <c r="AK1006" s="8"/>
      <c r="AL1006" s="8"/>
      <c r="AN1006" s="8">
        <f t="shared" si="279"/>
        <v>1</v>
      </c>
      <c r="AO1006" s="8">
        <f t="shared" si="280"/>
        <v>0.10236083081636031</v>
      </c>
      <c r="AP1006" s="8">
        <f t="shared" si="281"/>
        <v>0.77562417847021714</v>
      </c>
      <c r="AQ1006" s="8"/>
      <c r="AR1006" s="8">
        <f t="shared" si="282"/>
        <v>5.8648435932301028</v>
      </c>
      <c r="AS1006" s="8">
        <f t="shared" si="283"/>
        <v>45.560008085354823</v>
      </c>
    </row>
    <row r="1007" spans="1:45">
      <c r="A1007" s="19">
        <v>37.337299999999999</v>
      </c>
      <c r="B1007" s="19">
        <v>1491.329236</v>
      </c>
      <c r="C1007" s="19">
        <v>-290.11700769999999</v>
      </c>
      <c r="E1007" s="9">
        <f t="shared" si="269"/>
        <v>531.32923600000004</v>
      </c>
      <c r="F1007" s="9">
        <f t="shared" si="274"/>
        <v>249.88299230000001</v>
      </c>
      <c r="I1007">
        <v>1</v>
      </c>
      <c r="J1007">
        <f t="shared" si="270"/>
        <v>0.37183138432340918</v>
      </c>
      <c r="K1007">
        <f t="shared" si="275"/>
        <v>0.43960481092786163</v>
      </c>
      <c r="O1007">
        <f t="shared" si="276"/>
        <v>0.32877756307371847</v>
      </c>
      <c r="P1007">
        <f t="shared" si="277"/>
        <v>0.15462337792750927</v>
      </c>
      <c r="Q1007">
        <f t="shared" si="278"/>
        <v>0.93166352564517285</v>
      </c>
      <c r="R1007">
        <f t="shared" si="268"/>
        <v>1</v>
      </c>
      <c r="AG1007" s="8">
        <f t="shared" si="271"/>
        <v>0.69657838846541509</v>
      </c>
      <c r="AH1007" s="8">
        <f t="shared" si="272"/>
        <v>7.2001643450651576E-2</v>
      </c>
      <c r="AI1007" s="8">
        <f t="shared" si="273"/>
        <v>0.71385874797702842</v>
      </c>
      <c r="AJ1007" s="8"/>
      <c r="AK1007" s="8"/>
      <c r="AL1007" s="8"/>
      <c r="AN1007" s="8">
        <f t="shared" si="279"/>
        <v>1</v>
      </c>
      <c r="AO1007" s="8">
        <f t="shared" si="280"/>
        <v>0.10299895565223657</v>
      </c>
      <c r="AP1007" s="8">
        <f t="shared" si="281"/>
        <v>0.7758032624603205</v>
      </c>
      <c r="AQ1007" s="8"/>
      <c r="AR1007" s="8">
        <f t="shared" si="282"/>
        <v>5.9014054531282909</v>
      </c>
      <c r="AS1007" s="8">
        <f t="shared" si="283"/>
        <v>45.549747328543539</v>
      </c>
    </row>
    <row r="1008" spans="1:45">
      <c r="A1008" s="19">
        <v>37.370666669999999</v>
      </c>
      <c r="B1008" s="19">
        <v>1492.0506740000001</v>
      </c>
      <c r="C1008" s="19">
        <v>-290.26242769999999</v>
      </c>
      <c r="E1008" s="9">
        <f t="shared" si="269"/>
        <v>532.05067400000007</v>
      </c>
      <c r="F1008" s="9">
        <f t="shared" si="274"/>
        <v>249.73757230000001</v>
      </c>
      <c r="I1008">
        <v>1</v>
      </c>
      <c r="J1008">
        <f t="shared" si="270"/>
        <v>0.37217518559540042</v>
      </c>
      <c r="K1008">
        <f t="shared" si="275"/>
        <v>0.43885853015241083</v>
      </c>
      <c r="O1008">
        <f t="shared" si="276"/>
        <v>0.32918279845005938</v>
      </c>
      <c r="P1008">
        <f t="shared" si="277"/>
        <v>0.15451406594372255</v>
      </c>
      <c r="Q1008">
        <f t="shared" si="278"/>
        <v>0.93153855992660151</v>
      </c>
      <c r="R1008">
        <f t="shared" si="268"/>
        <v>1</v>
      </c>
      <c r="AG1008" s="8">
        <f t="shared" si="271"/>
        <v>0.69668475079577641</v>
      </c>
      <c r="AH1008" s="8">
        <f t="shared" si="272"/>
        <v>7.2401227540662305E-2</v>
      </c>
      <c r="AI1008" s="8">
        <f t="shared" si="273"/>
        <v>0.71371452294263438</v>
      </c>
      <c r="AJ1008" s="8"/>
      <c r="AK1008" s="8"/>
      <c r="AL1008" s="8"/>
      <c r="AN1008" s="8">
        <f t="shared" si="279"/>
        <v>1</v>
      </c>
      <c r="AO1008" s="8">
        <f t="shared" si="280"/>
        <v>0.10355079792353465</v>
      </c>
      <c r="AP1008" s="8">
        <f t="shared" si="281"/>
        <v>0.77600919137185564</v>
      </c>
      <c r="AQ1008" s="8"/>
      <c r="AR1008" s="8">
        <f t="shared" si="282"/>
        <v>5.9330236862305838</v>
      </c>
      <c r="AS1008" s="8">
        <f t="shared" si="283"/>
        <v>45.537948471032855</v>
      </c>
    </row>
    <row r="1009" spans="1:45">
      <c r="A1009" s="19">
        <v>37.404033329999997</v>
      </c>
      <c r="B1009" s="19">
        <v>1492.454712</v>
      </c>
      <c r="C1009" s="19">
        <v>-289.97936929999997</v>
      </c>
      <c r="E1009" s="9">
        <f t="shared" si="269"/>
        <v>532.45471199999997</v>
      </c>
      <c r="F1009" s="9">
        <f t="shared" si="274"/>
        <v>250.02063070000003</v>
      </c>
      <c r="I1009">
        <v>1</v>
      </c>
      <c r="J1009">
        <f t="shared" si="270"/>
        <v>0.37245779890423275</v>
      </c>
      <c r="K1009">
        <f t="shared" si="275"/>
        <v>0.43900227698688038</v>
      </c>
      <c r="O1009">
        <f t="shared" si="276"/>
        <v>0.3293988723769824</v>
      </c>
      <c r="P1009">
        <f t="shared" si="277"/>
        <v>0.15467327449167539</v>
      </c>
      <c r="Q1009">
        <f t="shared" si="278"/>
        <v>0.93143575249976063</v>
      </c>
      <c r="R1009">
        <f t="shared" si="268"/>
        <v>1</v>
      </c>
      <c r="AG1009" s="8">
        <f t="shared" si="271"/>
        <v>0.6965848767457784</v>
      </c>
      <c r="AH1009" s="8">
        <f t="shared" si="272"/>
        <v>7.2661189184981601E-2</v>
      </c>
      <c r="AI1009" s="8">
        <f t="shared" si="273"/>
        <v>0.71378558480491394</v>
      </c>
      <c r="AJ1009" s="8"/>
      <c r="AK1009" s="8"/>
      <c r="AL1009" s="8"/>
      <c r="AN1009" s="8">
        <f t="shared" si="279"/>
        <v>1</v>
      </c>
      <c r="AO1009" s="8">
        <f t="shared" si="280"/>
        <v>0.10393473055749636</v>
      </c>
      <c r="AP1009" s="8">
        <f t="shared" si="281"/>
        <v>0.77590773247456635</v>
      </c>
      <c r="AQ1009" s="8"/>
      <c r="AR1009" s="8">
        <f t="shared" si="282"/>
        <v>5.9550214057739312</v>
      </c>
      <c r="AS1009" s="8">
        <f t="shared" si="283"/>
        <v>45.54376163764158</v>
      </c>
    </row>
    <row r="1010" spans="1:45">
      <c r="A1010" s="19">
        <v>37.437399999999997</v>
      </c>
      <c r="B1010" s="19">
        <v>1493.0872260000001</v>
      </c>
      <c r="C1010" s="19">
        <v>-290.91650729999998</v>
      </c>
      <c r="E1010" s="9">
        <f t="shared" si="269"/>
        <v>533.0872260000001</v>
      </c>
      <c r="F1010" s="9">
        <f t="shared" si="274"/>
        <v>249.08349270000002</v>
      </c>
      <c r="I1010">
        <v>1</v>
      </c>
      <c r="J1010">
        <f t="shared" si="270"/>
        <v>0.37255970426422452</v>
      </c>
      <c r="K1010">
        <f t="shared" si="275"/>
        <v>0.43710373673541836</v>
      </c>
      <c r="O1010">
        <f t="shared" si="276"/>
        <v>0.32977792449430532</v>
      </c>
      <c r="P1010">
        <f t="shared" si="277"/>
        <v>0.15408779884813528</v>
      </c>
      <c r="Q1010">
        <f t="shared" si="278"/>
        <v>0.93139866371085422</v>
      </c>
      <c r="R1010">
        <f t="shared" si="268"/>
        <v>1</v>
      </c>
      <c r="AG1010" s="8">
        <f t="shared" si="271"/>
        <v>0.69703185276509028</v>
      </c>
      <c r="AH1010" s="8">
        <f t="shared" si="272"/>
        <v>7.2930912908067413E-2</v>
      </c>
      <c r="AI1010" s="8">
        <f t="shared" si="273"/>
        <v>0.71332158117728472</v>
      </c>
      <c r="AJ1010" s="8"/>
      <c r="AK1010" s="8"/>
      <c r="AL1010" s="8"/>
      <c r="AN1010" s="8">
        <f t="shared" si="279"/>
        <v>1.0000000000000002</v>
      </c>
      <c r="AO1010" s="8">
        <f t="shared" si="280"/>
        <v>0.10425134555565727</v>
      </c>
      <c r="AP1010" s="8">
        <f t="shared" si="281"/>
        <v>0.77657002654488549</v>
      </c>
      <c r="AQ1010" s="8"/>
      <c r="AR1010" s="8">
        <f t="shared" si="282"/>
        <v>5.9731621088990936</v>
      </c>
      <c r="AS1010" s="8">
        <f t="shared" si="283"/>
        <v>45.505814982615753</v>
      </c>
    </row>
    <row r="1011" spans="1:45">
      <c r="A1011" s="19">
        <v>37.470766670000003</v>
      </c>
      <c r="B1011" s="19">
        <v>1493.562858</v>
      </c>
      <c r="C1011" s="19">
        <v>-291.1375122</v>
      </c>
      <c r="E1011" s="9">
        <f t="shared" si="269"/>
        <v>533.56285800000001</v>
      </c>
      <c r="F1011" s="9">
        <f t="shared" si="274"/>
        <v>248.8624878</v>
      </c>
      <c r="I1011">
        <v>1</v>
      </c>
      <c r="J1011">
        <f t="shared" si="270"/>
        <v>0.37275589836539802</v>
      </c>
      <c r="K1011">
        <f t="shared" si="275"/>
        <v>0.43642166055508264</v>
      </c>
      <c r="O1011">
        <f t="shared" si="276"/>
        <v>0.33004854822603752</v>
      </c>
      <c r="P1011">
        <f t="shared" si="277"/>
        <v>0.1539400683064599</v>
      </c>
      <c r="Q1011">
        <f t="shared" si="278"/>
        <v>0.93132723099010017</v>
      </c>
      <c r="R1011">
        <f t="shared" si="268"/>
        <v>1</v>
      </c>
      <c r="AG1011" s="8">
        <f t="shared" si="271"/>
        <v>0.69715638765432308</v>
      </c>
      <c r="AH1011" s="8">
        <f t="shared" si="272"/>
        <v>7.3181763389419063E-2</v>
      </c>
      <c r="AI1011" s="8">
        <f t="shared" si="273"/>
        <v>0.71317417273762107</v>
      </c>
      <c r="AJ1011" s="8"/>
      <c r="AK1011" s="8"/>
      <c r="AL1011" s="8"/>
      <c r="AN1011" s="8">
        <f t="shared" si="279"/>
        <v>0.99999999999999989</v>
      </c>
      <c r="AO1011" s="8">
        <f t="shared" si="280"/>
        <v>0.10458876860650877</v>
      </c>
      <c r="AP1011" s="8">
        <f t="shared" si="281"/>
        <v>0.77678033606397279</v>
      </c>
      <c r="AQ1011" s="8"/>
      <c r="AR1011" s="8">
        <f t="shared" si="282"/>
        <v>5.9924950256233132</v>
      </c>
      <c r="AS1011" s="8">
        <f t="shared" si="283"/>
        <v>45.493765134780624</v>
      </c>
    </row>
    <row r="1012" spans="1:45">
      <c r="A1012" s="19">
        <v>37.504133330000002</v>
      </c>
      <c r="B1012" s="19">
        <v>1494.3373489999999</v>
      </c>
      <c r="C1012" s="19">
        <v>-291.62174729999998</v>
      </c>
      <c r="E1012" s="9">
        <f t="shared" si="269"/>
        <v>534.3373489999999</v>
      </c>
      <c r="F1012" s="9">
        <f t="shared" si="274"/>
        <v>248.37825270000002</v>
      </c>
      <c r="I1012">
        <v>1</v>
      </c>
      <c r="J1012">
        <f t="shared" si="270"/>
        <v>0.37304517601977571</v>
      </c>
      <c r="K1012">
        <f t="shared" si="275"/>
        <v>0.43512130774248647</v>
      </c>
      <c r="O1012">
        <f t="shared" si="276"/>
        <v>0.33049273974660265</v>
      </c>
      <c r="P1012">
        <f t="shared" si="277"/>
        <v>0.15362431501732257</v>
      </c>
      <c r="Q1012">
        <f t="shared" si="278"/>
        <v>0.93122184188851731</v>
      </c>
      <c r="R1012">
        <f t="shared" si="268"/>
        <v>1</v>
      </c>
      <c r="AG1012" s="8">
        <f t="shared" si="271"/>
        <v>0.69741330768922105</v>
      </c>
      <c r="AH1012" s="8">
        <f t="shared" si="272"/>
        <v>7.3577792378414941E-2</v>
      </c>
      <c r="AI1012" s="8">
        <f t="shared" si="273"/>
        <v>0.7128821688937792</v>
      </c>
      <c r="AJ1012" s="8"/>
      <c r="AK1012" s="8"/>
      <c r="AL1012" s="8"/>
      <c r="AN1012" s="8">
        <f t="shared" si="279"/>
        <v>1</v>
      </c>
      <c r="AO1012" s="8">
        <f t="shared" si="280"/>
        <v>0.1051121557604057</v>
      </c>
      <c r="AP1012" s="8">
        <f t="shared" si="281"/>
        <v>0.77719680891484921</v>
      </c>
      <c r="AQ1012" s="8"/>
      <c r="AR1012" s="8">
        <f t="shared" si="282"/>
        <v>6.022482900592971</v>
      </c>
      <c r="AS1012" s="8">
        <f t="shared" si="283"/>
        <v>45.469902998143624</v>
      </c>
    </row>
    <row r="1013" spans="1:45">
      <c r="A1013" s="19">
        <v>37.537500000000001</v>
      </c>
      <c r="B1013" s="19">
        <v>1494.851011</v>
      </c>
      <c r="C1013" s="19">
        <v>-291.6751534</v>
      </c>
      <c r="E1013" s="9">
        <f t="shared" si="269"/>
        <v>534.85101099999997</v>
      </c>
      <c r="F1013" s="9">
        <f t="shared" si="274"/>
        <v>248.3248466</v>
      </c>
      <c r="I1013">
        <v>1</v>
      </c>
      <c r="J1013">
        <f t="shared" si="270"/>
        <v>0.37330280300416868</v>
      </c>
      <c r="K1013">
        <f t="shared" si="275"/>
        <v>0.43467200386096827</v>
      </c>
      <c r="O1013">
        <f t="shared" si="276"/>
        <v>0.33077931782728054</v>
      </c>
      <c r="P1013">
        <f t="shared" si="277"/>
        <v>0.15357683105868164</v>
      </c>
      <c r="Q1013">
        <f t="shared" si="278"/>
        <v>0.93112791809702067</v>
      </c>
      <c r="R1013">
        <f t="shared" si="268"/>
        <v>1</v>
      </c>
      <c r="AG1013" s="8">
        <f t="shared" si="271"/>
        <v>0.69746662526744108</v>
      </c>
      <c r="AH1013" s="8">
        <f t="shared" si="272"/>
        <v>7.3866971747942434E-2</v>
      </c>
      <c r="AI1013" s="8">
        <f t="shared" si="273"/>
        <v>0.71280009618604545</v>
      </c>
      <c r="AJ1013" s="8"/>
      <c r="AK1013" s="8"/>
      <c r="AL1013" s="8"/>
      <c r="AN1013" s="8">
        <f t="shared" si="279"/>
        <v>1</v>
      </c>
      <c r="AO1013" s="8">
        <f t="shared" si="280"/>
        <v>0.10551421235276581</v>
      </c>
      <c r="AP1013" s="8">
        <f t="shared" si="281"/>
        <v>0.77731383403754251</v>
      </c>
      <c r="AQ1013" s="8"/>
      <c r="AR1013" s="8">
        <f t="shared" si="282"/>
        <v>6.0455190464606172</v>
      </c>
      <c r="AS1013" s="8">
        <f t="shared" si="283"/>
        <v>45.463197952516296</v>
      </c>
    </row>
    <row r="1014" spans="1:45">
      <c r="A1014" s="19">
        <v>37.570866670000001</v>
      </c>
      <c r="B1014" s="19">
        <v>1495.4900419999999</v>
      </c>
      <c r="C1014" s="19">
        <v>-291.71393139999998</v>
      </c>
      <c r="E1014" s="9">
        <f t="shared" si="269"/>
        <v>535.4900419999999</v>
      </c>
      <c r="F1014" s="9">
        <f t="shared" si="274"/>
        <v>248.28606860000002</v>
      </c>
      <c r="I1014">
        <v>1</v>
      </c>
      <c r="J1014">
        <f t="shared" si="270"/>
        <v>0.37363009416350274</v>
      </c>
      <c r="K1014">
        <f t="shared" si="275"/>
        <v>0.43415650029785346</v>
      </c>
      <c r="O1014">
        <f t="shared" si="276"/>
        <v>0.33113490236558524</v>
      </c>
      <c r="P1014">
        <f t="shared" si="277"/>
        <v>0.15353447615482649</v>
      </c>
      <c r="Q1014">
        <f t="shared" si="278"/>
        <v>0.93100850751601483</v>
      </c>
      <c r="R1014">
        <f t="shared" si="268"/>
        <v>1</v>
      </c>
      <c r="AG1014" s="8">
        <f t="shared" si="271"/>
        <v>0.69752077221055298</v>
      </c>
      <c r="AH1014" s="8">
        <f t="shared" si="272"/>
        <v>7.4229388430446686E-2</v>
      </c>
      <c r="AI1014" s="8">
        <f t="shared" si="273"/>
        <v>0.71270945709176314</v>
      </c>
      <c r="AJ1014" s="8"/>
      <c r="AK1014" s="8"/>
      <c r="AL1014" s="8"/>
      <c r="AN1014" s="8">
        <f t="shared" si="279"/>
        <v>1</v>
      </c>
      <c r="AO1014" s="8">
        <f t="shared" si="280"/>
        <v>0.10601987023684674</v>
      </c>
      <c r="AP1014" s="8">
        <f t="shared" si="281"/>
        <v>0.77744305755459175</v>
      </c>
      <c r="AQ1014" s="8"/>
      <c r="AR1014" s="8">
        <f t="shared" si="282"/>
        <v>6.0744911090959697</v>
      </c>
      <c r="AS1014" s="8">
        <f t="shared" si="283"/>
        <v>45.45579399037554</v>
      </c>
    </row>
    <row r="1015" spans="1:45">
      <c r="A1015" s="19">
        <v>37.60423333</v>
      </c>
      <c r="B1015" s="19">
        <v>1495.6840569999999</v>
      </c>
      <c r="C1015" s="19">
        <v>-292.29575449999999</v>
      </c>
      <c r="E1015" s="9">
        <f t="shared" si="269"/>
        <v>535.68405699999994</v>
      </c>
      <c r="F1015" s="9">
        <f t="shared" si="274"/>
        <v>247.70424550000001</v>
      </c>
      <c r="I1015">
        <v>1</v>
      </c>
      <c r="J1015">
        <f t="shared" si="270"/>
        <v>0.37359035378323008</v>
      </c>
      <c r="K1015">
        <f t="shared" si="275"/>
        <v>0.43312384229440704</v>
      </c>
      <c r="O1015">
        <f t="shared" si="276"/>
        <v>0.33125969197886324</v>
      </c>
      <c r="P1015">
        <f t="shared" si="277"/>
        <v>0.15317691649387044</v>
      </c>
      <c r="Q1015">
        <f t="shared" si="278"/>
        <v>0.93102301191941461</v>
      </c>
      <c r="R1015">
        <f t="shared" si="268"/>
        <v>1</v>
      </c>
      <c r="AG1015" s="8">
        <f t="shared" si="271"/>
        <v>0.69778607087213174</v>
      </c>
      <c r="AH1015" s="8">
        <f t="shared" si="272"/>
        <v>7.4282843050410219E-2</v>
      </c>
      <c r="AI1015" s="8">
        <f t="shared" si="273"/>
        <v>0.71244414414407287</v>
      </c>
      <c r="AJ1015" s="8"/>
      <c r="AK1015" s="8"/>
      <c r="AL1015" s="8"/>
      <c r="AN1015" s="8">
        <f t="shared" si="279"/>
        <v>1</v>
      </c>
      <c r="AO1015" s="8">
        <f t="shared" si="280"/>
        <v>0.10605561084291575</v>
      </c>
      <c r="AP1015" s="8">
        <f t="shared" si="281"/>
        <v>0.7778212148797693</v>
      </c>
      <c r="AQ1015" s="8"/>
      <c r="AR1015" s="8">
        <f t="shared" si="282"/>
        <v>6.0765388949809633</v>
      </c>
      <c r="AS1015" s="8">
        <f t="shared" si="283"/>
        <v>45.434127171650914</v>
      </c>
    </row>
    <row r="1016" spans="1:45">
      <c r="A1016" s="19">
        <v>37.637599999999999</v>
      </c>
      <c r="B1016" s="19">
        <v>1496.6827929999999</v>
      </c>
      <c r="C1016" s="19">
        <v>-292.85060390000001</v>
      </c>
      <c r="E1016" s="9">
        <f t="shared" si="269"/>
        <v>536.68279299999995</v>
      </c>
      <c r="F1016" s="9">
        <f t="shared" si="274"/>
        <v>247.14939609999999</v>
      </c>
      <c r="I1016">
        <v>1</v>
      </c>
      <c r="J1016">
        <f t="shared" si="270"/>
        <v>0.37398203901348143</v>
      </c>
      <c r="K1016">
        <f t="shared" si="275"/>
        <v>0.43156205462032665</v>
      </c>
      <c r="O1016">
        <f t="shared" si="276"/>
        <v>0.33182972508465403</v>
      </c>
      <c r="P1016">
        <f t="shared" si="277"/>
        <v>0.15281189788900362</v>
      </c>
      <c r="Q1016">
        <f t="shared" si="278"/>
        <v>0.93087999087626949</v>
      </c>
      <c r="R1016">
        <f t="shared" si="268"/>
        <v>1</v>
      </c>
      <c r="AG1016" s="8">
        <f t="shared" si="271"/>
        <v>0.69808604539339192</v>
      </c>
      <c r="AH1016" s="8">
        <f t="shared" si="272"/>
        <v>7.4800044822222633E-2</v>
      </c>
      <c r="AI1016" s="8">
        <f t="shared" si="273"/>
        <v>0.71209607955781407</v>
      </c>
      <c r="AJ1016" s="8"/>
      <c r="AK1016" s="8"/>
      <c r="AL1016" s="8"/>
      <c r="AN1016" s="8">
        <f t="shared" si="279"/>
        <v>1</v>
      </c>
      <c r="AO1016" s="8">
        <f t="shared" si="280"/>
        <v>0.10674291154558749</v>
      </c>
      <c r="AP1016" s="8">
        <f t="shared" si="281"/>
        <v>0.77831710017499822</v>
      </c>
      <c r="AQ1016" s="8"/>
      <c r="AR1016" s="8">
        <f t="shared" si="282"/>
        <v>6.1159183245004298</v>
      </c>
      <c r="AS1016" s="8">
        <f t="shared" si="283"/>
        <v>45.405715037111698</v>
      </c>
    </row>
    <row r="1017" spans="1:45">
      <c r="A1017" s="19">
        <v>37.670966669999999</v>
      </c>
      <c r="B1017" s="19">
        <v>1497.332181</v>
      </c>
      <c r="C1017" s="19">
        <v>-293.16065350000002</v>
      </c>
      <c r="E1017" s="9">
        <f t="shared" si="269"/>
        <v>537.33218099999999</v>
      </c>
      <c r="F1017" s="9">
        <f t="shared" si="274"/>
        <v>246.83934649999998</v>
      </c>
      <c r="I1017">
        <v>1</v>
      </c>
      <c r="J1017">
        <f t="shared" si="270"/>
        <v>0.37424939432762927</v>
      </c>
      <c r="K1017">
        <f t="shared" si="275"/>
        <v>0.43062642260820383</v>
      </c>
      <c r="O1017">
        <f t="shared" si="276"/>
        <v>0.33219869812040387</v>
      </c>
      <c r="P1017">
        <f t="shared" si="277"/>
        <v>0.15260524578964546</v>
      </c>
      <c r="Q1017">
        <f t="shared" si="278"/>
        <v>0.93078228599634982</v>
      </c>
      <c r="R1017">
        <f t="shared" si="268"/>
        <v>1</v>
      </c>
      <c r="AG1017" s="8">
        <f t="shared" si="271"/>
        <v>0.69825874107261832</v>
      </c>
      <c r="AH1017" s="8">
        <f t="shared" si="272"/>
        <v>7.5141265721174466E-2</v>
      </c>
      <c r="AI1017" s="8">
        <f t="shared" si="273"/>
        <v>0.71189080672635607</v>
      </c>
      <c r="AJ1017" s="8"/>
      <c r="AK1017" s="8"/>
      <c r="AL1017" s="8"/>
      <c r="AN1017" s="8">
        <f t="shared" si="279"/>
        <v>1</v>
      </c>
      <c r="AO1017" s="8">
        <f t="shared" si="280"/>
        <v>0.10719981635938523</v>
      </c>
      <c r="AP1017" s="8">
        <f t="shared" si="281"/>
        <v>0.77860943411712491</v>
      </c>
      <c r="AQ1017" s="8"/>
      <c r="AR1017" s="8">
        <f t="shared" si="282"/>
        <v>6.1420970419702519</v>
      </c>
      <c r="AS1017" s="8">
        <f t="shared" si="283"/>
        <v>45.388965536019413</v>
      </c>
    </row>
    <row r="1018" spans="1:45">
      <c r="A1018" s="19">
        <v>37.704333329999997</v>
      </c>
      <c r="B1018" s="19">
        <v>1497.4993750000001</v>
      </c>
      <c r="C1018" s="19">
        <v>-293.246242</v>
      </c>
      <c r="E1018" s="9">
        <f t="shared" si="269"/>
        <v>537.4993750000001</v>
      </c>
      <c r="F1018" s="9">
        <f t="shared" si="274"/>
        <v>246.753758</v>
      </c>
      <c r="I1018">
        <v>1</v>
      </c>
      <c r="J1018">
        <f t="shared" si="270"/>
        <v>0.37431687277588338</v>
      </c>
      <c r="K1018">
        <f t="shared" si="275"/>
        <v>0.43037691313951842</v>
      </c>
      <c r="O1018">
        <f t="shared" si="276"/>
        <v>0.33229384369259501</v>
      </c>
      <c r="P1018">
        <f t="shared" si="277"/>
        <v>0.15254855820327679</v>
      </c>
      <c r="Q1018">
        <f t="shared" si="278"/>
        <v>0.93075761551227865</v>
      </c>
      <c r="R1018">
        <f t="shared" si="268"/>
        <v>1</v>
      </c>
      <c r="AG1018" s="8">
        <f t="shared" si="271"/>
        <v>0.69830569052874014</v>
      </c>
      <c r="AH1018" s="8">
        <f t="shared" si="272"/>
        <v>7.5228533640103956E-2</v>
      </c>
      <c r="AI1018" s="8">
        <f t="shared" si="273"/>
        <v>0.71183553599236626</v>
      </c>
      <c r="AJ1018" s="8"/>
      <c r="AK1018" s="8"/>
      <c r="AL1018" s="8"/>
      <c r="AN1018" s="8">
        <f t="shared" si="279"/>
        <v>1.0000000000000002</v>
      </c>
      <c r="AO1018" s="8">
        <f t="shared" si="280"/>
        <v>0.10731620287738129</v>
      </c>
      <c r="AP1018" s="8">
        <f t="shared" si="281"/>
        <v>0.77868813168705986</v>
      </c>
      <c r="AQ1018" s="8"/>
      <c r="AR1018" s="8">
        <f t="shared" si="282"/>
        <v>6.148765498243649</v>
      </c>
      <c r="AS1018" s="8">
        <f t="shared" si="283"/>
        <v>45.384456497404209</v>
      </c>
    </row>
    <row r="1019" spans="1:45">
      <c r="A1019" s="19">
        <v>37.737699999999997</v>
      </c>
      <c r="B1019" s="19">
        <v>1498.108778</v>
      </c>
      <c r="C1019" s="19">
        <v>-293.67010699999997</v>
      </c>
      <c r="E1019" s="9">
        <f t="shared" si="269"/>
        <v>538.10877800000003</v>
      </c>
      <c r="F1019" s="9">
        <f t="shared" si="274"/>
        <v>246.32989300000003</v>
      </c>
      <c r="I1019">
        <v>1</v>
      </c>
      <c r="J1019">
        <f t="shared" si="270"/>
        <v>0.37453593217551506</v>
      </c>
      <c r="K1019">
        <f t="shared" si="275"/>
        <v>0.42929639239060702</v>
      </c>
      <c r="O1019">
        <f t="shared" si="276"/>
        <v>0.33264386346353392</v>
      </c>
      <c r="P1019">
        <f t="shared" si="277"/>
        <v>0.15227428104523308</v>
      </c>
      <c r="Q1019">
        <f t="shared" si="278"/>
        <v>0.93067749700538649</v>
      </c>
      <c r="R1019">
        <f t="shared" si="268"/>
        <v>1</v>
      </c>
      <c r="AG1019" s="8">
        <f t="shared" si="271"/>
        <v>0.69852551882455516</v>
      </c>
      <c r="AH1019" s="8">
        <f t="shared" si="272"/>
        <v>7.5535481447476349E-2</v>
      </c>
      <c r="AI1019" s="8">
        <f t="shared" si="273"/>
        <v>0.71158730356392952</v>
      </c>
      <c r="AJ1019" s="8"/>
      <c r="AK1019" s="8"/>
      <c r="AL1019" s="8"/>
      <c r="AN1019" s="8">
        <f t="shared" si="279"/>
        <v>1</v>
      </c>
      <c r="AO1019" s="8">
        <f t="shared" si="280"/>
        <v>0.10771705262523949</v>
      </c>
      <c r="AP1019" s="8">
        <f t="shared" si="281"/>
        <v>0.77904150156905783</v>
      </c>
      <c r="AQ1019" s="8"/>
      <c r="AR1019" s="8">
        <f t="shared" si="282"/>
        <v>6.1717324970148075</v>
      </c>
      <c r="AS1019" s="8">
        <f t="shared" si="283"/>
        <v>45.364209894558684</v>
      </c>
    </row>
    <row r="1020" spans="1:45">
      <c r="A1020" s="19">
        <v>37.771066670000003</v>
      </c>
      <c r="B1020" s="19">
        <v>1498.510284</v>
      </c>
      <c r="C1020" s="19">
        <v>-293.96645089999998</v>
      </c>
      <c r="E1020" s="9">
        <f t="shared" si="269"/>
        <v>538.51028399999996</v>
      </c>
      <c r="F1020" s="9">
        <f t="shared" si="274"/>
        <v>246.03354910000002</v>
      </c>
      <c r="I1020">
        <v>1</v>
      </c>
      <c r="J1020">
        <f t="shared" si="270"/>
        <v>0.37467633889111029</v>
      </c>
      <c r="K1020">
        <f t="shared" si="275"/>
        <v>0.42855900363422528</v>
      </c>
      <c r="O1020">
        <f t="shared" si="276"/>
        <v>0.33287491107113126</v>
      </c>
      <c r="P1020">
        <f t="shared" si="277"/>
        <v>0.15208325302321862</v>
      </c>
      <c r="Q1020">
        <f t="shared" si="278"/>
        <v>0.93062612134479772</v>
      </c>
      <c r="R1020">
        <f t="shared" si="268"/>
        <v>1</v>
      </c>
      <c r="AG1020" s="8">
        <f t="shared" si="271"/>
        <v>0.69867770185070888</v>
      </c>
      <c r="AH1020" s="8">
        <f t="shared" si="272"/>
        <v>7.5735987947081862E-2</v>
      </c>
      <c r="AI1020" s="8">
        <f t="shared" si="273"/>
        <v>0.71141656507723483</v>
      </c>
      <c r="AJ1020" s="8"/>
      <c r="AK1020" s="8"/>
      <c r="AL1020" s="8"/>
      <c r="AN1020" s="8">
        <f t="shared" si="279"/>
        <v>1</v>
      </c>
      <c r="AO1020" s="8">
        <f t="shared" si="280"/>
        <v>0.10797742688509812</v>
      </c>
      <c r="AP1020" s="8">
        <f t="shared" si="281"/>
        <v>0.77928448199117339</v>
      </c>
      <c r="AQ1020" s="8"/>
      <c r="AR1020" s="8">
        <f t="shared" si="282"/>
        <v>6.1866508431985494</v>
      </c>
      <c r="AS1020" s="8">
        <f t="shared" si="283"/>
        <v>45.350288141867154</v>
      </c>
    </row>
    <row r="1021" spans="1:45">
      <c r="A1021" s="19">
        <v>37.804433330000002</v>
      </c>
      <c r="B1021" s="19">
        <v>1499.506046</v>
      </c>
      <c r="C1021" s="19">
        <v>-293.97458690000002</v>
      </c>
      <c r="E1021" s="9">
        <f t="shared" si="269"/>
        <v>539.50604599999997</v>
      </c>
      <c r="F1021" s="9">
        <f t="shared" si="274"/>
        <v>246.02541309999998</v>
      </c>
      <c r="I1021">
        <v>1</v>
      </c>
      <c r="J1021">
        <f t="shared" si="270"/>
        <v>0.37520006501076525</v>
      </c>
      <c r="K1021">
        <f t="shared" si="275"/>
        <v>0.42784866325278986</v>
      </c>
      <c r="O1021">
        <f t="shared" si="276"/>
        <v>0.33342627208455788</v>
      </c>
      <c r="P1021">
        <f t="shared" si="277"/>
        <v>0.15204896578303839</v>
      </c>
      <c r="Q1021">
        <f t="shared" si="278"/>
        <v>0.93043432497307554</v>
      </c>
      <c r="R1021">
        <f t="shared" si="268"/>
        <v>1</v>
      </c>
      <c r="AG1021" s="8">
        <f t="shared" si="271"/>
        <v>0.69873802384752493</v>
      </c>
      <c r="AH1021" s="8">
        <f t="shared" si="272"/>
        <v>7.6305114315179556E-2</v>
      </c>
      <c r="AI1021" s="8">
        <f t="shared" si="273"/>
        <v>0.7112964948310958</v>
      </c>
      <c r="AJ1021" s="8"/>
      <c r="AK1021" s="8"/>
      <c r="AL1021" s="8"/>
      <c r="AN1021" s="8">
        <f t="shared" si="279"/>
        <v>1</v>
      </c>
      <c r="AO1021" s="8">
        <f t="shared" si="280"/>
        <v>0.10877315517903213</v>
      </c>
      <c r="AP1021" s="8">
        <f t="shared" si="281"/>
        <v>0.77945531991562489</v>
      </c>
      <c r="AQ1021" s="8"/>
      <c r="AR1021" s="8">
        <f t="shared" si="282"/>
        <v>6.2322427160801137</v>
      </c>
      <c r="AS1021" s="8">
        <f t="shared" si="283"/>
        <v>45.340499849815309</v>
      </c>
    </row>
    <row r="1022" spans="1:45">
      <c r="A1022" s="19">
        <v>37.837800000000001</v>
      </c>
      <c r="B1022" s="19">
        <v>1499.993549</v>
      </c>
      <c r="C1022" s="19">
        <v>-294.40596360000001</v>
      </c>
      <c r="E1022" s="9">
        <f t="shared" si="269"/>
        <v>539.99354900000003</v>
      </c>
      <c r="F1022" s="9">
        <f t="shared" si="274"/>
        <v>245.59403639999999</v>
      </c>
      <c r="I1022">
        <v>1</v>
      </c>
      <c r="J1022">
        <f t="shared" si="270"/>
        <v>0.37535373655694743</v>
      </c>
      <c r="K1022">
        <f t="shared" si="275"/>
        <v>0.4268460586126272</v>
      </c>
      <c r="O1022">
        <f t="shared" si="276"/>
        <v>0.33370869796636904</v>
      </c>
      <c r="P1022">
        <f t="shared" si="277"/>
        <v>0.15177378742231795</v>
      </c>
      <c r="Q1022">
        <f t="shared" si="278"/>
        <v>0.93037799971467283</v>
      </c>
      <c r="R1022">
        <f t="shared" si="268"/>
        <v>1</v>
      </c>
      <c r="AG1022" s="8">
        <f t="shared" si="271"/>
        <v>0.6989537158122614</v>
      </c>
      <c r="AH1022" s="8">
        <f t="shared" si="272"/>
        <v>7.6541350996058133E-2</v>
      </c>
      <c r="AI1022" s="8">
        <f t="shared" si="273"/>
        <v>0.71105915699042277</v>
      </c>
      <c r="AJ1022" s="8"/>
      <c r="AK1022" s="8"/>
      <c r="AL1022" s="8"/>
      <c r="AN1022" s="8">
        <f t="shared" si="279"/>
        <v>0.99999999999999989</v>
      </c>
      <c r="AO1022" s="8">
        <f t="shared" si="280"/>
        <v>0.10907384582789115</v>
      </c>
      <c r="AP1022" s="8">
        <f t="shared" si="281"/>
        <v>0.77979292125182664</v>
      </c>
      <c r="AQ1022" s="8"/>
      <c r="AR1022" s="8">
        <f t="shared" si="282"/>
        <v>6.2494710211987856</v>
      </c>
      <c r="AS1022" s="8">
        <f t="shared" si="283"/>
        <v>45.321156718092972</v>
      </c>
    </row>
    <row r="1023" spans="1:45">
      <c r="A1023" s="19">
        <v>37.871166670000001</v>
      </c>
      <c r="B1023" s="19">
        <v>1500.560111</v>
      </c>
      <c r="C1023" s="19">
        <v>-294.4985408</v>
      </c>
      <c r="E1023" s="9">
        <f t="shared" si="269"/>
        <v>540.56011100000001</v>
      </c>
      <c r="F1023" s="9">
        <f t="shared" si="274"/>
        <v>245.5014592</v>
      </c>
      <c r="I1023">
        <v>1</v>
      </c>
      <c r="J1023">
        <f t="shared" si="270"/>
        <v>0.37563071412759363</v>
      </c>
      <c r="K1023">
        <f t="shared" si="275"/>
        <v>0.42630903629863559</v>
      </c>
      <c r="O1023">
        <f t="shared" si="276"/>
        <v>0.3340247727250113</v>
      </c>
      <c r="P1023">
        <f t="shared" si="277"/>
        <v>0.15170111046713661</v>
      </c>
      <c r="Q1023">
        <f t="shared" si="278"/>
        <v>0.93027642359088203</v>
      </c>
      <c r="R1023">
        <f t="shared" si="268"/>
        <v>1</v>
      </c>
      <c r="AG1023" s="8">
        <f t="shared" si="271"/>
        <v>0.69902614363005444</v>
      </c>
      <c r="AH1023" s="8">
        <f t="shared" si="272"/>
        <v>7.6856302668940668E-2</v>
      </c>
      <c r="AI1023" s="8">
        <f t="shared" si="273"/>
        <v>0.7109539783008143</v>
      </c>
      <c r="AJ1023" s="8"/>
      <c r="AK1023" s="8"/>
      <c r="AL1023" s="8"/>
      <c r="AN1023" s="8">
        <f t="shared" si="279"/>
        <v>1</v>
      </c>
      <c r="AO1023" s="8">
        <f t="shared" si="280"/>
        <v>0.10950783186678724</v>
      </c>
      <c r="AP1023" s="8">
        <f t="shared" si="281"/>
        <v>0.77994249588022557</v>
      </c>
      <c r="AQ1023" s="8"/>
      <c r="AR1023" s="8">
        <f t="shared" si="282"/>
        <v>6.2743365895951317</v>
      </c>
      <c r="AS1023" s="8">
        <f t="shared" si="283"/>
        <v>45.312586723163477</v>
      </c>
    </row>
    <row r="1024" spans="1:45">
      <c r="A1024" s="19">
        <v>37.90453333</v>
      </c>
      <c r="B1024" s="19">
        <v>1501.3539089999999</v>
      </c>
      <c r="C1024" s="19">
        <v>-294.74097569999998</v>
      </c>
      <c r="E1024" s="9">
        <f t="shared" si="269"/>
        <v>541.35390899999993</v>
      </c>
      <c r="F1024" s="9">
        <f t="shared" si="274"/>
        <v>245.25902430000002</v>
      </c>
      <c r="I1024">
        <v>1</v>
      </c>
      <c r="J1024">
        <f t="shared" si="270"/>
        <v>0.37599187060994116</v>
      </c>
      <c r="K1024">
        <f t="shared" si="275"/>
        <v>0.42538532080631514</v>
      </c>
      <c r="O1024">
        <f t="shared" si="276"/>
        <v>0.33447077023368599</v>
      </c>
      <c r="P1024">
        <f t="shared" si="277"/>
        <v>0.15153113961237386</v>
      </c>
      <c r="Q1024">
        <f t="shared" si="278"/>
        <v>0.93014386929499249</v>
      </c>
      <c r="R1024">
        <f t="shared" si="268"/>
        <v>1</v>
      </c>
      <c r="AG1024" s="8">
        <f t="shared" si="271"/>
        <v>0.69917656144906637</v>
      </c>
      <c r="AH1024" s="8">
        <f t="shared" si="272"/>
        <v>7.7286301400784574E-2</v>
      </c>
      <c r="AI1024" s="8">
        <f t="shared" si="273"/>
        <v>0.71075942732829578</v>
      </c>
      <c r="AJ1024" s="8"/>
      <c r="AK1024" s="8"/>
      <c r="AL1024" s="8"/>
      <c r="AN1024" s="8">
        <f t="shared" si="279"/>
        <v>1</v>
      </c>
      <c r="AO1024" s="8">
        <f t="shared" si="280"/>
        <v>0.11009208476879224</v>
      </c>
      <c r="AP1024" s="8">
        <f t="shared" si="281"/>
        <v>0.78021910725131927</v>
      </c>
      <c r="AQ1024" s="8"/>
      <c r="AR1024" s="8">
        <f t="shared" si="282"/>
        <v>6.3078118150482894</v>
      </c>
      <c r="AS1024" s="8">
        <f t="shared" si="283"/>
        <v>45.296738059034482</v>
      </c>
    </row>
    <row r="1025" spans="1:45">
      <c r="A1025" s="19">
        <v>37.937899999999999</v>
      </c>
      <c r="B1025" s="19">
        <v>1501.6585809999999</v>
      </c>
      <c r="C1025" s="19">
        <v>-295.10777730000001</v>
      </c>
      <c r="E1025" s="9">
        <f t="shared" si="269"/>
        <v>541.65858099999991</v>
      </c>
      <c r="F1025" s="9">
        <f t="shared" si="274"/>
        <v>244.89222269999999</v>
      </c>
      <c r="I1025">
        <v>1</v>
      </c>
      <c r="J1025">
        <f t="shared" si="270"/>
        <v>0.37606512071424292</v>
      </c>
      <c r="K1025">
        <f t="shared" si="275"/>
        <v>0.42461175745716911</v>
      </c>
      <c r="O1025">
        <f t="shared" si="276"/>
        <v>0.33464997101396821</v>
      </c>
      <c r="P1025">
        <f t="shared" si="277"/>
        <v>0.15130042817156303</v>
      </c>
      <c r="Q1025">
        <f t="shared" si="278"/>
        <v>0.93011696970620417</v>
      </c>
      <c r="R1025">
        <f t="shared" si="268"/>
        <v>1</v>
      </c>
      <c r="AG1025" s="8">
        <f t="shared" si="271"/>
        <v>0.69935345461835352</v>
      </c>
      <c r="AH1025" s="8">
        <f t="shared" si="272"/>
        <v>7.7424235344451142E-2</v>
      </c>
      <c r="AI1025" s="8">
        <f t="shared" si="273"/>
        <v>0.71057035773715027</v>
      </c>
      <c r="AJ1025" s="8"/>
      <c r="AK1025" s="8"/>
      <c r="AL1025" s="8"/>
      <c r="AN1025" s="8">
        <f t="shared" si="279"/>
        <v>1.0000000000000002</v>
      </c>
      <c r="AO1025" s="8">
        <f t="shared" si="280"/>
        <v>0.11025930946179134</v>
      </c>
      <c r="AP1025" s="8">
        <f t="shared" si="281"/>
        <v>0.7804878511742247</v>
      </c>
      <c r="AQ1025" s="8"/>
      <c r="AR1025" s="8">
        <f t="shared" si="282"/>
        <v>6.3173930841875086</v>
      </c>
      <c r="AS1025" s="8">
        <f t="shared" si="283"/>
        <v>45.281340166482209</v>
      </c>
    </row>
    <row r="1026" spans="1:45">
      <c r="A1026" s="19">
        <v>37.971266669999999</v>
      </c>
      <c r="B1026" s="19">
        <v>1502.2794710000001</v>
      </c>
      <c r="C1026" s="19">
        <v>-295.74979180000003</v>
      </c>
      <c r="E1026" s="9">
        <f t="shared" si="269"/>
        <v>542.27947100000006</v>
      </c>
      <c r="F1026" s="9">
        <f t="shared" si="274"/>
        <v>244.25020819999997</v>
      </c>
      <c r="I1026">
        <v>1</v>
      </c>
      <c r="J1026">
        <f t="shared" si="270"/>
        <v>0.37624013358096953</v>
      </c>
      <c r="K1026">
        <f t="shared" si="275"/>
        <v>0.42319806745769911</v>
      </c>
      <c r="O1026">
        <f t="shared" si="276"/>
        <v>0.33501194512137478</v>
      </c>
      <c r="P1026">
        <f t="shared" si="277"/>
        <v>0.15089403475755539</v>
      </c>
      <c r="Q1026">
        <f t="shared" si="278"/>
        <v>0.93005267963733029</v>
      </c>
      <c r="R1026">
        <f t="shared" si="268"/>
        <v>1</v>
      </c>
      <c r="AG1026" s="8">
        <f t="shared" si="271"/>
        <v>0.69966781018410629</v>
      </c>
      <c r="AH1026" s="8">
        <f t="shared" si="272"/>
        <v>7.7715722050730351E-2</v>
      </c>
      <c r="AI1026" s="8">
        <f t="shared" si="273"/>
        <v>0.71022899260612471</v>
      </c>
      <c r="AJ1026" s="8"/>
      <c r="AK1026" s="8"/>
      <c r="AL1026" s="8"/>
      <c r="AN1026" s="8">
        <f t="shared" si="279"/>
        <v>0.99999999999999978</v>
      </c>
      <c r="AO1026" s="8">
        <f t="shared" si="280"/>
        <v>0.11062171976929389</v>
      </c>
      <c r="AP1026" s="8">
        <f t="shared" si="281"/>
        <v>0.78097288368556528</v>
      </c>
      <c r="AQ1026" s="8"/>
      <c r="AR1026" s="8">
        <f t="shared" si="282"/>
        <v>6.338157665259442</v>
      </c>
      <c r="AS1026" s="8">
        <f t="shared" si="283"/>
        <v>45.253549850655766</v>
      </c>
    </row>
    <row r="1027" spans="1:45">
      <c r="A1027" s="19">
        <v>38.004633329999997</v>
      </c>
      <c r="B1027" s="19">
        <v>1502.598182</v>
      </c>
      <c r="C1027" s="19">
        <v>-295.38853419999998</v>
      </c>
      <c r="E1027" s="9">
        <f t="shared" si="269"/>
        <v>542.59818199999995</v>
      </c>
      <c r="F1027" s="9">
        <f t="shared" si="274"/>
        <v>244.61146580000002</v>
      </c>
      <c r="I1027">
        <v>1</v>
      </c>
      <c r="J1027">
        <f t="shared" si="270"/>
        <v>0.37649460937098295</v>
      </c>
      <c r="K1027">
        <f t="shared" si="275"/>
        <v>0.42353157573819161</v>
      </c>
      <c r="O1027">
        <f t="shared" si="276"/>
        <v>0.33517735520190001</v>
      </c>
      <c r="P1027">
        <f t="shared" si="277"/>
        <v>0.15110302039107096</v>
      </c>
      <c r="Q1027">
        <f t="shared" si="278"/>
        <v>0.92995914845145478</v>
      </c>
      <c r="R1027">
        <f t="shared" si="268"/>
        <v>1</v>
      </c>
      <c r="AG1027" s="8">
        <f t="shared" si="271"/>
        <v>0.69952839055893812</v>
      </c>
      <c r="AH1027" s="8">
        <f t="shared" si="272"/>
        <v>7.7933610205054737E-2</v>
      </c>
      <c r="AI1027" s="8">
        <f t="shared" si="273"/>
        <v>0.71034244080051145</v>
      </c>
      <c r="AJ1027" s="8"/>
      <c r="AK1027" s="8"/>
      <c r="AL1027" s="8"/>
      <c r="AN1027" s="8">
        <f t="shared" si="279"/>
        <v>0.99999999999999978</v>
      </c>
      <c r="AO1027" s="8">
        <f t="shared" si="280"/>
        <v>0.11095125829991802</v>
      </c>
      <c r="AP1027" s="8">
        <f t="shared" si="281"/>
        <v>0.7808117158764768</v>
      </c>
      <c r="AQ1027" s="8"/>
      <c r="AR1027" s="8">
        <f t="shared" si="282"/>
        <v>6.3570388322511482</v>
      </c>
      <c r="AS1027" s="8">
        <f t="shared" si="283"/>
        <v>45.262784085909907</v>
      </c>
    </row>
    <row r="1028" spans="1:45">
      <c r="A1028" s="19">
        <v>38.037999999999997</v>
      </c>
      <c r="B1028" s="19">
        <v>1503.005641</v>
      </c>
      <c r="C1028" s="19">
        <v>-295.21867850000001</v>
      </c>
      <c r="E1028" s="9">
        <f t="shared" si="269"/>
        <v>543.00564099999997</v>
      </c>
      <c r="F1028" s="9">
        <f t="shared" si="274"/>
        <v>244.78132149999999</v>
      </c>
      <c r="I1028">
        <v>1</v>
      </c>
      <c r="J1028">
        <f t="shared" si="270"/>
        <v>0.37675035514825012</v>
      </c>
      <c r="K1028">
        <f t="shared" si="275"/>
        <v>0.42351040357050657</v>
      </c>
      <c r="O1028">
        <f t="shared" si="276"/>
        <v>0.33539736436524009</v>
      </c>
      <c r="P1028">
        <f t="shared" si="277"/>
        <v>0.15119365965654946</v>
      </c>
      <c r="Q1028">
        <f t="shared" si="278"/>
        <v>0.92986508981492033</v>
      </c>
      <c r="R1028">
        <f t="shared" si="268"/>
        <v>1</v>
      </c>
      <c r="AG1028" s="8">
        <f t="shared" si="271"/>
        <v>0.69947722596772455</v>
      </c>
      <c r="AH1028" s="8">
        <f t="shared" si="272"/>
        <v>7.8183253940646069E-2</v>
      </c>
      <c r="AI1028" s="8">
        <f t="shared" si="273"/>
        <v>0.71036539129925891</v>
      </c>
      <c r="AJ1028" s="8"/>
      <c r="AK1028" s="8"/>
      <c r="AL1028" s="8"/>
      <c r="AN1028" s="8">
        <f t="shared" si="279"/>
        <v>1</v>
      </c>
      <c r="AO1028" s="8">
        <f t="shared" si="280"/>
        <v>0.11131181803825919</v>
      </c>
      <c r="AP1028" s="8">
        <f t="shared" si="281"/>
        <v>0.78077910854156618</v>
      </c>
      <c r="AQ1028" s="8"/>
      <c r="AR1028" s="8">
        <f t="shared" si="282"/>
        <v>6.3776973835204389</v>
      </c>
      <c r="AS1028" s="8">
        <f t="shared" si="283"/>
        <v>45.26465234858145</v>
      </c>
    </row>
    <row r="1029" spans="1:45">
      <c r="A1029" s="19">
        <v>38.071366670000003</v>
      </c>
      <c r="B1029" s="19">
        <v>1503.641073</v>
      </c>
      <c r="C1029" s="19">
        <v>-295.80266030000001</v>
      </c>
      <c r="E1029" s="9">
        <f t="shared" si="269"/>
        <v>543.64107300000001</v>
      </c>
      <c r="F1029" s="9">
        <f t="shared" si="274"/>
        <v>244.19733969999999</v>
      </c>
      <c r="I1029">
        <v>1</v>
      </c>
      <c r="J1029">
        <f t="shared" si="270"/>
        <v>0.37694727537579759</v>
      </c>
      <c r="K1029">
        <f t="shared" si="275"/>
        <v>0.42217891019367038</v>
      </c>
      <c r="O1029">
        <f t="shared" si="276"/>
        <v>0.33576540578767988</v>
      </c>
      <c r="P1029">
        <f t="shared" si="277"/>
        <v>0.15082197230642727</v>
      </c>
      <c r="Q1029">
        <f t="shared" si="278"/>
        <v>0.92979262469963375</v>
      </c>
      <c r="R1029">
        <f t="shared" si="268"/>
        <v>1</v>
      </c>
      <c r="AG1029" s="8">
        <f t="shared" si="271"/>
        <v>0.69976681903930882</v>
      </c>
      <c r="AH1029" s="8">
        <f t="shared" si="272"/>
        <v>7.8488633964907295E-2</v>
      </c>
      <c r="AI1029" s="8">
        <f t="shared" si="273"/>
        <v>0.71004643039024573</v>
      </c>
      <c r="AJ1029" s="8"/>
      <c r="AK1029" s="8"/>
      <c r="AL1029" s="8"/>
      <c r="AN1029" s="8">
        <f t="shared" si="279"/>
        <v>1</v>
      </c>
      <c r="AO1029" s="8">
        <f t="shared" si="280"/>
        <v>0.11169713313804382</v>
      </c>
      <c r="AP1029" s="8">
        <f t="shared" si="281"/>
        <v>0.78123218188616306</v>
      </c>
      <c r="AQ1029" s="8"/>
      <c r="AR1029" s="8">
        <f t="shared" si="282"/>
        <v>6.3997743125207593</v>
      </c>
      <c r="AS1029" s="8">
        <f t="shared" si="283"/>
        <v>45.238693158126175</v>
      </c>
    </row>
    <row r="1030" spans="1:45">
      <c r="A1030" s="19">
        <v>38.104733330000002</v>
      </c>
      <c r="B1030" s="19">
        <v>1504.504598</v>
      </c>
      <c r="C1030" s="19">
        <v>-296.33676550000001</v>
      </c>
      <c r="E1030" s="9">
        <f t="shared" si="269"/>
        <v>544.50459799999999</v>
      </c>
      <c r="F1030" s="9">
        <f t="shared" si="274"/>
        <v>243.66323449999999</v>
      </c>
      <c r="I1030">
        <v>1</v>
      </c>
      <c r="J1030">
        <f t="shared" si="270"/>
        <v>0.37727718998253512</v>
      </c>
      <c r="K1030">
        <f t="shared" si="275"/>
        <v>0.42076904306685509</v>
      </c>
      <c r="O1030">
        <f t="shared" si="276"/>
        <v>0.33625768840007791</v>
      </c>
      <c r="P1030">
        <f t="shared" si="277"/>
        <v>0.15047372654336358</v>
      </c>
      <c r="Q1030">
        <f t="shared" si="278"/>
        <v>0.92967113788263278</v>
      </c>
      <c r="R1030">
        <f t="shared" si="268"/>
        <v>1</v>
      </c>
      <c r="AG1030" s="8">
        <f t="shared" si="271"/>
        <v>0.70004711227736283</v>
      </c>
      <c r="AH1030" s="8">
        <f t="shared" si="272"/>
        <v>7.892915514581772E-2</v>
      </c>
      <c r="AI1030" s="8">
        <f t="shared" si="273"/>
        <v>0.70972123334453852</v>
      </c>
      <c r="AJ1030" s="8"/>
      <c r="AK1030" s="8"/>
      <c r="AL1030" s="8"/>
      <c r="AN1030" s="8">
        <f t="shared" si="279"/>
        <v>1</v>
      </c>
      <c r="AO1030" s="8">
        <f t="shared" si="280"/>
        <v>0.11227419938108654</v>
      </c>
      <c r="AP1030" s="8">
        <f t="shared" si="281"/>
        <v>0.78169390045192777</v>
      </c>
      <c r="AQ1030" s="8"/>
      <c r="AR1030" s="8">
        <f t="shared" si="282"/>
        <v>6.432837772746578</v>
      </c>
      <c r="AS1030" s="8">
        <f t="shared" si="283"/>
        <v>45.212238632985027</v>
      </c>
    </row>
    <row r="1031" spans="1:45">
      <c r="A1031" s="19">
        <v>38.138100000000001</v>
      </c>
      <c r="B1031" s="19">
        <v>1504.500256</v>
      </c>
      <c r="C1031" s="19">
        <v>-296.31686730000001</v>
      </c>
      <c r="E1031" s="9">
        <f t="shared" si="269"/>
        <v>544.50025600000004</v>
      </c>
      <c r="F1031" s="9">
        <f t="shared" si="274"/>
        <v>243.68313269999999</v>
      </c>
      <c r="I1031">
        <v>1</v>
      </c>
      <c r="J1031">
        <f t="shared" si="270"/>
        <v>0.37727960254154669</v>
      </c>
      <c r="K1031">
        <f t="shared" si="275"/>
        <v>0.420802462567267</v>
      </c>
      <c r="O1031">
        <f t="shared" si="276"/>
        <v>0.33625470667483803</v>
      </c>
      <c r="P1031">
        <f t="shared" si="277"/>
        <v>0.15048588022637058</v>
      </c>
      <c r="Q1031">
        <f t="shared" si="278"/>
        <v>0.92967024911605789</v>
      </c>
      <c r="R1031">
        <f t="shared" si="268"/>
        <v>1</v>
      </c>
      <c r="AG1031" s="8">
        <f t="shared" si="271"/>
        <v>0.70003821669715594</v>
      </c>
      <c r="AH1031" s="8">
        <f t="shared" si="272"/>
        <v>7.8928639866269468E-2</v>
      </c>
      <c r="AI1031" s="8">
        <f t="shared" si="273"/>
        <v>0.70973006486433032</v>
      </c>
      <c r="AJ1031" s="8"/>
      <c r="AK1031" s="8"/>
      <c r="AL1031" s="8"/>
      <c r="AN1031" s="8">
        <f t="shared" si="279"/>
        <v>1</v>
      </c>
      <c r="AO1031" s="8">
        <f t="shared" si="280"/>
        <v>0.11227488728737606</v>
      </c>
      <c r="AP1031" s="8">
        <f t="shared" si="281"/>
        <v>0.78168136419449585</v>
      </c>
      <c r="AQ1031" s="8"/>
      <c r="AR1031" s="8">
        <f t="shared" si="282"/>
        <v>6.4328771868736681</v>
      </c>
      <c r="AS1031" s="8">
        <f t="shared" si="283"/>
        <v>45.212956907626761</v>
      </c>
    </row>
    <row r="1032" spans="1:45">
      <c r="A1032" s="19">
        <v>38.171466670000001</v>
      </c>
      <c r="B1032" s="19">
        <v>1505.611641</v>
      </c>
      <c r="C1032" s="19">
        <v>-297.02134760000001</v>
      </c>
      <c r="E1032" s="9">
        <f t="shared" si="269"/>
        <v>545.61164099999996</v>
      </c>
      <c r="F1032" s="9">
        <f t="shared" si="274"/>
        <v>242.97865239999999</v>
      </c>
      <c r="I1032">
        <v>1</v>
      </c>
      <c r="J1032">
        <f t="shared" si="270"/>
        <v>0.37770105599246712</v>
      </c>
      <c r="K1032">
        <f t="shared" si="275"/>
        <v>0.4189657433615816</v>
      </c>
      <c r="O1032">
        <f t="shared" si="276"/>
        <v>0.33688843466582108</v>
      </c>
      <c r="P1032">
        <f t="shared" si="277"/>
        <v>0.15002740358365385</v>
      </c>
      <c r="Q1032">
        <f t="shared" si="278"/>
        <v>0.92951490615393584</v>
      </c>
      <c r="R1032">
        <f t="shared" si="268"/>
        <v>1</v>
      </c>
      <c r="AG1032" s="8">
        <f t="shared" si="271"/>
        <v>0.70040589861456715</v>
      </c>
      <c r="AH1032" s="8">
        <f t="shared" si="272"/>
        <v>7.9493722825345003E-2</v>
      </c>
      <c r="AI1032" s="8">
        <f t="shared" si="273"/>
        <v>0.70930411335145094</v>
      </c>
      <c r="AJ1032" s="8"/>
      <c r="AK1032" s="8"/>
      <c r="AL1032" s="8"/>
      <c r="AN1032" s="8">
        <f t="shared" si="279"/>
        <v>1</v>
      </c>
      <c r="AO1032" s="8">
        <f t="shared" si="280"/>
        <v>0.1130130465122684</v>
      </c>
      <c r="AP1032" s="8">
        <f t="shared" si="281"/>
        <v>0.78228581808130937</v>
      </c>
      <c r="AQ1032" s="8"/>
      <c r="AR1032" s="8">
        <f t="shared" si="282"/>
        <v>6.4751705950686471</v>
      </c>
      <c r="AS1032" s="8">
        <f t="shared" si="283"/>
        <v>45.178324251002067</v>
      </c>
    </row>
    <row r="1033" spans="1:45">
      <c r="A1033" s="19">
        <v>38.20483333</v>
      </c>
      <c r="B1033" s="19">
        <v>1505.789816</v>
      </c>
      <c r="C1033" s="19">
        <v>-297.32774330000001</v>
      </c>
      <c r="E1033" s="9">
        <f t="shared" si="269"/>
        <v>545.78981599999997</v>
      </c>
      <c r="F1033" s="9">
        <f t="shared" si="274"/>
        <v>242.67225669999999</v>
      </c>
      <c r="I1033">
        <v>1</v>
      </c>
      <c r="J1033">
        <f t="shared" si="270"/>
        <v>0.37772318997540821</v>
      </c>
      <c r="K1033">
        <f t="shared" si="275"/>
        <v>0.41837579600532232</v>
      </c>
      <c r="O1033">
        <f t="shared" si="276"/>
        <v>0.33699568359477367</v>
      </c>
      <c r="P1033">
        <f t="shared" si="277"/>
        <v>0.1498369896958702</v>
      </c>
      <c r="Q1033">
        <f t="shared" si="278"/>
        <v>0.92950674325545957</v>
      </c>
      <c r="R1033">
        <f t="shared" si="268"/>
        <v>1</v>
      </c>
      <c r="AG1033" s="8">
        <f t="shared" si="271"/>
        <v>0.70054888417004113</v>
      </c>
      <c r="AH1033" s="8">
        <f t="shared" si="272"/>
        <v>7.9565206380127651E-2</v>
      </c>
      <c r="AI1033" s="8">
        <f t="shared" si="273"/>
        <v>0.70915487647043507</v>
      </c>
      <c r="AJ1033" s="8"/>
      <c r="AK1033" s="8"/>
      <c r="AL1033" s="8"/>
      <c r="AN1033" s="8">
        <f t="shared" si="279"/>
        <v>1</v>
      </c>
      <c r="AO1033" s="8">
        <f t="shared" si="280"/>
        <v>0.11309091684422534</v>
      </c>
      <c r="AP1033" s="8">
        <f t="shared" si="281"/>
        <v>0.78249750830532316</v>
      </c>
      <c r="AQ1033" s="8"/>
      <c r="AR1033" s="8">
        <f t="shared" si="282"/>
        <v>6.4796322364390626</v>
      </c>
      <c r="AS1033" s="8">
        <f t="shared" si="283"/>
        <v>45.166195294601899</v>
      </c>
    </row>
    <row r="1034" spans="1:45">
      <c r="A1034" s="19">
        <v>38.238199999999999</v>
      </c>
      <c r="B1034" s="19">
        <v>1506.4536869999999</v>
      </c>
      <c r="C1034" s="19">
        <v>-297.40501819999997</v>
      </c>
      <c r="E1034" s="9">
        <f t="shared" si="269"/>
        <v>546.45368699999995</v>
      </c>
      <c r="F1034" s="9">
        <f t="shared" si="274"/>
        <v>242.59498180000003</v>
      </c>
      <c r="I1034">
        <v>1</v>
      </c>
      <c r="J1034">
        <f t="shared" si="270"/>
        <v>0.37805630331260648</v>
      </c>
      <c r="K1034">
        <f t="shared" si="275"/>
        <v>0.41780657852757686</v>
      </c>
      <c r="O1034">
        <f t="shared" si="276"/>
        <v>0.33736389709910786</v>
      </c>
      <c r="P1034">
        <f t="shared" si="277"/>
        <v>0.14977076817991195</v>
      </c>
      <c r="Q1034">
        <f t="shared" si="278"/>
        <v>0.92938383778334643</v>
      </c>
      <c r="R1034">
        <f t="shared" si="268"/>
        <v>1</v>
      </c>
      <c r="AG1034" s="8">
        <f t="shared" si="271"/>
        <v>0.70061887868332429</v>
      </c>
      <c r="AH1034" s="8">
        <f t="shared" si="272"/>
        <v>7.9936516226497056E-2</v>
      </c>
      <c r="AI1034" s="8">
        <f t="shared" si="273"/>
        <v>0.70904396211101917</v>
      </c>
      <c r="AJ1034" s="8"/>
      <c r="AK1034" s="8"/>
      <c r="AL1034" s="8"/>
      <c r="AN1034" s="8">
        <f t="shared" si="279"/>
        <v>1</v>
      </c>
      <c r="AO1034" s="8">
        <f t="shared" si="280"/>
        <v>0.11360290969104887</v>
      </c>
      <c r="AP1034" s="8">
        <f t="shared" si="281"/>
        <v>0.78265480942707166</v>
      </c>
      <c r="AQ1034" s="8"/>
      <c r="AR1034" s="8">
        <f t="shared" si="282"/>
        <v>6.5089672657029389</v>
      </c>
      <c r="AS1034" s="8">
        <f t="shared" si="283"/>
        <v>45.157182604213041</v>
      </c>
    </row>
    <row r="1035" spans="1:45">
      <c r="A1035" s="19">
        <v>38.271566669999999</v>
      </c>
      <c r="B1035" s="19">
        <v>1506.8795580000001</v>
      </c>
      <c r="C1035" s="19">
        <v>-297.7303685</v>
      </c>
      <c r="E1035" s="9">
        <f t="shared" si="269"/>
        <v>546.87955800000009</v>
      </c>
      <c r="F1035" s="9">
        <f t="shared" si="274"/>
        <v>242.2696315</v>
      </c>
      <c r="I1035">
        <v>1</v>
      </c>
      <c r="J1035">
        <f t="shared" si="270"/>
        <v>0.37820531890451881</v>
      </c>
      <c r="K1035">
        <f t="shared" si="275"/>
        <v>0.41702053537831529</v>
      </c>
      <c r="O1035">
        <f t="shared" si="276"/>
        <v>0.33760813923453376</v>
      </c>
      <c r="P1035">
        <f t="shared" si="277"/>
        <v>0.1495616325153466</v>
      </c>
      <c r="Q1035">
        <f t="shared" si="278"/>
        <v>0.92932882361516156</v>
      </c>
      <c r="R1035">
        <f t="shared" si="268"/>
        <v>1</v>
      </c>
      <c r="AG1035" s="8">
        <f t="shared" si="271"/>
        <v>0.70078354359417927</v>
      </c>
      <c r="AH1035" s="8">
        <f t="shared" si="272"/>
        <v>8.0147460564974737E-2</v>
      </c>
      <c r="AI1035" s="8">
        <f t="shared" si="273"/>
        <v>0.70885739721933549</v>
      </c>
      <c r="AJ1035" s="8"/>
      <c r="AK1035" s="8"/>
      <c r="AL1035" s="8"/>
      <c r="AN1035" s="8">
        <f t="shared" si="279"/>
        <v>0.99999999999999989</v>
      </c>
      <c r="AO1035" s="8">
        <f t="shared" si="280"/>
        <v>0.11387358088250529</v>
      </c>
      <c r="AP1035" s="8">
        <f t="shared" si="281"/>
        <v>0.78291934365073967</v>
      </c>
      <c r="AQ1035" s="8"/>
      <c r="AR1035" s="8">
        <f t="shared" si="282"/>
        <v>6.5244755826091696</v>
      </c>
      <c r="AS1035" s="8">
        <f t="shared" si="283"/>
        <v>45.142025909660092</v>
      </c>
    </row>
    <row r="1036" spans="1:45">
      <c r="A1036" s="19">
        <v>38.304933329999997</v>
      </c>
      <c r="B1036" s="19">
        <v>1507.628029</v>
      </c>
      <c r="C1036" s="19">
        <v>-297.95170350000001</v>
      </c>
      <c r="E1036" s="9">
        <f t="shared" si="269"/>
        <v>547.62802899999997</v>
      </c>
      <c r="F1036" s="9">
        <f t="shared" si="274"/>
        <v>242.04829649999999</v>
      </c>
      <c r="I1036">
        <v>1</v>
      </c>
      <c r="J1036">
        <f t="shared" si="270"/>
        <v>0.37854963856990087</v>
      </c>
      <c r="K1036">
        <f t="shared" si="275"/>
        <v>0.41617621237468011</v>
      </c>
      <c r="O1036">
        <f t="shared" si="276"/>
        <v>0.33802694981566506</v>
      </c>
      <c r="P1036">
        <f t="shared" si="277"/>
        <v>0.14940587961390253</v>
      </c>
      <c r="Q1036">
        <f t="shared" si="278"/>
        <v>0.92920162738509771</v>
      </c>
      <c r="R1036">
        <f t="shared" si="268"/>
        <v>1</v>
      </c>
      <c r="AG1036" s="8">
        <f t="shared" si="271"/>
        <v>0.70092049315287608</v>
      </c>
      <c r="AH1036" s="8">
        <f t="shared" si="272"/>
        <v>8.0552669802817389E-2</v>
      </c>
      <c r="AI1036" s="8">
        <f t="shared" si="273"/>
        <v>0.70867603999709727</v>
      </c>
      <c r="AJ1036" s="8"/>
      <c r="AK1036" s="8"/>
      <c r="AL1036" s="8"/>
      <c r="AN1036" s="8">
        <f t="shared" si="279"/>
        <v>1.0000000000000002</v>
      </c>
      <c r="AO1036" s="8">
        <f t="shared" si="280"/>
        <v>0.11442213504093161</v>
      </c>
      <c r="AP1036" s="8">
        <f t="shared" si="281"/>
        <v>0.78317642642032181</v>
      </c>
      <c r="AQ1036" s="8"/>
      <c r="AR1036" s="8">
        <f t="shared" si="282"/>
        <v>6.5559054207213485</v>
      </c>
      <c r="AS1036" s="8">
        <f t="shared" si="283"/>
        <v>45.127296151977497</v>
      </c>
    </row>
    <row r="1037" spans="1:45">
      <c r="A1037" s="19">
        <v>38.338299999999997</v>
      </c>
      <c r="B1037" s="19">
        <v>1507.8629100000001</v>
      </c>
      <c r="C1037" s="19">
        <v>-298.06617779999999</v>
      </c>
      <c r="E1037" s="9">
        <f t="shared" si="269"/>
        <v>547.86291000000006</v>
      </c>
      <c r="F1037" s="9">
        <f t="shared" si="274"/>
        <v>241.93382220000001</v>
      </c>
      <c r="I1037">
        <v>1</v>
      </c>
      <c r="J1037">
        <f t="shared" si="270"/>
        <v>0.37864719925585327</v>
      </c>
      <c r="K1037">
        <f t="shared" si="275"/>
        <v>0.41584284104451769</v>
      </c>
      <c r="O1037">
        <f t="shared" si="276"/>
        <v>0.33815966476457521</v>
      </c>
      <c r="P1037">
        <f t="shared" si="277"/>
        <v>0.14932980261497231</v>
      </c>
      <c r="Q1037">
        <f t="shared" si="278"/>
        <v>0.92916556715005505</v>
      </c>
      <c r="R1037">
        <f t="shared" si="268"/>
        <v>1</v>
      </c>
      <c r="AG1037" s="8">
        <f t="shared" si="271"/>
        <v>0.70098298373264689</v>
      </c>
      <c r="AH1037" s="8">
        <f t="shared" si="272"/>
        <v>8.0675368665046543E-2</v>
      </c>
      <c r="AI1037" s="8">
        <f t="shared" si="273"/>
        <v>0.70860026912783092</v>
      </c>
      <c r="AJ1037" s="8"/>
      <c r="AK1037" s="8"/>
      <c r="AL1037" s="8"/>
      <c r="AN1037" s="8">
        <f t="shared" si="279"/>
        <v>1</v>
      </c>
      <c r="AO1037" s="8">
        <f t="shared" si="280"/>
        <v>0.11458477699764112</v>
      </c>
      <c r="AP1037" s="8">
        <f t="shared" si="281"/>
        <v>0.78328381568800609</v>
      </c>
      <c r="AQ1037" s="8"/>
      <c r="AR1037" s="8">
        <f t="shared" si="282"/>
        <v>6.5652241184125524</v>
      </c>
      <c r="AS1037" s="8">
        <f t="shared" si="283"/>
        <v>45.121143200174188</v>
      </c>
    </row>
    <row r="1038" spans="1:45">
      <c r="A1038" s="19">
        <v>38.371666670000003</v>
      </c>
      <c r="B1038" s="19">
        <v>1508.2807210000001</v>
      </c>
      <c r="C1038" s="19">
        <v>-298.52848089999998</v>
      </c>
      <c r="E1038" s="9">
        <f t="shared" si="269"/>
        <v>548.28072100000009</v>
      </c>
      <c r="F1038" s="9">
        <f t="shared" si="274"/>
        <v>241.47151910000002</v>
      </c>
      <c r="I1038">
        <v>1</v>
      </c>
      <c r="J1038">
        <f t="shared" si="270"/>
        <v>0.37876046590964524</v>
      </c>
      <c r="K1038">
        <f t="shared" si="275"/>
        <v>0.41485521993410596</v>
      </c>
      <c r="O1038">
        <f t="shared" si="276"/>
        <v>0.33840329507975614</v>
      </c>
      <c r="P1038">
        <f t="shared" si="277"/>
        <v>0.14903817442699077</v>
      </c>
      <c r="Q1038">
        <f t="shared" si="278"/>
        <v>0.92912369060455746</v>
      </c>
      <c r="R1038">
        <f t="shared" si="268"/>
        <v>1</v>
      </c>
      <c r="AG1038" s="8">
        <f t="shared" si="271"/>
        <v>0.70120641342955614</v>
      </c>
      <c r="AH1038" s="8">
        <f t="shared" si="272"/>
        <v>8.0868112029360839E-2</v>
      </c>
      <c r="AI1038" s="8">
        <f t="shared" si="273"/>
        <v>0.70835719395095098</v>
      </c>
      <c r="AJ1038" s="8"/>
      <c r="AK1038" s="8"/>
      <c r="AL1038" s="8"/>
      <c r="AN1038" s="8">
        <f t="shared" si="279"/>
        <v>1</v>
      </c>
      <c r="AO1038" s="8">
        <f t="shared" si="280"/>
        <v>0.11481985922414376</v>
      </c>
      <c r="AP1038" s="8">
        <f t="shared" si="281"/>
        <v>0.78362824547907772</v>
      </c>
      <c r="AQ1038" s="8"/>
      <c r="AR1038" s="8">
        <f t="shared" si="282"/>
        <v>6.5786933378296926</v>
      </c>
      <c r="AS1038" s="8">
        <f t="shared" si="283"/>
        <v>45.101408826807216</v>
      </c>
    </row>
    <row r="1039" spans="1:45">
      <c r="A1039" s="19">
        <v>38.405033330000002</v>
      </c>
      <c r="B1039" s="19">
        <v>1509.4049809999999</v>
      </c>
      <c r="C1039" s="19">
        <v>-299.00235199999997</v>
      </c>
      <c r="E1039" s="9">
        <f t="shared" si="269"/>
        <v>549.40498099999991</v>
      </c>
      <c r="F1039" s="9">
        <f t="shared" si="274"/>
        <v>240.99764800000003</v>
      </c>
      <c r="I1039">
        <v>1</v>
      </c>
      <c r="J1039">
        <f t="shared" si="270"/>
        <v>0.37924558167582889</v>
      </c>
      <c r="K1039">
        <f t="shared" si="275"/>
        <v>0.41337703986852103</v>
      </c>
      <c r="O1039">
        <f t="shared" si="276"/>
        <v>0.33903595780032708</v>
      </c>
      <c r="P1039">
        <f t="shared" si="277"/>
        <v>0.14871883445357062</v>
      </c>
      <c r="Q1039">
        <f t="shared" si="278"/>
        <v>0.92894420047556481</v>
      </c>
      <c r="R1039">
        <f t="shared" si="268"/>
        <v>1</v>
      </c>
      <c r="AG1039" s="8">
        <f t="shared" si="271"/>
        <v>0.7014728391481313</v>
      </c>
      <c r="AH1039" s="8">
        <f t="shared" si="272"/>
        <v>8.1462478422685614E-2</v>
      </c>
      <c r="AI1039" s="8">
        <f t="shared" si="273"/>
        <v>0.70802522592538564</v>
      </c>
      <c r="AJ1039" s="8"/>
      <c r="AK1039" s="8"/>
      <c r="AL1039" s="8"/>
      <c r="AN1039" s="8">
        <f t="shared" si="279"/>
        <v>1</v>
      </c>
      <c r="AO1039" s="8">
        <f t="shared" si="280"/>
        <v>0.11561274964301974</v>
      </c>
      <c r="AP1039" s="8">
        <f t="shared" si="281"/>
        <v>0.78409844138702811</v>
      </c>
      <c r="AQ1039" s="8"/>
      <c r="AR1039" s="8">
        <f t="shared" si="282"/>
        <v>6.6241226124476462</v>
      </c>
      <c r="AS1039" s="8">
        <f t="shared" si="283"/>
        <v>45.074468585737336</v>
      </c>
    </row>
    <row r="1040" spans="1:45">
      <c r="A1040" s="19">
        <v>38.438400000000001</v>
      </c>
      <c r="B1040" s="19">
        <v>1509.9958690000001</v>
      </c>
      <c r="C1040" s="19">
        <v>-299.12286929999999</v>
      </c>
      <c r="E1040" s="9">
        <f t="shared" si="269"/>
        <v>549.99586900000008</v>
      </c>
      <c r="F1040" s="9">
        <f t="shared" si="274"/>
        <v>240.87713070000001</v>
      </c>
      <c r="I1040">
        <v>1</v>
      </c>
      <c r="J1040">
        <f t="shared" si="270"/>
        <v>0.37953059281764256</v>
      </c>
      <c r="K1040">
        <f t="shared" si="275"/>
        <v>0.41279790863861193</v>
      </c>
      <c r="O1040">
        <f t="shared" si="276"/>
        <v>0.33936453505808745</v>
      </c>
      <c r="P1040">
        <f t="shared" si="277"/>
        <v>0.1486286717294083</v>
      </c>
      <c r="Q1040">
        <f t="shared" si="278"/>
        <v>0.92883864599012023</v>
      </c>
      <c r="R1040">
        <f t="shared" si="268"/>
        <v>1</v>
      </c>
      <c r="AG1040" s="8">
        <f t="shared" si="271"/>
        <v>0.70155690204755305</v>
      </c>
      <c r="AH1040" s="8">
        <f t="shared" si="272"/>
        <v>8.1787415873805003E-2</v>
      </c>
      <c r="AI1040" s="8">
        <f t="shared" si="273"/>
        <v>0.7079044651604659</v>
      </c>
      <c r="AJ1040" s="8"/>
      <c r="AK1040" s="8"/>
      <c r="AL1040" s="8"/>
      <c r="AN1040" s="8">
        <f t="shared" si="279"/>
        <v>1</v>
      </c>
      <c r="AO1040" s="8">
        <f t="shared" si="280"/>
        <v>0.11605599972419538</v>
      </c>
      <c r="AP1040" s="8">
        <f t="shared" si="281"/>
        <v>0.78426943064462451</v>
      </c>
      <c r="AQ1040" s="8"/>
      <c r="AR1040" s="8">
        <f t="shared" si="282"/>
        <v>6.6495189713678409</v>
      </c>
      <c r="AS1040" s="8">
        <f t="shared" si="283"/>
        <v>45.064671622934988</v>
      </c>
    </row>
    <row r="1041" spans="1:45">
      <c r="A1041" s="19">
        <v>38.471766670000001</v>
      </c>
      <c r="B1041" s="19">
        <v>1510.568346</v>
      </c>
      <c r="C1041" s="19">
        <v>-299.18082099999998</v>
      </c>
      <c r="E1041" s="9">
        <f t="shared" si="269"/>
        <v>550.56834600000002</v>
      </c>
      <c r="F1041" s="9">
        <f t="shared" si="274"/>
        <v>240.81917900000002</v>
      </c>
      <c r="I1041">
        <v>1</v>
      </c>
      <c r="J1041">
        <f t="shared" si="270"/>
        <v>0.37982039908020365</v>
      </c>
      <c r="K1041">
        <f t="shared" si="275"/>
        <v>0.4123273951658003</v>
      </c>
      <c r="O1041">
        <f t="shared" si="276"/>
        <v>0.3396810381998685</v>
      </c>
      <c r="P1041">
        <f t="shared" si="277"/>
        <v>0.14857684669935597</v>
      </c>
      <c r="Q1041">
        <f t="shared" si="278"/>
        <v>0.92873123825589909</v>
      </c>
      <c r="R1041">
        <f t="shared" si="268"/>
        <v>1</v>
      </c>
      <c r="AG1041" s="8">
        <f t="shared" si="271"/>
        <v>0.70161272807458375</v>
      </c>
      <c r="AH1041" s="8">
        <f t="shared" si="272"/>
        <v>8.2107939208045544E-2</v>
      </c>
      <c r="AI1041" s="8">
        <f t="shared" si="273"/>
        <v>0.70781202739339499</v>
      </c>
      <c r="AJ1041" s="8"/>
      <c r="AK1041" s="8"/>
      <c r="AL1041" s="8"/>
      <c r="AN1041" s="8">
        <f t="shared" si="279"/>
        <v>1</v>
      </c>
      <c r="AO1041" s="8">
        <f t="shared" si="280"/>
        <v>0.11649753769786433</v>
      </c>
      <c r="AP1041" s="8">
        <f t="shared" si="281"/>
        <v>0.78440029661229083</v>
      </c>
      <c r="AQ1041" s="8"/>
      <c r="AR1041" s="8">
        <f t="shared" si="282"/>
        <v>6.6748172337538305</v>
      </c>
      <c r="AS1041" s="8">
        <f t="shared" si="283"/>
        <v>45.057173555305809</v>
      </c>
    </row>
    <row r="1042" spans="1:45">
      <c r="A1042" s="19">
        <v>38.50513333</v>
      </c>
      <c r="B1042" s="19">
        <v>1511.273524</v>
      </c>
      <c r="C1042" s="19">
        <v>-299.32768670000002</v>
      </c>
      <c r="E1042" s="9">
        <f t="shared" si="269"/>
        <v>551.27352399999995</v>
      </c>
      <c r="F1042" s="9">
        <f t="shared" si="274"/>
        <v>240.67231329999998</v>
      </c>
      <c r="I1042">
        <v>1</v>
      </c>
      <c r="J1042">
        <f t="shared" si="270"/>
        <v>0.3801599412074364</v>
      </c>
      <c r="K1042">
        <f t="shared" si="275"/>
        <v>0.411633898100429</v>
      </c>
      <c r="O1042">
        <f t="shared" si="276"/>
        <v>0.34007297673916376</v>
      </c>
      <c r="P1042">
        <f t="shared" si="277"/>
        <v>0.14846740581474333</v>
      </c>
      <c r="Q1042">
        <f t="shared" si="278"/>
        <v>0.92860529823084925</v>
      </c>
      <c r="R1042">
        <f t="shared" si="268"/>
        <v>1</v>
      </c>
      <c r="AG1042" s="8">
        <f t="shared" si="271"/>
        <v>0.70171411032890174</v>
      </c>
      <c r="AH1042" s="8">
        <f t="shared" si="272"/>
        <v>8.2495226207913663E-2</v>
      </c>
      <c r="AI1042" s="8">
        <f t="shared" si="273"/>
        <v>0.70766647865941978</v>
      </c>
      <c r="AJ1042" s="8"/>
      <c r="AK1042" s="8"/>
      <c r="AL1042" s="8"/>
      <c r="AN1042" s="8">
        <f t="shared" si="279"/>
        <v>1</v>
      </c>
      <c r="AO1042" s="8">
        <f t="shared" si="280"/>
        <v>0.11702528464923878</v>
      </c>
      <c r="AP1042" s="8">
        <f t="shared" si="281"/>
        <v>0.78460631804822378</v>
      </c>
      <c r="AQ1042" s="8"/>
      <c r="AR1042" s="8">
        <f t="shared" si="282"/>
        <v>6.705054906718483</v>
      </c>
      <c r="AS1042" s="8">
        <f t="shared" si="283"/>
        <v>45.045369396537623</v>
      </c>
    </row>
    <row r="1043" spans="1:45">
      <c r="A1043" s="19">
        <v>38.538499999999999</v>
      </c>
      <c r="B1043" s="19">
        <v>1511.634777</v>
      </c>
      <c r="C1043" s="19">
        <v>-299.59721610000003</v>
      </c>
      <c r="E1043" s="9">
        <f t="shared" si="269"/>
        <v>551.63477699999999</v>
      </c>
      <c r="F1043" s="9">
        <f t="shared" si="274"/>
        <v>240.40278389999997</v>
      </c>
      <c r="I1043">
        <v>1</v>
      </c>
      <c r="J1043">
        <f t="shared" si="270"/>
        <v>0.38028903879270404</v>
      </c>
      <c r="K1043">
        <f t="shared" si="275"/>
        <v>0.41098319630433672</v>
      </c>
      <c r="O1043">
        <f t="shared" si="276"/>
        <v>0.34027940796140282</v>
      </c>
      <c r="P1043">
        <f t="shared" si="277"/>
        <v>0.14829398070703048</v>
      </c>
      <c r="Q1043">
        <f t="shared" si="278"/>
        <v>0.92855738638142338</v>
      </c>
      <c r="R1043">
        <f t="shared" si="268"/>
        <v>1</v>
      </c>
      <c r="AG1043" s="8">
        <f t="shared" si="271"/>
        <v>0.701850253876667</v>
      </c>
      <c r="AH1043" s="8">
        <f t="shared" si="272"/>
        <v>8.2674477482892972E-2</v>
      </c>
      <c r="AI1043" s="8">
        <f t="shared" si="273"/>
        <v>0.70751053130408503</v>
      </c>
      <c r="AJ1043" s="8"/>
      <c r="AK1043" s="8"/>
      <c r="AL1043" s="8"/>
      <c r="AN1043" s="8">
        <f t="shared" si="279"/>
        <v>1</v>
      </c>
      <c r="AO1043" s="8">
        <f t="shared" si="280"/>
        <v>0.11725470126333802</v>
      </c>
      <c r="AP1043" s="8">
        <f t="shared" si="281"/>
        <v>0.78482701136704758</v>
      </c>
      <c r="AQ1043" s="8"/>
      <c r="AR1043" s="8">
        <f t="shared" si="282"/>
        <v>6.7181995104565502</v>
      </c>
      <c r="AS1043" s="8">
        <f t="shared" si="283"/>
        <v>45.03272460080229</v>
      </c>
    </row>
    <row r="1044" spans="1:45">
      <c r="A1044" s="19">
        <v>38.571866669999999</v>
      </c>
      <c r="B1044" s="19">
        <v>1512.336481</v>
      </c>
      <c r="C1044" s="19">
        <v>-299.97637730000002</v>
      </c>
      <c r="E1044" s="9">
        <f t="shared" si="269"/>
        <v>552.33648100000005</v>
      </c>
      <c r="F1044" s="9">
        <f t="shared" si="274"/>
        <v>240.02362269999998</v>
      </c>
      <c r="I1044">
        <v>1</v>
      </c>
      <c r="J1044">
        <f t="shared" si="270"/>
        <v>0.38057342433060687</v>
      </c>
      <c r="K1044">
        <f t="shared" si="275"/>
        <v>0.40994053621925075</v>
      </c>
      <c r="O1044">
        <f t="shared" si="276"/>
        <v>0.34067601820046761</v>
      </c>
      <c r="P1044">
        <f t="shared" si="277"/>
        <v>0.1480443441060475</v>
      </c>
      <c r="Q1044">
        <f t="shared" si="278"/>
        <v>0.92845178808664308</v>
      </c>
      <c r="R1044">
        <f t="shared" si="268"/>
        <v>1</v>
      </c>
      <c r="AG1044" s="8">
        <f t="shared" si="271"/>
        <v>0.70205191990062843</v>
      </c>
      <c r="AH1044" s="8">
        <f t="shared" si="272"/>
        <v>8.3036787003101853E-2</v>
      </c>
      <c r="AI1044" s="8">
        <f t="shared" si="273"/>
        <v>0.70726797875207326</v>
      </c>
      <c r="AJ1044" s="8"/>
      <c r="AK1044" s="8"/>
      <c r="AL1044" s="8"/>
      <c r="AN1044" s="8">
        <f t="shared" si="279"/>
        <v>1</v>
      </c>
      <c r="AO1044" s="8">
        <f t="shared" si="280"/>
        <v>0.11773031018125643</v>
      </c>
      <c r="AP1044" s="8">
        <f t="shared" si="281"/>
        <v>0.7851701696215041</v>
      </c>
      <c r="AQ1044" s="8"/>
      <c r="AR1044" s="8">
        <f t="shared" si="282"/>
        <v>6.7454498941520598</v>
      </c>
      <c r="AS1044" s="8">
        <f t="shared" si="283"/>
        <v>45.013063081116854</v>
      </c>
    </row>
    <row r="1045" spans="1:45">
      <c r="A1045" s="19">
        <v>38.605233329999997</v>
      </c>
      <c r="B1045" s="19">
        <v>1512.5348409999999</v>
      </c>
      <c r="C1045" s="19">
        <v>-300.16880550000002</v>
      </c>
      <c r="E1045" s="9">
        <f t="shared" si="269"/>
        <v>552.53484099999991</v>
      </c>
      <c r="F1045" s="9">
        <f t="shared" si="274"/>
        <v>239.83119449999998</v>
      </c>
      <c r="I1045">
        <v>1</v>
      </c>
      <c r="J1045">
        <f t="shared" si="270"/>
        <v>0.38063425855618366</v>
      </c>
      <c r="K1045">
        <f t="shared" si="275"/>
        <v>0.40951628793988415</v>
      </c>
      <c r="O1045">
        <f t="shared" si="276"/>
        <v>0.34079060584523979</v>
      </c>
      <c r="P1045">
        <f t="shared" si="277"/>
        <v>0.14792228835075857</v>
      </c>
      <c r="Q1045">
        <f t="shared" si="278"/>
        <v>0.92842918931747798</v>
      </c>
      <c r="R1045">
        <f t="shared" si="268"/>
        <v>1</v>
      </c>
      <c r="AG1045" s="8">
        <f t="shared" si="271"/>
        <v>0.70214584469098318</v>
      </c>
      <c r="AH1045" s="8">
        <f t="shared" si="272"/>
        <v>8.3130809190429367E-2</v>
      </c>
      <c r="AI1045" s="8">
        <f t="shared" si="273"/>
        <v>0.70716368780256955</v>
      </c>
      <c r="AJ1045" s="8"/>
      <c r="AK1045" s="8"/>
      <c r="AL1045" s="8"/>
      <c r="AN1045" s="8">
        <f t="shared" si="279"/>
        <v>0.99999999999999989</v>
      </c>
      <c r="AO1045" s="8">
        <f t="shared" si="280"/>
        <v>0.1178467645947066</v>
      </c>
      <c r="AP1045" s="8">
        <f t="shared" si="281"/>
        <v>0.78531768205057051</v>
      </c>
      <c r="AQ1045" s="8"/>
      <c r="AR1045" s="8">
        <f t="shared" si="282"/>
        <v>6.7521222405484256</v>
      </c>
      <c r="AS1045" s="8">
        <f t="shared" si="283"/>
        <v>45.004611241505621</v>
      </c>
    </row>
    <row r="1046" spans="1:45">
      <c r="A1046" s="19">
        <v>38.638599999999997</v>
      </c>
      <c r="B1046" s="19">
        <v>1513.0231900000001</v>
      </c>
      <c r="C1046" s="19">
        <v>-300.69451429999998</v>
      </c>
      <c r="E1046" s="9">
        <f t="shared" si="269"/>
        <v>553.02319000000011</v>
      </c>
      <c r="F1046" s="9">
        <f t="shared" si="274"/>
        <v>239.30548570000002</v>
      </c>
      <c r="I1046">
        <v>1</v>
      </c>
      <c r="J1046">
        <f t="shared" si="270"/>
        <v>0.38077235958301808</v>
      </c>
      <c r="K1046">
        <f t="shared" si="275"/>
        <v>0.40839330913398653</v>
      </c>
      <c r="O1046">
        <f t="shared" si="276"/>
        <v>0.34107417373767857</v>
      </c>
      <c r="P1046">
        <f t="shared" si="277"/>
        <v>0.14759041262993208</v>
      </c>
      <c r="Q1046">
        <f t="shared" si="278"/>
        <v>0.9283778746334308</v>
      </c>
      <c r="R1046">
        <f t="shared" si="268"/>
        <v>1</v>
      </c>
      <c r="AG1046" s="8">
        <f t="shared" si="271"/>
        <v>0.7023994958435944</v>
      </c>
      <c r="AH1046" s="8">
        <f t="shared" si="272"/>
        <v>8.3357151819829056E-2</v>
      </c>
      <c r="AI1046" s="8">
        <f t="shared" si="273"/>
        <v>0.70688509213248385</v>
      </c>
      <c r="AJ1046" s="8"/>
      <c r="AK1046" s="8"/>
      <c r="AL1046" s="8"/>
      <c r="AN1046" s="8">
        <f t="shared" si="279"/>
        <v>0.99999999999999978</v>
      </c>
      <c r="AO1046" s="8">
        <f t="shared" si="280"/>
        <v>0.11812237902778362</v>
      </c>
      <c r="AP1046" s="8">
        <f t="shared" si="281"/>
        <v>0.78571162993883237</v>
      </c>
      <c r="AQ1046" s="8"/>
      <c r="AR1046" s="8">
        <f t="shared" si="282"/>
        <v>6.7679137843366295</v>
      </c>
      <c r="AS1046" s="8">
        <f t="shared" si="283"/>
        <v>44.982039690160128</v>
      </c>
    </row>
    <row r="1047" spans="1:45">
      <c r="A1047" s="19">
        <v>38.671966670000003</v>
      </c>
      <c r="B1047" s="19">
        <v>1513.771555</v>
      </c>
      <c r="C1047" s="19">
        <v>-300.91499770000001</v>
      </c>
      <c r="E1047" s="9">
        <f t="shared" si="269"/>
        <v>553.77155500000003</v>
      </c>
      <c r="F1047" s="9">
        <f t="shared" si="274"/>
        <v>239.08500229999999</v>
      </c>
      <c r="I1047">
        <v>1</v>
      </c>
      <c r="J1047">
        <f t="shared" si="270"/>
        <v>0.38111863904941284</v>
      </c>
      <c r="K1047">
        <f t="shared" si="275"/>
        <v>0.40756510839159521</v>
      </c>
      <c r="O1047">
        <f t="shared" si="276"/>
        <v>0.34149141626630225</v>
      </c>
      <c r="P1047">
        <f t="shared" si="277"/>
        <v>0.14743530126508417</v>
      </c>
      <c r="Q1047">
        <f t="shared" si="278"/>
        <v>0.92824912849800667</v>
      </c>
      <c r="R1047">
        <f t="shared" si="268"/>
        <v>1</v>
      </c>
      <c r="AG1047" s="8">
        <f t="shared" si="271"/>
        <v>0.70253441526909843</v>
      </c>
      <c r="AH1047" s="8">
        <f t="shared" si="272"/>
        <v>8.3761428770380231E-2</v>
      </c>
      <c r="AI1047" s="8">
        <f t="shared" si="273"/>
        <v>0.70670320390730534</v>
      </c>
      <c r="AJ1047" s="8"/>
      <c r="AK1047" s="8"/>
      <c r="AL1047" s="8"/>
      <c r="AN1047" s="8">
        <f t="shared" si="279"/>
        <v>0.99999999999999989</v>
      </c>
      <c r="AO1047" s="8">
        <f t="shared" si="280"/>
        <v>0.11866733216241597</v>
      </c>
      <c r="AP1047" s="8">
        <f t="shared" si="281"/>
        <v>0.78596874510843795</v>
      </c>
      <c r="AQ1047" s="8"/>
      <c r="AR1047" s="8">
        <f t="shared" si="282"/>
        <v>6.7991372989834877</v>
      </c>
      <c r="AS1047" s="8">
        <f t="shared" si="283"/>
        <v>44.967308076092941</v>
      </c>
    </row>
    <row r="1048" spans="1:45">
      <c r="A1048" s="19">
        <v>38.705333330000002</v>
      </c>
      <c r="B1048" s="19">
        <v>1514.46839</v>
      </c>
      <c r="C1048" s="19">
        <v>-301.1229629</v>
      </c>
      <c r="E1048" s="9">
        <f t="shared" si="269"/>
        <v>554.46839</v>
      </c>
      <c r="F1048" s="9">
        <f t="shared" si="274"/>
        <v>238.8770371</v>
      </c>
      <c r="I1048">
        <v>1</v>
      </c>
      <c r="J1048">
        <f t="shared" si="270"/>
        <v>0.38144059707332345</v>
      </c>
      <c r="K1048">
        <f t="shared" si="275"/>
        <v>0.4067913622872516</v>
      </c>
      <c r="O1048">
        <f t="shared" si="276"/>
        <v>0.34187984284918216</v>
      </c>
      <c r="P1048">
        <f t="shared" si="277"/>
        <v>0.14728926910337711</v>
      </c>
      <c r="Q1048">
        <f t="shared" si="278"/>
        <v>0.92812932518071611</v>
      </c>
      <c r="R1048">
        <f t="shared" si="268"/>
        <v>1</v>
      </c>
      <c r="AG1048" s="8">
        <f t="shared" si="271"/>
        <v>0.70266103137449665</v>
      </c>
      <c r="AH1048" s="8">
        <f t="shared" si="272"/>
        <v>8.413749557040634E-2</v>
      </c>
      <c r="AI1048" s="8">
        <f t="shared" si="273"/>
        <v>0.70653262969721964</v>
      </c>
      <c r="AJ1048" s="8"/>
      <c r="AK1048" s="8"/>
      <c r="AL1048" s="8"/>
      <c r="AN1048" s="8">
        <f t="shared" si="279"/>
        <v>1</v>
      </c>
      <c r="AO1048" s="8">
        <f t="shared" si="280"/>
        <v>0.11917382076483964</v>
      </c>
      <c r="AP1048" s="8">
        <f t="shared" si="281"/>
        <v>0.78620980692703479</v>
      </c>
      <c r="AQ1048" s="8"/>
      <c r="AR1048" s="8">
        <f t="shared" si="282"/>
        <v>6.8281569582738433</v>
      </c>
      <c r="AS1048" s="8">
        <f t="shared" si="283"/>
        <v>44.953496251285593</v>
      </c>
    </row>
    <row r="1049" spans="1:45">
      <c r="A1049" s="19">
        <v>38.738700000000001</v>
      </c>
      <c r="B1049" s="19">
        <v>1515.155925</v>
      </c>
      <c r="C1049" s="19">
        <v>-301.71517669999997</v>
      </c>
      <c r="E1049" s="9">
        <f t="shared" si="269"/>
        <v>555.15592500000002</v>
      </c>
      <c r="F1049" s="9">
        <f t="shared" si="274"/>
        <v>238.28482330000003</v>
      </c>
      <c r="I1049">
        <v>1</v>
      </c>
      <c r="J1049">
        <f t="shared" si="270"/>
        <v>0.38167019683865527</v>
      </c>
      <c r="K1049">
        <f t="shared" si="275"/>
        <v>0.4054408011782073</v>
      </c>
      <c r="O1049">
        <f t="shared" si="276"/>
        <v>0.3422742672369688</v>
      </c>
      <c r="P1049">
        <f t="shared" si="277"/>
        <v>0.14691145246931861</v>
      </c>
      <c r="Q1049">
        <f t="shared" si="278"/>
        <v>0.92804383038774152</v>
      </c>
      <c r="R1049">
        <f t="shared" si="268"/>
        <v>1</v>
      </c>
      <c r="AG1049" s="8">
        <f t="shared" si="271"/>
        <v>0.70295337781958722</v>
      </c>
      <c r="AH1049" s="8">
        <f t="shared" si="272"/>
        <v>8.447044578524604E-2</v>
      </c>
      <c r="AI1049" s="8">
        <f t="shared" si="273"/>
        <v>0.70620201953893791</v>
      </c>
      <c r="AJ1049" s="8"/>
      <c r="AK1049" s="8"/>
      <c r="AL1049" s="8"/>
      <c r="AN1049" s="8">
        <f t="shared" si="279"/>
        <v>1</v>
      </c>
      <c r="AO1049" s="8">
        <f t="shared" si="280"/>
        <v>0.11959165508945352</v>
      </c>
      <c r="AP1049" s="8">
        <f t="shared" si="281"/>
        <v>0.78667687239044859</v>
      </c>
      <c r="AQ1049" s="8"/>
      <c r="AR1049" s="8">
        <f t="shared" si="282"/>
        <v>6.8520971016099184</v>
      </c>
      <c r="AS1049" s="8">
        <f t="shared" si="283"/>
        <v>44.926735371475658</v>
      </c>
    </row>
    <row r="1050" spans="1:45">
      <c r="A1050" s="19">
        <v>38.772066670000001</v>
      </c>
      <c r="B1050" s="19">
        <v>1515.884667</v>
      </c>
      <c r="C1050" s="19">
        <v>-301.74963159999999</v>
      </c>
      <c r="E1050" s="9">
        <f t="shared" si="269"/>
        <v>555.88466700000004</v>
      </c>
      <c r="F1050" s="9">
        <f t="shared" si="274"/>
        <v>238.25036840000001</v>
      </c>
      <c r="I1050">
        <v>1</v>
      </c>
      <c r="J1050">
        <f t="shared" si="270"/>
        <v>0.38204895522378474</v>
      </c>
      <c r="K1050">
        <f t="shared" si="275"/>
        <v>0.40491318858715608</v>
      </c>
      <c r="O1050">
        <f t="shared" si="276"/>
        <v>0.34267478790360073</v>
      </c>
      <c r="P1050">
        <f t="shared" si="277"/>
        <v>0.14686930456281994</v>
      </c>
      <c r="Q1050">
        <f t="shared" si="278"/>
        <v>0.92790268730748693</v>
      </c>
      <c r="R1050">
        <f t="shared" si="268"/>
        <v>1</v>
      </c>
      <c r="AG1050" s="8">
        <f t="shared" si="271"/>
        <v>0.70300618147591032</v>
      </c>
      <c r="AH1050" s="8">
        <f t="shared" si="272"/>
        <v>8.4881483474952779E-2</v>
      </c>
      <c r="AI1050" s="8">
        <f t="shared" si="273"/>
        <v>0.70610016468610937</v>
      </c>
      <c r="AJ1050" s="8"/>
      <c r="AK1050" s="8"/>
      <c r="AL1050" s="8"/>
      <c r="AN1050" s="8">
        <f t="shared" si="279"/>
        <v>1</v>
      </c>
      <c r="AO1050" s="8">
        <f t="shared" si="280"/>
        <v>0.12015908232250247</v>
      </c>
      <c r="AP1050" s="8">
        <f t="shared" si="281"/>
        <v>0.7868207227468953</v>
      </c>
      <c r="AQ1050" s="8"/>
      <c r="AR1050" s="8">
        <f t="shared" si="282"/>
        <v>6.8846082872444097</v>
      </c>
      <c r="AS1050" s="8">
        <f t="shared" si="283"/>
        <v>44.918493353169808</v>
      </c>
    </row>
    <row r="1051" spans="1:45">
      <c r="A1051" s="19">
        <v>38.80543333</v>
      </c>
      <c r="B1051" s="19">
        <v>1515.982493</v>
      </c>
      <c r="C1051" s="19">
        <v>-301.83204610000001</v>
      </c>
      <c r="E1051" s="9">
        <f t="shared" si="269"/>
        <v>555.98249299999998</v>
      </c>
      <c r="F1051" s="9">
        <f t="shared" si="274"/>
        <v>238.16795389999999</v>
      </c>
      <c r="I1051">
        <v>1</v>
      </c>
      <c r="J1051">
        <f t="shared" si="270"/>
        <v>0.38208211799835329</v>
      </c>
      <c r="K1051">
        <f t="shared" si="275"/>
        <v>0.40472423574152555</v>
      </c>
      <c r="O1051">
        <f t="shared" si="276"/>
        <v>0.34273081877375394</v>
      </c>
      <c r="P1051">
        <f t="shared" si="277"/>
        <v>0.14681666936195539</v>
      </c>
      <c r="Q1051">
        <f t="shared" si="278"/>
        <v>0.92789032296933371</v>
      </c>
      <c r="R1051">
        <f t="shared" ref="R1051:R1114" si="284">SQRT(O1051^2+P1051^2+Q1051^2)</f>
        <v>1</v>
      </c>
      <c r="AG1051" s="8">
        <f t="shared" si="271"/>
        <v>0.70304693101203908</v>
      </c>
      <c r="AH1051" s="8">
        <f t="shared" si="272"/>
        <v>8.4929018264394418E-2</v>
      </c>
      <c r="AI1051" s="8">
        <f t="shared" si="273"/>
        <v>0.70605387517610818</v>
      </c>
      <c r="AJ1051" s="8"/>
      <c r="AK1051" s="8"/>
      <c r="AL1051" s="8"/>
      <c r="AN1051" s="8">
        <f t="shared" si="279"/>
        <v>1</v>
      </c>
      <c r="AO1051" s="8">
        <f t="shared" si="280"/>
        <v>0.12021882518157309</v>
      </c>
      <c r="AP1051" s="8">
        <f t="shared" si="281"/>
        <v>0.78688609094235795</v>
      </c>
      <c r="AQ1051" s="8"/>
      <c r="AR1051" s="8">
        <f t="shared" si="282"/>
        <v>6.888031300925201</v>
      </c>
      <c r="AS1051" s="8">
        <f t="shared" si="283"/>
        <v>44.91474803145541</v>
      </c>
    </row>
    <row r="1052" spans="1:45">
      <c r="A1052" s="19">
        <v>38.838799999999999</v>
      </c>
      <c r="B1052" s="19">
        <v>1516.479032</v>
      </c>
      <c r="C1052" s="19">
        <v>-302.17147829999999</v>
      </c>
      <c r="E1052" s="9">
        <f t="shared" si="269"/>
        <v>556.47903199999996</v>
      </c>
      <c r="F1052" s="9">
        <f t="shared" si="274"/>
        <v>237.82852170000001</v>
      </c>
      <c r="I1052">
        <v>1</v>
      </c>
      <c r="J1052">
        <f t="shared" si="270"/>
        <v>0.38226850877904656</v>
      </c>
      <c r="K1052">
        <f t="shared" si="275"/>
        <v>0.40388558000468466</v>
      </c>
      <c r="O1052">
        <f t="shared" si="276"/>
        <v>0.34301285570515272</v>
      </c>
      <c r="P1052">
        <f t="shared" si="277"/>
        <v>0.14659715048607957</v>
      </c>
      <c r="Q1052">
        <f t="shared" si="278"/>
        <v>0.92782081044259712</v>
      </c>
      <c r="R1052">
        <f t="shared" si="284"/>
        <v>1</v>
      </c>
      <c r="AG1052" s="8">
        <f t="shared" si="271"/>
        <v>0.70321954814508492</v>
      </c>
      <c r="AH1052" s="8">
        <f t="shared" si="272"/>
        <v>8.5178005547029756E-2</v>
      </c>
      <c r="AI1052" s="8">
        <f t="shared" si="273"/>
        <v>0.70585194940415985</v>
      </c>
      <c r="AJ1052" s="8"/>
      <c r="AK1052" s="8"/>
      <c r="AL1052" s="8"/>
      <c r="AN1052" s="8">
        <f t="shared" si="279"/>
        <v>0.99999999999999989</v>
      </c>
      <c r="AO1052" s="8">
        <f t="shared" si="280"/>
        <v>0.12053856163766109</v>
      </c>
      <c r="AP1052" s="8">
        <f t="shared" si="281"/>
        <v>0.78717119263562829</v>
      </c>
      <c r="AQ1052" s="8"/>
      <c r="AR1052" s="8">
        <f t="shared" si="282"/>
        <v>6.9063508504155129</v>
      </c>
      <c r="AS1052" s="8">
        <f t="shared" si="283"/>
        <v>44.89841290769899</v>
      </c>
    </row>
    <row r="1053" spans="1:45">
      <c r="A1053" s="19">
        <v>38.872166669999999</v>
      </c>
      <c r="B1053" s="19">
        <v>1517.346505</v>
      </c>
      <c r="C1053" s="19">
        <v>-302.30428189999998</v>
      </c>
      <c r="E1053" s="9">
        <f t="shared" si="269"/>
        <v>557.34650499999998</v>
      </c>
      <c r="F1053" s="9">
        <f t="shared" si="274"/>
        <v>237.69571810000002</v>
      </c>
      <c r="I1053">
        <v>1</v>
      </c>
      <c r="J1053">
        <f t="shared" si="270"/>
        <v>0.38269872481918199</v>
      </c>
      <c r="K1053">
        <f t="shared" si="275"/>
        <v>0.40312139787900103</v>
      </c>
      <c r="O1053">
        <f t="shared" si="276"/>
        <v>0.34349191754410074</v>
      </c>
      <c r="P1053">
        <f t="shared" si="277"/>
        <v>0.14649155824919188</v>
      </c>
      <c r="Q1053">
        <f t="shared" si="278"/>
        <v>0.92766024273092584</v>
      </c>
      <c r="R1053">
        <f t="shared" si="284"/>
        <v>1</v>
      </c>
      <c r="AG1053" s="8">
        <f t="shared" si="271"/>
        <v>0.70332175681760245</v>
      </c>
      <c r="AH1053" s="8">
        <f t="shared" si="272"/>
        <v>8.5658010168259635E-2</v>
      </c>
      <c r="AI1053" s="8">
        <f t="shared" si="273"/>
        <v>0.70569200908116825</v>
      </c>
      <c r="AJ1053" s="8"/>
      <c r="AK1053" s="8"/>
      <c r="AL1053" s="8"/>
      <c r="AN1053" s="8">
        <f t="shared" si="279"/>
        <v>1</v>
      </c>
      <c r="AO1053" s="8">
        <f t="shared" si="280"/>
        <v>0.12119377575960825</v>
      </c>
      <c r="AP1053" s="8">
        <f t="shared" si="281"/>
        <v>0.7873969570401167</v>
      </c>
      <c r="AQ1053" s="8"/>
      <c r="AR1053" s="8">
        <f t="shared" si="282"/>
        <v>6.943891854280456</v>
      </c>
      <c r="AS1053" s="8">
        <f t="shared" si="283"/>
        <v>44.885477560157518</v>
      </c>
    </row>
    <row r="1054" spans="1:45">
      <c r="A1054" s="19">
        <v>38.905533329999997</v>
      </c>
      <c r="B1054" s="19">
        <v>1518.3334010000001</v>
      </c>
      <c r="C1054" s="19">
        <v>-302.78626700000001</v>
      </c>
      <c r="E1054" s="9">
        <f t="shared" si="269"/>
        <v>558.33340100000009</v>
      </c>
      <c r="F1054" s="9">
        <f t="shared" si="274"/>
        <v>237.21373299999999</v>
      </c>
      <c r="I1054">
        <v>1</v>
      </c>
      <c r="J1054">
        <f t="shared" si="270"/>
        <v>0.38311358087412017</v>
      </c>
      <c r="K1054">
        <f t="shared" si="275"/>
        <v>0.40175237009111264</v>
      </c>
      <c r="O1054">
        <f t="shared" si="276"/>
        <v>0.34404632000223195</v>
      </c>
      <c r="P1054">
        <f t="shared" si="277"/>
        <v>0.14617164537616834</v>
      </c>
      <c r="Q1054">
        <f t="shared" si="278"/>
        <v>0.92750524515009913</v>
      </c>
      <c r="R1054">
        <f t="shared" si="284"/>
        <v>1</v>
      </c>
      <c r="AG1054" s="8">
        <f t="shared" si="271"/>
        <v>0.7035808765423508</v>
      </c>
      <c r="AH1054" s="8">
        <f t="shared" si="272"/>
        <v>8.6171453488143424E-2</v>
      </c>
      <c r="AI1054" s="8">
        <f t="shared" si="273"/>
        <v>0.70537112980872563</v>
      </c>
      <c r="AJ1054" s="8"/>
      <c r="AK1054" s="8"/>
      <c r="AL1054" s="8"/>
      <c r="AN1054" s="8">
        <f t="shared" si="279"/>
        <v>1</v>
      </c>
      <c r="AO1054" s="8">
        <f t="shared" si="280"/>
        <v>0.12186861296855533</v>
      </c>
      <c r="AP1054" s="8">
        <f t="shared" si="281"/>
        <v>0.78784974245285044</v>
      </c>
      <c r="AQ1054" s="8"/>
      <c r="AR1054" s="8">
        <f t="shared" si="282"/>
        <v>6.9825571782115112</v>
      </c>
      <c r="AS1054" s="8">
        <f t="shared" si="283"/>
        <v>44.859534866982784</v>
      </c>
    </row>
    <row r="1055" spans="1:45">
      <c r="A1055" s="19">
        <v>38.938899999999997</v>
      </c>
      <c r="B1055" s="19">
        <v>1518.3797709999999</v>
      </c>
      <c r="C1055" s="19">
        <v>-303.04837709999998</v>
      </c>
      <c r="E1055" s="9">
        <f t="shared" si="269"/>
        <v>558.37977099999989</v>
      </c>
      <c r="F1055" s="9">
        <f t="shared" si="274"/>
        <v>236.95162290000002</v>
      </c>
      <c r="I1055">
        <v>1</v>
      </c>
      <c r="J1055">
        <f t="shared" si="270"/>
        <v>0.38307911831373553</v>
      </c>
      <c r="K1055">
        <f t="shared" si="275"/>
        <v>0.40132476918483267</v>
      </c>
      <c r="O1055">
        <f t="shared" si="276"/>
        <v>0.34407936700379294</v>
      </c>
      <c r="P1055">
        <f t="shared" si="277"/>
        <v>0.14601203097300863</v>
      </c>
      <c r="Q1055">
        <f t="shared" si="278"/>
        <v>0.92751812705380932</v>
      </c>
      <c r="R1055">
        <f t="shared" si="284"/>
        <v>1</v>
      </c>
      <c r="AG1055" s="8">
        <f t="shared" si="271"/>
        <v>0.70369659046341071</v>
      </c>
      <c r="AH1055" s="8">
        <f t="shared" si="272"/>
        <v>8.6172107753986427E-2</v>
      </c>
      <c r="AI1055" s="8">
        <f t="shared" si="273"/>
        <v>0.70525561069402798</v>
      </c>
      <c r="AJ1055" s="8"/>
      <c r="AK1055" s="8"/>
      <c r="AL1055" s="8"/>
      <c r="AN1055" s="8">
        <f t="shared" si="279"/>
        <v>1.0000000000000002</v>
      </c>
      <c r="AO1055" s="8">
        <f t="shared" si="280"/>
        <v>0.12184968703318695</v>
      </c>
      <c r="AP1055" s="8">
        <f t="shared" si="281"/>
        <v>0.78801269889697967</v>
      </c>
      <c r="AQ1055" s="8"/>
      <c r="AR1055" s="8">
        <f t="shared" si="282"/>
        <v>6.9814728019915657</v>
      </c>
      <c r="AS1055" s="8">
        <f t="shared" si="283"/>
        <v>44.850198150489724</v>
      </c>
    </row>
    <row r="1056" spans="1:45">
      <c r="A1056" s="19">
        <v>38.972266670000003</v>
      </c>
      <c r="B1056" s="19">
        <v>1518.867618</v>
      </c>
      <c r="C1056" s="19">
        <v>-303.19863839999999</v>
      </c>
      <c r="E1056" s="9">
        <f t="shared" ref="E1056:E1119" si="285">(B1056-($B$15/2))</f>
        <v>558.86761799999999</v>
      </c>
      <c r="F1056" s="9">
        <f t="shared" si="274"/>
        <v>236.80136160000001</v>
      </c>
      <c r="I1056">
        <v>1</v>
      </c>
      <c r="J1056">
        <f t="shared" ref="J1056:J1119" si="286">ATAN((SQRT(E1056^2+F1056^2)^$B$16)/($F$24))</f>
        <v>0.38330428223404367</v>
      </c>
      <c r="K1056">
        <f t="shared" si="275"/>
        <v>0.4007829039208437</v>
      </c>
      <c r="O1056">
        <f t="shared" si="276"/>
        <v>0.34435072058732341</v>
      </c>
      <c r="P1056">
        <f t="shared" si="277"/>
        <v>0.14590703929999277</v>
      </c>
      <c r="Q1056">
        <f t="shared" si="278"/>
        <v>0.9274339421833242</v>
      </c>
      <c r="R1056">
        <f t="shared" si="284"/>
        <v>1</v>
      </c>
      <c r="AG1056" s="8">
        <f t="shared" ref="AG1056:AG1119" si="287">$O1056*$Z$27+$P1056*$Z$31+$Q1056*$Z$35</f>
        <v>0.70378646435932946</v>
      </c>
      <c r="AH1056" s="8">
        <f t="shared" ref="AH1056:AH1119" si="288">$O1056*$AA$27+$P1056*$AA$31+$Q1056*$AA$35</f>
        <v>8.6434465124483717E-2</v>
      </c>
      <c r="AI1056" s="8">
        <f t="shared" ref="AI1056:AI1119" si="289">$AB$27*$O1056+$P1056*$AB$31+$AB$35*$Q1056</f>
        <v>0.70513381412554499</v>
      </c>
      <c r="AJ1056" s="8"/>
      <c r="AK1056" s="8"/>
      <c r="AL1056" s="8"/>
      <c r="AN1056" s="8">
        <f t="shared" si="279"/>
        <v>1</v>
      </c>
      <c r="AO1056" s="8">
        <f t="shared" si="280"/>
        <v>0.12220153749005108</v>
      </c>
      <c r="AP1056" s="8">
        <f t="shared" si="281"/>
        <v>0.78818448199537605</v>
      </c>
      <c r="AQ1056" s="8"/>
      <c r="AR1056" s="8">
        <f t="shared" si="282"/>
        <v>7.0016323481896299</v>
      </c>
      <c r="AS1056" s="8">
        <f t="shared" si="283"/>
        <v>44.840355703959929</v>
      </c>
    </row>
    <row r="1057" spans="1:45">
      <c r="A1057" s="19">
        <v>39.005633330000002</v>
      </c>
      <c r="B1057" s="19">
        <v>1519.279513</v>
      </c>
      <c r="C1057" s="19">
        <v>-303.34697060000002</v>
      </c>
      <c r="E1057" s="9">
        <f t="shared" si="285"/>
        <v>559.27951299999995</v>
      </c>
      <c r="F1057" s="9">
        <f t="shared" ref="F1057:F1120" si="290">(($C$15/2)+C1057)</f>
        <v>236.65302939999998</v>
      </c>
      <c r="I1057">
        <v>1</v>
      </c>
      <c r="J1057">
        <f t="shared" si="286"/>
        <v>0.38348961747684968</v>
      </c>
      <c r="K1057">
        <f t="shared" ref="K1057:K1120" si="291">ATAN2(E1057,F1057)</f>
        <v>0.40029339254688256</v>
      </c>
      <c r="O1057">
        <f t="shared" ref="O1057:O1120" si="292">COS(K1057)*SIN(J1057)</f>
        <v>0.34458039459090545</v>
      </c>
      <c r="P1057">
        <f t="shared" ref="P1057:P1120" si="293">SIN(K1057)*SIN(J1057)</f>
        <v>0.14580543781117394</v>
      </c>
      <c r="Q1057">
        <f t="shared" ref="Q1057:Q1120" si="294">COS(J1057)</f>
        <v>0.92736461328232045</v>
      </c>
      <c r="R1057">
        <f t="shared" si="284"/>
        <v>1</v>
      </c>
      <c r="AG1057" s="8">
        <f t="shared" si="287"/>
        <v>0.70387156213132374</v>
      </c>
      <c r="AH1057" s="8">
        <f t="shared" si="288"/>
        <v>8.6653833018113635E-2</v>
      </c>
      <c r="AI1057" s="8">
        <f t="shared" si="289"/>
        <v>0.70502194096785309</v>
      </c>
      <c r="AJ1057" s="8"/>
      <c r="AK1057" s="8"/>
      <c r="AL1057" s="8"/>
      <c r="AN1057" s="8">
        <f t="shared" ref="AN1057:AN1120" si="295">AG1057^2+AH1057^2+AI1057^2</f>
        <v>1</v>
      </c>
      <c r="AO1057" s="8">
        <f t="shared" ref="AO1057:AO1120" si="296">IF(ATAN2(AG1057,AH1057)&gt;=0,ATAN2(AG1057,AH1057),ATAN2(AG1057,AH1057)+2*PI())</f>
        <v>0.12249392754325938</v>
      </c>
      <c r="AP1057" s="8">
        <f t="shared" ref="AP1057:AP1120" si="297">ACOS(AI1057/AN1057)</f>
        <v>0.7883422431634215</v>
      </c>
      <c r="AQ1057" s="8"/>
      <c r="AR1057" s="8">
        <f t="shared" ref="AR1057:AR1120" si="298">DEGREES(AO1057)</f>
        <v>7.0183850642100714</v>
      </c>
      <c r="AS1057" s="8">
        <f t="shared" ref="AS1057:AS1120" si="299">90-DEGREES(AP1057)</f>
        <v>44.831316654859869</v>
      </c>
    </row>
    <row r="1058" spans="1:45">
      <c r="A1058" s="19">
        <v>39.039000000000001</v>
      </c>
      <c r="B1058" s="19">
        <v>1519.7116490000001</v>
      </c>
      <c r="C1058" s="19">
        <v>-303.70861409999998</v>
      </c>
      <c r="E1058" s="9">
        <f t="shared" si="285"/>
        <v>559.71164900000008</v>
      </c>
      <c r="F1058" s="9">
        <f t="shared" si="290"/>
        <v>236.29138590000002</v>
      </c>
      <c r="I1058">
        <v>1</v>
      </c>
      <c r="J1058">
        <f t="shared" si="286"/>
        <v>0.3836379165185595</v>
      </c>
      <c r="K1058">
        <f t="shared" si="291"/>
        <v>0.39946801661407649</v>
      </c>
      <c r="O1058">
        <f t="shared" si="292"/>
        <v>0.34482731720288301</v>
      </c>
      <c r="P1058">
        <f t="shared" si="293"/>
        <v>0.14557446646612163</v>
      </c>
      <c r="Q1058">
        <f t="shared" si="294"/>
        <v>0.92730911568029262</v>
      </c>
      <c r="R1058">
        <f t="shared" si="284"/>
        <v>1</v>
      </c>
      <c r="AG1058" s="8">
        <f t="shared" si="287"/>
        <v>0.70404981260022947</v>
      </c>
      <c r="AH1058" s="8">
        <f t="shared" si="288"/>
        <v>8.6863766851322521E-2</v>
      </c>
      <c r="AI1058" s="8">
        <f t="shared" si="289"/>
        <v>0.70481809524584482</v>
      </c>
      <c r="AJ1058" s="8"/>
      <c r="AK1058" s="8"/>
      <c r="AL1058" s="8"/>
      <c r="AN1058" s="8">
        <f t="shared" si="295"/>
        <v>1</v>
      </c>
      <c r="AO1058" s="8">
        <f t="shared" si="296"/>
        <v>0.12275694403224978</v>
      </c>
      <c r="AP1058" s="8">
        <f t="shared" si="297"/>
        <v>0.78862963850772527</v>
      </c>
      <c r="AQ1058" s="8"/>
      <c r="AR1058" s="8">
        <f t="shared" si="298"/>
        <v>7.0334547989715706</v>
      </c>
      <c r="AS1058" s="8">
        <f t="shared" si="299"/>
        <v>44.814850114579556</v>
      </c>
    </row>
    <row r="1059" spans="1:45">
      <c r="A1059" s="19">
        <v>39.072366670000001</v>
      </c>
      <c r="B1059" s="19">
        <v>1520.397886</v>
      </c>
      <c r="C1059" s="19">
        <v>-303.98670620000001</v>
      </c>
      <c r="E1059" s="9">
        <f t="shared" si="285"/>
        <v>560.39788599999997</v>
      </c>
      <c r="F1059" s="9">
        <f t="shared" si="290"/>
        <v>236.01329379999999</v>
      </c>
      <c r="I1059">
        <v>1</v>
      </c>
      <c r="J1059">
        <f t="shared" si="286"/>
        <v>0.38394009332258972</v>
      </c>
      <c r="K1059">
        <f t="shared" si="291"/>
        <v>0.39860776177022139</v>
      </c>
      <c r="O1059">
        <f t="shared" si="292"/>
        <v>0.34521064835485532</v>
      </c>
      <c r="P1059">
        <f t="shared" si="293"/>
        <v>0.14538652662416174</v>
      </c>
      <c r="Q1059">
        <f t="shared" si="294"/>
        <v>0.92719596965182194</v>
      </c>
      <c r="R1059">
        <f t="shared" si="284"/>
        <v>1</v>
      </c>
      <c r="AG1059" s="8">
        <f t="shared" si="287"/>
        <v>0.70420470671137037</v>
      </c>
      <c r="AH1059" s="8">
        <f t="shared" si="288"/>
        <v>8.7226075457913665E-2</v>
      </c>
      <c r="AI1059" s="8">
        <f t="shared" si="289"/>
        <v>0.70461857966261665</v>
      </c>
      <c r="AJ1059" s="8"/>
      <c r="AK1059" s="8"/>
      <c r="AL1059" s="8"/>
      <c r="AN1059" s="8">
        <f t="shared" si="295"/>
        <v>1</v>
      </c>
      <c r="AO1059" s="8">
        <f t="shared" si="296"/>
        <v>0.12323696400349837</v>
      </c>
      <c r="AP1059" s="8">
        <f t="shared" si="297"/>
        <v>0.78891084948688417</v>
      </c>
      <c r="AQ1059" s="8"/>
      <c r="AR1059" s="8">
        <f t="shared" si="298"/>
        <v>7.0609579174061059</v>
      </c>
      <c r="AS1059" s="8">
        <f t="shared" si="299"/>
        <v>44.798737912321009</v>
      </c>
    </row>
    <row r="1060" spans="1:45">
      <c r="A1060" s="19">
        <v>39.10573333</v>
      </c>
      <c r="B1060" s="19">
        <v>1520.8845879999999</v>
      </c>
      <c r="C1060" s="19">
        <v>-304.09700429999998</v>
      </c>
      <c r="E1060" s="9">
        <f t="shared" si="285"/>
        <v>560.88458799999989</v>
      </c>
      <c r="F1060" s="9">
        <f t="shared" si="290"/>
        <v>235.90299570000002</v>
      </c>
      <c r="I1060">
        <v>1</v>
      </c>
      <c r="J1060">
        <f t="shared" si="286"/>
        <v>0.38417393796876464</v>
      </c>
      <c r="K1060">
        <f t="shared" si="291"/>
        <v>0.39813024435618949</v>
      </c>
      <c r="O1060">
        <f t="shared" si="292"/>
        <v>0.34547988594408541</v>
      </c>
      <c r="P1060">
        <f t="shared" si="293"/>
        <v>0.14530572205400674</v>
      </c>
      <c r="Q1060">
        <f t="shared" si="294"/>
        <v>0.92710835156761773</v>
      </c>
      <c r="R1060">
        <f t="shared" si="284"/>
        <v>1</v>
      </c>
      <c r="AG1060" s="8">
        <f t="shared" si="287"/>
        <v>0.70427690702749479</v>
      </c>
      <c r="AH1060" s="8">
        <f t="shared" si="288"/>
        <v>8.7491483787259183E-2</v>
      </c>
      <c r="AI1060" s="8">
        <f t="shared" si="289"/>
        <v>0.70451350483329223</v>
      </c>
      <c r="AJ1060" s="8"/>
      <c r="AK1060" s="8"/>
      <c r="AL1060" s="8"/>
      <c r="AN1060" s="8">
        <f t="shared" si="295"/>
        <v>1</v>
      </c>
      <c r="AO1060" s="8">
        <f t="shared" si="296"/>
        <v>0.12359559947609015</v>
      </c>
      <c r="AP1060" s="8">
        <f t="shared" si="297"/>
        <v>0.78905891761034574</v>
      </c>
      <c r="AQ1060" s="8"/>
      <c r="AR1060" s="8">
        <f t="shared" si="298"/>
        <v>7.0815062163692941</v>
      </c>
      <c r="AS1060" s="8">
        <f t="shared" si="299"/>
        <v>44.790254233766241</v>
      </c>
    </row>
    <row r="1061" spans="1:45">
      <c r="A1061" s="19">
        <v>39.139099999999999</v>
      </c>
      <c r="B1061" s="19">
        <v>1521.7855059999999</v>
      </c>
      <c r="C1061" s="19">
        <v>-304.60239180000002</v>
      </c>
      <c r="E1061" s="9">
        <f t="shared" si="285"/>
        <v>561.78550599999994</v>
      </c>
      <c r="F1061" s="9">
        <f t="shared" si="290"/>
        <v>235.39760819999998</v>
      </c>
      <c r="I1061">
        <v>1</v>
      </c>
      <c r="J1061">
        <f t="shared" si="286"/>
        <v>0.38453980741389149</v>
      </c>
      <c r="K1061">
        <f t="shared" si="291"/>
        <v>0.39679199348969069</v>
      </c>
      <c r="O1061">
        <f t="shared" si="292"/>
        <v>0.34598685548767355</v>
      </c>
      <c r="P1061">
        <f t="shared" si="293"/>
        <v>0.14497433162762549</v>
      </c>
      <c r="Q1061">
        <f t="shared" si="294"/>
        <v>0.92697116406006663</v>
      </c>
      <c r="R1061">
        <f t="shared" si="284"/>
        <v>1</v>
      </c>
      <c r="AG1061" s="8">
        <f t="shared" si="287"/>
        <v>0.70454042715887288</v>
      </c>
      <c r="AH1061" s="8">
        <f t="shared" si="288"/>
        <v>8.7953163945592217E-2</v>
      </c>
      <c r="AI1061" s="8">
        <f t="shared" si="289"/>
        <v>0.70419246477845299</v>
      </c>
      <c r="AJ1061" s="8"/>
      <c r="AK1061" s="8"/>
      <c r="AL1061" s="8"/>
      <c r="AN1061" s="8">
        <f t="shared" si="295"/>
        <v>1</v>
      </c>
      <c r="AO1061" s="8">
        <f t="shared" si="296"/>
        <v>0.12419512882864744</v>
      </c>
      <c r="AP1061" s="8">
        <f t="shared" si="297"/>
        <v>0.7895111823329598</v>
      </c>
      <c r="AQ1061" s="8"/>
      <c r="AR1061" s="8">
        <f t="shared" si="298"/>
        <v>7.1158567179650376</v>
      </c>
      <c r="AS1061" s="8">
        <f t="shared" si="299"/>
        <v>44.764341373937796</v>
      </c>
    </row>
    <row r="1062" spans="1:45">
      <c r="A1062" s="19">
        <v>39.172466669999999</v>
      </c>
      <c r="B1062" s="19">
        <v>1522.0652150000001</v>
      </c>
      <c r="C1062" s="19">
        <v>-304.56534679999999</v>
      </c>
      <c r="E1062" s="9">
        <f t="shared" si="285"/>
        <v>562.06521500000008</v>
      </c>
      <c r="F1062" s="9">
        <f t="shared" si="290"/>
        <v>235.43465320000001</v>
      </c>
      <c r="I1062">
        <v>1</v>
      </c>
      <c r="J1062">
        <f t="shared" si="286"/>
        <v>0.38469665014023352</v>
      </c>
      <c r="K1062">
        <f t="shared" si="291"/>
        <v>0.39667067396080991</v>
      </c>
      <c r="O1062">
        <f t="shared" si="292"/>
        <v>0.34613853650308096</v>
      </c>
      <c r="P1062">
        <f t="shared" si="293"/>
        <v>0.14498852468704793</v>
      </c>
      <c r="Q1062">
        <f t="shared" si="294"/>
        <v>0.92691231584038114</v>
      </c>
      <c r="R1062">
        <f t="shared" si="284"/>
        <v>1</v>
      </c>
      <c r="AG1062" s="8">
        <f t="shared" si="287"/>
        <v>0.70453843576907427</v>
      </c>
      <c r="AH1062" s="8">
        <f t="shared" si="288"/>
        <v>8.811543849775727E-2</v>
      </c>
      <c r="AI1062" s="8">
        <f t="shared" si="289"/>
        <v>0.70417417023234663</v>
      </c>
      <c r="AJ1062" s="8"/>
      <c r="AK1062" s="8"/>
      <c r="AL1062" s="8"/>
      <c r="AN1062" s="8">
        <f t="shared" si="295"/>
        <v>0.99999999999999989</v>
      </c>
      <c r="AO1062" s="8">
        <f t="shared" si="296"/>
        <v>0.1244222628491688</v>
      </c>
      <c r="AP1062" s="8">
        <f t="shared" si="297"/>
        <v>0.78953694863853952</v>
      </c>
      <c r="AQ1062" s="8"/>
      <c r="AR1062" s="8">
        <f t="shared" si="298"/>
        <v>7.1288705387247493</v>
      </c>
      <c r="AS1062" s="8">
        <f t="shared" si="299"/>
        <v>44.762865073374435</v>
      </c>
    </row>
    <row r="1063" spans="1:45">
      <c r="A1063" s="19">
        <v>39.205833329999997</v>
      </c>
      <c r="B1063" s="19">
        <v>1522.540976</v>
      </c>
      <c r="C1063" s="19">
        <v>-305.14440309999998</v>
      </c>
      <c r="E1063" s="9">
        <f t="shared" si="285"/>
        <v>562.540976</v>
      </c>
      <c r="F1063" s="9">
        <f t="shared" si="290"/>
        <v>234.85559690000002</v>
      </c>
      <c r="I1063">
        <v>1</v>
      </c>
      <c r="J1063">
        <f t="shared" si="286"/>
        <v>0.38482077740178888</v>
      </c>
      <c r="K1063">
        <f t="shared" si="291"/>
        <v>0.39549300531910631</v>
      </c>
      <c r="O1063">
        <f t="shared" si="292"/>
        <v>0.34641521581419854</v>
      </c>
      <c r="P1063">
        <f t="shared" si="293"/>
        <v>0.14462511311404616</v>
      </c>
      <c r="Q1063">
        <f t="shared" si="294"/>
        <v>0.92686572647236865</v>
      </c>
      <c r="R1063">
        <f t="shared" si="284"/>
        <v>1</v>
      </c>
      <c r="AG1063" s="8">
        <f t="shared" si="287"/>
        <v>0.70481216041891581</v>
      </c>
      <c r="AH1063" s="8">
        <f t="shared" si="288"/>
        <v>8.8328625559324747E-2</v>
      </c>
      <c r="AI1063" s="8">
        <f t="shared" si="289"/>
        <v>0.70387347757421659</v>
      </c>
      <c r="AJ1063" s="8"/>
      <c r="AK1063" s="8"/>
      <c r="AL1063" s="8"/>
      <c r="AN1063" s="8">
        <f t="shared" si="295"/>
        <v>1</v>
      </c>
      <c r="AO1063" s="8">
        <f t="shared" si="296"/>
        <v>0.1246722460266608</v>
      </c>
      <c r="AP1063" s="8">
        <f t="shared" si="297"/>
        <v>0.78996035426846356</v>
      </c>
      <c r="AQ1063" s="8"/>
      <c r="AR1063" s="8">
        <f t="shared" si="298"/>
        <v>7.1431935197443108</v>
      </c>
      <c r="AS1063" s="8">
        <f t="shared" si="299"/>
        <v>44.738605717757714</v>
      </c>
    </row>
    <row r="1064" spans="1:45">
      <c r="A1064" s="19">
        <v>39.239199999999997</v>
      </c>
      <c r="B1064" s="19">
        <v>1522.7139950000001</v>
      </c>
      <c r="C1064" s="19">
        <v>-305.52712200000002</v>
      </c>
      <c r="E1064" s="9">
        <f t="shared" si="285"/>
        <v>562.71399500000007</v>
      </c>
      <c r="F1064" s="9">
        <f t="shared" si="290"/>
        <v>234.47287799999998</v>
      </c>
      <c r="I1064">
        <v>1</v>
      </c>
      <c r="J1064">
        <f t="shared" si="286"/>
        <v>0.38482789566178549</v>
      </c>
      <c r="K1064">
        <f t="shared" si="291"/>
        <v>0.39480431362945573</v>
      </c>
      <c r="O1064">
        <f t="shared" si="292"/>
        <v>0.34652082588391897</v>
      </c>
      <c r="P1064">
        <f t="shared" si="293"/>
        <v>0.14438904319758275</v>
      </c>
      <c r="Q1064">
        <f t="shared" si="294"/>
        <v>0.92686305430371607</v>
      </c>
      <c r="R1064">
        <f t="shared" si="284"/>
        <v>1</v>
      </c>
      <c r="AG1064" s="8">
        <f t="shared" si="287"/>
        <v>0.70498594227880462</v>
      </c>
      <c r="AH1064" s="8">
        <f t="shared" si="288"/>
        <v>8.8389313528500768E-2</v>
      </c>
      <c r="AI1064" s="8">
        <f t="shared" si="289"/>
        <v>0.70369180075031879</v>
      </c>
      <c r="AJ1064" s="8"/>
      <c r="AK1064" s="8"/>
      <c r="AL1064" s="8"/>
      <c r="AN1064" s="8">
        <f t="shared" si="295"/>
        <v>1</v>
      </c>
      <c r="AO1064" s="8">
        <f t="shared" si="296"/>
        <v>0.12472658375348389</v>
      </c>
      <c r="AP1064" s="8">
        <f t="shared" si="297"/>
        <v>0.79021608751090699</v>
      </c>
      <c r="AQ1064" s="8"/>
      <c r="AR1064" s="8">
        <f t="shared" si="298"/>
        <v>7.1463068421596088</v>
      </c>
      <c r="AS1064" s="8">
        <f t="shared" si="299"/>
        <v>44.723953282284505</v>
      </c>
    </row>
    <row r="1065" spans="1:45">
      <c r="A1065" s="19">
        <v>39.272566670000003</v>
      </c>
      <c r="B1065" s="19">
        <v>1523.6997449999999</v>
      </c>
      <c r="C1065" s="19">
        <v>-305.36333330000002</v>
      </c>
      <c r="E1065" s="9">
        <f t="shared" si="285"/>
        <v>563.69974499999989</v>
      </c>
      <c r="F1065" s="9">
        <f t="shared" si="290"/>
        <v>234.63666669999998</v>
      </c>
      <c r="I1065">
        <v>1</v>
      </c>
      <c r="J1065">
        <f t="shared" si="286"/>
        <v>0.38538810081573238</v>
      </c>
      <c r="K1065">
        <f t="shared" si="291"/>
        <v>0.39443096907729241</v>
      </c>
      <c r="O1065">
        <f t="shared" si="292"/>
        <v>0.34705401850491968</v>
      </c>
      <c r="P1065">
        <f t="shared" si="293"/>
        <v>0.14445917137470848</v>
      </c>
      <c r="Q1065">
        <f t="shared" si="294"/>
        <v>0.92665260807128769</v>
      </c>
      <c r="R1065">
        <f t="shared" si="284"/>
        <v>1</v>
      </c>
      <c r="AG1065" s="8">
        <f t="shared" si="287"/>
        <v>0.70496421484155813</v>
      </c>
      <c r="AH1065" s="8">
        <f t="shared" si="288"/>
        <v>8.8964169857194353E-2</v>
      </c>
      <c r="AI1065" s="8">
        <f t="shared" si="289"/>
        <v>0.70364112463275319</v>
      </c>
      <c r="AJ1065" s="8"/>
      <c r="AK1065" s="8"/>
      <c r="AL1065" s="8"/>
      <c r="AN1065" s="8">
        <f t="shared" si="295"/>
        <v>1</v>
      </c>
      <c r="AO1065" s="8">
        <f t="shared" si="296"/>
        <v>0.12553312692296723</v>
      </c>
      <c r="AP1065" s="8">
        <f t="shared" si="297"/>
        <v>0.79028740904000505</v>
      </c>
      <c r="AQ1065" s="8"/>
      <c r="AR1065" s="8">
        <f t="shared" si="298"/>
        <v>7.1925183617661084</v>
      </c>
      <c r="AS1065" s="8">
        <f t="shared" si="299"/>
        <v>44.719866859678767</v>
      </c>
    </row>
    <row r="1066" spans="1:45">
      <c r="A1066" s="19">
        <v>39.305933330000002</v>
      </c>
      <c r="B1066" s="19">
        <v>1524.457034</v>
      </c>
      <c r="C1066" s="19">
        <v>-306.03664099999997</v>
      </c>
      <c r="E1066" s="9">
        <f t="shared" si="285"/>
        <v>564.45703400000002</v>
      </c>
      <c r="F1066" s="9">
        <f t="shared" si="290"/>
        <v>233.96335900000003</v>
      </c>
      <c r="I1066">
        <v>1</v>
      </c>
      <c r="J1066">
        <f t="shared" si="286"/>
        <v>0.38564198352205403</v>
      </c>
      <c r="K1066">
        <f t="shared" si="291"/>
        <v>0.39293737592786943</v>
      </c>
      <c r="O1066">
        <f t="shared" si="292"/>
        <v>0.34748671478094567</v>
      </c>
      <c r="P1066">
        <f t="shared" si="293"/>
        <v>0.14403073059768975</v>
      </c>
      <c r="Q1066">
        <f t="shared" si="294"/>
        <v>0.92655713892573377</v>
      </c>
      <c r="R1066">
        <f t="shared" si="284"/>
        <v>1</v>
      </c>
      <c r="AG1066" s="8">
        <f t="shared" si="287"/>
        <v>0.70529205415643004</v>
      </c>
      <c r="AH1066" s="8">
        <f t="shared" si="288"/>
        <v>8.9327551305959485E-2</v>
      </c>
      <c r="AI1066" s="8">
        <f t="shared" si="289"/>
        <v>0.70326645513737152</v>
      </c>
      <c r="AJ1066" s="8"/>
      <c r="AK1066" s="8"/>
      <c r="AL1066" s="8"/>
      <c r="AN1066" s="8">
        <f t="shared" si="295"/>
        <v>1</v>
      </c>
      <c r="AO1066" s="8">
        <f t="shared" si="296"/>
        <v>0.12598250587332943</v>
      </c>
      <c r="AP1066" s="8">
        <f t="shared" si="297"/>
        <v>0.79081456241063997</v>
      </c>
      <c r="AQ1066" s="8"/>
      <c r="AR1066" s="8">
        <f t="shared" si="298"/>
        <v>7.2182658790238818</v>
      </c>
      <c r="AS1066" s="8">
        <f t="shared" si="299"/>
        <v>44.68966319638529</v>
      </c>
    </row>
    <row r="1067" spans="1:45">
      <c r="A1067" s="19">
        <v>39.339300000000001</v>
      </c>
      <c r="B1067" s="19">
        <v>1524.560792</v>
      </c>
      <c r="C1067" s="19">
        <v>-306.10399710000002</v>
      </c>
      <c r="E1067" s="9">
        <f t="shared" si="285"/>
        <v>564.56079199999999</v>
      </c>
      <c r="F1067" s="9">
        <f t="shared" si="290"/>
        <v>233.89600289999998</v>
      </c>
      <c r="I1067">
        <v>1</v>
      </c>
      <c r="J1067">
        <f t="shared" si="286"/>
        <v>0.38568230939503972</v>
      </c>
      <c r="K1067">
        <f t="shared" si="291"/>
        <v>0.39277054064562961</v>
      </c>
      <c r="O1067">
        <f t="shared" si="292"/>
        <v>0.34754525809121389</v>
      </c>
      <c r="P1067">
        <f t="shared" si="293"/>
        <v>0.14398705656907154</v>
      </c>
      <c r="Q1067">
        <f t="shared" si="294"/>
        <v>0.92654196943197698</v>
      </c>
      <c r="R1067">
        <f t="shared" si="284"/>
        <v>1</v>
      </c>
      <c r="AG1067" s="8">
        <f t="shared" si="287"/>
        <v>0.70532621096837833</v>
      </c>
      <c r="AH1067" s="8">
        <f t="shared" si="288"/>
        <v>8.9379763283949754E-2</v>
      </c>
      <c r="AI1067" s="8">
        <f t="shared" si="289"/>
        <v>0.70322556412313109</v>
      </c>
      <c r="AJ1067" s="8"/>
      <c r="AK1067" s="8"/>
      <c r="AL1067" s="8"/>
      <c r="AN1067" s="8">
        <f t="shared" si="295"/>
        <v>1</v>
      </c>
      <c r="AO1067" s="8">
        <f t="shared" si="296"/>
        <v>0.12604932530097715</v>
      </c>
      <c r="AP1067" s="8">
        <f t="shared" si="297"/>
        <v>0.79087207870651255</v>
      </c>
      <c r="AQ1067" s="8"/>
      <c r="AR1067" s="8">
        <f t="shared" si="298"/>
        <v>7.2220943502175761</v>
      </c>
      <c r="AS1067" s="8">
        <f t="shared" si="299"/>
        <v>44.686367755378569</v>
      </c>
    </row>
    <row r="1068" spans="1:45">
      <c r="A1068" s="19">
        <v>39.372666670000001</v>
      </c>
      <c r="B1068" s="19">
        <v>1525.618817</v>
      </c>
      <c r="C1068" s="19">
        <v>-306.18898289999998</v>
      </c>
      <c r="E1068" s="9">
        <f t="shared" si="285"/>
        <v>565.61881700000004</v>
      </c>
      <c r="F1068" s="9">
        <f t="shared" si="290"/>
        <v>233.81101710000002</v>
      </c>
      <c r="I1068">
        <v>1</v>
      </c>
      <c r="J1068">
        <f t="shared" si="286"/>
        <v>0.38622612490163344</v>
      </c>
      <c r="K1068">
        <f t="shared" si="291"/>
        <v>0.39198060318728839</v>
      </c>
      <c r="O1068">
        <f t="shared" si="292"/>
        <v>0.34812449063344364</v>
      </c>
      <c r="P1068">
        <f t="shared" si="293"/>
        <v>0.14390493877862778</v>
      </c>
      <c r="Q1068">
        <f t="shared" si="294"/>
        <v>0.92633725371288222</v>
      </c>
      <c r="R1068">
        <f t="shared" si="284"/>
        <v>1</v>
      </c>
      <c r="AG1068" s="8">
        <f t="shared" si="287"/>
        <v>0.70541480178396765</v>
      </c>
      <c r="AH1068" s="8">
        <f t="shared" si="288"/>
        <v>8.9970809533462481E-2</v>
      </c>
      <c r="AI1068" s="8">
        <f t="shared" si="289"/>
        <v>0.703061313724471</v>
      </c>
      <c r="AJ1068" s="8"/>
      <c r="AK1068" s="8"/>
      <c r="AL1068" s="8"/>
      <c r="AN1068" s="8">
        <f t="shared" si="295"/>
        <v>1</v>
      </c>
      <c r="AO1068" s="8">
        <f t="shared" si="296"/>
        <v>0.12685820761473368</v>
      </c>
      <c r="AP1068" s="8">
        <f t="shared" si="297"/>
        <v>0.79110307632218058</v>
      </c>
      <c r="AQ1068" s="8"/>
      <c r="AR1068" s="8">
        <f t="shared" si="298"/>
        <v>7.268439892918602</v>
      </c>
      <c r="AS1068" s="8">
        <f t="shared" si="299"/>
        <v>44.673132566923208</v>
      </c>
    </row>
    <row r="1069" spans="1:45">
      <c r="A1069" s="19">
        <v>39.40603333</v>
      </c>
      <c r="B1069" s="19">
        <v>1525.9057869999999</v>
      </c>
      <c r="C1069" s="19">
        <v>-306.198849</v>
      </c>
      <c r="E1069" s="9">
        <f t="shared" si="285"/>
        <v>565.90578699999992</v>
      </c>
      <c r="F1069" s="9">
        <f t="shared" si="290"/>
        <v>233.801151</v>
      </c>
      <c r="I1069">
        <v>1</v>
      </c>
      <c r="J1069">
        <f t="shared" si="286"/>
        <v>0.3863765183723184</v>
      </c>
      <c r="K1069">
        <f t="shared" si="291"/>
        <v>0.39178666919725047</v>
      </c>
      <c r="O1069">
        <f t="shared" si="292"/>
        <v>0.34828114714429742</v>
      </c>
      <c r="P1069">
        <f t="shared" si="293"/>
        <v>0.14389061738634792</v>
      </c>
      <c r="Q1069">
        <f t="shared" si="294"/>
        <v>0.92628059073480962</v>
      </c>
      <c r="R1069">
        <f t="shared" si="284"/>
        <v>1</v>
      </c>
      <c r="AG1069" s="8">
        <f t="shared" si="287"/>
        <v>0.70543309402658561</v>
      </c>
      <c r="AH1069" s="8">
        <f t="shared" si="288"/>
        <v>9.0132357692706666E-2</v>
      </c>
      <c r="AI1069" s="8">
        <f t="shared" si="289"/>
        <v>0.70302226703628135</v>
      </c>
      <c r="AJ1069" s="8"/>
      <c r="AK1069" s="8"/>
      <c r="AL1069" s="8"/>
      <c r="AN1069" s="8">
        <f t="shared" si="295"/>
        <v>1</v>
      </c>
      <c r="AO1069" s="8">
        <f t="shared" si="296"/>
        <v>0.12708028698189291</v>
      </c>
      <c r="AP1069" s="8">
        <f t="shared" si="297"/>
        <v>0.79115798283777383</v>
      </c>
      <c r="AQ1069" s="8"/>
      <c r="AR1069" s="8">
        <f t="shared" si="298"/>
        <v>7.2811641033737624</v>
      </c>
      <c r="AS1069" s="8">
        <f t="shared" si="299"/>
        <v>44.669986655311945</v>
      </c>
    </row>
    <row r="1070" spans="1:45">
      <c r="A1070" s="19">
        <v>39.439399999999999</v>
      </c>
      <c r="B1070" s="19">
        <v>1526.5498669999999</v>
      </c>
      <c r="C1070" s="19">
        <v>-306.96336539999999</v>
      </c>
      <c r="E1070" s="9">
        <f t="shared" si="285"/>
        <v>566.54986699999995</v>
      </c>
      <c r="F1070" s="9">
        <f t="shared" si="290"/>
        <v>233.03663460000001</v>
      </c>
      <c r="I1070">
        <v>1</v>
      </c>
      <c r="J1070">
        <f t="shared" si="286"/>
        <v>0.38655142164183964</v>
      </c>
      <c r="K1070">
        <f t="shared" si="291"/>
        <v>0.3902317947291859</v>
      </c>
      <c r="O1070">
        <f t="shared" si="292"/>
        <v>0.34865428233842011</v>
      </c>
      <c r="P1070">
        <f t="shared" si="293"/>
        <v>0.14341053687869573</v>
      </c>
      <c r="Q1070">
        <f t="shared" si="294"/>
        <v>0.92621466697480315</v>
      </c>
      <c r="R1070">
        <f t="shared" si="284"/>
        <v>1</v>
      </c>
      <c r="AG1070" s="8">
        <f t="shared" si="287"/>
        <v>0.70579398517027525</v>
      </c>
      <c r="AH1070" s="8">
        <f t="shared" si="288"/>
        <v>9.042243195753924E-2</v>
      </c>
      <c r="AI1070" s="8">
        <f t="shared" si="289"/>
        <v>0.70262268273686235</v>
      </c>
      <c r="AJ1070" s="8"/>
      <c r="AK1070" s="8"/>
      <c r="AL1070" s="8"/>
      <c r="AN1070" s="8">
        <f t="shared" si="295"/>
        <v>1</v>
      </c>
      <c r="AO1070" s="8">
        <f t="shared" si="296"/>
        <v>0.12742037841031886</v>
      </c>
      <c r="AP1070" s="8">
        <f t="shared" si="297"/>
        <v>0.79171969751298432</v>
      </c>
      <c r="AQ1070" s="8"/>
      <c r="AR1070" s="8">
        <f t="shared" si="298"/>
        <v>7.3006499068711443</v>
      </c>
      <c r="AS1070" s="8">
        <f t="shared" si="299"/>
        <v>44.637802775131817</v>
      </c>
    </row>
    <row r="1071" spans="1:45">
      <c r="A1071" s="19">
        <v>39.472766669999999</v>
      </c>
      <c r="B1071" s="19">
        <v>1527.040634</v>
      </c>
      <c r="C1071" s="19">
        <v>-307.25365269999998</v>
      </c>
      <c r="E1071" s="9">
        <f t="shared" si="285"/>
        <v>567.04063399999995</v>
      </c>
      <c r="F1071" s="9">
        <f t="shared" si="290"/>
        <v>232.74634730000002</v>
      </c>
      <c r="I1071">
        <v>1</v>
      </c>
      <c r="J1071">
        <f t="shared" si="286"/>
        <v>0.38674902635019787</v>
      </c>
      <c r="K1071">
        <f t="shared" si="291"/>
        <v>0.38948923169717103</v>
      </c>
      <c r="O1071">
        <f t="shared" si="292"/>
        <v>0.34892998718306162</v>
      </c>
      <c r="P1071">
        <f t="shared" si="293"/>
        <v>0.14322109406412212</v>
      </c>
      <c r="Q1071">
        <f t="shared" si="294"/>
        <v>0.92614015260083848</v>
      </c>
      <c r="R1071">
        <f t="shared" si="284"/>
        <v>1</v>
      </c>
      <c r="AG1071" s="8">
        <f t="shared" si="287"/>
        <v>0.70594288037811037</v>
      </c>
      <c r="AH1071" s="8">
        <f t="shared" si="288"/>
        <v>9.0671927419503306E-2</v>
      </c>
      <c r="AI1071" s="8">
        <f t="shared" si="289"/>
        <v>0.70244092365229505</v>
      </c>
      <c r="AJ1071" s="8"/>
      <c r="AK1071" s="8"/>
      <c r="AL1071" s="8"/>
      <c r="AN1071" s="8">
        <f t="shared" si="295"/>
        <v>1.0000000000000002</v>
      </c>
      <c r="AO1071" s="8">
        <f t="shared" si="296"/>
        <v>0.12774149449340977</v>
      </c>
      <c r="AP1071" s="8">
        <f t="shared" si="297"/>
        <v>0.79197510183620712</v>
      </c>
      <c r="AQ1071" s="8"/>
      <c r="AR1071" s="8">
        <f t="shared" si="298"/>
        <v>7.3190485031660257</v>
      </c>
      <c r="AS1071" s="8">
        <f t="shared" si="299"/>
        <v>44.623169185341759</v>
      </c>
    </row>
    <row r="1072" spans="1:45">
      <c r="A1072" s="19">
        <v>39.506133329999997</v>
      </c>
      <c r="B1072" s="19">
        <v>1527.8181589999999</v>
      </c>
      <c r="C1072" s="19">
        <v>-307.26433479999997</v>
      </c>
      <c r="E1072" s="9">
        <f t="shared" si="285"/>
        <v>567.81815899999992</v>
      </c>
      <c r="F1072" s="9">
        <f t="shared" si="290"/>
        <v>232.73566520000003</v>
      </c>
      <c r="I1072">
        <v>1</v>
      </c>
      <c r="J1072">
        <f t="shared" si="286"/>
        <v>0.38716028600083235</v>
      </c>
      <c r="K1072">
        <f t="shared" si="291"/>
        <v>0.38899202025269319</v>
      </c>
      <c r="O1072">
        <f t="shared" si="292"/>
        <v>0.34935355460861434</v>
      </c>
      <c r="P1072">
        <f t="shared" si="293"/>
        <v>0.1431920248288861</v>
      </c>
      <c r="Q1072">
        <f t="shared" si="294"/>
        <v>0.92598495555150873</v>
      </c>
      <c r="R1072">
        <f t="shared" si="284"/>
        <v>1</v>
      </c>
      <c r="AG1072" s="8">
        <f t="shared" si="287"/>
        <v>0.70598510653403479</v>
      </c>
      <c r="AH1072" s="8">
        <f t="shared" si="288"/>
        <v>9.1110912082242146E-2</v>
      </c>
      <c r="AI1072" s="8">
        <f t="shared" si="289"/>
        <v>0.70234167685797311</v>
      </c>
      <c r="AJ1072" s="8"/>
      <c r="AK1072" s="8"/>
      <c r="AL1072" s="8"/>
      <c r="AN1072" s="8">
        <f t="shared" si="295"/>
        <v>1</v>
      </c>
      <c r="AO1072" s="8">
        <f t="shared" si="296"/>
        <v>0.12834560291353131</v>
      </c>
      <c r="AP1072" s="8">
        <f t="shared" si="297"/>
        <v>0.79211453432599932</v>
      </c>
      <c r="AQ1072" s="8"/>
      <c r="AR1072" s="8">
        <f t="shared" si="298"/>
        <v>7.353661366007306</v>
      </c>
      <c r="AS1072" s="8">
        <f t="shared" si="299"/>
        <v>44.615180292149667</v>
      </c>
    </row>
    <row r="1073" spans="1:45">
      <c r="A1073" s="19">
        <v>39.539499999999997</v>
      </c>
      <c r="B1073" s="19">
        <v>1527.7791560000001</v>
      </c>
      <c r="C1073" s="19">
        <v>-307.24798879999997</v>
      </c>
      <c r="E1073" s="9">
        <f t="shared" si="285"/>
        <v>567.77915600000006</v>
      </c>
      <c r="F1073" s="9">
        <f t="shared" si="290"/>
        <v>232.75201120000003</v>
      </c>
      <c r="I1073">
        <v>1</v>
      </c>
      <c r="J1073">
        <f t="shared" si="286"/>
        <v>0.38714310426989207</v>
      </c>
      <c r="K1073">
        <f t="shared" si="291"/>
        <v>0.38904077397200371</v>
      </c>
      <c r="O1073">
        <f t="shared" si="292"/>
        <v>0.34933185187699622</v>
      </c>
      <c r="P1073">
        <f t="shared" si="293"/>
        <v>0.14320302223386194</v>
      </c>
      <c r="Q1073">
        <f t="shared" si="294"/>
        <v>0.9259914425561806</v>
      </c>
      <c r="R1073">
        <f t="shared" si="284"/>
        <v>1</v>
      </c>
      <c r="AG1073" s="8">
        <f t="shared" si="287"/>
        <v>0.70597618280834795</v>
      </c>
      <c r="AH1073" s="8">
        <f t="shared" si="288"/>
        <v>9.1090436675743014E-2</v>
      </c>
      <c r="AI1073" s="8">
        <f t="shared" si="289"/>
        <v>0.70235330258608197</v>
      </c>
      <c r="AJ1073" s="8"/>
      <c r="AK1073" s="8"/>
      <c r="AL1073" s="8"/>
      <c r="AN1073" s="8">
        <f t="shared" si="295"/>
        <v>1</v>
      </c>
      <c r="AO1073" s="8">
        <f t="shared" si="296"/>
        <v>0.12831867955104773</v>
      </c>
      <c r="AP1073" s="8">
        <f t="shared" si="297"/>
        <v>0.79209820225422689</v>
      </c>
      <c r="AQ1073" s="8"/>
      <c r="AR1073" s="8">
        <f t="shared" si="298"/>
        <v>7.3521187709666957</v>
      </c>
      <c r="AS1073" s="8">
        <f t="shared" si="299"/>
        <v>44.616116050932931</v>
      </c>
    </row>
    <row r="1074" spans="1:45">
      <c r="A1074" s="19">
        <v>39.572866670000003</v>
      </c>
      <c r="B1074" s="19">
        <v>1528.517376</v>
      </c>
      <c r="C1074" s="19">
        <v>-308.07432180000001</v>
      </c>
      <c r="E1074" s="9">
        <f t="shared" si="285"/>
        <v>568.51737600000001</v>
      </c>
      <c r="F1074" s="9">
        <f t="shared" si="290"/>
        <v>231.92567819999999</v>
      </c>
      <c r="I1074">
        <v>1</v>
      </c>
      <c r="J1074">
        <f t="shared" si="286"/>
        <v>0.38735607797464444</v>
      </c>
      <c r="K1074">
        <f t="shared" si="291"/>
        <v>0.38733949654172206</v>
      </c>
      <c r="O1074">
        <f t="shared" si="292"/>
        <v>0.34975756819551218</v>
      </c>
      <c r="P1074">
        <f t="shared" si="293"/>
        <v>0.14268299375484153</v>
      </c>
      <c r="Q1074">
        <f t="shared" si="294"/>
        <v>0.92591101450577717</v>
      </c>
      <c r="R1074">
        <f t="shared" si="284"/>
        <v>1</v>
      </c>
      <c r="AG1074" s="8">
        <f t="shared" si="287"/>
        <v>0.7063675403454337</v>
      </c>
      <c r="AH1074" s="8">
        <f t="shared" si="288"/>
        <v>9.1427533600952626E-2</v>
      </c>
      <c r="AI1074" s="8">
        <f t="shared" si="289"/>
        <v>0.70191588103275504</v>
      </c>
      <c r="AJ1074" s="8"/>
      <c r="AK1074" s="8"/>
      <c r="AL1074" s="8"/>
      <c r="AN1074" s="8">
        <f t="shared" si="295"/>
        <v>1</v>
      </c>
      <c r="AO1074" s="8">
        <f t="shared" si="296"/>
        <v>0.12871775397635199</v>
      </c>
      <c r="AP1074" s="8">
        <f t="shared" si="297"/>
        <v>0.79271252022649696</v>
      </c>
      <c r="AQ1074" s="8"/>
      <c r="AR1074" s="8">
        <f t="shared" si="298"/>
        <v>7.374984051248239</v>
      </c>
      <c r="AS1074" s="8">
        <f t="shared" si="299"/>
        <v>44.580918223842822</v>
      </c>
    </row>
    <row r="1075" spans="1:45">
      <c r="A1075" s="19">
        <v>39.606233330000002</v>
      </c>
      <c r="B1075" s="19">
        <v>1529.2622779999999</v>
      </c>
      <c r="C1075" s="19">
        <v>-308.17210340000003</v>
      </c>
      <c r="E1075" s="9">
        <f t="shared" si="285"/>
        <v>569.26227799999992</v>
      </c>
      <c r="F1075" s="9">
        <f t="shared" si="290"/>
        <v>231.82789659999997</v>
      </c>
      <c r="I1075">
        <v>1</v>
      </c>
      <c r="J1075">
        <f t="shared" si="286"/>
        <v>0.3877312781366184</v>
      </c>
      <c r="K1075">
        <f t="shared" si="291"/>
        <v>0.38673443295594223</v>
      </c>
      <c r="O1075">
        <f t="shared" si="292"/>
        <v>0.35016555663725668</v>
      </c>
      <c r="P1075">
        <f t="shared" si="293"/>
        <v>0.14260236027264639</v>
      </c>
      <c r="Q1075">
        <f t="shared" si="294"/>
        <v>0.92576922058879796</v>
      </c>
      <c r="R1075">
        <f t="shared" si="284"/>
        <v>1</v>
      </c>
      <c r="AG1075" s="8">
        <f t="shared" si="287"/>
        <v>0.7064453322149763</v>
      </c>
      <c r="AH1075" s="8">
        <f t="shared" si="288"/>
        <v>9.183932287354224E-2</v>
      </c>
      <c r="AI1075" s="8">
        <f t="shared" si="289"/>
        <v>0.70178382096326564</v>
      </c>
      <c r="AJ1075" s="8"/>
      <c r="AK1075" s="8"/>
      <c r="AL1075" s="8"/>
      <c r="AN1075" s="8">
        <f t="shared" si="295"/>
        <v>0.99999999999999978</v>
      </c>
      <c r="AO1075" s="8">
        <f t="shared" si="296"/>
        <v>0.12927699418811184</v>
      </c>
      <c r="AP1075" s="8">
        <f t="shared" si="297"/>
        <v>0.79289791325034309</v>
      </c>
      <c r="AQ1075" s="8"/>
      <c r="AR1075" s="8">
        <f t="shared" si="298"/>
        <v>7.407026155116081</v>
      </c>
      <c r="AS1075" s="8">
        <f t="shared" si="299"/>
        <v>44.570295986025265</v>
      </c>
    </row>
    <row r="1076" spans="1:45">
      <c r="A1076" s="19">
        <v>39.639600000000002</v>
      </c>
      <c r="B1076" s="19">
        <v>1529.770323</v>
      </c>
      <c r="C1076" s="19">
        <v>-308.31279410000002</v>
      </c>
      <c r="E1076" s="9">
        <f t="shared" si="285"/>
        <v>569.77032299999996</v>
      </c>
      <c r="F1076" s="9">
        <f t="shared" si="290"/>
        <v>231.68720589999998</v>
      </c>
      <c r="I1076">
        <v>1</v>
      </c>
      <c r="J1076">
        <f t="shared" si="286"/>
        <v>0.38797117032288719</v>
      </c>
      <c r="K1076">
        <f t="shared" si="291"/>
        <v>0.38621105377806725</v>
      </c>
      <c r="O1076">
        <f t="shared" si="292"/>
        <v>0.3504458603870822</v>
      </c>
      <c r="P1076">
        <f t="shared" si="293"/>
        <v>0.14250272247384943</v>
      </c>
      <c r="Q1076">
        <f t="shared" si="294"/>
        <v>0.92567849333615759</v>
      </c>
      <c r="R1076">
        <f t="shared" si="284"/>
        <v>1</v>
      </c>
      <c r="AG1076" s="8">
        <f t="shared" si="287"/>
        <v>0.70653014042984053</v>
      </c>
      <c r="AH1076" s="8">
        <f t="shared" si="288"/>
        <v>9.2112887475172878E-2</v>
      </c>
      <c r="AI1076" s="8">
        <f t="shared" si="289"/>
        <v>0.70166258032274753</v>
      </c>
      <c r="AJ1076" s="8"/>
      <c r="AK1076" s="8"/>
      <c r="AL1076" s="8"/>
      <c r="AN1076" s="8">
        <f t="shared" si="295"/>
        <v>1.0000000000000002</v>
      </c>
      <c r="AO1076" s="8">
        <f t="shared" si="296"/>
        <v>0.12964239087925686</v>
      </c>
      <c r="AP1076" s="8">
        <f t="shared" si="297"/>
        <v>0.79306808757158709</v>
      </c>
      <c r="AQ1076" s="8"/>
      <c r="AR1076" s="8">
        <f t="shared" si="298"/>
        <v>7.4279618433667354</v>
      </c>
      <c r="AS1076" s="8">
        <f t="shared" si="299"/>
        <v>44.560545715636486</v>
      </c>
    </row>
    <row r="1077" spans="1:45">
      <c r="A1077" s="19">
        <v>39.672966670000001</v>
      </c>
      <c r="B1077" s="19">
        <v>1530.33007</v>
      </c>
      <c r="C1077" s="19">
        <v>-308.93766049999999</v>
      </c>
      <c r="E1077" s="9">
        <f t="shared" si="285"/>
        <v>570.33006999999998</v>
      </c>
      <c r="F1077" s="9">
        <f t="shared" si="290"/>
        <v>231.06233950000001</v>
      </c>
      <c r="I1077">
        <v>1</v>
      </c>
      <c r="J1077">
        <f t="shared" si="286"/>
        <v>0.38813410951095251</v>
      </c>
      <c r="K1077">
        <f t="shared" si="291"/>
        <v>0.38492775813525482</v>
      </c>
      <c r="O1077">
        <f t="shared" si="292"/>
        <v>0.3507682326918185</v>
      </c>
      <c r="P1077">
        <f t="shared" si="293"/>
        <v>0.14210951294932067</v>
      </c>
      <c r="Q1077">
        <f t="shared" si="294"/>
        <v>0.92561683933664751</v>
      </c>
      <c r="R1077">
        <f t="shared" si="284"/>
        <v>1</v>
      </c>
      <c r="AG1077" s="8">
        <f t="shared" si="287"/>
        <v>0.70682559861466188</v>
      </c>
      <c r="AH1077" s="8">
        <f t="shared" si="288"/>
        <v>9.2368463666179457E-2</v>
      </c>
      <c r="AI1077" s="8">
        <f t="shared" si="289"/>
        <v>0.70133133400909353</v>
      </c>
      <c r="AJ1077" s="8"/>
      <c r="AK1077" s="8"/>
      <c r="AL1077" s="8"/>
      <c r="AN1077" s="8">
        <f t="shared" si="295"/>
        <v>1</v>
      </c>
      <c r="AO1077" s="8">
        <f t="shared" si="296"/>
        <v>0.12994433258551058</v>
      </c>
      <c r="AP1077" s="8">
        <f t="shared" si="297"/>
        <v>0.79353288219908047</v>
      </c>
      <c r="AQ1077" s="8"/>
      <c r="AR1077" s="8">
        <f t="shared" si="298"/>
        <v>7.4452618287940524</v>
      </c>
      <c r="AS1077" s="8">
        <f t="shared" si="299"/>
        <v>44.533914945140758</v>
      </c>
    </row>
    <row r="1078" spans="1:45">
      <c r="A1078" s="19">
        <v>39.70633333</v>
      </c>
      <c r="B1078" s="19">
        <v>1530.5226009999999</v>
      </c>
      <c r="C1078" s="19">
        <v>-309.13694459999999</v>
      </c>
      <c r="E1078" s="9">
        <f t="shared" si="285"/>
        <v>570.5226009999999</v>
      </c>
      <c r="F1078" s="9">
        <f t="shared" si="290"/>
        <v>230.86305540000001</v>
      </c>
      <c r="I1078">
        <v>1</v>
      </c>
      <c r="J1078">
        <f t="shared" si="286"/>
        <v>0.38819365452079152</v>
      </c>
      <c r="K1078">
        <f t="shared" si="291"/>
        <v>0.38451019314550072</v>
      </c>
      <c r="O1078">
        <f t="shared" si="292"/>
        <v>0.35087863287407356</v>
      </c>
      <c r="P1078">
        <f t="shared" si="293"/>
        <v>0.14198370602303892</v>
      </c>
      <c r="Q1078">
        <f t="shared" si="294"/>
        <v>0.92559430217368144</v>
      </c>
      <c r="R1078">
        <f t="shared" si="284"/>
        <v>1</v>
      </c>
      <c r="AG1078" s="8">
        <f t="shared" si="287"/>
        <v>0.70692044454924796</v>
      </c>
      <c r="AH1078" s="8">
        <f t="shared" si="288"/>
        <v>9.2457883662835194E-2</v>
      </c>
      <c r="AI1078" s="8">
        <f t="shared" si="289"/>
        <v>0.70122394769922336</v>
      </c>
      <c r="AJ1078" s="8"/>
      <c r="AK1078" s="8"/>
      <c r="AL1078" s="8"/>
      <c r="AN1078" s="8">
        <f t="shared" si="295"/>
        <v>0.99999999999999978</v>
      </c>
      <c r="AO1078" s="8">
        <f t="shared" si="296"/>
        <v>0.13005146075244492</v>
      </c>
      <c r="AP1078" s="8">
        <f t="shared" si="297"/>
        <v>0.79368351774237267</v>
      </c>
      <c r="AQ1078" s="8"/>
      <c r="AR1078" s="8">
        <f t="shared" si="298"/>
        <v>7.4513998206263636</v>
      </c>
      <c r="AS1078" s="8">
        <f t="shared" si="299"/>
        <v>44.52528416426545</v>
      </c>
    </row>
    <row r="1079" spans="1:45">
      <c r="A1079" s="19">
        <v>39.739699999999999</v>
      </c>
      <c r="B1079" s="19">
        <v>1531.4517249999999</v>
      </c>
      <c r="C1079" s="19">
        <v>-309.12386700000002</v>
      </c>
      <c r="E1079" s="9">
        <f t="shared" si="285"/>
        <v>571.4517249999999</v>
      </c>
      <c r="F1079" s="9">
        <f t="shared" si="290"/>
        <v>230.87613299999998</v>
      </c>
      <c r="I1079">
        <v>1</v>
      </c>
      <c r="J1079">
        <f t="shared" si="286"/>
        <v>0.38869112569897135</v>
      </c>
      <c r="K1079">
        <f t="shared" si="291"/>
        <v>0.38396438602808541</v>
      </c>
      <c r="O1079">
        <f t="shared" si="292"/>
        <v>0.35138296208857367</v>
      </c>
      <c r="P1079">
        <f t="shared" si="293"/>
        <v>0.14196464187608412</v>
      </c>
      <c r="Q1079">
        <f t="shared" si="294"/>
        <v>0.92540588630657372</v>
      </c>
      <c r="R1079">
        <f t="shared" si="284"/>
        <v>1</v>
      </c>
      <c r="AG1079" s="8">
        <f t="shared" si="287"/>
        <v>0.70695876634086452</v>
      </c>
      <c r="AH1079" s="8">
        <f t="shared" si="288"/>
        <v>9.2984218002538699E-2</v>
      </c>
      <c r="AI1079" s="8">
        <f t="shared" si="289"/>
        <v>0.70111570934921952</v>
      </c>
      <c r="AJ1079" s="8"/>
      <c r="AK1079" s="8"/>
      <c r="AL1079" s="8"/>
      <c r="AN1079" s="8">
        <f t="shared" si="295"/>
        <v>1</v>
      </c>
      <c r="AO1079" s="8">
        <f t="shared" si="296"/>
        <v>0.13077640520190217</v>
      </c>
      <c r="AP1079" s="8">
        <f t="shared" si="297"/>
        <v>0.79383532589909656</v>
      </c>
      <c r="AQ1079" s="8"/>
      <c r="AR1079" s="8">
        <f t="shared" si="298"/>
        <v>7.4929360779616987</v>
      </c>
      <c r="AS1079" s="8">
        <f t="shared" si="299"/>
        <v>44.516586197589511</v>
      </c>
    </row>
    <row r="1080" spans="1:45">
      <c r="A1080" s="19">
        <v>39.773066669999999</v>
      </c>
      <c r="B1080" s="19">
        <v>1532.3715079999999</v>
      </c>
      <c r="C1080" s="19">
        <v>-309.12932849999999</v>
      </c>
      <c r="E1080" s="9">
        <f t="shared" si="285"/>
        <v>572.37150799999995</v>
      </c>
      <c r="F1080" s="9">
        <f t="shared" si="290"/>
        <v>230.87067150000001</v>
      </c>
      <c r="I1080">
        <v>1</v>
      </c>
      <c r="J1080">
        <f t="shared" si="286"/>
        <v>0.38917955357524192</v>
      </c>
      <c r="K1080">
        <f t="shared" si="291"/>
        <v>0.38339791578904836</v>
      </c>
      <c r="O1080">
        <f t="shared" si="292"/>
        <v>0.35188246128903872</v>
      </c>
      <c r="P1080">
        <f t="shared" si="293"/>
        <v>0.14193463334808959</v>
      </c>
      <c r="Q1080">
        <f t="shared" si="294"/>
        <v>0.9252206727551604</v>
      </c>
      <c r="R1080">
        <f t="shared" si="284"/>
        <v>1</v>
      </c>
      <c r="AG1080" s="8">
        <f t="shared" si="287"/>
        <v>0.70700440073319581</v>
      </c>
      <c r="AH1080" s="8">
        <f t="shared" si="288"/>
        <v>9.3503240658351416E-2</v>
      </c>
      <c r="AI1080" s="8">
        <f t="shared" si="289"/>
        <v>0.7010006571539581</v>
      </c>
      <c r="AJ1080" s="8"/>
      <c r="AK1080" s="8"/>
      <c r="AL1080" s="8"/>
      <c r="AN1080" s="8">
        <f t="shared" si="295"/>
        <v>1</v>
      </c>
      <c r="AO1080" s="8">
        <f t="shared" si="296"/>
        <v>0.13148962437383602</v>
      </c>
      <c r="AP1080" s="8">
        <f t="shared" si="297"/>
        <v>0.79399666587675888</v>
      </c>
      <c r="AQ1080" s="8"/>
      <c r="AR1080" s="8">
        <f t="shared" si="298"/>
        <v>7.5338005263813237</v>
      </c>
      <c r="AS1080" s="8">
        <f t="shared" si="299"/>
        <v>44.507342097802727</v>
      </c>
    </row>
    <row r="1081" spans="1:45">
      <c r="A1081" s="19">
        <v>39.806433329999997</v>
      </c>
      <c r="B1081" s="19">
        <v>1532.3355019999999</v>
      </c>
      <c r="C1081" s="19">
        <v>-309.49333109999998</v>
      </c>
      <c r="E1081" s="9">
        <f t="shared" si="285"/>
        <v>572.33550199999991</v>
      </c>
      <c r="F1081" s="9">
        <f t="shared" si="290"/>
        <v>230.50666890000002</v>
      </c>
      <c r="I1081">
        <v>1</v>
      </c>
      <c r="J1081">
        <f t="shared" si="286"/>
        <v>0.38908228615482637</v>
      </c>
      <c r="K1081">
        <f t="shared" si="291"/>
        <v>0.38287262970280855</v>
      </c>
      <c r="O1081">
        <f t="shared" si="292"/>
        <v>0.35187348951124087</v>
      </c>
      <c r="P1081">
        <f t="shared" si="293"/>
        <v>0.14171615365117651</v>
      </c>
      <c r="Q1081">
        <f t="shared" si="294"/>
        <v>0.92525757450209445</v>
      </c>
      <c r="R1081">
        <f t="shared" si="284"/>
        <v>1</v>
      </c>
      <c r="AG1081" s="8">
        <f t="shared" si="287"/>
        <v>0.70715917782920779</v>
      </c>
      <c r="AH1081" s="8">
        <f t="shared" si="288"/>
        <v>9.3447498277713481E-2</v>
      </c>
      <c r="AI1081" s="8">
        <f t="shared" si="289"/>
        <v>0.70085195460778704</v>
      </c>
      <c r="AJ1081" s="8"/>
      <c r="AK1081" s="8"/>
      <c r="AL1081" s="8"/>
      <c r="AN1081" s="8">
        <f t="shared" si="295"/>
        <v>1</v>
      </c>
      <c r="AO1081" s="8">
        <f t="shared" si="296"/>
        <v>0.13138370334922336</v>
      </c>
      <c r="AP1081" s="8">
        <f t="shared" si="297"/>
        <v>0.79420515651144941</v>
      </c>
      <c r="AQ1081" s="8"/>
      <c r="AR1081" s="8">
        <f t="shared" si="298"/>
        <v>7.5277316987093172</v>
      </c>
      <c r="AS1081" s="8">
        <f t="shared" si="299"/>
        <v>44.495396464366955</v>
      </c>
    </row>
    <row r="1082" spans="1:45">
      <c r="A1082" s="19">
        <v>39.839799999999997</v>
      </c>
      <c r="B1082" s="19">
        <v>1533.58386</v>
      </c>
      <c r="C1082" s="19">
        <v>-309.98406699999998</v>
      </c>
      <c r="E1082" s="9">
        <f t="shared" si="285"/>
        <v>573.58385999999996</v>
      </c>
      <c r="F1082" s="9">
        <f t="shared" si="290"/>
        <v>230.01593300000002</v>
      </c>
      <c r="I1082">
        <v>1</v>
      </c>
      <c r="J1082">
        <f t="shared" si="286"/>
        <v>0.38964196997845646</v>
      </c>
      <c r="K1082">
        <f t="shared" si="291"/>
        <v>0.3813813732020323</v>
      </c>
      <c r="O1082">
        <f t="shared" si="292"/>
        <v>0.35256502290476799</v>
      </c>
      <c r="P1082">
        <f t="shared" si="293"/>
        <v>0.14138398644377229</v>
      </c>
      <c r="Q1082">
        <f t="shared" si="294"/>
        <v>0.92504511944089929</v>
      </c>
      <c r="R1082">
        <f t="shared" si="284"/>
        <v>1</v>
      </c>
      <c r="AG1082" s="8">
        <f t="shared" si="287"/>
        <v>0.70742839246765643</v>
      </c>
      <c r="AH1082" s="8">
        <f t="shared" si="288"/>
        <v>9.4104631753832546E-2</v>
      </c>
      <c r="AI1082" s="8">
        <f t="shared" si="289"/>
        <v>0.70049224679014332</v>
      </c>
      <c r="AJ1082" s="8"/>
      <c r="AK1082" s="8"/>
      <c r="AL1082" s="8"/>
      <c r="AN1082" s="8">
        <f t="shared" si="295"/>
        <v>1</v>
      </c>
      <c r="AO1082" s="8">
        <f t="shared" si="296"/>
        <v>0.1322471415945364</v>
      </c>
      <c r="AP1082" s="8">
        <f t="shared" si="297"/>
        <v>0.79470931374411413</v>
      </c>
      <c r="AQ1082" s="8"/>
      <c r="AR1082" s="8">
        <f t="shared" si="298"/>
        <v>7.5772030660359357</v>
      </c>
      <c r="AS1082" s="8">
        <f t="shared" si="299"/>
        <v>44.466510382724273</v>
      </c>
    </row>
    <row r="1083" spans="1:45">
      <c r="A1083" s="19">
        <v>39.873166670000003</v>
      </c>
      <c r="B1083" s="19">
        <v>1533.6810379999999</v>
      </c>
      <c r="C1083" s="19">
        <v>-310.13855910000001</v>
      </c>
      <c r="E1083" s="9">
        <f t="shared" si="285"/>
        <v>573.68103799999994</v>
      </c>
      <c r="F1083" s="9">
        <f t="shared" si="290"/>
        <v>229.86144089999999</v>
      </c>
      <c r="I1083">
        <v>1</v>
      </c>
      <c r="J1083">
        <f t="shared" si="286"/>
        <v>0.38966074155082558</v>
      </c>
      <c r="K1083">
        <f t="shared" si="291"/>
        <v>0.38109082826224916</v>
      </c>
      <c r="O1083">
        <f t="shared" si="292"/>
        <v>0.35262220517209297</v>
      </c>
      <c r="P1083">
        <f t="shared" si="293"/>
        <v>0.14128800292366073</v>
      </c>
      <c r="Q1083">
        <f t="shared" si="294"/>
        <v>0.92503798876014498</v>
      </c>
      <c r="R1083">
        <f t="shared" si="284"/>
        <v>1</v>
      </c>
      <c r="AG1083" s="8">
        <f t="shared" si="287"/>
        <v>0.70749928122609562</v>
      </c>
      <c r="AH1083" s="8">
        <f t="shared" si="288"/>
        <v>9.4144466556240258E-2</v>
      </c>
      <c r="AI1083" s="8">
        <f t="shared" si="289"/>
        <v>0.70041529572204453</v>
      </c>
      <c r="AJ1083" s="8"/>
      <c r="AK1083" s="8"/>
      <c r="AL1083" s="8"/>
      <c r="AN1083" s="8">
        <f t="shared" si="295"/>
        <v>1</v>
      </c>
      <c r="AO1083" s="8">
        <f t="shared" si="296"/>
        <v>0.13228936932989532</v>
      </c>
      <c r="AP1083" s="8">
        <f t="shared" si="297"/>
        <v>0.79481713398808451</v>
      </c>
      <c r="AQ1083" s="8"/>
      <c r="AR1083" s="8">
        <f t="shared" si="298"/>
        <v>7.5796225370503976</v>
      </c>
      <c r="AS1083" s="8">
        <f t="shared" si="299"/>
        <v>44.460332737798701</v>
      </c>
    </row>
    <row r="1084" spans="1:45">
      <c r="A1084" s="19">
        <v>39.906533330000002</v>
      </c>
      <c r="B1084" s="19">
        <v>1533.8476909999999</v>
      </c>
      <c r="C1084" s="19">
        <v>-310.38017559999997</v>
      </c>
      <c r="E1084" s="9">
        <f t="shared" si="285"/>
        <v>573.84769099999994</v>
      </c>
      <c r="F1084" s="9">
        <f t="shared" si="290"/>
        <v>229.61982440000003</v>
      </c>
      <c r="I1084">
        <v>1</v>
      </c>
      <c r="J1084">
        <f t="shared" si="286"/>
        <v>0.38969797358957103</v>
      </c>
      <c r="K1084">
        <f t="shared" si="291"/>
        <v>0.38062767579164991</v>
      </c>
      <c r="O1084">
        <f t="shared" si="292"/>
        <v>0.35271958115296204</v>
      </c>
      <c r="P1084">
        <f t="shared" si="293"/>
        <v>0.141137464796011</v>
      </c>
      <c r="Q1084">
        <f t="shared" si="294"/>
        <v>0.92502384461279363</v>
      </c>
      <c r="R1084">
        <f t="shared" si="284"/>
        <v>1</v>
      </c>
      <c r="AG1084" s="8">
        <f t="shared" si="287"/>
        <v>0.70761080858601322</v>
      </c>
      <c r="AH1084" s="8">
        <f t="shared" si="288"/>
        <v>9.421504441680123E-2</v>
      </c>
      <c r="AI1084" s="8">
        <f t="shared" si="289"/>
        <v>0.70029313075153654</v>
      </c>
      <c r="AJ1084" s="8"/>
      <c r="AK1084" s="8"/>
      <c r="AL1084" s="8"/>
      <c r="AN1084" s="8">
        <f t="shared" si="295"/>
        <v>1</v>
      </c>
      <c r="AO1084" s="8">
        <f t="shared" si="296"/>
        <v>0.13236676637595005</v>
      </c>
      <c r="AP1084" s="8">
        <f t="shared" si="297"/>
        <v>0.79498828241345487</v>
      </c>
      <c r="AQ1084" s="8"/>
      <c r="AR1084" s="8">
        <f t="shared" si="298"/>
        <v>7.5840570611361127</v>
      </c>
      <c r="AS1084" s="8">
        <f t="shared" si="299"/>
        <v>44.450526655354672</v>
      </c>
    </row>
    <row r="1085" spans="1:45">
      <c r="A1085" s="19">
        <v>39.939900000000002</v>
      </c>
      <c r="B1085" s="19">
        <v>1534.5420449999999</v>
      </c>
      <c r="C1085" s="19">
        <v>-310.9524897</v>
      </c>
      <c r="E1085" s="9">
        <f t="shared" si="285"/>
        <v>574.54204499999992</v>
      </c>
      <c r="F1085" s="9">
        <f t="shared" si="290"/>
        <v>229.0475103</v>
      </c>
      <c r="I1085">
        <v>1</v>
      </c>
      <c r="J1085">
        <f t="shared" si="286"/>
        <v>0.38994609698065175</v>
      </c>
      <c r="K1085">
        <f t="shared" si="291"/>
        <v>0.3793515402166609</v>
      </c>
      <c r="O1085">
        <f t="shared" si="292"/>
        <v>0.35311259589022848</v>
      </c>
      <c r="P1085">
        <f t="shared" si="293"/>
        <v>0.14077222310897516</v>
      </c>
      <c r="Q1085">
        <f t="shared" si="294"/>
        <v>0.92492955181712144</v>
      </c>
      <c r="R1085">
        <f t="shared" si="284"/>
        <v>1</v>
      </c>
      <c r="AG1085" s="8">
        <f t="shared" si="287"/>
        <v>0.70788873413329256</v>
      </c>
      <c r="AH1085" s="8">
        <f t="shared" si="288"/>
        <v>9.4551278906019276E-2</v>
      </c>
      <c r="AI1085" s="8">
        <f t="shared" si="289"/>
        <v>0.69996685331835606</v>
      </c>
      <c r="AJ1085" s="8"/>
      <c r="AK1085" s="8"/>
      <c r="AL1085" s="8"/>
      <c r="AN1085" s="8">
        <f t="shared" si="295"/>
        <v>1</v>
      </c>
      <c r="AO1085" s="8">
        <f t="shared" si="296"/>
        <v>0.132782087984429</v>
      </c>
      <c r="AP1085" s="8">
        <f t="shared" si="297"/>
        <v>0.79544524376653847</v>
      </c>
      <c r="AQ1085" s="8"/>
      <c r="AR1085" s="8">
        <f t="shared" si="298"/>
        <v>7.6078532364425415</v>
      </c>
      <c r="AS1085" s="8">
        <f t="shared" si="299"/>
        <v>44.424344698422388</v>
      </c>
    </row>
    <row r="1086" spans="1:45">
      <c r="A1086" s="19">
        <v>39.973266670000001</v>
      </c>
      <c r="B1086" s="19">
        <v>1535.3909940000001</v>
      </c>
      <c r="C1086" s="19">
        <v>-311.18839150000002</v>
      </c>
      <c r="E1086" s="9">
        <f t="shared" si="285"/>
        <v>575.39099400000009</v>
      </c>
      <c r="F1086" s="9">
        <f t="shared" si="290"/>
        <v>228.81160849999998</v>
      </c>
      <c r="I1086">
        <v>1</v>
      </c>
      <c r="J1086">
        <f t="shared" si="286"/>
        <v>0.39034837566091296</v>
      </c>
      <c r="K1086">
        <f t="shared" si="291"/>
        <v>0.37848994924359702</v>
      </c>
      <c r="O1086">
        <f t="shared" si="292"/>
        <v>0.35357946932432976</v>
      </c>
      <c r="P1086">
        <f t="shared" si="293"/>
        <v>0.14060541084637881</v>
      </c>
      <c r="Q1086">
        <f t="shared" si="294"/>
        <v>0.92477655534353076</v>
      </c>
      <c r="R1086">
        <f t="shared" si="284"/>
        <v>1</v>
      </c>
      <c r="AG1086" s="8">
        <f t="shared" si="287"/>
        <v>0.70802912599593926</v>
      </c>
      <c r="AH1086" s="8">
        <f t="shared" si="288"/>
        <v>9.5007317397533764E-2</v>
      </c>
      <c r="AI1086" s="8">
        <f t="shared" si="289"/>
        <v>0.69976307875048016</v>
      </c>
      <c r="AJ1086" s="8"/>
      <c r="AK1086" s="8"/>
      <c r="AL1086" s="8"/>
      <c r="AN1086" s="8">
        <f t="shared" si="295"/>
        <v>1</v>
      </c>
      <c r="AO1086" s="8">
        <f t="shared" si="296"/>
        <v>0.13338882450738387</v>
      </c>
      <c r="AP1086" s="8">
        <f t="shared" si="297"/>
        <v>0.7957305323737186</v>
      </c>
      <c r="AQ1086" s="8"/>
      <c r="AR1086" s="8">
        <f t="shared" si="298"/>
        <v>7.6426166784842984</v>
      </c>
      <c r="AS1086" s="8">
        <f t="shared" si="299"/>
        <v>44.407998865287801</v>
      </c>
    </row>
    <row r="1087" spans="1:45">
      <c r="A1087" s="19">
        <v>40.00663333</v>
      </c>
      <c r="B1087" s="19">
        <v>1535.7588020000001</v>
      </c>
      <c r="C1087" s="19">
        <v>-311.21762310000003</v>
      </c>
      <c r="E1087" s="9">
        <f t="shared" si="285"/>
        <v>575.75880200000006</v>
      </c>
      <c r="F1087" s="9">
        <f t="shared" si="290"/>
        <v>228.78237689999997</v>
      </c>
      <c r="I1087">
        <v>1</v>
      </c>
      <c r="J1087">
        <f t="shared" si="286"/>
        <v>0.3905381517665456</v>
      </c>
      <c r="K1087">
        <f t="shared" si="291"/>
        <v>0.37822673428514353</v>
      </c>
      <c r="O1087">
        <f t="shared" si="292"/>
        <v>0.35377955643328474</v>
      </c>
      <c r="P1087">
        <f t="shared" si="293"/>
        <v>0.14057714365508658</v>
      </c>
      <c r="Q1087">
        <f t="shared" si="294"/>
        <v>0.92470432686975434</v>
      </c>
      <c r="R1087">
        <f t="shared" si="284"/>
        <v>1</v>
      </c>
      <c r="AG1087" s="8">
        <f t="shared" si="287"/>
        <v>0.70805856236444609</v>
      </c>
      <c r="AH1087" s="8">
        <f t="shared" si="288"/>
        <v>9.5211931321864507E-2</v>
      </c>
      <c r="AI1087" s="8">
        <f t="shared" si="289"/>
        <v>0.69970548118215747</v>
      </c>
      <c r="AJ1087" s="8"/>
      <c r="AK1087" s="8"/>
      <c r="AL1087" s="8"/>
      <c r="AN1087" s="8">
        <f t="shared" si="295"/>
        <v>1</v>
      </c>
      <c r="AO1087" s="8">
        <f t="shared" si="296"/>
        <v>0.13366720178421113</v>
      </c>
      <c r="AP1087" s="8">
        <f t="shared" si="297"/>
        <v>0.79581115570811267</v>
      </c>
      <c r="AQ1087" s="8"/>
      <c r="AR1087" s="8">
        <f t="shared" si="298"/>
        <v>7.6585665215588445</v>
      </c>
      <c r="AS1087" s="8">
        <f t="shared" si="299"/>
        <v>44.403379488496753</v>
      </c>
    </row>
    <row r="1088" spans="1:45">
      <c r="A1088" s="19">
        <v>40.04</v>
      </c>
      <c r="B1088" s="19">
        <v>1536.3458009999999</v>
      </c>
      <c r="C1088" s="19">
        <v>-311.1910871</v>
      </c>
      <c r="E1088" s="9">
        <f t="shared" si="285"/>
        <v>576.34580099999994</v>
      </c>
      <c r="F1088" s="9">
        <f t="shared" si="290"/>
        <v>228.8089129</v>
      </c>
      <c r="I1088">
        <v>1</v>
      </c>
      <c r="J1088">
        <f t="shared" si="286"/>
        <v>0.39085649042192128</v>
      </c>
      <c r="K1088">
        <f t="shared" si="291"/>
        <v>0.37791694312676549</v>
      </c>
      <c r="O1088">
        <f t="shared" si="292"/>
        <v>0.35409666813312052</v>
      </c>
      <c r="P1088">
        <f t="shared" si="293"/>
        <v>0.14057614986779682</v>
      </c>
      <c r="Q1088">
        <f t="shared" si="294"/>
        <v>0.92458309291559593</v>
      </c>
      <c r="R1088">
        <f t="shared" si="284"/>
        <v>1</v>
      </c>
      <c r="AG1088" s="8">
        <f t="shared" si="287"/>
        <v>0.70807406053040667</v>
      </c>
      <c r="AH1088" s="8">
        <f t="shared" si="288"/>
        <v>9.554551494226432E-2</v>
      </c>
      <c r="AI1088" s="8">
        <f t="shared" si="289"/>
        <v>0.69964432348043792</v>
      </c>
      <c r="AJ1088" s="8"/>
      <c r="AK1088" s="8"/>
      <c r="AL1088" s="8"/>
      <c r="AN1088" s="8">
        <f t="shared" si="295"/>
        <v>1</v>
      </c>
      <c r="AO1088" s="8">
        <f t="shared" si="296"/>
        <v>0.13412702904347057</v>
      </c>
      <c r="AP1088" s="8">
        <f t="shared" si="297"/>
        <v>0.79589675544163041</v>
      </c>
      <c r="AQ1088" s="8"/>
      <c r="AR1088" s="8">
        <f t="shared" si="298"/>
        <v>7.6849126828194789</v>
      </c>
      <c r="AS1088" s="8">
        <f t="shared" si="299"/>
        <v>44.398474985038739</v>
      </c>
    </row>
    <row r="1089" spans="1:45">
      <c r="A1089" s="19">
        <v>40.073366669999999</v>
      </c>
      <c r="B1089" s="19">
        <v>1536.811657</v>
      </c>
      <c r="C1089" s="19">
        <v>-311.37133290000003</v>
      </c>
      <c r="E1089" s="9">
        <f t="shared" si="285"/>
        <v>576.81165699999997</v>
      </c>
      <c r="F1089" s="9">
        <f t="shared" si="290"/>
        <v>228.62866709999997</v>
      </c>
      <c r="I1089">
        <v>1</v>
      </c>
      <c r="J1089">
        <f t="shared" si="286"/>
        <v>0.39106657476488715</v>
      </c>
      <c r="K1089">
        <f t="shared" si="291"/>
        <v>0.37736990473773963</v>
      </c>
      <c r="O1089">
        <f t="shared" si="292"/>
        <v>0.3543540809687834</v>
      </c>
      <c r="P1089">
        <f t="shared" si="293"/>
        <v>0.14045399435008027</v>
      </c>
      <c r="Q1089">
        <f t="shared" si="294"/>
        <v>0.92450303448494775</v>
      </c>
      <c r="R1089">
        <f t="shared" si="284"/>
        <v>1</v>
      </c>
      <c r="AG1089" s="8">
        <f t="shared" si="287"/>
        <v>0.70817266741230644</v>
      </c>
      <c r="AH1089" s="8">
        <f t="shared" si="288"/>
        <v>9.5790650456313631E-2</v>
      </c>
      <c r="AI1089" s="8">
        <f t="shared" si="289"/>
        <v>0.69951098948858204</v>
      </c>
      <c r="AJ1089" s="8"/>
      <c r="AK1089" s="8"/>
      <c r="AL1089" s="8"/>
      <c r="AN1089" s="8">
        <f t="shared" si="295"/>
        <v>1</v>
      </c>
      <c r="AO1089" s="8">
        <f t="shared" si="296"/>
        <v>0.1344485243842275</v>
      </c>
      <c r="AP1089" s="8">
        <f t="shared" si="297"/>
        <v>0.79608335227215588</v>
      </c>
      <c r="AQ1089" s="8"/>
      <c r="AR1089" s="8">
        <f t="shared" si="298"/>
        <v>7.703333008977971</v>
      </c>
      <c r="AS1089" s="8">
        <f t="shared" si="299"/>
        <v>44.387783774179113</v>
      </c>
    </row>
    <row r="1090" spans="1:45">
      <c r="A1090" s="19">
        <v>40.106733329999997</v>
      </c>
      <c r="B1090" s="19">
        <v>1537.481147</v>
      </c>
      <c r="C1090" s="19">
        <v>-311.92051670000001</v>
      </c>
      <c r="E1090" s="9">
        <f t="shared" si="285"/>
        <v>577.48114699999996</v>
      </c>
      <c r="F1090" s="9">
        <f t="shared" si="290"/>
        <v>228.07948329999999</v>
      </c>
      <c r="I1090">
        <v>1</v>
      </c>
      <c r="J1090">
        <f t="shared" si="286"/>
        <v>0.39130751509819384</v>
      </c>
      <c r="K1090">
        <f t="shared" si="291"/>
        <v>0.3761503120514455</v>
      </c>
      <c r="O1090">
        <f t="shared" si="292"/>
        <v>0.35473228041323024</v>
      </c>
      <c r="P1090">
        <f t="shared" si="293"/>
        <v>0.14010354389366805</v>
      </c>
      <c r="Q1090">
        <f t="shared" si="294"/>
        <v>0.92441116729584372</v>
      </c>
      <c r="R1090">
        <f t="shared" si="284"/>
        <v>1</v>
      </c>
      <c r="AG1090" s="8">
        <f t="shared" si="287"/>
        <v>0.7084386781933284</v>
      </c>
      <c r="AH1090" s="8">
        <f t="shared" si="288"/>
        <v>9.6114702742992497E-2</v>
      </c>
      <c r="AI1090" s="8">
        <f t="shared" si="289"/>
        <v>0.69919711323511324</v>
      </c>
      <c r="AJ1090" s="8"/>
      <c r="AK1090" s="8"/>
      <c r="AL1090" s="8"/>
      <c r="AN1090" s="8">
        <f t="shared" si="295"/>
        <v>0.99999999999999989</v>
      </c>
      <c r="AO1090" s="8">
        <f t="shared" si="296"/>
        <v>0.13484782385375838</v>
      </c>
      <c r="AP1090" s="8">
        <f t="shared" si="297"/>
        <v>0.79652247797715081</v>
      </c>
      <c r="AQ1090" s="8"/>
      <c r="AR1090" s="8">
        <f t="shared" si="298"/>
        <v>7.7262111833439029</v>
      </c>
      <c r="AS1090" s="8">
        <f t="shared" si="299"/>
        <v>44.362623724607197</v>
      </c>
    </row>
    <row r="1091" spans="1:45">
      <c r="A1091" s="19">
        <v>40.140099999999997</v>
      </c>
      <c r="B1091" s="19">
        <v>1538.3661930000001</v>
      </c>
      <c r="C1091" s="19">
        <v>-312.29717310000001</v>
      </c>
      <c r="E1091" s="9">
        <f t="shared" si="285"/>
        <v>578.36619300000007</v>
      </c>
      <c r="F1091" s="9">
        <f t="shared" si="290"/>
        <v>227.70282689999999</v>
      </c>
      <c r="I1091">
        <v>1</v>
      </c>
      <c r="J1091">
        <f t="shared" si="286"/>
        <v>0.3917000259662643</v>
      </c>
      <c r="K1091">
        <f t="shared" si="291"/>
        <v>0.37506365713762069</v>
      </c>
      <c r="O1091">
        <f t="shared" si="292"/>
        <v>0.35522190605942244</v>
      </c>
      <c r="P1091">
        <f t="shared" si="293"/>
        <v>0.13985089924945995</v>
      </c>
      <c r="Q1091">
        <f t="shared" si="294"/>
        <v>0.92426139345675806</v>
      </c>
      <c r="R1091">
        <f t="shared" si="284"/>
        <v>1</v>
      </c>
      <c r="AG1091" s="8">
        <f t="shared" si="287"/>
        <v>0.70864021197108473</v>
      </c>
      <c r="AH1091" s="8">
        <f t="shared" si="288"/>
        <v>9.6576846573444453E-2</v>
      </c>
      <c r="AI1091" s="8">
        <f t="shared" si="289"/>
        <v>0.69892915426637148</v>
      </c>
      <c r="AJ1091" s="8"/>
      <c r="AK1091" s="8"/>
      <c r="AL1091" s="8"/>
      <c r="AN1091" s="8">
        <f t="shared" si="295"/>
        <v>0.99999999999999989</v>
      </c>
      <c r="AO1091" s="8">
        <f t="shared" si="296"/>
        <v>0.13545025645345229</v>
      </c>
      <c r="AP1091" s="8">
        <f t="shared" si="297"/>
        <v>0.79689721435280114</v>
      </c>
      <c r="AQ1091" s="8"/>
      <c r="AR1091" s="8">
        <f t="shared" si="298"/>
        <v>7.7607280287474589</v>
      </c>
      <c r="AS1091" s="8">
        <f t="shared" si="299"/>
        <v>44.341152911852404</v>
      </c>
    </row>
    <row r="1092" spans="1:45">
      <c r="A1092" s="19">
        <v>40.173466670000003</v>
      </c>
      <c r="B1092" s="19">
        <v>1538.568751</v>
      </c>
      <c r="C1092" s="19">
        <v>-312.4678035</v>
      </c>
      <c r="E1092" s="9">
        <f t="shared" si="285"/>
        <v>578.56875100000002</v>
      </c>
      <c r="F1092" s="9">
        <f t="shared" si="290"/>
        <v>227.5321965</v>
      </c>
      <c r="I1092">
        <v>1</v>
      </c>
      <c r="J1092">
        <f t="shared" si="286"/>
        <v>0.39177220097512161</v>
      </c>
      <c r="K1092">
        <f t="shared" si="291"/>
        <v>0.3746889236681743</v>
      </c>
      <c r="O1092">
        <f t="shared" si="292"/>
        <v>0.35533636743890218</v>
      </c>
      <c r="P1092">
        <f t="shared" si="293"/>
        <v>0.13974218973970215</v>
      </c>
      <c r="Q1092">
        <f t="shared" si="294"/>
        <v>0.92423383750113719</v>
      </c>
      <c r="R1092">
        <f t="shared" si="284"/>
        <v>1</v>
      </c>
      <c r="AG1092" s="8">
        <f t="shared" si="287"/>
        <v>0.7087224839227676</v>
      </c>
      <c r="AH1092" s="8">
        <f t="shared" si="288"/>
        <v>9.6674404434004269E-2</v>
      </c>
      <c r="AI1092" s="8">
        <f t="shared" si="289"/>
        <v>0.69883224046238235</v>
      </c>
      <c r="AJ1092" s="8"/>
      <c r="AK1092" s="8"/>
      <c r="AL1092" s="8"/>
      <c r="AN1092" s="8">
        <f t="shared" si="295"/>
        <v>1</v>
      </c>
      <c r="AO1092" s="8">
        <f t="shared" si="296"/>
        <v>0.1355698654300122</v>
      </c>
      <c r="AP1092" s="8">
        <f t="shared" si="297"/>
        <v>0.79703271298238987</v>
      </c>
      <c r="AQ1092" s="8"/>
      <c r="AR1092" s="8">
        <f t="shared" si="298"/>
        <v>7.7675811182962207</v>
      </c>
      <c r="AS1092" s="8">
        <f t="shared" si="299"/>
        <v>44.333389412247165</v>
      </c>
    </row>
    <row r="1093" spans="1:45">
      <c r="A1093" s="19">
        <v>40.206833330000002</v>
      </c>
      <c r="B1093" s="19">
        <v>1539.1080850000001</v>
      </c>
      <c r="C1093" s="19">
        <v>-312.67245680000002</v>
      </c>
      <c r="E1093" s="9">
        <f t="shared" si="285"/>
        <v>579.10808500000007</v>
      </c>
      <c r="F1093" s="9">
        <f t="shared" si="290"/>
        <v>227.32754319999998</v>
      </c>
      <c r="I1093">
        <v>1</v>
      </c>
      <c r="J1093">
        <f t="shared" si="286"/>
        <v>0.39201681560666551</v>
      </c>
      <c r="K1093">
        <f t="shared" si="291"/>
        <v>0.37406551253189807</v>
      </c>
      <c r="O1093">
        <f t="shared" si="292"/>
        <v>0.35563385208111936</v>
      </c>
      <c r="P1093">
        <f t="shared" si="293"/>
        <v>0.13960324845465258</v>
      </c>
      <c r="Q1093">
        <f t="shared" si="294"/>
        <v>0.92414040939396924</v>
      </c>
      <c r="R1093">
        <f t="shared" si="284"/>
        <v>1</v>
      </c>
      <c r="AG1093" s="8">
        <f t="shared" si="287"/>
        <v>0.70883444320753286</v>
      </c>
      <c r="AH1093" s="8">
        <f t="shared" si="288"/>
        <v>9.695833357240885E-2</v>
      </c>
      <c r="AI1093" s="8">
        <f t="shared" si="289"/>
        <v>0.69867933537033178</v>
      </c>
      <c r="AJ1093" s="8"/>
      <c r="AK1093" s="8"/>
      <c r="AL1093" s="8"/>
      <c r="AN1093" s="8">
        <f t="shared" si="295"/>
        <v>1.0000000000000002</v>
      </c>
      <c r="AO1093" s="8">
        <f t="shared" si="296"/>
        <v>0.13594193571565028</v>
      </c>
      <c r="AP1093" s="8">
        <f t="shared" si="297"/>
        <v>0.79724645855180898</v>
      </c>
      <c r="AQ1093" s="8"/>
      <c r="AR1093" s="8">
        <f t="shared" si="298"/>
        <v>7.7888991753455095</v>
      </c>
      <c r="AS1093" s="8">
        <f t="shared" si="299"/>
        <v>44.321142693229831</v>
      </c>
    </row>
    <row r="1094" spans="1:45">
      <c r="A1094" s="19">
        <v>40.240200000000002</v>
      </c>
      <c r="B1094" s="19">
        <v>1539.563175</v>
      </c>
      <c r="C1094" s="19">
        <v>-312.87371839999997</v>
      </c>
      <c r="E1094" s="9">
        <f t="shared" si="285"/>
        <v>579.563175</v>
      </c>
      <c r="F1094" s="9">
        <f t="shared" si="290"/>
        <v>227.12628160000003</v>
      </c>
      <c r="I1094">
        <v>1</v>
      </c>
      <c r="J1094">
        <f t="shared" si="286"/>
        <v>0.39221732190549485</v>
      </c>
      <c r="K1094">
        <f t="shared" si="291"/>
        <v>0.37349740408669002</v>
      </c>
      <c r="O1094">
        <f t="shared" si="292"/>
        <v>0.35588561841988431</v>
      </c>
      <c r="P1094">
        <f t="shared" si="293"/>
        <v>0.13946879421147623</v>
      </c>
      <c r="Q1094">
        <f t="shared" si="294"/>
        <v>0.92406378678265133</v>
      </c>
      <c r="R1094">
        <f t="shared" si="284"/>
        <v>1</v>
      </c>
      <c r="AG1094" s="8">
        <f t="shared" si="287"/>
        <v>0.70894107703238418</v>
      </c>
      <c r="AH1094" s="8">
        <f t="shared" si="288"/>
        <v>9.7195092270303873E-2</v>
      </c>
      <c r="AI1094" s="8">
        <f t="shared" si="289"/>
        <v>0.69853823326624731</v>
      </c>
      <c r="AJ1094" s="8"/>
      <c r="AK1094" s="8"/>
      <c r="AL1094" s="8"/>
      <c r="AN1094" s="8">
        <f t="shared" si="295"/>
        <v>0.99999999999999978</v>
      </c>
      <c r="AO1094" s="8">
        <f t="shared" si="296"/>
        <v>0.13624955362966504</v>
      </c>
      <c r="AP1094" s="8">
        <f t="shared" si="297"/>
        <v>0.797443665183174</v>
      </c>
      <c r="AQ1094" s="8"/>
      <c r="AR1094" s="8">
        <f t="shared" si="298"/>
        <v>7.8065243835211735</v>
      </c>
      <c r="AS1094" s="8">
        <f t="shared" si="299"/>
        <v>44.309843585560621</v>
      </c>
    </row>
    <row r="1095" spans="1:45">
      <c r="A1095" s="19">
        <v>40.273566670000001</v>
      </c>
      <c r="B1095" s="19">
        <v>1540.2383259999999</v>
      </c>
      <c r="C1095" s="19">
        <v>-313.10524070000002</v>
      </c>
      <c r="E1095" s="9">
        <f t="shared" si="285"/>
        <v>580.23832599999992</v>
      </c>
      <c r="F1095" s="9">
        <f t="shared" si="290"/>
        <v>226.89475929999998</v>
      </c>
      <c r="I1095">
        <v>1</v>
      </c>
      <c r="J1095">
        <f t="shared" si="286"/>
        <v>0.39252891358851688</v>
      </c>
      <c r="K1095">
        <f t="shared" si="291"/>
        <v>0.37275601021071014</v>
      </c>
      <c r="O1095">
        <f t="shared" si="292"/>
        <v>0.35625706221359166</v>
      </c>
      <c r="P1095">
        <f t="shared" si="293"/>
        <v>0.13930975731492445</v>
      </c>
      <c r="Q1095">
        <f t="shared" si="294"/>
        <v>0.92394463965099005</v>
      </c>
      <c r="R1095">
        <f t="shared" si="284"/>
        <v>1</v>
      </c>
      <c r="AG1095" s="8">
        <f t="shared" si="287"/>
        <v>0.70907040491891771</v>
      </c>
      <c r="AH1095" s="8">
        <f t="shared" si="288"/>
        <v>9.7552751002721705E-2</v>
      </c>
      <c r="AI1095" s="8">
        <f t="shared" si="289"/>
        <v>0.69835708748456404</v>
      </c>
      <c r="AJ1095" s="8"/>
      <c r="AK1095" s="8"/>
      <c r="AL1095" s="8"/>
      <c r="AN1095" s="8">
        <f t="shared" si="295"/>
        <v>1</v>
      </c>
      <c r="AO1095" s="8">
        <f t="shared" si="296"/>
        <v>0.13672007815056633</v>
      </c>
      <c r="AP1095" s="8">
        <f t="shared" si="297"/>
        <v>0.79769678188003679</v>
      </c>
      <c r="AQ1095" s="8"/>
      <c r="AR1095" s="8">
        <f t="shared" si="298"/>
        <v>7.8334834527262327</v>
      </c>
      <c r="AS1095" s="8">
        <f t="shared" si="299"/>
        <v>44.295341067106087</v>
      </c>
    </row>
    <row r="1096" spans="1:45">
      <c r="A1096" s="19">
        <v>40.30693333</v>
      </c>
      <c r="B1096" s="19">
        <v>1540.663096</v>
      </c>
      <c r="C1096" s="19">
        <v>-313.36461530000003</v>
      </c>
      <c r="E1096" s="9">
        <f t="shared" si="285"/>
        <v>580.663096</v>
      </c>
      <c r="F1096" s="9">
        <f t="shared" si="290"/>
        <v>226.63538469999997</v>
      </c>
      <c r="I1096">
        <v>1</v>
      </c>
      <c r="J1096">
        <f t="shared" si="286"/>
        <v>0.39270134405854801</v>
      </c>
      <c r="K1096">
        <f t="shared" si="291"/>
        <v>0.37212029478742814</v>
      </c>
      <c r="O1096">
        <f t="shared" si="292"/>
        <v>0.35649395865420419</v>
      </c>
      <c r="P1096">
        <f t="shared" si="293"/>
        <v>0.1391411750107526</v>
      </c>
      <c r="Q1096">
        <f t="shared" si="294"/>
        <v>0.92387866674129981</v>
      </c>
      <c r="R1096">
        <f t="shared" si="284"/>
        <v>1</v>
      </c>
      <c r="AG1096" s="8">
        <f t="shared" si="287"/>
        <v>0.70920039009066849</v>
      </c>
      <c r="AH1096" s="8">
        <f t="shared" si="288"/>
        <v>9.7766702030369912E-2</v>
      </c>
      <c r="AI1096" s="8">
        <f t="shared" si="289"/>
        <v>0.69819515801052978</v>
      </c>
      <c r="AJ1096" s="8"/>
      <c r="AK1096" s="8"/>
      <c r="AL1096" s="8"/>
      <c r="AN1096" s="8">
        <f t="shared" si="295"/>
        <v>1</v>
      </c>
      <c r="AO1096" s="8">
        <f t="shared" si="296"/>
        <v>0.13699139567706478</v>
      </c>
      <c r="AP1096" s="8">
        <f t="shared" si="297"/>
        <v>0.7979229945454962</v>
      </c>
      <c r="AQ1096" s="8"/>
      <c r="AR1096" s="8">
        <f t="shared" si="298"/>
        <v>7.8490288019025227</v>
      </c>
      <c r="AS1096" s="8">
        <f t="shared" si="299"/>
        <v>44.282380036102857</v>
      </c>
    </row>
    <row r="1097" spans="1:45">
      <c r="A1097" s="19">
        <v>40.340299999999999</v>
      </c>
      <c r="B1097" s="19">
        <v>1541.1131789999999</v>
      </c>
      <c r="C1097" s="19">
        <v>-313.43100859999998</v>
      </c>
      <c r="E1097" s="9">
        <f t="shared" si="285"/>
        <v>581.11317899999995</v>
      </c>
      <c r="F1097" s="9">
        <f t="shared" si="290"/>
        <v>226.56899140000002</v>
      </c>
      <c r="I1097">
        <v>1</v>
      </c>
      <c r="J1097">
        <f t="shared" si="286"/>
        <v>0.3929274900415895</v>
      </c>
      <c r="K1097">
        <f t="shared" si="291"/>
        <v>0.37175876117602463</v>
      </c>
      <c r="O1097">
        <f t="shared" si="292"/>
        <v>0.3567388897706481</v>
      </c>
      <c r="P1097">
        <f t="shared" si="293"/>
        <v>0.13908817312933722</v>
      </c>
      <c r="Q1097">
        <f t="shared" si="294"/>
        <v>0.92379210032384929</v>
      </c>
      <c r="R1097">
        <f t="shared" si="284"/>
        <v>1</v>
      </c>
      <c r="AG1097" s="8">
        <f t="shared" si="287"/>
        <v>0.709248785138482</v>
      </c>
      <c r="AH1097" s="8">
        <f t="shared" si="288"/>
        <v>9.8013550288723716E-2</v>
      </c>
      <c r="AI1097" s="8">
        <f t="shared" si="289"/>
        <v>0.69811138419265673</v>
      </c>
      <c r="AJ1097" s="8"/>
      <c r="AK1097" s="8"/>
      <c r="AL1097" s="8"/>
      <c r="AN1097" s="8">
        <f t="shared" si="295"/>
        <v>0.99999999999999989</v>
      </c>
      <c r="AO1097" s="8">
        <f t="shared" si="296"/>
        <v>0.13732370047587827</v>
      </c>
      <c r="AP1097" s="8">
        <f t="shared" si="297"/>
        <v>0.79804000552889154</v>
      </c>
      <c r="AQ1097" s="8"/>
      <c r="AR1097" s="8">
        <f t="shared" si="298"/>
        <v>7.8680684643864796</v>
      </c>
      <c r="AS1097" s="8">
        <f t="shared" si="299"/>
        <v>44.275675800597632</v>
      </c>
    </row>
    <row r="1098" spans="1:45">
      <c r="A1098" s="19">
        <v>40.373666669999999</v>
      </c>
      <c r="B1098" s="19">
        <v>1542.0019789999999</v>
      </c>
      <c r="C1098" s="19">
        <v>-313.8480065</v>
      </c>
      <c r="E1098" s="9">
        <f t="shared" si="285"/>
        <v>582.00197899999989</v>
      </c>
      <c r="F1098" s="9">
        <f t="shared" si="290"/>
        <v>226.1519935</v>
      </c>
      <c r="I1098">
        <v>1</v>
      </c>
      <c r="J1098">
        <f t="shared" si="286"/>
        <v>0.39331482409757218</v>
      </c>
      <c r="K1098">
        <f t="shared" si="291"/>
        <v>0.37061946338336982</v>
      </c>
      <c r="O1098">
        <f t="shared" si="292"/>
        <v>0.35723061583656018</v>
      </c>
      <c r="P1098">
        <f t="shared" si="293"/>
        <v>0.13881123918080487</v>
      </c>
      <c r="Q1098">
        <f t="shared" si="294"/>
        <v>0.9236437229722948</v>
      </c>
      <c r="R1098">
        <f t="shared" si="284"/>
        <v>1</v>
      </c>
      <c r="AG1098" s="8">
        <f t="shared" si="287"/>
        <v>0.70946655834834216</v>
      </c>
      <c r="AH1098" s="8">
        <f t="shared" si="288"/>
        <v>9.8473189255013638E-2</v>
      </c>
      <c r="AI1098" s="8">
        <f t="shared" si="289"/>
        <v>0.69782536037557752</v>
      </c>
      <c r="AJ1098" s="8"/>
      <c r="AK1098" s="8"/>
      <c r="AL1098" s="8"/>
      <c r="AN1098" s="8">
        <f t="shared" si="295"/>
        <v>1</v>
      </c>
      <c r="AO1098" s="8">
        <f t="shared" si="296"/>
        <v>0.13791775245361731</v>
      </c>
      <c r="AP1098" s="8">
        <f t="shared" si="297"/>
        <v>0.7984394084156079</v>
      </c>
      <c r="AQ1098" s="8"/>
      <c r="AR1098" s="8">
        <f t="shared" si="298"/>
        <v>7.9021051355223264</v>
      </c>
      <c r="AS1098" s="8">
        <f t="shared" si="299"/>
        <v>44.25279170086344</v>
      </c>
    </row>
    <row r="1099" spans="1:45">
      <c r="A1099" s="19">
        <v>40.407033329999997</v>
      </c>
      <c r="B1099" s="19">
        <v>1542.705786</v>
      </c>
      <c r="C1099" s="19">
        <v>-314.30558789999998</v>
      </c>
      <c r="E1099" s="9">
        <f t="shared" si="285"/>
        <v>582.70578599999999</v>
      </c>
      <c r="F1099" s="9">
        <f t="shared" si="290"/>
        <v>225.69441210000002</v>
      </c>
      <c r="I1099">
        <v>1</v>
      </c>
      <c r="J1099">
        <f t="shared" si="286"/>
        <v>0.3935954650526392</v>
      </c>
      <c r="K1099">
        <f t="shared" si="291"/>
        <v>0.36952898318771221</v>
      </c>
      <c r="O1099">
        <f t="shared" si="292"/>
        <v>0.35762347503635106</v>
      </c>
      <c r="P1099">
        <f t="shared" si="293"/>
        <v>0.13851521967123265</v>
      </c>
      <c r="Q1099">
        <f t="shared" si="294"/>
        <v>0.92353613032861603</v>
      </c>
      <c r="R1099">
        <f t="shared" si="284"/>
        <v>1</v>
      </c>
      <c r="AG1099" s="8">
        <f t="shared" si="287"/>
        <v>0.7096932888788805</v>
      </c>
      <c r="AH1099" s="8">
        <f t="shared" si="288"/>
        <v>9.8824711132456111E-2</v>
      </c>
      <c r="AI1099" s="8">
        <f t="shared" si="289"/>
        <v>0.69754506104614089</v>
      </c>
      <c r="AJ1099" s="8"/>
      <c r="AK1099" s="8"/>
      <c r="AL1099" s="8"/>
      <c r="AN1099" s="8">
        <f t="shared" si="295"/>
        <v>1</v>
      </c>
      <c r="AO1099" s="8">
        <f t="shared" si="296"/>
        <v>0.13836017360045827</v>
      </c>
      <c r="AP1099" s="8">
        <f t="shared" si="297"/>
        <v>0.79883066691961224</v>
      </c>
      <c r="AQ1099" s="8"/>
      <c r="AR1099" s="8">
        <f t="shared" si="298"/>
        <v>7.9274540000036504</v>
      </c>
      <c r="AS1099" s="8">
        <f t="shared" si="299"/>
        <v>44.230374239885393</v>
      </c>
    </row>
    <row r="1100" spans="1:45">
      <c r="A1100" s="19">
        <v>40.440399999999997</v>
      </c>
      <c r="B1100" s="19">
        <v>1543.185663</v>
      </c>
      <c r="C1100" s="19">
        <v>-314.55130609999998</v>
      </c>
      <c r="E1100" s="9">
        <f t="shared" si="285"/>
        <v>583.18566299999998</v>
      </c>
      <c r="F1100" s="9">
        <f t="shared" si="290"/>
        <v>225.44869390000002</v>
      </c>
      <c r="I1100">
        <v>1</v>
      </c>
      <c r="J1100">
        <f t="shared" si="286"/>
        <v>0.39380068438049165</v>
      </c>
      <c r="K1100">
        <f t="shared" si="291"/>
        <v>0.36888531367048105</v>
      </c>
      <c r="O1100">
        <f t="shared" si="292"/>
        <v>0.35788932936119333</v>
      </c>
      <c r="P1100">
        <f t="shared" si="293"/>
        <v>0.13835333579733072</v>
      </c>
      <c r="Q1100">
        <f t="shared" si="294"/>
        <v>0.92345740692418854</v>
      </c>
      <c r="R1100">
        <f t="shared" si="284"/>
        <v>1</v>
      </c>
      <c r="AG1100" s="8">
        <f t="shared" si="287"/>
        <v>0.70981939860363197</v>
      </c>
      <c r="AH1100" s="8">
        <f t="shared" si="288"/>
        <v>9.9070744480193651E-2</v>
      </c>
      <c r="AI1100" s="8">
        <f t="shared" si="289"/>
        <v>0.69738182436461482</v>
      </c>
      <c r="AJ1100" s="8"/>
      <c r="AK1100" s="8"/>
      <c r="AL1100" s="8"/>
      <c r="AN1100" s="8">
        <f t="shared" si="295"/>
        <v>1</v>
      </c>
      <c r="AO1100" s="8">
        <f t="shared" si="296"/>
        <v>0.13867591135968357</v>
      </c>
      <c r="AP1100" s="8">
        <f t="shared" si="297"/>
        <v>0.79905845375219997</v>
      </c>
      <c r="AQ1100" s="8"/>
      <c r="AR1100" s="8">
        <f t="shared" si="298"/>
        <v>7.9455444410401785</v>
      </c>
      <c r="AS1100" s="8">
        <f t="shared" si="299"/>
        <v>44.217323015749464</v>
      </c>
    </row>
    <row r="1101" spans="1:45">
      <c r="A1101" s="19">
        <v>40.473766670000003</v>
      </c>
      <c r="B1101" s="19">
        <v>1543.282136</v>
      </c>
      <c r="C1101" s="19">
        <v>-314.78795350000001</v>
      </c>
      <c r="E1101" s="9">
        <f t="shared" si="285"/>
        <v>583.28213600000004</v>
      </c>
      <c r="F1101" s="9">
        <f t="shared" si="290"/>
        <v>225.21204649999999</v>
      </c>
      <c r="I1101">
        <v>1</v>
      </c>
      <c r="J1101">
        <f t="shared" si="286"/>
        <v>0.39380337535798626</v>
      </c>
      <c r="K1101">
        <f t="shared" si="291"/>
        <v>0.36847665531867663</v>
      </c>
      <c r="O1101">
        <f t="shared" si="292"/>
        <v>0.35794815692299936</v>
      </c>
      <c r="P1101">
        <f t="shared" si="293"/>
        <v>0.13820796486990614</v>
      </c>
      <c r="Q1101">
        <f t="shared" si="294"/>
        <v>0.92345637439022887</v>
      </c>
      <c r="R1101">
        <f t="shared" si="284"/>
        <v>1</v>
      </c>
      <c r="AG1101" s="8">
        <f t="shared" si="287"/>
        <v>0.70992483343790092</v>
      </c>
      <c r="AH1101" s="8">
        <f t="shared" si="288"/>
        <v>9.9102082960506099E-2</v>
      </c>
      <c r="AI1101" s="8">
        <f t="shared" si="289"/>
        <v>0.69727003952633559</v>
      </c>
      <c r="AJ1101" s="8"/>
      <c r="AK1101" s="8"/>
      <c r="AL1101" s="8"/>
      <c r="AN1101" s="8">
        <f t="shared" si="295"/>
        <v>1</v>
      </c>
      <c r="AO1101" s="8">
        <f t="shared" si="296"/>
        <v>0.13869887868419098</v>
      </c>
      <c r="AP1101" s="8">
        <f t="shared" si="297"/>
        <v>0.79921441355391676</v>
      </c>
      <c r="AQ1101" s="8"/>
      <c r="AR1101" s="8">
        <f t="shared" si="298"/>
        <v>7.9468603718011597</v>
      </c>
      <c r="AS1101" s="8">
        <f t="shared" si="299"/>
        <v>44.208387177337393</v>
      </c>
    </row>
    <row r="1102" spans="1:45">
      <c r="A1102" s="19">
        <v>40.507133330000002</v>
      </c>
      <c r="B1102" s="19">
        <v>1543.8360050000001</v>
      </c>
      <c r="C1102" s="19">
        <v>-314.57685650000002</v>
      </c>
      <c r="E1102" s="9">
        <f t="shared" si="285"/>
        <v>583.83600500000011</v>
      </c>
      <c r="F1102" s="9">
        <f t="shared" si="290"/>
        <v>225.42314349999998</v>
      </c>
      <c r="I1102">
        <v>1</v>
      </c>
      <c r="J1102">
        <f t="shared" si="286"/>
        <v>0.39414225458817886</v>
      </c>
      <c r="K1102">
        <f t="shared" si="291"/>
        <v>0.36847254383279665</v>
      </c>
      <c r="O1102">
        <f t="shared" si="292"/>
        <v>0.35824063980611204</v>
      </c>
      <c r="P1102">
        <f t="shared" si="293"/>
        <v>0.13831920344574328</v>
      </c>
      <c r="Q1102">
        <f t="shared" si="294"/>
        <v>0.92332629224421126</v>
      </c>
      <c r="R1102">
        <f t="shared" si="284"/>
        <v>1</v>
      </c>
      <c r="AG1102" s="8">
        <f t="shared" si="287"/>
        <v>0.70985866637314798</v>
      </c>
      <c r="AH1102" s="8">
        <f t="shared" si="288"/>
        <v>9.9433833091003676E-2</v>
      </c>
      <c r="AI1102" s="8">
        <f t="shared" si="289"/>
        <v>0.69729017389589421</v>
      </c>
      <c r="AJ1102" s="8"/>
      <c r="AK1102" s="8"/>
      <c r="AL1102" s="8"/>
      <c r="AN1102" s="8">
        <f t="shared" si="295"/>
        <v>1</v>
      </c>
      <c r="AO1102" s="8">
        <f t="shared" si="296"/>
        <v>0.13917002454998148</v>
      </c>
      <c r="AP1102" s="8">
        <f t="shared" si="297"/>
        <v>0.79918632426181424</v>
      </c>
      <c r="AQ1102" s="8"/>
      <c r="AR1102" s="8">
        <f t="shared" si="298"/>
        <v>7.9738550414459928</v>
      </c>
      <c r="AS1102" s="8">
        <f t="shared" si="299"/>
        <v>44.20999657522438</v>
      </c>
    </row>
    <row r="1103" spans="1:45">
      <c r="A1103" s="19">
        <v>40.540500000000002</v>
      </c>
      <c r="B1103" s="19">
        <v>1544.4776320000001</v>
      </c>
      <c r="C1103" s="19">
        <v>-315.68105420000001</v>
      </c>
      <c r="E1103" s="9">
        <f t="shared" si="285"/>
        <v>584.47763200000009</v>
      </c>
      <c r="F1103" s="9">
        <f t="shared" si="290"/>
        <v>224.31894579999999</v>
      </c>
      <c r="I1103">
        <v>1</v>
      </c>
      <c r="J1103">
        <f t="shared" si="286"/>
        <v>0.39425778455010707</v>
      </c>
      <c r="K1103">
        <f t="shared" si="291"/>
        <v>0.36645800768574588</v>
      </c>
      <c r="O1103">
        <f t="shared" si="292"/>
        <v>0.35861814841561745</v>
      </c>
      <c r="P1103">
        <f t="shared" si="293"/>
        <v>0.13763545530744833</v>
      </c>
      <c r="Q1103">
        <f t="shared" si="294"/>
        <v>0.92328192068796922</v>
      </c>
      <c r="R1103">
        <f t="shared" si="284"/>
        <v>1</v>
      </c>
      <c r="AG1103" s="8">
        <f t="shared" si="287"/>
        <v>0.71035860247341243</v>
      </c>
      <c r="AH1103" s="8">
        <f t="shared" si="288"/>
        <v>9.9687613563280431E-2</v>
      </c>
      <c r="AI1103" s="8">
        <f t="shared" si="289"/>
        <v>0.69674459853957837</v>
      </c>
      <c r="AJ1103" s="8"/>
      <c r="AK1103" s="8"/>
      <c r="AL1103" s="8"/>
      <c r="AN1103" s="8">
        <f t="shared" si="295"/>
        <v>0.99999999999999978</v>
      </c>
      <c r="AO1103" s="8">
        <f t="shared" si="296"/>
        <v>0.13942371220564392</v>
      </c>
      <c r="AP1103" s="8">
        <f t="shared" si="297"/>
        <v>0.79994718081470173</v>
      </c>
      <c r="AQ1103" s="8"/>
      <c r="AR1103" s="8">
        <f t="shared" si="298"/>
        <v>7.988390273430019</v>
      </c>
      <c r="AS1103" s="8">
        <f t="shared" si="299"/>
        <v>44.166402705929052</v>
      </c>
    </row>
    <row r="1104" spans="1:45">
      <c r="A1104" s="19">
        <v>40.573866670000001</v>
      </c>
      <c r="B1104" s="19">
        <v>1544.9930830000001</v>
      </c>
      <c r="C1104" s="19">
        <v>-315.66531880000002</v>
      </c>
      <c r="E1104" s="9">
        <f t="shared" si="285"/>
        <v>584.99308300000007</v>
      </c>
      <c r="F1104" s="9">
        <f t="shared" si="290"/>
        <v>224.33468119999998</v>
      </c>
      <c r="I1104">
        <v>1</v>
      </c>
      <c r="J1104">
        <f t="shared" si="286"/>
        <v>0.39453605667478997</v>
      </c>
      <c r="K1104">
        <f t="shared" si="291"/>
        <v>0.36618667124577137</v>
      </c>
      <c r="O1104">
        <f t="shared" si="292"/>
        <v>0.35889535630169717</v>
      </c>
      <c r="P1104">
        <f t="shared" si="293"/>
        <v>0.13763013218414691</v>
      </c>
      <c r="Q1104">
        <f t="shared" si="294"/>
        <v>0.9231749942129347</v>
      </c>
      <c r="R1104">
        <f t="shared" si="284"/>
        <v>1</v>
      </c>
      <c r="AG1104" s="8">
        <f t="shared" si="287"/>
        <v>0.71037412169333536</v>
      </c>
      <c r="AH1104" s="8">
        <f t="shared" si="288"/>
        <v>9.9978739367482694E-2</v>
      </c>
      <c r="AI1104" s="8">
        <f t="shared" si="289"/>
        <v>0.69668705952020615</v>
      </c>
      <c r="AJ1104" s="8"/>
      <c r="AK1104" s="8"/>
      <c r="AL1104" s="8"/>
      <c r="AN1104" s="8">
        <f t="shared" si="295"/>
        <v>0.99999999999999989</v>
      </c>
      <c r="AO1104" s="8">
        <f t="shared" si="296"/>
        <v>0.13982258864527983</v>
      </c>
      <c r="AP1104" s="8">
        <f t="shared" si="297"/>
        <v>0.80002739164808179</v>
      </c>
      <c r="AQ1104" s="8"/>
      <c r="AR1104" s="8">
        <f t="shared" si="298"/>
        <v>8.0112442099683605</v>
      </c>
      <c r="AS1104" s="8">
        <f t="shared" si="299"/>
        <v>44.161806963705146</v>
      </c>
    </row>
    <row r="1105" spans="1:45">
      <c r="A1105" s="19">
        <v>40.60723333</v>
      </c>
      <c r="B1105" s="19">
        <v>1545.515995</v>
      </c>
      <c r="C1105" s="19">
        <v>-316.05518039999998</v>
      </c>
      <c r="E1105" s="9">
        <f t="shared" si="285"/>
        <v>585.51599499999998</v>
      </c>
      <c r="F1105" s="9">
        <f t="shared" si="290"/>
        <v>223.94481960000002</v>
      </c>
      <c r="I1105">
        <v>1</v>
      </c>
      <c r="J1105">
        <f t="shared" si="286"/>
        <v>0.39473542150928742</v>
      </c>
      <c r="K1105">
        <f t="shared" si="291"/>
        <v>0.36530732426829071</v>
      </c>
      <c r="O1105">
        <f t="shared" si="292"/>
        <v>0.35918813903313873</v>
      </c>
      <c r="P1105">
        <f t="shared" si="293"/>
        <v>0.13738023159937068</v>
      </c>
      <c r="Q1105">
        <f t="shared" si="294"/>
        <v>0.92309834402603819</v>
      </c>
      <c r="R1105">
        <f t="shared" si="284"/>
        <v>1</v>
      </c>
      <c r="AG1105" s="8">
        <f t="shared" si="287"/>
        <v>0.71056320359155734</v>
      </c>
      <c r="AH1105" s="8">
        <f t="shared" si="288"/>
        <v>0.10023477854660151</v>
      </c>
      <c r="AI1105" s="8">
        <f t="shared" si="289"/>
        <v>0.69645740923003818</v>
      </c>
      <c r="AJ1105" s="8"/>
      <c r="AK1105" s="8"/>
      <c r="AL1105" s="8"/>
      <c r="AN1105" s="8">
        <f t="shared" si="295"/>
        <v>1</v>
      </c>
      <c r="AO1105" s="8">
        <f t="shared" si="296"/>
        <v>0.14013918446687409</v>
      </c>
      <c r="AP1105" s="8">
        <f t="shared" si="297"/>
        <v>0.80034746769042953</v>
      </c>
      <c r="AQ1105" s="8"/>
      <c r="AR1105" s="8">
        <f t="shared" si="298"/>
        <v>8.029383814357189</v>
      </c>
      <c r="AS1105" s="8">
        <f t="shared" si="299"/>
        <v>44.143467957355369</v>
      </c>
    </row>
    <row r="1106" spans="1:45">
      <c r="A1106" s="19">
        <v>40.640599999999999</v>
      </c>
      <c r="B1106" s="19">
        <v>1546.0816689999999</v>
      </c>
      <c r="C1106" s="19">
        <v>-316.32433429999998</v>
      </c>
      <c r="E1106" s="9">
        <f t="shared" si="285"/>
        <v>586.08166899999992</v>
      </c>
      <c r="F1106" s="9">
        <f t="shared" si="290"/>
        <v>223.67566570000002</v>
      </c>
      <c r="I1106">
        <v>1</v>
      </c>
      <c r="J1106">
        <f t="shared" si="286"/>
        <v>0.39498243706506342</v>
      </c>
      <c r="K1106">
        <f t="shared" si="291"/>
        <v>0.3645844437602378</v>
      </c>
      <c r="O1106">
        <f t="shared" si="292"/>
        <v>0.3595003760825462</v>
      </c>
      <c r="P1106">
        <f t="shared" si="293"/>
        <v>0.13720184437241612</v>
      </c>
      <c r="Q1106">
        <f t="shared" si="294"/>
        <v>0.92300332258194773</v>
      </c>
      <c r="R1106">
        <f t="shared" si="284"/>
        <v>1</v>
      </c>
      <c r="AG1106" s="8">
        <f t="shared" si="287"/>
        <v>0.71070241607329865</v>
      </c>
      <c r="AH1106" s="8">
        <f t="shared" si="288"/>
        <v>0.10052644149007728</v>
      </c>
      <c r="AI1106" s="8">
        <f t="shared" si="289"/>
        <v>0.69627330147645172</v>
      </c>
      <c r="AJ1106" s="8"/>
      <c r="AK1106" s="8"/>
      <c r="AL1106" s="8"/>
      <c r="AN1106" s="8">
        <f t="shared" si="295"/>
        <v>0.99999999999999978</v>
      </c>
      <c r="AO1106" s="8">
        <f t="shared" si="296"/>
        <v>0.14051445200535725</v>
      </c>
      <c r="AP1106" s="8">
        <f t="shared" si="297"/>
        <v>0.80060399684202854</v>
      </c>
      <c r="AQ1106" s="8"/>
      <c r="AR1106" s="8">
        <f t="shared" si="298"/>
        <v>8.0508850605005371</v>
      </c>
      <c r="AS1106" s="8">
        <f t="shared" si="299"/>
        <v>44.128769919646679</v>
      </c>
    </row>
    <row r="1107" spans="1:45">
      <c r="A1107" s="19">
        <v>40.673966669999999</v>
      </c>
      <c r="B1107" s="19">
        <v>1546.7549770000001</v>
      </c>
      <c r="C1107" s="19">
        <v>-316.426919</v>
      </c>
      <c r="E1107" s="9">
        <f t="shared" si="285"/>
        <v>586.75497700000005</v>
      </c>
      <c r="F1107" s="9">
        <f t="shared" si="290"/>
        <v>223.573081</v>
      </c>
      <c r="I1107">
        <v>1</v>
      </c>
      <c r="J1107">
        <f t="shared" si="286"/>
        <v>0.39532090081007887</v>
      </c>
      <c r="K1107">
        <f t="shared" si="291"/>
        <v>0.36404946352836387</v>
      </c>
      <c r="O1107">
        <f t="shared" si="292"/>
        <v>0.35986563338724015</v>
      </c>
      <c r="P1107">
        <f t="shared" si="293"/>
        <v>0.13712072595236244</v>
      </c>
      <c r="Q1107">
        <f t="shared" si="294"/>
        <v>0.92287303158186262</v>
      </c>
      <c r="R1107">
        <f t="shared" si="284"/>
        <v>1</v>
      </c>
      <c r="AG1107" s="8">
        <f t="shared" si="287"/>
        <v>0.71077495328911622</v>
      </c>
      <c r="AH1107" s="8">
        <f t="shared" si="288"/>
        <v>0.10089454749399651</v>
      </c>
      <c r="AI1107" s="8">
        <f t="shared" si="289"/>
        <v>0.69614600197288812</v>
      </c>
      <c r="AJ1107" s="8"/>
      <c r="AK1107" s="8"/>
      <c r="AL1107" s="8"/>
      <c r="AN1107" s="8">
        <f t="shared" si="295"/>
        <v>1</v>
      </c>
      <c r="AO1107" s="8">
        <f t="shared" si="296"/>
        <v>0.14100800105059347</v>
      </c>
      <c r="AP1107" s="8">
        <f t="shared" si="297"/>
        <v>0.80078133408866381</v>
      </c>
      <c r="AQ1107" s="8"/>
      <c r="AR1107" s="8">
        <f t="shared" si="298"/>
        <v>8.0791633377752845</v>
      </c>
      <c r="AS1107" s="8">
        <f t="shared" si="299"/>
        <v>44.118609243864007</v>
      </c>
    </row>
    <row r="1108" spans="1:45">
      <c r="A1108" s="19">
        <v>40.707333329999997</v>
      </c>
      <c r="B1108" s="19">
        <v>1547.3618409999999</v>
      </c>
      <c r="C1108" s="19">
        <v>-316.49228310000001</v>
      </c>
      <c r="E1108" s="9">
        <f t="shared" si="285"/>
        <v>587.36184099999991</v>
      </c>
      <c r="F1108" s="9">
        <f t="shared" si="290"/>
        <v>223.50771689999999</v>
      </c>
      <c r="I1108">
        <v>1</v>
      </c>
      <c r="J1108">
        <f t="shared" si="286"/>
        <v>0.39563147443854418</v>
      </c>
      <c r="K1108">
        <f t="shared" si="291"/>
        <v>0.36360844042317386</v>
      </c>
      <c r="O1108">
        <f t="shared" si="292"/>
        <v>0.36019393511990627</v>
      </c>
      <c r="P1108">
        <f t="shared" si="293"/>
        <v>0.13706393309925116</v>
      </c>
      <c r="Q1108">
        <f t="shared" si="294"/>
        <v>0.92275338381725847</v>
      </c>
      <c r="R1108">
        <f t="shared" si="284"/>
        <v>1</v>
      </c>
      <c r="AG1108" s="8">
        <f t="shared" si="287"/>
        <v>0.71082865059809897</v>
      </c>
      <c r="AH1108" s="8">
        <f t="shared" si="288"/>
        <v>0.10122884527402204</v>
      </c>
      <c r="AI1108" s="8">
        <f t="shared" si="289"/>
        <v>0.69604263545660328</v>
      </c>
      <c r="AJ1108" s="8"/>
      <c r="AK1108" s="8"/>
      <c r="AL1108" s="8"/>
      <c r="AN1108" s="8">
        <f t="shared" si="295"/>
        <v>1</v>
      </c>
      <c r="AO1108" s="8">
        <f t="shared" si="296"/>
        <v>0.14145846475920415</v>
      </c>
      <c r="AP1108" s="8">
        <f t="shared" si="297"/>
        <v>0.80092530855317734</v>
      </c>
      <c r="AQ1108" s="8"/>
      <c r="AR1108" s="8">
        <f t="shared" si="298"/>
        <v>8.1049730071024868</v>
      </c>
      <c r="AS1108" s="8">
        <f t="shared" si="299"/>
        <v>44.110360114689726</v>
      </c>
    </row>
    <row r="1109" spans="1:45">
      <c r="A1109" s="19">
        <v>40.740699999999997</v>
      </c>
      <c r="B1109" s="19">
        <v>1548.0890440000001</v>
      </c>
      <c r="C1109" s="19">
        <v>-316.09438</v>
      </c>
      <c r="E1109" s="9">
        <f t="shared" si="285"/>
        <v>588.08904400000006</v>
      </c>
      <c r="F1109" s="9">
        <f t="shared" si="290"/>
        <v>223.90562</v>
      </c>
      <c r="I1109">
        <v>1</v>
      </c>
      <c r="J1109">
        <f t="shared" si="286"/>
        <v>0.39610024949866107</v>
      </c>
      <c r="K1109">
        <f t="shared" si="291"/>
        <v>0.36378842471710165</v>
      </c>
      <c r="O1109">
        <f t="shared" si="292"/>
        <v>0.36057347521548166</v>
      </c>
      <c r="P1109">
        <f t="shared" si="293"/>
        <v>0.13728265871873147</v>
      </c>
      <c r="Q1109">
        <f t="shared" si="294"/>
        <v>0.92257262076551283</v>
      </c>
      <c r="R1109">
        <f t="shared" si="284"/>
        <v>1</v>
      </c>
      <c r="AG1109" s="8">
        <f t="shared" si="287"/>
        <v>0.71068953961802039</v>
      </c>
      <c r="AH1109" s="8">
        <f t="shared" si="288"/>
        <v>0.10167526331485693</v>
      </c>
      <c r="AI1109" s="8">
        <f t="shared" si="289"/>
        <v>0.6961196155168885</v>
      </c>
      <c r="AJ1109" s="8"/>
      <c r="AK1109" s="8"/>
      <c r="AL1109" s="8"/>
      <c r="AN1109" s="8">
        <f t="shared" si="295"/>
        <v>1</v>
      </c>
      <c r="AO1109" s="8">
        <f t="shared" si="296"/>
        <v>0.14210138892004465</v>
      </c>
      <c r="AP1109" s="8">
        <f t="shared" si="297"/>
        <v>0.80081808847959646</v>
      </c>
      <c r="AQ1109" s="8"/>
      <c r="AR1109" s="8">
        <f t="shared" si="298"/>
        <v>8.1418098480656376</v>
      </c>
      <c r="AS1109" s="8">
        <f t="shared" si="299"/>
        <v>44.11650337238499</v>
      </c>
    </row>
    <row r="1110" spans="1:45">
      <c r="A1110" s="19">
        <v>40.774066670000003</v>
      </c>
      <c r="B1110" s="19">
        <v>1548.3663570000001</v>
      </c>
      <c r="C1110" s="19">
        <v>-316.10557740000002</v>
      </c>
      <c r="E1110" s="9">
        <f t="shared" si="285"/>
        <v>588.36635700000011</v>
      </c>
      <c r="F1110" s="9">
        <f t="shared" si="290"/>
        <v>223.89442259999998</v>
      </c>
      <c r="I1110">
        <v>1</v>
      </c>
      <c r="J1110">
        <f t="shared" si="286"/>
        <v>0.39624588920058368</v>
      </c>
      <c r="K1110">
        <f t="shared" si="291"/>
        <v>0.36361506054827225</v>
      </c>
      <c r="O1110">
        <f t="shared" si="292"/>
        <v>0.36072284402772015</v>
      </c>
      <c r="P1110">
        <f t="shared" si="293"/>
        <v>0.13726793165744558</v>
      </c>
      <c r="Q1110">
        <f t="shared" si="294"/>
        <v>0.92251641976446142</v>
      </c>
      <c r="R1110">
        <f t="shared" si="284"/>
        <v>1</v>
      </c>
      <c r="AG1110" s="8">
        <f t="shared" si="287"/>
        <v>0.71070603154276124</v>
      </c>
      <c r="AH1110" s="8">
        <f t="shared" si="288"/>
        <v>0.10182973263189299</v>
      </c>
      <c r="AI1110" s="8">
        <f t="shared" si="289"/>
        <v>0.69608019816746458</v>
      </c>
      <c r="AJ1110" s="8"/>
      <c r="AK1110" s="8"/>
      <c r="AL1110" s="8"/>
      <c r="AN1110" s="8">
        <f t="shared" si="295"/>
        <v>0.99999999999999989</v>
      </c>
      <c r="AO1110" s="8">
        <f t="shared" si="296"/>
        <v>0.14231111629132245</v>
      </c>
      <c r="AP1110" s="8">
        <f t="shared" si="297"/>
        <v>0.80087299150614266</v>
      </c>
      <c r="AQ1110" s="8"/>
      <c r="AR1110" s="8">
        <f t="shared" si="298"/>
        <v>8.1538263412882284</v>
      </c>
      <c r="AS1110" s="8">
        <f t="shared" si="299"/>
        <v>44.113357660681395</v>
      </c>
    </row>
    <row r="1111" spans="1:45">
      <c r="A1111" s="19">
        <v>40.807433330000002</v>
      </c>
      <c r="B1111" s="19">
        <v>1549.18272</v>
      </c>
      <c r="C1111" s="19">
        <v>-317.02573280000001</v>
      </c>
      <c r="E1111" s="9">
        <f t="shared" si="285"/>
        <v>589.18272000000002</v>
      </c>
      <c r="F1111" s="9">
        <f t="shared" si="290"/>
        <v>222.97426719999999</v>
      </c>
      <c r="I1111">
        <v>1</v>
      </c>
      <c r="J1111">
        <f t="shared" si="286"/>
        <v>0.3964951241794954</v>
      </c>
      <c r="K1111">
        <f t="shared" si="291"/>
        <v>0.36178902172391197</v>
      </c>
      <c r="O1111">
        <f t="shared" si="292"/>
        <v>0.36118792714179443</v>
      </c>
      <c r="P1111">
        <f t="shared" si="293"/>
        <v>0.13669038592294186</v>
      </c>
      <c r="Q1111">
        <f t="shared" si="294"/>
        <v>0.92242019691854704</v>
      </c>
      <c r="R1111">
        <f t="shared" si="284"/>
        <v>1</v>
      </c>
      <c r="AG1111" s="8">
        <f t="shared" si="287"/>
        <v>0.71113310496112059</v>
      </c>
      <c r="AH1111" s="8">
        <f t="shared" si="288"/>
        <v>0.10219878508887753</v>
      </c>
      <c r="AI1111" s="8">
        <f t="shared" si="289"/>
        <v>0.69558976081790735</v>
      </c>
      <c r="AJ1111" s="8"/>
      <c r="AK1111" s="8"/>
      <c r="AL1111" s="8"/>
      <c r="AN1111" s="8">
        <f t="shared" si="295"/>
        <v>1.0000000000000002</v>
      </c>
      <c r="AO1111" s="8">
        <f t="shared" si="296"/>
        <v>0.14273529874907717</v>
      </c>
      <c r="AP1111" s="8">
        <f t="shared" si="297"/>
        <v>0.80155586010167901</v>
      </c>
      <c r="AQ1111" s="8"/>
      <c r="AR1111" s="8">
        <f t="shared" si="298"/>
        <v>8.178130205861061</v>
      </c>
      <c r="AS1111" s="8">
        <f t="shared" si="299"/>
        <v>44.074232172195138</v>
      </c>
    </row>
    <row r="1112" spans="1:45">
      <c r="A1112" s="19">
        <v>40.840800000000002</v>
      </c>
      <c r="B1112" s="19">
        <v>1549.4844599999999</v>
      </c>
      <c r="C1112" s="19">
        <v>-317.30397679999999</v>
      </c>
      <c r="E1112" s="9">
        <f t="shared" si="285"/>
        <v>589.4844599999999</v>
      </c>
      <c r="F1112" s="9">
        <f t="shared" si="290"/>
        <v>222.69602320000001</v>
      </c>
      <c r="I1112">
        <v>1</v>
      </c>
      <c r="J1112">
        <f t="shared" si="286"/>
        <v>0.39660000613490154</v>
      </c>
      <c r="K1112">
        <f t="shared" si="291"/>
        <v>0.36120656699473924</v>
      </c>
      <c r="O1112">
        <f t="shared" si="292"/>
        <v>0.36135798221513254</v>
      </c>
      <c r="P1112">
        <f t="shared" si="293"/>
        <v>0.13651417645663869</v>
      </c>
      <c r="Q1112">
        <f t="shared" si="294"/>
        <v>0.92237968771855205</v>
      </c>
      <c r="R1112">
        <f t="shared" si="284"/>
        <v>1</v>
      </c>
      <c r="AG1112" s="8">
        <f t="shared" si="287"/>
        <v>0.7112644457853512</v>
      </c>
      <c r="AH1112" s="8">
        <f t="shared" si="288"/>
        <v>0.10234112836308451</v>
      </c>
      <c r="AI1112" s="8">
        <f t="shared" si="289"/>
        <v>0.69543452718931631</v>
      </c>
      <c r="AJ1112" s="8"/>
      <c r="AK1112" s="8"/>
      <c r="AL1112" s="8"/>
      <c r="AN1112" s="8">
        <f t="shared" si="295"/>
        <v>1</v>
      </c>
      <c r="AO1112" s="8">
        <f t="shared" si="296"/>
        <v>0.14290537130799394</v>
      </c>
      <c r="AP1112" s="8">
        <f t="shared" si="297"/>
        <v>0.80177190816221955</v>
      </c>
      <c r="AQ1112" s="8"/>
      <c r="AR1112" s="8">
        <f t="shared" si="298"/>
        <v>8.1878746456979812</v>
      </c>
      <c r="AS1112" s="8">
        <f t="shared" si="299"/>
        <v>44.061853530154181</v>
      </c>
    </row>
    <row r="1113" spans="1:45">
      <c r="A1113" s="19">
        <v>40.874166670000001</v>
      </c>
      <c r="B1113" s="19">
        <v>1550.192888</v>
      </c>
      <c r="C1113" s="19">
        <v>-317.85335279999998</v>
      </c>
      <c r="E1113" s="9">
        <f t="shared" si="285"/>
        <v>590.19288800000004</v>
      </c>
      <c r="F1113" s="9">
        <f t="shared" si="290"/>
        <v>222.14664720000002</v>
      </c>
      <c r="I1113">
        <v>1</v>
      </c>
      <c r="J1113">
        <f t="shared" si="286"/>
        <v>0.39686756277113833</v>
      </c>
      <c r="K1113">
        <f t="shared" si="291"/>
        <v>0.3599945995686642</v>
      </c>
      <c r="O1113">
        <f t="shared" si="292"/>
        <v>0.36175412390350797</v>
      </c>
      <c r="P1113">
        <f t="shared" si="293"/>
        <v>0.13616305341845744</v>
      </c>
      <c r="Q1113">
        <f t="shared" si="294"/>
        <v>0.92227630172447117</v>
      </c>
      <c r="R1113">
        <f t="shared" si="284"/>
        <v>1</v>
      </c>
      <c r="AG1113" s="8">
        <f t="shared" si="287"/>
        <v>0.71152829310143983</v>
      </c>
      <c r="AH1113" s="8">
        <f t="shared" si="288"/>
        <v>0.10268527336103983</v>
      </c>
      <c r="AI1113" s="8">
        <f t="shared" si="289"/>
        <v>0.69511381999707089</v>
      </c>
      <c r="AJ1113" s="8"/>
      <c r="AK1113" s="8"/>
      <c r="AL1113" s="8"/>
      <c r="AN1113" s="8">
        <f t="shared" si="295"/>
        <v>1.0000000000000002</v>
      </c>
      <c r="AO1113" s="8">
        <f t="shared" si="296"/>
        <v>0.14332693211041148</v>
      </c>
      <c r="AP1113" s="8">
        <f t="shared" si="297"/>
        <v>0.80221811282946676</v>
      </c>
      <c r="AQ1113" s="8"/>
      <c r="AR1113" s="8">
        <f t="shared" si="298"/>
        <v>8.2120283004846542</v>
      </c>
      <c r="AS1113" s="8">
        <f t="shared" si="299"/>
        <v>44.036287885921872</v>
      </c>
    </row>
    <row r="1114" spans="1:45">
      <c r="A1114" s="19">
        <v>40.90753333</v>
      </c>
      <c r="B1114" s="19">
        <v>1550.6168950000001</v>
      </c>
      <c r="C1114" s="19">
        <v>-318.1354809</v>
      </c>
      <c r="E1114" s="9">
        <f t="shared" si="285"/>
        <v>590.61689500000011</v>
      </c>
      <c r="F1114" s="9">
        <f t="shared" si="290"/>
        <v>221.8645191</v>
      </c>
      <c r="I1114">
        <v>1</v>
      </c>
      <c r="J1114">
        <f t="shared" si="286"/>
        <v>0.39703728651738696</v>
      </c>
      <c r="K1114">
        <f t="shared" si="291"/>
        <v>0.35933934685691732</v>
      </c>
      <c r="O1114">
        <f t="shared" si="292"/>
        <v>0.36198979661051162</v>
      </c>
      <c r="P1114">
        <f t="shared" si="293"/>
        <v>0.13598102733599918</v>
      </c>
      <c r="Q1114">
        <f t="shared" si="294"/>
        <v>0.92221068490585523</v>
      </c>
      <c r="R1114">
        <f t="shared" si="284"/>
        <v>1</v>
      </c>
      <c r="AG1114" s="8">
        <f t="shared" si="287"/>
        <v>0.71166618192863118</v>
      </c>
      <c r="AH1114" s="8">
        <f t="shared" si="288"/>
        <v>0.10289570368709661</v>
      </c>
      <c r="AI1114" s="8">
        <f t="shared" si="289"/>
        <v>0.69494152247643226</v>
      </c>
      <c r="AJ1114" s="8"/>
      <c r="AK1114" s="8"/>
      <c r="AL1114" s="8"/>
      <c r="AN1114" s="8">
        <f t="shared" si="295"/>
        <v>1</v>
      </c>
      <c r="AO1114" s="8">
        <f t="shared" si="296"/>
        <v>0.14358918477866525</v>
      </c>
      <c r="AP1114" s="8">
        <f t="shared" si="297"/>
        <v>0.80245775344018855</v>
      </c>
      <c r="AQ1114" s="8"/>
      <c r="AR1114" s="8">
        <f t="shared" si="298"/>
        <v>8.2270542715416415</v>
      </c>
      <c r="AS1114" s="8">
        <f t="shared" si="299"/>
        <v>44.022557490327578</v>
      </c>
    </row>
    <row r="1115" spans="1:45">
      <c r="A1115" s="19">
        <v>40.940899999999999</v>
      </c>
      <c r="B1115" s="19">
        <v>1551.3993519999999</v>
      </c>
      <c r="C1115" s="19">
        <v>-318.18362969999998</v>
      </c>
      <c r="E1115" s="9">
        <f t="shared" si="285"/>
        <v>591.39935199999991</v>
      </c>
      <c r="F1115" s="9">
        <f t="shared" si="290"/>
        <v>221.81637030000002</v>
      </c>
      <c r="I1115">
        <v>1</v>
      </c>
      <c r="J1115">
        <f t="shared" si="286"/>
        <v>0.3974453506234561</v>
      </c>
      <c r="K1115">
        <f t="shared" si="291"/>
        <v>0.3588323579424082</v>
      </c>
      <c r="O1115">
        <f t="shared" si="292"/>
        <v>0.36241101305874268</v>
      </c>
      <c r="P1115">
        <f t="shared" si="293"/>
        <v>0.13592963063212188</v>
      </c>
      <c r="Q1115">
        <f t="shared" si="294"/>
        <v>0.92205281471830602</v>
      </c>
      <c r="R1115">
        <f t="shared" ref="R1115:R1178" si="300">SQRT(O1115^2+P1115^2+Q1115^2)</f>
        <v>1</v>
      </c>
      <c r="AG1115" s="8">
        <f t="shared" si="287"/>
        <v>0.71171904185994106</v>
      </c>
      <c r="AH1115" s="8">
        <f t="shared" si="288"/>
        <v>0.10332946686729194</v>
      </c>
      <c r="AI1115" s="8">
        <f t="shared" si="289"/>
        <v>0.69482301827939519</v>
      </c>
      <c r="AJ1115" s="8"/>
      <c r="AK1115" s="8"/>
      <c r="AL1115" s="8"/>
      <c r="AN1115" s="8">
        <f t="shared" si="295"/>
        <v>1</v>
      </c>
      <c r="AO1115" s="8">
        <f t="shared" si="296"/>
        <v>0.14417559533086344</v>
      </c>
      <c r="AP1115" s="8">
        <f t="shared" si="297"/>
        <v>0.80262254320859261</v>
      </c>
      <c r="AQ1115" s="8"/>
      <c r="AR1115" s="8">
        <f t="shared" si="298"/>
        <v>8.2606531212445322</v>
      </c>
      <c r="AS1115" s="8">
        <f t="shared" si="299"/>
        <v>44.013115732091087</v>
      </c>
    </row>
    <row r="1116" spans="1:45">
      <c r="A1116" s="19">
        <v>40.974266669999999</v>
      </c>
      <c r="B1116" s="19">
        <v>1551.8059619999999</v>
      </c>
      <c r="C1116" s="19">
        <v>-318.26548810000003</v>
      </c>
      <c r="E1116" s="9">
        <f t="shared" si="285"/>
        <v>591.80596199999991</v>
      </c>
      <c r="F1116" s="9">
        <f t="shared" si="290"/>
        <v>221.73451189999997</v>
      </c>
      <c r="I1116">
        <v>1</v>
      </c>
      <c r="J1116">
        <f t="shared" si="286"/>
        <v>0.39764601871744626</v>
      </c>
      <c r="K1116">
        <f t="shared" si="291"/>
        <v>0.35848513502173102</v>
      </c>
      <c r="O1116">
        <f t="shared" si="292"/>
        <v>0.36263144612515935</v>
      </c>
      <c r="P1116">
        <f t="shared" si="293"/>
        <v>0.13586869999486983</v>
      </c>
      <c r="Q1116">
        <f t="shared" si="294"/>
        <v>0.92197512474192045</v>
      </c>
      <c r="R1116">
        <f t="shared" si="300"/>
        <v>1</v>
      </c>
      <c r="AG1116" s="8">
        <f t="shared" si="287"/>
        <v>0.71177067101398905</v>
      </c>
      <c r="AH1116" s="8">
        <f t="shared" si="288"/>
        <v>0.10354933497590402</v>
      </c>
      <c r="AI1116" s="8">
        <f t="shared" si="289"/>
        <v>0.69473739435152326</v>
      </c>
      <c r="AJ1116" s="8"/>
      <c r="AK1116" s="8"/>
      <c r="AL1116" s="8"/>
      <c r="AN1116" s="8">
        <f t="shared" si="295"/>
        <v>1.0000000000000002</v>
      </c>
      <c r="AO1116" s="8">
        <f t="shared" si="296"/>
        <v>0.14446779563722145</v>
      </c>
      <c r="AP1116" s="8">
        <f t="shared" si="297"/>
        <v>0.80274159395119715</v>
      </c>
      <c r="AQ1116" s="8"/>
      <c r="AR1116" s="8">
        <f t="shared" si="298"/>
        <v>8.2773949655712773</v>
      </c>
      <c r="AS1116" s="8">
        <f t="shared" si="299"/>
        <v>44.006294626991952</v>
      </c>
    </row>
    <row r="1117" spans="1:45">
      <c r="A1117" s="19">
        <v>41.007633329999997</v>
      </c>
      <c r="B1117" s="19">
        <v>1552.3202349999999</v>
      </c>
      <c r="C1117" s="19">
        <v>-318.75994420000001</v>
      </c>
      <c r="E1117" s="9">
        <f t="shared" si="285"/>
        <v>592.32023499999991</v>
      </c>
      <c r="F1117" s="9">
        <f t="shared" si="290"/>
        <v>221.24005579999999</v>
      </c>
      <c r="I1117">
        <v>1</v>
      </c>
      <c r="J1117">
        <f t="shared" si="286"/>
        <v>0.39782181704073849</v>
      </c>
      <c r="K1117">
        <f t="shared" si="291"/>
        <v>0.35746747015020358</v>
      </c>
      <c r="O1117">
        <f t="shared" si="292"/>
        <v>0.36292135736403047</v>
      </c>
      <c r="P1117">
        <f t="shared" si="293"/>
        <v>0.13555630317817838</v>
      </c>
      <c r="Q1117">
        <f t="shared" si="294"/>
        <v>0.92190703275206409</v>
      </c>
      <c r="R1117">
        <f t="shared" si="300"/>
        <v>1</v>
      </c>
      <c r="AG1117" s="8">
        <f t="shared" si="287"/>
        <v>0.71200246574503212</v>
      </c>
      <c r="AH1117" s="8">
        <f t="shared" si="288"/>
        <v>0.10378970789920122</v>
      </c>
      <c r="AI1117" s="8">
        <f t="shared" si="289"/>
        <v>0.69446395536931416</v>
      </c>
      <c r="AJ1117" s="8"/>
      <c r="AK1117" s="8"/>
      <c r="AL1117" s="8"/>
      <c r="AN1117" s="8">
        <f t="shared" si="295"/>
        <v>0.99999999999999989</v>
      </c>
      <c r="AO1117" s="8">
        <f t="shared" si="296"/>
        <v>0.14475200766661467</v>
      </c>
      <c r="AP1117" s="8">
        <f t="shared" si="297"/>
        <v>0.80312168943963258</v>
      </c>
      <c r="AQ1117" s="8"/>
      <c r="AR1117" s="8">
        <f t="shared" si="298"/>
        <v>8.2936791153423552</v>
      </c>
      <c r="AS1117" s="8">
        <f t="shared" si="299"/>
        <v>43.984516759692639</v>
      </c>
    </row>
    <row r="1118" spans="1:45">
      <c r="A1118" s="19">
        <v>41.040999999999997</v>
      </c>
      <c r="B1118" s="19">
        <v>1552.575889</v>
      </c>
      <c r="C1118" s="19">
        <v>-319.01617900000002</v>
      </c>
      <c r="E1118" s="9">
        <f t="shared" si="285"/>
        <v>592.57588899999996</v>
      </c>
      <c r="F1118" s="9">
        <f t="shared" si="290"/>
        <v>220.98382099999998</v>
      </c>
      <c r="I1118">
        <v>1</v>
      </c>
      <c r="J1118">
        <f t="shared" si="286"/>
        <v>0.39790726138907823</v>
      </c>
      <c r="K1118">
        <f t="shared" si="291"/>
        <v>0.35694648572079307</v>
      </c>
      <c r="O1118">
        <f t="shared" si="292"/>
        <v>0.36306573612150395</v>
      </c>
      <c r="P1118">
        <f t="shared" si="293"/>
        <v>0.13539473193501408</v>
      </c>
      <c r="Q1118">
        <f t="shared" si="294"/>
        <v>0.92187392729092632</v>
      </c>
      <c r="R1118">
        <f t="shared" si="300"/>
        <v>1</v>
      </c>
      <c r="AG1118" s="8">
        <f t="shared" si="287"/>
        <v>0.71212207717047016</v>
      </c>
      <c r="AH1118" s="8">
        <f t="shared" si="288"/>
        <v>0.10390817789865586</v>
      </c>
      <c r="AI1118" s="8">
        <f t="shared" si="289"/>
        <v>0.69432358290079443</v>
      </c>
      <c r="AJ1118" s="8"/>
      <c r="AK1118" s="8"/>
      <c r="AL1118" s="8"/>
      <c r="AN1118" s="8">
        <f t="shared" si="295"/>
        <v>1</v>
      </c>
      <c r="AO1118" s="8">
        <f t="shared" si="296"/>
        <v>0.14489093021696189</v>
      </c>
      <c r="AP1118" s="8">
        <f t="shared" si="297"/>
        <v>0.8033167608683135</v>
      </c>
      <c r="AQ1118" s="8"/>
      <c r="AR1118" s="8">
        <f t="shared" si="298"/>
        <v>8.3016387911564458</v>
      </c>
      <c r="AS1118" s="8">
        <f t="shared" si="299"/>
        <v>43.973339990125631</v>
      </c>
    </row>
    <row r="1119" spans="1:45">
      <c r="A1119" s="19">
        <v>41.074366670000003</v>
      </c>
      <c r="B1119" s="19">
        <v>1553.462462</v>
      </c>
      <c r="C1119" s="19">
        <v>-319.21787019999999</v>
      </c>
      <c r="E1119" s="9">
        <f t="shared" si="285"/>
        <v>593.46246199999996</v>
      </c>
      <c r="F1119" s="9">
        <f t="shared" si="290"/>
        <v>220.78212980000001</v>
      </c>
      <c r="I1119">
        <v>1</v>
      </c>
      <c r="J1119">
        <f t="shared" si="286"/>
        <v>0.39834054957257259</v>
      </c>
      <c r="K1119">
        <f t="shared" si="291"/>
        <v>0.35615880426328578</v>
      </c>
      <c r="O1119">
        <f t="shared" si="292"/>
        <v>0.36354660693179458</v>
      </c>
      <c r="P1119">
        <f t="shared" si="293"/>
        <v>0.13524797152202198</v>
      </c>
      <c r="Q1119">
        <f t="shared" si="294"/>
        <v>0.92170594594347588</v>
      </c>
      <c r="R1119">
        <f t="shared" si="300"/>
        <v>1</v>
      </c>
      <c r="AG1119" s="8">
        <f t="shared" si="287"/>
        <v>0.71224408201484102</v>
      </c>
      <c r="AH1119" s="8">
        <f t="shared" si="288"/>
        <v>0.10438505972106982</v>
      </c>
      <c r="AI1119" s="8">
        <f t="shared" si="289"/>
        <v>0.69412688101086051</v>
      </c>
      <c r="AJ1119" s="8"/>
      <c r="AK1119" s="8"/>
      <c r="AL1119" s="8"/>
      <c r="AN1119" s="8">
        <f t="shared" si="295"/>
        <v>1.0000000000000002</v>
      </c>
      <c r="AO1119" s="8">
        <f t="shared" si="296"/>
        <v>0.1455219889456848</v>
      </c>
      <c r="AP1119" s="8">
        <f t="shared" si="297"/>
        <v>0.80359004986260529</v>
      </c>
      <c r="AQ1119" s="8"/>
      <c r="AR1119" s="8">
        <f t="shared" si="298"/>
        <v>8.3377957929371593</v>
      </c>
      <c r="AS1119" s="8">
        <f t="shared" si="299"/>
        <v>43.957681684165337</v>
      </c>
    </row>
    <row r="1120" spans="1:45">
      <c r="A1120" s="19">
        <v>41.107733330000002</v>
      </c>
      <c r="B1120" s="19">
        <v>1554.319876</v>
      </c>
      <c r="C1120" s="19">
        <v>-319.56035059999999</v>
      </c>
      <c r="E1120" s="9">
        <f t="shared" ref="E1120:E1183" si="301">(B1120-($B$15/2))</f>
        <v>594.31987600000002</v>
      </c>
      <c r="F1120" s="9">
        <f t="shared" si="290"/>
        <v>220.43964940000001</v>
      </c>
      <c r="I1120">
        <v>1</v>
      </c>
      <c r="J1120">
        <f t="shared" ref="J1120:J1183" si="302">ATAN((SQRT(E1120^2+F1120^2)^$B$16)/($F$24))</f>
        <v>0.39873044719458495</v>
      </c>
      <c r="K1120">
        <f t="shared" si="291"/>
        <v>0.35518079076489795</v>
      </c>
      <c r="O1120">
        <f t="shared" si="292"/>
        <v>0.36401562005944016</v>
      </c>
      <c r="P1120">
        <f t="shared" si="293"/>
        <v>0.13501731795021876</v>
      </c>
      <c r="Q1120">
        <f t="shared" si="294"/>
        <v>0.92155463875251087</v>
      </c>
      <c r="R1120">
        <f t="shared" si="300"/>
        <v>1</v>
      </c>
      <c r="AG1120" s="8">
        <f t="shared" ref="AG1120:AG1183" si="303">$O1120*$Z$27+$P1120*$Z$31+$Q1120*$Z$35</f>
        <v>0.71242460292157217</v>
      </c>
      <c r="AH1120" s="8">
        <f t="shared" ref="AH1120:AH1183" si="304">$O1120*$AA$27+$P1120*$AA$31+$Q1120*$AA$35</f>
        <v>0.10483188518546355</v>
      </c>
      <c r="AI1120" s="8">
        <f t="shared" ref="AI1120:AI1183" si="305">$AB$27*$O1120+$P1120*$AB$31+$AB$35*$Q1120</f>
        <v>0.693874240046784</v>
      </c>
      <c r="AJ1120" s="8"/>
      <c r="AK1120" s="8"/>
      <c r="AL1120" s="8"/>
      <c r="AN1120" s="8">
        <f t="shared" si="295"/>
        <v>1</v>
      </c>
      <c r="AO1120" s="8">
        <f t="shared" si="296"/>
        <v>0.14609958615430382</v>
      </c>
      <c r="AP1120" s="8">
        <f t="shared" si="297"/>
        <v>0.80394095254496656</v>
      </c>
      <c r="AQ1120" s="8"/>
      <c r="AR1120" s="8">
        <f t="shared" si="298"/>
        <v>8.3708896752495665</v>
      </c>
      <c r="AS1120" s="8">
        <f t="shared" si="299"/>
        <v>43.937576441446218</v>
      </c>
    </row>
    <row r="1121" spans="1:45">
      <c r="A1121" s="19">
        <v>41.141100000000002</v>
      </c>
      <c r="B1121" s="19">
        <v>1554.5414800000001</v>
      </c>
      <c r="C1121" s="19">
        <v>-319.82645760000003</v>
      </c>
      <c r="E1121" s="9">
        <f t="shared" si="301"/>
        <v>594.54148000000009</v>
      </c>
      <c r="F1121" s="9">
        <f t="shared" ref="F1121:F1184" si="306">(($C$15/2)+C1121)</f>
        <v>220.17354239999997</v>
      </c>
      <c r="I1121">
        <v>1</v>
      </c>
      <c r="J1121">
        <f t="shared" si="302"/>
        <v>0.39879612011771565</v>
      </c>
      <c r="K1121">
        <f t="shared" ref="K1121:K1184" si="307">ATAN2(E1121,F1121)</f>
        <v>0.35466570783409729</v>
      </c>
      <c r="O1121">
        <f t="shared" ref="O1121:O1184" si="308">COS(K1121)*SIN(J1121)</f>
        <v>0.36414187060609471</v>
      </c>
      <c r="P1121">
        <f t="shared" ref="P1121:P1184" si="309">SIN(K1121)*SIN(J1121)</f>
        <v>0.13485081913461494</v>
      </c>
      <c r="Q1121">
        <f t="shared" ref="Q1121:Q1184" si="310">COS(J1121)</f>
        <v>0.92152913933864156</v>
      </c>
      <c r="R1121">
        <f t="shared" si="300"/>
        <v>1</v>
      </c>
      <c r="AG1121" s="8">
        <f t="shared" si="303"/>
        <v>0.71254680459482223</v>
      </c>
      <c r="AH1121" s="8">
        <f t="shared" si="304"/>
        <v>0.10493025405393386</v>
      </c>
      <c r="AI1121" s="8">
        <f t="shared" si="305"/>
        <v>0.69373387768357186</v>
      </c>
      <c r="AJ1121" s="8"/>
      <c r="AK1121" s="8"/>
      <c r="AL1121" s="8"/>
      <c r="AN1121" s="8">
        <f t="shared" ref="AN1121:AN1184" si="311">AG1121^2+AH1121^2+AI1121^2</f>
        <v>0.99999999999999978</v>
      </c>
      <c r="AO1121" s="8">
        <f t="shared" ref="AO1121:AO1184" si="312">IF(ATAN2(AG1121,AH1121)&gt;=0,ATAN2(AG1121,AH1121),ATAN2(AG1121,AH1121)+2*PI())</f>
        <v>0.14621000999667369</v>
      </c>
      <c r="AP1121" s="8">
        <f t="shared" ref="AP1121:AP1184" si="313">ACOS(AI1121/AN1121)</f>
        <v>0.80413585592683445</v>
      </c>
      <c r="AQ1121" s="8"/>
      <c r="AR1121" s="8">
        <f t="shared" ref="AR1121:AR1184" si="314">DEGREES(AO1121)</f>
        <v>8.3772164953749773</v>
      </c>
      <c r="AS1121" s="8">
        <f t="shared" ref="AS1121:AS1184" si="315">90-DEGREES(AP1121)</f>
        <v>43.926409300252359</v>
      </c>
    </row>
    <row r="1122" spans="1:45">
      <c r="A1122" s="19">
        <v>41.174466670000001</v>
      </c>
      <c r="B1122" s="19">
        <v>1555.4539689999999</v>
      </c>
      <c r="C1122" s="19">
        <v>-320.37811340000002</v>
      </c>
      <c r="E1122" s="9">
        <f t="shared" si="301"/>
        <v>595.45396899999992</v>
      </c>
      <c r="F1122" s="9">
        <f t="shared" si="306"/>
        <v>219.62188659999998</v>
      </c>
      <c r="I1122">
        <v>1</v>
      </c>
      <c r="J1122">
        <f t="shared" si="302"/>
        <v>0.39917458613987539</v>
      </c>
      <c r="K1122">
        <f t="shared" si="307"/>
        <v>0.35335129903350238</v>
      </c>
      <c r="O1122">
        <f t="shared" si="308"/>
        <v>0.36464599901626282</v>
      </c>
      <c r="P1122">
        <f t="shared" si="309"/>
        <v>0.13449275076558168</v>
      </c>
      <c r="Q1122">
        <f t="shared" si="310"/>
        <v>0.92138211150040172</v>
      </c>
      <c r="R1122">
        <f t="shared" si="300"/>
        <v>1</v>
      </c>
      <c r="AG1122" s="8">
        <f t="shared" si="303"/>
        <v>0.71281815710284691</v>
      </c>
      <c r="AH1122" s="8">
        <f t="shared" si="304"/>
        <v>0.10538755124967891</v>
      </c>
      <c r="AI1122" s="8">
        <f t="shared" si="305"/>
        <v>0.69338570719773085</v>
      </c>
      <c r="AJ1122" s="8"/>
      <c r="AK1122" s="8"/>
      <c r="AL1122" s="8"/>
      <c r="AN1122" s="8">
        <f t="shared" si="311"/>
        <v>1</v>
      </c>
      <c r="AO1122" s="8">
        <f t="shared" si="312"/>
        <v>0.14678301012231021</v>
      </c>
      <c r="AP1122" s="8">
        <f t="shared" si="313"/>
        <v>0.80461915818953711</v>
      </c>
      <c r="AQ1122" s="8"/>
      <c r="AR1122" s="8">
        <f t="shared" si="314"/>
        <v>8.4100469842344161</v>
      </c>
      <c r="AS1122" s="8">
        <f t="shared" si="315"/>
        <v>43.898718120370376</v>
      </c>
    </row>
    <row r="1123" spans="1:45">
      <c r="A1123" s="19">
        <v>41.20783333</v>
      </c>
      <c r="B1123" s="19">
        <v>1555.6409040000001</v>
      </c>
      <c r="C1123" s="19">
        <v>-320.66259609999997</v>
      </c>
      <c r="E1123" s="9">
        <f t="shared" si="301"/>
        <v>595.64090400000009</v>
      </c>
      <c r="F1123" s="9">
        <f t="shared" si="306"/>
        <v>219.33740390000003</v>
      </c>
      <c r="I1123">
        <v>1</v>
      </c>
      <c r="J1123">
        <f t="shared" si="302"/>
        <v>0.39921843923081685</v>
      </c>
      <c r="K1123">
        <f t="shared" si="307"/>
        <v>0.35282889025188485</v>
      </c>
      <c r="O1123">
        <f t="shared" si="308"/>
        <v>0.36475412553305259</v>
      </c>
      <c r="P1123">
        <f t="shared" si="309"/>
        <v>0.13431620027934557</v>
      </c>
      <c r="Q1123">
        <f t="shared" si="310"/>
        <v>0.92136506676188723</v>
      </c>
      <c r="R1123">
        <f t="shared" si="300"/>
        <v>1</v>
      </c>
      <c r="AG1123" s="8">
        <f t="shared" si="303"/>
        <v>0.71294663686695703</v>
      </c>
      <c r="AH1123" s="8">
        <f t="shared" si="304"/>
        <v>0.10546471899445981</v>
      </c>
      <c r="AI1123" s="8">
        <f t="shared" si="305"/>
        <v>0.6932418669032584</v>
      </c>
      <c r="AJ1123" s="8"/>
      <c r="AK1123" s="8"/>
      <c r="AL1123" s="8"/>
      <c r="AN1123" s="8">
        <f t="shared" si="311"/>
        <v>1</v>
      </c>
      <c r="AO1123" s="8">
        <f t="shared" si="312"/>
        <v>0.14686285823733747</v>
      </c>
      <c r="AP1123" s="8">
        <f t="shared" si="313"/>
        <v>0.80481876011096143</v>
      </c>
      <c r="AQ1123" s="8"/>
      <c r="AR1123" s="8">
        <f t="shared" si="314"/>
        <v>8.4146219442275534</v>
      </c>
      <c r="AS1123" s="8">
        <f t="shared" si="315"/>
        <v>43.887281772690059</v>
      </c>
    </row>
    <row r="1124" spans="1:45">
      <c r="A1124" s="19">
        <v>41.241199999999999</v>
      </c>
      <c r="B1124" s="19">
        <v>1556.1552529999999</v>
      </c>
      <c r="C1124" s="19">
        <v>-320.5766236</v>
      </c>
      <c r="E1124" s="9">
        <f t="shared" si="301"/>
        <v>596.1552529999999</v>
      </c>
      <c r="F1124" s="9">
        <f t="shared" si="306"/>
        <v>219.4233764</v>
      </c>
      <c r="I1124">
        <v>1</v>
      </c>
      <c r="J1124">
        <f t="shared" si="302"/>
        <v>0.39951010064693665</v>
      </c>
      <c r="K1124">
        <f t="shared" si="307"/>
        <v>0.35267610294229335</v>
      </c>
      <c r="O1124">
        <f t="shared" si="308"/>
        <v>0.36502681454560326</v>
      </c>
      <c r="P1124">
        <f t="shared" si="309"/>
        <v>0.13435328418406622</v>
      </c>
      <c r="Q1124">
        <f t="shared" si="310"/>
        <v>0.92125165926127117</v>
      </c>
      <c r="R1124">
        <f t="shared" si="300"/>
        <v>1</v>
      </c>
      <c r="AG1124" s="8">
        <f t="shared" si="303"/>
        <v>0.71293056713128289</v>
      </c>
      <c r="AH1124" s="8">
        <f t="shared" si="304"/>
        <v>0.10576056141739609</v>
      </c>
      <c r="AI1124" s="8">
        <f t="shared" si="305"/>
        <v>0.6932133222165775</v>
      </c>
      <c r="AJ1124" s="8"/>
      <c r="AK1124" s="8"/>
      <c r="AL1124" s="8"/>
      <c r="AN1124" s="8">
        <f t="shared" si="311"/>
        <v>1</v>
      </c>
      <c r="AO1124" s="8">
        <f t="shared" si="312"/>
        <v>0.1472721769225844</v>
      </c>
      <c r="AP1124" s="8">
        <f t="shared" si="313"/>
        <v>0.80485836597258953</v>
      </c>
      <c r="AQ1124" s="8"/>
      <c r="AR1124" s="8">
        <f t="shared" si="314"/>
        <v>8.4380741773680459</v>
      </c>
      <c r="AS1124" s="8">
        <f t="shared" si="315"/>
        <v>43.885012523974787</v>
      </c>
    </row>
    <row r="1125" spans="1:45">
      <c r="A1125" s="19">
        <v>41.274566669999999</v>
      </c>
      <c r="B1125" s="19">
        <v>1556.2382130000001</v>
      </c>
      <c r="C1125" s="19">
        <v>-320.9010849</v>
      </c>
      <c r="E1125" s="9">
        <f t="shared" si="301"/>
        <v>596.23821300000009</v>
      </c>
      <c r="F1125" s="9">
        <f t="shared" si="306"/>
        <v>219.0989151</v>
      </c>
      <c r="I1125">
        <v>1</v>
      </c>
      <c r="J1125">
        <f t="shared" si="302"/>
        <v>0.39949067446942205</v>
      </c>
      <c r="K1125">
        <f t="shared" si="307"/>
        <v>0.35215164436987023</v>
      </c>
      <c r="O1125">
        <f t="shared" si="308"/>
        <v>0.36508042885812719</v>
      </c>
      <c r="P1125">
        <f t="shared" si="309"/>
        <v>0.13415565145446051</v>
      </c>
      <c r="Q1125">
        <f t="shared" si="310"/>
        <v>0.92125921523075971</v>
      </c>
      <c r="R1125">
        <f t="shared" si="300"/>
        <v>1</v>
      </c>
      <c r="AG1125" s="8">
        <f t="shared" si="303"/>
        <v>0.71307184898276899</v>
      </c>
      <c r="AH1125" s="8">
        <f t="shared" si="304"/>
        <v>0.10577573836962928</v>
      </c>
      <c r="AI1125" s="8">
        <f t="shared" si="305"/>
        <v>0.69306567608030822</v>
      </c>
      <c r="AJ1125" s="8"/>
      <c r="AK1125" s="8"/>
      <c r="AL1125" s="8"/>
      <c r="AN1125" s="8">
        <f t="shared" si="311"/>
        <v>0.99999999999999989</v>
      </c>
      <c r="AO1125" s="8">
        <f t="shared" si="312"/>
        <v>0.1472642433756281</v>
      </c>
      <c r="AP1125" s="8">
        <f t="shared" si="313"/>
        <v>0.80506320147141064</v>
      </c>
      <c r="AQ1125" s="8"/>
      <c r="AR1125" s="8">
        <f t="shared" si="314"/>
        <v>8.4376196186108814</v>
      </c>
      <c r="AS1125" s="8">
        <f t="shared" si="315"/>
        <v>43.873276314397884</v>
      </c>
    </row>
    <row r="1126" spans="1:45">
      <c r="A1126" s="19">
        <v>41.307933329999997</v>
      </c>
      <c r="B1126" s="19">
        <v>1557.3704230000001</v>
      </c>
      <c r="C1126" s="19">
        <v>-321.26427319999999</v>
      </c>
      <c r="E1126" s="9">
        <f t="shared" si="301"/>
        <v>597.37042300000007</v>
      </c>
      <c r="F1126" s="9">
        <f t="shared" si="306"/>
        <v>218.73572680000001</v>
      </c>
      <c r="I1126">
        <v>1</v>
      </c>
      <c r="J1126">
        <f t="shared" si="302"/>
        <v>0.4000243703124598</v>
      </c>
      <c r="K1126">
        <f t="shared" si="307"/>
        <v>0.35100189749574129</v>
      </c>
      <c r="O1126">
        <f t="shared" si="308"/>
        <v>0.36569607484094252</v>
      </c>
      <c r="P1126">
        <f t="shared" si="309"/>
        <v>0.13390484971874941</v>
      </c>
      <c r="Q1126">
        <f t="shared" si="310"/>
        <v>0.92105150348269171</v>
      </c>
      <c r="R1126">
        <f t="shared" si="300"/>
        <v>1</v>
      </c>
      <c r="AG1126" s="8">
        <f t="shared" si="303"/>
        <v>0.71327106224289072</v>
      </c>
      <c r="AH1126" s="8">
        <f t="shared" si="304"/>
        <v>0.10637359511329086</v>
      </c>
      <c r="AI1126" s="8">
        <f t="shared" si="305"/>
        <v>0.69276911740461689</v>
      </c>
      <c r="AJ1126" s="8"/>
      <c r="AK1126" s="8"/>
      <c r="AL1126" s="8"/>
      <c r="AN1126" s="8">
        <f t="shared" si="311"/>
        <v>0.99999999999999989</v>
      </c>
      <c r="AO1126" s="8">
        <f t="shared" si="312"/>
        <v>0.14804375843936768</v>
      </c>
      <c r="AP1126" s="8">
        <f t="shared" si="313"/>
        <v>0.80547450757512984</v>
      </c>
      <c r="AQ1126" s="8"/>
      <c r="AR1126" s="8">
        <f t="shared" si="314"/>
        <v>8.4822825418300312</v>
      </c>
      <c r="AS1126" s="8">
        <f t="shared" si="315"/>
        <v>43.849710210566805</v>
      </c>
    </row>
    <row r="1127" spans="1:45">
      <c r="A1127" s="19">
        <v>41.341299999999997</v>
      </c>
      <c r="B1127" s="19">
        <v>1557.4126060000001</v>
      </c>
      <c r="C1127" s="19">
        <v>-321.62524050000002</v>
      </c>
      <c r="E1127" s="9">
        <f t="shared" si="301"/>
        <v>597.4126060000001</v>
      </c>
      <c r="F1127" s="9">
        <f t="shared" si="306"/>
        <v>218.37475949999998</v>
      </c>
      <c r="I1127">
        <v>1</v>
      </c>
      <c r="J1127">
        <f t="shared" si="302"/>
        <v>0.39997634944953531</v>
      </c>
      <c r="K1127">
        <f t="shared" si="307"/>
        <v>0.35044620246526026</v>
      </c>
      <c r="O1127">
        <f t="shared" si="308"/>
        <v>0.36572888682138244</v>
      </c>
      <c r="P1127">
        <f t="shared" si="309"/>
        <v>0.13368642860847516</v>
      </c>
      <c r="Q1127">
        <f t="shared" si="310"/>
        <v>0.92107020370344383</v>
      </c>
      <c r="R1127">
        <f t="shared" si="300"/>
        <v>1</v>
      </c>
      <c r="AG1127" s="8">
        <f t="shared" si="303"/>
        <v>0.71342613839432489</v>
      </c>
      <c r="AH1127" s="8">
        <f t="shared" si="304"/>
        <v>0.10636247091276324</v>
      </c>
      <c r="AI1127" s="8">
        <f t="shared" si="305"/>
        <v>0.69261112454038254</v>
      </c>
      <c r="AJ1127" s="8"/>
      <c r="AK1127" s="8"/>
      <c r="AL1127" s="8"/>
      <c r="AN1127" s="8">
        <f t="shared" si="311"/>
        <v>1</v>
      </c>
      <c r="AO1127" s="8">
        <f t="shared" si="312"/>
        <v>0.14799679284995385</v>
      </c>
      <c r="AP1127" s="8">
        <f t="shared" si="313"/>
        <v>0.80569356626457833</v>
      </c>
      <c r="AQ1127" s="8"/>
      <c r="AR1127" s="8">
        <f t="shared" si="314"/>
        <v>8.4795916117742731</v>
      </c>
      <c r="AS1127" s="8">
        <f t="shared" si="315"/>
        <v>43.837159072195739</v>
      </c>
    </row>
    <row r="1128" spans="1:45">
      <c r="A1128" s="19">
        <v>41.374666670000003</v>
      </c>
      <c r="B1128" s="19">
        <v>1558.33239</v>
      </c>
      <c r="C1128" s="19">
        <v>-321.38401859999999</v>
      </c>
      <c r="E1128" s="9">
        <f t="shared" si="301"/>
        <v>598.33239000000003</v>
      </c>
      <c r="F1128" s="9">
        <f t="shared" si="306"/>
        <v>218.61598140000001</v>
      </c>
      <c r="I1128">
        <v>1</v>
      </c>
      <c r="J1128">
        <f t="shared" si="302"/>
        <v>0.40051484930751086</v>
      </c>
      <c r="K1128">
        <f t="shared" si="307"/>
        <v>0.35030614868314802</v>
      </c>
      <c r="O1128">
        <f t="shared" si="308"/>
        <v>0.36621342665276585</v>
      </c>
      <c r="P1128">
        <f t="shared" si="309"/>
        <v>0.13380540483451236</v>
      </c>
      <c r="Q1128">
        <f t="shared" si="310"/>
        <v>0.92086038017514449</v>
      </c>
      <c r="R1128">
        <f t="shared" si="300"/>
        <v>1</v>
      </c>
      <c r="AG1128" s="8">
        <f t="shared" si="303"/>
        <v>0.71335974674536451</v>
      </c>
      <c r="AH1128" s="8">
        <f t="shared" si="304"/>
        <v>0.10689945147708441</v>
      </c>
      <c r="AI1128" s="8">
        <f t="shared" si="305"/>
        <v>0.69259683727063615</v>
      </c>
      <c r="AJ1128" s="8"/>
      <c r="AK1128" s="8"/>
      <c r="AL1128" s="8"/>
      <c r="AN1128" s="8">
        <f t="shared" si="311"/>
        <v>1.0000000000000002</v>
      </c>
      <c r="AO1128" s="8">
        <f t="shared" si="312"/>
        <v>0.14874666367955319</v>
      </c>
      <c r="AP1128" s="8">
        <f t="shared" si="313"/>
        <v>0.8057133734353501</v>
      </c>
      <c r="AQ1128" s="8"/>
      <c r="AR1128" s="8">
        <f t="shared" si="314"/>
        <v>8.5225560454902904</v>
      </c>
      <c r="AS1128" s="8">
        <f t="shared" si="315"/>
        <v>43.836024204906423</v>
      </c>
    </row>
    <row r="1129" spans="1:45">
      <c r="A1129" s="19">
        <v>41.408033330000002</v>
      </c>
      <c r="B1129" s="19">
        <v>1558.409551</v>
      </c>
      <c r="C1129" s="19">
        <v>-321.75089830000002</v>
      </c>
      <c r="E1129" s="9">
        <f t="shared" si="301"/>
        <v>598.40955099999996</v>
      </c>
      <c r="F1129" s="9">
        <f t="shared" si="306"/>
        <v>218.24910169999998</v>
      </c>
      <c r="I1129">
        <v>1</v>
      </c>
      <c r="J1129">
        <f t="shared" si="302"/>
        <v>0.40048452355739927</v>
      </c>
      <c r="K1129">
        <f t="shared" si="307"/>
        <v>0.34972357700671286</v>
      </c>
      <c r="O1129">
        <f t="shared" si="308"/>
        <v>0.36626508021107501</v>
      </c>
      <c r="P1129">
        <f t="shared" si="309"/>
        <v>0.13358246807151239</v>
      </c>
      <c r="Q1129">
        <f t="shared" si="310"/>
        <v>0.92087220353418109</v>
      </c>
      <c r="R1129">
        <f t="shared" si="300"/>
        <v>1</v>
      </c>
      <c r="AG1129" s="8">
        <f t="shared" si="303"/>
        <v>0.71351864878389493</v>
      </c>
      <c r="AH1129" s="8">
        <f t="shared" si="304"/>
        <v>0.10690730425176442</v>
      </c>
      <c r="AI1129" s="8">
        <f t="shared" si="305"/>
        <v>0.69243192166105805</v>
      </c>
      <c r="AJ1129" s="8"/>
      <c r="AK1129" s="8"/>
      <c r="AL1129" s="8"/>
      <c r="AN1129" s="8">
        <f t="shared" si="311"/>
        <v>1</v>
      </c>
      <c r="AO1129" s="8">
        <f t="shared" si="312"/>
        <v>0.14872478787933918</v>
      </c>
      <c r="AP1129" s="8">
        <f t="shared" si="313"/>
        <v>0.80594197709516824</v>
      </c>
      <c r="AQ1129" s="8"/>
      <c r="AR1129" s="8">
        <f t="shared" si="314"/>
        <v>8.5213026544645558</v>
      </c>
      <c r="AS1129" s="8">
        <f t="shared" si="315"/>
        <v>43.822926180017596</v>
      </c>
    </row>
    <row r="1130" spans="1:45">
      <c r="A1130" s="19">
        <v>41.441400000000002</v>
      </c>
      <c r="B1130" s="19">
        <v>1559.5295100000001</v>
      </c>
      <c r="C1130" s="19">
        <v>-322.5124988</v>
      </c>
      <c r="E1130" s="9">
        <f t="shared" si="301"/>
        <v>599.52951000000007</v>
      </c>
      <c r="F1130" s="9">
        <f t="shared" si="306"/>
        <v>217.4875012</v>
      </c>
      <c r="I1130">
        <v>1</v>
      </c>
      <c r="J1130">
        <f t="shared" si="302"/>
        <v>0.40093494541803093</v>
      </c>
      <c r="K1130">
        <f t="shared" si="307"/>
        <v>0.34799997887700213</v>
      </c>
      <c r="O1130">
        <f t="shared" si="308"/>
        <v>0.36688465895530781</v>
      </c>
      <c r="P1130">
        <f t="shared" si="309"/>
        <v>0.13309241058843638</v>
      </c>
      <c r="Q1130">
        <f t="shared" si="310"/>
        <v>0.92069650660084867</v>
      </c>
      <c r="R1130">
        <f t="shared" si="300"/>
        <v>1</v>
      </c>
      <c r="AG1130" s="8">
        <f t="shared" si="303"/>
        <v>0.71388570926373618</v>
      </c>
      <c r="AH1130" s="8">
        <f t="shared" si="304"/>
        <v>0.10745948754077334</v>
      </c>
      <c r="AI1130" s="8">
        <f t="shared" si="305"/>
        <v>0.69196795637261044</v>
      </c>
      <c r="AJ1130" s="8"/>
      <c r="AK1130" s="8"/>
      <c r="AL1130" s="8"/>
      <c r="AN1130" s="8">
        <f t="shared" si="311"/>
        <v>1.0000000000000002</v>
      </c>
      <c r="AO1130" s="8">
        <f t="shared" si="312"/>
        <v>0.14940587737361349</v>
      </c>
      <c r="AP1130" s="8">
        <f t="shared" si="313"/>
        <v>0.80658485030777671</v>
      </c>
      <c r="AQ1130" s="8"/>
      <c r="AR1130" s="8">
        <f t="shared" si="314"/>
        <v>8.5603262079571731</v>
      </c>
      <c r="AS1130" s="8">
        <f t="shared" si="315"/>
        <v>43.786092258173113</v>
      </c>
    </row>
    <row r="1131" spans="1:45">
      <c r="A1131" s="19">
        <v>41.474766670000001</v>
      </c>
      <c r="B1131" s="19">
        <v>1559.7034149999999</v>
      </c>
      <c r="C1131" s="19">
        <v>-322.74240980000002</v>
      </c>
      <c r="E1131" s="9">
        <f t="shared" si="301"/>
        <v>599.70341499999995</v>
      </c>
      <c r="F1131" s="9">
        <f t="shared" si="306"/>
        <v>217.25759019999998</v>
      </c>
      <c r="I1131">
        <v>1</v>
      </c>
      <c r="J1131">
        <f t="shared" si="302"/>
        <v>0.400983343927864</v>
      </c>
      <c r="K1131">
        <f t="shared" si="307"/>
        <v>0.34756815833633092</v>
      </c>
      <c r="O1131">
        <f t="shared" si="308"/>
        <v>0.36698399215446154</v>
      </c>
      <c r="P1131">
        <f t="shared" si="309"/>
        <v>0.13294914750060913</v>
      </c>
      <c r="Q1131">
        <f t="shared" si="310"/>
        <v>0.92067761658532532</v>
      </c>
      <c r="R1131">
        <f t="shared" si="300"/>
        <v>1</v>
      </c>
      <c r="AG1131" s="8">
        <f t="shared" si="303"/>
        <v>0.71399005129811166</v>
      </c>
      <c r="AH1131" s="8">
        <f t="shared" si="304"/>
        <v>0.1075344852255079</v>
      </c>
      <c r="AI1131" s="8">
        <f t="shared" si="305"/>
        <v>0.69184864033587923</v>
      </c>
      <c r="AJ1131" s="8"/>
      <c r="AK1131" s="8"/>
      <c r="AL1131" s="8"/>
      <c r="AN1131" s="8">
        <f t="shared" si="311"/>
        <v>0.99999999999999978</v>
      </c>
      <c r="AO1131" s="8">
        <f t="shared" si="312"/>
        <v>0.14948707869091768</v>
      </c>
      <c r="AP1131" s="8">
        <f t="shared" si="313"/>
        <v>0.8067501113206953</v>
      </c>
      <c r="AQ1131" s="8"/>
      <c r="AR1131" s="8">
        <f t="shared" si="314"/>
        <v>8.5649787007296059</v>
      </c>
      <c r="AS1131" s="8">
        <f t="shared" si="315"/>
        <v>43.776623499614821</v>
      </c>
    </row>
    <row r="1132" spans="1:45">
      <c r="A1132" s="19">
        <v>41.50813333</v>
      </c>
      <c r="B1132" s="19">
        <v>1560.283952</v>
      </c>
      <c r="C1132" s="19">
        <v>-322.84321990000001</v>
      </c>
      <c r="E1132" s="9">
        <f t="shared" si="301"/>
        <v>600.283952</v>
      </c>
      <c r="F1132" s="9">
        <f t="shared" si="306"/>
        <v>217.15678009999999</v>
      </c>
      <c r="I1132">
        <v>1</v>
      </c>
      <c r="J1132">
        <f t="shared" si="302"/>
        <v>0.40127411283156794</v>
      </c>
      <c r="K1132">
        <f t="shared" si="307"/>
        <v>0.34710991822894555</v>
      </c>
      <c r="O1132">
        <f t="shared" si="308"/>
        <v>0.3672965992074666</v>
      </c>
      <c r="P1132">
        <f t="shared" si="309"/>
        <v>0.13287202924520902</v>
      </c>
      <c r="Q1132">
        <f t="shared" si="310"/>
        <v>0.92056408362204201</v>
      </c>
      <c r="R1132">
        <f t="shared" si="300"/>
        <v>1</v>
      </c>
      <c r="AG1132" s="8">
        <f t="shared" si="303"/>
        <v>0.71405525481354493</v>
      </c>
      <c r="AH1132" s="8">
        <f t="shared" si="304"/>
        <v>0.10784880866254276</v>
      </c>
      <c r="AI1132" s="8">
        <f t="shared" si="305"/>
        <v>0.69173241036056254</v>
      </c>
      <c r="AJ1132" s="8"/>
      <c r="AK1132" s="8"/>
      <c r="AL1132" s="8"/>
      <c r="AN1132" s="8">
        <f t="shared" si="311"/>
        <v>1</v>
      </c>
      <c r="AO1132" s="8">
        <f t="shared" si="312"/>
        <v>0.14990403573825298</v>
      </c>
      <c r="AP1132" s="8">
        <f t="shared" si="313"/>
        <v>0.80691107276507645</v>
      </c>
      <c r="AQ1132" s="8"/>
      <c r="AR1132" s="8">
        <f t="shared" si="314"/>
        <v>8.5888685797801561</v>
      </c>
      <c r="AS1132" s="8">
        <f t="shared" si="315"/>
        <v>43.767401088187455</v>
      </c>
    </row>
    <row r="1133" spans="1:45">
      <c r="A1133" s="19">
        <v>41.541499999999999</v>
      </c>
      <c r="B1133" s="19">
        <v>1561.1959870000001</v>
      </c>
      <c r="C1133" s="19">
        <v>-323.06664000000001</v>
      </c>
      <c r="E1133" s="9">
        <f t="shared" si="301"/>
        <v>601.19598700000006</v>
      </c>
      <c r="F1133" s="9">
        <f t="shared" si="306"/>
        <v>216.93335999999999</v>
      </c>
      <c r="I1133">
        <v>1</v>
      </c>
      <c r="J1133">
        <f t="shared" si="302"/>
        <v>0.40171838489725581</v>
      </c>
      <c r="K1133">
        <f t="shared" si="307"/>
        <v>0.34629576976499571</v>
      </c>
      <c r="O1133">
        <f t="shared" si="308"/>
        <v>0.36778932109708018</v>
      </c>
      <c r="P1133">
        <f t="shared" si="309"/>
        <v>0.13271175277773184</v>
      </c>
      <c r="Q1133">
        <f t="shared" si="310"/>
        <v>0.92039046385847079</v>
      </c>
      <c r="R1133">
        <f t="shared" si="300"/>
        <v>1</v>
      </c>
      <c r="AG1133" s="8">
        <f t="shared" si="303"/>
        <v>0.71418509236512939</v>
      </c>
      <c r="AH1133" s="8">
        <f t="shared" si="304"/>
        <v>0.10833620111245451</v>
      </c>
      <c r="AI1133" s="8">
        <f t="shared" si="305"/>
        <v>0.69152217706443331</v>
      </c>
      <c r="AJ1133" s="8"/>
      <c r="AK1133" s="8"/>
      <c r="AL1133" s="8"/>
      <c r="AN1133" s="8">
        <f t="shared" si="311"/>
        <v>1</v>
      </c>
      <c r="AO1133" s="8">
        <f t="shared" si="312"/>
        <v>0.15054435257460066</v>
      </c>
      <c r="AP1133" s="8">
        <f t="shared" si="313"/>
        <v>0.80720215198156064</v>
      </c>
      <c r="AQ1133" s="8"/>
      <c r="AR1133" s="8">
        <f t="shared" si="314"/>
        <v>8.6255560320540461</v>
      </c>
      <c r="AS1133" s="8">
        <f t="shared" si="315"/>
        <v>43.750723477578937</v>
      </c>
    </row>
    <row r="1134" spans="1:45">
      <c r="A1134" s="19">
        <v>41.574866669999999</v>
      </c>
      <c r="B1134" s="19">
        <v>1561.390852</v>
      </c>
      <c r="C1134" s="19">
        <v>-323.2187204</v>
      </c>
      <c r="E1134" s="9">
        <f t="shared" si="301"/>
        <v>601.390852</v>
      </c>
      <c r="F1134" s="9">
        <f t="shared" si="306"/>
        <v>216.7812796</v>
      </c>
      <c r="I1134">
        <v>1</v>
      </c>
      <c r="J1134">
        <f t="shared" si="302"/>
        <v>0.40179321237022941</v>
      </c>
      <c r="K1134">
        <f t="shared" si="307"/>
        <v>0.34596853260270882</v>
      </c>
      <c r="O1134">
        <f t="shared" si="308"/>
        <v>0.36789751833236634</v>
      </c>
      <c r="P1134">
        <f t="shared" si="309"/>
        <v>0.13261474550290436</v>
      </c>
      <c r="Q1134">
        <f t="shared" si="310"/>
        <v>0.92036120370215846</v>
      </c>
      <c r="R1134">
        <f t="shared" si="300"/>
        <v>1</v>
      </c>
      <c r="AG1134" s="8">
        <f t="shared" si="303"/>
        <v>0.71425706976883807</v>
      </c>
      <c r="AH1134" s="8">
        <f t="shared" si="304"/>
        <v>0.10843030054596486</v>
      </c>
      <c r="AI1134" s="8">
        <f t="shared" si="305"/>
        <v>0.69143308295795691</v>
      </c>
      <c r="AJ1134" s="8"/>
      <c r="AK1134" s="8"/>
      <c r="AL1134" s="8"/>
      <c r="AN1134" s="8">
        <f t="shared" si="311"/>
        <v>1</v>
      </c>
      <c r="AO1134" s="8">
        <f t="shared" si="312"/>
        <v>0.15065818924409627</v>
      </c>
      <c r="AP1134" s="8">
        <f t="shared" si="313"/>
        <v>0.80732548305712737</v>
      </c>
      <c r="AQ1134" s="8"/>
      <c r="AR1134" s="8">
        <f t="shared" si="314"/>
        <v>8.6320783927699711</v>
      </c>
      <c r="AS1134" s="8">
        <f t="shared" si="315"/>
        <v>43.74365712746615</v>
      </c>
    </row>
    <row r="1135" spans="1:45">
      <c r="A1135" s="19">
        <v>41.608233329999997</v>
      </c>
      <c r="B1135" s="19">
        <v>1562.0480070000001</v>
      </c>
      <c r="C1135" s="19">
        <v>-323.38198369999998</v>
      </c>
      <c r="E1135" s="9">
        <f t="shared" si="301"/>
        <v>602.0480070000001</v>
      </c>
      <c r="F1135" s="9">
        <f t="shared" si="306"/>
        <v>216.61801630000002</v>
      </c>
      <c r="I1135">
        <v>1</v>
      </c>
      <c r="J1135">
        <f t="shared" si="302"/>
        <v>0.40211298598592715</v>
      </c>
      <c r="K1135">
        <f t="shared" si="307"/>
        <v>0.34538019694814276</v>
      </c>
      <c r="O1135">
        <f t="shared" si="308"/>
        <v>0.36825238526784693</v>
      </c>
      <c r="P1135">
        <f t="shared" si="309"/>
        <v>0.13249790758706778</v>
      </c>
      <c r="Q1135">
        <f t="shared" si="310"/>
        <v>0.92023610298096326</v>
      </c>
      <c r="R1135">
        <f t="shared" si="300"/>
        <v>1</v>
      </c>
      <c r="AG1135" s="8">
        <f t="shared" si="303"/>
        <v>0.71435137950403449</v>
      </c>
      <c r="AH1135" s="8">
        <f t="shared" si="304"/>
        <v>0.10878110873494712</v>
      </c>
      <c r="AI1135" s="8">
        <f t="shared" si="305"/>
        <v>0.691280534213917</v>
      </c>
      <c r="AJ1135" s="8"/>
      <c r="AK1135" s="8"/>
      <c r="AL1135" s="8"/>
      <c r="AN1135" s="8">
        <f t="shared" si="311"/>
        <v>1</v>
      </c>
      <c r="AO1135" s="8">
        <f t="shared" si="312"/>
        <v>0.15111859029934796</v>
      </c>
      <c r="AP1135" s="8">
        <f t="shared" si="313"/>
        <v>0.8075366192425304</v>
      </c>
      <c r="AQ1135" s="8"/>
      <c r="AR1135" s="8">
        <f t="shared" si="314"/>
        <v>8.6584574301192614</v>
      </c>
      <c r="AS1135" s="8">
        <f t="shared" si="315"/>
        <v>43.731559915140068</v>
      </c>
    </row>
    <row r="1136" spans="1:45">
      <c r="A1136" s="19">
        <v>41.641599999999997</v>
      </c>
      <c r="B1136" s="19">
        <v>1562.618798</v>
      </c>
      <c r="C1136" s="19">
        <v>-323.47236750000002</v>
      </c>
      <c r="E1136" s="9">
        <f t="shared" si="301"/>
        <v>602.61879799999997</v>
      </c>
      <c r="F1136" s="9">
        <f t="shared" si="306"/>
        <v>216.52763249999998</v>
      </c>
      <c r="I1136">
        <v>1</v>
      </c>
      <c r="J1136">
        <f t="shared" si="302"/>
        <v>0.40240064035361889</v>
      </c>
      <c r="K1136">
        <f t="shared" si="307"/>
        <v>0.34494559851724704</v>
      </c>
      <c r="O1136">
        <f t="shared" si="308"/>
        <v>0.36855903552157315</v>
      </c>
      <c r="P1136">
        <f t="shared" si="309"/>
        <v>0.13242735816211565</v>
      </c>
      <c r="Q1136">
        <f t="shared" si="310"/>
        <v>0.92012348744372918</v>
      </c>
      <c r="R1136">
        <f t="shared" si="300"/>
        <v>1</v>
      </c>
      <c r="AG1136" s="8">
        <f t="shared" si="303"/>
        <v>0.71441137817379918</v>
      </c>
      <c r="AH1136" s="8">
        <f t="shared" si="304"/>
        <v>0.109090655196733</v>
      </c>
      <c r="AI1136" s="8">
        <f t="shared" si="305"/>
        <v>0.69116974158636335</v>
      </c>
      <c r="AJ1136" s="8"/>
      <c r="AK1136" s="8"/>
      <c r="AL1136" s="8"/>
      <c r="AN1136" s="8">
        <f t="shared" si="311"/>
        <v>1</v>
      </c>
      <c r="AO1136" s="8">
        <f t="shared" si="312"/>
        <v>0.15152953442196912</v>
      </c>
      <c r="AP1136" s="8">
        <f t="shared" si="313"/>
        <v>0.80768993584370563</v>
      </c>
      <c r="AQ1136" s="8"/>
      <c r="AR1136" s="8">
        <f t="shared" si="314"/>
        <v>8.6820027939611606</v>
      </c>
      <c r="AS1136" s="8">
        <f t="shared" si="315"/>
        <v>43.722775520963438</v>
      </c>
    </row>
    <row r="1137" spans="1:45">
      <c r="A1137" s="19">
        <v>41.674966670000003</v>
      </c>
      <c r="B1137" s="19">
        <v>1563.421464</v>
      </c>
      <c r="C1137" s="19">
        <v>-324.01567419999998</v>
      </c>
      <c r="E1137" s="9">
        <f t="shared" si="301"/>
        <v>603.42146400000001</v>
      </c>
      <c r="F1137" s="9">
        <f t="shared" si="306"/>
        <v>215.98432580000002</v>
      </c>
      <c r="I1137">
        <v>1</v>
      </c>
      <c r="J1137">
        <f t="shared" si="302"/>
        <v>0.40272546552562566</v>
      </c>
      <c r="K1137">
        <f t="shared" si="307"/>
        <v>0.34372433553946791</v>
      </c>
      <c r="O1137">
        <f t="shared" si="308"/>
        <v>0.36900186646390631</v>
      </c>
      <c r="P1137">
        <f t="shared" si="309"/>
        <v>0.13207786613826591</v>
      </c>
      <c r="Q1137">
        <f t="shared" si="310"/>
        <v>0.91999622815667881</v>
      </c>
      <c r="R1137">
        <f t="shared" si="300"/>
        <v>1</v>
      </c>
      <c r="AG1137" s="8">
        <f t="shared" si="303"/>
        <v>0.71467203669831503</v>
      </c>
      <c r="AH1137" s="8">
        <f t="shared" si="304"/>
        <v>0.10948592351537456</v>
      </c>
      <c r="AI1137" s="8">
        <f t="shared" si="305"/>
        <v>0.69083768897872666</v>
      </c>
      <c r="AJ1137" s="8"/>
      <c r="AK1137" s="8"/>
      <c r="AL1137" s="8"/>
      <c r="AN1137" s="8">
        <f t="shared" si="311"/>
        <v>1</v>
      </c>
      <c r="AO1137" s="8">
        <f t="shared" si="312"/>
        <v>0.15201554798009703</v>
      </c>
      <c r="AP1137" s="8">
        <f t="shared" si="313"/>
        <v>0.80814930094675674</v>
      </c>
      <c r="AQ1137" s="8"/>
      <c r="AR1137" s="8">
        <f t="shared" si="314"/>
        <v>8.7098493196280256</v>
      </c>
      <c r="AS1137" s="8">
        <f t="shared" si="315"/>
        <v>43.696455839303013</v>
      </c>
    </row>
    <row r="1138" spans="1:45">
      <c r="A1138" s="19">
        <v>41.708333330000002</v>
      </c>
      <c r="B1138" s="19">
        <v>1563.8494370000001</v>
      </c>
      <c r="C1138" s="19">
        <v>-324.24222780000002</v>
      </c>
      <c r="E1138" s="9">
        <f t="shared" si="301"/>
        <v>603.84943700000008</v>
      </c>
      <c r="F1138" s="9">
        <f t="shared" si="306"/>
        <v>215.75777219999998</v>
      </c>
      <c r="I1138">
        <v>1</v>
      </c>
      <c r="J1138">
        <f t="shared" si="302"/>
        <v>0.40291089944613623</v>
      </c>
      <c r="K1138">
        <f t="shared" si="307"/>
        <v>0.34316677807505674</v>
      </c>
      <c r="O1138">
        <f t="shared" si="308"/>
        <v>0.36923609532505552</v>
      </c>
      <c r="P1138">
        <f t="shared" si="309"/>
        <v>0.13192950504176887</v>
      </c>
      <c r="Q1138">
        <f t="shared" si="310"/>
        <v>0.91992353574008556</v>
      </c>
      <c r="R1138">
        <f t="shared" si="300"/>
        <v>1</v>
      </c>
      <c r="AG1138" s="8">
        <f t="shared" si="303"/>
        <v>0.71478413626257364</v>
      </c>
      <c r="AH1138" s="8">
        <f t="shared" si="304"/>
        <v>0.10970266943526474</v>
      </c>
      <c r="AI1138" s="8">
        <f t="shared" si="305"/>
        <v>0.69068731193365918</v>
      </c>
      <c r="AJ1138" s="8"/>
      <c r="AK1138" s="8"/>
      <c r="AL1138" s="8"/>
      <c r="AN1138" s="8">
        <f t="shared" si="311"/>
        <v>1.0000000000000002</v>
      </c>
      <c r="AO1138" s="8">
        <f t="shared" si="312"/>
        <v>0.15228834075504302</v>
      </c>
      <c r="AP1138" s="8">
        <f t="shared" si="313"/>
        <v>0.80835726782347361</v>
      </c>
      <c r="AQ1138" s="8"/>
      <c r="AR1138" s="8">
        <f t="shared" si="314"/>
        <v>8.7254791943140937</v>
      </c>
      <c r="AS1138" s="8">
        <f t="shared" si="315"/>
        <v>43.684540214988623</v>
      </c>
    </row>
    <row r="1139" spans="1:45">
      <c r="A1139" s="19">
        <v>41.741700000000002</v>
      </c>
      <c r="B1139" s="19">
        <v>1564.366702</v>
      </c>
      <c r="C1139" s="19">
        <v>-324.216364</v>
      </c>
      <c r="E1139" s="9">
        <f t="shared" si="301"/>
        <v>604.36670200000003</v>
      </c>
      <c r="F1139" s="9">
        <f t="shared" si="306"/>
        <v>215.783636</v>
      </c>
      <c r="I1139">
        <v>1</v>
      </c>
      <c r="J1139">
        <f t="shared" si="302"/>
        <v>0.40319228146503749</v>
      </c>
      <c r="K1139">
        <f t="shared" si="307"/>
        <v>0.34293352099773527</v>
      </c>
      <c r="O1139">
        <f t="shared" si="308"/>
        <v>0.36951062185886369</v>
      </c>
      <c r="P1139">
        <f t="shared" si="309"/>
        <v>0.1319304079153697</v>
      </c>
      <c r="Q1139">
        <f t="shared" si="310"/>
        <v>0.91981317005181007</v>
      </c>
      <c r="R1139">
        <f t="shared" si="300"/>
        <v>1</v>
      </c>
      <c r="AG1139" s="8">
        <f t="shared" si="303"/>
        <v>0.71479253828841305</v>
      </c>
      <c r="AH1139" s="8">
        <f t="shared" si="304"/>
        <v>0.10999328884707732</v>
      </c>
      <c r="AI1139" s="8">
        <f t="shared" si="305"/>
        <v>0.69063239398091592</v>
      </c>
      <c r="AJ1139" s="8"/>
      <c r="AK1139" s="8"/>
      <c r="AL1139" s="8"/>
      <c r="AN1139" s="8">
        <f t="shared" si="311"/>
        <v>1.0000000000000002</v>
      </c>
      <c r="AO1139" s="8">
        <f t="shared" si="312"/>
        <v>0.15268377629894286</v>
      </c>
      <c r="AP1139" s="8">
        <f t="shared" si="313"/>
        <v>0.80843320738333502</v>
      </c>
      <c r="AQ1139" s="8"/>
      <c r="AR1139" s="8">
        <f t="shared" si="314"/>
        <v>8.7481359820490141</v>
      </c>
      <c r="AS1139" s="8">
        <f t="shared" si="315"/>
        <v>43.68018919871048</v>
      </c>
    </row>
    <row r="1140" spans="1:45">
      <c r="A1140" s="19">
        <v>41.775066670000001</v>
      </c>
      <c r="B1140" s="19">
        <v>1564.8686640000001</v>
      </c>
      <c r="C1140" s="19">
        <v>-324.42080770000001</v>
      </c>
      <c r="E1140" s="9">
        <f t="shared" si="301"/>
        <v>604.86866400000008</v>
      </c>
      <c r="F1140" s="9">
        <f t="shared" si="306"/>
        <v>215.57919229999999</v>
      </c>
      <c r="I1140">
        <v>1</v>
      </c>
      <c r="J1140">
        <f t="shared" si="302"/>
        <v>0.40342155569729843</v>
      </c>
      <c r="K1140">
        <f t="shared" si="307"/>
        <v>0.34237083026796095</v>
      </c>
      <c r="O1140">
        <f t="shared" si="308"/>
        <v>0.36978343938369895</v>
      </c>
      <c r="P1140">
        <f t="shared" si="309"/>
        <v>0.1317932634517397</v>
      </c>
      <c r="Q1140">
        <f t="shared" si="310"/>
        <v>0.91972318860965041</v>
      </c>
      <c r="R1140">
        <f t="shared" si="300"/>
        <v>1</v>
      </c>
      <c r="AG1140" s="8">
        <f t="shared" si="303"/>
        <v>0.71489788519546493</v>
      </c>
      <c r="AH1140" s="8">
        <f t="shared" si="304"/>
        <v>0.11025325735753688</v>
      </c>
      <c r="AI1140" s="8">
        <f t="shared" si="305"/>
        <v>0.69048188461762305</v>
      </c>
      <c r="AJ1140" s="8"/>
      <c r="AK1140" s="8"/>
      <c r="AL1140" s="8"/>
      <c r="AN1140" s="8">
        <f t="shared" si="311"/>
        <v>0.99999999999999989</v>
      </c>
      <c r="AO1140" s="8">
        <f t="shared" si="312"/>
        <v>0.15301684040985397</v>
      </c>
      <c r="AP1140" s="8">
        <f t="shared" si="313"/>
        <v>0.80864130080950636</v>
      </c>
      <c r="AQ1140" s="8"/>
      <c r="AR1140" s="8">
        <f t="shared" si="314"/>
        <v>8.7672191499114991</v>
      </c>
      <c r="AS1140" s="8">
        <f t="shared" si="315"/>
        <v>43.668266323646442</v>
      </c>
    </row>
    <row r="1141" spans="1:45">
      <c r="A1141" s="19">
        <v>41.80843333</v>
      </c>
      <c r="B1141" s="19">
        <v>1565.3663389999999</v>
      </c>
      <c r="C1141" s="19">
        <v>-324.94488949999999</v>
      </c>
      <c r="E1141" s="9">
        <f t="shared" si="301"/>
        <v>605.36633899999993</v>
      </c>
      <c r="F1141" s="9">
        <f t="shared" si="306"/>
        <v>215.05511050000001</v>
      </c>
      <c r="I1141">
        <v>1</v>
      </c>
      <c r="J1141">
        <f t="shared" si="302"/>
        <v>0.40358787647145788</v>
      </c>
      <c r="K1141">
        <f t="shared" si="307"/>
        <v>0.34134232230700612</v>
      </c>
      <c r="O1141">
        <f t="shared" si="308"/>
        <v>0.37006293278053742</v>
      </c>
      <c r="P1141">
        <f t="shared" si="309"/>
        <v>0.13146407352700951</v>
      </c>
      <c r="Q1141">
        <f t="shared" si="310"/>
        <v>0.91965788375544988</v>
      </c>
      <c r="R1141">
        <f t="shared" si="300"/>
        <v>1</v>
      </c>
      <c r="AG1141" s="8">
        <f t="shared" si="303"/>
        <v>0.71513836219050997</v>
      </c>
      <c r="AH1141" s="8">
        <f t="shared" si="304"/>
        <v>0.11048017649313729</v>
      </c>
      <c r="AI1141" s="8">
        <f t="shared" si="305"/>
        <v>0.69019653253658153</v>
      </c>
      <c r="AJ1141" s="8"/>
      <c r="AK1141" s="8"/>
      <c r="AL1141" s="8"/>
      <c r="AN1141" s="8">
        <f t="shared" si="311"/>
        <v>1.0000000000000002</v>
      </c>
      <c r="AO1141" s="8">
        <f t="shared" si="312"/>
        <v>0.15327611136067076</v>
      </c>
      <c r="AP1141" s="8">
        <f t="shared" si="313"/>
        <v>0.80903571361994542</v>
      </c>
      <c r="AQ1141" s="8"/>
      <c r="AR1141" s="8">
        <f t="shared" si="314"/>
        <v>8.782074281143645</v>
      </c>
      <c r="AS1141" s="8">
        <f t="shared" si="315"/>
        <v>43.645668134222397</v>
      </c>
    </row>
    <row r="1142" spans="1:45">
      <c r="A1142" s="19">
        <v>41.841799999999999</v>
      </c>
      <c r="B1142" s="19">
        <v>1565.563337</v>
      </c>
      <c r="C1142" s="19">
        <v>-325.14956990000002</v>
      </c>
      <c r="E1142" s="9">
        <f t="shared" si="301"/>
        <v>605.56333700000005</v>
      </c>
      <c r="F1142" s="9">
        <f t="shared" si="306"/>
        <v>214.85043009999998</v>
      </c>
      <c r="I1142">
        <v>1</v>
      </c>
      <c r="J1142">
        <f t="shared" si="302"/>
        <v>0.40365433784852445</v>
      </c>
      <c r="K1142">
        <f t="shared" si="307"/>
        <v>0.34093952403624772</v>
      </c>
      <c r="O1142">
        <f t="shared" si="308"/>
        <v>0.37017345906193255</v>
      </c>
      <c r="P1142">
        <f t="shared" si="309"/>
        <v>0.13133543930361977</v>
      </c>
      <c r="Q1142">
        <f t="shared" si="310"/>
        <v>0.91963178098032738</v>
      </c>
      <c r="R1142">
        <f t="shared" si="300"/>
        <v>0.99999999999999989</v>
      </c>
      <c r="AG1142" s="8">
        <f t="shared" si="303"/>
        <v>0.71523233195889091</v>
      </c>
      <c r="AH1142" s="8">
        <f t="shared" si="304"/>
        <v>0.11057025119489533</v>
      </c>
      <c r="AI1142" s="8">
        <f t="shared" si="305"/>
        <v>0.69008472731349768</v>
      </c>
      <c r="AJ1142" s="8"/>
      <c r="AK1142" s="8"/>
      <c r="AL1142" s="8"/>
      <c r="AN1142" s="8">
        <f t="shared" si="311"/>
        <v>0.99999999999999978</v>
      </c>
      <c r="AO1142" s="8">
        <f t="shared" si="312"/>
        <v>0.15337928773880918</v>
      </c>
      <c r="AP1142" s="8">
        <f t="shared" si="313"/>
        <v>0.80919021001713287</v>
      </c>
      <c r="AQ1142" s="8"/>
      <c r="AR1142" s="8">
        <f t="shared" si="314"/>
        <v>8.7879858521564227</v>
      </c>
      <c r="AS1142" s="8">
        <f t="shared" si="315"/>
        <v>43.636816142713577</v>
      </c>
    </row>
    <row r="1143" spans="1:45">
      <c r="A1143" s="19">
        <v>41.875166669999999</v>
      </c>
      <c r="B1143" s="19">
        <v>1566.3674820000001</v>
      </c>
      <c r="C1143" s="19">
        <v>-325.40721880000001</v>
      </c>
      <c r="E1143" s="9">
        <f t="shared" si="301"/>
        <v>606.36748200000011</v>
      </c>
      <c r="F1143" s="9">
        <f t="shared" si="306"/>
        <v>214.59278119999999</v>
      </c>
      <c r="I1143">
        <v>1</v>
      </c>
      <c r="J1143">
        <f t="shared" si="302"/>
        <v>0.40403539887825524</v>
      </c>
      <c r="K1143">
        <f t="shared" si="307"/>
        <v>0.34014399018580421</v>
      </c>
      <c r="O1143">
        <f t="shared" si="308"/>
        <v>0.37060815499647426</v>
      </c>
      <c r="P1143">
        <f t="shared" si="309"/>
        <v>0.13115781613779562</v>
      </c>
      <c r="Q1143">
        <f t="shared" si="310"/>
        <v>0.91948204045325077</v>
      </c>
      <c r="R1143">
        <f t="shared" si="300"/>
        <v>1</v>
      </c>
      <c r="AG1143" s="8">
        <f t="shared" si="303"/>
        <v>0.71537106087036406</v>
      </c>
      <c r="AH1143" s="8">
        <f t="shared" si="304"/>
        <v>0.1109931699246765</v>
      </c>
      <c r="AI1143" s="8">
        <f t="shared" si="305"/>
        <v>0.68987300389222483</v>
      </c>
      <c r="AJ1143" s="8"/>
      <c r="AK1143" s="8"/>
      <c r="AL1143" s="8"/>
      <c r="AN1143" s="8">
        <f t="shared" si="311"/>
        <v>0.99999999999999989</v>
      </c>
      <c r="AO1143" s="8">
        <f t="shared" si="312"/>
        <v>0.15392735016707301</v>
      </c>
      <c r="AP1143" s="8">
        <f t="shared" si="313"/>
        <v>0.80948271456420351</v>
      </c>
      <c r="AQ1143" s="8"/>
      <c r="AR1143" s="8">
        <f t="shared" si="314"/>
        <v>8.8193875162056301</v>
      </c>
      <c r="AS1143" s="8">
        <f t="shared" si="315"/>
        <v>43.620056866678041</v>
      </c>
    </row>
    <row r="1144" spans="1:45">
      <c r="A1144" s="19">
        <v>41.908533329999997</v>
      </c>
      <c r="B1144" s="19">
        <v>1567.1642999999999</v>
      </c>
      <c r="C1144" s="19">
        <v>-325.82813540000001</v>
      </c>
      <c r="E1144" s="9">
        <f t="shared" si="301"/>
        <v>607.16429999999991</v>
      </c>
      <c r="F1144" s="9">
        <f t="shared" si="306"/>
        <v>214.17186459999999</v>
      </c>
      <c r="I1144">
        <v>1</v>
      </c>
      <c r="J1144">
        <f t="shared" si="302"/>
        <v>0.40438185521240949</v>
      </c>
      <c r="K1144">
        <f t="shared" si="307"/>
        <v>0.33911477926613326</v>
      </c>
      <c r="O1144">
        <f t="shared" si="308"/>
        <v>0.37104334369086384</v>
      </c>
      <c r="P1144">
        <f t="shared" si="309"/>
        <v>0.13088227480715017</v>
      </c>
      <c r="Q1144">
        <f t="shared" si="310"/>
        <v>0.91934578219732377</v>
      </c>
      <c r="R1144">
        <f t="shared" si="300"/>
        <v>1</v>
      </c>
      <c r="AG1144" s="8">
        <f t="shared" si="303"/>
        <v>0.71557839623288755</v>
      </c>
      <c r="AH1144" s="8">
        <f t="shared" si="304"/>
        <v>0.11139623427063372</v>
      </c>
      <c r="AI1144" s="8">
        <f t="shared" si="305"/>
        <v>0.68959295083048122</v>
      </c>
      <c r="AJ1144" s="8"/>
      <c r="AK1144" s="8"/>
      <c r="AL1144" s="8"/>
      <c r="AN1144" s="8">
        <f t="shared" si="311"/>
        <v>0.99999999999999978</v>
      </c>
      <c r="AO1144" s="8">
        <f t="shared" si="312"/>
        <v>0.15443344168204759</v>
      </c>
      <c r="AP1144" s="8">
        <f t="shared" si="313"/>
        <v>0.80986949409841302</v>
      </c>
      <c r="AQ1144" s="8"/>
      <c r="AR1144" s="8">
        <f t="shared" si="314"/>
        <v>8.8483844240610559</v>
      </c>
      <c r="AS1144" s="8">
        <f t="shared" si="315"/>
        <v>43.597896031765799</v>
      </c>
    </row>
    <row r="1145" spans="1:45">
      <c r="A1145" s="19">
        <v>41.941899999999997</v>
      </c>
      <c r="B1145" s="19">
        <v>1567.5086679999999</v>
      </c>
      <c r="C1145" s="19">
        <v>-326.20979069999999</v>
      </c>
      <c r="E1145" s="9">
        <f t="shared" si="301"/>
        <v>607.50866799999994</v>
      </c>
      <c r="F1145" s="9">
        <f t="shared" si="306"/>
        <v>213.79020930000001</v>
      </c>
      <c r="I1145">
        <v>1</v>
      </c>
      <c r="J1145">
        <f t="shared" si="302"/>
        <v>0.40449407582324048</v>
      </c>
      <c r="K1145">
        <f t="shared" si="307"/>
        <v>0.33837805015352806</v>
      </c>
      <c r="O1145">
        <f t="shared" si="308"/>
        <v>0.37123698467808641</v>
      </c>
      <c r="P1145">
        <f t="shared" si="309"/>
        <v>0.13064312796641284</v>
      </c>
      <c r="Q1145">
        <f t="shared" si="310"/>
        <v>0.91930162314785113</v>
      </c>
      <c r="R1145">
        <f t="shared" si="300"/>
        <v>1</v>
      </c>
      <c r="AG1145" s="8">
        <f t="shared" si="303"/>
        <v>0.71575242573216769</v>
      </c>
      <c r="AH1145" s="8">
        <f t="shared" si="304"/>
        <v>0.11155127668679127</v>
      </c>
      <c r="AI1145" s="8">
        <f t="shared" si="305"/>
        <v>0.68938724801671869</v>
      </c>
      <c r="AJ1145" s="8"/>
      <c r="AK1145" s="8"/>
      <c r="AL1145" s="8"/>
      <c r="AN1145" s="8">
        <f t="shared" si="311"/>
        <v>1</v>
      </c>
      <c r="AO1145" s="8">
        <f t="shared" si="312"/>
        <v>0.15460797119862973</v>
      </c>
      <c r="AP1145" s="8">
        <f t="shared" si="313"/>
        <v>0.81015349824837057</v>
      </c>
      <c r="AQ1145" s="8"/>
      <c r="AR1145" s="8">
        <f t="shared" si="314"/>
        <v>8.8583842287616719</v>
      </c>
      <c r="AS1145" s="8">
        <f t="shared" si="315"/>
        <v>43.581623792609037</v>
      </c>
    </row>
    <row r="1146" spans="1:45">
      <c r="A1146" s="19">
        <v>41.975266670000003</v>
      </c>
      <c r="B1146" s="19">
        <v>1567.974723</v>
      </c>
      <c r="C1146" s="19">
        <v>-326.23834219999998</v>
      </c>
      <c r="E1146" s="9">
        <f t="shared" si="301"/>
        <v>607.97472300000004</v>
      </c>
      <c r="F1146" s="9">
        <f t="shared" si="306"/>
        <v>213.76165780000002</v>
      </c>
      <c r="I1146">
        <v>1</v>
      </c>
      <c r="J1146">
        <f t="shared" si="302"/>
        <v>0.40473788431578916</v>
      </c>
      <c r="K1146">
        <f t="shared" si="307"/>
        <v>0.33809619674146829</v>
      </c>
      <c r="O1146">
        <f t="shared" si="308"/>
        <v>0.37148522596765365</v>
      </c>
      <c r="P1146">
        <f t="shared" si="309"/>
        <v>0.13061282771628199</v>
      </c>
      <c r="Q1146">
        <f t="shared" si="310"/>
        <v>0.91920564408826289</v>
      </c>
      <c r="R1146">
        <f t="shared" si="300"/>
        <v>1</v>
      </c>
      <c r="AG1146" s="8">
        <f t="shared" si="303"/>
        <v>0.71578143379290293</v>
      </c>
      <c r="AH1146" s="8">
        <f t="shared" si="304"/>
        <v>0.11180774478546129</v>
      </c>
      <c r="AI1146" s="8">
        <f t="shared" si="305"/>
        <v>0.68931557884858896</v>
      </c>
      <c r="AJ1146" s="8"/>
      <c r="AK1146" s="8"/>
      <c r="AL1146" s="8"/>
      <c r="AN1146" s="8">
        <f t="shared" si="311"/>
        <v>1</v>
      </c>
      <c r="AO1146" s="8">
        <f t="shared" si="312"/>
        <v>0.15495159472758788</v>
      </c>
      <c r="AP1146" s="8">
        <f t="shared" si="313"/>
        <v>0.81025243044990891</v>
      </c>
      <c r="AQ1146" s="8"/>
      <c r="AR1146" s="8">
        <f t="shared" si="314"/>
        <v>8.8780724067123646</v>
      </c>
      <c r="AS1146" s="8">
        <f t="shared" si="315"/>
        <v>43.57595539500295</v>
      </c>
    </row>
    <row r="1147" spans="1:45">
      <c r="A1147" s="19">
        <v>42.008633330000002</v>
      </c>
      <c r="B1147" s="19">
        <v>1568.731849</v>
      </c>
      <c r="C1147" s="19">
        <v>-326.28650060000001</v>
      </c>
      <c r="E1147" s="9">
        <f t="shared" si="301"/>
        <v>608.73184900000001</v>
      </c>
      <c r="F1147" s="9">
        <f t="shared" si="306"/>
        <v>213.71349939999999</v>
      </c>
      <c r="I1147">
        <v>1</v>
      </c>
      <c r="J1147">
        <f t="shared" si="302"/>
        <v>0.40513358462156174</v>
      </c>
      <c r="K1147">
        <f t="shared" si="307"/>
        <v>0.33763651899586278</v>
      </c>
      <c r="O1147">
        <f t="shared" si="308"/>
        <v>0.37188839127262696</v>
      </c>
      <c r="P1147">
        <f t="shared" si="309"/>
        <v>0.13056252866622972</v>
      </c>
      <c r="Q1147">
        <f t="shared" si="310"/>
        <v>0.91904975411831624</v>
      </c>
      <c r="R1147">
        <f t="shared" si="300"/>
        <v>1</v>
      </c>
      <c r="AG1147" s="8">
        <f t="shared" si="303"/>
        <v>0.71582918824715525</v>
      </c>
      <c r="AH1147" s="8">
        <f t="shared" si="304"/>
        <v>0.11222409105316328</v>
      </c>
      <c r="AI1147" s="8">
        <f t="shared" si="305"/>
        <v>0.689198321704798</v>
      </c>
      <c r="AJ1147" s="8"/>
      <c r="AK1147" s="8"/>
      <c r="AL1147" s="8"/>
      <c r="AN1147" s="8">
        <f t="shared" si="311"/>
        <v>1.0000000000000002</v>
      </c>
      <c r="AO1147" s="8">
        <f t="shared" si="312"/>
        <v>0.15550914811364747</v>
      </c>
      <c r="AP1147" s="8">
        <f t="shared" si="313"/>
        <v>0.8104142722662625</v>
      </c>
      <c r="AQ1147" s="8"/>
      <c r="AR1147" s="8">
        <f t="shared" si="314"/>
        <v>8.9100178625868072</v>
      </c>
      <c r="AS1147" s="8">
        <f t="shared" si="315"/>
        <v>43.566682541977158</v>
      </c>
    </row>
    <row r="1148" spans="1:45">
      <c r="A1148" s="19">
        <v>42.042000000000002</v>
      </c>
      <c r="B1148" s="19">
        <v>1569.1131600000001</v>
      </c>
      <c r="C1148" s="19">
        <v>-326.29420800000003</v>
      </c>
      <c r="E1148" s="9">
        <f t="shared" si="301"/>
        <v>609.11316000000011</v>
      </c>
      <c r="F1148" s="9">
        <f t="shared" si="306"/>
        <v>213.70579199999997</v>
      </c>
      <c r="I1148">
        <v>1</v>
      </c>
      <c r="J1148">
        <f t="shared" si="302"/>
        <v>0.40533595355211532</v>
      </c>
      <c r="K1148">
        <f t="shared" si="307"/>
        <v>0.33742957624171244</v>
      </c>
      <c r="O1148">
        <f t="shared" si="308"/>
        <v>0.37209089373236404</v>
      </c>
      <c r="P1148">
        <f t="shared" si="309"/>
        <v>0.13054713699021489</v>
      </c>
      <c r="Q1148">
        <f t="shared" si="310"/>
        <v>0.91896997329896946</v>
      </c>
      <c r="R1148">
        <f t="shared" si="300"/>
        <v>1</v>
      </c>
      <c r="AG1148" s="8">
        <f t="shared" si="303"/>
        <v>0.71584618500287889</v>
      </c>
      <c r="AH1148" s="8">
        <f t="shared" si="304"/>
        <v>0.11243529707440997</v>
      </c>
      <c r="AI1148" s="8">
        <f t="shared" si="305"/>
        <v>0.6891462423815522</v>
      </c>
      <c r="AJ1148" s="8"/>
      <c r="AK1148" s="8"/>
      <c r="AL1148" s="8"/>
      <c r="AN1148" s="8">
        <f t="shared" si="311"/>
        <v>0.99999999999999978</v>
      </c>
      <c r="AO1148" s="8">
        <f t="shared" si="312"/>
        <v>0.15579346844482775</v>
      </c>
      <c r="AP1148" s="8">
        <f t="shared" si="313"/>
        <v>0.81048614571582023</v>
      </c>
      <c r="AQ1148" s="8"/>
      <c r="AR1148" s="8">
        <f t="shared" si="314"/>
        <v>8.9263082175931991</v>
      </c>
      <c r="AS1148" s="8">
        <f t="shared" si="315"/>
        <v>43.562564496658453</v>
      </c>
    </row>
    <row r="1149" spans="1:45">
      <c r="A1149" s="19">
        <v>42.075366670000001</v>
      </c>
      <c r="B1149" s="19">
        <v>1569.577812</v>
      </c>
      <c r="C1149" s="19">
        <v>-326.73620440000002</v>
      </c>
      <c r="E1149" s="9">
        <f t="shared" si="301"/>
        <v>609.57781199999999</v>
      </c>
      <c r="F1149" s="9">
        <f t="shared" si="306"/>
        <v>213.26379559999998</v>
      </c>
      <c r="I1149">
        <v>1</v>
      </c>
      <c r="J1149">
        <f t="shared" si="302"/>
        <v>0.40550155021681866</v>
      </c>
      <c r="K1149">
        <f t="shared" si="307"/>
        <v>0.33654556478827574</v>
      </c>
      <c r="O1149">
        <f t="shared" si="308"/>
        <v>0.37234978970338822</v>
      </c>
      <c r="P1149">
        <f t="shared" si="309"/>
        <v>0.13026840524668959</v>
      </c>
      <c r="Q1149">
        <f t="shared" si="310"/>
        <v>0.91890466137805982</v>
      </c>
      <c r="R1149">
        <f t="shared" si="300"/>
        <v>1</v>
      </c>
      <c r="AG1149" s="8">
        <f t="shared" si="303"/>
        <v>0.71604973993365983</v>
      </c>
      <c r="AH1149" s="8">
        <f t="shared" si="304"/>
        <v>0.11265127394197483</v>
      </c>
      <c r="AI1149" s="8">
        <f t="shared" si="305"/>
        <v>0.68889945595869662</v>
      </c>
      <c r="AJ1149" s="8"/>
      <c r="AK1149" s="8"/>
      <c r="AL1149" s="8"/>
      <c r="AN1149" s="8">
        <f t="shared" si="311"/>
        <v>1</v>
      </c>
      <c r="AO1149" s="8">
        <f t="shared" si="312"/>
        <v>0.15604424444346168</v>
      </c>
      <c r="AP1149" s="8">
        <f t="shared" si="313"/>
        <v>0.81082666308411011</v>
      </c>
      <c r="AQ1149" s="8"/>
      <c r="AR1149" s="8">
        <f t="shared" si="314"/>
        <v>8.9406766239181028</v>
      </c>
      <c r="AS1149" s="8">
        <f t="shared" si="315"/>
        <v>43.543054288604544</v>
      </c>
    </row>
    <row r="1150" spans="1:45">
      <c r="A1150" s="19">
        <v>42.10873333</v>
      </c>
      <c r="B1150" s="19">
        <v>1570.4103379999999</v>
      </c>
      <c r="C1150" s="19">
        <v>-327.13064429999997</v>
      </c>
      <c r="E1150" s="9">
        <f t="shared" si="301"/>
        <v>610.41033799999991</v>
      </c>
      <c r="F1150" s="9">
        <f t="shared" si="306"/>
        <v>212.86935570000003</v>
      </c>
      <c r="I1150">
        <v>1</v>
      </c>
      <c r="J1150">
        <f t="shared" si="302"/>
        <v>0.40587295535182927</v>
      </c>
      <c r="K1150">
        <f t="shared" si="307"/>
        <v>0.33554436858883213</v>
      </c>
      <c r="O1150">
        <f t="shared" si="308"/>
        <v>0.3728022543991279</v>
      </c>
      <c r="P1150">
        <f t="shared" si="309"/>
        <v>0.1300079155891522</v>
      </c>
      <c r="Q1150">
        <f t="shared" si="310"/>
        <v>0.91875808622242439</v>
      </c>
      <c r="R1150">
        <f t="shared" si="300"/>
        <v>1</v>
      </c>
      <c r="AG1150" s="8">
        <f t="shared" si="303"/>
        <v>0.71624616628986748</v>
      </c>
      <c r="AH1150" s="8">
        <f t="shared" si="304"/>
        <v>0.11307610958365483</v>
      </c>
      <c r="AI1150" s="8">
        <f t="shared" si="305"/>
        <v>0.68862560416854435</v>
      </c>
      <c r="AJ1150" s="8"/>
      <c r="AK1150" s="8"/>
      <c r="AL1150" s="8"/>
      <c r="AN1150" s="8">
        <f t="shared" si="311"/>
        <v>1</v>
      </c>
      <c r="AO1150" s="8">
        <f t="shared" si="312"/>
        <v>0.15658091205790084</v>
      </c>
      <c r="AP1150" s="8">
        <f t="shared" si="313"/>
        <v>0.81120439646298703</v>
      </c>
      <c r="AQ1150" s="8"/>
      <c r="AR1150" s="8">
        <f t="shared" si="314"/>
        <v>8.9714254132268199</v>
      </c>
      <c r="AS1150" s="8">
        <f t="shared" si="315"/>
        <v>43.521411760213674</v>
      </c>
    </row>
    <row r="1151" spans="1:45">
      <c r="A1151" s="19">
        <v>42.142099999999999</v>
      </c>
      <c r="B1151" s="19">
        <v>1570.3236489999999</v>
      </c>
      <c r="C1151" s="19">
        <v>-327.3665226</v>
      </c>
      <c r="E1151" s="9">
        <f t="shared" si="301"/>
        <v>610.32364899999993</v>
      </c>
      <c r="F1151" s="9">
        <f t="shared" si="306"/>
        <v>212.6334774</v>
      </c>
      <c r="I1151">
        <v>1</v>
      </c>
      <c r="J1151">
        <f t="shared" si="302"/>
        <v>0.40578264962129101</v>
      </c>
      <c r="K1151">
        <f t="shared" si="307"/>
        <v>0.33524392385998014</v>
      </c>
      <c r="O1151">
        <f t="shared" si="308"/>
        <v>0.37276294600897975</v>
      </c>
      <c r="P1151">
        <f t="shared" si="309"/>
        <v>0.12986860592019731</v>
      </c>
      <c r="Q1151">
        <f t="shared" si="310"/>
        <v>0.91879373706999712</v>
      </c>
      <c r="R1151">
        <f t="shared" si="300"/>
        <v>1</v>
      </c>
      <c r="AG1151" s="8">
        <f t="shared" si="303"/>
        <v>0.71634275200415132</v>
      </c>
      <c r="AH1151" s="8">
        <f t="shared" si="304"/>
        <v>0.11300542060557045</v>
      </c>
      <c r="AI1151" s="8">
        <f t="shared" si="305"/>
        <v>0.68853673581362163</v>
      </c>
      <c r="AJ1151" s="8"/>
      <c r="AK1151" s="8"/>
      <c r="AL1151" s="8"/>
      <c r="AN1151" s="8">
        <f t="shared" si="311"/>
        <v>1</v>
      </c>
      <c r="AO1151" s="8">
        <f t="shared" si="312"/>
        <v>0.15646386052593911</v>
      </c>
      <c r="AP1151" s="8">
        <f t="shared" si="313"/>
        <v>0.81132694658175875</v>
      </c>
      <c r="AQ1151" s="8"/>
      <c r="AR1151" s="8">
        <f t="shared" si="314"/>
        <v>8.9647188544598713</v>
      </c>
      <c r="AS1151" s="8">
        <f t="shared" si="315"/>
        <v>43.514390155629229</v>
      </c>
    </row>
    <row r="1152" spans="1:45">
      <c r="A1152" s="19">
        <v>42.175466669999999</v>
      </c>
      <c r="B1152" s="19">
        <v>1570.1893640000001</v>
      </c>
      <c r="C1152" s="19">
        <v>-328.04228940000002</v>
      </c>
      <c r="E1152" s="9">
        <f t="shared" si="301"/>
        <v>610.18936400000007</v>
      </c>
      <c r="F1152" s="9">
        <f t="shared" si="306"/>
        <v>211.95771059999998</v>
      </c>
      <c r="I1152">
        <v>1</v>
      </c>
      <c r="J1152">
        <f t="shared" si="302"/>
        <v>0.40558510157655026</v>
      </c>
      <c r="K1152">
        <f t="shared" si="307"/>
        <v>0.33432440497114535</v>
      </c>
      <c r="O1152">
        <f t="shared" si="308"/>
        <v>0.37271074144007582</v>
      </c>
      <c r="P1152">
        <f t="shared" si="309"/>
        <v>0.12946622824397019</v>
      </c>
      <c r="Q1152">
        <f t="shared" si="310"/>
        <v>0.91887169885652109</v>
      </c>
      <c r="R1152">
        <f t="shared" si="300"/>
        <v>1</v>
      </c>
      <c r="AG1152" s="8">
        <f t="shared" si="303"/>
        <v>0.71662346595332604</v>
      </c>
      <c r="AH1152" s="8">
        <f t="shared" si="304"/>
        <v>0.1128662391536846</v>
      </c>
      <c r="AI1152" s="8">
        <f t="shared" si="305"/>
        <v>0.68826740450521506</v>
      </c>
      <c r="AJ1152" s="8"/>
      <c r="AK1152" s="8"/>
      <c r="AL1152" s="8"/>
      <c r="AN1152" s="8">
        <f t="shared" si="311"/>
        <v>0.99999999999999989</v>
      </c>
      <c r="AO1152" s="8">
        <f t="shared" si="312"/>
        <v>0.15621405404565453</v>
      </c>
      <c r="AP1152" s="8">
        <f t="shared" si="313"/>
        <v>0.81169826939343392</v>
      </c>
      <c r="AQ1152" s="8"/>
      <c r="AR1152" s="8">
        <f t="shared" si="314"/>
        <v>8.9504059974445482</v>
      </c>
      <c r="AS1152" s="8">
        <f t="shared" si="315"/>
        <v>43.493114925683315</v>
      </c>
    </row>
    <row r="1153" spans="1:45">
      <c r="A1153" s="19">
        <v>42.208833329999997</v>
      </c>
      <c r="B1153" s="19">
        <v>1571.7848389999999</v>
      </c>
      <c r="C1153" s="19">
        <v>-328.42177809999998</v>
      </c>
      <c r="E1153" s="9">
        <f t="shared" si="301"/>
        <v>611.78483899999992</v>
      </c>
      <c r="F1153" s="9">
        <f t="shared" si="306"/>
        <v>211.57822190000002</v>
      </c>
      <c r="I1153">
        <v>1</v>
      </c>
      <c r="J1153">
        <f t="shared" si="302"/>
        <v>0.40636817292407379</v>
      </c>
      <c r="K1153">
        <f t="shared" si="307"/>
        <v>0.3329618974478098</v>
      </c>
      <c r="O1153">
        <f t="shared" si="308"/>
        <v>0.37356670344913051</v>
      </c>
      <c r="P1153">
        <f t="shared" si="309"/>
        <v>0.12919342526696978</v>
      </c>
      <c r="Q1153">
        <f t="shared" si="310"/>
        <v>0.91856245130199898</v>
      </c>
      <c r="R1153">
        <f t="shared" si="300"/>
        <v>1</v>
      </c>
      <c r="AG1153" s="8">
        <f t="shared" si="303"/>
        <v>0.71684006726022587</v>
      </c>
      <c r="AH1153" s="8">
        <f t="shared" si="304"/>
        <v>0.11371605760557318</v>
      </c>
      <c r="AI1153" s="8">
        <f t="shared" si="305"/>
        <v>0.6879018652489618</v>
      </c>
      <c r="AJ1153" s="8"/>
      <c r="AK1153" s="8"/>
      <c r="AL1153" s="8"/>
      <c r="AN1153" s="8">
        <f t="shared" si="311"/>
        <v>1</v>
      </c>
      <c r="AO1153" s="8">
        <f t="shared" si="312"/>
        <v>0.15732423296716738</v>
      </c>
      <c r="AP1153" s="8">
        <f t="shared" si="313"/>
        <v>0.81220202344021453</v>
      </c>
      <c r="AQ1153" s="8"/>
      <c r="AR1153" s="8">
        <f t="shared" si="314"/>
        <v>9.0140145641516192</v>
      </c>
      <c r="AS1153" s="8">
        <f t="shared" si="315"/>
        <v>43.464251944890151</v>
      </c>
    </row>
    <row r="1154" spans="1:45">
      <c r="A1154" s="19">
        <v>42.242199999999997</v>
      </c>
      <c r="B1154" s="19">
        <v>1572.344965</v>
      </c>
      <c r="C1154" s="19">
        <v>-328.35015190000001</v>
      </c>
      <c r="E1154" s="9">
        <f t="shared" si="301"/>
        <v>612.344965</v>
      </c>
      <c r="F1154" s="9">
        <f t="shared" si="306"/>
        <v>211.64984809999999</v>
      </c>
      <c r="I1154">
        <v>1</v>
      </c>
      <c r="J1154">
        <f t="shared" si="302"/>
        <v>0.40668097370756173</v>
      </c>
      <c r="K1154">
        <f t="shared" si="307"/>
        <v>0.33278380982048017</v>
      </c>
      <c r="O1154">
        <f t="shared" si="308"/>
        <v>0.37386125031117584</v>
      </c>
      <c r="P1154">
        <f t="shared" si="309"/>
        <v>0.12922075196427299</v>
      </c>
      <c r="Q1154">
        <f t="shared" si="310"/>
        <v>0.9184387637603022</v>
      </c>
      <c r="R1154">
        <f t="shared" si="300"/>
        <v>1</v>
      </c>
      <c r="AG1154" s="8">
        <f t="shared" si="303"/>
        <v>0.71682945472964321</v>
      </c>
      <c r="AH1154" s="8">
        <f t="shared" si="304"/>
        <v>0.11403380720392936</v>
      </c>
      <c r="AI1154" s="8">
        <f t="shared" si="305"/>
        <v>0.68786032277387488</v>
      </c>
      <c r="AJ1154" s="8"/>
      <c r="AK1154" s="8"/>
      <c r="AL1154" s="8"/>
      <c r="AN1154" s="8">
        <f t="shared" si="311"/>
        <v>0.99999999999999978</v>
      </c>
      <c r="AO1154" s="8">
        <f t="shared" si="312"/>
        <v>0.15775888358782184</v>
      </c>
      <c r="AP1154" s="8">
        <f t="shared" si="313"/>
        <v>0.8122592584031586</v>
      </c>
      <c r="AQ1154" s="8"/>
      <c r="AR1154" s="8">
        <f t="shared" si="314"/>
        <v>9.0389182102778616</v>
      </c>
      <c r="AS1154" s="8">
        <f t="shared" si="315"/>
        <v>43.460972623072863</v>
      </c>
    </row>
    <row r="1155" spans="1:45">
      <c r="A1155" s="19">
        <v>42.275566670000003</v>
      </c>
      <c r="B1155" s="19">
        <v>1572.7649839999999</v>
      </c>
      <c r="C1155" s="19">
        <v>-328.67802239999997</v>
      </c>
      <c r="E1155" s="9">
        <f t="shared" si="301"/>
        <v>612.76498399999991</v>
      </c>
      <c r="F1155" s="9">
        <f t="shared" si="306"/>
        <v>211.32197760000003</v>
      </c>
      <c r="I1155">
        <v>1</v>
      </c>
      <c r="J1155">
        <f t="shared" si="302"/>
        <v>0.40684505431633328</v>
      </c>
      <c r="K1155">
        <f t="shared" si="307"/>
        <v>0.33209404463989256</v>
      </c>
      <c r="O1155">
        <f t="shared" si="308"/>
        <v>0.37409275241865575</v>
      </c>
      <c r="P1155">
        <f t="shared" si="309"/>
        <v>0.12901197410284387</v>
      </c>
      <c r="Q1155">
        <f t="shared" si="310"/>
        <v>0.91837384714827408</v>
      </c>
      <c r="R1155">
        <f t="shared" si="300"/>
        <v>1</v>
      </c>
      <c r="AG1155" s="8">
        <f t="shared" si="303"/>
        <v>0.71698249789505808</v>
      </c>
      <c r="AH1155" s="8">
        <f t="shared" si="304"/>
        <v>0.11423559580209308</v>
      </c>
      <c r="AI1155" s="8">
        <f t="shared" si="305"/>
        <v>0.68766730790688602</v>
      </c>
      <c r="AJ1155" s="8"/>
      <c r="AK1155" s="8"/>
      <c r="AL1155" s="8"/>
      <c r="AN1155" s="8">
        <f t="shared" si="311"/>
        <v>1.0000000000000002</v>
      </c>
      <c r="AO1155" s="8">
        <f t="shared" si="312"/>
        <v>0.15800025080855284</v>
      </c>
      <c r="AP1155" s="8">
        <f t="shared" si="313"/>
        <v>0.81252514308351542</v>
      </c>
      <c r="AQ1155" s="8"/>
      <c r="AR1155" s="8">
        <f t="shared" si="314"/>
        <v>9.0527475333385503</v>
      </c>
      <c r="AS1155" s="8">
        <f t="shared" si="315"/>
        <v>43.445738553051235</v>
      </c>
    </row>
    <row r="1156" spans="1:45">
      <c r="A1156" s="19">
        <v>42.308933330000002</v>
      </c>
      <c r="B1156" s="19">
        <v>1573.4454490000001</v>
      </c>
      <c r="C1156" s="19">
        <v>-329.00202039999999</v>
      </c>
      <c r="E1156" s="9">
        <f t="shared" si="301"/>
        <v>613.44544900000005</v>
      </c>
      <c r="F1156" s="9">
        <f t="shared" si="306"/>
        <v>210.99797960000001</v>
      </c>
      <c r="I1156">
        <v>1</v>
      </c>
      <c r="J1156">
        <f t="shared" si="302"/>
        <v>0.40714929530116728</v>
      </c>
      <c r="K1156">
        <f t="shared" si="307"/>
        <v>0.33127991185872124</v>
      </c>
      <c r="O1156">
        <f t="shared" si="308"/>
        <v>0.37446185870449356</v>
      </c>
      <c r="P1156">
        <f t="shared" si="309"/>
        <v>0.12879824237461876</v>
      </c>
      <c r="Q1156">
        <f t="shared" si="310"/>
        <v>0.91825341226525525</v>
      </c>
      <c r="R1156">
        <f t="shared" si="300"/>
        <v>1</v>
      </c>
      <c r="AG1156" s="8">
        <f t="shared" si="303"/>
        <v>0.71714284183539367</v>
      </c>
      <c r="AH1156" s="8">
        <f t="shared" si="304"/>
        <v>0.11458220064052904</v>
      </c>
      <c r="AI1156" s="8">
        <f t="shared" si="305"/>
        <v>0.68744240755181019</v>
      </c>
      <c r="AJ1156" s="8"/>
      <c r="AK1156" s="8"/>
      <c r="AL1156" s="8"/>
      <c r="AN1156" s="8">
        <f t="shared" si="311"/>
        <v>1</v>
      </c>
      <c r="AO1156" s="8">
        <f t="shared" si="312"/>
        <v>0.15843682670801329</v>
      </c>
      <c r="AP1156" s="8">
        <f t="shared" si="313"/>
        <v>0.81283486669122429</v>
      </c>
      <c r="AQ1156" s="8"/>
      <c r="AR1156" s="8">
        <f t="shared" si="314"/>
        <v>9.0777614898147618</v>
      </c>
      <c r="AS1156" s="8">
        <f t="shared" si="315"/>
        <v>43.42799269751395</v>
      </c>
    </row>
    <row r="1157" spans="1:45">
      <c r="A1157" s="19">
        <v>42.342300000000002</v>
      </c>
      <c r="B1157" s="19">
        <v>1573.792021</v>
      </c>
      <c r="C1157" s="19">
        <v>-329.09752370000001</v>
      </c>
      <c r="E1157" s="9">
        <f t="shared" si="301"/>
        <v>613.79202099999998</v>
      </c>
      <c r="F1157" s="9">
        <f t="shared" si="306"/>
        <v>210.90247629999999</v>
      </c>
      <c r="I1157">
        <v>1</v>
      </c>
      <c r="J1157">
        <f t="shared" si="302"/>
        <v>0.407317085890752</v>
      </c>
      <c r="K1157">
        <f t="shared" si="307"/>
        <v>0.33096707737314035</v>
      </c>
      <c r="O1157">
        <f t="shared" si="308"/>
        <v>0.37464784008296187</v>
      </c>
      <c r="P1157">
        <f t="shared" si="309"/>
        <v>0.12873115731483753</v>
      </c>
      <c r="Q1157">
        <f t="shared" si="310"/>
        <v>0.91818695539500772</v>
      </c>
      <c r="R1157">
        <f t="shared" si="300"/>
        <v>1</v>
      </c>
      <c r="AG1157" s="8">
        <f t="shared" si="303"/>
        <v>0.71719511582608941</v>
      </c>
      <c r="AH1157" s="8">
        <f t="shared" si="304"/>
        <v>0.11476532267519302</v>
      </c>
      <c r="AI1157" s="8">
        <f t="shared" si="305"/>
        <v>0.6873573208648186</v>
      </c>
      <c r="AJ1157" s="8"/>
      <c r="AK1157" s="8"/>
      <c r="AL1157" s="8"/>
      <c r="AN1157" s="8">
        <f t="shared" si="311"/>
        <v>1.0000000000000002</v>
      </c>
      <c r="AO1157" s="8">
        <f t="shared" si="312"/>
        <v>0.15867443695074485</v>
      </c>
      <c r="AP1157" s="8">
        <f t="shared" si="313"/>
        <v>0.81295202093600638</v>
      </c>
      <c r="AQ1157" s="8"/>
      <c r="AR1157" s="8">
        <f t="shared" si="314"/>
        <v>9.0913755538923589</v>
      </c>
      <c r="AS1157" s="8">
        <f t="shared" si="315"/>
        <v>43.421280253735894</v>
      </c>
    </row>
    <row r="1158" spans="1:45">
      <c r="A1158" s="19">
        <v>42.375666670000001</v>
      </c>
      <c r="B1158" s="19">
        <v>1574.5082520000001</v>
      </c>
      <c r="C1158" s="19">
        <v>-329.34536300000002</v>
      </c>
      <c r="E1158" s="9">
        <f t="shared" si="301"/>
        <v>614.50825200000008</v>
      </c>
      <c r="F1158" s="9">
        <f t="shared" si="306"/>
        <v>210.65463699999998</v>
      </c>
      <c r="I1158">
        <v>1</v>
      </c>
      <c r="J1158">
        <f t="shared" si="302"/>
        <v>0.40765462989794987</v>
      </c>
      <c r="K1158">
        <f t="shared" si="307"/>
        <v>0.33024798111677367</v>
      </c>
      <c r="O1158">
        <f t="shared" si="308"/>
        <v>0.37503347252414931</v>
      </c>
      <c r="P1158">
        <f t="shared" si="309"/>
        <v>0.12856221175273028</v>
      </c>
      <c r="Q1158">
        <f t="shared" si="310"/>
        <v>0.91805318592972829</v>
      </c>
      <c r="R1158">
        <f t="shared" si="300"/>
        <v>1</v>
      </c>
      <c r="AG1158" s="8">
        <f t="shared" si="303"/>
        <v>0.7173243087510357</v>
      </c>
      <c r="AH1158" s="8">
        <f t="shared" si="304"/>
        <v>0.11513885585535816</v>
      </c>
      <c r="AI1158" s="8">
        <f t="shared" si="305"/>
        <v>0.68716001043946662</v>
      </c>
      <c r="AJ1158" s="8"/>
      <c r="AK1158" s="8"/>
      <c r="AL1158" s="8"/>
      <c r="AN1158" s="8">
        <f t="shared" si="311"/>
        <v>1</v>
      </c>
      <c r="AO1158" s="8">
        <f t="shared" si="312"/>
        <v>0.15915402964496247</v>
      </c>
      <c r="AP1158" s="8">
        <f t="shared" si="313"/>
        <v>0.81322364394857705</v>
      </c>
      <c r="AQ1158" s="8"/>
      <c r="AR1158" s="8">
        <f t="shared" si="314"/>
        <v>9.1188541911563377</v>
      </c>
      <c r="AS1158" s="8">
        <f t="shared" si="315"/>
        <v>43.405717401496965</v>
      </c>
    </row>
    <row r="1159" spans="1:45">
      <c r="A1159" s="19">
        <v>42.40903333</v>
      </c>
      <c r="B1159" s="19">
        <v>1575.2729039999999</v>
      </c>
      <c r="C1159" s="19">
        <v>-329.30387969999998</v>
      </c>
      <c r="E1159" s="9">
        <f t="shared" si="301"/>
        <v>615.27290399999993</v>
      </c>
      <c r="F1159" s="9">
        <f t="shared" si="306"/>
        <v>210.69612030000002</v>
      </c>
      <c r="I1159">
        <v>1</v>
      </c>
      <c r="J1159">
        <f t="shared" si="302"/>
        <v>0.40807110132429997</v>
      </c>
      <c r="K1159">
        <f t="shared" si="307"/>
        <v>0.32992704887235669</v>
      </c>
      <c r="O1159">
        <f t="shared" si="308"/>
        <v>0.37543640205957646</v>
      </c>
      <c r="P1159">
        <f t="shared" si="309"/>
        <v>0.12856570282728347</v>
      </c>
      <c r="Q1159">
        <f t="shared" si="310"/>
        <v>0.91788799320237691</v>
      </c>
      <c r="R1159">
        <f t="shared" si="300"/>
        <v>1</v>
      </c>
      <c r="AG1159" s="8">
        <f t="shared" si="303"/>
        <v>0.71733299895551339</v>
      </c>
      <c r="AH1159" s="8">
        <f t="shared" si="304"/>
        <v>0.11556668004600995</v>
      </c>
      <c r="AI1159" s="8">
        <f t="shared" si="305"/>
        <v>0.68707911558468482</v>
      </c>
      <c r="AJ1159" s="8"/>
      <c r="AK1159" s="8"/>
      <c r="AL1159" s="8"/>
      <c r="AN1159" s="8">
        <f t="shared" si="311"/>
        <v>1.0000000000000002</v>
      </c>
      <c r="AO1159" s="8">
        <f t="shared" si="312"/>
        <v>0.15973350951713264</v>
      </c>
      <c r="AP1159" s="8">
        <f t="shared" si="313"/>
        <v>0.81333498588371567</v>
      </c>
      <c r="AQ1159" s="8"/>
      <c r="AR1159" s="8">
        <f t="shared" si="314"/>
        <v>9.152055942144468</v>
      </c>
      <c r="AS1159" s="8">
        <f t="shared" si="315"/>
        <v>43.399337978530703</v>
      </c>
    </row>
    <row r="1160" spans="1:45">
      <c r="A1160" s="19">
        <v>42.442399999999999</v>
      </c>
      <c r="B1160" s="19">
        <v>1575.513379</v>
      </c>
      <c r="C1160" s="19">
        <v>-329.9650436</v>
      </c>
      <c r="E1160" s="9">
        <f t="shared" si="301"/>
        <v>615.51337899999999</v>
      </c>
      <c r="F1160" s="9">
        <f t="shared" si="306"/>
        <v>210.0349564</v>
      </c>
      <c r="I1160">
        <v>1</v>
      </c>
      <c r="J1160">
        <f t="shared" si="302"/>
        <v>0.40807883551226376</v>
      </c>
      <c r="K1160">
        <f t="shared" si="307"/>
        <v>0.32884547906569062</v>
      </c>
      <c r="O1160">
        <f t="shared" si="308"/>
        <v>0.37558195393001176</v>
      </c>
      <c r="P1160">
        <f t="shared" si="309"/>
        <v>0.12816185969260116</v>
      </c>
      <c r="Q1160">
        <f t="shared" si="310"/>
        <v>0.91788492394321874</v>
      </c>
      <c r="R1160">
        <f t="shared" si="300"/>
        <v>1</v>
      </c>
      <c r="AG1160" s="8">
        <f t="shared" si="303"/>
        <v>0.7176199127400279</v>
      </c>
      <c r="AH1160" s="8">
        <f t="shared" si="304"/>
        <v>0.11563692503154799</v>
      </c>
      <c r="AI1160" s="8">
        <f t="shared" si="305"/>
        <v>0.68676761892815152</v>
      </c>
      <c r="AJ1160" s="8"/>
      <c r="AK1160" s="8"/>
      <c r="AL1160" s="8"/>
      <c r="AN1160" s="8">
        <f t="shared" si="311"/>
        <v>0.99999999999999978</v>
      </c>
      <c r="AO1160" s="8">
        <f t="shared" si="312"/>
        <v>0.15976613627506958</v>
      </c>
      <c r="AP1160" s="8">
        <f t="shared" si="313"/>
        <v>0.81376361374533801</v>
      </c>
      <c r="AQ1160" s="8"/>
      <c r="AR1160" s="8">
        <f t="shared" si="314"/>
        <v>9.1539253176734494</v>
      </c>
      <c r="AS1160" s="8">
        <f t="shared" si="315"/>
        <v>43.374779411078023</v>
      </c>
    </row>
    <row r="1161" spans="1:45">
      <c r="A1161" s="19">
        <v>42.475766669999999</v>
      </c>
      <c r="B1161" s="19">
        <v>1575.8077639999999</v>
      </c>
      <c r="C1161" s="19">
        <v>-330.64100610000003</v>
      </c>
      <c r="E1161" s="9">
        <f t="shared" si="301"/>
        <v>615.80776399999991</v>
      </c>
      <c r="F1161" s="9">
        <f t="shared" si="306"/>
        <v>209.35899389999997</v>
      </c>
      <c r="I1161">
        <v>1</v>
      </c>
      <c r="J1161">
        <f t="shared" si="302"/>
        <v>0.4081131513898677</v>
      </c>
      <c r="K1161">
        <f t="shared" si="307"/>
        <v>0.32771573226556566</v>
      </c>
      <c r="O1161">
        <f t="shared" si="308"/>
        <v>0.37575632615015209</v>
      </c>
      <c r="P1161">
        <f t="shared" si="309"/>
        <v>0.12774760403046184</v>
      </c>
      <c r="Q1161">
        <f t="shared" si="310"/>
        <v>0.917871305261591</v>
      </c>
      <c r="R1161">
        <f t="shared" si="300"/>
        <v>1</v>
      </c>
      <c r="AG1161" s="8">
        <f t="shared" si="303"/>
        <v>0.71791475346657019</v>
      </c>
      <c r="AH1161" s="8">
        <f t="shared" si="304"/>
        <v>0.11573561568492813</v>
      </c>
      <c r="AI1161" s="8">
        <f t="shared" si="305"/>
        <v>0.68644276820217454</v>
      </c>
      <c r="AJ1161" s="8"/>
      <c r="AK1161" s="8"/>
      <c r="AL1161" s="8"/>
      <c r="AN1161" s="8">
        <f t="shared" si="311"/>
        <v>1</v>
      </c>
      <c r="AO1161" s="8">
        <f t="shared" si="312"/>
        <v>0.15983562125972636</v>
      </c>
      <c r="AP1161" s="8">
        <f t="shared" si="313"/>
        <v>0.81421043234253299</v>
      </c>
      <c r="AQ1161" s="8"/>
      <c r="AR1161" s="8">
        <f t="shared" si="314"/>
        <v>9.1579065140338152</v>
      </c>
      <c r="AS1161" s="8">
        <f t="shared" si="315"/>
        <v>43.349178591250798</v>
      </c>
    </row>
    <row r="1162" spans="1:45">
      <c r="A1162" s="19">
        <v>42.509133329999997</v>
      </c>
      <c r="B1162" s="19">
        <v>1576.0634500000001</v>
      </c>
      <c r="C1162" s="19">
        <v>-329.92956120000002</v>
      </c>
      <c r="E1162" s="9">
        <f t="shared" si="301"/>
        <v>616.0634500000001</v>
      </c>
      <c r="F1162" s="9">
        <f t="shared" si="306"/>
        <v>210.07043879999998</v>
      </c>
      <c r="I1162">
        <v>1</v>
      </c>
      <c r="J1162">
        <f t="shared" si="302"/>
        <v>0.40837948555088177</v>
      </c>
      <c r="K1162">
        <f t="shared" si="307"/>
        <v>0.32862414576321353</v>
      </c>
      <c r="O1162">
        <f t="shared" si="308"/>
        <v>0.37587148889243233</v>
      </c>
      <c r="P1162">
        <f t="shared" si="309"/>
        <v>0.12816778629545797</v>
      </c>
      <c r="Q1162">
        <f t="shared" si="310"/>
        <v>0.9177655704993013</v>
      </c>
      <c r="R1162">
        <f t="shared" si="300"/>
        <v>1</v>
      </c>
      <c r="AG1162" s="8">
        <f t="shared" si="303"/>
        <v>0.71762363675086505</v>
      </c>
      <c r="AH1162" s="8">
        <f t="shared" si="304"/>
        <v>0.11594510889594034</v>
      </c>
      <c r="AI1162" s="8">
        <f t="shared" si="305"/>
        <v>0.68671176464334072</v>
      </c>
      <c r="AJ1162" s="8"/>
      <c r="AK1162" s="8"/>
      <c r="AL1162" s="8"/>
      <c r="AN1162" s="8">
        <f t="shared" si="311"/>
        <v>1</v>
      </c>
      <c r="AO1162" s="8">
        <f t="shared" si="312"/>
        <v>0.16018387476114529</v>
      </c>
      <c r="AP1162" s="8">
        <f t="shared" si="313"/>
        <v>0.81384045240450453</v>
      </c>
      <c r="AQ1162" s="8"/>
      <c r="AR1162" s="8">
        <f t="shared" si="314"/>
        <v>9.1778599698657732</v>
      </c>
      <c r="AS1162" s="8">
        <f t="shared" si="315"/>
        <v>43.37037688020434</v>
      </c>
    </row>
    <row r="1163" spans="1:45">
      <c r="A1163" s="19">
        <v>42.542499999999997</v>
      </c>
      <c r="B1163" s="19">
        <v>1576.8020289999999</v>
      </c>
      <c r="C1163" s="19">
        <v>-330.18685599999998</v>
      </c>
      <c r="E1163" s="9">
        <f t="shared" si="301"/>
        <v>616.80202899999995</v>
      </c>
      <c r="F1163" s="9">
        <f t="shared" si="306"/>
        <v>209.81314400000002</v>
      </c>
      <c r="I1163">
        <v>1</v>
      </c>
      <c r="J1163">
        <f t="shared" si="302"/>
        <v>0.40872757504687068</v>
      </c>
      <c r="K1163">
        <f t="shared" si="307"/>
        <v>0.32788448631750083</v>
      </c>
      <c r="O1163">
        <f t="shared" si="308"/>
        <v>0.37626860911356619</v>
      </c>
      <c r="P1163">
        <f t="shared" si="309"/>
        <v>0.12799260727889791</v>
      </c>
      <c r="Q1163">
        <f t="shared" si="310"/>
        <v>0.91762728069608535</v>
      </c>
      <c r="R1163">
        <f t="shared" si="300"/>
        <v>1</v>
      </c>
      <c r="AG1163" s="8">
        <f t="shared" si="303"/>
        <v>0.71775700482616389</v>
      </c>
      <c r="AH1163" s="8">
        <f t="shared" si="304"/>
        <v>0.11632971913548207</v>
      </c>
      <c r="AI1163" s="8">
        <f t="shared" si="305"/>
        <v>0.68650730401710502</v>
      </c>
      <c r="AJ1163" s="8"/>
      <c r="AK1163" s="8"/>
      <c r="AL1163" s="8"/>
      <c r="AN1163" s="8">
        <f t="shared" si="311"/>
        <v>0.99999999999999978</v>
      </c>
      <c r="AO1163" s="8">
        <f t="shared" si="312"/>
        <v>0.16067679595464571</v>
      </c>
      <c r="AP1163" s="8">
        <f t="shared" si="313"/>
        <v>0.81412168103147275</v>
      </c>
      <c r="AQ1163" s="8"/>
      <c r="AR1163" s="8">
        <f t="shared" si="314"/>
        <v>9.2061022738858984</v>
      </c>
      <c r="AS1163" s="8">
        <f t="shared" si="315"/>
        <v>43.354263666800804</v>
      </c>
    </row>
    <row r="1164" spans="1:45">
      <c r="A1164" s="19">
        <v>42.575866670000003</v>
      </c>
      <c r="B1164" s="19">
        <v>1577.68658</v>
      </c>
      <c r="C1164" s="19">
        <v>-330.77458689999997</v>
      </c>
      <c r="E1164" s="9">
        <f t="shared" si="301"/>
        <v>617.68658000000005</v>
      </c>
      <c r="F1164" s="9">
        <f t="shared" si="306"/>
        <v>209.22541310000003</v>
      </c>
      <c r="I1164">
        <v>1</v>
      </c>
      <c r="J1164">
        <f t="shared" si="302"/>
        <v>0.40909391491698793</v>
      </c>
      <c r="K1164">
        <f t="shared" si="307"/>
        <v>0.3265944922746275</v>
      </c>
      <c r="O1164">
        <f t="shared" si="308"/>
        <v>0.37675177441895596</v>
      </c>
      <c r="P1164">
        <f t="shared" si="309"/>
        <v>0.12761495585506177</v>
      </c>
      <c r="Q1164">
        <f t="shared" si="310"/>
        <v>0.9174816202596533</v>
      </c>
      <c r="R1164">
        <f t="shared" si="300"/>
        <v>1</v>
      </c>
      <c r="AG1164" s="8">
        <f t="shared" si="303"/>
        <v>0.71803422461795752</v>
      </c>
      <c r="AH1164" s="8">
        <f t="shared" si="304"/>
        <v>0.11676354105355558</v>
      </c>
      <c r="AI1164" s="8">
        <f t="shared" si="305"/>
        <v>0.68614366408057947</v>
      </c>
      <c r="AJ1164" s="8"/>
      <c r="AK1164" s="8"/>
      <c r="AL1164" s="8"/>
      <c r="AN1164" s="8">
        <f t="shared" si="311"/>
        <v>1</v>
      </c>
      <c r="AO1164" s="8">
        <f t="shared" si="312"/>
        <v>0.16120449425031841</v>
      </c>
      <c r="AP1164" s="8">
        <f t="shared" si="313"/>
        <v>0.8146216709758618</v>
      </c>
      <c r="AQ1164" s="8"/>
      <c r="AR1164" s="8">
        <f t="shared" si="314"/>
        <v>9.2363371590841901</v>
      </c>
      <c r="AS1164" s="8">
        <f t="shared" si="315"/>
        <v>43.32561635318833</v>
      </c>
    </row>
    <row r="1165" spans="1:45">
      <c r="A1165" s="19">
        <v>42.609233330000002</v>
      </c>
      <c r="B1165" s="19">
        <v>1578.284983</v>
      </c>
      <c r="C1165" s="19">
        <v>-331.02641299999999</v>
      </c>
      <c r="E1165" s="9">
        <f t="shared" si="301"/>
        <v>618.28498300000001</v>
      </c>
      <c r="F1165" s="9">
        <f t="shared" si="306"/>
        <v>208.97358700000001</v>
      </c>
      <c r="I1165">
        <v>1</v>
      </c>
      <c r="J1165">
        <f t="shared" si="302"/>
        <v>0.40936837017267613</v>
      </c>
      <c r="K1165">
        <f t="shared" si="307"/>
        <v>0.32593487855403613</v>
      </c>
      <c r="O1165">
        <f t="shared" si="308"/>
        <v>0.37707440526483371</v>
      </c>
      <c r="P1165">
        <f t="shared" si="309"/>
        <v>0.12744704012014468</v>
      </c>
      <c r="Q1165">
        <f t="shared" si="310"/>
        <v>0.91737241339533759</v>
      </c>
      <c r="R1165">
        <f t="shared" si="300"/>
        <v>1</v>
      </c>
      <c r="AG1165" s="8">
        <f t="shared" si="303"/>
        <v>0.7181601892429762</v>
      </c>
      <c r="AH1165" s="8">
        <f t="shared" si="304"/>
        <v>0.11707080504234868</v>
      </c>
      <c r="AI1165" s="8">
        <f t="shared" si="305"/>
        <v>0.68595945156636551</v>
      </c>
      <c r="AJ1165" s="8"/>
      <c r="AK1165" s="8"/>
      <c r="AL1165" s="8"/>
      <c r="AN1165" s="8">
        <f t="shared" si="311"/>
        <v>1</v>
      </c>
      <c r="AO1165" s="8">
        <f t="shared" si="312"/>
        <v>0.16159350815554907</v>
      </c>
      <c r="AP1165" s="8">
        <f t="shared" si="313"/>
        <v>0.81487486563628708</v>
      </c>
      <c r="AQ1165" s="8"/>
      <c r="AR1165" s="8">
        <f t="shared" si="314"/>
        <v>9.2586260140258094</v>
      </c>
      <c r="AS1165" s="8">
        <f t="shared" si="315"/>
        <v>43.31110936775071</v>
      </c>
    </row>
    <row r="1166" spans="1:45">
      <c r="A1166" s="19">
        <v>42.642600000000002</v>
      </c>
      <c r="B1166" s="19">
        <v>1578.6892660000001</v>
      </c>
      <c r="C1166" s="19">
        <v>-331.22249199999999</v>
      </c>
      <c r="E1166" s="9">
        <f t="shared" si="301"/>
        <v>618.68926600000009</v>
      </c>
      <c r="F1166" s="9">
        <f t="shared" si="306"/>
        <v>208.77750800000001</v>
      </c>
      <c r="I1166">
        <v>1</v>
      </c>
      <c r="J1166">
        <f t="shared" si="302"/>
        <v>0.40954916526850532</v>
      </c>
      <c r="K1166">
        <f t="shared" si="307"/>
        <v>0.32545215038009351</v>
      </c>
      <c r="O1166">
        <f t="shared" si="308"/>
        <v>0.37729302744858068</v>
      </c>
      <c r="P1166">
        <f t="shared" si="309"/>
        <v>0.12731802923584301</v>
      </c>
      <c r="Q1166">
        <f t="shared" si="310"/>
        <v>0.91730043653657201</v>
      </c>
      <c r="R1166">
        <f t="shared" si="300"/>
        <v>1</v>
      </c>
      <c r="AG1166" s="8">
        <f t="shared" si="303"/>
        <v>0.71825613682089295</v>
      </c>
      <c r="AH1166" s="8">
        <f t="shared" si="304"/>
        <v>0.11727587492999914</v>
      </c>
      <c r="AI1166" s="8">
        <f t="shared" si="305"/>
        <v>0.68582395049934641</v>
      </c>
      <c r="AJ1166" s="8"/>
      <c r="AK1166" s="8"/>
      <c r="AL1166" s="8"/>
      <c r="AN1166" s="8">
        <f t="shared" si="311"/>
        <v>1</v>
      </c>
      <c r="AO1166" s="8">
        <f t="shared" si="312"/>
        <v>0.16185040497839132</v>
      </c>
      <c r="AP1166" s="8">
        <f t="shared" si="313"/>
        <v>0.81506106928015953</v>
      </c>
      <c r="AQ1166" s="8"/>
      <c r="AR1166" s="8">
        <f t="shared" si="314"/>
        <v>9.2733451177449897</v>
      </c>
      <c r="AS1166" s="8">
        <f t="shared" si="315"/>
        <v>43.30044068482686</v>
      </c>
    </row>
    <row r="1167" spans="1:45">
      <c r="A1167" s="19">
        <v>42.675966670000001</v>
      </c>
      <c r="B1167" s="19">
        <v>1579.3145059999999</v>
      </c>
      <c r="C1167" s="19">
        <v>-331.88138190000001</v>
      </c>
      <c r="E1167" s="9">
        <f t="shared" si="301"/>
        <v>619.31450599999994</v>
      </c>
      <c r="F1167" s="9">
        <f t="shared" si="306"/>
        <v>208.11861809999999</v>
      </c>
      <c r="I1167">
        <v>1</v>
      </c>
      <c r="J1167">
        <f t="shared" si="302"/>
        <v>0.40976490806471749</v>
      </c>
      <c r="K1167">
        <f t="shared" si="307"/>
        <v>0.3241906253928642</v>
      </c>
      <c r="O1167">
        <f t="shared" si="308"/>
        <v>0.37764092534865079</v>
      </c>
      <c r="P1167">
        <f t="shared" si="309"/>
        <v>0.12690500022224002</v>
      </c>
      <c r="Q1167">
        <f t="shared" si="310"/>
        <v>0.91721450731026277</v>
      </c>
      <c r="R1167">
        <f t="shared" si="300"/>
        <v>1</v>
      </c>
      <c r="AG1167" s="8">
        <f t="shared" si="303"/>
        <v>0.71855403063885159</v>
      </c>
      <c r="AH1167" s="8">
        <f t="shared" si="304"/>
        <v>0.11755909742060361</v>
      </c>
      <c r="AI1167" s="8">
        <f t="shared" si="305"/>
        <v>0.68546332043831015</v>
      </c>
      <c r="AJ1167" s="8"/>
      <c r="AK1167" s="8"/>
      <c r="AL1167" s="8"/>
      <c r="AN1167" s="8">
        <f t="shared" si="311"/>
        <v>1</v>
      </c>
      <c r="AO1167" s="8">
        <f t="shared" si="312"/>
        <v>0.16216837601651773</v>
      </c>
      <c r="AP1167" s="8">
        <f t="shared" si="313"/>
        <v>0.81555648288665294</v>
      </c>
      <c r="AQ1167" s="8"/>
      <c r="AR1167" s="8">
        <f t="shared" si="314"/>
        <v>9.2915635162370283</v>
      </c>
      <c r="AS1167" s="8">
        <f t="shared" si="315"/>
        <v>43.272055576061433</v>
      </c>
    </row>
    <row r="1168" spans="1:45">
      <c r="A1168" s="19">
        <v>42.70933333</v>
      </c>
      <c r="B1168" s="19">
        <v>1579.5082649999999</v>
      </c>
      <c r="C1168" s="19">
        <v>-332.0879281</v>
      </c>
      <c r="E1168" s="9">
        <f t="shared" si="301"/>
        <v>619.50826499999994</v>
      </c>
      <c r="F1168" s="9">
        <f t="shared" si="306"/>
        <v>207.9120719</v>
      </c>
      <c r="I1168">
        <v>1</v>
      </c>
      <c r="J1168">
        <f t="shared" si="302"/>
        <v>0.40983145320336789</v>
      </c>
      <c r="K1168">
        <f t="shared" si="307"/>
        <v>0.32379656164134224</v>
      </c>
      <c r="O1168">
        <f t="shared" si="308"/>
        <v>0.37774876823027465</v>
      </c>
      <c r="P1168">
        <f t="shared" si="309"/>
        <v>0.12677559525445448</v>
      </c>
      <c r="Q1168">
        <f t="shared" si="310"/>
        <v>0.91718799411483198</v>
      </c>
      <c r="R1168">
        <f t="shared" si="300"/>
        <v>1</v>
      </c>
      <c r="AG1168" s="8">
        <f t="shared" si="303"/>
        <v>0.71864728450856785</v>
      </c>
      <c r="AH1168" s="8">
        <f t="shared" si="304"/>
        <v>0.11764662571099588</v>
      </c>
      <c r="AI1168" s="8">
        <f t="shared" si="305"/>
        <v>0.68535053215655894</v>
      </c>
      <c r="AJ1168" s="8"/>
      <c r="AK1168" s="8"/>
      <c r="AL1168" s="8"/>
      <c r="AN1168" s="8">
        <f t="shared" si="311"/>
        <v>1.0000000000000002</v>
      </c>
      <c r="AO1168" s="8">
        <f t="shared" si="312"/>
        <v>0.16226631880639458</v>
      </c>
      <c r="AP1168" s="8">
        <f t="shared" si="313"/>
        <v>0.8157113777502778</v>
      </c>
      <c r="AQ1168" s="8"/>
      <c r="AR1168" s="8">
        <f t="shared" si="314"/>
        <v>9.297175224730708</v>
      </c>
      <c r="AS1168" s="8">
        <f t="shared" si="315"/>
        <v>43.263180754107481</v>
      </c>
    </row>
    <row r="1169" spans="1:45">
      <c r="A1169" s="19">
        <v>42.742699999999999</v>
      </c>
      <c r="B1169" s="19">
        <v>1580.8316010000001</v>
      </c>
      <c r="C1169" s="19">
        <v>-332.58835759999999</v>
      </c>
      <c r="E1169" s="9">
        <f t="shared" si="301"/>
        <v>620.83160100000009</v>
      </c>
      <c r="F1169" s="9">
        <f t="shared" si="306"/>
        <v>207.41164240000001</v>
      </c>
      <c r="I1169">
        <v>1</v>
      </c>
      <c r="J1169">
        <f t="shared" si="302"/>
        <v>0.41044973524465866</v>
      </c>
      <c r="K1169">
        <f t="shared" si="307"/>
        <v>0.32242852029607272</v>
      </c>
      <c r="O1169">
        <f t="shared" si="308"/>
        <v>0.37845963512230335</v>
      </c>
      <c r="P1169">
        <f t="shared" si="309"/>
        <v>0.12643836811203438</v>
      </c>
      <c r="Q1169">
        <f t="shared" si="310"/>
        <v>0.91694146140975585</v>
      </c>
      <c r="R1169">
        <f t="shared" si="300"/>
        <v>1</v>
      </c>
      <c r="AG1169" s="8">
        <f t="shared" si="303"/>
        <v>0.71890090949945451</v>
      </c>
      <c r="AH1169" s="8">
        <f t="shared" si="304"/>
        <v>0.11833082827424773</v>
      </c>
      <c r="AI1169" s="8">
        <f t="shared" si="305"/>
        <v>0.68496663962618487</v>
      </c>
      <c r="AJ1169" s="8"/>
      <c r="AK1169" s="8"/>
      <c r="AL1169" s="8"/>
      <c r="AN1169" s="8">
        <f t="shared" si="311"/>
        <v>1.0000000000000002</v>
      </c>
      <c r="AO1169" s="8">
        <f t="shared" si="312"/>
        <v>0.16313684113850355</v>
      </c>
      <c r="AP1169" s="8">
        <f t="shared" si="313"/>
        <v>0.81623841749160209</v>
      </c>
      <c r="AQ1169" s="8"/>
      <c r="AR1169" s="8">
        <f t="shared" si="314"/>
        <v>9.3470524803324366</v>
      </c>
      <c r="AS1169" s="8">
        <f t="shared" si="315"/>
        <v>43.232983601293931</v>
      </c>
    </row>
    <row r="1170" spans="1:45">
      <c r="A1170" s="19">
        <v>42.776066669999999</v>
      </c>
      <c r="B1170" s="19">
        <v>1580.5509360000001</v>
      </c>
      <c r="C1170" s="19">
        <v>-332.8690229</v>
      </c>
      <c r="E1170" s="9">
        <f t="shared" si="301"/>
        <v>620.55093600000009</v>
      </c>
      <c r="F1170" s="9">
        <f t="shared" si="306"/>
        <v>207.1309771</v>
      </c>
      <c r="I1170">
        <v>1</v>
      </c>
      <c r="J1170">
        <f t="shared" si="302"/>
        <v>0.41024943503520739</v>
      </c>
      <c r="K1170">
        <f t="shared" si="307"/>
        <v>0.32215755451892286</v>
      </c>
      <c r="O1170">
        <f t="shared" si="308"/>
        <v>0.37831965920193106</v>
      </c>
      <c r="P1170">
        <f t="shared" si="309"/>
        <v>0.12627766089879039</v>
      </c>
      <c r="Q1170">
        <f t="shared" si="310"/>
        <v>0.91702136715523963</v>
      </c>
      <c r="R1170">
        <f t="shared" si="300"/>
        <v>1</v>
      </c>
      <c r="AG1170" s="8">
        <f t="shared" si="303"/>
        <v>0.71900978641967761</v>
      </c>
      <c r="AH1170" s="8">
        <f t="shared" si="304"/>
        <v>0.11814894817434307</v>
      </c>
      <c r="AI1170" s="8">
        <f t="shared" si="305"/>
        <v>0.68488375150679826</v>
      </c>
      <c r="AJ1170" s="8"/>
      <c r="AK1170" s="8"/>
      <c r="AL1170" s="8"/>
      <c r="AN1170" s="8">
        <f t="shared" si="311"/>
        <v>0.99999999999999978</v>
      </c>
      <c r="AO1170" s="8">
        <f t="shared" si="312"/>
        <v>0.16286627537748707</v>
      </c>
      <c r="AP1170" s="8">
        <f t="shared" si="313"/>
        <v>0.81635217894636591</v>
      </c>
      <c r="AQ1170" s="8"/>
      <c r="AR1170" s="8">
        <f t="shared" si="314"/>
        <v>9.3315502041454472</v>
      </c>
      <c r="AS1170" s="8">
        <f t="shared" si="315"/>
        <v>43.226465550064695</v>
      </c>
    </row>
    <row r="1171" spans="1:45">
      <c r="A1171" s="19">
        <v>42.809433329999997</v>
      </c>
      <c r="B1171" s="19">
        <v>1581.4156969999999</v>
      </c>
      <c r="C1171" s="19">
        <v>-333.69968369999998</v>
      </c>
      <c r="E1171" s="9">
        <f t="shared" si="301"/>
        <v>621.41569699999991</v>
      </c>
      <c r="F1171" s="9">
        <f t="shared" si="306"/>
        <v>206.30031630000002</v>
      </c>
      <c r="I1171">
        <v>1</v>
      </c>
      <c r="J1171">
        <f t="shared" si="302"/>
        <v>0.41056423420152688</v>
      </c>
      <c r="K1171">
        <f t="shared" si="307"/>
        <v>0.32053602202001497</v>
      </c>
      <c r="O1171">
        <f t="shared" si="308"/>
        <v>0.37879788056402403</v>
      </c>
      <c r="P1171">
        <f t="shared" si="309"/>
        <v>0.12575498647908762</v>
      </c>
      <c r="Q1171">
        <f t="shared" si="310"/>
        <v>0.91689576782524629</v>
      </c>
      <c r="R1171">
        <f t="shared" si="300"/>
        <v>1</v>
      </c>
      <c r="AG1171" s="8">
        <f t="shared" si="303"/>
        <v>0.71938683103622403</v>
      </c>
      <c r="AH1171" s="8">
        <f t="shared" si="304"/>
        <v>0.11854798221890284</v>
      </c>
      <c r="AI1171" s="8">
        <f t="shared" si="305"/>
        <v>0.6844187046271355</v>
      </c>
      <c r="AJ1171" s="8"/>
      <c r="AK1171" s="8"/>
      <c r="AL1171" s="8"/>
      <c r="AN1171" s="8">
        <f t="shared" si="311"/>
        <v>1.0000000000000002</v>
      </c>
      <c r="AO1171" s="8">
        <f t="shared" si="312"/>
        <v>0.16332248395160132</v>
      </c>
      <c r="AP1171" s="8">
        <f t="shared" si="313"/>
        <v>0.81699021642202763</v>
      </c>
      <c r="AQ1171" s="8"/>
      <c r="AR1171" s="8">
        <f t="shared" si="314"/>
        <v>9.3576890300198752</v>
      </c>
      <c r="AS1171" s="8">
        <f t="shared" si="315"/>
        <v>43.189908695538094</v>
      </c>
    </row>
    <row r="1172" spans="1:45">
      <c r="A1172" s="19">
        <v>42.842799999999997</v>
      </c>
      <c r="B1172" s="19">
        <v>1581.8465719999999</v>
      </c>
      <c r="C1172" s="19">
        <v>-334.11831899999999</v>
      </c>
      <c r="E1172" s="9">
        <f t="shared" si="301"/>
        <v>621.84657199999992</v>
      </c>
      <c r="F1172" s="9">
        <f t="shared" si="306"/>
        <v>205.88168100000001</v>
      </c>
      <c r="I1172">
        <v>1</v>
      </c>
      <c r="J1172">
        <f t="shared" si="302"/>
        <v>0.41072057431744163</v>
      </c>
      <c r="K1172">
        <f t="shared" si="307"/>
        <v>0.31972222580825216</v>
      </c>
      <c r="O1172">
        <f t="shared" si="308"/>
        <v>0.37903617255141447</v>
      </c>
      <c r="P1172">
        <f t="shared" si="309"/>
        <v>0.12549173361800131</v>
      </c>
      <c r="Q1172">
        <f t="shared" si="310"/>
        <v>0.91683335709992742</v>
      </c>
      <c r="R1172">
        <f t="shared" si="300"/>
        <v>1</v>
      </c>
      <c r="AG1172" s="8">
        <f t="shared" si="303"/>
        <v>0.71957651650147159</v>
      </c>
      <c r="AH1172" s="8">
        <f t="shared" si="304"/>
        <v>0.11874629336354031</v>
      </c>
      <c r="AI1172" s="8">
        <f t="shared" si="305"/>
        <v>0.68418488342846895</v>
      </c>
      <c r="AJ1172" s="8"/>
      <c r="AK1172" s="8"/>
      <c r="AL1172" s="8"/>
      <c r="AN1172" s="8">
        <f t="shared" si="311"/>
        <v>1.0000000000000002</v>
      </c>
      <c r="AO1172" s="8">
        <f t="shared" si="312"/>
        <v>0.16354849220376477</v>
      </c>
      <c r="AP1172" s="8">
        <f t="shared" si="313"/>
        <v>0.81731087131900138</v>
      </c>
      <c r="AQ1172" s="8"/>
      <c r="AR1172" s="8">
        <f t="shared" si="314"/>
        <v>9.3706383490039702</v>
      </c>
      <c r="AS1172" s="8">
        <f t="shared" si="315"/>
        <v>43.171536523261295</v>
      </c>
    </row>
    <row r="1173" spans="1:45">
      <c r="A1173" s="19">
        <v>42.876166670000003</v>
      </c>
      <c r="B1173" s="19">
        <v>1582.590606</v>
      </c>
      <c r="C1173" s="19">
        <v>-334.11132780000003</v>
      </c>
      <c r="E1173" s="9">
        <f t="shared" si="301"/>
        <v>622.59060599999998</v>
      </c>
      <c r="F1173" s="9">
        <f t="shared" si="306"/>
        <v>205.88867219999997</v>
      </c>
      <c r="I1173">
        <v>1</v>
      </c>
      <c r="J1173">
        <f t="shared" si="302"/>
        <v>0.41112004535032837</v>
      </c>
      <c r="K1173">
        <f t="shared" si="307"/>
        <v>0.31937572970119049</v>
      </c>
      <c r="O1173">
        <f t="shared" si="308"/>
        <v>0.37942732971576537</v>
      </c>
      <c r="P1173">
        <f t="shared" si="309"/>
        <v>0.12547537395957836</v>
      </c>
      <c r="Q1173">
        <f t="shared" si="310"/>
        <v>0.91667378712084258</v>
      </c>
      <c r="R1173">
        <f t="shared" si="300"/>
        <v>1</v>
      </c>
      <c r="AG1173" s="8">
        <f t="shared" si="303"/>
        <v>0.71959735040817929</v>
      </c>
      <c r="AH1173" s="8">
        <f t="shared" si="304"/>
        <v>0.11915806536741913</v>
      </c>
      <c r="AI1173" s="8">
        <f t="shared" si="305"/>
        <v>0.68409137455709956</v>
      </c>
      <c r="AJ1173" s="8"/>
      <c r="AK1173" s="8"/>
      <c r="AL1173" s="8"/>
      <c r="AN1173" s="8">
        <f t="shared" si="311"/>
        <v>1</v>
      </c>
      <c r="AO1173" s="8">
        <f t="shared" si="312"/>
        <v>0.16410084629747382</v>
      </c>
      <c r="AP1173" s="8">
        <f t="shared" si="313"/>
        <v>0.8174390793883386</v>
      </c>
      <c r="AQ1173" s="8"/>
      <c r="AR1173" s="8">
        <f t="shared" si="314"/>
        <v>9.4022859073702723</v>
      </c>
      <c r="AS1173" s="8">
        <f t="shared" si="315"/>
        <v>43.164190741988754</v>
      </c>
    </row>
    <row r="1174" spans="1:45">
      <c r="A1174" s="19">
        <v>42.909533330000002</v>
      </c>
      <c r="B1174" s="19">
        <v>1583.1288669999999</v>
      </c>
      <c r="C1174" s="19">
        <v>-334.13659460000002</v>
      </c>
      <c r="E1174" s="9">
        <f t="shared" si="301"/>
        <v>623.1288669999999</v>
      </c>
      <c r="F1174" s="9">
        <f t="shared" si="306"/>
        <v>205.86340539999998</v>
      </c>
      <c r="I1174">
        <v>1</v>
      </c>
      <c r="J1174">
        <f t="shared" si="302"/>
        <v>0.41140361928190572</v>
      </c>
      <c r="K1174">
        <f t="shared" si="307"/>
        <v>0.31908165299572877</v>
      </c>
      <c r="O1174">
        <f t="shared" si="308"/>
        <v>0.37971102122304834</v>
      </c>
      <c r="P1174">
        <f t="shared" si="309"/>
        <v>0.12544532605787367</v>
      </c>
      <c r="Q1174">
        <f t="shared" si="310"/>
        <v>0.91656042383030234</v>
      </c>
      <c r="R1174">
        <f t="shared" si="300"/>
        <v>1</v>
      </c>
      <c r="AG1174" s="8">
        <f t="shared" si="303"/>
        <v>0.71962507030391432</v>
      </c>
      <c r="AH1174" s="8">
        <f t="shared" si="304"/>
        <v>0.11945297363615681</v>
      </c>
      <c r="AI1174" s="8">
        <f t="shared" si="305"/>
        <v>0.68401077862820703</v>
      </c>
      <c r="AJ1174" s="8"/>
      <c r="AK1174" s="8"/>
      <c r="AL1174" s="8"/>
      <c r="AN1174" s="8">
        <f t="shared" si="311"/>
        <v>1</v>
      </c>
      <c r="AO1174" s="8">
        <f t="shared" si="312"/>
        <v>0.16449348363334912</v>
      </c>
      <c r="AP1174" s="8">
        <f t="shared" si="313"/>
        <v>0.81754957042193632</v>
      </c>
      <c r="AQ1174" s="8"/>
      <c r="AR1174" s="8">
        <f t="shared" si="314"/>
        <v>9.4247823695951869</v>
      </c>
      <c r="AS1174" s="8">
        <f t="shared" si="315"/>
        <v>43.157860072089569</v>
      </c>
    </row>
    <row r="1175" spans="1:45">
      <c r="A1175" s="19">
        <v>42.942900000000002</v>
      </c>
      <c r="B1175" s="19">
        <v>1583.6513010000001</v>
      </c>
      <c r="C1175" s="19">
        <v>-334.73835389999999</v>
      </c>
      <c r="E1175" s="9">
        <f t="shared" si="301"/>
        <v>623.6513010000001</v>
      </c>
      <c r="F1175" s="9">
        <f t="shared" si="306"/>
        <v>205.26164610000001</v>
      </c>
      <c r="I1175">
        <v>1</v>
      </c>
      <c r="J1175">
        <f t="shared" si="302"/>
        <v>0.41157701262755142</v>
      </c>
      <c r="K1175">
        <f t="shared" si="307"/>
        <v>0.31796177386121038</v>
      </c>
      <c r="O1175">
        <f t="shared" si="308"/>
        <v>0.38000222025839869</v>
      </c>
      <c r="P1175">
        <f t="shared" si="309"/>
        <v>0.1250697002103964</v>
      </c>
      <c r="Q1175">
        <f t="shared" si="310"/>
        <v>0.91649107070825786</v>
      </c>
      <c r="R1175">
        <f t="shared" si="300"/>
        <v>1</v>
      </c>
      <c r="AG1175" s="8">
        <f t="shared" si="303"/>
        <v>0.71989419072667848</v>
      </c>
      <c r="AH1175" s="8">
        <f t="shared" si="304"/>
        <v>0.11968426980634078</v>
      </c>
      <c r="AI1175" s="8">
        <f t="shared" si="305"/>
        <v>0.68368708465123385</v>
      </c>
      <c r="AJ1175" s="8"/>
      <c r="AK1175" s="8"/>
      <c r="AL1175" s="8"/>
      <c r="AN1175" s="8">
        <f t="shared" si="311"/>
        <v>0.99999999999999967</v>
      </c>
      <c r="AO1175" s="8">
        <f t="shared" si="312"/>
        <v>0.16474575966693547</v>
      </c>
      <c r="AP1175" s="8">
        <f t="shared" si="313"/>
        <v>0.81799321557561944</v>
      </c>
      <c r="AQ1175" s="8"/>
      <c r="AR1175" s="8">
        <f t="shared" si="314"/>
        <v>9.4392367215919855</v>
      </c>
      <c r="AS1175" s="8">
        <f t="shared" si="315"/>
        <v>43.132441077182094</v>
      </c>
    </row>
    <row r="1176" spans="1:45">
      <c r="A1176" s="19">
        <v>42.976266670000001</v>
      </c>
      <c r="B1176" s="19">
        <v>1584.13987</v>
      </c>
      <c r="C1176" s="19">
        <v>-335.0664731</v>
      </c>
      <c r="E1176" s="9">
        <f t="shared" si="301"/>
        <v>624.13986999999997</v>
      </c>
      <c r="F1176" s="9">
        <f t="shared" si="306"/>
        <v>204.9335269</v>
      </c>
      <c r="I1176">
        <v>1</v>
      </c>
      <c r="J1176">
        <f t="shared" si="302"/>
        <v>0.41178077801749929</v>
      </c>
      <c r="K1176">
        <f t="shared" si="307"/>
        <v>0.3172548207568977</v>
      </c>
      <c r="O1176">
        <f t="shared" si="308"/>
        <v>0.38026796532748997</v>
      </c>
      <c r="P1176">
        <f t="shared" si="309"/>
        <v>0.12485928082378304</v>
      </c>
      <c r="Q1176">
        <f t="shared" si="310"/>
        <v>0.91640953429013305</v>
      </c>
      <c r="R1176">
        <f t="shared" si="300"/>
        <v>1</v>
      </c>
      <c r="AG1176" s="8">
        <f t="shared" si="303"/>
        <v>0.72004724363426964</v>
      </c>
      <c r="AH1176" s="8">
        <f t="shared" si="304"/>
        <v>0.11992282301134743</v>
      </c>
      <c r="AI1176" s="8">
        <f t="shared" si="305"/>
        <v>0.68348407695840263</v>
      </c>
      <c r="AJ1176" s="8"/>
      <c r="AK1176" s="8"/>
      <c r="AL1176" s="8"/>
      <c r="AN1176" s="8">
        <f t="shared" si="311"/>
        <v>0.99999999999999989</v>
      </c>
      <c r="AO1176" s="8">
        <f t="shared" si="312"/>
        <v>0.16503374906868867</v>
      </c>
      <c r="AP1176" s="8">
        <f t="shared" si="313"/>
        <v>0.81827135770082227</v>
      </c>
      <c r="AQ1176" s="8"/>
      <c r="AR1176" s="8">
        <f t="shared" si="314"/>
        <v>9.4557372988569419</v>
      </c>
      <c r="AS1176" s="8">
        <f t="shared" si="315"/>
        <v>43.116504707303172</v>
      </c>
    </row>
    <row r="1177" spans="1:45">
      <c r="A1177" s="19">
        <v>43.00963333</v>
      </c>
      <c r="B1177" s="19">
        <v>1584.6780639999999</v>
      </c>
      <c r="C1177" s="19">
        <v>-335.11304689999997</v>
      </c>
      <c r="E1177" s="9">
        <f t="shared" si="301"/>
        <v>624.67806399999995</v>
      </c>
      <c r="F1177" s="9">
        <f t="shared" si="306"/>
        <v>204.88695310000003</v>
      </c>
      <c r="I1177">
        <v>1</v>
      </c>
      <c r="J1177">
        <f t="shared" si="302"/>
        <v>0.41206064659546204</v>
      </c>
      <c r="K1177">
        <f t="shared" si="307"/>
        <v>0.31693212864750497</v>
      </c>
      <c r="O1177">
        <f t="shared" si="308"/>
        <v>0.38055192252583614</v>
      </c>
      <c r="P1177">
        <f t="shared" si="309"/>
        <v>0.12481649091917824</v>
      </c>
      <c r="Q1177">
        <f t="shared" si="310"/>
        <v>0.91629748327522587</v>
      </c>
      <c r="R1177">
        <f t="shared" si="300"/>
        <v>1</v>
      </c>
      <c r="AG1177" s="8">
        <f t="shared" si="303"/>
        <v>0.72008363356871175</v>
      </c>
      <c r="AH1177" s="8">
        <f t="shared" si="304"/>
        <v>0.12021546340530598</v>
      </c>
      <c r="AI1177" s="8">
        <f t="shared" si="305"/>
        <v>0.68339432469455641</v>
      </c>
      <c r="AJ1177" s="8"/>
      <c r="AK1177" s="8"/>
      <c r="AL1177" s="8"/>
      <c r="AN1177" s="8">
        <f t="shared" si="311"/>
        <v>1</v>
      </c>
      <c r="AO1177" s="8">
        <f t="shared" si="312"/>
        <v>0.16542096379566304</v>
      </c>
      <c r="AP1177" s="8">
        <f t="shared" si="313"/>
        <v>0.81839430475511732</v>
      </c>
      <c r="AQ1177" s="8"/>
      <c r="AR1177" s="8">
        <f t="shared" si="314"/>
        <v>9.4779230684778835</v>
      </c>
      <c r="AS1177" s="8">
        <f t="shared" si="315"/>
        <v>43.109460359988496</v>
      </c>
    </row>
    <row r="1178" spans="1:45">
      <c r="A1178" s="19">
        <v>43.042999999999999</v>
      </c>
      <c r="B1178" s="19">
        <v>1585.4130170000001</v>
      </c>
      <c r="C1178" s="19">
        <v>-335.20720590000002</v>
      </c>
      <c r="E1178" s="9">
        <f t="shared" si="301"/>
        <v>625.41301700000008</v>
      </c>
      <c r="F1178" s="9">
        <f t="shared" si="306"/>
        <v>204.79279409999998</v>
      </c>
      <c r="I1178">
        <v>1</v>
      </c>
      <c r="J1178">
        <f t="shared" si="302"/>
        <v>0.41243743264958815</v>
      </c>
      <c r="K1178">
        <f t="shared" si="307"/>
        <v>0.316448121706842</v>
      </c>
      <c r="O1178">
        <f t="shared" si="308"/>
        <v>0.38094036838714568</v>
      </c>
      <c r="P1178">
        <f t="shared" si="309"/>
        <v>0.12473971648640444</v>
      </c>
      <c r="Q1178">
        <f t="shared" si="310"/>
        <v>0.91614651604640029</v>
      </c>
      <c r="R1178">
        <f t="shared" si="300"/>
        <v>1</v>
      </c>
      <c r="AG1178" s="8">
        <f t="shared" si="303"/>
        <v>0.7201460199814832</v>
      </c>
      <c r="AH1178" s="8">
        <f t="shared" si="304"/>
        <v>0.12061205832518573</v>
      </c>
      <c r="AI1178" s="8">
        <f t="shared" si="305"/>
        <v>0.68325869280338558</v>
      </c>
      <c r="AJ1178" s="8"/>
      <c r="AK1178" s="8"/>
      <c r="AL1178" s="8"/>
      <c r="AN1178" s="8">
        <f t="shared" si="311"/>
        <v>1</v>
      </c>
      <c r="AO1178" s="8">
        <f t="shared" si="312"/>
        <v>0.16594262959623471</v>
      </c>
      <c r="AP1178" s="8">
        <f t="shared" si="313"/>
        <v>0.81858007313058012</v>
      </c>
      <c r="AQ1178" s="8"/>
      <c r="AR1178" s="8">
        <f t="shared" si="314"/>
        <v>9.5078123171669535</v>
      </c>
      <c r="AS1178" s="8">
        <f t="shared" si="315"/>
        <v>43.098816616107477</v>
      </c>
    </row>
    <row r="1179" spans="1:45">
      <c r="A1179" s="19">
        <v>43.076366669999999</v>
      </c>
      <c r="B1179" s="19">
        <v>1585.618318</v>
      </c>
      <c r="C1179" s="19">
        <v>-335.59547259999999</v>
      </c>
      <c r="E1179" s="9">
        <f t="shared" si="301"/>
        <v>625.61831800000004</v>
      </c>
      <c r="F1179" s="9">
        <f t="shared" si="306"/>
        <v>204.40452740000001</v>
      </c>
      <c r="I1179">
        <v>1</v>
      </c>
      <c r="J1179">
        <f t="shared" si="302"/>
        <v>0.4124793360358911</v>
      </c>
      <c r="K1179">
        <f t="shared" si="307"/>
        <v>0.31579041870710661</v>
      </c>
      <c r="O1179">
        <f t="shared" si="308"/>
        <v>0.38105881865968705</v>
      </c>
      <c r="P1179">
        <f t="shared" si="309"/>
        <v>0.12450106638299495</v>
      </c>
      <c r="Q1179">
        <f t="shared" si="310"/>
        <v>0.91612971853945491</v>
      </c>
      <c r="R1179">
        <f t="shared" ref="R1179:R1242" si="316">SQRT(O1179^2+P1179^2+Q1179^2)</f>
        <v>1</v>
      </c>
      <c r="AG1179" s="8">
        <f t="shared" si="303"/>
        <v>0.72031520558494067</v>
      </c>
      <c r="AH1179" s="8">
        <f t="shared" si="304"/>
        <v>0.12068844120917804</v>
      </c>
      <c r="AI1179" s="8">
        <f t="shared" si="305"/>
        <v>0.68306683769717835</v>
      </c>
      <c r="AJ1179" s="8"/>
      <c r="AK1179" s="8"/>
      <c r="AL1179" s="8"/>
      <c r="AN1179" s="8">
        <f t="shared" si="311"/>
        <v>1</v>
      </c>
      <c r="AO1179" s="8">
        <f t="shared" si="312"/>
        <v>0.16600751192326921</v>
      </c>
      <c r="AP1179" s="8">
        <f t="shared" si="313"/>
        <v>0.81884279256604187</v>
      </c>
      <c r="AQ1179" s="8"/>
      <c r="AR1179" s="8">
        <f t="shared" si="314"/>
        <v>9.5115298006710169</v>
      </c>
      <c r="AS1179" s="8">
        <f t="shared" si="315"/>
        <v>43.083763901259459</v>
      </c>
    </row>
    <row r="1180" spans="1:45">
      <c r="A1180" s="19">
        <v>43.109733329999997</v>
      </c>
      <c r="B1180" s="19">
        <v>1586.3233459999999</v>
      </c>
      <c r="C1180" s="19">
        <v>-335.76614890000002</v>
      </c>
      <c r="E1180" s="9">
        <f t="shared" si="301"/>
        <v>626.3233459999999</v>
      </c>
      <c r="F1180" s="9">
        <f t="shared" si="306"/>
        <v>204.23385109999998</v>
      </c>
      <c r="I1180">
        <v>1</v>
      </c>
      <c r="J1180">
        <f t="shared" si="302"/>
        <v>0.41282682489023664</v>
      </c>
      <c r="K1180">
        <f t="shared" si="307"/>
        <v>0.31521178081095169</v>
      </c>
      <c r="O1180">
        <f t="shared" si="308"/>
        <v>0.38143343313255157</v>
      </c>
      <c r="P1180">
        <f t="shared" si="309"/>
        <v>0.12437923555695682</v>
      </c>
      <c r="Q1180">
        <f t="shared" si="310"/>
        <v>0.91599036122165733</v>
      </c>
      <c r="R1180">
        <f t="shared" si="316"/>
        <v>1</v>
      </c>
      <c r="AG1180" s="8">
        <f t="shared" si="303"/>
        <v>0.72040852322850579</v>
      </c>
      <c r="AH1180" s="8">
        <f t="shared" si="304"/>
        <v>0.12106109551471433</v>
      </c>
      <c r="AI1180" s="8">
        <f t="shared" si="305"/>
        <v>0.68290246068710325</v>
      </c>
      <c r="AJ1180" s="8"/>
      <c r="AK1180" s="8"/>
      <c r="AL1180" s="8"/>
      <c r="AN1180" s="8">
        <f t="shared" si="311"/>
        <v>1</v>
      </c>
      <c r="AO1180" s="8">
        <f t="shared" si="312"/>
        <v>0.16648951906741469</v>
      </c>
      <c r="AP1180" s="8">
        <f t="shared" si="313"/>
        <v>0.81906783315528453</v>
      </c>
      <c r="AQ1180" s="8"/>
      <c r="AR1180" s="8">
        <f t="shared" si="314"/>
        <v>9.5391467757257065</v>
      </c>
      <c r="AS1180" s="8">
        <f t="shared" si="315"/>
        <v>43.070870025276719</v>
      </c>
    </row>
    <row r="1181" spans="1:45">
      <c r="A1181" s="19">
        <v>43.143099999999997</v>
      </c>
      <c r="B1181" s="19">
        <v>1586.9486910000001</v>
      </c>
      <c r="C1181" s="19">
        <v>-335.93635189999998</v>
      </c>
      <c r="E1181" s="9">
        <f t="shared" si="301"/>
        <v>626.94869100000005</v>
      </c>
      <c r="F1181" s="9">
        <f t="shared" si="306"/>
        <v>204.06364810000002</v>
      </c>
      <c r="I1181">
        <v>1</v>
      </c>
      <c r="J1181">
        <f t="shared" si="302"/>
        <v>0.41313178052547028</v>
      </c>
      <c r="K1181">
        <f t="shared" si="307"/>
        <v>0.31467231015044184</v>
      </c>
      <c r="O1181">
        <f t="shared" si="308"/>
        <v>0.38176607923414191</v>
      </c>
      <c r="P1181">
        <f t="shared" si="309"/>
        <v>0.12425989553482084</v>
      </c>
      <c r="Q1181">
        <f t="shared" si="310"/>
        <v>0.91586797034718181</v>
      </c>
      <c r="R1181">
        <f t="shared" si="316"/>
        <v>1</v>
      </c>
      <c r="AG1181" s="8">
        <f t="shared" si="303"/>
        <v>0.72049905262301639</v>
      </c>
      <c r="AH1181" s="8">
        <f t="shared" si="304"/>
        <v>0.12138973729922864</v>
      </c>
      <c r="AI1181" s="8">
        <f t="shared" si="305"/>
        <v>0.68274859710420499</v>
      </c>
      <c r="AJ1181" s="8"/>
      <c r="AK1181" s="8"/>
      <c r="AL1181" s="8"/>
      <c r="AN1181" s="8">
        <f t="shared" si="311"/>
        <v>1</v>
      </c>
      <c r="AO1181" s="8">
        <f t="shared" si="312"/>
        <v>0.16691255806685126</v>
      </c>
      <c r="AP1181" s="8">
        <f t="shared" si="313"/>
        <v>0.81927843743201989</v>
      </c>
      <c r="AQ1181" s="8"/>
      <c r="AR1181" s="8">
        <f t="shared" si="314"/>
        <v>9.5633851249628599</v>
      </c>
      <c r="AS1181" s="8">
        <f t="shared" si="315"/>
        <v>43.05880328907238</v>
      </c>
    </row>
    <row r="1182" spans="1:45">
      <c r="A1182" s="19">
        <v>43.176466670000003</v>
      </c>
      <c r="B1182" s="19">
        <v>1587.4612360000001</v>
      </c>
      <c r="C1182" s="19">
        <v>-336.35009989999998</v>
      </c>
      <c r="E1182" s="9">
        <f t="shared" si="301"/>
        <v>627.4612360000001</v>
      </c>
      <c r="F1182" s="9">
        <f t="shared" si="306"/>
        <v>203.64990010000002</v>
      </c>
      <c r="I1182">
        <v>1</v>
      </c>
      <c r="J1182">
        <f t="shared" si="302"/>
        <v>0.41333408874315741</v>
      </c>
      <c r="K1182">
        <f t="shared" si="307"/>
        <v>0.31383544180017842</v>
      </c>
      <c r="O1182">
        <f t="shared" si="308"/>
        <v>0.38204616442241074</v>
      </c>
      <c r="P1182">
        <f t="shared" si="309"/>
        <v>0.12399756152938203</v>
      </c>
      <c r="Q1182">
        <f t="shared" si="310"/>
        <v>0.91578672898491564</v>
      </c>
      <c r="R1182">
        <f t="shared" si="316"/>
        <v>1</v>
      </c>
      <c r="AG1182" s="8">
        <f t="shared" si="303"/>
        <v>0.72068806526177942</v>
      </c>
      <c r="AH1182" s="8">
        <f t="shared" si="304"/>
        <v>0.12163299897949603</v>
      </c>
      <c r="AI1182" s="8">
        <f t="shared" si="305"/>
        <v>0.68250577004776081</v>
      </c>
      <c r="AJ1182" s="8"/>
      <c r="AK1182" s="8"/>
      <c r="AL1182" s="8"/>
      <c r="AN1182" s="8">
        <f t="shared" si="311"/>
        <v>0.99999999999999978</v>
      </c>
      <c r="AO1182" s="8">
        <f t="shared" si="312"/>
        <v>0.16719780130237549</v>
      </c>
      <c r="AP1182" s="8">
        <f t="shared" si="313"/>
        <v>0.81961072819522662</v>
      </c>
      <c r="AQ1182" s="8"/>
      <c r="AR1182" s="8">
        <f t="shared" si="314"/>
        <v>9.579728358493055</v>
      </c>
      <c r="AS1182" s="8">
        <f t="shared" si="315"/>
        <v>43.039764430769452</v>
      </c>
    </row>
    <row r="1183" spans="1:45">
      <c r="A1183" s="19">
        <v>43.209833330000002</v>
      </c>
      <c r="B1183" s="19">
        <v>1588.3109300000001</v>
      </c>
      <c r="C1183" s="19">
        <v>-336.8262853</v>
      </c>
      <c r="E1183" s="9">
        <f t="shared" si="301"/>
        <v>628.3109300000001</v>
      </c>
      <c r="F1183" s="9">
        <f t="shared" si="306"/>
        <v>203.1737147</v>
      </c>
      <c r="I1183">
        <v>1</v>
      </c>
      <c r="J1183">
        <f t="shared" si="302"/>
        <v>0.41370624527932448</v>
      </c>
      <c r="K1183">
        <f t="shared" si="307"/>
        <v>0.31275231664899561</v>
      </c>
      <c r="O1183">
        <f t="shared" si="308"/>
        <v>0.38250450184936791</v>
      </c>
      <c r="P1183">
        <f t="shared" si="309"/>
        <v>0.12368853830094774</v>
      </c>
      <c r="Q1183">
        <f t="shared" si="310"/>
        <v>0.9156371833635536</v>
      </c>
      <c r="R1183">
        <f t="shared" si="316"/>
        <v>1</v>
      </c>
      <c r="AG1183" s="8">
        <f t="shared" si="303"/>
        <v>0.72091327286425855</v>
      </c>
      <c r="AH1183" s="8">
        <f t="shared" si="304"/>
        <v>0.12205604633526024</v>
      </c>
      <c r="AI1183" s="8">
        <f t="shared" si="305"/>
        <v>0.68219232959712173</v>
      </c>
      <c r="AJ1183" s="8"/>
      <c r="AK1183" s="8"/>
      <c r="AL1183" s="8"/>
      <c r="AN1183" s="8">
        <f t="shared" si="311"/>
        <v>1</v>
      </c>
      <c r="AO1183" s="8">
        <f t="shared" si="312"/>
        <v>0.16771706153618945</v>
      </c>
      <c r="AP1183" s="8">
        <f t="shared" si="313"/>
        <v>0.82003949575751056</v>
      </c>
      <c r="AQ1183" s="8"/>
      <c r="AR1183" s="8">
        <f t="shared" si="314"/>
        <v>9.6094797783595709</v>
      </c>
      <c r="AS1183" s="8">
        <f t="shared" si="315"/>
        <v>43.015197859058468</v>
      </c>
    </row>
    <row r="1184" spans="1:45">
      <c r="A1184" s="19">
        <v>43.243200000000002</v>
      </c>
      <c r="B1184" s="19">
        <v>1588.6156060000001</v>
      </c>
      <c r="C1184" s="19">
        <v>-336.98427199999998</v>
      </c>
      <c r="E1184" s="9">
        <f t="shared" ref="E1184:E1247" si="317">(B1184-($B$15/2))</f>
        <v>628.61560600000007</v>
      </c>
      <c r="F1184" s="9">
        <f t="shared" si="306"/>
        <v>203.01572800000002</v>
      </c>
      <c r="I1184">
        <v>1</v>
      </c>
      <c r="J1184">
        <f t="shared" ref="J1184:J1247" si="318">ATAN((SQRT(E1184^2+F1184^2)^$B$16)/($F$24))</f>
        <v>0.41384197241539677</v>
      </c>
      <c r="K1184">
        <f t="shared" si="307"/>
        <v>0.31238284868892441</v>
      </c>
      <c r="O1184">
        <f t="shared" si="308"/>
        <v>0.38266843347584495</v>
      </c>
      <c r="P1184">
        <f t="shared" si="309"/>
        <v>0.12358539919022982</v>
      </c>
      <c r="Q1184">
        <f t="shared" si="310"/>
        <v>0.91558261185331302</v>
      </c>
      <c r="R1184">
        <f t="shared" si="316"/>
        <v>1</v>
      </c>
      <c r="AG1184" s="8">
        <f t="shared" ref="AG1184:AG1247" si="319">$O1184*$Z$27+$P1184*$Z$31+$Q1184*$Z$35</f>
        <v>0.72098860874872672</v>
      </c>
      <c r="AH1184" s="8">
        <f t="shared" ref="AH1184:AH1247" si="320">$O1184*$AA$27+$P1184*$AA$31+$Q1184*$AA$35</f>
        <v>0.12220890801080453</v>
      </c>
      <c r="AI1184" s="8">
        <f t="shared" ref="AI1184:AI1247" si="321">$AB$27*$O1184+$P1184*$AB$31+$AB$35*$Q1184</f>
        <v>0.68208533839790331</v>
      </c>
      <c r="AJ1184" s="8"/>
      <c r="AK1184" s="8"/>
      <c r="AL1184" s="8"/>
      <c r="AN1184" s="8">
        <f t="shared" si="311"/>
        <v>1</v>
      </c>
      <c r="AO1184" s="8">
        <f t="shared" si="312"/>
        <v>0.16790596623397369</v>
      </c>
      <c r="AP1184" s="8">
        <f t="shared" si="313"/>
        <v>0.82018581397513246</v>
      </c>
      <c r="AQ1184" s="8"/>
      <c r="AR1184" s="8">
        <f t="shared" si="314"/>
        <v>9.6203032202728025</v>
      </c>
      <c r="AS1184" s="8">
        <f t="shared" si="315"/>
        <v>43.006814442722856</v>
      </c>
    </row>
    <row r="1185" spans="1:45">
      <c r="A1185" s="19">
        <v>43.276566670000001</v>
      </c>
      <c r="B1185" s="19">
        <v>1588.887052</v>
      </c>
      <c r="C1185" s="19">
        <v>-337.16900600000002</v>
      </c>
      <c r="E1185" s="9">
        <f t="shared" si="317"/>
        <v>628.88705200000004</v>
      </c>
      <c r="F1185" s="9">
        <f t="shared" ref="F1185:F1248" si="322">(($C$15/2)+C1185)</f>
        <v>202.83099399999998</v>
      </c>
      <c r="I1185">
        <v>1</v>
      </c>
      <c r="J1185">
        <f t="shared" si="318"/>
        <v>0.41395533399943329</v>
      </c>
      <c r="K1185">
        <f t="shared" ref="K1185:K1248" si="323">ATAN2(E1185,F1185)</f>
        <v>0.31199056442308293</v>
      </c>
      <c r="O1185">
        <f t="shared" ref="O1185:O1248" si="324">COS(K1185)*SIN(J1185)</f>
        <v>0.38281566346284157</v>
      </c>
      <c r="P1185">
        <f t="shared" ref="P1185:P1248" si="325">SIN(K1185)*SIN(J1185)</f>
        <v>0.12346713339383177</v>
      </c>
      <c r="Q1185">
        <f t="shared" ref="Q1185:Q1248" si="326">COS(J1185)</f>
        <v>0.91553701988451242</v>
      </c>
      <c r="R1185">
        <f t="shared" si="316"/>
        <v>1</v>
      </c>
      <c r="AG1185" s="8">
        <f t="shared" si="319"/>
        <v>0.72107410767249669</v>
      </c>
      <c r="AH1185" s="8">
        <f t="shared" si="320"/>
        <v>0.12234090747351906</v>
      </c>
      <c r="AI1185" s="8">
        <f t="shared" si="321"/>
        <v>0.68197128502809301</v>
      </c>
      <c r="AJ1185" s="8"/>
      <c r="AK1185" s="8"/>
      <c r="AL1185" s="8"/>
      <c r="AN1185" s="8">
        <f t="shared" ref="AN1185:AN1248" si="327">AG1185^2+AH1185^2+AI1185^2</f>
        <v>0.99999999999999989</v>
      </c>
      <c r="AO1185" s="8">
        <f t="shared" ref="AO1185:AO1248" si="328">IF(ATAN2(AG1185,AH1185)&gt;=0,ATAN2(AG1185,AH1185),ATAN2(AG1185,AH1185)+2*PI())</f>
        <v>0.16806437210364822</v>
      </c>
      <c r="AP1185" s="8">
        <f t="shared" ref="AP1185:AP1248" si="329">ACOS(AI1185/AN1185)</f>
        <v>0.82034176823640603</v>
      </c>
      <c r="AQ1185" s="8"/>
      <c r="AR1185" s="8">
        <f t="shared" ref="AR1185:AR1248" si="330">DEGREES(AO1185)</f>
        <v>9.6293792080552514</v>
      </c>
      <c r="AS1185" s="8">
        <f t="shared" ref="AS1185:AS1248" si="331">90-DEGREES(AP1185)</f>
        <v>42.997878921754797</v>
      </c>
    </row>
    <row r="1186" spans="1:45">
      <c r="A1186" s="19">
        <v>43.30993333</v>
      </c>
      <c r="B1186" s="19">
        <v>1589.370181</v>
      </c>
      <c r="C1186" s="19">
        <v>-337.51531340000003</v>
      </c>
      <c r="E1186" s="9">
        <f t="shared" si="317"/>
        <v>629.370181</v>
      </c>
      <c r="F1186" s="9">
        <f t="shared" si="322"/>
        <v>202.48468659999997</v>
      </c>
      <c r="I1186">
        <v>1</v>
      </c>
      <c r="J1186">
        <f t="shared" si="318"/>
        <v>0.41415419761243544</v>
      </c>
      <c r="K1186">
        <f t="shared" si="323"/>
        <v>0.31126774160679438</v>
      </c>
      <c r="O1186">
        <f t="shared" si="324"/>
        <v>0.38307811870291103</v>
      </c>
      <c r="P1186">
        <f t="shared" si="325"/>
        <v>0.12324615170936502</v>
      </c>
      <c r="Q1186">
        <f t="shared" si="326"/>
        <v>0.91545701213102881</v>
      </c>
      <c r="R1186">
        <f t="shared" si="316"/>
        <v>1</v>
      </c>
      <c r="AG1186" s="8">
        <f t="shared" si="319"/>
        <v>0.72123352324836942</v>
      </c>
      <c r="AH1186" s="8">
        <f t="shared" si="320"/>
        <v>0.12257414222162288</v>
      </c>
      <c r="AI1186" s="8">
        <f t="shared" si="321"/>
        <v>0.68176079720190519</v>
      </c>
      <c r="AJ1186" s="8"/>
      <c r="AK1186" s="8"/>
      <c r="AL1186" s="8"/>
      <c r="AN1186" s="8">
        <f t="shared" si="327"/>
        <v>1.0000000000000002</v>
      </c>
      <c r="AO1186" s="8">
        <f t="shared" si="328"/>
        <v>0.16834224161860203</v>
      </c>
      <c r="AP1186" s="8">
        <f t="shared" si="329"/>
        <v>0.82062952548516477</v>
      </c>
      <c r="AQ1186" s="8"/>
      <c r="AR1186" s="8">
        <f t="shared" si="330"/>
        <v>9.6452999585174535</v>
      </c>
      <c r="AS1186" s="8">
        <f t="shared" si="331"/>
        <v>42.981391645876627</v>
      </c>
    </row>
    <row r="1187" spans="1:45">
      <c r="A1187" s="19">
        <v>43.343299999999999</v>
      </c>
      <c r="B1187" s="19">
        <v>1590.2897820000001</v>
      </c>
      <c r="C1187" s="19">
        <v>-338.05384450000003</v>
      </c>
      <c r="E1187" s="9">
        <f t="shared" si="317"/>
        <v>630.28978200000006</v>
      </c>
      <c r="F1187" s="9">
        <f t="shared" si="322"/>
        <v>201.94615549999997</v>
      </c>
      <c r="I1187">
        <v>1</v>
      </c>
      <c r="J1187">
        <f t="shared" si="318"/>
        <v>0.4145538453153082</v>
      </c>
      <c r="K1187">
        <f t="shared" si="323"/>
        <v>0.31006763107477342</v>
      </c>
      <c r="O1187">
        <f t="shared" si="324"/>
        <v>0.38357413468063883</v>
      </c>
      <c r="P1187">
        <f t="shared" si="325"/>
        <v>0.12289794957836427</v>
      </c>
      <c r="Q1187">
        <f t="shared" si="326"/>
        <v>0.91529611448614434</v>
      </c>
      <c r="R1187">
        <f t="shared" si="316"/>
        <v>1</v>
      </c>
      <c r="AG1187" s="8">
        <f t="shared" si="319"/>
        <v>0.72148617459289699</v>
      </c>
      <c r="AH1187" s="8">
        <f t="shared" si="320"/>
        <v>0.12302937952814308</v>
      </c>
      <c r="AI1187" s="8">
        <f t="shared" si="321"/>
        <v>0.68141138209177865</v>
      </c>
      <c r="AJ1187" s="8"/>
      <c r="AK1187" s="8"/>
      <c r="AL1187" s="8"/>
      <c r="AN1187" s="8">
        <f t="shared" si="327"/>
        <v>1</v>
      </c>
      <c r="AO1187" s="8">
        <f t="shared" si="328"/>
        <v>0.16889760491389652</v>
      </c>
      <c r="AP1187" s="8">
        <f t="shared" si="329"/>
        <v>0.82110703950540531</v>
      </c>
      <c r="AQ1187" s="8"/>
      <c r="AR1187" s="8">
        <f t="shared" si="330"/>
        <v>9.677119931434305</v>
      </c>
      <c r="AS1187" s="8">
        <f t="shared" si="331"/>
        <v>42.954032107858524</v>
      </c>
    </row>
    <row r="1188" spans="1:45">
      <c r="A1188" s="19">
        <v>43.376666669999999</v>
      </c>
      <c r="B1188" s="19">
        <v>1590.5223269999999</v>
      </c>
      <c r="C1188" s="19">
        <v>-337.9848854</v>
      </c>
      <c r="E1188" s="9">
        <f t="shared" si="317"/>
        <v>630.5223269999999</v>
      </c>
      <c r="F1188" s="9">
        <f t="shared" si="322"/>
        <v>202.0151146</v>
      </c>
      <c r="I1188">
        <v>1</v>
      </c>
      <c r="J1188">
        <f t="shared" si="318"/>
        <v>0.41469012848647985</v>
      </c>
      <c r="K1188">
        <f t="shared" si="323"/>
        <v>0.31005965004070368</v>
      </c>
      <c r="O1188">
        <f t="shared" si="324"/>
        <v>0.38369390326105385</v>
      </c>
      <c r="P1188">
        <f t="shared" si="325"/>
        <v>0.12293294704947556</v>
      </c>
      <c r="Q1188">
        <f t="shared" si="326"/>
        <v>0.91524121363170041</v>
      </c>
      <c r="R1188">
        <f t="shared" si="316"/>
        <v>1</v>
      </c>
      <c r="AG1188" s="8">
        <f t="shared" si="319"/>
        <v>0.72146419842672782</v>
      </c>
      <c r="AH1188" s="8">
        <f t="shared" si="320"/>
        <v>0.12316391359826728</v>
      </c>
      <c r="AI1188" s="8">
        <f t="shared" si="321"/>
        <v>0.68141034683635215</v>
      </c>
      <c r="AJ1188" s="8"/>
      <c r="AK1188" s="8"/>
      <c r="AL1188" s="8"/>
      <c r="AN1188" s="8">
        <f t="shared" si="327"/>
        <v>1</v>
      </c>
      <c r="AO1188" s="8">
        <f t="shared" si="328"/>
        <v>0.16908385104773582</v>
      </c>
      <c r="AP1188" s="8">
        <f t="shared" si="329"/>
        <v>0.82110845397986554</v>
      </c>
      <c r="AQ1188" s="8"/>
      <c r="AR1188" s="8">
        <f t="shared" si="330"/>
        <v>9.6877910488539261</v>
      </c>
      <c r="AS1188" s="8">
        <f t="shared" si="331"/>
        <v>42.953951064441718</v>
      </c>
    </row>
    <row r="1189" spans="1:45">
      <c r="A1189" s="19">
        <v>43.410033329999997</v>
      </c>
      <c r="B1189" s="19">
        <v>1591.2393480000001</v>
      </c>
      <c r="C1189" s="19">
        <v>-338.46521089999999</v>
      </c>
      <c r="E1189" s="9">
        <f t="shared" si="317"/>
        <v>631.23934800000006</v>
      </c>
      <c r="F1189" s="9">
        <f t="shared" si="322"/>
        <v>201.53478910000001</v>
      </c>
      <c r="I1189">
        <v>1</v>
      </c>
      <c r="J1189">
        <f t="shared" si="318"/>
        <v>0.41499165275399391</v>
      </c>
      <c r="K1189">
        <f t="shared" si="323"/>
        <v>0.30903917860849989</v>
      </c>
      <c r="O1189">
        <f t="shared" si="324"/>
        <v>0.38408202938655722</v>
      </c>
      <c r="P1189">
        <f t="shared" si="325"/>
        <v>0.12262526256446202</v>
      </c>
      <c r="Q1189">
        <f t="shared" si="326"/>
        <v>0.91511968598828675</v>
      </c>
      <c r="R1189">
        <f t="shared" si="316"/>
        <v>1</v>
      </c>
      <c r="AG1189" s="8">
        <f t="shared" si="319"/>
        <v>0.72168616555021892</v>
      </c>
      <c r="AH1189" s="8">
        <f t="shared" si="320"/>
        <v>0.12351295739798357</v>
      </c>
      <c r="AI1189" s="8">
        <f t="shared" si="321"/>
        <v>0.68111205231461447</v>
      </c>
      <c r="AJ1189" s="8"/>
      <c r="AK1189" s="8"/>
      <c r="AL1189" s="8"/>
      <c r="AN1189" s="8">
        <f t="shared" si="327"/>
        <v>1</v>
      </c>
      <c r="AO1189" s="8">
        <f t="shared" si="328"/>
        <v>0.16950275633683529</v>
      </c>
      <c r="AP1189" s="8">
        <f t="shared" si="329"/>
        <v>0.82151593766602993</v>
      </c>
      <c r="AQ1189" s="8"/>
      <c r="AR1189" s="8">
        <f t="shared" si="330"/>
        <v>9.711792553935032</v>
      </c>
      <c r="AS1189" s="8">
        <f t="shared" si="331"/>
        <v>42.930603969004068</v>
      </c>
    </row>
    <row r="1190" spans="1:45">
      <c r="A1190" s="19">
        <v>43.443399999999997</v>
      </c>
      <c r="B1190" s="19">
        <v>1591.6103499999999</v>
      </c>
      <c r="C1190" s="19">
        <v>-338.78309710000002</v>
      </c>
      <c r="E1190" s="9">
        <f t="shared" si="317"/>
        <v>631.61034999999993</v>
      </c>
      <c r="F1190" s="9">
        <f t="shared" si="322"/>
        <v>201.21690289999998</v>
      </c>
      <c r="I1190">
        <v>1</v>
      </c>
      <c r="J1190">
        <f t="shared" si="318"/>
        <v>0.41513596112184259</v>
      </c>
      <c r="K1190">
        <f t="shared" si="323"/>
        <v>0.30841212713986915</v>
      </c>
      <c r="O1190">
        <f t="shared" si="324"/>
        <v>0.38428467065976957</v>
      </c>
      <c r="P1190">
        <f t="shared" si="325"/>
        <v>0.12242448411762939</v>
      </c>
      <c r="Q1190">
        <f t="shared" si="326"/>
        <v>0.91506149388139202</v>
      </c>
      <c r="R1190">
        <f t="shared" si="316"/>
        <v>1</v>
      </c>
      <c r="AG1190" s="8">
        <f t="shared" si="319"/>
        <v>0.72182991366502869</v>
      </c>
      <c r="AH1190" s="8">
        <f t="shared" si="320"/>
        <v>0.12368694113715856</v>
      </c>
      <c r="AI1190" s="8">
        <f t="shared" si="321"/>
        <v>0.68092812860864438</v>
      </c>
      <c r="AJ1190" s="8"/>
      <c r="AK1190" s="8"/>
      <c r="AL1190" s="8"/>
      <c r="AN1190" s="8">
        <f t="shared" si="327"/>
        <v>1.0000000000000002</v>
      </c>
      <c r="AO1190" s="8">
        <f t="shared" si="328"/>
        <v>0.16970380924368178</v>
      </c>
      <c r="AP1190" s="8">
        <f t="shared" si="329"/>
        <v>0.82176710872466641</v>
      </c>
      <c r="AQ1190" s="8"/>
      <c r="AR1190" s="8">
        <f t="shared" si="330"/>
        <v>9.7233120369561732</v>
      </c>
      <c r="AS1190" s="8">
        <f t="shared" si="331"/>
        <v>42.916212927408367</v>
      </c>
    </row>
    <row r="1191" spans="1:45">
      <c r="A1191" s="19">
        <v>43.476766670000004</v>
      </c>
      <c r="B1191" s="19">
        <v>1592.3977030000001</v>
      </c>
      <c r="C1191" s="19">
        <v>-338.88106390000002</v>
      </c>
      <c r="E1191" s="9">
        <f t="shared" si="317"/>
        <v>632.39770300000009</v>
      </c>
      <c r="F1191" s="9">
        <f t="shared" si="322"/>
        <v>201.11893609999998</v>
      </c>
      <c r="I1191">
        <v>1</v>
      </c>
      <c r="J1191">
        <f t="shared" si="318"/>
        <v>0.41554066127437461</v>
      </c>
      <c r="K1191">
        <f t="shared" si="323"/>
        <v>0.30791131598133237</v>
      </c>
      <c r="O1191">
        <f t="shared" si="324"/>
        <v>0.3846988111508195</v>
      </c>
      <c r="P1191">
        <f t="shared" si="325"/>
        <v>0.12234423883982327</v>
      </c>
      <c r="Q1191">
        <f t="shared" si="326"/>
        <v>0.91489819757274116</v>
      </c>
      <c r="R1191">
        <f t="shared" si="316"/>
        <v>1</v>
      </c>
      <c r="AG1191" s="8">
        <f t="shared" si="319"/>
        <v>0.72189375071348494</v>
      </c>
      <c r="AH1191" s="8">
        <f t="shared" si="320"/>
        <v>0.12411070543795932</v>
      </c>
      <c r="AI1191" s="8">
        <f t="shared" si="321"/>
        <v>0.68078333225521104</v>
      </c>
      <c r="AJ1191" s="8"/>
      <c r="AK1191" s="8"/>
      <c r="AL1191" s="8"/>
      <c r="AN1191" s="8">
        <f t="shared" si="327"/>
        <v>1</v>
      </c>
      <c r="AO1191" s="8">
        <f t="shared" si="328"/>
        <v>0.17025930934934469</v>
      </c>
      <c r="AP1191" s="8">
        <f t="shared" si="329"/>
        <v>0.82196480517987003</v>
      </c>
      <c r="AQ1191" s="8"/>
      <c r="AR1191" s="8">
        <f t="shared" si="330"/>
        <v>9.7551398485297298</v>
      </c>
      <c r="AS1191" s="8">
        <f t="shared" si="331"/>
        <v>42.904885754900498</v>
      </c>
    </row>
    <row r="1192" spans="1:45">
      <c r="A1192" s="19">
        <v>43.510133330000002</v>
      </c>
      <c r="B1192" s="19">
        <v>1592.7469579999999</v>
      </c>
      <c r="C1192" s="19">
        <v>-338.93059829999999</v>
      </c>
      <c r="E1192" s="9">
        <f t="shared" si="317"/>
        <v>632.74695799999995</v>
      </c>
      <c r="F1192" s="9">
        <f t="shared" si="322"/>
        <v>201.06940170000001</v>
      </c>
      <c r="I1192">
        <v>1</v>
      </c>
      <c r="J1192">
        <f t="shared" si="318"/>
        <v>0.41571912999070837</v>
      </c>
      <c r="K1192">
        <f t="shared" si="323"/>
        <v>0.30768078868882898</v>
      </c>
      <c r="O1192">
        <f t="shared" si="324"/>
        <v>0.3848826112874526</v>
      </c>
      <c r="P1192">
        <f t="shared" si="325"/>
        <v>0.12230499949128441</v>
      </c>
      <c r="Q1192">
        <f t="shared" si="326"/>
        <v>0.91482613792347922</v>
      </c>
      <c r="R1192">
        <f t="shared" si="316"/>
        <v>1</v>
      </c>
      <c r="AG1192" s="8">
        <f t="shared" si="319"/>
        <v>0.72192455359553787</v>
      </c>
      <c r="AH1192" s="8">
        <f t="shared" si="320"/>
        <v>0.12429804880624068</v>
      </c>
      <c r="AI1192" s="8">
        <f t="shared" si="321"/>
        <v>0.68071648575515264</v>
      </c>
      <c r="AJ1192" s="8"/>
      <c r="AK1192" s="8"/>
      <c r="AL1192" s="8"/>
      <c r="AN1192" s="8">
        <f t="shared" si="327"/>
        <v>1.0000000000000002</v>
      </c>
      <c r="AO1192" s="8">
        <f t="shared" si="328"/>
        <v>0.17050422930324416</v>
      </c>
      <c r="AP1192" s="8">
        <f t="shared" si="329"/>
        <v>0.82205606121819386</v>
      </c>
      <c r="AQ1192" s="8"/>
      <c r="AR1192" s="8">
        <f t="shared" si="330"/>
        <v>9.7691727282067067</v>
      </c>
      <c r="AS1192" s="8">
        <f t="shared" si="331"/>
        <v>42.899657169049462</v>
      </c>
    </row>
    <row r="1193" spans="1:45">
      <c r="A1193" s="19">
        <v>43.543500000000002</v>
      </c>
      <c r="B1193" s="19">
        <v>1593.289904</v>
      </c>
      <c r="C1193" s="19">
        <v>-339.25099230000001</v>
      </c>
      <c r="E1193" s="9">
        <f t="shared" si="317"/>
        <v>633.28990399999998</v>
      </c>
      <c r="F1193" s="9">
        <f t="shared" si="322"/>
        <v>200.74900769999999</v>
      </c>
      <c r="I1193">
        <v>1</v>
      </c>
      <c r="J1193">
        <f t="shared" si="318"/>
        <v>0.41595525181624599</v>
      </c>
      <c r="K1193">
        <f t="shared" si="323"/>
        <v>0.3069736598068632</v>
      </c>
      <c r="O1193">
        <f t="shared" si="324"/>
        <v>0.38517490217068046</v>
      </c>
      <c r="P1193">
        <f t="shared" si="325"/>
        <v>0.12209807690493149</v>
      </c>
      <c r="Q1193">
        <f t="shared" si="326"/>
        <v>0.91473075511536406</v>
      </c>
      <c r="R1193">
        <f t="shared" si="316"/>
        <v>1</v>
      </c>
      <c r="AG1193" s="8">
        <f t="shared" si="319"/>
        <v>0.72207405657953527</v>
      </c>
      <c r="AH1193" s="8">
        <f t="shared" si="320"/>
        <v>0.12456617912378121</v>
      </c>
      <c r="AI1193" s="8">
        <f t="shared" si="321"/>
        <v>0.68050887123774961</v>
      </c>
      <c r="AJ1193" s="8"/>
      <c r="AK1193" s="8"/>
      <c r="AL1193" s="8"/>
      <c r="AN1193" s="8">
        <f t="shared" si="327"/>
        <v>1</v>
      </c>
      <c r="AO1193" s="8">
        <f t="shared" si="328"/>
        <v>0.17083023135773323</v>
      </c>
      <c r="AP1193" s="8">
        <f t="shared" si="329"/>
        <v>0.82233943852567393</v>
      </c>
      <c r="AQ1193" s="8"/>
      <c r="AR1193" s="8">
        <f t="shared" si="330"/>
        <v>9.787851270041525</v>
      </c>
      <c r="AS1193" s="8">
        <f t="shared" si="331"/>
        <v>42.883420845321069</v>
      </c>
    </row>
    <row r="1194" spans="1:45">
      <c r="A1194" s="19">
        <v>43.576866670000001</v>
      </c>
      <c r="B1194" s="19">
        <v>1593.823623</v>
      </c>
      <c r="C1194" s="19">
        <v>-339.75552950000002</v>
      </c>
      <c r="E1194" s="9">
        <f t="shared" si="317"/>
        <v>633.823623</v>
      </c>
      <c r="F1194" s="9">
        <f t="shared" si="322"/>
        <v>200.24447049999998</v>
      </c>
      <c r="I1194">
        <v>1</v>
      </c>
      <c r="J1194">
        <f t="shared" si="318"/>
        <v>0.41615542638441599</v>
      </c>
      <c r="K1194">
        <f t="shared" si="323"/>
        <v>0.30600747202525852</v>
      </c>
      <c r="O1194">
        <f t="shared" si="324"/>
        <v>0.38546728377466066</v>
      </c>
      <c r="P1194">
        <f t="shared" si="325"/>
        <v>0.12178102761330836</v>
      </c>
      <c r="Q1194">
        <f t="shared" si="326"/>
        <v>0.91464985347007621</v>
      </c>
      <c r="R1194">
        <f t="shared" si="316"/>
        <v>1</v>
      </c>
      <c r="AG1194" s="8">
        <f t="shared" si="319"/>
        <v>0.72230006944949166</v>
      </c>
      <c r="AH1194" s="8">
        <f t="shared" si="320"/>
        <v>0.12481173565526399</v>
      </c>
      <c r="AI1194" s="8">
        <f t="shared" si="321"/>
        <v>0.68022396335029245</v>
      </c>
      <c r="AJ1194" s="8"/>
      <c r="AK1194" s="8"/>
      <c r="AL1194" s="8"/>
      <c r="AN1194" s="8">
        <f t="shared" si="327"/>
        <v>1</v>
      </c>
      <c r="AO1194" s="8">
        <f t="shared" si="328"/>
        <v>0.17110793761589341</v>
      </c>
      <c r="AP1194" s="8">
        <f t="shared" si="329"/>
        <v>0.82272819379104789</v>
      </c>
      <c r="AQ1194" s="8"/>
      <c r="AR1194" s="8">
        <f t="shared" si="330"/>
        <v>9.8037626665784732</v>
      </c>
      <c r="AS1194" s="8">
        <f t="shared" si="331"/>
        <v>42.861146809351652</v>
      </c>
    </row>
    <row r="1195" spans="1:45">
      <c r="A1195" s="19">
        <v>43.61023333</v>
      </c>
      <c r="B1195" s="19">
        <v>1594.379864</v>
      </c>
      <c r="C1195" s="19">
        <v>-339.85010039999997</v>
      </c>
      <c r="E1195" s="9">
        <f t="shared" si="317"/>
        <v>634.379864</v>
      </c>
      <c r="F1195" s="9">
        <f t="shared" si="322"/>
        <v>200.14989960000003</v>
      </c>
      <c r="I1195">
        <v>1</v>
      </c>
      <c r="J1195">
        <f t="shared" si="318"/>
        <v>0.41643712317607029</v>
      </c>
      <c r="K1195">
        <f t="shared" si="323"/>
        <v>0.30562000153282598</v>
      </c>
      <c r="O1195">
        <f t="shared" si="324"/>
        <v>0.38576014049071389</v>
      </c>
      <c r="P1195">
        <f t="shared" si="325"/>
        <v>0.12170918052483817</v>
      </c>
      <c r="Q1195">
        <f t="shared" si="326"/>
        <v>0.91453594209552913</v>
      </c>
      <c r="R1195">
        <f t="shared" si="316"/>
        <v>1</v>
      </c>
      <c r="AG1195" s="8">
        <f t="shared" si="319"/>
        <v>0.72235538973770708</v>
      </c>
      <c r="AH1195" s="8">
        <f t="shared" si="320"/>
        <v>0.12510841053614241</v>
      </c>
      <c r="AI1195" s="8">
        <f t="shared" si="321"/>
        <v>0.68011070902464499</v>
      </c>
      <c r="AJ1195" s="8"/>
      <c r="AK1195" s="8"/>
      <c r="AL1195" s="8"/>
      <c r="AN1195" s="8">
        <f t="shared" si="327"/>
        <v>1</v>
      </c>
      <c r="AO1195" s="8">
        <f t="shared" si="328"/>
        <v>0.17149385932754524</v>
      </c>
      <c r="AP1195" s="8">
        <f t="shared" si="329"/>
        <v>0.82288268974977197</v>
      </c>
      <c r="AQ1195" s="8"/>
      <c r="AR1195" s="8">
        <f t="shared" si="330"/>
        <v>9.8258743518785892</v>
      </c>
      <c r="AS1195" s="8">
        <f t="shared" si="331"/>
        <v>42.852294842964938</v>
      </c>
    </row>
    <row r="1196" spans="1:45">
      <c r="A1196" s="19">
        <v>43.643599999999999</v>
      </c>
      <c r="B1196" s="19">
        <v>1594.9637949999999</v>
      </c>
      <c r="C1196" s="19">
        <v>-339.94416369999999</v>
      </c>
      <c r="E1196" s="9">
        <f t="shared" si="317"/>
        <v>634.96379499999989</v>
      </c>
      <c r="F1196" s="9">
        <f t="shared" si="322"/>
        <v>200.05583630000001</v>
      </c>
      <c r="I1196">
        <v>1</v>
      </c>
      <c r="J1196">
        <f t="shared" si="318"/>
        <v>0.4167337089212757</v>
      </c>
      <c r="K1196">
        <f t="shared" si="323"/>
        <v>0.30522134324279054</v>
      </c>
      <c r="O1196">
        <f t="shared" si="324"/>
        <v>0.3860673150505417</v>
      </c>
      <c r="P1196">
        <f t="shared" si="325"/>
        <v>0.12163688731344392</v>
      </c>
      <c r="Q1196">
        <f t="shared" si="326"/>
        <v>0.9144159315619792</v>
      </c>
      <c r="R1196">
        <f t="shared" si="316"/>
        <v>1</v>
      </c>
      <c r="AG1196" s="8">
        <f t="shared" si="319"/>
        <v>0.72241119228820871</v>
      </c>
      <c r="AH1196" s="8">
        <f t="shared" si="320"/>
        <v>0.12542025686488933</v>
      </c>
      <c r="AI1196" s="8">
        <f t="shared" si="321"/>
        <v>0.67999399146218487</v>
      </c>
      <c r="AJ1196" s="8"/>
      <c r="AK1196" s="8"/>
      <c r="AL1196" s="8"/>
      <c r="AN1196" s="8">
        <f t="shared" si="327"/>
        <v>1</v>
      </c>
      <c r="AO1196" s="8">
        <f t="shared" si="328"/>
        <v>0.17189994457791372</v>
      </c>
      <c r="AP1196" s="8">
        <f t="shared" si="329"/>
        <v>0.8230418869191195</v>
      </c>
      <c r="AQ1196" s="8"/>
      <c r="AR1196" s="8">
        <f t="shared" si="330"/>
        <v>9.8491413228472151</v>
      </c>
      <c r="AS1196" s="8">
        <f t="shared" si="331"/>
        <v>42.843173517050893</v>
      </c>
    </row>
    <row r="1197" spans="1:45">
      <c r="A1197" s="19">
        <v>43.676966669999999</v>
      </c>
      <c r="B1197" s="19">
        <v>1595.0789</v>
      </c>
      <c r="C1197" s="19">
        <v>-340.00028320000001</v>
      </c>
      <c r="E1197" s="9">
        <f t="shared" si="317"/>
        <v>635.07889999999998</v>
      </c>
      <c r="F1197" s="9">
        <f t="shared" si="322"/>
        <v>199.99971679999999</v>
      </c>
      <c r="I1197">
        <v>1</v>
      </c>
      <c r="J1197">
        <f t="shared" si="318"/>
        <v>0.41678583790114831</v>
      </c>
      <c r="K1197">
        <f t="shared" si="323"/>
        <v>0.30508900364215524</v>
      </c>
      <c r="O1197">
        <f t="shared" si="324"/>
        <v>0.38612887481412578</v>
      </c>
      <c r="P1197">
        <f t="shared" si="325"/>
        <v>0.12160011238151323</v>
      </c>
      <c r="Q1197">
        <f t="shared" si="326"/>
        <v>0.91439482976643116</v>
      </c>
      <c r="R1197">
        <f t="shared" si="316"/>
        <v>1</v>
      </c>
      <c r="AG1197" s="8">
        <f t="shared" si="319"/>
        <v>0.72243786668716026</v>
      </c>
      <c r="AH1197" s="8">
        <f t="shared" si="320"/>
        <v>0.12547816193771388</v>
      </c>
      <c r="AI1197" s="8">
        <f t="shared" si="321"/>
        <v>0.67995496884222995</v>
      </c>
      <c r="AJ1197" s="8"/>
      <c r="AK1197" s="8"/>
      <c r="AL1197" s="8"/>
      <c r="AN1197" s="8">
        <f t="shared" si="327"/>
        <v>1.0000000000000002</v>
      </c>
      <c r="AO1197" s="8">
        <f t="shared" si="328"/>
        <v>0.17197152805714885</v>
      </c>
      <c r="AP1197" s="8">
        <f t="shared" si="329"/>
        <v>0.82309510666252961</v>
      </c>
      <c r="AQ1197" s="8"/>
      <c r="AR1197" s="8">
        <f t="shared" si="330"/>
        <v>9.8532427540902514</v>
      </c>
      <c r="AS1197" s="8">
        <f t="shared" si="331"/>
        <v>42.840124250366728</v>
      </c>
    </row>
    <row r="1198" spans="1:45">
      <c r="A1198" s="19">
        <v>43.710333329999997</v>
      </c>
      <c r="B1198" s="19">
        <v>1596.719992</v>
      </c>
      <c r="C1198" s="19">
        <v>-340.73898980000001</v>
      </c>
      <c r="E1198" s="9">
        <f t="shared" si="317"/>
        <v>636.71999200000005</v>
      </c>
      <c r="F1198" s="9">
        <f t="shared" si="322"/>
        <v>199.26101019999999</v>
      </c>
      <c r="I1198">
        <v>1</v>
      </c>
      <c r="J1198">
        <f t="shared" si="318"/>
        <v>0.41753979398438568</v>
      </c>
      <c r="K1198">
        <f t="shared" si="323"/>
        <v>0.30329404886340988</v>
      </c>
      <c r="O1198">
        <f t="shared" si="324"/>
        <v>0.38700435672903588</v>
      </c>
      <c r="P1198">
        <f t="shared" si="325"/>
        <v>0.12111270266762542</v>
      </c>
      <c r="Q1198">
        <f t="shared" si="326"/>
        <v>0.91408935073399067</v>
      </c>
      <c r="R1198">
        <f t="shared" si="316"/>
        <v>1</v>
      </c>
      <c r="AG1198" s="8">
        <f t="shared" si="319"/>
        <v>0.72279199436029185</v>
      </c>
      <c r="AH1198" s="8">
        <f t="shared" si="320"/>
        <v>0.12630918882998682</v>
      </c>
      <c r="AI1198" s="8">
        <f t="shared" si="321"/>
        <v>0.67942455188621398</v>
      </c>
      <c r="AJ1198" s="8"/>
      <c r="AK1198" s="8"/>
      <c r="AL1198" s="8"/>
      <c r="AN1198" s="8">
        <f t="shared" si="327"/>
        <v>1.0000000000000002</v>
      </c>
      <c r="AO1198" s="8">
        <f t="shared" si="328"/>
        <v>0.17300481383007887</v>
      </c>
      <c r="AP1198" s="8">
        <f t="shared" si="329"/>
        <v>0.82381823850239921</v>
      </c>
      <c r="AQ1198" s="8"/>
      <c r="AR1198" s="8">
        <f t="shared" si="330"/>
        <v>9.9124456679100543</v>
      </c>
      <c r="AS1198" s="8">
        <f t="shared" si="331"/>
        <v>42.798691847910668</v>
      </c>
    </row>
    <row r="1199" spans="1:45">
      <c r="A1199" s="19">
        <v>43.743699999999997</v>
      </c>
      <c r="B1199" s="19">
        <v>1596.9653450000001</v>
      </c>
      <c r="C1199" s="19">
        <v>-340.75425089999999</v>
      </c>
      <c r="E1199" s="9">
        <f t="shared" si="317"/>
        <v>636.96534500000007</v>
      </c>
      <c r="F1199" s="9">
        <f t="shared" si="322"/>
        <v>199.24574910000001</v>
      </c>
      <c r="I1199">
        <v>1</v>
      </c>
      <c r="J1199">
        <f t="shared" si="318"/>
        <v>0.41766850017537954</v>
      </c>
      <c r="K1199">
        <f t="shared" si="323"/>
        <v>0.30316242923762832</v>
      </c>
      <c r="O1199">
        <f t="shared" si="324"/>
        <v>0.38713257481051666</v>
      </c>
      <c r="P1199">
        <f t="shared" si="325"/>
        <v>0.12109688615655093</v>
      </c>
      <c r="Q1199">
        <f t="shared" si="326"/>
        <v>0.91403715115074347</v>
      </c>
      <c r="R1199">
        <f t="shared" si="316"/>
        <v>1</v>
      </c>
      <c r="AG1199" s="8">
        <f t="shared" si="319"/>
        <v>0.7228051554234155</v>
      </c>
      <c r="AH1199" s="8">
        <f t="shared" si="320"/>
        <v>0.12644237330039582</v>
      </c>
      <c r="AI1199" s="8">
        <f t="shared" si="321"/>
        <v>0.67938577665969391</v>
      </c>
      <c r="AJ1199" s="8"/>
      <c r="AK1199" s="8"/>
      <c r="AL1199" s="8"/>
      <c r="AN1199" s="8">
        <f t="shared" si="327"/>
        <v>1</v>
      </c>
      <c r="AO1199" s="8">
        <f t="shared" si="328"/>
        <v>0.17318052109486726</v>
      </c>
      <c r="AP1199" s="8">
        <f t="shared" si="329"/>
        <v>0.82387108282564581</v>
      </c>
      <c r="AQ1199" s="8"/>
      <c r="AR1199" s="8">
        <f t="shared" si="330"/>
        <v>9.922512952612216</v>
      </c>
      <c r="AS1199" s="8">
        <f t="shared" si="331"/>
        <v>42.795664091217411</v>
      </c>
    </row>
    <row r="1200" spans="1:45">
      <c r="A1200" s="19">
        <v>43.777066670000004</v>
      </c>
      <c r="B1200" s="19">
        <v>1597.357495</v>
      </c>
      <c r="C1200" s="19">
        <v>-340.80781860000002</v>
      </c>
      <c r="E1200" s="9">
        <f t="shared" si="317"/>
        <v>637.35749499999997</v>
      </c>
      <c r="F1200" s="9">
        <f t="shared" si="322"/>
        <v>199.19218139999998</v>
      </c>
      <c r="I1200">
        <v>1</v>
      </c>
      <c r="J1200">
        <f t="shared" si="318"/>
        <v>0.41786931840685854</v>
      </c>
      <c r="K1200">
        <f t="shared" si="323"/>
        <v>0.30291054602331413</v>
      </c>
      <c r="O1200">
        <f t="shared" si="324"/>
        <v>0.38733825547025641</v>
      </c>
      <c r="P1200">
        <f t="shared" si="325"/>
        <v>0.12105412214033953</v>
      </c>
      <c r="Q1200">
        <f t="shared" si="326"/>
        <v>0.91395567472503292</v>
      </c>
      <c r="R1200">
        <f t="shared" si="316"/>
        <v>1</v>
      </c>
      <c r="AG1200" s="8">
        <f t="shared" si="319"/>
        <v>0.72283832583356278</v>
      </c>
      <c r="AH1200" s="8">
        <f t="shared" si="320"/>
        <v>0.1266524500672257</v>
      </c>
      <c r="AI1200" s="8">
        <f t="shared" si="321"/>
        <v>0.67931135100048268</v>
      </c>
      <c r="AJ1200" s="8"/>
      <c r="AK1200" s="8"/>
      <c r="AL1200" s="8"/>
      <c r="AN1200" s="8">
        <f t="shared" si="327"/>
        <v>0.99999999999999989</v>
      </c>
      <c r="AO1200" s="8">
        <f t="shared" si="328"/>
        <v>0.173454716815448</v>
      </c>
      <c r="AP1200" s="8">
        <f t="shared" si="329"/>
        <v>0.82397250564347246</v>
      </c>
      <c r="AQ1200" s="8"/>
      <c r="AR1200" s="8">
        <f t="shared" si="330"/>
        <v>9.9382232101620414</v>
      </c>
      <c r="AS1200" s="8">
        <f t="shared" si="331"/>
        <v>42.789852991809624</v>
      </c>
    </row>
    <row r="1201" spans="1:45">
      <c r="A1201" s="19">
        <v>43.810433330000002</v>
      </c>
      <c r="B1201" s="19">
        <v>1597.5986660000001</v>
      </c>
      <c r="C1201" s="19">
        <v>-340.95193879999999</v>
      </c>
      <c r="E1201" s="9">
        <f t="shared" si="317"/>
        <v>637.59866600000009</v>
      </c>
      <c r="F1201" s="9">
        <f t="shared" si="322"/>
        <v>199.04806120000001</v>
      </c>
      <c r="I1201">
        <v>1</v>
      </c>
      <c r="J1201">
        <f t="shared" si="318"/>
        <v>0.4179742451286374</v>
      </c>
      <c r="K1201">
        <f t="shared" si="323"/>
        <v>0.30259689812897433</v>
      </c>
      <c r="O1201">
        <f t="shared" si="324"/>
        <v>0.38746774396543826</v>
      </c>
      <c r="P1201">
        <f t="shared" si="325"/>
        <v>0.12096120542049327</v>
      </c>
      <c r="Q1201">
        <f t="shared" si="326"/>
        <v>0.91391308895843859</v>
      </c>
      <c r="R1201">
        <f t="shared" si="316"/>
        <v>1</v>
      </c>
      <c r="AG1201" s="8">
        <f t="shared" si="319"/>
        <v>0.72290506236659702</v>
      </c>
      <c r="AH1201" s="8">
        <f t="shared" si="320"/>
        <v>0.12677111866351765</v>
      </c>
      <c r="AI1201" s="8">
        <f t="shared" si="321"/>
        <v>0.67921819342354695</v>
      </c>
      <c r="AJ1201" s="8"/>
      <c r="AK1201" s="8"/>
      <c r="AL1201" s="8"/>
      <c r="AN1201" s="8">
        <f t="shared" si="327"/>
        <v>1</v>
      </c>
      <c r="AO1201" s="8">
        <f t="shared" si="328"/>
        <v>0.17359828524419685</v>
      </c>
      <c r="AP1201" s="8">
        <f t="shared" si="329"/>
        <v>0.82409944177673033</v>
      </c>
      <c r="AQ1201" s="8"/>
      <c r="AR1201" s="8">
        <f t="shared" si="330"/>
        <v>9.9464490752006753</v>
      </c>
      <c r="AS1201" s="8">
        <f t="shared" si="331"/>
        <v>42.782580087106233</v>
      </c>
    </row>
    <row r="1202" spans="1:45">
      <c r="A1202" s="19">
        <v>43.843800000000002</v>
      </c>
      <c r="B1202" s="19">
        <v>1598.274797</v>
      </c>
      <c r="C1202" s="19">
        <v>-341.39459219999998</v>
      </c>
      <c r="E1202" s="9">
        <f t="shared" si="317"/>
        <v>638.27479700000004</v>
      </c>
      <c r="F1202" s="9">
        <f t="shared" si="322"/>
        <v>198.60540780000002</v>
      </c>
      <c r="I1202">
        <v>1</v>
      </c>
      <c r="J1202">
        <f t="shared" si="318"/>
        <v>0.41826212915262734</v>
      </c>
      <c r="K1202">
        <f t="shared" si="323"/>
        <v>0.30166336585549952</v>
      </c>
      <c r="O1202">
        <f t="shared" si="324"/>
        <v>0.38783170052534849</v>
      </c>
      <c r="P1202">
        <f t="shared" si="325"/>
        <v>0.12067760375724865</v>
      </c>
      <c r="Q1202">
        <f t="shared" si="326"/>
        <v>0.91379619610667284</v>
      </c>
      <c r="R1202">
        <f t="shared" si="316"/>
        <v>1</v>
      </c>
      <c r="AG1202" s="8">
        <f t="shared" si="319"/>
        <v>0.7231081160650652</v>
      </c>
      <c r="AH1202" s="8">
        <f t="shared" si="320"/>
        <v>0.12710008818366897</v>
      </c>
      <c r="AI1202" s="8">
        <f t="shared" si="321"/>
        <v>0.67894051290561219</v>
      </c>
      <c r="AJ1202" s="8"/>
      <c r="AK1202" s="8"/>
      <c r="AL1202" s="8"/>
      <c r="AN1202" s="8">
        <f t="shared" si="327"/>
        <v>1</v>
      </c>
      <c r="AO1202" s="8">
        <f t="shared" si="328"/>
        <v>0.17399184918242142</v>
      </c>
      <c r="AP1202" s="8">
        <f t="shared" si="329"/>
        <v>0.82447771968582872</v>
      </c>
      <c r="AQ1202" s="8"/>
      <c r="AR1202" s="8">
        <f t="shared" si="330"/>
        <v>9.9689986278294906</v>
      </c>
      <c r="AS1202" s="8">
        <f t="shared" si="331"/>
        <v>42.760906359431864</v>
      </c>
    </row>
    <row r="1203" spans="1:45">
      <c r="A1203" s="19">
        <v>43.877166670000001</v>
      </c>
      <c r="B1203" s="19">
        <v>1598.4791290000001</v>
      </c>
      <c r="C1203" s="19">
        <v>-341.6260125</v>
      </c>
      <c r="E1203" s="9">
        <f t="shared" si="317"/>
        <v>638.47912900000006</v>
      </c>
      <c r="F1203" s="9">
        <f t="shared" si="322"/>
        <v>198.3739875</v>
      </c>
      <c r="I1203">
        <v>1</v>
      </c>
      <c r="J1203">
        <f t="shared" si="318"/>
        <v>0.4183329458020385</v>
      </c>
      <c r="K1203">
        <f t="shared" si="323"/>
        <v>0.3012420604969393</v>
      </c>
      <c r="O1203">
        <f t="shared" si="324"/>
        <v>0.38794430517252609</v>
      </c>
      <c r="P1203">
        <f t="shared" si="325"/>
        <v>0.12053339764688044</v>
      </c>
      <c r="Q1203">
        <f t="shared" si="326"/>
        <v>0.91376743000388505</v>
      </c>
      <c r="R1203">
        <f t="shared" si="316"/>
        <v>1</v>
      </c>
      <c r="AG1203" s="8">
        <f t="shared" si="319"/>
        <v>0.72321013231308018</v>
      </c>
      <c r="AH1203" s="8">
        <f t="shared" si="320"/>
        <v>0.12719025771826203</v>
      </c>
      <c r="AI1203" s="8">
        <f t="shared" si="321"/>
        <v>0.67881495480083465</v>
      </c>
      <c r="AJ1203" s="8"/>
      <c r="AK1203" s="8"/>
      <c r="AL1203" s="8"/>
      <c r="AN1203" s="8">
        <f t="shared" si="327"/>
        <v>1</v>
      </c>
      <c r="AO1203" s="8">
        <f t="shared" si="328"/>
        <v>0.1740887396013516</v>
      </c>
      <c r="AP1203" s="8">
        <f t="shared" si="329"/>
        <v>0.82464872122085175</v>
      </c>
      <c r="AQ1203" s="8"/>
      <c r="AR1203" s="8">
        <f t="shared" si="330"/>
        <v>9.9745500399094436</v>
      </c>
      <c r="AS1203" s="8">
        <f t="shared" si="331"/>
        <v>42.751108693184783</v>
      </c>
    </row>
    <row r="1204" spans="1:45">
      <c r="A1204" s="19">
        <v>43.91053333</v>
      </c>
      <c r="B1204" s="19">
        <v>1598.794179</v>
      </c>
      <c r="C1204" s="19">
        <v>-341.5696466</v>
      </c>
      <c r="E1204" s="9">
        <f t="shared" si="317"/>
        <v>638.79417899999999</v>
      </c>
      <c r="F1204" s="9">
        <f t="shared" si="322"/>
        <v>198.4303534</v>
      </c>
      <c r="I1204">
        <v>1</v>
      </c>
      <c r="J1204">
        <f t="shared" si="318"/>
        <v>0.41851084764295238</v>
      </c>
      <c r="K1204">
        <f t="shared" si="323"/>
        <v>0.30118278482986288</v>
      </c>
      <c r="O1204">
        <f t="shared" si="324"/>
        <v>0.38810668648600571</v>
      </c>
      <c r="P1204">
        <f t="shared" si="325"/>
        <v>0.12055862355677655</v>
      </c>
      <c r="Q1204">
        <f t="shared" si="326"/>
        <v>0.91369514510636896</v>
      </c>
      <c r="R1204">
        <f t="shared" si="316"/>
        <v>1</v>
      </c>
      <c r="AG1204" s="8">
        <f t="shared" si="319"/>
        <v>0.7231952051947943</v>
      </c>
      <c r="AH1204" s="8">
        <f t="shared" si="320"/>
        <v>0.1273683047119204</v>
      </c>
      <c r="AI1204" s="8">
        <f t="shared" si="321"/>
        <v>0.67879747357961684</v>
      </c>
      <c r="AJ1204" s="8"/>
      <c r="AK1204" s="8"/>
      <c r="AL1204" s="8"/>
      <c r="AN1204" s="8">
        <f t="shared" si="327"/>
        <v>0.99999999999999989</v>
      </c>
      <c r="AO1204" s="8">
        <f t="shared" si="328"/>
        <v>0.17433105898974308</v>
      </c>
      <c r="AP1204" s="8">
        <f t="shared" si="329"/>
        <v>0.82467252730242957</v>
      </c>
      <c r="AQ1204" s="8"/>
      <c r="AR1204" s="8">
        <f t="shared" si="330"/>
        <v>9.9884339181584672</v>
      </c>
      <c r="AS1204" s="8">
        <f t="shared" si="331"/>
        <v>42.74974470518363</v>
      </c>
    </row>
    <row r="1205" spans="1:45">
      <c r="A1205" s="19">
        <v>43.943899999999999</v>
      </c>
      <c r="B1205" s="19">
        <v>1599.737793</v>
      </c>
      <c r="C1205" s="19">
        <v>-342.41744949999998</v>
      </c>
      <c r="E1205" s="9">
        <f t="shared" si="317"/>
        <v>639.73779300000001</v>
      </c>
      <c r="F1205" s="9">
        <f t="shared" si="322"/>
        <v>197.58255050000002</v>
      </c>
      <c r="I1205">
        <v>1</v>
      </c>
      <c r="J1205">
        <f t="shared" si="318"/>
        <v>0.41887516314651935</v>
      </c>
      <c r="K1205">
        <f t="shared" si="323"/>
        <v>0.29955548850368396</v>
      </c>
      <c r="O1205">
        <f t="shared" si="324"/>
        <v>0.38862038106933006</v>
      </c>
      <c r="P1205">
        <f t="shared" si="325"/>
        <v>0.12002512108575733</v>
      </c>
      <c r="Q1205">
        <f t="shared" si="326"/>
        <v>0.91354702655412223</v>
      </c>
      <c r="R1205">
        <f t="shared" si="316"/>
        <v>1</v>
      </c>
      <c r="AG1205" s="8">
        <f t="shared" si="319"/>
        <v>0.72357384107262523</v>
      </c>
      <c r="AH1205" s="8">
        <f t="shared" si="320"/>
        <v>0.1278053915397408</v>
      </c>
      <c r="AI1205" s="8">
        <f t="shared" si="321"/>
        <v>0.67831163811981066</v>
      </c>
      <c r="AJ1205" s="8"/>
      <c r="AK1205" s="8"/>
      <c r="AL1205" s="8"/>
      <c r="AN1205" s="8">
        <f t="shared" si="327"/>
        <v>1</v>
      </c>
      <c r="AO1205" s="8">
        <f t="shared" si="328"/>
        <v>0.17482752117067588</v>
      </c>
      <c r="AP1205" s="8">
        <f t="shared" si="329"/>
        <v>0.82533393290562018</v>
      </c>
      <c r="AQ1205" s="8"/>
      <c r="AR1205" s="8">
        <f t="shared" si="330"/>
        <v>10.016879105813777</v>
      </c>
      <c r="AS1205" s="8">
        <f t="shared" si="331"/>
        <v>42.71184895557451</v>
      </c>
    </row>
    <row r="1206" spans="1:45">
      <c r="A1206" s="19">
        <v>43.977266669999999</v>
      </c>
      <c r="B1206" s="19">
        <v>1599.9404259999999</v>
      </c>
      <c r="C1206" s="19">
        <v>-342.59518159999999</v>
      </c>
      <c r="E1206" s="9">
        <f t="shared" si="317"/>
        <v>639.94042599999989</v>
      </c>
      <c r="F1206" s="9">
        <f t="shared" si="322"/>
        <v>197.40481840000001</v>
      </c>
      <c r="I1206">
        <v>1</v>
      </c>
      <c r="J1206">
        <f t="shared" si="318"/>
        <v>0.41895422512135733</v>
      </c>
      <c r="K1206">
        <f t="shared" si="323"/>
        <v>0.29921262626763323</v>
      </c>
      <c r="O1206">
        <f t="shared" si="324"/>
        <v>0.38873052680591608</v>
      </c>
      <c r="P1206">
        <f t="shared" si="325"/>
        <v>0.11991316055825829</v>
      </c>
      <c r="Q1206">
        <f t="shared" si="326"/>
        <v>0.91351486657531977</v>
      </c>
      <c r="R1206">
        <f t="shared" si="316"/>
        <v>1</v>
      </c>
      <c r="AG1206" s="8">
        <f t="shared" si="319"/>
        <v>0.72365327938483737</v>
      </c>
      <c r="AH1206" s="8">
        <f t="shared" si="320"/>
        <v>0.12789963453599329</v>
      </c>
      <c r="AI1206" s="8">
        <f t="shared" si="321"/>
        <v>0.67820912314796389</v>
      </c>
      <c r="AJ1206" s="8"/>
      <c r="AK1206" s="8"/>
      <c r="AL1206" s="8"/>
      <c r="AN1206" s="8">
        <f t="shared" si="327"/>
        <v>1.0000000000000002</v>
      </c>
      <c r="AO1206" s="8">
        <f t="shared" si="328"/>
        <v>0.17493500842173548</v>
      </c>
      <c r="AP1206" s="8">
        <f t="shared" si="329"/>
        <v>0.82547344291088587</v>
      </c>
      <c r="AQ1206" s="8"/>
      <c r="AR1206" s="8">
        <f t="shared" si="330"/>
        <v>10.023037671650956</v>
      </c>
      <c r="AS1206" s="8">
        <f t="shared" si="331"/>
        <v>42.703855621072933</v>
      </c>
    </row>
    <row r="1207" spans="1:45">
      <c r="A1207" s="19">
        <v>44.010633329999997</v>
      </c>
      <c r="B1207" s="19">
        <v>1600.563801</v>
      </c>
      <c r="C1207" s="19">
        <v>-342.87852240000001</v>
      </c>
      <c r="E1207" s="9">
        <f t="shared" si="317"/>
        <v>640.56380100000001</v>
      </c>
      <c r="F1207" s="9">
        <f t="shared" si="322"/>
        <v>197.12147759999999</v>
      </c>
      <c r="I1207">
        <v>1</v>
      </c>
      <c r="J1207">
        <f t="shared" si="318"/>
        <v>0.41924103657936868</v>
      </c>
      <c r="K1207">
        <f t="shared" si="323"/>
        <v>0.29853447473710643</v>
      </c>
      <c r="O1207">
        <f t="shared" si="324"/>
        <v>0.38906215831452784</v>
      </c>
      <c r="P1207">
        <f t="shared" si="325"/>
        <v>0.11972657119474794</v>
      </c>
      <c r="Q1207">
        <f t="shared" si="326"/>
        <v>0.91339815256961743</v>
      </c>
      <c r="R1207">
        <f t="shared" si="316"/>
        <v>1</v>
      </c>
      <c r="AG1207" s="8">
        <f t="shared" si="319"/>
        <v>0.72378786374276505</v>
      </c>
      <c r="AH1207" s="8">
        <f t="shared" si="320"/>
        <v>0.12821438002208979</v>
      </c>
      <c r="AI1207" s="8">
        <f t="shared" si="321"/>
        <v>0.67800604794812536</v>
      </c>
      <c r="AJ1207" s="8"/>
      <c r="AK1207" s="8"/>
      <c r="AL1207" s="8"/>
      <c r="AN1207" s="8">
        <f t="shared" si="327"/>
        <v>1</v>
      </c>
      <c r="AO1207" s="8">
        <f t="shared" si="328"/>
        <v>0.17532479920845329</v>
      </c>
      <c r="AP1207" s="8">
        <f t="shared" si="329"/>
        <v>0.82574974974238979</v>
      </c>
      <c r="AQ1207" s="8"/>
      <c r="AR1207" s="8">
        <f t="shared" si="330"/>
        <v>10.045371038622969</v>
      </c>
      <c r="AS1207" s="8">
        <f t="shared" si="331"/>
        <v>42.688024405777128</v>
      </c>
    </row>
    <row r="1208" spans="1:45">
      <c r="A1208" s="19">
        <v>44.043999999999997</v>
      </c>
      <c r="B1208" s="19">
        <v>1601.2773669999999</v>
      </c>
      <c r="C1208" s="19">
        <v>-342.99276470000001</v>
      </c>
      <c r="E1208" s="9">
        <f t="shared" si="317"/>
        <v>641.27736699999991</v>
      </c>
      <c r="F1208" s="9">
        <f t="shared" si="322"/>
        <v>197.00723529999999</v>
      </c>
      <c r="I1208">
        <v>1</v>
      </c>
      <c r="J1208">
        <f t="shared" si="318"/>
        <v>0.41960397701748037</v>
      </c>
      <c r="K1208">
        <f t="shared" si="323"/>
        <v>0.29805886916533192</v>
      </c>
      <c r="O1208">
        <f t="shared" si="324"/>
        <v>0.38943592363367086</v>
      </c>
      <c r="P1208">
        <f t="shared" si="325"/>
        <v>0.11963886235450349</v>
      </c>
      <c r="Q1208">
        <f t="shared" si="326"/>
        <v>0.91325035121707443</v>
      </c>
      <c r="R1208">
        <f t="shared" si="316"/>
        <v>1</v>
      </c>
      <c r="AG1208" s="8">
        <f t="shared" si="319"/>
        <v>0.72385431177556303</v>
      </c>
      <c r="AH1208" s="8">
        <f t="shared" si="320"/>
        <v>0.12859437662772771</v>
      </c>
      <c r="AI1208" s="8">
        <f t="shared" si="321"/>
        <v>0.67786312897490753</v>
      </c>
      <c r="AJ1208" s="8"/>
      <c r="AK1208" s="8"/>
      <c r="AL1208" s="8"/>
      <c r="AN1208" s="8">
        <f t="shared" si="327"/>
        <v>1</v>
      </c>
      <c r="AO1208" s="8">
        <f t="shared" si="328"/>
        <v>0.17581798026105169</v>
      </c>
      <c r="AP1208" s="8">
        <f t="shared" si="329"/>
        <v>0.82594416499483148</v>
      </c>
      <c r="AQ1208" s="8"/>
      <c r="AR1208" s="8">
        <f t="shared" si="330"/>
        <v>10.073628231472679</v>
      </c>
      <c r="AS1208" s="8">
        <f t="shared" si="331"/>
        <v>42.676885232339252</v>
      </c>
    </row>
    <row r="1209" spans="1:45">
      <c r="A1209" s="19">
        <v>44.077366670000004</v>
      </c>
      <c r="B1209" s="19">
        <v>1601.6760240000001</v>
      </c>
      <c r="C1209" s="19">
        <v>-343.2412094</v>
      </c>
      <c r="E1209" s="9">
        <f t="shared" si="317"/>
        <v>641.6760240000001</v>
      </c>
      <c r="F1209" s="9">
        <f t="shared" si="322"/>
        <v>196.7587906</v>
      </c>
      <c r="I1209">
        <v>1</v>
      </c>
      <c r="J1209">
        <f t="shared" si="318"/>
        <v>0.41977643783469093</v>
      </c>
      <c r="K1209">
        <f t="shared" si="323"/>
        <v>0.29753059043446323</v>
      </c>
      <c r="O1209">
        <f t="shared" si="324"/>
        <v>0.38964964604400798</v>
      </c>
      <c r="P1209">
        <f t="shared" si="325"/>
        <v>0.11947928587921974</v>
      </c>
      <c r="Q1209">
        <f t="shared" si="326"/>
        <v>0.91318007730325068</v>
      </c>
      <c r="R1209">
        <f t="shared" si="316"/>
        <v>1</v>
      </c>
      <c r="AG1209" s="8">
        <f t="shared" si="319"/>
        <v>0.72396819079371788</v>
      </c>
      <c r="AH1209" s="8">
        <f t="shared" si="320"/>
        <v>0.12878918949527124</v>
      </c>
      <c r="AI1209" s="8">
        <f t="shared" si="321"/>
        <v>0.67770451037898649</v>
      </c>
      <c r="AJ1209" s="8"/>
      <c r="AK1209" s="8"/>
      <c r="AL1209" s="8"/>
      <c r="AN1209" s="8">
        <f t="shared" si="327"/>
        <v>0.99999999999999978</v>
      </c>
      <c r="AO1209" s="8">
        <f t="shared" si="328"/>
        <v>0.17605173870015911</v>
      </c>
      <c r="AP1209" s="8">
        <f t="shared" si="329"/>
        <v>0.8261598959323293</v>
      </c>
      <c r="AQ1209" s="8"/>
      <c r="AR1209" s="8">
        <f t="shared" si="330"/>
        <v>10.087021603459098</v>
      </c>
      <c r="AS1209" s="8">
        <f t="shared" si="331"/>
        <v>42.664524760110226</v>
      </c>
    </row>
    <row r="1210" spans="1:45">
      <c r="A1210" s="19">
        <v>44.110733330000002</v>
      </c>
      <c r="B1210" s="19">
        <v>1602.4180839999999</v>
      </c>
      <c r="C1210" s="19">
        <v>-343.69977230000001</v>
      </c>
      <c r="E1210" s="9">
        <f t="shared" si="317"/>
        <v>642.41808399999991</v>
      </c>
      <c r="F1210" s="9">
        <f t="shared" si="322"/>
        <v>196.30022769999999</v>
      </c>
      <c r="I1210">
        <v>1</v>
      </c>
      <c r="J1210">
        <f t="shared" si="318"/>
        <v>0.4200983023579834</v>
      </c>
      <c r="K1210">
        <f t="shared" si="323"/>
        <v>0.29655408520171606</v>
      </c>
      <c r="O1210">
        <f t="shared" si="324"/>
        <v>0.3900472026029877</v>
      </c>
      <c r="P1210">
        <f t="shared" si="325"/>
        <v>0.11918461916261146</v>
      </c>
      <c r="Q1210">
        <f t="shared" si="326"/>
        <v>0.91304885208659403</v>
      </c>
      <c r="R1210">
        <f t="shared" si="316"/>
        <v>1</v>
      </c>
      <c r="AG1210" s="8">
        <f t="shared" si="319"/>
        <v>0.72417835556913335</v>
      </c>
      <c r="AH1210" s="8">
        <f t="shared" si="320"/>
        <v>0.12915208021886354</v>
      </c>
      <c r="AI1210" s="8">
        <f t="shared" si="321"/>
        <v>0.67741084247325567</v>
      </c>
      <c r="AJ1210" s="8"/>
      <c r="AK1210" s="8"/>
      <c r="AL1210" s="8"/>
      <c r="AN1210" s="8">
        <f t="shared" si="327"/>
        <v>1</v>
      </c>
      <c r="AO1210" s="8">
        <f t="shared" si="328"/>
        <v>0.1764873970994503</v>
      </c>
      <c r="AP1210" s="8">
        <f t="shared" si="329"/>
        <v>0.82655918897674363</v>
      </c>
      <c r="AQ1210" s="8"/>
      <c r="AR1210" s="8">
        <f t="shared" si="330"/>
        <v>10.11198299104791</v>
      </c>
      <c r="AS1210" s="8">
        <f t="shared" si="331"/>
        <v>42.641646953876354</v>
      </c>
    </row>
    <row r="1211" spans="1:45">
      <c r="A1211" s="19">
        <v>44.144100000000002</v>
      </c>
      <c r="B1211" s="19">
        <v>1602.822658</v>
      </c>
      <c r="C1211" s="19">
        <v>-343.88569819999998</v>
      </c>
      <c r="E1211" s="9">
        <f t="shared" si="317"/>
        <v>642.82265800000005</v>
      </c>
      <c r="F1211" s="9">
        <f t="shared" si="322"/>
        <v>196.11430180000002</v>
      </c>
      <c r="I1211">
        <v>1</v>
      </c>
      <c r="J1211">
        <f t="shared" si="318"/>
        <v>0.42028435366502481</v>
      </c>
      <c r="K1211">
        <f t="shared" si="323"/>
        <v>0.29611360117981667</v>
      </c>
      <c r="O1211">
        <f t="shared" si="324"/>
        <v>0.39026213757121808</v>
      </c>
      <c r="P1211">
        <f t="shared" si="325"/>
        <v>0.1190623660760181</v>
      </c>
      <c r="Q1211">
        <f t="shared" si="326"/>
        <v>0.91297295521977206</v>
      </c>
      <c r="R1211">
        <f t="shared" si="316"/>
        <v>1</v>
      </c>
      <c r="AG1211" s="8">
        <f t="shared" si="319"/>
        <v>0.7242661873800641</v>
      </c>
      <c r="AH1211" s="8">
        <f t="shared" si="320"/>
        <v>0.12935592022789288</v>
      </c>
      <c r="AI1211" s="8">
        <f t="shared" si="321"/>
        <v>0.6772780342812994</v>
      </c>
      <c r="AJ1211" s="8"/>
      <c r="AK1211" s="8"/>
      <c r="AL1211" s="8"/>
      <c r="AN1211" s="8">
        <f t="shared" si="327"/>
        <v>1</v>
      </c>
      <c r="AO1211" s="8">
        <f t="shared" si="328"/>
        <v>0.17673919260911192</v>
      </c>
      <c r="AP1211" s="8">
        <f t="shared" si="329"/>
        <v>0.82673971680686753</v>
      </c>
      <c r="AQ1211" s="8"/>
      <c r="AR1211" s="8">
        <f t="shared" si="330"/>
        <v>10.126409811051865</v>
      </c>
      <c r="AS1211" s="8">
        <f t="shared" si="331"/>
        <v>42.631303471125598</v>
      </c>
    </row>
    <row r="1212" spans="1:45">
      <c r="A1212" s="19">
        <v>44.177466670000001</v>
      </c>
      <c r="B1212" s="19">
        <v>1603.552469</v>
      </c>
      <c r="C1212" s="19">
        <v>-344.16596529999998</v>
      </c>
      <c r="E1212" s="9">
        <f t="shared" si="317"/>
        <v>643.55246899999997</v>
      </c>
      <c r="F1212" s="9">
        <f t="shared" si="322"/>
        <v>195.83403470000002</v>
      </c>
      <c r="I1212">
        <v>1</v>
      </c>
      <c r="J1212">
        <f t="shared" si="318"/>
        <v>0.42062905074989099</v>
      </c>
      <c r="K1212">
        <f t="shared" si="323"/>
        <v>0.2953985132609715</v>
      </c>
      <c r="O1212">
        <f t="shared" si="324"/>
        <v>0.39064822294988222</v>
      </c>
      <c r="P1212">
        <f t="shared" si="325"/>
        <v>0.1188748724211026</v>
      </c>
      <c r="Q1212">
        <f t="shared" si="326"/>
        <v>0.91283225765359854</v>
      </c>
      <c r="R1212">
        <f t="shared" si="316"/>
        <v>1</v>
      </c>
      <c r="AG1212" s="8">
        <f t="shared" si="319"/>
        <v>0.72440155589615851</v>
      </c>
      <c r="AH1212" s="8">
        <f t="shared" si="320"/>
        <v>0.12972872288380999</v>
      </c>
      <c r="AI1212" s="8">
        <f t="shared" si="321"/>
        <v>0.67706192056130321</v>
      </c>
      <c r="AJ1212" s="8"/>
      <c r="AK1212" s="8"/>
      <c r="AL1212" s="8"/>
      <c r="AN1212" s="8">
        <f t="shared" si="327"/>
        <v>1.0000000000000002</v>
      </c>
      <c r="AO1212" s="8">
        <f t="shared" si="328"/>
        <v>0.17720553658058116</v>
      </c>
      <c r="AP1212" s="8">
        <f t="shared" si="329"/>
        <v>0.82703341876800873</v>
      </c>
      <c r="AQ1212" s="8"/>
      <c r="AR1212" s="8">
        <f t="shared" si="330"/>
        <v>10.153129352418423</v>
      </c>
      <c r="AS1212" s="8">
        <f t="shared" si="331"/>
        <v>42.614475588317489</v>
      </c>
    </row>
    <row r="1213" spans="1:45">
      <c r="A1213" s="19">
        <v>44.21083333</v>
      </c>
      <c r="B1213" s="19">
        <v>1604.3868660000001</v>
      </c>
      <c r="C1213" s="19">
        <v>-344.80569079999998</v>
      </c>
      <c r="E1213" s="9">
        <f t="shared" si="317"/>
        <v>644.38686600000005</v>
      </c>
      <c r="F1213" s="9">
        <f t="shared" si="322"/>
        <v>195.19430920000002</v>
      </c>
      <c r="I1213">
        <v>1</v>
      </c>
      <c r="J1213">
        <f t="shared" si="318"/>
        <v>0.42097147837996479</v>
      </c>
      <c r="K1213">
        <f t="shared" si="323"/>
        <v>0.29412875957604739</v>
      </c>
      <c r="O1213">
        <f t="shared" si="324"/>
        <v>0.39109798219101433</v>
      </c>
      <c r="P1213">
        <f t="shared" si="325"/>
        <v>0.11846936132818221</v>
      </c>
      <c r="Q1213">
        <f t="shared" si="326"/>
        <v>0.91269237903721412</v>
      </c>
      <c r="R1213">
        <f t="shared" si="316"/>
        <v>1</v>
      </c>
      <c r="AG1213" s="8">
        <f t="shared" si="319"/>
        <v>0.72468875910454045</v>
      </c>
      <c r="AH1213" s="8">
        <f t="shared" si="320"/>
        <v>0.13012467678158895</v>
      </c>
      <c r="AI1213" s="8">
        <f t="shared" si="321"/>
        <v>0.67667848415625609</v>
      </c>
      <c r="AJ1213" s="8"/>
      <c r="AK1213" s="8"/>
      <c r="AL1213" s="8"/>
      <c r="AN1213" s="8">
        <f t="shared" si="327"/>
        <v>1.0000000000000002</v>
      </c>
      <c r="AO1213" s="8">
        <f t="shared" si="328"/>
        <v>0.1776661302413626</v>
      </c>
      <c r="AP1213" s="8">
        <f t="shared" si="329"/>
        <v>0.82755431969888049</v>
      </c>
      <c r="AQ1213" s="8"/>
      <c r="AR1213" s="8">
        <f t="shared" si="330"/>
        <v>10.179519425251678</v>
      </c>
      <c r="AS1213" s="8">
        <f t="shared" si="331"/>
        <v>42.584630163434106</v>
      </c>
    </row>
    <row r="1214" spans="1:45">
      <c r="A1214" s="19">
        <v>44.244199999999999</v>
      </c>
      <c r="B1214" s="19">
        <v>1604.6242259999999</v>
      </c>
      <c r="C1214" s="19">
        <v>-345.02582430000001</v>
      </c>
      <c r="E1214" s="9">
        <f t="shared" si="317"/>
        <v>644.62422599999991</v>
      </c>
      <c r="F1214" s="9">
        <f t="shared" si="322"/>
        <v>194.97417569999999</v>
      </c>
      <c r="I1214">
        <v>1</v>
      </c>
      <c r="J1214">
        <f t="shared" si="318"/>
        <v>0.42106280694374137</v>
      </c>
      <c r="K1214">
        <f t="shared" si="323"/>
        <v>0.29371375367815844</v>
      </c>
      <c r="O1214">
        <f t="shared" si="324"/>
        <v>0.39122689759991036</v>
      </c>
      <c r="P1214">
        <f t="shared" si="325"/>
        <v>0.11833117465121586</v>
      </c>
      <c r="Q1214">
        <f t="shared" si="326"/>
        <v>0.9126550540593158</v>
      </c>
      <c r="R1214">
        <f t="shared" si="316"/>
        <v>1</v>
      </c>
      <c r="AG1214" s="8">
        <f t="shared" si="319"/>
        <v>0.72478624093714739</v>
      </c>
      <c r="AH1214" s="8">
        <f t="shared" si="320"/>
        <v>0.13023368614114911</v>
      </c>
      <c r="AI1214" s="8">
        <f t="shared" si="321"/>
        <v>0.67655309617375037</v>
      </c>
      <c r="AJ1214" s="8"/>
      <c r="AK1214" s="8"/>
      <c r="AL1214" s="8"/>
      <c r="AN1214" s="8">
        <f t="shared" si="327"/>
        <v>0.99999999999999989</v>
      </c>
      <c r="AO1214" s="8">
        <f t="shared" si="328"/>
        <v>0.17778843595676763</v>
      </c>
      <c r="AP1214" s="8">
        <f t="shared" si="329"/>
        <v>0.82772460600911724</v>
      </c>
      <c r="AQ1214" s="8"/>
      <c r="AR1214" s="8">
        <f t="shared" si="330"/>
        <v>10.186527026554716</v>
      </c>
      <c r="AS1214" s="8">
        <f t="shared" si="331"/>
        <v>42.574873476548682</v>
      </c>
    </row>
    <row r="1215" spans="1:45">
      <c r="A1215" s="19">
        <v>44.277566669999999</v>
      </c>
      <c r="B1215" s="19">
        <v>1604.9955399999999</v>
      </c>
      <c r="C1215" s="19">
        <v>-345.02693599999998</v>
      </c>
      <c r="E1215" s="9">
        <f t="shared" si="317"/>
        <v>644.99553999999989</v>
      </c>
      <c r="F1215" s="9">
        <f t="shared" si="322"/>
        <v>194.97306400000002</v>
      </c>
      <c r="I1215">
        <v>1</v>
      </c>
      <c r="J1215">
        <f t="shared" si="318"/>
        <v>0.42126124839329676</v>
      </c>
      <c r="K1215">
        <f t="shared" si="323"/>
        <v>0.29355263829415301</v>
      </c>
      <c r="O1215">
        <f t="shared" si="324"/>
        <v>0.39141931090882592</v>
      </c>
      <c r="P1215">
        <f t="shared" si="325"/>
        <v>0.11832054273842332</v>
      </c>
      <c r="Q1215">
        <f t="shared" si="326"/>
        <v>0.91257392698550444</v>
      </c>
      <c r="R1215">
        <f t="shared" si="316"/>
        <v>1</v>
      </c>
      <c r="AG1215" s="8">
        <f t="shared" si="319"/>
        <v>0.72479610877337575</v>
      </c>
      <c r="AH1215" s="8">
        <f t="shared" si="320"/>
        <v>0.13043655205135507</v>
      </c>
      <c r="AI1215" s="8">
        <f t="shared" si="321"/>
        <v>0.67650344167337895</v>
      </c>
      <c r="AJ1215" s="8"/>
      <c r="AK1215" s="8"/>
      <c r="AL1215" s="8"/>
      <c r="AN1215" s="8">
        <f t="shared" si="327"/>
        <v>0.99999999999999978</v>
      </c>
      <c r="AO1215" s="8">
        <f t="shared" si="328"/>
        <v>0.17805719263099881</v>
      </c>
      <c r="AP1215" s="8">
        <f t="shared" si="329"/>
        <v>0.82779203319118477</v>
      </c>
      <c r="AQ1215" s="8"/>
      <c r="AR1215" s="8">
        <f t="shared" si="330"/>
        <v>10.201925649704135</v>
      </c>
      <c r="AS1215" s="8">
        <f t="shared" si="331"/>
        <v>42.571010183591753</v>
      </c>
    </row>
    <row r="1216" spans="1:45">
      <c r="A1216" s="19">
        <v>44.310933329999997</v>
      </c>
      <c r="B1216" s="19">
        <v>1605.4151420000001</v>
      </c>
      <c r="C1216" s="19">
        <v>-344.9987127</v>
      </c>
      <c r="E1216" s="9">
        <f t="shared" si="317"/>
        <v>645.41514200000006</v>
      </c>
      <c r="F1216" s="9">
        <f t="shared" si="322"/>
        <v>195.0012873</v>
      </c>
      <c r="I1216">
        <v>1</v>
      </c>
      <c r="J1216">
        <f t="shared" si="318"/>
        <v>0.42149022981345285</v>
      </c>
      <c r="K1216">
        <f t="shared" si="323"/>
        <v>0.29341262992882805</v>
      </c>
      <c r="O1216">
        <f t="shared" si="324"/>
        <v>0.39163589460374582</v>
      </c>
      <c r="P1216">
        <f t="shared" si="325"/>
        <v>0.11832617276992483</v>
      </c>
      <c r="Q1216">
        <f t="shared" si="326"/>
        <v>0.91248026986644792</v>
      </c>
      <c r="R1216">
        <f t="shared" si="316"/>
        <v>1</v>
      </c>
      <c r="AG1216" s="8">
        <f t="shared" si="319"/>
        <v>0.72479497678343852</v>
      </c>
      <c r="AH1216" s="8">
        <f t="shared" si="320"/>
        <v>0.13066852932007744</v>
      </c>
      <c r="AI1216" s="8">
        <f t="shared" si="321"/>
        <v>0.67645988578394123</v>
      </c>
      <c r="AJ1216" s="8"/>
      <c r="AK1216" s="8"/>
      <c r="AL1216" s="8"/>
      <c r="AN1216" s="8">
        <f t="shared" si="327"/>
        <v>1</v>
      </c>
      <c r="AO1216" s="8">
        <f t="shared" si="328"/>
        <v>0.17836746621503877</v>
      </c>
      <c r="AP1216" s="8">
        <f t="shared" si="329"/>
        <v>0.82785117546706799</v>
      </c>
      <c r="AQ1216" s="8"/>
      <c r="AR1216" s="8">
        <f t="shared" si="330"/>
        <v>10.219703016564022</v>
      </c>
      <c r="AS1216" s="8">
        <f t="shared" si="331"/>
        <v>42.567621580792846</v>
      </c>
    </row>
    <row r="1217" spans="1:45">
      <c r="A1217" s="19">
        <v>44.344299999999997</v>
      </c>
      <c r="B1217" s="19">
        <v>1605.781332</v>
      </c>
      <c r="C1217" s="19">
        <v>-345.35454019999997</v>
      </c>
      <c r="E1217" s="9">
        <f t="shared" si="317"/>
        <v>645.78133200000002</v>
      </c>
      <c r="F1217" s="9">
        <f t="shared" si="322"/>
        <v>194.64545980000003</v>
      </c>
      <c r="I1217">
        <v>1</v>
      </c>
      <c r="J1217">
        <f t="shared" si="318"/>
        <v>0.42162864679102824</v>
      </c>
      <c r="K1217">
        <f t="shared" si="323"/>
        <v>0.29275059180175222</v>
      </c>
      <c r="O1217">
        <f t="shared" si="324"/>
        <v>0.39183507050466804</v>
      </c>
      <c r="P1217">
        <f t="shared" si="325"/>
        <v>0.11810331715216961</v>
      </c>
      <c r="Q1217">
        <f t="shared" si="326"/>
        <v>0.91242363187296716</v>
      </c>
      <c r="R1217">
        <f t="shared" si="316"/>
        <v>1</v>
      </c>
      <c r="AG1217" s="8">
        <f t="shared" si="319"/>
        <v>0.72495193777067546</v>
      </c>
      <c r="AH1217" s="8">
        <f t="shared" si="320"/>
        <v>0.13083508210554917</v>
      </c>
      <c r="AI1217" s="8">
        <f t="shared" si="321"/>
        <v>0.67625946885273036</v>
      </c>
      <c r="AJ1217" s="8"/>
      <c r="AK1217" s="8"/>
      <c r="AL1217" s="8"/>
      <c r="AN1217" s="8">
        <f t="shared" si="327"/>
        <v>1</v>
      </c>
      <c r="AO1217" s="8">
        <f t="shared" si="328"/>
        <v>0.17855216635174539</v>
      </c>
      <c r="AP1217" s="8">
        <f t="shared" si="329"/>
        <v>0.82812326980023709</v>
      </c>
      <c r="AQ1217" s="8"/>
      <c r="AR1217" s="8">
        <f t="shared" si="330"/>
        <v>10.2302855548728</v>
      </c>
      <c r="AS1217" s="8">
        <f t="shared" si="331"/>
        <v>42.55203172387283</v>
      </c>
    </row>
    <row r="1218" spans="1:45">
      <c r="A1218" s="19">
        <v>44.377666670000004</v>
      </c>
      <c r="B1218" s="19">
        <v>1606.976897</v>
      </c>
      <c r="C1218" s="19">
        <v>-345.89258860000001</v>
      </c>
      <c r="E1218" s="9">
        <f t="shared" si="317"/>
        <v>646.97689700000001</v>
      </c>
      <c r="F1218" s="9">
        <f t="shared" si="322"/>
        <v>194.10741139999999</v>
      </c>
      <c r="I1218">
        <v>1</v>
      </c>
      <c r="J1218">
        <f t="shared" si="318"/>
        <v>0.42218151752045152</v>
      </c>
      <c r="K1218">
        <f t="shared" si="323"/>
        <v>0.29147713213315646</v>
      </c>
      <c r="O1218">
        <f t="shared" si="324"/>
        <v>0.39246826736548746</v>
      </c>
      <c r="P1218">
        <f t="shared" si="325"/>
        <v>0.11774918051665433</v>
      </c>
      <c r="Q1218">
        <f t="shared" si="326"/>
        <v>0.9121972317425594</v>
      </c>
      <c r="R1218">
        <f t="shared" si="316"/>
        <v>1</v>
      </c>
      <c r="AG1218" s="8">
        <f t="shared" si="319"/>
        <v>0.72520503316494767</v>
      </c>
      <c r="AH1218" s="8">
        <f t="shared" si="320"/>
        <v>0.13143740435787554</v>
      </c>
      <c r="AI1218" s="8">
        <f t="shared" si="321"/>
        <v>0.67587119231987647</v>
      </c>
      <c r="AJ1218" s="8"/>
      <c r="AK1218" s="8"/>
      <c r="AL1218" s="8"/>
      <c r="AN1218" s="8">
        <f t="shared" si="327"/>
        <v>1</v>
      </c>
      <c r="AO1218" s="8">
        <f t="shared" si="328"/>
        <v>0.17929542391030043</v>
      </c>
      <c r="AP1218" s="8">
        <f t="shared" si="329"/>
        <v>0.82865021684542517</v>
      </c>
      <c r="AQ1218" s="8"/>
      <c r="AR1218" s="8">
        <f t="shared" si="330"/>
        <v>10.272871076069201</v>
      </c>
      <c r="AS1218" s="8">
        <f t="shared" si="331"/>
        <v>42.521839882156662</v>
      </c>
    </row>
    <row r="1219" spans="1:45">
      <c r="A1219" s="19">
        <v>44.411033330000002</v>
      </c>
      <c r="B1219" s="19">
        <v>1607.2736970000001</v>
      </c>
      <c r="C1219" s="19">
        <v>-346.03956890000001</v>
      </c>
      <c r="E1219" s="9">
        <f t="shared" si="317"/>
        <v>647.27369700000008</v>
      </c>
      <c r="F1219" s="9">
        <f t="shared" si="322"/>
        <v>193.96043109999999</v>
      </c>
      <c r="I1219">
        <v>1</v>
      </c>
      <c r="J1219">
        <f t="shared" si="318"/>
        <v>0.42231667241367721</v>
      </c>
      <c r="K1219">
        <f t="shared" si="323"/>
        <v>0.29114256345298373</v>
      </c>
      <c r="O1219">
        <f t="shared" si="324"/>
        <v>0.39262573653785682</v>
      </c>
      <c r="P1219">
        <f t="shared" si="325"/>
        <v>0.11765325467850382</v>
      </c>
      <c r="Q1219">
        <f t="shared" si="326"/>
        <v>0.91214184350443028</v>
      </c>
      <c r="R1219">
        <f t="shared" si="316"/>
        <v>1</v>
      </c>
      <c r="AG1219" s="8">
        <f t="shared" si="319"/>
        <v>0.72527334462917947</v>
      </c>
      <c r="AH1219" s="8">
        <f t="shared" si="320"/>
        <v>0.1315856124257781</v>
      </c>
      <c r="AI1219" s="8">
        <f t="shared" si="321"/>
        <v>0.67576904499461676</v>
      </c>
      <c r="AJ1219" s="8"/>
      <c r="AK1219" s="8"/>
      <c r="AL1219" s="8"/>
      <c r="AN1219" s="8">
        <f t="shared" si="327"/>
        <v>1</v>
      </c>
      <c r="AO1219" s="8">
        <f t="shared" si="328"/>
        <v>0.17947673904032091</v>
      </c>
      <c r="AP1219" s="8">
        <f t="shared" si="329"/>
        <v>0.82878880313610204</v>
      </c>
      <c r="AQ1219" s="8"/>
      <c r="AR1219" s="8">
        <f t="shared" si="330"/>
        <v>10.283259667781241</v>
      </c>
      <c r="AS1219" s="8">
        <f t="shared" si="331"/>
        <v>42.513899472602503</v>
      </c>
    </row>
    <row r="1220" spans="1:45">
      <c r="A1220" s="19">
        <v>44.444400000000002</v>
      </c>
      <c r="B1220" s="19">
        <v>1607.4857770000001</v>
      </c>
      <c r="C1220" s="19">
        <v>-346.33301060000002</v>
      </c>
      <c r="E1220" s="9">
        <f t="shared" si="317"/>
        <v>647.4857770000001</v>
      </c>
      <c r="F1220" s="9">
        <f t="shared" si="322"/>
        <v>193.66698939999998</v>
      </c>
      <c r="I1220">
        <v>1</v>
      </c>
      <c r="J1220">
        <f t="shared" si="318"/>
        <v>0.42238311016446273</v>
      </c>
      <c r="K1220">
        <f t="shared" si="323"/>
        <v>0.29063656324636888</v>
      </c>
      <c r="O1220">
        <f t="shared" si="324"/>
        <v>0.39274327713798785</v>
      </c>
      <c r="P1220">
        <f t="shared" si="325"/>
        <v>0.11747193651545483</v>
      </c>
      <c r="Q1220">
        <f t="shared" si="326"/>
        <v>0.91211461033919561</v>
      </c>
      <c r="R1220">
        <f t="shared" si="316"/>
        <v>1</v>
      </c>
      <c r="AG1220" s="8">
        <f t="shared" si="319"/>
        <v>0.72540029795953476</v>
      </c>
      <c r="AH1220" s="8">
        <f t="shared" si="320"/>
        <v>0.13167375517998586</v>
      </c>
      <c r="AI1220" s="8">
        <f t="shared" si="321"/>
        <v>0.67561559330511256</v>
      </c>
      <c r="AJ1220" s="8"/>
      <c r="AK1220" s="8"/>
      <c r="AL1220" s="8"/>
      <c r="AN1220" s="8">
        <f t="shared" si="327"/>
        <v>1</v>
      </c>
      <c r="AO1220" s="8">
        <f t="shared" si="328"/>
        <v>0.17956363431749503</v>
      </c>
      <c r="AP1220" s="8">
        <f t="shared" si="329"/>
        <v>0.82899696248479693</v>
      </c>
      <c r="AQ1220" s="8"/>
      <c r="AR1220" s="8">
        <f t="shared" si="330"/>
        <v>10.288238400422937</v>
      </c>
      <c r="AS1220" s="8">
        <f t="shared" si="331"/>
        <v>42.501972820456096</v>
      </c>
    </row>
    <row r="1221" spans="1:45">
      <c r="A1221" s="19">
        <v>44.477766670000001</v>
      </c>
      <c r="B1221" s="19">
        <v>1608.23783</v>
      </c>
      <c r="C1221" s="19">
        <v>-346.72522509999999</v>
      </c>
      <c r="E1221" s="9">
        <f t="shared" si="317"/>
        <v>648.23783000000003</v>
      </c>
      <c r="F1221" s="9">
        <f t="shared" si="322"/>
        <v>193.27477490000001</v>
      </c>
      <c r="I1221">
        <v>1</v>
      </c>
      <c r="J1221">
        <f t="shared" si="318"/>
        <v>0.4227226790352252</v>
      </c>
      <c r="K1221">
        <f t="shared" si="323"/>
        <v>0.28976246054473115</v>
      </c>
      <c r="O1221">
        <f t="shared" si="324"/>
        <v>0.3931426007804163</v>
      </c>
      <c r="P1221">
        <f t="shared" si="325"/>
        <v>0.11721708322612943</v>
      </c>
      <c r="Q1221">
        <f t="shared" si="326"/>
        <v>0.91197535649356709</v>
      </c>
      <c r="R1221">
        <f t="shared" si="316"/>
        <v>1</v>
      </c>
      <c r="AG1221" s="8">
        <f t="shared" si="319"/>
        <v>0.72558134684987663</v>
      </c>
      <c r="AH1221" s="8">
        <f t="shared" si="320"/>
        <v>0.13204729864299697</v>
      </c>
      <c r="AI1221" s="8">
        <f t="shared" si="321"/>
        <v>0.675348221308538</v>
      </c>
      <c r="AJ1221" s="8"/>
      <c r="AK1221" s="8"/>
      <c r="AL1221" s="8"/>
      <c r="AN1221" s="8">
        <f t="shared" si="327"/>
        <v>0.99999999999999978</v>
      </c>
      <c r="AO1221" s="8">
        <f t="shared" si="328"/>
        <v>0.18001814633957902</v>
      </c>
      <c r="AP1221" s="8">
        <f t="shared" si="329"/>
        <v>0.82935956148213641</v>
      </c>
      <c r="AQ1221" s="8"/>
      <c r="AR1221" s="8">
        <f t="shared" si="330"/>
        <v>10.314280021026308</v>
      </c>
      <c r="AS1221" s="8">
        <f t="shared" si="331"/>
        <v>42.481197428252869</v>
      </c>
    </row>
    <row r="1222" spans="1:45">
      <c r="A1222" s="19">
        <v>44.51113333</v>
      </c>
      <c r="B1222" s="19">
        <v>1609.0083119999999</v>
      </c>
      <c r="C1222" s="19">
        <v>-346.81683429999998</v>
      </c>
      <c r="E1222" s="9">
        <f t="shared" si="317"/>
        <v>649.00831199999993</v>
      </c>
      <c r="F1222" s="9">
        <f t="shared" si="322"/>
        <v>193.18316570000002</v>
      </c>
      <c r="I1222">
        <v>1</v>
      </c>
      <c r="J1222">
        <f t="shared" si="318"/>
        <v>0.42312010030576019</v>
      </c>
      <c r="K1222">
        <f t="shared" si="323"/>
        <v>0.28930770746975154</v>
      </c>
      <c r="O1222">
        <f t="shared" si="324"/>
        <v>0.39354320994379405</v>
      </c>
      <c r="P1222">
        <f t="shared" si="325"/>
        <v>0.11714167866725546</v>
      </c>
      <c r="Q1222">
        <f t="shared" si="326"/>
        <v>0.91181224439363195</v>
      </c>
      <c r="R1222">
        <f t="shared" si="316"/>
        <v>1</v>
      </c>
      <c r="AG1222" s="8">
        <f t="shared" si="319"/>
        <v>0.72563800170955284</v>
      </c>
      <c r="AH1222" s="8">
        <f t="shared" si="320"/>
        <v>0.13245905280338499</v>
      </c>
      <c r="AI1222" s="8">
        <f t="shared" si="321"/>
        <v>0.67520670154064466</v>
      </c>
      <c r="AJ1222" s="8"/>
      <c r="AK1222" s="8"/>
      <c r="AL1222" s="8"/>
      <c r="AN1222" s="8">
        <f t="shared" si="327"/>
        <v>1</v>
      </c>
      <c r="AO1222" s="8">
        <f t="shared" si="328"/>
        <v>0.18055358724165657</v>
      </c>
      <c r="AP1222" s="8">
        <f t="shared" si="329"/>
        <v>0.82955143609667725</v>
      </c>
      <c r="AQ1222" s="8"/>
      <c r="AR1222" s="8">
        <f t="shared" si="330"/>
        <v>10.344958524894029</v>
      </c>
      <c r="AS1222" s="8">
        <f t="shared" si="331"/>
        <v>42.470203822643981</v>
      </c>
    </row>
    <row r="1223" spans="1:45">
      <c r="A1223" s="19">
        <v>44.544499999999999</v>
      </c>
      <c r="B1223" s="19">
        <v>1608.9453249999999</v>
      </c>
      <c r="C1223" s="19">
        <v>-346.82253250000002</v>
      </c>
      <c r="E1223" s="9">
        <f t="shared" si="317"/>
        <v>648.94532499999991</v>
      </c>
      <c r="F1223" s="9">
        <f t="shared" si="322"/>
        <v>193.17746749999998</v>
      </c>
      <c r="I1223">
        <v>1</v>
      </c>
      <c r="J1223">
        <f t="shared" si="318"/>
        <v>0.42308551424109359</v>
      </c>
      <c r="K1223">
        <f t="shared" si="323"/>
        <v>0.28932618084388173</v>
      </c>
      <c r="O1223">
        <f t="shared" si="324"/>
        <v>0.39351082039349705</v>
      </c>
      <c r="P1223">
        <f t="shared" si="325"/>
        <v>0.11713995122387716</v>
      </c>
      <c r="Q1223">
        <f t="shared" si="326"/>
        <v>0.91182644514211397</v>
      </c>
      <c r="R1223">
        <f t="shared" si="316"/>
        <v>1</v>
      </c>
      <c r="AG1223" s="8">
        <f t="shared" si="319"/>
        <v>0.72563884310378257</v>
      </c>
      <c r="AH1223" s="8">
        <f t="shared" si="320"/>
        <v>0.13242415681607156</v>
      </c>
      <c r="AI1223" s="8">
        <f t="shared" si="321"/>
        <v>0.67521264211399101</v>
      </c>
      <c r="AJ1223" s="8"/>
      <c r="AK1223" s="8"/>
      <c r="AL1223" s="8"/>
      <c r="AN1223" s="8">
        <f t="shared" si="327"/>
        <v>1</v>
      </c>
      <c r="AO1223" s="8">
        <f t="shared" si="328"/>
        <v>0.18050684273978418</v>
      </c>
      <c r="AP1223" s="8">
        <f t="shared" si="329"/>
        <v>0.82954338245630943</v>
      </c>
      <c r="AQ1223" s="8"/>
      <c r="AR1223" s="8">
        <f t="shared" si="330"/>
        <v>10.342280262221299</v>
      </c>
      <c r="AS1223" s="8">
        <f t="shared" si="331"/>
        <v>42.470665262246769</v>
      </c>
    </row>
    <row r="1224" spans="1:45">
      <c r="A1224" s="19">
        <v>44.577866669999999</v>
      </c>
      <c r="B1224" s="19">
        <v>1609.4803199999999</v>
      </c>
      <c r="C1224" s="19">
        <v>-347.06902530000002</v>
      </c>
      <c r="E1224" s="9">
        <f t="shared" si="317"/>
        <v>649.48031999999989</v>
      </c>
      <c r="F1224" s="9">
        <f t="shared" si="322"/>
        <v>192.93097469999998</v>
      </c>
      <c r="I1224">
        <v>1</v>
      </c>
      <c r="J1224">
        <f t="shared" si="318"/>
        <v>0.42333238043651011</v>
      </c>
      <c r="K1224">
        <f t="shared" si="323"/>
        <v>0.28875220603129093</v>
      </c>
      <c r="O1224">
        <f t="shared" si="324"/>
        <v>0.39379375896362012</v>
      </c>
      <c r="P1224">
        <f t="shared" si="325"/>
        <v>0.11697816147474352</v>
      </c>
      <c r="Q1224">
        <f t="shared" si="326"/>
        <v>0.91172506005883758</v>
      </c>
      <c r="R1224">
        <f t="shared" si="316"/>
        <v>1</v>
      </c>
      <c r="AG1224" s="8">
        <f t="shared" si="319"/>
        <v>0.72575389748770713</v>
      </c>
      <c r="AH1224" s="8">
        <f t="shared" si="320"/>
        <v>0.13269276437538341</v>
      </c>
      <c r="AI1224" s="8">
        <f t="shared" si="321"/>
        <v>0.67503622907501915</v>
      </c>
      <c r="AJ1224" s="8"/>
      <c r="AK1224" s="8"/>
      <c r="AL1224" s="8"/>
      <c r="AN1224" s="8">
        <f t="shared" si="327"/>
        <v>1</v>
      </c>
      <c r="AO1224" s="8">
        <f t="shared" si="328"/>
        <v>0.18083700407565911</v>
      </c>
      <c r="AP1224" s="8">
        <f t="shared" si="329"/>
        <v>0.82978252047383305</v>
      </c>
      <c r="AQ1224" s="8"/>
      <c r="AR1224" s="8">
        <f t="shared" si="330"/>
        <v>10.361197113325334</v>
      </c>
      <c r="AS1224" s="8">
        <f t="shared" si="331"/>
        <v>42.456963663121542</v>
      </c>
    </row>
    <row r="1225" spans="1:45">
      <c r="A1225" s="19">
        <v>44.611233329999997</v>
      </c>
      <c r="B1225" s="19">
        <v>1610.2996410000001</v>
      </c>
      <c r="C1225" s="19">
        <v>-347.17227229999997</v>
      </c>
      <c r="E1225" s="9">
        <f t="shared" si="317"/>
        <v>650.29964100000007</v>
      </c>
      <c r="F1225" s="9">
        <f t="shared" si="322"/>
        <v>192.82772770000003</v>
      </c>
      <c r="I1225">
        <v>1</v>
      </c>
      <c r="J1225">
        <f t="shared" si="318"/>
        <v>0.4237540250450284</v>
      </c>
      <c r="K1225">
        <f t="shared" si="323"/>
        <v>0.28826232519302297</v>
      </c>
      <c r="O1225">
        <f t="shared" si="324"/>
        <v>0.39421954441041446</v>
      </c>
      <c r="P1225">
        <f t="shared" si="325"/>
        <v>0.11689451165418904</v>
      </c>
      <c r="Q1225">
        <f t="shared" si="326"/>
        <v>0.91155176701599006</v>
      </c>
      <c r="R1225">
        <f t="shared" si="316"/>
        <v>1</v>
      </c>
      <c r="AG1225" s="8">
        <f t="shared" si="319"/>
        <v>0.72581626171068681</v>
      </c>
      <c r="AH1225" s="8">
        <f t="shared" si="320"/>
        <v>0.13312978477837323</v>
      </c>
      <c r="AI1225" s="8">
        <f t="shared" si="321"/>
        <v>0.67488311183581096</v>
      </c>
      <c r="AJ1225" s="8"/>
      <c r="AK1225" s="8"/>
      <c r="AL1225" s="8"/>
      <c r="AN1225" s="8">
        <f t="shared" si="327"/>
        <v>0.99999999999999978</v>
      </c>
      <c r="AO1225" s="8">
        <f t="shared" si="328"/>
        <v>0.18140437604441409</v>
      </c>
      <c r="AP1225" s="8">
        <f t="shared" si="329"/>
        <v>0.82999003728757914</v>
      </c>
      <c r="AQ1225" s="8"/>
      <c r="AR1225" s="8">
        <f t="shared" si="330"/>
        <v>10.393705132549023</v>
      </c>
      <c r="AS1225" s="8">
        <f t="shared" si="331"/>
        <v>42.445073825515891</v>
      </c>
    </row>
    <row r="1226" spans="1:45">
      <c r="A1226" s="19">
        <v>44.644599999999997</v>
      </c>
      <c r="B1226" s="19">
        <v>1610.7037700000001</v>
      </c>
      <c r="C1226" s="19">
        <v>-347.03157140000002</v>
      </c>
      <c r="E1226" s="9">
        <f t="shared" si="317"/>
        <v>650.70377000000008</v>
      </c>
      <c r="F1226" s="9">
        <f t="shared" si="322"/>
        <v>192.96842859999998</v>
      </c>
      <c r="I1226">
        <v>1</v>
      </c>
      <c r="J1226">
        <f t="shared" si="318"/>
        <v>0.42399233441118239</v>
      </c>
      <c r="K1226">
        <f t="shared" si="323"/>
        <v>0.28829180300675566</v>
      </c>
      <c r="O1226">
        <f t="shared" si="324"/>
        <v>0.39442435363976186</v>
      </c>
      <c r="P1226">
        <f t="shared" si="325"/>
        <v>0.11696789112415241</v>
      </c>
      <c r="Q1226">
        <f t="shared" si="326"/>
        <v>0.91145375181729571</v>
      </c>
      <c r="R1226">
        <f t="shared" si="316"/>
        <v>1</v>
      </c>
      <c r="AG1226" s="8">
        <f t="shared" si="319"/>
        <v>0.72576756205444015</v>
      </c>
      <c r="AH1226" s="8">
        <f t="shared" si="320"/>
        <v>0.13336329576626393</v>
      </c>
      <c r="AI1226" s="8">
        <f t="shared" si="321"/>
        <v>0.67488938146329913</v>
      </c>
      <c r="AJ1226" s="8"/>
      <c r="AK1226" s="8"/>
      <c r="AL1226" s="8"/>
      <c r="AN1226" s="8">
        <f t="shared" si="327"/>
        <v>1.0000000000000002</v>
      </c>
      <c r="AO1226" s="8">
        <f t="shared" si="328"/>
        <v>0.18172753531458616</v>
      </c>
      <c r="AP1226" s="8">
        <f t="shared" si="329"/>
        <v>0.82998154095686483</v>
      </c>
      <c r="AQ1226" s="8"/>
      <c r="AR1226" s="8">
        <f t="shared" si="330"/>
        <v>10.41222079484041</v>
      </c>
      <c r="AS1226" s="8">
        <f t="shared" si="331"/>
        <v>42.445560629407169</v>
      </c>
    </row>
    <row r="1227" spans="1:45">
      <c r="A1227" s="19">
        <v>44.677966670000004</v>
      </c>
      <c r="B1227" s="19">
        <v>1611.2806129999999</v>
      </c>
      <c r="C1227" s="19">
        <v>-347.06061169999998</v>
      </c>
      <c r="E1227" s="9">
        <f t="shared" si="317"/>
        <v>651.2806129999999</v>
      </c>
      <c r="F1227" s="9">
        <f t="shared" si="322"/>
        <v>192.93938830000002</v>
      </c>
      <c r="I1227">
        <v>1</v>
      </c>
      <c r="J1227">
        <f t="shared" si="318"/>
        <v>0.4242959971400892</v>
      </c>
      <c r="K1227">
        <f t="shared" si="323"/>
        <v>0.2880093671846799</v>
      </c>
      <c r="O1227">
        <f t="shared" si="324"/>
        <v>0.39472273016276938</v>
      </c>
      <c r="P1227">
        <f t="shared" si="325"/>
        <v>0.11693509769146267</v>
      </c>
      <c r="Q1227">
        <f t="shared" si="326"/>
        <v>0.91132878217509272</v>
      </c>
      <c r="R1227">
        <f t="shared" si="316"/>
        <v>1</v>
      </c>
      <c r="AG1227" s="8">
        <f t="shared" si="319"/>
        <v>0.72579323040426114</v>
      </c>
      <c r="AH1227" s="8">
        <f t="shared" si="320"/>
        <v>0.13367489768204244</v>
      </c>
      <c r="AI1227" s="8">
        <f t="shared" si="321"/>
        <v>0.67480012479921969</v>
      </c>
      <c r="AJ1227" s="8"/>
      <c r="AK1227" s="8"/>
      <c r="AL1227" s="8"/>
      <c r="AN1227" s="8">
        <f t="shared" si="327"/>
        <v>1</v>
      </c>
      <c r="AO1227" s="8">
        <f t="shared" si="328"/>
        <v>0.18213652112156939</v>
      </c>
      <c r="AP1227" s="8">
        <f t="shared" si="329"/>
        <v>0.83010249154666516</v>
      </c>
      <c r="AQ1227" s="8"/>
      <c r="AR1227" s="8">
        <f t="shared" si="330"/>
        <v>10.435653955461301</v>
      </c>
      <c r="AS1227" s="8">
        <f t="shared" si="331"/>
        <v>42.438630671081988</v>
      </c>
    </row>
    <row r="1228" spans="1:45">
      <c r="A1228" s="19">
        <v>44.711333330000002</v>
      </c>
      <c r="B1228" s="19">
        <v>1611.966134</v>
      </c>
      <c r="C1228" s="19">
        <v>-348.20358240000002</v>
      </c>
      <c r="E1228" s="9">
        <f t="shared" si="317"/>
        <v>651.96613400000001</v>
      </c>
      <c r="F1228" s="9">
        <f t="shared" si="322"/>
        <v>191.79641759999998</v>
      </c>
      <c r="I1228">
        <v>1</v>
      </c>
      <c r="J1228">
        <f t="shared" si="318"/>
        <v>0.42448204069351464</v>
      </c>
      <c r="K1228">
        <f t="shared" si="323"/>
        <v>0.28611026959421021</v>
      </c>
      <c r="O1228">
        <f t="shared" si="324"/>
        <v>0.39510673713731576</v>
      </c>
      <c r="P1228">
        <f t="shared" si="325"/>
        <v>0.11623311825666396</v>
      </c>
      <c r="Q1228">
        <f t="shared" si="326"/>
        <v>0.91125217612307319</v>
      </c>
      <c r="R1228">
        <f t="shared" si="316"/>
        <v>1</v>
      </c>
      <c r="AG1228" s="8">
        <f t="shared" si="319"/>
        <v>0.72628261190154086</v>
      </c>
      <c r="AH1228" s="8">
        <f t="shared" si="320"/>
        <v>0.13394088953692412</v>
      </c>
      <c r="AI1228" s="8">
        <f t="shared" si="321"/>
        <v>0.67422059131973511</v>
      </c>
      <c r="AJ1228" s="8"/>
      <c r="AK1228" s="8"/>
      <c r="AL1228" s="8"/>
      <c r="AN1228" s="8">
        <f t="shared" si="327"/>
        <v>1</v>
      </c>
      <c r="AO1228" s="8">
        <f t="shared" si="328"/>
        <v>0.18237070229849861</v>
      </c>
      <c r="AP1228" s="8">
        <f t="shared" si="329"/>
        <v>0.83088748505221055</v>
      </c>
      <c r="AQ1228" s="8"/>
      <c r="AR1228" s="8">
        <f t="shared" si="330"/>
        <v>10.449071548540752</v>
      </c>
      <c r="AS1228" s="8">
        <f t="shared" si="331"/>
        <v>42.393653856269061</v>
      </c>
    </row>
    <row r="1229" spans="1:45">
      <c r="A1229" s="19">
        <v>44.744700000000002</v>
      </c>
      <c r="B1229" s="19">
        <v>1612.644787</v>
      </c>
      <c r="C1229" s="19">
        <v>-348.75067660000002</v>
      </c>
      <c r="E1229" s="9">
        <f t="shared" si="317"/>
        <v>652.64478699999995</v>
      </c>
      <c r="F1229" s="9">
        <f t="shared" si="322"/>
        <v>191.24932339999998</v>
      </c>
      <c r="I1229">
        <v>1</v>
      </c>
      <c r="J1229">
        <f t="shared" si="318"/>
        <v>0.42475896268148122</v>
      </c>
      <c r="K1229">
        <f t="shared" si="323"/>
        <v>0.28505689965544995</v>
      </c>
      <c r="O1229">
        <f t="shared" si="324"/>
        <v>0.39547110174285133</v>
      </c>
      <c r="P1229">
        <f t="shared" si="325"/>
        <v>0.11588781851799709</v>
      </c>
      <c r="Q1229">
        <f t="shared" si="326"/>
        <v>0.91113809118345779</v>
      </c>
      <c r="R1229">
        <f t="shared" si="316"/>
        <v>1</v>
      </c>
      <c r="AG1229" s="8">
        <f t="shared" si="319"/>
        <v>0.72652476512481334</v>
      </c>
      <c r="AH1229" s="8">
        <f t="shared" si="320"/>
        <v>0.13425905494338669</v>
      </c>
      <c r="AI1229" s="8">
        <f t="shared" si="321"/>
        <v>0.67389633611264232</v>
      </c>
      <c r="AJ1229" s="8"/>
      <c r="AK1229" s="8"/>
      <c r="AL1229" s="8"/>
      <c r="AN1229" s="8">
        <f t="shared" si="327"/>
        <v>0.99999999999999978</v>
      </c>
      <c r="AO1229" s="8">
        <f t="shared" si="328"/>
        <v>0.18273475538416675</v>
      </c>
      <c r="AP1229" s="8">
        <f t="shared" si="329"/>
        <v>0.83132645198537547</v>
      </c>
      <c r="AQ1229" s="8"/>
      <c r="AR1229" s="8">
        <f t="shared" si="330"/>
        <v>10.469930253868251</v>
      </c>
      <c r="AS1229" s="8">
        <f t="shared" si="331"/>
        <v>42.36850290365291</v>
      </c>
    </row>
    <row r="1230" spans="1:45">
      <c r="A1230" s="19">
        <v>44.778066670000001</v>
      </c>
      <c r="B1230" s="19">
        <v>1612.6375539999999</v>
      </c>
      <c r="C1230" s="19">
        <v>-348.76597930000003</v>
      </c>
      <c r="E1230" s="9">
        <f t="shared" si="317"/>
        <v>652.63755399999991</v>
      </c>
      <c r="F1230" s="9">
        <f t="shared" si="322"/>
        <v>191.23402069999997</v>
      </c>
      <c r="I1230">
        <v>1</v>
      </c>
      <c r="J1230">
        <f t="shared" si="318"/>
        <v>0.42475269875012073</v>
      </c>
      <c r="K1230">
        <f t="shared" si="323"/>
        <v>0.28503829714101858</v>
      </c>
      <c r="O1230">
        <f t="shared" si="324"/>
        <v>0.39546778044978703</v>
      </c>
      <c r="P1230">
        <f t="shared" si="325"/>
        <v>0.11587885687730072</v>
      </c>
      <c r="Q1230">
        <f t="shared" si="326"/>
        <v>0.91114067253905917</v>
      </c>
      <c r="R1230">
        <f t="shared" si="316"/>
        <v>1</v>
      </c>
      <c r="AG1230" s="8">
        <f t="shared" si="319"/>
        <v>0.726530930115031</v>
      </c>
      <c r="AH1230" s="8">
        <f t="shared" si="320"/>
        <v>0.13425367765221757</v>
      </c>
      <c r="AI1230" s="8">
        <f t="shared" si="321"/>
        <v>0.67389076089752287</v>
      </c>
      <c r="AJ1230" s="8"/>
      <c r="AK1230" s="8"/>
      <c r="AL1230" s="8"/>
      <c r="AN1230" s="8">
        <f t="shared" si="327"/>
        <v>1</v>
      </c>
      <c r="AO1230" s="8">
        <f t="shared" si="328"/>
        <v>0.1827260821418655</v>
      </c>
      <c r="AP1230" s="8">
        <f t="shared" si="329"/>
        <v>0.83133399800649188</v>
      </c>
      <c r="AQ1230" s="8"/>
      <c r="AR1230" s="8">
        <f t="shared" si="330"/>
        <v>10.469433313689695</v>
      </c>
      <c r="AS1230" s="8">
        <f t="shared" si="331"/>
        <v>42.36807054849082</v>
      </c>
    </row>
    <row r="1231" spans="1:45">
      <c r="A1231" s="19">
        <v>44.81143333</v>
      </c>
      <c r="B1231" s="19">
        <v>1612.8624219999999</v>
      </c>
      <c r="C1231" s="19">
        <v>-348.77113129999998</v>
      </c>
      <c r="E1231" s="9">
        <f t="shared" si="317"/>
        <v>652.86242199999992</v>
      </c>
      <c r="F1231" s="9">
        <f t="shared" si="322"/>
        <v>191.22886870000002</v>
      </c>
      <c r="I1231">
        <v>1</v>
      </c>
      <c r="J1231">
        <f t="shared" si="318"/>
        <v>0.42487210174969525</v>
      </c>
      <c r="K1231">
        <f t="shared" si="323"/>
        <v>0.28493808185971203</v>
      </c>
      <c r="O1231">
        <f t="shared" si="324"/>
        <v>0.39558379477281919</v>
      </c>
      <c r="P1231">
        <f t="shared" si="325"/>
        <v>0.11586980503291885</v>
      </c>
      <c r="Q1231">
        <f t="shared" si="326"/>
        <v>0.91109146060907054</v>
      </c>
      <c r="R1231">
        <f t="shared" si="316"/>
        <v>1</v>
      </c>
      <c r="AG1231" s="8">
        <f t="shared" si="319"/>
        <v>0.72653824288608237</v>
      </c>
      <c r="AH1231" s="8">
        <f t="shared" si="320"/>
        <v>0.13437563364228133</v>
      </c>
      <c r="AI1231" s="8">
        <f t="shared" si="321"/>
        <v>0.67385856877184513</v>
      </c>
      <c r="AJ1231" s="8"/>
      <c r="AK1231" s="8"/>
      <c r="AL1231" s="8"/>
      <c r="AN1231" s="8">
        <f t="shared" si="327"/>
        <v>1</v>
      </c>
      <c r="AO1231" s="8">
        <f t="shared" si="328"/>
        <v>0.18288659536191312</v>
      </c>
      <c r="AP1231" s="8">
        <f t="shared" si="329"/>
        <v>0.83137756884494907</v>
      </c>
      <c r="AQ1231" s="8"/>
      <c r="AR1231" s="8">
        <f t="shared" si="330"/>
        <v>10.478630043754478</v>
      </c>
      <c r="AS1231" s="8">
        <f t="shared" si="331"/>
        <v>42.365574123337382</v>
      </c>
    </row>
    <row r="1232" spans="1:45">
      <c r="A1232" s="19">
        <v>44.844799999999999</v>
      </c>
      <c r="B1232" s="19">
        <v>1613.611778</v>
      </c>
      <c r="C1232" s="19">
        <v>-348.94823600000001</v>
      </c>
      <c r="E1232" s="9">
        <f t="shared" si="317"/>
        <v>653.61177799999996</v>
      </c>
      <c r="F1232" s="9">
        <f t="shared" si="322"/>
        <v>191.05176399999999</v>
      </c>
      <c r="I1232">
        <v>1</v>
      </c>
      <c r="J1232">
        <f t="shared" si="318"/>
        <v>0.42524494452072992</v>
      </c>
      <c r="K1232">
        <f t="shared" si="323"/>
        <v>0.28437915752392712</v>
      </c>
      <c r="O1232">
        <f t="shared" si="324"/>
        <v>0.39597451833432845</v>
      </c>
      <c r="P1232">
        <f t="shared" si="325"/>
        <v>0.11574398254926152</v>
      </c>
      <c r="Q1232">
        <f t="shared" si="326"/>
        <v>0.91093770990860445</v>
      </c>
      <c r="R1232">
        <f t="shared" si="316"/>
        <v>1</v>
      </c>
      <c r="AG1232" s="8">
        <f t="shared" si="319"/>
        <v>0.72662868059319308</v>
      </c>
      <c r="AH1232" s="8">
        <f t="shared" si="320"/>
        <v>0.13476690693016491</v>
      </c>
      <c r="AI1232" s="8">
        <f t="shared" si="321"/>
        <v>0.67368289375333834</v>
      </c>
      <c r="AJ1232" s="8"/>
      <c r="AK1232" s="8"/>
      <c r="AL1232" s="8"/>
      <c r="AN1232" s="8">
        <f t="shared" si="327"/>
        <v>1</v>
      </c>
      <c r="AO1232" s="8">
        <f t="shared" si="328"/>
        <v>0.18338495792155285</v>
      </c>
      <c r="AP1232" s="8">
        <f t="shared" si="329"/>
        <v>0.83161530791831206</v>
      </c>
      <c r="AQ1232" s="8"/>
      <c r="AR1232" s="8">
        <f t="shared" si="330"/>
        <v>10.507184115089171</v>
      </c>
      <c r="AS1232" s="8">
        <f t="shared" si="331"/>
        <v>42.351952677808328</v>
      </c>
    </row>
    <row r="1233" spans="1:45">
      <c r="A1233" s="19">
        <v>44.878166669999999</v>
      </c>
      <c r="B1233" s="19">
        <v>1614.3470609999999</v>
      </c>
      <c r="C1233" s="19">
        <v>-349.3737271</v>
      </c>
      <c r="E1233" s="9">
        <f t="shared" si="317"/>
        <v>654.34706099999994</v>
      </c>
      <c r="F1233" s="9">
        <f t="shared" si="322"/>
        <v>190.6262729</v>
      </c>
      <c r="I1233">
        <v>1</v>
      </c>
      <c r="J1233">
        <f t="shared" si="318"/>
        <v>0.42557156625470632</v>
      </c>
      <c r="K1233">
        <f t="shared" si="323"/>
        <v>0.28347724976590888</v>
      </c>
      <c r="O1233">
        <f t="shared" si="324"/>
        <v>0.39636438368852001</v>
      </c>
      <c r="P1233">
        <f t="shared" si="325"/>
        <v>0.11547001534228352</v>
      </c>
      <c r="Q1233">
        <f t="shared" si="326"/>
        <v>0.91080291550920744</v>
      </c>
      <c r="R1233">
        <f t="shared" si="316"/>
        <v>1</v>
      </c>
      <c r="AG1233" s="8">
        <f t="shared" si="319"/>
        <v>0.72682133728156773</v>
      </c>
      <c r="AH1233" s="8">
        <f t="shared" si="320"/>
        <v>0.13512703689044431</v>
      </c>
      <c r="AI1233" s="8">
        <f t="shared" si="321"/>
        <v>0.67340287167002932</v>
      </c>
      <c r="AJ1233" s="8"/>
      <c r="AK1233" s="8"/>
      <c r="AL1233" s="8"/>
      <c r="AN1233" s="8">
        <f t="shared" si="327"/>
        <v>1</v>
      </c>
      <c r="AO1233" s="8">
        <f t="shared" si="328"/>
        <v>0.18381640545992189</v>
      </c>
      <c r="AP1233" s="8">
        <f t="shared" si="329"/>
        <v>0.83199415225391082</v>
      </c>
      <c r="AQ1233" s="8"/>
      <c r="AR1233" s="8">
        <f t="shared" si="330"/>
        <v>10.531904238119026</v>
      </c>
      <c r="AS1233" s="8">
        <f t="shared" si="331"/>
        <v>42.33024649628608</v>
      </c>
    </row>
    <row r="1234" spans="1:45">
      <c r="A1234" s="19">
        <v>44.911533329999997</v>
      </c>
      <c r="B1234" s="19">
        <v>1614.8175759999999</v>
      </c>
      <c r="C1234" s="19">
        <v>-349.83277349999997</v>
      </c>
      <c r="E1234" s="9">
        <f t="shared" si="317"/>
        <v>654.81757599999992</v>
      </c>
      <c r="F1234" s="9">
        <f t="shared" si="322"/>
        <v>190.16722650000003</v>
      </c>
      <c r="I1234">
        <v>1</v>
      </c>
      <c r="J1234">
        <f t="shared" si="318"/>
        <v>0.42575168261196905</v>
      </c>
      <c r="K1234">
        <f t="shared" si="323"/>
        <v>0.28263790417315932</v>
      </c>
      <c r="O1234">
        <f t="shared" si="324"/>
        <v>0.39661869836143437</v>
      </c>
      <c r="P1234">
        <f t="shared" si="325"/>
        <v>0.11518303816181329</v>
      </c>
      <c r="Q1234">
        <f t="shared" si="326"/>
        <v>0.9107285412404158</v>
      </c>
      <c r="R1234">
        <f t="shared" si="316"/>
        <v>1</v>
      </c>
      <c r="AG1234" s="8">
        <f t="shared" si="319"/>
        <v>0.72702169775780978</v>
      </c>
      <c r="AH1234" s="8">
        <f t="shared" si="320"/>
        <v>0.13533987210913134</v>
      </c>
      <c r="AI1234" s="8">
        <f t="shared" si="321"/>
        <v>0.67314379593578355</v>
      </c>
      <c r="AJ1234" s="8"/>
      <c r="AK1234" s="8"/>
      <c r="AL1234" s="8"/>
      <c r="AN1234" s="8">
        <f t="shared" si="327"/>
        <v>1</v>
      </c>
      <c r="AO1234" s="8">
        <f t="shared" si="328"/>
        <v>0.18404983946005429</v>
      </c>
      <c r="AP1234" s="8">
        <f t="shared" si="329"/>
        <v>0.83234454169452388</v>
      </c>
      <c r="AQ1234" s="8"/>
      <c r="AR1234" s="8">
        <f t="shared" si="330"/>
        <v>10.54527902112147</v>
      </c>
      <c r="AS1234" s="8">
        <f t="shared" si="331"/>
        <v>42.310170660153005</v>
      </c>
    </row>
    <row r="1235" spans="1:45">
      <c r="A1235" s="19">
        <v>44.944899999999997</v>
      </c>
      <c r="B1235" s="19">
        <v>1615.280156</v>
      </c>
      <c r="C1235" s="19">
        <v>-350.0440145</v>
      </c>
      <c r="E1235" s="9">
        <f t="shared" si="317"/>
        <v>655.28015600000003</v>
      </c>
      <c r="F1235" s="9">
        <f t="shared" si="322"/>
        <v>189.9559855</v>
      </c>
      <c r="I1235">
        <v>1</v>
      </c>
      <c r="J1235">
        <f t="shared" si="318"/>
        <v>0.42596616753691158</v>
      </c>
      <c r="K1235">
        <f t="shared" si="323"/>
        <v>0.28215147716957023</v>
      </c>
      <c r="O1235">
        <f t="shared" si="324"/>
        <v>0.39686228408244123</v>
      </c>
      <c r="P1235">
        <f t="shared" si="325"/>
        <v>0.11504448225754157</v>
      </c>
      <c r="Q1235">
        <f t="shared" si="326"/>
        <v>0.91063993684384492</v>
      </c>
      <c r="R1235">
        <f t="shared" si="316"/>
        <v>1</v>
      </c>
      <c r="AG1235" s="8">
        <f t="shared" si="319"/>
        <v>0.72711934603755313</v>
      </c>
      <c r="AH1235" s="8">
        <f t="shared" si="320"/>
        <v>0.13557161798859863</v>
      </c>
      <c r="AI1235" s="8">
        <f t="shared" si="321"/>
        <v>0.67299167380724301</v>
      </c>
      <c r="AJ1235" s="8"/>
      <c r="AK1235" s="8"/>
      <c r="AL1235" s="8"/>
      <c r="AN1235" s="8">
        <f t="shared" si="327"/>
        <v>1</v>
      </c>
      <c r="AO1235" s="8">
        <f t="shared" si="328"/>
        <v>0.18433370474466532</v>
      </c>
      <c r="AP1235" s="8">
        <f t="shared" si="329"/>
        <v>0.83255022864650985</v>
      </c>
      <c r="AQ1235" s="8"/>
      <c r="AR1235" s="8">
        <f t="shared" si="330"/>
        <v>10.561543303879962</v>
      </c>
      <c r="AS1235" s="8">
        <f t="shared" si="331"/>
        <v>42.298385665903297</v>
      </c>
    </row>
    <row r="1236" spans="1:45">
      <c r="A1236" s="19">
        <v>44.978266669999996</v>
      </c>
      <c r="B1236" s="19">
        <v>1615.8573140000001</v>
      </c>
      <c r="C1236" s="19">
        <v>-350.51796539999998</v>
      </c>
      <c r="E1236" s="9">
        <f t="shared" si="317"/>
        <v>655.85731400000009</v>
      </c>
      <c r="F1236" s="9">
        <f t="shared" si="322"/>
        <v>189.48203460000002</v>
      </c>
      <c r="I1236">
        <v>1</v>
      </c>
      <c r="J1236">
        <f t="shared" si="318"/>
        <v>0.42620134304083013</v>
      </c>
      <c r="K1236">
        <f t="shared" si="323"/>
        <v>0.28124929162774087</v>
      </c>
      <c r="O1236">
        <f t="shared" si="324"/>
        <v>0.39717164877817124</v>
      </c>
      <c r="P1236">
        <f t="shared" si="325"/>
        <v>0.1147458303650548</v>
      </c>
      <c r="Q1236">
        <f t="shared" si="326"/>
        <v>0.91054273695453913</v>
      </c>
      <c r="R1236">
        <f t="shared" si="316"/>
        <v>1</v>
      </c>
      <c r="AG1236" s="8">
        <f t="shared" si="319"/>
        <v>0.72732797622929879</v>
      </c>
      <c r="AH1236" s="8">
        <f t="shared" si="320"/>
        <v>0.13584093034296807</v>
      </c>
      <c r="AI1236" s="8">
        <f t="shared" si="321"/>
        <v>0.67271186747206213</v>
      </c>
      <c r="AJ1236" s="8"/>
      <c r="AK1236" s="8"/>
      <c r="AL1236" s="8"/>
      <c r="AN1236" s="8">
        <f t="shared" si="327"/>
        <v>0.99999999999999978</v>
      </c>
      <c r="AO1236" s="8">
        <f t="shared" si="328"/>
        <v>0.18463983838509221</v>
      </c>
      <c r="AP1236" s="8">
        <f t="shared" si="329"/>
        <v>0.8329284591362367</v>
      </c>
      <c r="AQ1236" s="8"/>
      <c r="AR1236" s="8">
        <f t="shared" si="330"/>
        <v>10.579083469443397</v>
      </c>
      <c r="AS1236" s="8">
        <f t="shared" si="331"/>
        <v>42.276714655158784</v>
      </c>
    </row>
    <row r="1237" spans="1:45">
      <c r="A1237" s="19">
        <v>45.011633330000002</v>
      </c>
      <c r="B1237" s="19">
        <v>1616.927083</v>
      </c>
      <c r="C1237" s="19">
        <v>-350.72194539999998</v>
      </c>
      <c r="E1237" s="9">
        <f t="shared" si="317"/>
        <v>656.92708300000004</v>
      </c>
      <c r="F1237" s="9">
        <f t="shared" si="322"/>
        <v>189.27805460000002</v>
      </c>
      <c r="I1237">
        <v>1</v>
      </c>
      <c r="J1237">
        <f t="shared" si="318"/>
        <v>0.42674161134863542</v>
      </c>
      <c r="K1237">
        <f t="shared" si="323"/>
        <v>0.28052833009344708</v>
      </c>
      <c r="O1237">
        <f t="shared" si="324"/>
        <v>0.39772692208425292</v>
      </c>
      <c r="P1237">
        <f t="shared" si="325"/>
        <v>0.11459563781472712</v>
      </c>
      <c r="Q1237">
        <f t="shared" si="326"/>
        <v>0.91031924907870787</v>
      </c>
      <c r="R1237">
        <f t="shared" si="316"/>
        <v>1</v>
      </c>
      <c r="AG1237" s="8">
        <f t="shared" si="319"/>
        <v>0.72743573086814606</v>
      </c>
      <c r="AH1237" s="8">
        <f t="shared" si="320"/>
        <v>0.13640322058953347</v>
      </c>
      <c r="AI1237" s="8">
        <f t="shared" si="321"/>
        <v>0.67248153793924292</v>
      </c>
      <c r="AJ1237" s="8"/>
      <c r="AK1237" s="8"/>
      <c r="AL1237" s="8"/>
      <c r="AN1237" s="8">
        <f t="shared" si="327"/>
        <v>1</v>
      </c>
      <c r="AO1237" s="8">
        <f t="shared" si="328"/>
        <v>0.18535992996377706</v>
      </c>
      <c r="AP1237" s="8">
        <f t="shared" si="329"/>
        <v>0.8332397113795279</v>
      </c>
      <c r="AQ1237" s="8"/>
      <c r="AR1237" s="8">
        <f t="shared" si="330"/>
        <v>10.620341677764952</v>
      </c>
      <c r="AS1237" s="8">
        <f t="shared" si="331"/>
        <v>42.25888121525422</v>
      </c>
    </row>
    <row r="1238" spans="1:45">
      <c r="A1238" s="19">
        <v>45.045000000000002</v>
      </c>
      <c r="B1238" s="19">
        <v>1617.249374</v>
      </c>
      <c r="C1238" s="19">
        <v>-350.74612960000002</v>
      </c>
      <c r="E1238" s="9">
        <f t="shared" si="317"/>
        <v>657.24937399999999</v>
      </c>
      <c r="F1238" s="9">
        <f t="shared" si="322"/>
        <v>189.25387039999998</v>
      </c>
      <c r="I1238">
        <v>1</v>
      </c>
      <c r="J1238">
        <f t="shared" si="318"/>
        <v>0.42691010031126025</v>
      </c>
      <c r="K1238">
        <f t="shared" si="323"/>
        <v>0.28036389021820712</v>
      </c>
      <c r="O1238">
        <f t="shared" si="324"/>
        <v>0.39789314519668306</v>
      </c>
      <c r="P1238">
        <f t="shared" si="325"/>
        <v>0.11457267319375405</v>
      </c>
      <c r="Q1238">
        <f t="shared" si="326"/>
        <v>0.91024949742514472</v>
      </c>
      <c r="R1238">
        <f t="shared" si="316"/>
        <v>1</v>
      </c>
      <c r="AG1238" s="8">
        <f t="shared" si="319"/>
        <v>0.72745274309938168</v>
      </c>
      <c r="AH1238" s="8">
        <f t="shared" si="320"/>
        <v>0.1365760580077382</v>
      </c>
      <c r="AI1238" s="8">
        <f t="shared" si="321"/>
        <v>0.67242805335310929</v>
      </c>
      <c r="AJ1238" s="8"/>
      <c r="AK1238" s="8"/>
      <c r="AL1238" s="8"/>
      <c r="AN1238" s="8">
        <f t="shared" si="327"/>
        <v>1</v>
      </c>
      <c r="AO1238" s="8">
        <f t="shared" si="328"/>
        <v>0.18558520664770908</v>
      </c>
      <c r="AP1238" s="8">
        <f t="shared" si="329"/>
        <v>0.83331197435221305</v>
      </c>
      <c r="AQ1238" s="8"/>
      <c r="AR1238" s="8">
        <f t="shared" si="330"/>
        <v>10.63324908097696</v>
      </c>
      <c r="AS1238" s="8">
        <f t="shared" si="331"/>
        <v>42.254740851904288</v>
      </c>
    </row>
    <row r="1239" spans="1:45">
      <c r="A1239" s="19">
        <v>45.078366670000001</v>
      </c>
      <c r="B1239" s="19">
        <v>1617.735365</v>
      </c>
      <c r="C1239" s="19">
        <v>-350.7756837</v>
      </c>
      <c r="E1239" s="9">
        <f t="shared" si="317"/>
        <v>657.735365</v>
      </c>
      <c r="F1239" s="9">
        <f t="shared" si="322"/>
        <v>189.2243163</v>
      </c>
      <c r="I1239">
        <v>1</v>
      </c>
      <c r="J1239">
        <f t="shared" si="318"/>
        <v>0.42716520365230665</v>
      </c>
      <c r="K1239">
        <f t="shared" si="323"/>
        <v>0.28012591054972968</v>
      </c>
      <c r="O1239">
        <f t="shared" si="324"/>
        <v>0.39814354332536994</v>
      </c>
      <c r="P1239">
        <f t="shared" si="325"/>
        <v>0.11454217575027695</v>
      </c>
      <c r="Q1239">
        <f t="shared" si="326"/>
        <v>0.91014383966640788</v>
      </c>
      <c r="R1239">
        <f t="shared" si="316"/>
        <v>1</v>
      </c>
      <c r="AG1239" s="8">
        <f t="shared" si="319"/>
        <v>0.72747549224159003</v>
      </c>
      <c r="AH1239" s="8">
        <f t="shared" si="320"/>
        <v>0.1368372756539899</v>
      </c>
      <c r="AI1239" s="8">
        <f t="shared" si="321"/>
        <v>0.67235033143403022</v>
      </c>
      <c r="AJ1239" s="8"/>
      <c r="AK1239" s="8"/>
      <c r="AL1239" s="8"/>
      <c r="AN1239" s="8">
        <f t="shared" si="327"/>
        <v>1</v>
      </c>
      <c r="AO1239" s="8">
        <f t="shared" si="328"/>
        <v>0.18592636192301734</v>
      </c>
      <c r="AP1239" s="8">
        <f t="shared" si="329"/>
        <v>0.83341697590700514</v>
      </c>
      <c r="AQ1239" s="8"/>
      <c r="AR1239" s="8">
        <f t="shared" si="330"/>
        <v>10.652795838410746</v>
      </c>
      <c r="AS1239" s="8">
        <f t="shared" si="331"/>
        <v>42.248724705972393</v>
      </c>
    </row>
    <row r="1240" spans="1:45">
      <c r="A1240" s="19">
        <v>45.11173333</v>
      </c>
      <c r="B1240" s="19">
        <v>1617.8414540000001</v>
      </c>
      <c r="C1240" s="19">
        <v>-351.02054989999999</v>
      </c>
      <c r="E1240" s="9">
        <f t="shared" si="317"/>
        <v>657.84145400000011</v>
      </c>
      <c r="F1240" s="9">
        <f t="shared" si="322"/>
        <v>188.97945010000001</v>
      </c>
      <c r="I1240">
        <v>1</v>
      </c>
      <c r="J1240">
        <f t="shared" si="318"/>
        <v>0.42718427338736686</v>
      </c>
      <c r="K1240">
        <f t="shared" si="323"/>
        <v>0.27973924459803851</v>
      </c>
      <c r="O1240">
        <f t="shared" si="324"/>
        <v>0.3982044845702839</v>
      </c>
      <c r="P1240">
        <f t="shared" si="325"/>
        <v>0.11439301075338766</v>
      </c>
      <c r="Q1240">
        <f t="shared" si="326"/>
        <v>0.91013593905465018</v>
      </c>
      <c r="R1240">
        <f t="shared" si="316"/>
        <v>1</v>
      </c>
      <c r="AG1240" s="8">
        <f t="shared" si="319"/>
        <v>0.72757886237521885</v>
      </c>
      <c r="AH1240" s="8">
        <f t="shared" si="320"/>
        <v>0.13687191944694188</v>
      </c>
      <c r="AI1240" s="8">
        <f t="shared" si="321"/>
        <v>0.67223141602553227</v>
      </c>
      <c r="AJ1240" s="8"/>
      <c r="AK1240" s="8"/>
      <c r="AL1240" s="8"/>
      <c r="AN1240" s="8">
        <f t="shared" si="327"/>
        <v>1</v>
      </c>
      <c r="AO1240" s="8">
        <f t="shared" si="328"/>
        <v>0.18594653914747283</v>
      </c>
      <c r="AP1240" s="8">
        <f t="shared" si="329"/>
        <v>0.83357761008522335</v>
      </c>
      <c r="AQ1240" s="8"/>
      <c r="AR1240" s="8">
        <f t="shared" si="330"/>
        <v>10.653951908214333</v>
      </c>
      <c r="AS1240" s="8">
        <f t="shared" si="331"/>
        <v>42.239521045514934</v>
      </c>
    </row>
    <row r="1241" spans="1:45">
      <c r="A1241" s="19">
        <v>45.145099999999999</v>
      </c>
      <c r="B1241" s="19">
        <v>1618.4182940000001</v>
      </c>
      <c r="C1241" s="19">
        <v>-351.19739829999997</v>
      </c>
      <c r="E1241" s="9">
        <f t="shared" si="317"/>
        <v>658.41829400000006</v>
      </c>
      <c r="F1241" s="9">
        <f t="shared" si="322"/>
        <v>188.80260170000003</v>
      </c>
      <c r="I1241">
        <v>1</v>
      </c>
      <c r="J1241">
        <f t="shared" si="318"/>
        <v>0.42746532944923676</v>
      </c>
      <c r="K1241">
        <f t="shared" si="323"/>
        <v>0.27925856616240269</v>
      </c>
      <c r="O1241">
        <f t="shared" si="324"/>
        <v>0.39850529866543111</v>
      </c>
      <c r="P1241">
        <f t="shared" si="325"/>
        <v>0.11427209399389646</v>
      </c>
      <c r="Q1241">
        <f t="shared" si="326"/>
        <v>0.91001945884130719</v>
      </c>
      <c r="R1241">
        <f t="shared" si="316"/>
        <v>1</v>
      </c>
      <c r="AG1241" s="8">
        <f t="shared" si="319"/>
        <v>0.72766425958949466</v>
      </c>
      <c r="AH1241" s="8">
        <f t="shared" si="320"/>
        <v>0.13716856961700885</v>
      </c>
      <c r="AI1241" s="8">
        <f t="shared" si="321"/>
        <v>0.67207849900535899</v>
      </c>
      <c r="AJ1241" s="8"/>
      <c r="AK1241" s="8"/>
      <c r="AL1241" s="8"/>
      <c r="AN1241" s="8">
        <f t="shared" si="327"/>
        <v>1</v>
      </c>
      <c r="AO1241" s="8">
        <f t="shared" si="328"/>
        <v>0.18631893070315014</v>
      </c>
      <c r="AP1241" s="8">
        <f t="shared" si="329"/>
        <v>0.83378414013913071</v>
      </c>
      <c r="AQ1241" s="8"/>
      <c r="AR1241" s="8">
        <f t="shared" si="330"/>
        <v>10.675288372680955</v>
      </c>
      <c r="AS1241" s="8">
        <f t="shared" si="331"/>
        <v>42.227687745083436</v>
      </c>
    </row>
    <row r="1242" spans="1:45">
      <c r="A1242" s="19">
        <v>45.178466669999999</v>
      </c>
      <c r="B1242" s="19">
        <v>1619.180323</v>
      </c>
      <c r="C1242" s="19">
        <v>-351.56852049999998</v>
      </c>
      <c r="E1242" s="9">
        <f t="shared" si="317"/>
        <v>659.18032300000004</v>
      </c>
      <c r="F1242" s="9">
        <f t="shared" si="322"/>
        <v>188.43147950000002</v>
      </c>
      <c r="I1242">
        <v>1</v>
      </c>
      <c r="J1242">
        <f t="shared" si="318"/>
        <v>0.42781564046939924</v>
      </c>
      <c r="K1242">
        <f t="shared" si="323"/>
        <v>0.27843183571218227</v>
      </c>
      <c r="O1242">
        <f t="shared" si="324"/>
        <v>0.39890612271637765</v>
      </c>
      <c r="P1242">
        <f t="shared" si="325"/>
        <v>0.11403021034208816</v>
      </c>
      <c r="Q1242">
        <f t="shared" si="326"/>
        <v>0.90987417613026333</v>
      </c>
      <c r="R1242">
        <f t="shared" si="316"/>
        <v>1</v>
      </c>
      <c r="AG1242" s="8">
        <f t="shared" si="319"/>
        <v>0.72783362830642806</v>
      </c>
      <c r="AH1242" s="8">
        <f t="shared" si="320"/>
        <v>0.1375474249931708</v>
      </c>
      <c r="AI1242" s="8">
        <f t="shared" si="321"/>
        <v>0.67181762062634864</v>
      </c>
      <c r="AJ1242" s="8"/>
      <c r="AK1242" s="8"/>
      <c r="AL1242" s="8"/>
      <c r="AN1242" s="8">
        <f t="shared" si="327"/>
        <v>1</v>
      </c>
      <c r="AO1242" s="8">
        <f t="shared" si="328"/>
        <v>0.18677919326514236</v>
      </c>
      <c r="AP1242" s="8">
        <f t="shared" si="329"/>
        <v>0.83413639370560799</v>
      </c>
      <c r="AQ1242" s="8"/>
      <c r="AR1242" s="8">
        <f t="shared" si="330"/>
        <v>10.701659474950988</v>
      </c>
      <c r="AS1242" s="8">
        <f t="shared" si="331"/>
        <v>42.207505102405854</v>
      </c>
    </row>
    <row r="1243" spans="1:45">
      <c r="A1243" s="19">
        <v>45.211833329999997</v>
      </c>
      <c r="B1243" s="19">
        <v>1619.7617459999999</v>
      </c>
      <c r="C1243" s="19">
        <v>-351.80489840000001</v>
      </c>
      <c r="E1243" s="9">
        <f t="shared" si="317"/>
        <v>659.7617459999999</v>
      </c>
      <c r="F1243" s="9">
        <f t="shared" si="322"/>
        <v>188.19510159999999</v>
      </c>
      <c r="I1243">
        <v>1</v>
      </c>
      <c r="J1243">
        <f t="shared" si="318"/>
        <v>0.42809015433657682</v>
      </c>
      <c r="K1243">
        <f t="shared" si="323"/>
        <v>0.27786764687669468</v>
      </c>
      <c r="O1243">
        <f t="shared" si="324"/>
        <v>0.39921057117909192</v>
      </c>
      <c r="P1243">
        <f t="shared" si="325"/>
        <v>0.11387364371811159</v>
      </c>
      <c r="Q1243">
        <f t="shared" si="326"/>
        <v>0.90976025035457764</v>
      </c>
      <c r="R1243">
        <f t="shared" ref="R1243:R1272" si="332">SQRT(O1243^2+P1243^2+Q1243^2)</f>
        <v>1</v>
      </c>
      <c r="AG1243" s="8">
        <f t="shared" si="319"/>
        <v>0.72794340997225948</v>
      </c>
      <c r="AH1243" s="8">
        <f t="shared" si="320"/>
        <v>0.13784077611394757</v>
      </c>
      <c r="AI1243" s="8">
        <f t="shared" si="321"/>
        <v>0.6716385280180579</v>
      </c>
      <c r="AJ1243" s="8"/>
      <c r="AK1243" s="8"/>
      <c r="AL1243" s="8"/>
      <c r="AN1243" s="8">
        <f t="shared" si="327"/>
        <v>1</v>
      </c>
      <c r="AO1243" s="8">
        <f t="shared" si="328"/>
        <v>0.18714074094014366</v>
      </c>
      <c r="AP1243" s="8">
        <f t="shared" si="329"/>
        <v>0.83437815010333216</v>
      </c>
      <c r="AQ1243" s="8"/>
      <c r="AR1243" s="8">
        <f t="shared" si="330"/>
        <v>10.72237463082133</v>
      </c>
      <c r="AS1243" s="8">
        <f t="shared" si="331"/>
        <v>42.193653481145972</v>
      </c>
    </row>
    <row r="1244" spans="1:45">
      <c r="A1244" s="19">
        <v>45.245199999999997</v>
      </c>
      <c r="B1244" s="19">
        <v>1620.4145639999999</v>
      </c>
      <c r="C1244" s="19">
        <v>-351.93774480000002</v>
      </c>
      <c r="E1244" s="9">
        <f t="shared" si="317"/>
        <v>660.41456399999993</v>
      </c>
      <c r="F1244" s="9">
        <f t="shared" si="322"/>
        <v>188.06225519999998</v>
      </c>
      <c r="I1244">
        <v>1</v>
      </c>
      <c r="J1244">
        <f t="shared" si="318"/>
        <v>0.42841859356328499</v>
      </c>
      <c r="K1244">
        <f t="shared" si="323"/>
        <v>0.27742081979402067</v>
      </c>
      <c r="O1244">
        <f t="shared" si="324"/>
        <v>0.39954876791579463</v>
      </c>
      <c r="P1244">
        <f t="shared" si="325"/>
        <v>0.11377708253663793</v>
      </c>
      <c r="Q1244">
        <f t="shared" si="326"/>
        <v>0.90962385497876075</v>
      </c>
      <c r="R1244">
        <f t="shared" si="332"/>
        <v>1</v>
      </c>
      <c r="AG1244" s="8">
        <f t="shared" si="319"/>
        <v>0.72801187848322546</v>
      </c>
      <c r="AH1244" s="8">
        <f t="shared" si="320"/>
        <v>0.1381824688278892</v>
      </c>
      <c r="AI1244" s="8">
        <f t="shared" si="321"/>
        <v>0.67149408790841558</v>
      </c>
      <c r="AJ1244" s="8"/>
      <c r="AK1244" s="8"/>
      <c r="AL1244" s="8"/>
      <c r="AN1244" s="8">
        <f t="shared" si="327"/>
        <v>1</v>
      </c>
      <c r="AO1244" s="8">
        <f t="shared" si="328"/>
        <v>0.18757661669514222</v>
      </c>
      <c r="AP1244" s="8">
        <f t="shared" si="329"/>
        <v>0.83457309063946405</v>
      </c>
      <c r="AQ1244" s="8"/>
      <c r="AR1244" s="8">
        <f t="shared" si="330"/>
        <v>10.747348471974826</v>
      </c>
      <c r="AS1244" s="8">
        <f t="shared" si="331"/>
        <v>42.182484211169601</v>
      </c>
    </row>
    <row r="1245" spans="1:45">
      <c r="A1245" s="19">
        <v>45.278566669999996</v>
      </c>
      <c r="B1245" s="19">
        <v>1620.6141230000001</v>
      </c>
      <c r="C1245" s="19">
        <v>-352.97095880000001</v>
      </c>
      <c r="E1245" s="9">
        <f t="shared" si="317"/>
        <v>660.61412300000006</v>
      </c>
      <c r="F1245" s="9">
        <f t="shared" si="322"/>
        <v>187.02904119999999</v>
      </c>
      <c r="I1245">
        <v>1</v>
      </c>
      <c r="J1245">
        <f t="shared" si="318"/>
        <v>0.42836848284773538</v>
      </c>
      <c r="K1245">
        <f t="shared" si="323"/>
        <v>0.27589388155925304</v>
      </c>
      <c r="O1245">
        <f t="shared" si="324"/>
        <v>0.39967817405242095</v>
      </c>
      <c r="P1245">
        <f t="shared" si="325"/>
        <v>0.11315444686851026</v>
      </c>
      <c r="Q1245">
        <f t="shared" si="326"/>
        <v>0.90964467147342987</v>
      </c>
      <c r="R1245">
        <f t="shared" si="332"/>
        <v>1</v>
      </c>
      <c r="AG1245" s="8">
        <f t="shared" si="319"/>
        <v>0.72844188930106524</v>
      </c>
      <c r="AH1245" s="8">
        <f t="shared" si="320"/>
        <v>0.13819384057014017</v>
      </c>
      <c r="AI1245" s="8">
        <f t="shared" si="321"/>
        <v>0.67102524269953456</v>
      </c>
      <c r="AJ1245" s="8"/>
      <c r="AK1245" s="8"/>
      <c r="AL1245" s="8"/>
      <c r="AN1245" s="8">
        <f t="shared" si="327"/>
        <v>1</v>
      </c>
      <c r="AO1245" s="8">
        <f t="shared" si="328"/>
        <v>0.18748353290781841</v>
      </c>
      <c r="AP1245" s="8">
        <f t="shared" si="329"/>
        <v>0.83520562051802771</v>
      </c>
      <c r="AQ1245" s="8"/>
      <c r="AR1245" s="8">
        <f t="shared" si="330"/>
        <v>10.742015163820078</v>
      </c>
      <c r="AS1245" s="8">
        <f t="shared" si="331"/>
        <v>42.146242918711977</v>
      </c>
    </row>
    <row r="1246" spans="1:45">
      <c r="A1246" s="19">
        <v>45.311933330000002</v>
      </c>
      <c r="B1246" s="19">
        <v>1621.2260900000001</v>
      </c>
      <c r="C1246" s="19">
        <v>-352.6920159</v>
      </c>
      <c r="E1246" s="9">
        <f t="shared" si="317"/>
        <v>661.22609000000011</v>
      </c>
      <c r="F1246" s="9">
        <f t="shared" si="322"/>
        <v>187.3079841</v>
      </c>
      <c r="I1246">
        <v>1</v>
      </c>
      <c r="J1246">
        <f t="shared" si="318"/>
        <v>0.42873759339960643</v>
      </c>
      <c r="K1246">
        <f t="shared" si="323"/>
        <v>0.27604184894956019</v>
      </c>
      <c r="O1246">
        <f t="shared" si="324"/>
        <v>0.39998444746261491</v>
      </c>
      <c r="P1246">
        <f t="shared" si="325"/>
        <v>0.11330508831793787</v>
      </c>
      <c r="Q1246">
        <f t="shared" si="326"/>
        <v>0.90949128569178217</v>
      </c>
      <c r="R1246">
        <f t="shared" si="332"/>
        <v>1</v>
      </c>
      <c r="AG1246" s="8">
        <f t="shared" si="319"/>
        <v>0.72833960405724585</v>
      </c>
      <c r="AH1246" s="8">
        <f t="shared" si="320"/>
        <v>0.13855185907733752</v>
      </c>
      <c r="AI1246" s="8">
        <f t="shared" si="321"/>
        <v>0.67106244382169666</v>
      </c>
      <c r="AJ1246" s="8"/>
      <c r="AK1246" s="8"/>
      <c r="AL1246" s="8"/>
      <c r="AN1246" s="8">
        <f t="shared" si="327"/>
        <v>0.99999999999999989</v>
      </c>
      <c r="AO1246" s="8">
        <f t="shared" si="328"/>
        <v>0.18798367989735595</v>
      </c>
      <c r="AP1246" s="8">
        <f t="shared" si="329"/>
        <v>0.83515544485630078</v>
      </c>
      <c r="AQ1246" s="8"/>
      <c r="AR1246" s="8">
        <f t="shared" si="330"/>
        <v>10.770671475456753</v>
      </c>
      <c r="AS1246" s="8">
        <f t="shared" si="331"/>
        <v>42.149117772363205</v>
      </c>
    </row>
    <row r="1247" spans="1:45">
      <c r="A1247" s="19">
        <v>45.345300000000002</v>
      </c>
      <c r="B1247" s="19">
        <v>1621.6198240000001</v>
      </c>
      <c r="C1247" s="19">
        <v>-352.86984360000002</v>
      </c>
      <c r="E1247" s="9">
        <f t="shared" si="317"/>
        <v>661.61982400000011</v>
      </c>
      <c r="F1247" s="9">
        <f t="shared" si="322"/>
        <v>187.13015639999998</v>
      </c>
      <c r="I1247">
        <v>1</v>
      </c>
      <c r="J1247">
        <f t="shared" si="318"/>
        <v>0.42892099804069395</v>
      </c>
      <c r="K1247">
        <f t="shared" si="323"/>
        <v>0.27563693642493331</v>
      </c>
      <c r="O1247">
        <f t="shared" si="324"/>
        <v>0.40019079497029242</v>
      </c>
      <c r="P1247">
        <f t="shared" si="325"/>
        <v>0.11318851602703964</v>
      </c>
      <c r="Q1247">
        <f t="shared" si="326"/>
        <v>0.90941502487073633</v>
      </c>
      <c r="R1247">
        <f t="shared" si="332"/>
        <v>1</v>
      </c>
      <c r="AG1247" s="8">
        <f t="shared" si="319"/>
        <v>0.72842096527361033</v>
      </c>
      <c r="AH1247" s="8">
        <f t="shared" si="320"/>
        <v>0.13874865290075039</v>
      </c>
      <c r="AI1247" s="8">
        <f t="shared" si="321"/>
        <v>0.67093346068599735</v>
      </c>
      <c r="AJ1247" s="8"/>
      <c r="AK1247" s="8"/>
      <c r="AL1247" s="8"/>
      <c r="AN1247" s="8">
        <f t="shared" si="327"/>
        <v>0.99999999999999989</v>
      </c>
      <c r="AO1247" s="8">
        <f t="shared" si="328"/>
        <v>0.18822389302969963</v>
      </c>
      <c r="AP1247" s="8">
        <f t="shared" si="329"/>
        <v>0.83532940336397354</v>
      </c>
      <c r="AQ1247" s="8"/>
      <c r="AR1247" s="8">
        <f t="shared" si="330"/>
        <v>10.784434674123663</v>
      </c>
      <c r="AS1247" s="8">
        <f t="shared" si="331"/>
        <v>42.139150684063168</v>
      </c>
    </row>
    <row r="1248" spans="1:45">
      <c r="A1248" s="19">
        <v>45.378666670000001</v>
      </c>
      <c r="B1248" s="19">
        <v>1622.2416920000001</v>
      </c>
      <c r="C1248" s="19">
        <v>-353.04801309999999</v>
      </c>
      <c r="E1248" s="9">
        <f t="shared" ref="E1248:E1272" si="333">(B1248-($B$15/2))</f>
        <v>662.24169200000006</v>
      </c>
      <c r="F1248" s="9">
        <f t="shared" si="322"/>
        <v>186.95198690000001</v>
      </c>
      <c r="I1248">
        <v>1</v>
      </c>
      <c r="J1248">
        <f t="shared" ref="J1248:J1272" si="334">ATAN((SQRT(E1248^2+F1248^2)^$B$16)/($F$24))</f>
        <v>0.42922621286535062</v>
      </c>
      <c r="K1248">
        <f t="shared" si="323"/>
        <v>0.27514183476296616</v>
      </c>
      <c r="O1248">
        <f t="shared" si="324"/>
        <v>0.40051389382607222</v>
      </c>
      <c r="P1248">
        <f t="shared" si="325"/>
        <v>0.11306577211366488</v>
      </c>
      <c r="Q1248">
        <f t="shared" si="326"/>
        <v>0.90928804678639574</v>
      </c>
      <c r="R1248">
        <f t="shared" si="332"/>
        <v>1</v>
      </c>
      <c r="AG1248" s="8">
        <f t="shared" ref="AG1248:AG1311" si="335">$O1248*$Z$27+$P1248*$Z$31+$Q1248*$Z$35</f>
        <v>0.72850705552628603</v>
      </c>
      <c r="AH1248" s="8">
        <f t="shared" ref="AH1248:AH1311" si="336">$O1248*$AA$27+$P1248*$AA$31+$Q1248*$AA$35</f>
        <v>0.13906901079741169</v>
      </c>
      <c r="AI1248" s="8">
        <f t="shared" ref="AI1248:AI1311" si="337">$AB$27*$O1248+$P1248*$AB$31+$AB$35*$Q1248</f>
        <v>0.67077364310492282</v>
      </c>
      <c r="AJ1248" s="8"/>
      <c r="AK1248" s="8"/>
      <c r="AL1248" s="8"/>
      <c r="AN1248" s="8">
        <f t="shared" si="327"/>
        <v>1.0000000000000002</v>
      </c>
      <c r="AO1248" s="8">
        <f t="shared" si="328"/>
        <v>0.18862649016655375</v>
      </c>
      <c r="AP1248" s="8">
        <f t="shared" si="329"/>
        <v>0.83554491006384257</v>
      </c>
      <c r="AQ1248" s="8"/>
      <c r="AR1248" s="8">
        <f t="shared" si="330"/>
        <v>10.807501790909456</v>
      </c>
      <c r="AS1248" s="8">
        <f t="shared" si="331"/>
        <v>42.126803059703875</v>
      </c>
    </row>
    <row r="1249" spans="1:45">
      <c r="A1249" s="19">
        <v>45.41203333</v>
      </c>
      <c r="B1249" s="19">
        <v>1622.6538419999999</v>
      </c>
      <c r="C1249" s="19">
        <v>-353.44475729999999</v>
      </c>
      <c r="E1249" s="9">
        <f t="shared" si="333"/>
        <v>662.65384199999994</v>
      </c>
      <c r="F1249" s="9">
        <f t="shared" ref="F1249:F1312" si="338">(($C$15/2)+C1249)</f>
        <v>186.55524270000001</v>
      </c>
      <c r="I1249">
        <v>1</v>
      </c>
      <c r="J1249">
        <f t="shared" si="334"/>
        <v>0.42938657967876709</v>
      </c>
      <c r="K1249">
        <f t="shared" ref="K1249:K1272" si="339">ATAN2(E1249,F1249)</f>
        <v>0.27442453942609413</v>
      </c>
      <c r="O1249">
        <f t="shared" ref="O1249:O1272" si="340">COS(K1249)*SIN(J1249)</f>
        <v>0.40073525042983471</v>
      </c>
      <c r="P1249">
        <f t="shared" ref="P1249:P1272" si="341">SIN(K1249)*SIN(J1249)</f>
        <v>0.1128179709586338</v>
      </c>
      <c r="Q1249">
        <f t="shared" ref="Q1249:Q1272" si="342">COS(J1249)</f>
        <v>0.90922129566553522</v>
      </c>
      <c r="R1249">
        <f t="shared" si="332"/>
        <v>1</v>
      </c>
      <c r="AG1249" s="8">
        <f t="shared" si="335"/>
        <v>0.72867878796136076</v>
      </c>
      <c r="AH1249" s="8">
        <f t="shared" si="336"/>
        <v>0.13925516983110053</v>
      </c>
      <c r="AI1249" s="8">
        <f t="shared" si="337"/>
        <v>0.67054844839912475</v>
      </c>
      <c r="AJ1249" s="8"/>
      <c r="AK1249" s="8"/>
      <c r="AL1249" s="8"/>
      <c r="AN1249" s="8">
        <f t="shared" ref="AN1249:AN1272" si="343">AG1249^2+AH1249^2+AI1249^2</f>
        <v>1</v>
      </c>
      <c r="AO1249" s="8">
        <f t="shared" ref="AO1249:AO1272" si="344">IF(ATAN2(AG1249,AH1249)&gt;=0,ATAN2(AG1249,AH1249),ATAN2(AG1249,AH1249)+2*PI())</f>
        <v>0.18882956672507023</v>
      </c>
      <c r="AP1249" s="8">
        <f t="shared" ref="AP1249:AP1272" si="345">ACOS(AI1249/AN1249)</f>
        <v>0.83584850355598517</v>
      </c>
      <c r="AQ1249" s="8"/>
      <c r="AR1249" s="8">
        <f t="shared" ref="AR1249:AR1272" si="346">DEGREES(AO1249)</f>
        <v>10.819137220630491</v>
      </c>
      <c r="AS1249" s="8">
        <f t="shared" ref="AS1249:AS1272" si="347">90-DEGREES(AP1249)</f>
        <v>42.109408433916471</v>
      </c>
    </row>
    <row r="1250" spans="1:45">
      <c r="A1250" s="19">
        <v>45.445399999999999</v>
      </c>
      <c r="B1250" s="19">
        <v>1623.2070799999999</v>
      </c>
      <c r="C1250" s="19">
        <v>-353.28609299999999</v>
      </c>
      <c r="E1250" s="9">
        <f t="shared" si="333"/>
        <v>663.20707999999991</v>
      </c>
      <c r="F1250" s="9">
        <f t="shared" si="338"/>
        <v>186.71390700000001</v>
      </c>
      <c r="I1250">
        <v>1</v>
      </c>
      <c r="J1250">
        <f t="shared" si="334"/>
        <v>0.42970583659578632</v>
      </c>
      <c r="K1250">
        <f t="shared" si="339"/>
        <v>0.27442860862549517</v>
      </c>
      <c r="O1250">
        <f t="shared" si="340"/>
        <v>0.40101418406880551</v>
      </c>
      <c r="P1250">
        <f t="shared" si="341"/>
        <v>0.11289825957512978</v>
      </c>
      <c r="Q1250">
        <f t="shared" si="342"/>
        <v>0.90908833848011539</v>
      </c>
      <c r="R1250">
        <f t="shared" si="332"/>
        <v>1</v>
      </c>
      <c r="AG1250" s="8">
        <f t="shared" si="335"/>
        <v>0.72862460679224339</v>
      </c>
      <c r="AH1250" s="8">
        <f t="shared" si="336"/>
        <v>0.13956973252132765</v>
      </c>
      <c r="AI1250" s="8">
        <f t="shared" si="337"/>
        <v>0.67054192422306724</v>
      </c>
      <c r="AJ1250" s="8"/>
      <c r="AK1250" s="8"/>
      <c r="AL1250" s="8"/>
      <c r="AN1250" s="8">
        <f t="shared" si="343"/>
        <v>0.99999999999999989</v>
      </c>
      <c r="AO1250" s="8">
        <f t="shared" si="344"/>
        <v>0.18925975103633494</v>
      </c>
      <c r="AP1250" s="8">
        <f t="shared" si="345"/>
        <v>0.83585729780238749</v>
      </c>
      <c r="AQ1250" s="8"/>
      <c r="AR1250" s="8">
        <f t="shared" si="346"/>
        <v>10.843784966078701</v>
      </c>
      <c r="AS1250" s="8">
        <f t="shared" si="347"/>
        <v>42.108904560713619</v>
      </c>
    </row>
    <row r="1251" spans="1:45">
      <c r="A1251" s="19">
        <v>45.478766669999999</v>
      </c>
      <c r="B1251" s="19">
        <v>1624.1272899999999</v>
      </c>
      <c r="C1251" s="19">
        <v>-353.94760439999999</v>
      </c>
      <c r="E1251" s="9">
        <f t="shared" si="333"/>
        <v>664.1272899999999</v>
      </c>
      <c r="F1251" s="9">
        <f t="shared" si="338"/>
        <v>186.05239560000001</v>
      </c>
      <c r="I1251">
        <v>1</v>
      </c>
      <c r="J1251">
        <f t="shared" si="334"/>
        <v>0.43009793840856797</v>
      </c>
      <c r="K1251">
        <f t="shared" si="339"/>
        <v>0.27314379305143005</v>
      </c>
      <c r="O1251">
        <f t="shared" si="340"/>
        <v>0.40150211616869941</v>
      </c>
      <c r="P1251">
        <f t="shared" si="341"/>
        <v>0.11247908597711145</v>
      </c>
      <c r="Q1251">
        <f t="shared" si="342"/>
        <v>0.9089249176526133</v>
      </c>
      <c r="R1251">
        <f t="shared" si="332"/>
        <v>1</v>
      </c>
      <c r="AG1251" s="8">
        <f t="shared" si="335"/>
        <v>0.72891523055079555</v>
      </c>
      <c r="AH1251" s="8">
        <f t="shared" si="336"/>
        <v>0.14000610047542406</v>
      </c>
      <c r="AI1251" s="8">
        <f t="shared" si="337"/>
        <v>0.67013497036100589</v>
      </c>
      <c r="AJ1251" s="8"/>
      <c r="AK1251" s="8"/>
      <c r="AL1251" s="8"/>
      <c r="AN1251" s="8">
        <f t="shared" si="343"/>
        <v>1.0000000000000002</v>
      </c>
      <c r="AO1251" s="8">
        <f t="shared" si="344"/>
        <v>0.18976349760117003</v>
      </c>
      <c r="AP1251" s="8">
        <f t="shared" si="345"/>
        <v>0.83640571214508308</v>
      </c>
      <c r="AQ1251" s="8"/>
      <c r="AR1251" s="8">
        <f t="shared" si="346"/>
        <v>10.872647518187964</v>
      </c>
      <c r="AS1251" s="8">
        <f t="shared" si="347"/>
        <v>42.077482733452719</v>
      </c>
    </row>
    <row r="1252" spans="1:45">
      <c r="A1252" s="19">
        <v>45.512133329999997</v>
      </c>
      <c r="B1252" s="19">
        <v>1624.561582</v>
      </c>
      <c r="C1252" s="19">
        <v>-354.3257777</v>
      </c>
      <c r="E1252" s="9">
        <f t="shared" si="333"/>
        <v>664.56158200000004</v>
      </c>
      <c r="F1252" s="9">
        <f t="shared" si="338"/>
        <v>185.6742223</v>
      </c>
      <c r="I1252">
        <v>1</v>
      </c>
      <c r="J1252">
        <f t="shared" si="334"/>
        <v>0.43027331864919194</v>
      </c>
      <c r="K1252">
        <f t="shared" si="339"/>
        <v>0.27244625746165341</v>
      </c>
      <c r="O1252">
        <f t="shared" si="340"/>
        <v>0.40173399828359507</v>
      </c>
      <c r="P1252">
        <f t="shared" si="341"/>
        <v>0.11224188957521775</v>
      </c>
      <c r="Q1252">
        <f t="shared" si="342"/>
        <v>0.90885177716042409</v>
      </c>
      <c r="R1252">
        <f t="shared" si="332"/>
        <v>1</v>
      </c>
      <c r="AG1252" s="8">
        <f t="shared" si="335"/>
        <v>0.72907938253892801</v>
      </c>
      <c r="AH1252" s="8">
        <f t="shared" si="336"/>
        <v>0.14020579486112394</v>
      </c>
      <c r="AI1252" s="8">
        <f t="shared" si="337"/>
        <v>0.66991461324859602</v>
      </c>
      <c r="AJ1252" s="8"/>
      <c r="AK1252" s="8"/>
      <c r="AL1252" s="8"/>
      <c r="AN1252" s="8">
        <f t="shared" si="343"/>
        <v>1</v>
      </c>
      <c r="AO1252" s="8">
        <f t="shared" si="344"/>
        <v>0.18998593526638788</v>
      </c>
      <c r="AP1252" s="8">
        <f t="shared" si="345"/>
        <v>0.83670255388137982</v>
      </c>
      <c r="AQ1252" s="8"/>
      <c r="AR1252" s="8">
        <f t="shared" si="346"/>
        <v>10.885392257609691</v>
      </c>
      <c r="AS1252" s="8">
        <f t="shared" si="347"/>
        <v>42.060474954779579</v>
      </c>
    </row>
    <row r="1253" spans="1:45">
      <c r="A1253" s="19">
        <v>45.545499999999997</v>
      </c>
      <c r="B1253" s="19">
        <v>1625.0916810000001</v>
      </c>
      <c r="C1253" s="19">
        <v>-354.25611689999999</v>
      </c>
      <c r="E1253" s="9">
        <f t="shared" si="333"/>
        <v>665.09168100000011</v>
      </c>
      <c r="F1253" s="9">
        <f t="shared" si="338"/>
        <v>185.74388310000001</v>
      </c>
      <c r="I1253">
        <v>1</v>
      </c>
      <c r="J1253">
        <f t="shared" si="334"/>
        <v>0.43056669755297655</v>
      </c>
      <c r="K1253">
        <f t="shared" si="339"/>
        <v>0.27233684765674548</v>
      </c>
      <c r="O1253">
        <f t="shared" si="340"/>
        <v>0.40200306993405738</v>
      </c>
      <c r="P1253">
        <f t="shared" si="341"/>
        <v>0.11226965147933145</v>
      </c>
      <c r="Q1253">
        <f t="shared" si="342"/>
        <v>0.90872936406847926</v>
      </c>
      <c r="R1253">
        <f t="shared" si="332"/>
        <v>1</v>
      </c>
      <c r="AG1253" s="8">
        <f t="shared" si="335"/>
        <v>0.72906111888112612</v>
      </c>
      <c r="AH1253" s="8">
        <f t="shared" si="336"/>
        <v>0.1404992081229588</v>
      </c>
      <c r="AI1253" s="8">
        <f t="shared" si="337"/>
        <v>0.66987301591616755</v>
      </c>
      <c r="AJ1253" s="8"/>
      <c r="AK1253" s="8"/>
      <c r="AL1253" s="8"/>
      <c r="AN1253" s="8">
        <f t="shared" si="343"/>
        <v>1</v>
      </c>
      <c r="AO1253" s="8">
        <f t="shared" si="344"/>
        <v>0.19037865230823617</v>
      </c>
      <c r="AP1253" s="8">
        <f t="shared" si="345"/>
        <v>0.8367585804754617</v>
      </c>
      <c r="AQ1253" s="8"/>
      <c r="AR1253" s="8">
        <f t="shared" si="346"/>
        <v>10.907893286650461</v>
      </c>
      <c r="AS1253" s="8">
        <f t="shared" si="347"/>
        <v>42.057264867398196</v>
      </c>
    </row>
    <row r="1254" spans="1:45">
      <c r="A1254" s="19">
        <v>45.578866669999996</v>
      </c>
      <c r="B1254" s="19">
        <v>1625.579395</v>
      </c>
      <c r="C1254" s="19">
        <v>-354.20534720000001</v>
      </c>
      <c r="E1254" s="9">
        <f t="shared" si="333"/>
        <v>665.57939499999998</v>
      </c>
      <c r="F1254" s="9">
        <f t="shared" si="338"/>
        <v>185.79465279999999</v>
      </c>
      <c r="I1254">
        <v>1</v>
      </c>
      <c r="J1254">
        <f t="shared" si="334"/>
        <v>0.43083457026248573</v>
      </c>
      <c r="K1254">
        <f t="shared" si="339"/>
        <v>0.27221776638016421</v>
      </c>
      <c r="O1254">
        <f t="shared" si="340"/>
        <v>0.40225088206816695</v>
      </c>
      <c r="P1254">
        <f t="shared" si="341"/>
        <v>0.11228722453517183</v>
      </c>
      <c r="Q1254">
        <f t="shared" si="342"/>
        <v>0.90861752518954286</v>
      </c>
      <c r="R1254">
        <f t="shared" si="332"/>
        <v>1</v>
      </c>
      <c r="AG1254" s="8">
        <f t="shared" si="335"/>
        <v>0.729049741753372</v>
      </c>
      <c r="AH1254" s="8">
        <f t="shared" si="336"/>
        <v>0.14076783582130004</v>
      </c>
      <c r="AI1254" s="8">
        <f t="shared" si="337"/>
        <v>0.6698290009006248</v>
      </c>
      <c r="AJ1254" s="8"/>
      <c r="AK1254" s="8"/>
      <c r="AL1254" s="8"/>
      <c r="AN1254" s="8">
        <f t="shared" si="343"/>
        <v>1</v>
      </c>
      <c r="AO1254" s="8">
        <f t="shared" si="344"/>
        <v>0.19073679601617458</v>
      </c>
      <c r="AP1254" s="8">
        <f t="shared" si="345"/>
        <v>0.83681786031380301</v>
      </c>
      <c r="AQ1254" s="8"/>
      <c r="AR1254" s="8">
        <f t="shared" si="346"/>
        <v>10.928413409574498</v>
      </c>
      <c r="AS1254" s="8">
        <f t="shared" si="347"/>
        <v>42.053868382851022</v>
      </c>
    </row>
    <row r="1255" spans="1:45">
      <c r="A1255" s="19">
        <v>45.612233330000002</v>
      </c>
      <c r="B1255" s="19">
        <v>1625.882044</v>
      </c>
      <c r="C1255" s="19">
        <v>-354.69884969999998</v>
      </c>
      <c r="E1255" s="9">
        <f t="shared" si="333"/>
        <v>665.88204399999995</v>
      </c>
      <c r="F1255" s="9">
        <f t="shared" si="338"/>
        <v>185.30115030000002</v>
      </c>
      <c r="I1255">
        <v>1</v>
      </c>
      <c r="J1255">
        <f t="shared" si="334"/>
        <v>0.43092268794134408</v>
      </c>
      <c r="K1255">
        <f t="shared" si="339"/>
        <v>0.27141233259513398</v>
      </c>
      <c r="O1255">
        <f t="shared" si="340"/>
        <v>0.40241832428151963</v>
      </c>
      <c r="P1255">
        <f t="shared" si="341"/>
        <v>0.11198466614781404</v>
      </c>
      <c r="Q1255">
        <f t="shared" si="342"/>
        <v>0.90858072114161459</v>
      </c>
      <c r="R1255">
        <f t="shared" si="332"/>
        <v>1</v>
      </c>
      <c r="AG1255" s="8">
        <f t="shared" si="335"/>
        <v>0.72925852988817153</v>
      </c>
      <c r="AH1255" s="8">
        <f t="shared" si="336"/>
        <v>0.14088537889739172</v>
      </c>
      <c r="AI1255" s="8">
        <f t="shared" si="337"/>
        <v>0.66957696092255248</v>
      </c>
      <c r="AJ1255" s="8"/>
      <c r="AK1255" s="8"/>
      <c r="AL1255" s="8"/>
      <c r="AN1255" s="8">
        <f t="shared" si="343"/>
        <v>1</v>
      </c>
      <c r="AO1255" s="8">
        <f t="shared" si="344"/>
        <v>0.1908388890576399</v>
      </c>
      <c r="AP1255" s="8">
        <f t="shared" si="345"/>
        <v>0.83715724911042455</v>
      </c>
      <c r="AQ1255" s="8"/>
      <c r="AR1255" s="8">
        <f t="shared" si="346"/>
        <v>10.934262909968115</v>
      </c>
      <c r="AS1255" s="8">
        <f t="shared" si="347"/>
        <v>42.034422837190583</v>
      </c>
    </row>
    <row r="1256" spans="1:45">
      <c r="A1256" s="19">
        <v>45.645600000000002</v>
      </c>
      <c r="B1256" s="19">
        <v>1626.4858409999999</v>
      </c>
      <c r="C1256" s="19">
        <v>-355.01933389999999</v>
      </c>
      <c r="E1256" s="9">
        <f t="shared" si="333"/>
        <v>666.48584099999994</v>
      </c>
      <c r="F1256" s="9">
        <f t="shared" si="338"/>
        <v>184.98066610000001</v>
      </c>
      <c r="I1256">
        <v>1</v>
      </c>
      <c r="J1256">
        <f t="shared" si="334"/>
        <v>0.43119741798104688</v>
      </c>
      <c r="K1256">
        <f t="shared" si="339"/>
        <v>0.27073192302755872</v>
      </c>
      <c r="O1256">
        <f t="shared" si="340"/>
        <v>0.40273493368531743</v>
      </c>
      <c r="P1256">
        <f t="shared" si="341"/>
        <v>0.11177758282617342</v>
      </c>
      <c r="Q1256">
        <f t="shared" si="342"/>
        <v>0.90846592955763672</v>
      </c>
      <c r="R1256">
        <f t="shared" si="332"/>
        <v>1</v>
      </c>
      <c r="AG1256" s="8">
        <f t="shared" si="335"/>
        <v>0.72940187361601005</v>
      </c>
      <c r="AH1256" s="8">
        <f t="shared" si="336"/>
        <v>0.1411819463166582</v>
      </c>
      <c r="AI1256" s="8">
        <f t="shared" si="337"/>
        <v>0.66935832317204691</v>
      </c>
      <c r="AJ1256" s="8"/>
      <c r="AK1256" s="8"/>
      <c r="AL1256" s="8"/>
      <c r="AN1256" s="8">
        <f t="shared" si="343"/>
        <v>1</v>
      </c>
      <c r="AO1256" s="8">
        <f t="shared" si="344"/>
        <v>0.19119422550849149</v>
      </c>
      <c r="AP1256" s="8">
        <f t="shared" si="345"/>
        <v>0.83745157547210658</v>
      </c>
      <c r="AQ1256" s="8"/>
      <c r="AR1256" s="8">
        <f t="shared" si="346"/>
        <v>10.954622188909068</v>
      </c>
      <c r="AS1256" s="8">
        <f t="shared" si="347"/>
        <v>42.017559178866762</v>
      </c>
    </row>
    <row r="1257" spans="1:45">
      <c r="A1257" s="19">
        <v>45.678966670000001</v>
      </c>
      <c r="B1257" s="19">
        <v>1627.0627179999999</v>
      </c>
      <c r="C1257" s="19">
        <v>-355.359082</v>
      </c>
      <c r="E1257" s="9">
        <f t="shared" si="333"/>
        <v>667.0627179999999</v>
      </c>
      <c r="F1257" s="9">
        <f t="shared" si="338"/>
        <v>184.640918</v>
      </c>
      <c r="I1257">
        <v>1</v>
      </c>
      <c r="J1257">
        <f t="shared" si="334"/>
        <v>0.43145504451508826</v>
      </c>
      <c r="K1257">
        <f t="shared" si="339"/>
        <v>0.27003604144624438</v>
      </c>
      <c r="O1257">
        <f t="shared" si="340"/>
        <v>0.40303817019822136</v>
      </c>
      <c r="P1257">
        <f t="shared" si="341"/>
        <v>0.11155973153103101</v>
      </c>
      <c r="Q1257">
        <f t="shared" si="342"/>
        <v>0.90835822210402972</v>
      </c>
      <c r="R1257">
        <f t="shared" si="332"/>
        <v>1</v>
      </c>
      <c r="AG1257" s="8">
        <f t="shared" si="335"/>
        <v>0.72955247347866004</v>
      </c>
      <c r="AH1257" s="8">
        <f t="shared" si="336"/>
        <v>0.14146206586721494</v>
      </c>
      <c r="AI1257" s="8">
        <f t="shared" si="337"/>
        <v>0.6691350180357839</v>
      </c>
      <c r="AJ1257" s="8"/>
      <c r="AK1257" s="8"/>
      <c r="AL1257" s="8"/>
      <c r="AN1257" s="8">
        <f t="shared" si="343"/>
        <v>1</v>
      </c>
      <c r="AO1257" s="8">
        <f t="shared" si="344"/>
        <v>0.19152578647320245</v>
      </c>
      <c r="AP1257" s="8">
        <f t="shared" si="345"/>
        <v>0.8377521044445484</v>
      </c>
      <c r="AQ1257" s="8"/>
      <c r="AR1257" s="8">
        <f t="shared" si="346"/>
        <v>10.973619232838292</v>
      </c>
      <c r="AS1257" s="8">
        <f t="shared" si="347"/>
        <v>42.000340137124439</v>
      </c>
    </row>
    <row r="1258" spans="1:45">
      <c r="A1258" s="19">
        <v>45.71233333</v>
      </c>
      <c r="B1258" s="19">
        <v>1627.7026149999999</v>
      </c>
      <c r="C1258" s="19">
        <v>-355.60959339999999</v>
      </c>
      <c r="E1258" s="9">
        <f t="shared" si="333"/>
        <v>667.70261499999992</v>
      </c>
      <c r="F1258" s="9">
        <f t="shared" si="338"/>
        <v>184.39040660000001</v>
      </c>
      <c r="I1258">
        <v>1</v>
      </c>
      <c r="J1258">
        <f t="shared" si="334"/>
        <v>0.43175957670766507</v>
      </c>
      <c r="K1258">
        <f t="shared" si="339"/>
        <v>0.26944106677170387</v>
      </c>
      <c r="O1258">
        <f t="shared" si="340"/>
        <v>0.4033710990452356</v>
      </c>
      <c r="P1258">
        <f t="shared" si="341"/>
        <v>0.1113935445102905</v>
      </c>
      <c r="Q1258">
        <f t="shared" si="342"/>
        <v>0.90823082677063582</v>
      </c>
      <c r="R1258">
        <f t="shared" si="332"/>
        <v>1</v>
      </c>
      <c r="AG1258" s="8">
        <f t="shared" si="335"/>
        <v>0.72966746054716924</v>
      </c>
      <c r="AH1258" s="8">
        <f t="shared" si="336"/>
        <v>0.14178450388165081</v>
      </c>
      <c r="AI1258" s="8">
        <f t="shared" si="337"/>
        <v>0.66894136624795397</v>
      </c>
      <c r="AJ1258" s="8"/>
      <c r="AK1258" s="8"/>
      <c r="AL1258" s="8"/>
      <c r="AN1258" s="8">
        <f t="shared" si="343"/>
        <v>1</v>
      </c>
      <c r="AO1258" s="8">
        <f t="shared" si="344"/>
        <v>0.19192219117214421</v>
      </c>
      <c r="AP1258" s="8">
        <f t="shared" si="345"/>
        <v>0.83801265946015735</v>
      </c>
      <c r="AQ1258" s="8"/>
      <c r="AR1258" s="8">
        <f t="shared" si="346"/>
        <v>10.996331549066809</v>
      </c>
      <c r="AS1258" s="8">
        <f t="shared" si="347"/>
        <v>41.985411434399083</v>
      </c>
    </row>
    <row r="1259" spans="1:45">
      <c r="A1259" s="19">
        <v>45.745699999999999</v>
      </c>
      <c r="B1259" s="19">
        <v>1628.2545090000001</v>
      </c>
      <c r="C1259" s="19">
        <v>-356.15842179999999</v>
      </c>
      <c r="E1259" s="9">
        <f t="shared" si="333"/>
        <v>668.2545090000001</v>
      </c>
      <c r="F1259" s="9">
        <f t="shared" si="338"/>
        <v>183.84157820000001</v>
      </c>
      <c r="I1259">
        <v>1</v>
      </c>
      <c r="J1259">
        <f t="shared" si="334"/>
        <v>0.43197337235471372</v>
      </c>
      <c r="K1259">
        <f t="shared" si="339"/>
        <v>0.26846580346979304</v>
      </c>
      <c r="O1259">
        <f t="shared" si="340"/>
        <v>0.40366675623274301</v>
      </c>
      <c r="P1259">
        <f t="shared" si="341"/>
        <v>0.11105160164763236</v>
      </c>
      <c r="Q1259">
        <f t="shared" si="342"/>
        <v>0.9081413390458728</v>
      </c>
      <c r="R1259">
        <f t="shared" si="332"/>
        <v>1</v>
      </c>
      <c r="AG1259" s="8">
        <f t="shared" si="335"/>
        <v>0.72990315440673081</v>
      </c>
      <c r="AH1259" s="8">
        <f t="shared" si="336"/>
        <v>0.14203139608820098</v>
      </c>
      <c r="AI1259" s="8">
        <f t="shared" si="337"/>
        <v>0.66863178784166466</v>
      </c>
      <c r="AJ1259" s="8"/>
      <c r="AK1259" s="8"/>
      <c r="AL1259" s="8"/>
      <c r="AN1259" s="8">
        <f t="shared" si="343"/>
        <v>1.0000000000000002</v>
      </c>
      <c r="AO1259" s="8">
        <f t="shared" si="344"/>
        <v>0.1921876606546826</v>
      </c>
      <c r="AP1259" s="8">
        <f t="shared" si="345"/>
        <v>0.83842906481668844</v>
      </c>
      <c r="AQ1259" s="8"/>
      <c r="AR1259" s="8">
        <f t="shared" si="346"/>
        <v>11.011541830005781</v>
      </c>
      <c r="AS1259" s="8">
        <f t="shared" si="347"/>
        <v>41.961553164903215</v>
      </c>
    </row>
    <row r="1260" spans="1:45">
      <c r="A1260" s="19">
        <v>45.779066669999999</v>
      </c>
      <c r="B1260" s="19">
        <v>1628.5160900000001</v>
      </c>
      <c r="C1260" s="19">
        <v>-356.58390070000002</v>
      </c>
      <c r="E1260" s="9">
        <f t="shared" si="333"/>
        <v>668.51609000000008</v>
      </c>
      <c r="F1260" s="9">
        <f t="shared" si="338"/>
        <v>183.41609929999998</v>
      </c>
      <c r="I1260">
        <v>1</v>
      </c>
      <c r="J1260">
        <f t="shared" si="334"/>
        <v>0.43205059403368573</v>
      </c>
      <c r="K1260">
        <f t="shared" si="339"/>
        <v>0.26777392753098872</v>
      </c>
      <c r="O1260">
        <f t="shared" si="340"/>
        <v>0.40381112132703656</v>
      </c>
      <c r="P1260">
        <f t="shared" si="341"/>
        <v>0.11079084233823613</v>
      </c>
      <c r="Q1260">
        <f t="shared" si="342"/>
        <v>0.90810900642300951</v>
      </c>
      <c r="R1260">
        <f t="shared" si="332"/>
        <v>1</v>
      </c>
      <c r="AG1260" s="8">
        <f t="shared" si="335"/>
        <v>0.73008266750602624</v>
      </c>
      <c r="AH1260" s="8">
        <f t="shared" si="336"/>
        <v>0.14213292661699584</v>
      </c>
      <c r="AI1260" s="8">
        <f t="shared" si="337"/>
        <v>0.66841419028815718</v>
      </c>
      <c r="AJ1260" s="8"/>
      <c r="AK1260" s="8"/>
      <c r="AL1260" s="8"/>
      <c r="AN1260" s="8">
        <f t="shared" si="343"/>
        <v>1</v>
      </c>
      <c r="AO1260" s="8">
        <f t="shared" si="344"/>
        <v>0.19227555250113551</v>
      </c>
      <c r="AP1260" s="8">
        <f t="shared" si="345"/>
        <v>0.83872165598233894</v>
      </c>
      <c r="AQ1260" s="8"/>
      <c r="AR1260" s="8">
        <f t="shared" si="346"/>
        <v>11.016577661861145</v>
      </c>
      <c r="AS1260" s="8">
        <f t="shared" si="347"/>
        <v>41.944788925988625</v>
      </c>
    </row>
    <row r="1261" spans="1:45">
      <c r="A1261" s="19">
        <v>45.812433329999998</v>
      </c>
      <c r="B1261" s="19">
        <v>1629.321316</v>
      </c>
      <c r="C1261" s="19">
        <v>-356.64749010000003</v>
      </c>
      <c r="E1261" s="9">
        <f t="shared" si="333"/>
        <v>669.32131600000002</v>
      </c>
      <c r="F1261" s="9">
        <f t="shared" si="338"/>
        <v>183.35250989999997</v>
      </c>
      <c r="I1261">
        <v>1</v>
      </c>
      <c r="J1261">
        <f t="shared" si="334"/>
        <v>0.43247101979801711</v>
      </c>
      <c r="K1261">
        <f t="shared" si="339"/>
        <v>0.26737856459908566</v>
      </c>
      <c r="O1261">
        <f t="shared" si="340"/>
        <v>0.40422308277267532</v>
      </c>
      <c r="P1261">
        <f t="shared" si="341"/>
        <v>0.11073204306238688</v>
      </c>
      <c r="Q1261">
        <f t="shared" si="342"/>
        <v>0.90793287967392422</v>
      </c>
      <c r="R1261">
        <f t="shared" si="332"/>
        <v>1</v>
      </c>
      <c r="AG1261" s="8">
        <f t="shared" si="335"/>
        <v>0.7301235746491519</v>
      </c>
      <c r="AH1261" s="8">
        <f t="shared" si="336"/>
        <v>0.142561887527205</v>
      </c>
      <c r="AI1261" s="8">
        <f t="shared" si="337"/>
        <v>0.66827814117044482</v>
      </c>
      <c r="AJ1261" s="8"/>
      <c r="AK1261" s="8"/>
      <c r="AL1261" s="8"/>
      <c r="AN1261" s="8">
        <f t="shared" si="343"/>
        <v>1</v>
      </c>
      <c r="AO1261" s="8">
        <f t="shared" si="344"/>
        <v>0.19283104726162215</v>
      </c>
      <c r="AP1261" s="8">
        <f t="shared" si="345"/>
        <v>0.83890455447938062</v>
      </c>
      <c r="AQ1261" s="8"/>
      <c r="AR1261" s="8">
        <f t="shared" si="346"/>
        <v>11.048405167178659</v>
      </c>
      <c r="AS1261" s="8">
        <f t="shared" si="347"/>
        <v>41.934309614028848</v>
      </c>
    </row>
    <row r="1262" spans="1:45">
      <c r="A1262" s="19">
        <v>45.845799999999997</v>
      </c>
      <c r="B1262" s="19">
        <v>1629.997312</v>
      </c>
      <c r="C1262" s="19">
        <v>-356.59912000000003</v>
      </c>
      <c r="E1262" s="9">
        <f t="shared" si="333"/>
        <v>669.99731199999997</v>
      </c>
      <c r="F1262" s="9">
        <f t="shared" si="338"/>
        <v>183.40087999999997</v>
      </c>
      <c r="I1262">
        <v>1</v>
      </c>
      <c r="J1262">
        <f t="shared" si="334"/>
        <v>0.43283875014311629</v>
      </c>
      <c r="K1262">
        <f t="shared" si="339"/>
        <v>0.26718861224919876</v>
      </c>
      <c r="O1262">
        <f t="shared" si="340"/>
        <v>0.40456610954642752</v>
      </c>
      <c r="P1262">
        <f t="shared" si="341"/>
        <v>0.11074340027947935</v>
      </c>
      <c r="Q1262">
        <f t="shared" si="342"/>
        <v>0.90777869676535539</v>
      </c>
      <c r="R1262">
        <f t="shared" si="332"/>
        <v>1</v>
      </c>
      <c r="AG1262" s="8">
        <f t="shared" si="335"/>
        <v>0.73011604297170052</v>
      </c>
      <c r="AH1262" s="8">
        <f t="shared" si="336"/>
        <v>0.14293136546117519</v>
      </c>
      <c r="AI1262" s="8">
        <f t="shared" si="337"/>
        <v>0.66820744425870482</v>
      </c>
      <c r="AJ1262" s="8"/>
      <c r="AK1262" s="8"/>
      <c r="AL1262" s="8"/>
      <c r="AN1262" s="8">
        <f t="shared" si="343"/>
        <v>1.0000000000000002</v>
      </c>
      <c r="AO1262" s="8">
        <f t="shared" si="344"/>
        <v>0.19332040948797447</v>
      </c>
      <c r="AP1262" s="8">
        <f t="shared" si="345"/>
        <v>0.83899958445800282</v>
      </c>
      <c r="AQ1262" s="8"/>
      <c r="AR1262" s="8">
        <f t="shared" si="346"/>
        <v>11.076443557401772</v>
      </c>
      <c r="AS1262" s="8">
        <f t="shared" si="347"/>
        <v>41.928864797326582</v>
      </c>
    </row>
    <row r="1263" spans="1:45">
      <c r="A1263" s="19">
        <v>45.879166669999996</v>
      </c>
      <c r="B1263" s="19">
        <v>1630.269908</v>
      </c>
      <c r="C1263" s="19">
        <v>-356.84915860000001</v>
      </c>
      <c r="E1263" s="9">
        <f t="shared" si="333"/>
        <v>670.26990799999999</v>
      </c>
      <c r="F1263" s="9">
        <f t="shared" si="338"/>
        <v>183.15084139999999</v>
      </c>
      <c r="I1263">
        <v>1</v>
      </c>
      <c r="J1263">
        <f t="shared" si="334"/>
        <v>0.43294768964391228</v>
      </c>
      <c r="K1263">
        <f t="shared" si="339"/>
        <v>0.26673795249387561</v>
      </c>
      <c r="O1263">
        <f t="shared" si="340"/>
        <v>0.40471136934817187</v>
      </c>
      <c r="P1263">
        <f t="shared" si="341"/>
        <v>0.11058713353466533</v>
      </c>
      <c r="Q1263">
        <f t="shared" si="342"/>
        <v>0.90773299676552122</v>
      </c>
      <c r="R1263">
        <f t="shared" si="332"/>
        <v>1</v>
      </c>
      <c r="AG1263" s="8">
        <f t="shared" si="335"/>
        <v>0.73022355376703174</v>
      </c>
      <c r="AH1263" s="8">
        <f t="shared" si="336"/>
        <v>0.14305513489423227</v>
      </c>
      <c r="AI1263" s="8">
        <f t="shared" si="337"/>
        <v>0.66806346248259973</v>
      </c>
      <c r="AJ1263" s="8"/>
      <c r="AK1263" s="8"/>
      <c r="AL1263" s="8"/>
      <c r="AN1263" s="8">
        <f t="shared" si="343"/>
        <v>1</v>
      </c>
      <c r="AO1263" s="8">
        <f t="shared" si="344"/>
        <v>0.19345588647716178</v>
      </c>
      <c r="AP1263" s="8">
        <f t="shared" si="345"/>
        <v>0.83919309803607556</v>
      </c>
      <c r="AQ1263" s="8"/>
      <c r="AR1263" s="8">
        <f t="shared" si="346"/>
        <v>11.084205817103346</v>
      </c>
      <c r="AS1263" s="8">
        <f t="shared" si="347"/>
        <v>41.917777286024538</v>
      </c>
    </row>
    <row r="1264" spans="1:45">
      <c r="A1264" s="19">
        <v>45.912533330000002</v>
      </c>
      <c r="B1264" s="19">
        <v>1630.528564</v>
      </c>
      <c r="C1264" s="19">
        <v>-357.04831030000003</v>
      </c>
      <c r="E1264" s="9">
        <f t="shared" si="333"/>
        <v>670.52856399999996</v>
      </c>
      <c r="F1264" s="9">
        <f t="shared" si="338"/>
        <v>182.95168969999997</v>
      </c>
      <c r="I1264">
        <v>1</v>
      </c>
      <c r="J1264">
        <f t="shared" si="334"/>
        <v>0.4330566656413341</v>
      </c>
      <c r="K1264">
        <f t="shared" si="339"/>
        <v>0.26636346007116951</v>
      </c>
      <c r="O1264">
        <f t="shared" si="340"/>
        <v>0.40484818521437543</v>
      </c>
      <c r="P1264">
        <f t="shared" si="341"/>
        <v>0.11046160228447556</v>
      </c>
      <c r="Q1264">
        <f t="shared" si="342"/>
        <v>0.9076872706771717</v>
      </c>
      <c r="R1264">
        <f t="shared" si="332"/>
        <v>1</v>
      </c>
      <c r="AG1264" s="8">
        <f t="shared" si="335"/>
        <v>0.73030989873303898</v>
      </c>
      <c r="AH1264" s="8">
        <f t="shared" si="336"/>
        <v>0.14317611795676632</v>
      </c>
      <c r="AI1264" s="8">
        <f t="shared" si="337"/>
        <v>0.66794314957140521</v>
      </c>
      <c r="AJ1264" s="8"/>
      <c r="AK1264" s="8"/>
      <c r="AL1264" s="8"/>
      <c r="AN1264" s="8">
        <f t="shared" si="343"/>
        <v>1.0000000000000002</v>
      </c>
      <c r="AO1264" s="8">
        <f t="shared" si="344"/>
        <v>0.19359311380149388</v>
      </c>
      <c r="AP1264" s="8">
        <f t="shared" si="345"/>
        <v>0.83935477453798157</v>
      </c>
      <c r="AQ1264" s="8"/>
      <c r="AR1264" s="8">
        <f t="shared" si="346"/>
        <v>11.092068363621447</v>
      </c>
      <c r="AS1264" s="8">
        <f t="shared" si="347"/>
        <v>41.908513904818882</v>
      </c>
    </row>
    <row r="1265" spans="1:45">
      <c r="A1265" s="19">
        <v>45.945900000000002</v>
      </c>
      <c r="B1265" s="19">
        <v>1631.139334</v>
      </c>
      <c r="C1265" s="19">
        <v>-357.59322350000002</v>
      </c>
      <c r="E1265" s="9">
        <f t="shared" si="333"/>
        <v>671.13933399999996</v>
      </c>
      <c r="F1265" s="9">
        <f t="shared" si="338"/>
        <v>182.40677649999998</v>
      </c>
      <c r="I1265">
        <v>1</v>
      </c>
      <c r="J1265">
        <f t="shared" si="334"/>
        <v>0.43330333788987058</v>
      </c>
      <c r="K1265">
        <f t="shared" si="339"/>
        <v>0.26537642809155693</v>
      </c>
      <c r="O1265">
        <f t="shared" si="340"/>
        <v>0.40517306813741988</v>
      </c>
      <c r="P1265">
        <f t="shared" si="341"/>
        <v>0.11012067023859105</v>
      </c>
      <c r="Q1265">
        <f t="shared" si="342"/>
        <v>0.90758372773111862</v>
      </c>
      <c r="R1265">
        <f t="shared" si="332"/>
        <v>1</v>
      </c>
      <c r="AG1265" s="8">
        <f t="shared" si="335"/>
        <v>0.7305442527300825</v>
      </c>
      <c r="AH1265" s="8">
        <f t="shared" si="336"/>
        <v>0.14345475758036697</v>
      </c>
      <c r="AI1265" s="8">
        <f t="shared" si="337"/>
        <v>0.667627012133724</v>
      </c>
      <c r="AJ1265" s="8"/>
      <c r="AK1265" s="8"/>
      <c r="AL1265" s="8"/>
      <c r="AN1265" s="8">
        <f t="shared" si="343"/>
        <v>1.0000000000000002</v>
      </c>
      <c r="AO1265" s="8">
        <f t="shared" si="344"/>
        <v>0.19389982869875474</v>
      </c>
      <c r="AP1265" s="8">
        <f t="shared" si="345"/>
        <v>0.83977948829826032</v>
      </c>
      <c r="AQ1265" s="8"/>
      <c r="AR1265" s="8">
        <f t="shared" si="346"/>
        <v>11.109641832748284</v>
      </c>
      <c r="AS1265" s="8">
        <f t="shared" si="347"/>
        <v>41.884179598853777</v>
      </c>
    </row>
    <row r="1266" spans="1:45">
      <c r="A1266" s="19">
        <v>45.979266670000001</v>
      </c>
      <c r="B1266" s="19">
        <v>1631.9230700000001</v>
      </c>
      <c r="C1266" s="19">
        <v>-357.96143849999999</v>
      </c>
      <c r="E1266" s="9">
        <f t="shared" si="333"/>
        <v>671.92307000000005</v>
      </c>
      <c r="F1266" s="9">
        <f t="shared" si="338"/>
        <v>182.03856150000001</v>
      </c>
      <c r="I1266">
        <v>1</v>
      </c>
      <c r="J1266">
        <f t="shared" si="334"/>
        <v>0.43366813192971343</v>
      </c>
      <c r="K1266">
        <f t="shared" si="339"/>
        <v>0.26457073783827778</v>
      </c>
      <c r="O1266">
        <f t="shared" si="340"/>
        <v>0.40558119391341624</v>
      </c>
      <c r="P1266">
        <f t="shared" si="341"/>
        <v>0.10988075928312872</v>
      </c>
      <c r="Q1266">
        <f t="shared" si="342"/>
        <v>0.90743050085564736</v>
      </c>
      <c r="R1266">
        <f t="shared" si="332"/>
        <v>1</v>
      </c>
      <c r="AG1266" s="8">
        <f t="shared" si="335"/>
        <v>0.73070901439128089</v>
      </c>
      <c r="AH1266" s="8">
        <f t="shared" si="336"/>
        <v>0.14384309239256693</v>
      </c>
      <c r="AI1266" s="8">
        <f t="shared" si="337"/>
        <v>0.66736309536733174</v>
      </c>
      <c r="AJ1266" s="8"/>
      <c r="AK1266" s="8"/>
      <c r="AL1266" s="8"/>
      <c r="AN1266" s="8">
        <f t="shared" si="343"/>
        <v>1</v>
      </c>
      <c r="AO1266" s="8">
        <f t="shared" si="344"/>
        <v>0.19436886970547734</v>
      </c>
      <c r="AP1266" s="8">
        <f t="shared" si="345"/>
        <v>0.84013392252751118</v>
      </c>
      <c r="AQ1266" s="8"/>
      <c r="AR1266" s="8">
        <f t="shared" si="346"/>
        <v>11.136515902852056</v>
      </c>
      <c r="AS1266" s="8">
        <f t="shared" si="347"/>
        <v>41.863872013402734</v>
      </c>
    </row>
    <row r="1267" spans="1:45">
      <c r="A1267" s="19">
        <v>46.01263333</v>
      </c>
      <c r="B1267" s="19">
        <v>1632.352504</v>
      </c>
      <c r="C1267" s="19">
        <v>-358.25176019999998</v>
      </c>
      <c r="E1267" s="9">
        <f t="shared" si="333"/>
        <v>672.35250399999995</v>
      </c>
      <c r="F1267" s="9">
        <f t="shared" si="338"/>
        <v>181.74823980000002</v>
      </c>
      <c r="I1267">
        <v>1</v>
      </c>
      <c r="J1267">
        <f t="shared" si="334"/>
        <v>0.4338552956624469</v>
      </c>
      <c r="K1267">
        <f t="shared" si="339"/>
        <v>0.26400717195817247</v>
      </c>
      <c r="O1267">
        <f t="shared" si="340"/>
        <v>0.4058070009829613</v>
      </c>
      <c r="P1267">
        <f t="shared" si="341"/>
        <v>0.1096964876138397</v>
      </c>
      <c r="Q1267">
        <f t="shared" si="342"/>
        <v>0.90735183835070365</v>
      </c>
      <c r="R1267">
        <f t="shared" si="332"/>
        <v>0.99999999999999989</v>
      </c>
      <c r="AG1267" s="8">
        <f t="shared" si="335"/>
        <v>0.73083547830293183</v>
      </c>
      <c r="AH1267" s="8">
        <f t="shared" si="336"/>
        <v>0.14404753385032526</v>
      </c>
      <c r="AI1267" s="8">
        <f t="shared" si="337"/>
        <v>0.66718049405341895</v>
      </c>
      <c r="AJ1267" s="8"/>
      <c r="AK1267" s="8"/>
      <c r="AL1267" s="8"/>
      <c r="AN1267" s="8">
        <f t="shared" si="343"/>
        <v>1</v>
      </c>
      <c r="AO1267" s="8">
        <f t="shared" si="344"/>
        <v>0.19460536659971975</v>
      </c>
      <c r="AP1267" s="8">
        <f t="shared" si="345"/>
        <v>0.84037908607195866</v>
      </c>
      <c r="AQ1267" s="8"/>
      <c r="AR1267" s="8">
        <f t="shared" si="346"/>
        <v>11.150066176760097</v>
      </c>
      <c r="AS1267" s="8">
        <f t="shared" si="347"/>
        <v>41.849825177015425</v>
      </c>
    </row>
    <row r="1268" spans="1:45">
      <c r="A1268" s="19">
        <v>46.045999999999999</v>
      </c>
      <c r="B1268" s="19">
        <v>1632.4724719999999</v>
      </c>
      <c r="C1268" s="19">
        <v>-358.4196584</v>
      </c>
      <c r="E1268" s="9">
        <f t="shared" si="333"/>
        <v>672.47247199999993</v>
      </c>
      <c r="F1268" s="9">
        <f t="shared" si="338"/>
        <v>181.5803416</v>
      </c>
      <c r="I1268">
        <v>1</v>
      </c>
      <c r="J1268">
        <f t="shared" si="334"/>
        <v>0.43389509399495968</v>
      </c>
      <c r="K1268">
        <f t="shared" si="339"/>
        <v>0.2637295394862384</v>
      </c>
      <c r="O1268">
        <f t="shared" si="340"/>
        <v>0.40587230285840642</v>
      </c>
      <c r="P1268">
        <f t="shared" si="341"/>
        <v>0.10959323164533656</v>
      </c>
      <c r="Q1268">
        <f t="shared" si="342"/>
        <v>0.90733510752640101</v>
      </c>
      <c r="R1268">
        <f t="shared" si="332"/>
        <v>1</v>
      </c>
      <c r="AG1268" s="8">
        <f t="shared" si="335"/>
        <v>0.73090634664028753</v>
      </c>
      <c r="AH1268" s="8">
        <f t="shared" si="336"/>
        <v>0.14409653285459945</v>
      </c>
      <c r="AI1268" s="8">
        <f t="shared" si="337"/>
        <v>0.66709227372248214</v>
      </c>
      <c r="AJ1268" s="8"/>
      <c r="AK1268" s="8"/>
      <c r="AL1268" s="8"/>
      <c r="AN1268" s="8">
        <f t="shared" si="343"/>
        <v>0.99999999999999978</v>
      </c>
      <c r="AO1268" s="8">
        <f t="shared" si="344"/>
        <v>0.1946515018704556</v>
      </c>
      <c r="AP1268" s="8">
        <f t="shared" si="345"/>
        <v>0.84049751286125318</v>
      </c>
      <c r="AQ1268" s="8"/>
      <c r="AR1268" s="8">
        <f t="shared" si="346"/>
        <v>11.152709533059955</v>
      </c>
      <c r="AS1268" s="8">
        <f t="shared" si="347"/>
        <v>41.843039821807565</v>
      </c>
    </row>
    <row r="1269" spans="1:45">
      <c r="A1269" s="19">
        <v>46.079366669999999</v>
      </c>
      <c r="B1269" s="19">
        <v>1633.2848509999999</v>
      </c>
      <c r="C1269" s="19">
        <v>-358.73329269999999</v>
      </c>
      <c r="E1269" s="9">
        <f t="shared" si="333"/>
        <v>673.28485099999989</v>
      </c>
      <c r="F1269" s="9">
        <f t="shared" si="338"/>
        <v>181.26670730000001</v>
      </c>
      <c r="I1269">
        <v>1</v>
      </c>
      <c r="J1269">
        <f t="shared" si="334"/>
        <v>0.43428331652600666</v>
      </c>
      <c r="K1269">
        <f t="shared" si="339"/>
        <v>0.26299155887099213</v>
      </c>
      <c r="O1269">
        <f t="shared" si="340"/>
        <v>0.40629317585347929</v>
      </c>
      <c r="P1269">
        <f t="shared" si="341"/>
        <v>0.10938524173837395</v>
      </c>
      <c r="Q1269">
        <f t="shared" si="342"/>
        <v>0.9071718272437318</v>
      </c>
      <c r="R1269">
        <f t="shared" si="332"/>
        <v>1</v>
      </c>
      <c r="AG1269" s="8">
        <f t="shared" si="335"/>
        <v>0.73104882010045147</v>
      </c>
      <c r="AH1269" s="8">
        <f t="shared" si="336"/>
        <v>0.14450513060682363</v>
      </c>
      <c r="AI1269" s="8">
        <f t="shared" si="337"/>
        <v>0.66684772613996568</v>
      </c>
      <c r="AJ1269" s="8"/>
      <c r="AK1269" s="8"/>
      <c r="AL1269" s="8"/>
      <c r="AN1269" s="8">
        <f t="shared" si="343"/>
        <v>1</v>
      </c>
      <c r="AO1269" s="8">
        <f t="shared" si="344"/>
        <v>0.19515247688482598</v>
      </c>
      <c r="AP1269" s="8">
        <f t="shared" si="345"/>
        <v>0.84082572739621475</v>
      </c>
      <c r="AQ1269" s="8"/>
      <c r="AR1269" s="8">
        <f t="shared" si="346"/>
        <v>11.181413287024885</v>
      </c>
      <c r="AS1269" s="8">
        <f t="shared" si="347"/>
        <v>41.824234514179416</v>
      </c>
    </row>
    <row r="1270" spans="1:45">
      <c r="A1270" s="19">
        <v>46.112733329999998</v>
      </c>
      <c r="B1270" s="19">
        <v>1633.9189469999999</v>
      </c>
      <c r="C1270" s="19">
        <v>-358.92111619999997</v>
      </c>
      <c r="E1270" s="9">
        <f t="shared" si="333"/>
        <v>673.91894699999989</v>
      </c>
      <c r="F1270" s="9">
        <f t="shared" si="338"/>
        <v>181.07888380000003</v>
      </c>
      <c r="I1270">
        <v>1</v>
      </c>
      <c r="J1270">
        <f t="shared" si="334"/>
        <v>0.43459455512692463</v>
      </c>
      <c r="K1270">
        <f t="shared" si="339"/>
        <v>0.26249542744303833</v>
      </c>
      <c r="O1270">
        <f t="shared" si="340"/>
        <v>0.40662005084084468</v>
      </c>
      <c r="P1270">
        <f t="shared" si="341"/>
        <v>0.10925691474431781</v>
      </c>
      <c r="Q1270">
        <f t="shared" si="342"/>
        <v>0.90704082644318818</v>
      </c>
      <c r="R1270">
        <f t="shared" si="332"/>
        <v>1</v>
      </c>
      <c r="AG1270" s="8">
        <f t="shared" si="335"/>
        <v>0.73113654096058911</v>
      </c>
      <c r="AH1270" s="8">
        <f t="shared" si="336"/>
        <v>0.14482925428688109</v>
      </c>
      <c r="AI1270" s="8">
        <f t="shared" si="337"/>
        <v>0.66668121735570951</v>
      </c>
      <c r="AJ1270" s="8"/>
      <c r="AK1270" s="8"/>
      <c r="AL1270" s="8"/>
      <c r="AN1270" s="8">
        <f t="shared" si="343"/>
        <v>1</v>
      </c>
      <c r="AO1270" s="8">
        <f t="shared" si="344"/>
        <v>0.19555626511308691</v>
      </c>
      <c r="AP1270" s="8">
        <f t="shared" si="345"/>
        <v>0.84104914859960112</v>
      </c>
      <c r="AQ1270" s="8"/>
      <c r="AR1270" s="8">
        <f t="shared" si="346"/>
        <v>11.2045486483213</v>
      </c>
      <c r="AS1270" s="8">
        <f t="shared" si="347"/>
        <v>41.811433422171646</v>
      </c>
    </row>
    <row r="1271" spans="1:45">
      <c r="A1271" s="19">
        <v>46.146099999999997</v>
      </c>
      <c r="B1271" s="19">
        <v>1634.126532</v>
      </c>
      <c r="C1271" s="19">
        <v>-358.94078150000001</v>
      </c>
      <c r="E1271" s="9">
        <f t="shared" si="333"/>
        <v>674.126532</v>
      </c>
      <c r="F1271" s="9">
        <f t="shared" si="338"/>
        <v>181.05921849999999</v>
      </c>
      <c r="I1271">
        <v>1</v>
      </c>
      <c r="J1271">
        <f t="shared" si="334"/>
        <v>0.43470243666415365</v>
      </c>
      <c r="K1271">
        <f t="shared" si="339"/>
        <v>0.26239104878155178</v>
      </c>
      <c r="O1271">
        <f t="shared" si="340"/>
        <v>0.40672595404874234</v>
      </c>
      <c r="P1271">
        <f t="shared" si="341"/>
        <v>0.10923985318490949</v>
      </c>
      <c r="Q1271">
        <f t="shared" si="342"/>
        <v>0.90699539843335464</v>
      </c>
      <c r="R1271">
        <f t="shared" si="332"/>
        <v>1</v>
      </c>
      <c r="AG1271" s="8">
        <f t="shared" si="335"/>
        <v>0.73114811073165531</v>
      </c>
      <c r="AH1271" s="8">
        <f t="shared" si="336"/>
        <v>0.14493924262529195</v>
      </c>
      <c r="AI1271" s="8">
        <f t="shared" si="337"/>
        <v>0.66664462505951239</v>
      </c>
      <c r="AJ1271" s="8"/>
      <c r="AK1271" s="8"/>
      <c r="AL1271" s="8"/>
      <c r="AN1271" s="8">
        <f t="shared" si="343"/>
        <v>1</v>
      </c>
      <c r="AO1271" s="8">
        <f t="shared" si="344"/>
        <v>0.19569799737329802</v>
      </c>
      <c r="AP1271" s="8">
        <f t="shared" si="345"/>
        <v>0.84109824209601547</v>
      </c>
      <c r="AQ1271" s="8"/>
      <c r="AR1271" s="8">
        <f t="shared" si="346"/>
        <v>11.212669308652247</v>
      </c>
      <c r="AS1271" s="8">
        <f t="shared" si="347"/>
        <v>41.808620572025561</v>
      </c>
    </row>
    <row r="1272" spans="1:45">
      <c r="A1272" s="19">
        <v>46.179466669999996</v>
      </c>
      <c r="B1272" s="19">
        <v>1634.5010569999999</v>
      </c>
      <c r="C1272" s="19">
        <v>-358.99980909999999</v>
      </c>
      <c r="E1272" s="9">
        <f t="shared" si="333"/>
        <v>674.50105699999995</v>
      </c>
      <c r="F1272" s="9">
        <f t="shared" si="338"/>
        <v>181.00019090000001</v>
      </c>
      <c r="I1272">
        <v>1</v>
      </c>
      <c r="J1272">
        <f t="shared" si="334"/>
        <v>0.43489369120324378</v>
      </c>
      <c r="K1272">
        <f t="shared" si="339"/>
        <v>0.26217031090186099</v>
      </c>
      <c r="O1272">
        <f t="shared" si="340"/>
        <v>0.40691758965102093</v>
      </c>
      <c r="P1272">
        <f t="shared" si="341"/>
        <v>0.10919502741031681</v>
      </c>
      <c r="Q1272">
        <f t="shared" si="342"/>
        <v>0.9069148368074389</v>
      </c>
      <c r="R1272">
        <f t="shared" si="332"/>
        <v>1</v>
      </c>
      <c r="AG1272" s="8">
        <f t="shared" si="335"/>
        <v>0.73117859516201644</v>
      </c>
      <c r="AH1272" s="8">
        <f t="shared" si="336"/>
        <v>0.1451354543121699</v>
      </c>
      <c r="AI1272" s="8">
        <f t="shared" si="337"/>
        <v>0.66656849751432157</v>
      </c>
      <c r="AJ1272" s="8"/>
      <c r="AK1272" s="8"/>
      <c r="AL1272" s="8"/>
      <c r="AN1272" s="8">
        <f t="shared" si="343"/>
        <v>1</v>
      </c>
      <c r="AO1272" s="8">
        <f t="shared" si="344"/>
        <v>0.19594823582665685</v>
      </c>
      <c r="AP1272" s="8">
        <f t="shared" si="345"/>
        <v>0.84120037055020469</v>
      </c>
      <c r="AQ1272" s="8"/>
      <c r="AR1272" s="8">
        <f t="shared" si="346"/>
        <v>11.227006915901589</v>
      </c>
      <c r="AS1272" s="8">
        <f t="shared" si="347"/>
        <v>41.80276904263232</v>
      </c>
    </row>
    <row r="1273" spans="1:45">
      <c r="A1273" s="20">
        <v>46.212833330000002</v>
      </c>
      <c r="B1273" s="20">
        <v>1635.3961770000001</v>
      </c>
      <c r="C1273" s="20">
        <v>-359.64014759999998</v>
      </c>
      <c r="E1273" s="9">
        <f t="shared" ref="E1273:E1336" si="348">(B1273-($B$15/2))</f>
        <v>675.39617700000008</v>
      </c>
      <c r="F1273" s="9">
        <f t="shared" si="338"/>
        <v>180.35985240000002</v>
      </c>
      <c r="I1273">
        <v>1</v>
      </c>
      <c r="J1273">
        <f t="shared" ref="J1273:J1336" si="349">ATAN((SQRT(E1273^2+F1273^2)^$B$16)/($F$24))</f>
        <v>0.43527955891705178</v>
      </c>
      <c r="K1273">
        <f t="shared" ref="K1273:K1336" si="350">ATAN2(E1273,F1273)</f>
        <v>0.26095375035417867</v>
      </c>
      <c r="O1273">
        <f t="shared" ref="O1273:O1336" si="351">COS(K1273)*SIN(J1273)</f>
        <v>0.40738820194350223</v>
      </c>
      <c r="P1273">
        <f t="shared" ref="P1273:P1336" si="352">SIN(K1273)*SIN(J1273)</f>
        <v>0.10879018637387321</v>
      </c>
      <c r="Q1273">
        <f t="shared" ref="Q1273:Q1336" si="353">COS(J1273)</f>
        <v>0.90675219782803851</v>
      </c>
      <c r="R1273">
        <f t="shared" ref="R1273:R1336" si="354">SQRT(O1273^2+P1273^2+Q1273^2)</f>
        <v>1</v>
      </c>
      <c r="AG1273" s="8">
        <f t="shared" si="335"/>
        <v>0.7314555576060402</v>
      </c>
      <c r="AH1273" s="8">
        <f t="shared" si="336"/>
        <v>0.14555766509596557</v>
      </c>
      <c r="AI1273" s="8">
        <f t="shared" si="337"/>
        <v>0.66617245018016735</v>
      </c>
      <c r="AJ1273" s="8"/>
      <c r="AK1273" s="8"/>
      <c r="AL1273" s="8"/>
      <c r="AN1273" s="8">
        <f t="shared" ref="AN1273:AN1336" si="355">AG1273^2+AH1273^2+AI1273^2</f>
        <v>1</v>
      </c>
      <c r="AO1273" s="8">
        <f t="shared" ref="AO1273:AO1336" si="356">IF(ATAN2(AG1273,AH1273)&gt;=0,ATAN2(AG1273,AH1273),ATAN2(AG1273,AH1273)+2*PI())</f>
        <v>0.19643121862748791</v>
      </c>
      <c r="AP1273" s="8">
        <f t="shared" ref="AP1273:AP1336" si="357">ACOS(AI1273/AN1273)</f>
        <v>0.84173153511121357</v>
      </c>
      <c r="AQ1273" s="8"/>
      <c r="AR1273" s="8">
        <f t="shared" ref="AR1273:AR1336" si="358">DEGREES(AO1273)</f>
        <v>11.254679791966616</v>
      </c>
      <c r="AS1273" s="8">
        <f t="shared" ref="AS1273:AS1336" si="359">90-DEGREES(AP1273)</f>
        <v>41.772335555059598</v>
      </c>
    </row>
    <row r="1274" spans="1:45">
      <c r="A1274" s="20">
        <v>46.246200000000002</v>
      </c>
      <c r="B1274" s="20">
        <v>1635.742686</v>
      </c>
      <c r="C1274" s="20">
        <v>-359.9081721</v>
      </c>
      <c r="E1274" s="9">
        <f t="shared" si="348"/>
        <v>675.74268600000005</v>
      </c>
      <c r="F1274" s="9">
        <f t="shared" si="338"/>
        <v>180.0918279</v>
      </c>
      <c r="I1274">
        <v>1</v>
      </c>
      <c r="J1274">
        <f t="shared" si="349"/>
        <v>0.43542618610650352</v>
      </c>
      <c r="K1274">
        <f t="shared" si="350"/>
        <v>0.26045562949680606</v>
      </c>
      <c r="O1274">
        <f t="shared" si="351"/>
        <v>0.40757080801532591</v>
      </c>
      <c r="P1274">
        <f t="shared" si="352"/>
        <v>0.1086214817190933</v>
      </c>
      <c r="Q1274">
        <f t="shared" si="353"/>
        <v>0.90669036068708875</v>
      </c>
      <c r="R1274">
        <f t="shared" si="354"/>
        <v>1</v>
      </c>
      <c r="AG1274" s="8">
        <f t="shared" si="335"/>
        <v>0.73157090429360727</v>
      </c>
      <c r="AH1274" s="8">
        <f t="shared" si="336"/>
        <v>0.14571917305971949</v>
      </c>
      <c r="AI1274" s="8">
        <f t="shared" si="337"/>
        <v>0.66601046132461406</v>
      </c>
      <c r="AJ1274" s="8"/>
      <c r="AK1274" s="8"/>
      <c r="AL1274" s="8"/>
      <c r="AN1274" s="8">
        <f t="shared" si="355"/>
        <v>1</v>
      </c>
      <c r="AO1274" s="8">
        <f t="shared" si="356"/>
        <v>0.19661339059873897</v>
      </c>
      <c r="AP1274" s="8">
        <f t="shared" si="357"/>
        <v>0.84194871617465961</v>
      </c>
      <c r="AQ1274" s="8"/>
      <c r="AR1274" s="8">
        <f t="shared" si="358"/>
        <v>11.265117477064882</v>
      </c>
      <c r="AS1274" s="8">
        <f t="shared" si="359"/>
        <v>41.759891996733977</v>
      </c>
    </row>
    <row r="1275" spans="1:45">
      <c r="A1275" s="20">
        <v>46.279566670000001</v>
      </c>
      <c r="B1275" s="20">
        <v>1636.461335</v>
      </c>
      <c r="C1275" s="20">
        <v>-359.9679936</v>
      </c>
      <c r="E1275" s="9">
        <f t="shared" si="348"/>
        <v>676.46133499999996</v>
      </c>
      <c r="F1275" s="9">
        <f t="shared" si="338"/>
        <v>180.0320064</v>
      </c>
      <c r="I1275">
        <v>1</v>
      </c>
      <c r="J1275">
        <f t="shared" si="349"/>
        <v>0.43580081252848701</v>
      </c>
      <c r="K1275">
        <f t="shared" si="350"/>
        <v>0.26010867500484747</v>
      </c>
      <c r="O1275">
        <f t="shared" si="351"/>
        <v>0.40793668593609478</v>
      </c>
      <c r="P1275">
        <f t="shared" si="352"/>
        <v>0.10856741731327749</v>
      </c>
      <c r="Q1275">
        <f t="shared" si="353"/>
        <v>0.90653228081817394</v>
      </c>
      <c r="R1275">
        <f t="shared" si="354"/>
        <v>1</v>
      </c>
      <c r="AG1275" s="8">
        <f t="shared" si="335"/>
        <v>0.73160712666370242</v>
      </c>
      <c r="AH1275" s="8">
        <f t="shared" si="336"/>
        <v>0.14610030821581188</v>
      </c>
      <c r="AI1275" s="8">
        <f t="shared" si="337"/>
        <v>0.6658871617279658</v>
      </c>
      <c r="AJ1275" s="8"/>
      <c r="AK1275" s="8"/>
      <c r="AL1275" s="8"/>
      <c r="AN1275" s="8">
        <f t="shared" si="355"/>
        <v>1</v>
      </c>
      <c r="AO1275" s="8">
        <f t="shared" si="356"/>
        <v>0.19710493260350806</v>
      </c>
      <c r="AP1275" s="8">
        <f t="shared" si="357"/>
        <v>0.84211399770314688</v>
      </c>
      <c r="AQ1275" s="8"/>
      <c r="AR1275" s="8">
        <f t="shared" si="358"/>
        <v>11.29328075939155</v>
      </c>
      <c r="AS1275" s="8">
        <f t="shared" si="359"/>
        <v>41.750422062720183</v>
      </c>
    </row>
    <row r="1276" spans="1:45">
      <c r="A1276" s="20">
        <v>46.31293333</v>
      </c>
      <c r="B1276" s="20">
        <v>1636.762561</v>
      </c>
      <c r="C1276" s="20">
        <v>-360.07778530000002</v>
      </c>
      <c r="E1276" s="9">
        <f t="shared" si="348"/>
        <v>676.76256100000001</v>
      </c>
      <c r="F1276" s="9">
        <f t="shared" si="338"/>
        <v>179.92221469999998</v>
      </c>
      <c r="I1276">
        <v>1</v>
      </c>
      <c r="J1276">
        <f t="shared" si="349"/>
        <v>0.43594580790411874</v>
      </c>
      <c r="K1276">
        <f t="shared" si="350"/>
        <v>0.25984653435296085</v>
      </c>
      <c r="O1276">
        <f t="shared" si="351"/>
        <v>0.40809215793536041</v>
      </c>
      <c r="P1276">
        <f t="shared" si="352"/>
        <v>0.10849424759687942</v>
      </c>
      <c r="Q1276">
        <f t="shared" si="353"/>
        <v>0.90647106344882733</v>
      </c>
      <c r="R1276">
        <f t="shared" si="354"/>
        <v>1</v>
      </c>
      <c r="AG1276" s="8">
        <f t="shared" si="335"/>
        <v>0.7316569064635331</v>
      </c>
      <c r="AH1276" s="8">
        <f t="shared" si="336"/>
        <v>0.1462521183202326</v>
      </c>
      <c r="AI1276" s="8">
        <f t="shared" si="337"/>
        <v>0.66579913570915472</v>
      </c>
      <c r="AJ1276" s="8"/>
      <c r="AK1276" s="8"/>
      <c r="AL1276" s="8"/>
      <c r="AN1276" s="8">
        <f t="shared" si="355"/>
        <v>1</v>
      </c>
      <c r="AO1276" s="8">
        <f t="shared" si="356"/>
        <v>0.19729139082817607</v>
      </c>
      <c r="AP1276" s="8">
        <f t="shared" si="357"/>
        <v>0.84223198053680637</v>
      </c>
      <c r="AQ1276" s="8"/>
      <c r="AR1276" s="8">
        <f t="shared" si="358"/>
        <v>11.303964028720529</v>
      </c>
      <c r="AS1276" s="8">
        <f t="shared" si="359"/>
        <v>41.743662144296501</v>
      </c>
    </row>
    <row r="1277" spans="1:45">
      <c r="A1277" s="20">
        <v>46.346299999999999</v>
      </c>
      <c r="B1277" s="20">
        <v>1638.125376</v>
      </c>
      <c r="C1277" s="20">
        <v>-360.09744970000003</v>
      </c>
      <c r="E1277" s="9">
        <f t="shared" si="348"/>
        <v>678.12537599999996</v>
      </c>
      <c r="F1277" s="9">
        <f t="shared" si="338"/>
        <v>179.90255029999997</v>
      </c>
      <c r="I1277">
        <v>1</v>
      </c>
      <c r="J1277">
        <f t="shared" si="349"/>
        <v>0.43666923408539776</v>
      </c>
      <c r="K1277">
        <f t="shared" si="350"/>
        <v>0.25932035955784954</v>
      </c>
      <c r="O1277">
        <f t="shared" si="351"/>
        <v>0.40878292057991189</v>
      </c>
      <c r="P1277">
        <f t="shared" si="352"/>
        <v>0.10844763009046947</v>
      </c>
      <c r="Q1277">
        <f t="shared" si="353"/>
        <v>0.90616534659515546</v>
      </c>
      <c r="R1277">
        <f t="shared" si="354"/>
        <v>1</v>
      </c>
      <c r="AG1277" s="8">
        <f t="shared" si="335"/>
        <v>0.73168679863932085</v>
      </c>
      <c r="AH1277" s="8">
        <f t="shared" si="336"/>
        <v>0.14698308941909016</v>
      </c>
      <c r="AI1277" s="8">
        <f t="shared" si="337"/>
        <v>0.66560528853199608</v>
      </c>
      <c r="AJ1277" s="8"/>
      <c r="AK1277" s="8"/>
      <c r="AL1277" s="8"/>
      <c r="AN1277" s="8">
        <f t="shared" si="355"/>
        <v>1</v>
      </c>
      <c r="AO1277" s="8">
        <f t="shared" si="356"/>
        <v>0.19824399449221591</v>
      </c>
      <c r="AP1277" s="8">
        <f t="shared" si="357"/>
        <v>0.84249175356237127</v>
      </c>
      <c r="AQ1277" s="8"/>
      <c r="AR1277" s="8">
        <f t="shared" si="358"/>
        <v>11.358544198218709</v>
      </c>
      <c r="AS1277" s="8">
        <f t="shared" si="359"/>
        <v>41.728778246300287</v>
      </c>
    </row>
    <row r="1278" spans="1:45">
      <c r="A1278" s="20">
        <v>46.379666669999999</v>
      </c>
      <c r="B1278" s="20">
        <v>1637.7493910000001</v>
      </c>
      <c r="C1278" s="20">
        <v>-360.7297532</v>
      </c>
      <c r="E1278" s="9">
        <f t="shared" si="348"/>
        <v>677.74939100000006</v>
      </c>
      <c r="F1278" s="9">
        <f t="shared" si="338"/>
        <v>179.2702468</v>
      </c>
      <c r="I1278">
        <v>1</v>
      </c>
      <c r="J1278">
        <f t="shared" si="349"/>
        <v>0.43637963476252456</v>
      </c>
      <c r="K1278">
        <f t="shared" si="350"/>
        <v>0.25858611100500634</v>
      </c>
      <c r="O1278">
        <f t="shared" si="351"/>
        <v>0.40860872085616146</v>
      </c>
      <c r="P1278">
        <f t="shared" si="352"/>
        <v>0.10808034238796736</v>
      </c>
      <c r="Q1278">
        <f t="shared" si="353"/>
        <v>0.9062877869802678</v>
      </c>
      <c r="R1278">
        <f t="shared" si="354"/>
        <v>1</v>
      </c>
      <c r="AG1278" s="8">
        <f t="shared" si="335"/>
        <v>0.73193920486815423</v>
      </c>
      <c r="AH1278" s="8">
        <f t="shared" si="336"/>
        <v>0.14672203537945588</v>
      </c>
      <c r="AI1278" s="8">
        <f t="shared" si="337"/>
        <v>0.66538533550949552</v>
      </c>
      <c r="AJ1278" s="8"/>
      <c r="AK1278" s="8"/>
      <c r="AL1278" s="8"/>
      <c r="AN1278" s="8">
        <f t="shared" si="355"/>
        <v>1</v>
      </c>
      <c r="AO1278" s="8">
        <f t="shared" si="356"/>
        <v>0.19783454786842491</v>
      </c>
      <c r="AP1278" s="8">
        <f t="shared" si="357"/>
        <v>0.84278643795026675</v>
      </c>
      <c r="AQ1278" s="8"/>
      <c r="AR1278" s="8">
        <f t="shared" si="358"/>
        <v>11.335084634739605</v>
      </c>
      <c r="AS1278" s="8">
        <f t="shared" si="359"/>
        <v>41.71189407458548</v>
      </c>
    </row>
    <row r="1279" spans="1:45">
      <c r="A1279" s="20">
        <v>46.413033329999998</v>
      </c>
      <c r="B1279" s="20">
        <v>1638.4403170000001</v>
      </c>
      <c r="C1279" s="20">
        <v>-360.83530209999998</v>
      </c>
      <c r="E1279" s="9">
        <f t="shared" si="348"/>
        <v>678.44031700000005</v>
      </c>
      <c r="F1279" s="9">
        <f t="shared" si="338"/>
        <v>179.16469790000002</v>
      </c>
      <c r="I1279">
        <v>1</v>
      </c>
      <c r="J1279">
        <f t="shared" si="349"/>
        <v>0.43673297834108094</v>
      </c>
      <c r="K1279">
        <f t="shared" si="350"/>
        <v>0.25818890488546037</v>
      </c>
      <c r="O1279">
        <f t="shared" si="351"/>
        <v>0.40896120986893819</v>
      </c>
      <c r="P1279">
        <f t="shared" si="352"/>
        <v>0.10799978978694276</v>
      </c>
      <c r="Q1279">
        <f t="shared" si="353"/>
        <v>0.90613838580456929</v>
      </c>
      <c r="R1279">
        <f t="shared" si="354"/>
        <v>1</v>
      </c>
      <c r="AG1279" s="8">
        <f t="shared" si="335"/>
        <v>0.73199324967427126</v>
      </c>
      <c r="AH1279" s="8">
        <f t="shared" si="336"/>
        <v>0.14708360710366947</v>
      </c>
      <c r="AI1279" s="8">
        <f t="shared" si="337"/>
        <v>0.66524604091469297</v>
      </c>
      <c r="AJ1279" s="8"/>
      <c r="AK1279" s="8"/>
      <c r="AL1279" s="8"/>
      <c r="AN1279" s="8">
        <f t="shared" si="355"/>
        <v>1</v>
      </c>
      <c r="AO1279" s="8">
        <f t="shared" si="356"/>
        <v>0.19829515009698517</v>
      </c>
      <c r="AP1279" s="8">
        <f t="shared" si="357"/>
        <v>0.84297301933077862</v>
      </c>
      <c r="AQ1279" s="8"/>
      <c r="AR1279" s="8">
        <f t="shared" si="358"/>
        <v>11.361475198470428</v>
      </c>
      <c r="AS1279" s="8">
        <f t="shared" si="359"/>
        <v>41.701203748946426</v>
      </c>
    </row>
    <row r="1280" spans="1:45">
      <c r="A1280" s="20">
        <v>46.446399999999997</v>
      </c>
      <c r="B1280" s="20">
        <v>1638.719345</v>
      </c>
      <c r="C1280" s="20">
        <v>-360.89112399999999</v>
      </c>
      <c r="E1280" s="9">
        <f t="shared" si="348"/>
        <v>678.71934499999998</v>
      </c>
      <c r="F1280" s="9">
        <f t="shared" si="338"/>
        <v>179.10887600000001</v>
      </c>
      <c r="I1280">
        <v>1</v>
      </c>
      <c r="J1280">
        <f t="shared" si="349"/>
        <v>0.43687380438138534</v>
      </c>
      <c r="K1280">
        <f t="shared" si="350"/>
        <v>0.25801052317585871</v>
      </c>
      <c r="O1280">
        <f t="shared" si="351"/>
        <v>0.40910384849241599</v>
      </c>
      <c r="P1280">
        <f t="shared" si="352"/>
        <v>0.10795939589838996</v>
      </c>
      <c r="Q1280">
        <f t="shared" si="353"/>
        <v>0.90607881003031354</v>
      </c>
      <c r="R1280">
        <f t="shared" si="354"/>
        <v>1</v>
      </c>
      <c r="AG1280" s="8">
        <f t="shared" si="335"/>
        <v>0.73202042906063547</v>
      </c>
      <c r="AH1280" s="8">
        <f t="shared" si="336"/>
        <v>0.14722835771061038</v>
      </c>
      <c r="AI1280" s="8">
        <f t="shared" si="337"/>
        <v>0.66518411144864231</v>
      </c>
      <c r="AJ1280" s="8"/>
      <c r="AK1280" s="8"/>
      <c r="AL1280" s="8"/>
      <c r="AN1280" s="8">
        <f t="shared" si="355"/>
        <v>1.0000000000000002</v>
      </c>
      <c r="AO1280" s="8">
        <f t="shared" si="356"/>
        <v>0.19847803952413093</v>
      </c>
      <c r="AP1280" s="8">
        <f t="shared" si="357"/>
        <v>0.84305596223208334</v>
      </c>
      <c r="AQ1280" s="8"/>
      <c r="AR1280" s="8">
        <f t="shared" si="358"/>
        <v>11.371953990763444</v>
      </c>
      <c r="AS1280" s="8">
        <f t="shared" si="359"/>
        <v>41.696451470761097</v>
      </c>
    </row>
    <row r="1281" spans="1:45">
      <c r="A1281" s="20">
        <v>46.479766669999997</v>
      </c>
      <c r="B1281" s="20">
        <v>1639.3965470000001</v>
      </c>
      <c r="C1281" s="20">
        <v>-360.92481650000002</v>
      </c>
      <c r="E1281" s="9">
        <f t="shared" si="348"/>
        <v>679.39654700000006</v>
      </c>
      <c r="F1281" s="9">
        <f t="shared" si="338"/>
        <v>179.07518349999998</v>
      </c>
      <c r="I1281">
        <v>1</v>
      </c>
      <c r="J1281">
        <f t="shared" si="349"/>
        <v>0.43722985360623989</v>
      </c>
      <c r="K1281">
        <f t="shared" si="350"/>
        <v>0.25771822283842372</v>
      </c>
      <c r="O1281">
        <f t="shared" si="351"/>
        <v>0.40944731584771471</v>
      </c>
      <c r="P1281">
        <f t="shared" si="352"/>
        <v>0.1079220280744405</v>
      </c>
      <c r="Q1281">
        <f t="shared" si="353"/>
        <v>0.90592810498482801</v>
      </c>
      <c r="R1281">
        <f t="shared" si="354"/>
        <v>1</v>
      </c>
      <c r="AG1281" s="8">
        <f t="shared" si="335"/>
        <v>0.73204473641491341</v>
      </c>
      <c r="AH1281" s="8">
        <f t="shared" si="336"/>
        <v>0.14758905729459476</v>
      </c>
      <c r="AI1281" s="8">
        <f t="shared" si="337"/>
        <v>0.66507741959422506</v>
      </c>
      <c r="AJ1281" s="8"/>
      <c r="AK1281" s="8"/>
      <c r="AL1281" s="8"/>
      <c r="AN1281" s="8">
        <f t="shared" si="355"/>
        <v>1</v>
      </c>
      <c r="AO1281" s="8">
        <f t="shared" si="356"/>
        <v>0.19894514900750951</v>
      </c>
      <c r="AP1281" s="8">
        <f t="shared" si="357"/>
        <v>0.84319884158271796</v>
      </c>
      <c r="AQ1281" s="8"/>
      <c r="AR1281" s="8">
        <f t="shared" si="358"/>
        <v>11.398717392731573</v>
      </c>
      <c r="AS1281" s="8">
        <f t="shared" si="359"/>
        <v>41.688265086990164</v>
      </c>
    </row>
    <row r="1282" spans="1:45">
      <c r="A1282" s="20">
        <v>46.513133330000002</v>
      </c>
      <c r="B1282" s="20">
        <v>1639.4509439999999</v>
      </c>
      <c r="C1282" s="20">
        <v>-361.83313800000002</v>
      </c>
      <c r="E1282" s="9">
        <f t="shared" si="348"/>
        <v>679.45094399999994</v>
      </c>
      <c r="F1282" s="9">
        <f t="shared" si="338"/>
        <v>178.16686199999998</v>
      </c>
      <c r="I1282">
        <v>1</v>
      </c>
      <c r="J1282">
        <f t="shared" si="349"/>
        <v>0.43713160404342988</v>
      </c>
      <c r="K1282">
        <f t="shared" si="350"/>
        <v>0.25644806376208962</v>
      </c>
      <c r="O1282">
        <f t="shared" si="351"/>
        <v>0.40949796545192291</v>
      </c>
      <c r="P1282">
        <f t="shared" si="352"/>
        <v>0.10737930110220512</v>
      </c>
      <c r="Q1282">
        <f t="shared" si="353"/>
        <v>0.90596970257594034</v>
      </c>
      <c r="R1282">
        <f t="shared" si="354"/>
        <v>1</v>
      </c>
      <c r="AG1282" s="8">
        <f t="shared" si="335"/>
        <v>0.73241641429125148</v>
      </c>
      <c r="AH1282" s="8">
        <f t="shared" si="336"/>
        <v>0.14753364711261918</v>
      </c>
      <c r="AI1282" s="8">
        <f t="shared" si="337"/>
        <v>0.66468038864283874</v>
      </c>
      <c r="AJ1282" s="8"/>
      <c r="AK1282" s="8"/>
      <c r="AL1282" s="8"/>
      <c r="AN1282" s="8">
        <f t="shared" si="355"/>
        <v>1.0000000000000002</v>
      </c>
      <c r="AO1282" s="8">
        <f t="shared" si="356"/>
        <v>0.19877412880089074</v>
      </c>
      <c r="AP1282" s="8">
        <f t="shared" si="357"/>
        <v>0.84373037695716646</v>
      </c>
      <c r="AQ1282" s="8"/>
      <c r="AR1282" s="8">
        <f t="shared" si="358"/>
        <v>11.388918656680863</v>
      </c>
      <c r="AS1282" s="8">
        <f t="shared" si="359"/>
        <v>41.657810353372355</v>
      </c>
    </row>
    <row r="1283" spans="1:45">
      <c r="A1283" s="20">
        <v>46.546500000000002</v>
      </c>
      <c r="B1283" s="20">
        <v>1638.648649</v>
      </c>
      <c r="C1283" s="20">
        <v>-362.61954259999999</v>
      </c>
      <c r="E1283" s="9">
        <f t="shared" si="348"/>
        <v>678.64864899999998</v>
      </c>
      <c r="F1283" s="9">
        <f t="shared" si="338"/>
        <v>177.38045740000001</v>
      </c>
      <c r="I1283">
        <v>1</v>
      </c>
      <c r="J1283">
        <f t="shared" si="349"/>
        <v>0.43659414520757617</v>
      </c>
      <c r="K1283">
        <f t="shared" si="350"/>
        <v>0.25565372334820557</v>
      </c>
      <c r="O1283">
        <f t="shared" si="351"/>
        <v>0.40911197724154386</v>
      </c>
      <c r="P1283">
        <f t="shared" si="352"/>
        <v>0.10693083933469003</v>
      </c>
      <c r="Q1283">
        <f t="shared" si="353"/>
        <v>0.90619710089841565</v>
      </c>
      <c r="R1283">
        <f t="shared" si="354"/>
        <v>1</v>
      </c>
      <c r="AG1283" s="8">
        <f t="shared" si="335"/>
        <v>0.73272498291360011</v>
      </c>
      <c r="AH1283" s="8">
        <f t="shared" si="336"/>
        <v>0.14702921060850432</v>
      </c>
      <c r="AI1283" s="8">
        <f t="shared" si="337"/>
        <v>0.66445203787941276</v>
      </c>
      <c r="AJ1283" s="8"/>
      <c r="AK1283" s="8"/>
      <c r="AL1283" s="8"/>
      <c r="AN1283" s="8">
        <f t="shared" si="355"/>
        <v>1</v>
      </c>
      <c r="AO1283" s="8">
        <f t="shared" si="356"/>
        <v>0.19803090216215277</v>
      </c>
      <c r="AP1283" s="8">
        <f t="shared" si="357"/>
        <v>0.84403597356800009</v>
      </c>
      <c r="AQ1283" s="8"/>
      <c r="AR1283" s="8">
        <f t="shared" si="358"/>
        <v>11.346334907059482</v>
      </c>
      <c r="AS1283" s="8">
        <f t="shared" si="359"/>
        <v>41.640300957338084</v>
      </c>
    </row>
    <row r="1284" spans="1:45">
      <c r="A1284" s="20">
        <v>46.579866670000001</v>
      </c>
      <c r="B1284" s="20">
        <v>1640.613306</v>
      </c>
      <c r="C1284" s="20">
        <v>-361.77754679999998</v>
      </c>
      <c r="E1284" s="9">
        <f t="shared" si="348"/>
        <v>680.61330599999997</v>
      </c>
      <c r="F1284" s="9">
        <f t="shared" si="338"/>
        <v>178.22245320000002</v>
      </c>
      <c r="I1284">
        <v>1</v>
      </c>
      <c r="J1284">
        <f t="shared" si="349"/>
        <v>0.43775865662159424</v>
      </c>
      <c r="K1284">
        <f t="shared" si="350"/>
        <v>0.25610544129202956</v>
      </c>
      <c r="O1284">
        <f t="shared" si="351"/>
        <v>0.41008421314267135</v>
      </c>
      <c r="P1284">
        <f t="shared" si="352"/>
        <v>0.107382876356635</v>
      </c>
      <c r="Q1284">
        <f t="shared" si="353"/>
        <v>0.90570406645688173</v>
      </c>
      <c r="R1284">
        <f t="shared" si="354"/>
        <v>1</v>
      </c>
      <c r="AG1284" s="8">
        <f t="shared" si="335"/>
        <v>0.73241145663192575</v>
      </c>
      <c r="AH1284" s="8">
        <f t="shared" si="336"/>
        <v>0.14816303849919094</v>
      </c>
      <c r="AI1284" s="8">
        <f t="shared" si="337"/>
        <v>0.66454583906378328</v>
      </c>
      <c r="AJ1284" s="8"/>
      <c r="AK1284" s="8"/>
      <c r="AL1284" s="8"/>
      <c r="AN1284" s="8">
        <f t="shared" si="355"/>
        <v>0.99999999999999978</v>
      </c>
      <c r="AO1284" s="8">
        <f t="shared" si="356"/>
        <v>0.19960113368230192</v>
      </c>
      <c r="AP1284" s="8">
        <f t="shared" si="357"/>
        <v>0.84391045163680867</v>
      </c>
      <c r="AQ1284" s="8"/>
      <c r="AR1284" s="8">
        <f t="shared" si="358"/>
        <v>11.436302546022441</v>
      </c>
      <c r="AS1284" s="8">
        <f t="shared" si="359"/>
        <v>41.647492834231684</v>
      </c>
    </row>
    <row r="1285" spans="1:45">
      <c r="A1285" s="20">
        <v>46.61323333</v>
      </c>
      <c r="B1285" s="20">
        <v>1641.3485800000001</v>
      </c>
      <c r="C1285" s="20">
        <v>-362.1087493</v>
      </c>
      <c r="E1285" s="9">
        <f t="shared" si="348"/>
        <v>681.34858000000008</v>
      </c>
      <c r="F1285" s="9">
        <f t="shared" si="338"/>
        <v>177.8912507</v>
      </c>
      <c r="I1285">
        <v>1</v>
      </c>
      <c r="J1285">
        <f t="shared" si="349"/>
        <v>0.43810415647202477</v>
      </c>
      <c r="K1285">
        <f t="shared" si="350"/>
        <v>0.25538595208483544</v>
      </c>
      <c r="O1285">
        <f t="shared" si="351"/>
        <v>0.41046411463811</v>
      </c>
      <c r="P1285">
        <f t="shared" si="352"/>
        <v>0.10716684068005479</v>
      </c>
      <c r="Q1285">
        <f t="shared" si="353"/>
        <v>0.90555755137539884</v>
      </c>
      <c r="R1285">
        <f t="shared" si="354"/>
        <v>0.99999999999999989</v>
      </c>
      <c r="AG1285" s="8">
        <f t="shared" si="335"/>
        <v>0.73255762395348101</v>
      </c>
      <c r="AH1285" s="8">
        <f t="shared" si="336"/>
        <v>0.14852684708234193</v>
      </c>
      <c r="AI1285" s="8">
        <f t="shared" si="337"/>
        <v>0.66430347228010844</v>
      </c>
      <c r="AJ1285" s="8"/>
      <c r="AK1285" s="8"/>
      <c r="AL1285" s="8"/>
      <c r="AN1285" s="8">
        <f t="shared" si="355"/>
        <v>0.99999999999999989</v>
      </c>
      <c r="AO1285" s="8">
        <f t="shared" si="356"/>
        <v>0.20003942110704523</v>
      </c>
      <c r="AP1285" s="8">
        <f t="shared" si="357"/>
        <v>0.84423475093849421</v>
      </c>
      <c r="AQ1285" s="8"/>
      <c r="AR1285" s="8">
        <f t="shared" si="358"/>
        <v>11.461414565673889</v>
      </c>
      <c r="AS1285" s="8">
        <f t="shared" si="359"/>
        <v>41.628911852946068</v>
      </c>
    </row>
    <row r="1286" spans="1:45">
      <c r="A1286" s="20">
        <v>46.646599999999999</v>
      </c>
      <c r="B1286" s="20">
        <v>1642.167913</v>
      </c>
      <c r="C1286" s="20">
        <v>-362.89173679999999</v>
      </c>
      <c r="E1286" s="9">
        <f t="shared" si="348"/>
        <v>682.167913</v>
      </c>
      <c r="F1286" s="9">
        <f t="shared" si="338"/>
        <v>177.10826320000001</v>
      </c>
      <c r="I1286">
        <v>1</v>
      </c>
      <c r="J1286">
        <f t="shared" si="349"/>
        <v>0.43843196346687835</v>
      </c>
      <c r="K1286">
        <f t="shared" si="350"/>
        <v>0.25401734647335561</v>
      </c>
      <c r="O1286">
        <f t="shared" si="351"/>
        <v>0.41089769970021145</v>
      </c>
      <c r="P1286">
        <f t="shared" si="352"/>
        <v>0.10667956753747168</v>
      </c>
      <c r="Q1286">
        <f t="shared" si="353"/>
        <v>0.90541843931471422</v>
      </c>
      <c r="R1286">
        <f t="shared" si="354"/>
        <v>1</v>
      </c>
      <c r="AG1286" s="8">
        <f t="shared" si="335"/>
        <v>0.73288901893165115</v>
      </c>
      <c r="AH1286" s="8">
        <f t="shared" si="336"/>
        <v>0.14889354341022309</v>
      </c>
      <c r="AI1286" s="8">
        <f t="shared" si="337"/>
        <v>0.66385570620440548</v>
      </c>
      <c r="AJ1286" s="8"/>
      <c r="AK1286" s="8"/>
      <c r="AL1286" s="8"/>
      <c r="AN1286" s="8">
        <f t="shared" si="355"/>
        <v>1</v>
      </c>
      <c r="AO1286" s="8">
        <f t="shared" si="356"/>
        <v>0.20043191817921774</v>
      </c>
      <c r="AP1286" s="8">
        <f t="shared" si="357"/>
        <v>0.8448336394270809</v>
      </c>
      <c r="AQ1286" s="8"/>
      <c r="AR1286" s="8">
        <f t="shared" si="358"/>
        <v>11.483902991380615</v>
      </c>
      <c r="AS1286" s="8">
        <f t="shared" si="359"/>
        <v>41.594598070151079</v>
      </c>
    </row>
    <row r="1287" spans="1:45">
      <c r="A1287" s="20">
        <v>46.679966669999999</v>
      </c>
      <c r="B1287" s="20">
        <v>1642.530465</v>
      </c>
      <c r="C1287" s="20">
        <v>-362.88327520000001</v>
      </c>
      <c r="E1287" s="9">
        <f t="shared" si="348"/>
        <v>682.53046500000005</v>
      </c>
      <c r="F1287" s="9">
        <f t="shared" si="338"/>
        <v>177.11672479999999</v>
      </c>
      <c r="I1287">
        <v>1</v>
      </c>
      <c r="J1287">
        <f t="shared" si="349"/>
        <v>0.43862622175404137</v>
      </c>
      <c r="K1287">
        <f t="shared" si="350"/>
        <v>0.25389975624724848</v>
      </c>
      <c r="O1287">
        <f t="shared" si="351"/>
        <v>0.41108047978304385</v>
      </c>
      <c r="P1287">
        <f t="shared" si="352"/>
        <v>0.10667542614143288</v>
      </c>
      <c r="Q1287">
        <f t="shared" si="353"/>
        <v>0.90533595565341718</v>
      </c>
      <c r="R1287">
        <f t="shared" si="354"/>
        <v>1</v>
      </c>
      <c r="AG1287" s="8">
        <f t="shared" si="335"/>
        <v>0.73289086379919177</v>
      </c>
      <c r="AH1287" s="8">
        <f t="shared" si="336"/>
        <v>0.1490887940516275</v>
      </c>
      <c r="AI1287" s="8">
        <f t="shared" si="337"/>
        <v>0.66380984720619052</v>
      </c>
      <c r="AJ1287" s="8"/>
      <c r="AK1287" s="8"/>
      <c r="AL1287" s="8"/>
      <c r="AN1287" s="8">
        <f t="shared" si="355"/>
        <v>1</v>
      </c>
      <c r="AO1287" s="8">
        <f t="shared" si="356"/>
        <v>0.20068726542335799</v>
      </c>
      <c r="AP1287" s="8">
        <f t="shared" si="357"/>
        <v>0.84489495800050185</v>
      </c>
      <c r="AQ1287" s="8"/>
      <c r="AR1287" s="8">
        <f t="shared" si="358"/>
        <v>11.498533310780148</v>
      </c>
      <c r="AS1287" s="8">
        <f t="shared" si="359"/>
        <v>41.591084774688298</v>
      </c>
    </row>
    <row r="1288" spans="1:45">
      <c r="A1288" s="20">
        <v>46.713333329999998</v>
      </c>
      <c r="B1288" s="20">
        <v>1642.740286</v>
      </c>
      <c r="C1288" s="20">
        <v>-362.88133740000001</v>
      </c>
      <c r="E1288" s="9">
        <f t="shared" si="348"/>
        <v>682.74028599999997</v>
      </c>
      <c r="F1288" s="9">
        <f t="shared" si="338"/>
        <v>177.11866259999999</v>
      </c>
      <c r="I1288">
        <v>1</v>
      </c>
      <c r="J1288">
        <f t="shared" si="349"/>
        <v>0.43873822342116531</v>
      </c>
      <c r="K1288">
        <f t="shared" si="350"/>
        <v>0.2538276956138899</v>
      </c>
      <c r="O1288">
        <f t="shared" si="351"/>
        <v>0.41118631337546319</v>
      </c>
      <c r="P1288">
        <f t="shared" si="352"/>
        <v>0.10667126489806482</v>
      </c>
      <c r="Q1288">
        <f t="shared" si="353"/>
        <v>0.90528838329989758</v>
      </c>
      <c r="R1288">
        <f t="shared" si="354"/>
        <v>1</v>
      </c>
      <c r="AG1288" s="8">
        <f t="shared" si="335"/>
        <v>0.73289312408437912</v>
      </c>
      <c r="AH1288" s="8">
        <f t="shared" si="336"/>
        <v>0.14920149815780048</v>
      </c>
      <c r="AI1288" s="8">
        <f t="shared" si="337"/>
        <v>0.66378202869413894</v>
      </c>
      <c r="AJ1288" s="8"/>
      <c r="AK1288" s="8"/>
      <c r="AL1288" s="8"/>
      <c r="AN1288" s="8">
        <f t="shared" si="355"/>
        <v>1</v>
      </c>
      <c r="AO1288" s="8">
        <f t="shared" si="356"/>
        <v>0.20083432747270041</v>
      </c>
      <c r="AP1288" s="8">
        <f t="shared" si="357"/>
        <v>0.84493215281430301</v>
      </c>
      <c r="AQ1288" s="8"/>
      <c r="AR1288" s="8">
        <f t="shared" si="358"/>
        <v>11.506959345534014</v>
      </c>
      <c r="AS1288" s="8">
        <f t="shared" si="359"/>
        <v>41.588953668837718</v>
      </c>
    </row>
    <row r="1289" spans="1:45">
      <c r="A1289" s="20">
        <v>46.746699999999997</v>
      </c>
      <c r="B1289" s="20">
        <v>1643.587186</v>
      </c>
      <c r="C1289" s="20">
        <v>-363.43329460000001</v>
      </c>
      <c r="E1289" s="9">
        <f t="shared" si="348"/>
        <v>683.58718599999997</v>
      </c>
      <c r="F1289" s="9">
        <f t="shared" si="338"/>
        <v>176.56670539999999</v>
      </c>
      <c r="I1289">
        <v>1</v>
      </c>
      <c r="J1289">
        <f t="shared" si="349"/>
        <v>0.43911310027220229</v>
      </c>
      <c r="K1289">
        <f t="shared" si="350"/>
        <v>0.25276974366515836</v>
      </c>
      <c r="O1289">
        <f t="shared" si="351"/>
        <v>0.41162749500768725</v>
      </c>
      <c r="P1289">
        <f t="shared" si="352"/>
        <v>0.10632105477407573</v>
      </c>
      <c r="Q1289">
        <f t="shared" si="353"/>
        <v>0.90512907293127232</v>
      </c>
      <c r="R1289">
        <f t="shared" si="354"/>
        <v>1</v>
      </c>
      <c r="AG1289" s="8">
        <f t="shared" si="335"/>
        <v>0.73313022268532679</v>
      </c>
      <c r="AH1289" s="8">
        <f t="shared" si="336"/>
        <v>0.149604184530232</v>
      </c>
      <c r="AI1289" s="8">
        <f t="shared" si="337"/>
        <v>0.6634294721795283</v>
      </c>
      <c r="AJ1289" s="8"/>
      <c r="AK1289" s="8"/>
      <c r="AL1289" s="8"/>
      <c r="AN1289" s="8">
        <f t="shared" si="355"/>
        <v>1</v>
      </c>
      <c r="AO1289" s="8">
        <f t="shared" si="356"/>
        <v>0.20129847674378026</v>
      </c>
      <c r="AP1289" s="8">
        <f t="shared" si="357"/>
        <v>0.84540343309622834</v>
      </c>
      <c r="AQ1289" s="8"/>
      <c r="AR1289" s="8">
        <f t="shared" si="358"/>
        <v>11.533553139830964</v>
      </c>
      <c r="AS1289" s="8">
        <f t="shared" si="359"/>
        <v>41.561951297715659</v>
      </c>
    </row>
    <row r="1290" spans="1:45">
      <c r="A1290" s="20">
        <v>46.780066669999997</v>
      </c>
      <c r="B1290" s="20">
        <v>1644.164491</v>
      </c>
      <c r="C1290" s="20">
        <v>-363.90423040000002</v>
      </c>
      <c r="E1290" s="9">
        <f t="shared" si="348"/>
        <v>684.164491</v>
      </c>
      <c r="F1290" s="9">
        <f t="shared" si="338"/>
        <v>176.09576959999998</v>
      </c>
      <c r="I1290">
        <v>1</v>
      </c>
      <c r="J1290">
        <f t="shared" si="349"/>
        <v>0.43935583733273381</v>
      </c>
      <c r="K1290">
        <f t="shared" si="350"/>
        <v>0.25191995117509253</v>
      </c>
      <c r="O1290">
        <f t="shared" si="351"/>
        <v>0.41193045848616255</v>
      </c>
      <c r="P1290">
        <f t="shared" si="352"/>
        <v>0.10602598068598336</v>
      </c>
      <c r="Q1290">
        <f t="shared" si="353"/>
        <v>0.90502584979157108</v>
      </c>
      <c r="R1290">
        <f t="shared" si="354"/>
        <v>1</v>
      </c>
      <c r="AG1290" s="8">
        <f t="shared" si="335"/>
        <v>0.73333021400099585</v>
      </c>
      <c r="AH1290" s="8">
        <f t="shared" si="336"/>
        <v>0.14986976630648791</v>
      </c>
      <c r="AI1290" s="8">
        <f t="shared" si="337"/>
        <v>0.6631484376672333</v>
      </c>
      <c r="AJ1290" s="8"/>
      <c r="AK1290" s="8"/>
      <c r="AL1290" s="8"/>
      <c r="AN1290" s="8">
        <f t="shared" si="355"/>
        <v>1</v>
      </c>
      <c r="AO1290" s="8">
        <f t="shared" si="356"/>
        <v>0.20159271326696401</v>
      </c>
      <c r="AP1290" s="8">
        <f t="shared" si="357"/>
        <v>0.84577896525333063</v>
      </c>
      <c r="AQ1290" s="8"/>
      <c r="AR1290" s="8">
        <f t="shared" si="358"/>
        <v>11.550411650787996</v>
      </c>
      <c r="AS1290" s="8">
        <f t="shared" si="359"/>
        <v>41.540434890042256</v>
      </c>
    </row>
    <row r="1291" spans="1:45">
      <c r="A1291" s="20">
        <v>46.813433330000002</v>
      </c>
      <c r="B1291" s="20">
        <v>1644.572568</v>
      </c>
      <c r="C1291" s="20">
        <v>-363.9770011</v>
      </c>
      <c r="E1291" s="9">
        <f t="shared" si="348"/>
        <v>684.57256800000005</v>
      </c>
      <c r="F1291" s="9">
        <f t="shared" si="338"/>
        <v>176.0229989</v>
      </c>
      <c r="I1291">
        <v>1</v>
      </c>
      <c r="J1291">
        <f t="shared" si="349"/>
        <v>0.43956314036354105</v>
      </c>
      <c r="K1291">
        <f t="shared" si="350"/>
        <v>0.25167634244659465</v>
      </c>
      <c r="O1291">
        <f t="shared" si="351"/>
        <v>0.41213797031659805</v>
      </c>
      <c r="P1291">
        <f t="shared" si="352"/>
        <v>0.10597234666827428</v>
      </c>
      <c r="Q1291">
        <f t="shared" si="353"/>
        <v>0.90493765263963577</v>
      </c>
      <c r="R1291">
        <f t="shared" si="354"/>
        <v>1</v>
      </c>
      <c r="AG1291" s="8">
        <f t="shared" si="335"/>
        <v>0.73336556849798396</v>
      </c>
      <c r="AH1291" s="8">
        <f t="shared" si="336"/>
        <v>0.150081648013214</v>
      </c>
      <c r="AI1291" s="8">
        <f t="shared" si="337"/>
        <v>0.66306141636447724</v>
      </c>
      <c r="AJ1291" s="8"/>
      <c r="AK1291" s="8"/>
      <c r="AL1291" s="8"/>
      <c r="AN1291" s="8">
        <f t="shared" si="355"/>
        <v>1.0000000000000002</v>
      </c>
      <c r="AO1291" s="8">
        <f t="shared" si="356"/>
        <v>0.20186057489780476</v>
      </c>
      <c r="AP1291" s="8">
        <f t="shared" si="357"/>
        <v>0.84589522206989232</v>
      </c>
      <c r="AQ1291" s="8"/>
      <c r="AR1291" s="8">
        <f t="shared" si="358"/>
        <v>11.565758991728663</v>
      </c>
      <c r="AS1291" s="8">
        <f t="shared" si="359"/>
        <v>41.533773865113645</v>
      </c>
    </row>
    <row r="1292" spans="1:45">
      <c r="A1292" s="20">
        <v>46.846800000000002</v>
      </c>
      <c r="B1292" s="20">
        <v>1645.751921</v>
      </c>
      <c r="C1292" s="20">
        <v>-363.62009</v>
      </c>
      <c r="E1292" s="9">
        <f t="shared" si="348"/>
        <v>685.75192100000004</v>
      </c>
      <c r="F1292" s="9">
        <f t="shared" si="338"/>
        <v>176.37991</v>
      </c>
      <c r="I1292">
        <v>1</v>
      </c>
      <c r="J1292">
        <f t="shared" si="349"/>
        <v>0.44023966716370949</v>
      </c>
      <c r="K1292">
        <f t="shared" si="350"/>
        <v>0.25174974653458737</v>
      </c>
      <c r="O1292">
        <f t="shared" si="351"/>
        <v>0.41272301241787623</v>
      </c>
      <c r="P1292">
        <f t="shared" si="352"/>
        <v>0.10615507672080425</v>
      </c>
      <c r="Q1292">
        <f t="shared" si="353"/>
        <v>0.90464955353281074</v>
      </c>
      <c r="R1292">
        <f t="shared" si="354"/>
        <v>1</v>
      </c>
      <c r="AG1292" s="8">
        <f t="shared" si="335"/>
        <v>0.73323659963335708</v>
      </c>
      <c r="AH1292" s="8">
        <f t="shared" si="336"/>
        <v>0.15074645307253542</v>
      </c>
      <c r="AI1292" s="8">
        <f t="shared" si="337"/>
        <v>0.66305323756404499</v>
      </c>
      <c r="AJ1292" s="8"/>
      <c r="AK1292" s="8"/>
      <c r="AL1292" s="8"/>
      <c r="AN1292" s="8">
        <f t="shared" si="355"/>
        <v>1</v>
      </c>
      <c r="AO1292" s="8">
        <f t="shared" si="356"/>
        <v>0.20276518195267496</v>
      </c>
      <c r="AP1292" s="8">
        <f t="shared" si="357"/>
        <v>0.84590614798930297</v>
      </c>
      <c r="AQ1292" s="8"/>
      <c r="AR1292" s="8">
        <f t="shared" si="358"/>
        <v>11.617589158090484</v>
      </c>
      <c r="AS1292" s="8">
        <f t="shared" si="359"/>
        <v>41.53314785604411</v>
      </c>
    </row>
    <row r="1293" spans="1:45">
      <c r="A1293" s="20">
        <v>46.880166670000001</v>
      </c>
      <c r="B1293" s="20">
        <v>1645.8568949999999</v>
      </c>
      <c r="C1293" s="20">
        <v>-364.21080669999998</v>
      </c>
      <c r="E1293" s="9">
        <f t="shared" si="348"/>
        <v>685.85689499999989</v>
      </c>
      <c r="F1293" s="9">
        <f t="shared" si="338"/>
        <v>175.78919330000002</v>
      </c>
      <c r="I1293">
        <v>1</v>
      </c>
      <c r="J1293">
        <f t="shared" si="349"/>
        <v>0.44021481944668217</v>
      </c>
      <c r="K1293">
        <f t="shared" si="350"/>
        <v>0.2509047991504389</v>
      </c>
      <c r="O1293">
        <f t="shared" si="351"/>
        <v>0.41279078577125372</v>
      </c>
      <c r="P1293">
        <f t="shared" si="352"/>
        <v>0.10580072863800813</v>
      </c>
      <c r="Q1293">
        <f t="shared" si="353"/>
        <v>0.90466014226449565</v>
      </c>
      <c r="R1293">
        <f t="shared" si="354"/>
        <v>1</v>
      </c>
      <c r="AG1293" s="8">
        <f t="shared" si="335"/>
        <v>0.73347848367769852</v>
      </c>
      <c r="AH1293" s="8">
        <f t="shared" si="336"/>
        <v>0.15074773797681579</v>
      </c>
      <c r="AI1293" s="8">
        <f t="shared" si="337"/>
        <v>0.66278536003500976</v>
      </c>
      <c r="AJ1293" s="8"/>
      <c r="AK1293" s="8"/>
      <c r="AL1293" s="8"/>
      <c r="AN1293" s="8">
        <f t="shared" si="355"/>
        <v>1</v>
      </c>
      <c r="AO1293" s="8">
        <f t="shared" si="356"/>
        <v>0.20270181242977148</v>
      </c>
      <c r="AP1293" s="8">
        <f t="shared" si="357"/>
        <v>0.84626394257218407</v>
      </c>
      <c r="AQ1293" s="8"/>
      <c r="AR1293" s="8">
        <f t="shared" si="358"/>
        <v>11.613958351878356</v>
      </c>
      <c r="AS1293" s="8">
        <f t="shared" si="359"/>
        <v>41.512647736512378</v>
      </c>
    </row>
    <row r="1294" spans="1:45">
      <c r="A1294" s="20">
        <v>46.91353333</v>
      </c>
      <c r="B1294" s="20">
        <v>1645.99125</v>
      </c>
      <c r="C1294" s="20">
        <v>-365.01777700000002</v>
      </c>
      <c r="E1294" s="9">
        <f t="shared" si="348"/>
        <v>685.99125000000004</v>
      </c>
      <c r="F1294" s="9">
        <f t="shared" si="338"/>
        <v>174.98222299999998</v>
      </c>
      <c r="I1294">
        <v>1</v>
      </c>
      <c r="J1294">
        <f t="shared" si="349"/>
        <v>0.44017650623513166</v>
      </c>
      <c r="K1294">
        <f t="shared" si="350"/>
        <v>0.2497535134453884</v>
      </c>
      <c r="O1294">
        <f t="shared" si="351"/>
        <v>0.41287873370016043</v>
      </c>
      <c r="P1294">
        <f t="shared" si="352"/>
        <v>0.10531685156666222</v>
      </c>
      <c r="Q1294">
        <f t="shared" si="353"/>
        <v>0.90467646815546032</v>
      </c>
      <c r="R1294">
        <f t="shared" si="354"/>
        <v>1</v>
      </c>
      <c r="AG1294" s="8">
        <f t="shared" si="335"/>
        <v>0.73380864938620771</v>
      </c>
      <c r="AH1294" s="8">
        <f t="shared" si="336"/>
        <v>0.15074462112769588</v>
      </c>
      <c r="AI1294" s="8">
        <f t="shared" si="337"/>
        <v>0.66242050488119486</v>
      </c>
      <c r="AJ1294" s="8"/>
      <c r="AK1294" s="8"/>
      <c r="AL1294" s="8"/>
      <c r="AN1294" s="8">
        <f t="shared" si="355"/>
        <v>1</v>
      </c>
      <c r="AO1294" s="8">
        <f t="shared" si="356"/>
        <v>0.20260901057394867</v>
      </c>
      <c r="AP1294" s="8">
        <f t="shared" si="357"/>
        <v>0.84675108457440085</v>
      </c>
      <c r="AQ1294" s="8"/>
      <c r="AR1294" s="8">
        <f t="shared" si="358"/>
        <v>11.608641197208728</v>
      </c>
      <c r="AS1294" s="8">
        <f t="shared" si="359"/>
        <v>41.484736555761806</v>
      </c>
    </row>
    <row r="1295" spans="1:45">
      <c r="A1295" s="20">
        <v>46.946899999999999</v>
      </c>
      <c r="B1295" s="20">
        <v>1646.5795539999999</v>
      </c>
      <c r="C1295" s="20">
        <v>-364.94990719999998</v>
      </c>
      <c r="E1295" s="9">
        <f t="shared" si="348"/>
        <v>686.57955399999992</v>
      </c>
      <c r="F1295" s="9">
        <f t="shared" si="338"/>
        <v>175.05009280000002</v>
      </c>
      <c r="I1295">
        <v>1</v>
      </c>
      <c r="J1295">
        <f t="shared" si="349"/>
        <v>0.44049886292638463</v>
      </c>
      <c r="K1295">
        <f t="shared" si="350"/>
        <v>0.24964110793418556</v>
      </c>
      <c r="O1295">
        <f t="shared" si="351"/>
        <v>0.41317313619348139</v>
      </c>
      <c r="P1295">
        <f t="shared" si="352"/>
        <v>0.10534248422016944</v>
      </c>
      <c r="Q1295">
        <f t="shared" si="353"/>
        <v>0.90453906524061534</v>
      </c>
      <c r="R1295">
        <f t="shared" si="354"/>
        <v>1</v>
      </c>
      <c r="AG1295" s="8">
        <f t="shared" si="335"/>
        <v>0.73378896810563021</v>
      </c>
      <c r="AH1295" s="8">
        <f t="shared" si="336"/>
        <v>0.15106584144705859</v>
      </c>
      <c r="AI1295" s="8">
        <f t="shared" si="337"/>
        <v>0.66236912808068482</v>
      </c>
      <c r="AJ1295" s="8"/>
      <c r="AK1295" s="8"/>
      <c r="AL1295" s="8"/>
      <c r="AN1295" s="8">
        <f t="shared" si="355"/>
        <v>1</v>
      </c>
      <c r="AO1295" s="8">
        <f t="shared" si="356"/>
        <v>0.20303429037442017</v>
      </c>
      <c r="AP1295" s="8">
        <f t="shared" si="357"/>
        <v>0.84681966424808375</v>
      </c>
      <c r="AQ1295" s="8"/>
      <c r="AR1295" s="8">
        <f t="shared" si="358"/>
        <v>11.63300793488791</v>
      </c>
      <c r="AS1295" s="8">
        <f t="shared" si="359"/>
        <v>41.480807229899391</v>
      </c>
    </row>
    <row r="1296" spans="1:45">
      <c r="A1296" s="20">
        <v>46.980266669999999</v>
      </c>
      <c r="B1296" s="20">
        <v>1647.322529</v>
      </c>
      <c r="C1296" s="20">
        <v>-364.96130460000001</v>
      </c>
      <c r="E1296" s="9">
        <f t="shared" si="348"/>
        <v>687.32252900000003</v>
      </c>
      <c r="F1296" s="9">
        <f t="shared" si="338"/>
        <v>175.03869539999999</v>
      </c>
      <c r="I1296">
        <v>1</v>
      </c>
      <c r="J1296">
        <f t="shared" si="349"/>
        <v>0.44089267930469639</v>
      </c>
      <c r="K1296">
        <f t="shared" si="350"/>
        <v>0.24936673678923099</v>
      </c>
      <c r="O1296">
        <f t="shared" si="351"/>
        <v>0.41354719547934049</v>
      </c>
      <c r="P1296">
        <f t="shared" si="352"/>
        <v>0.10531702152750549</v>
      </c>
      <c r="Q1296">
        <f t="shared" si="353"/>
        <v>0.90437107543737105</v>
      </c>
      <c r="R1296">
        <f t="shared" si="354"/>
        <v>1</v>
      </c>
      <c r="AG1296" s="8">
        <f t="shared" si="335"/>
        <v>0.73380350133851335</v>
      </c>
      <c r="AH1296" s="8">
        <f t="shared" si="336"/>
        <v>0.15146232966556961</v>
      </c>
      <c r="AI1296" s="8">
        <f t="shared" si="337"/>
        <v>0.66226247373350144</v>
      </c>
      <c r="AJ1296" s="8"/>
      <c r="AK1296" s="8"/>
      <c r="AL1296" s="8"/>
      <c r="AN1296" s="8">
        <f t="shared" si="355"/>
        <v>1</v>
      </c>
      <c r="AO1296" s="8">
        <f t="shared" si="356"/>
        <v>0.20354867446277147</v>
      </c>
      <c r="AP1296" s="8">
        <f t="shared" si="357"/>
        <v>0.84696201718339204</v>
      </c>
      <c r="AQ1296" s="8"/>
      <c r="AR1296" s="8">
        <f t="shared" si="358"/>
        <v>11.662479972199124</v>
      </c>
      <c r="AS1296" s="8">
        <f t="shared" si="359"/>
        <v>41.472651007504929</v>
      </c>
    </row>
    <row r="1297" spans="1:45">
      <c r="A1297" s="20">
        <v>47.013633329999998</v>
      </c>
      <c r="B1297" s="20">
        <v>1647.6824349999999</v>
      </c>
      <c r="C1297" s="20">
        <v>-365.5603491</v>
      </c>
      <c r="E1297" s="9">
        <f t="shared" si="348"/>
        <v>687.68243499999994</v>
      </c>
      <c r="F1297" s="9">
        <f t="shared" si="338"/>
        <v>174.4396509</v>
      </c>
      <c r="I1297">
        <v>1</v>
      </c>
      <c r="J1297">
        <f t="shared" si="349"/>
        <v>0.44100316814537371</v>
      </c>
      <c r="K1297">
        <f t="shared" si="350"/>
        <v>0.24842329398429408</v>
      </c>
      <c r="O1297">
        <f t="shared" si="351"/>
        <v>0.41374322488805243</v>
      </c>
      <c r="P1297">
        <f t="shared" si="352"/>
        <v>0.10495138459034808</v>
      </c>
      <c r="Q1297">
        <f t="shared" si="353"/>
        <v>0.90432391914169963</v>
      </c>
      <c r="R1297">
        <f t="shared" si="354"/>
        <v>1</v>
      </c>
      <c r="AG1297" s="8">
        <f t="shared" si="335"/>
        <v>0.73405179270620824</v>
      </c>
      <c r="AH1297" s="8">
        <f t="shared" si="336"/>
        <v>0.15159917129156342</v>
      </c>
      <c r="AI1297" s="8">
        <f t="shared" si="337"/>
        <v>0.66195593273911602</v>
      </c>
      <c r="AJ1297" s="8"/>
      <c r="AK1297" s="8"/>
      <c r="AL1297" s="8"/>
      <c r="AN1297" s="8">
        <f t="shared" si="355"/>
        <v>1</v>
      </c>
      <c r="AO1297" s="8">
        <f t="shared" si="356"/>
        <v>0.20366050994513804</v>
      </c>
      <c r="AP1297" s="8">
        <f t="shared" si="357"/>
        <v>0.84737106173603094</v>
      </c>
      <c r="AQ1297" s="8"/>
      <c r="AR1297" s="8">
        <f t="shared" si="358"/>
        <v>11.668887673338538</v>
      </c>
      <c r="AS1297" s="8">
        <f t="shared" si="359"/>
        <v>41.449214481005903</v>
      </c>
    </row>
    <row r="1298" spans="1:45">
      <c r="A1298" s="20">
        <v>47.046999999999997</v>
      </c>
      <c r="B1298" s="20">
        <v>1648.287323</v>
      </c>
      <c r="C1298" s="20">
        <v>-365.92513739999998</v>
      </c>
      <c r="E1298" s="9">
        <f t="shared" si="348"/>
        <v>688.28732300000001</v>
      </c>
      <c r="F1298" s="9">
        <f t="shared" si="338"/>
        <v>174.07486260000002</v>
      </c>
      <c r="I1298">
        <v>1</v>
      </c>
      <c r="J1298">
        <f t="shared" si="349"/>
        <v>0.44127587023667852</v>
      </c>
      <c r="K1298">
        <f t="shared" si="350"/>
        <v>0.24771576386415931</v>
      </c>
      <c r="O1298">
        <f t="shared" si="351"/>
        <v>0.41405644542590342</v>
      </c>
      <c r="P1298">
        <f t="shared" si="352"/>
        <v>0.1047190852389977</v>
      </c>
      <c r="Q1298">
        <f t="shared" si="353"/>
        <v>0.90420748348372648</v>
      </c>
      <c r="R1298">
        <f t="shared" si="354"/>
        <v>1</v>
      </c>
      <c r="AG1298" s="8">
        <f t="shared" si="335"/>
        <v>0.73420791216568071</v>
      </c>
      <c r="AH1298" s="8">
        <f t="shared" si="336"/>
        <v>0.15188875889530584</v>
      </c>
      <c r="AI1298" s="8">
        <f t="shared" si="337"/>
        <v>0.66171636418827962</v>
      </c>
      <c r="AJ1298" s="8"/>
      <c r="AK1298" s="8"/>
      <c r="AL1298" s="8"/>
      <c r="AN1298" s="8">
        <f t="shared" si="355"/>
        <v>1</v>
      </c>
      <c r="AO1298" s="8">
        <f t="shared" si="356"/>
        <v>0.20399665556828545</v>
      </c>
      <c r="AP1298" s="8">
        <f t="shared" si="357"/>
        <v>0.84769063623784002</v>
      </c>
      <c r="AQ1298" s="8"/>
      <c r="AR1298" s="8">
        <f t="shared" si="358"/>
        <v>11.688147398846681</v>
      </c>
      <c r="AS1298" s="8">
        <f t="shared" si="359"/>
        <v>41.430904210812244</v>
      </c>
    </row>
    <row r="1299" spans="1:45">
      <c r="A1299" s="20">
        <v>47.080366669999997</v>
      </c>
      <c r="B1299" s="20">
        <v>1649.2142260000001</v>
      </c>
      <c r="C1299" s="20">
        <v>-366.02739759999997</v>
      </c>
      <c r="E1299" s="9">
        <f t="shared" si="348"/>
        <v>689.21422600000005</v>
      </c>
      <c r="F1299" s="9">
        <f t="shared" si="338"/>
        <v>173.97260240000003</v>
      </c>
      <c r="I1299">
        <v>1</v>
      </c>
      <c r="J1299">
        <f t="shared" si="349"/>
        <v>0.44175524060993832</v>
      </c>
      <c r="K1299">
        <f t="shared" si="350"/>
        <v>0.24725657524631844</v>
      </c>
      <c r="O1299">
        <f t="shared" si="351"/>
        <v>0.41452470796366919</v>
      </c>
      <c r="P1299">
        <f t="shared" si="352"/>
        <v>0.10463501692656521</v>
      </c>
      <c r="Q1299">
        <f t="shared" si="353"/>
        <v>0.90400264364680494</v>
      </c>
      <c r="R1299">
        <f t="shared" si="354"/>
        <v>1</v>
      </c>
      <c r="AG1299" s="8">
        <f t="shared" si="335"/>
        <v>0.73426132311331482</v>
      </c>
      <c r="AH1299" s="8">
        <f t="shared" si="336"/>
        <v>0.15237475892051044</v>
      </c>
      <c r="AI1299" s="8">
        <f t="shared" si="337"/>
        <v>0.66154534404211529</v>
      </c>
      <c r="AJ1299" s="8"/>
      <c r="AK1299" s="8"/>
      <c r="AL1299" s="8"/>
      <c r="AN1299" s="8">
        <f t="shared" si="355"/>
        <v>1</v>
      </c>
      <c r="AO1299" s="8">
        <f t="shared" si="356"/>
        <v>0.20461687062634626</v>
      </c>
      <c r="AP1299" s="8">
        <f t="shared" si="357"/>
        <v>0.84791871488322856</v>
      </c>
      <c r="AQ1299" s="8"/>
      <c r="AR1299" s="8">
        <f t="shared" si="358"/>
        <v>11.723683104064026</v>
      </c>
      <c r="AS1299" s="8">
        <f t="shared" si="359"/>
        <v>41.417836267034424</v>
      </c>
    </row>
    <row r="1300" spans="1:45">
      <c r="A1300" s="20">
        <v>47.113733330000002</v>
      </c>
      <c r="B1300" s="20">
        <v>1650.016036</v>
      </c>
      <c r="C1300" s="20">
        <v>-366.1303327</v>
      </c>
      <c r="E1300" s="9">
        <f t="shared" si="348"/>
        <v>690.01603599999999</v>
      </c>
      <c r="F1300" s="9">
        <f t="shared" si="338"/>
        <v>173.8696673</v>
      </c>
      <c r="I1300">
        <v>1</v>
      </c>
      <c r="J1300">
        <f t="shared" si="349"/>
        <v>0.44216787152845494</v>
      </c>
      <c r="K1300">
        <f t="shared" si="350"/>
        <v>0.24684054115107967</v>
      </c>
      <c r="O1300">
        <f t="shared" si="351"/>
        <v>0.41492988146088194</v>
      </c>
      <c r="P1300">
        <f t="shared" si="352"/>
        <v>0.10455368669494512</v>
      </c>
      <c r="Q1300">
        <f t="shared" si="353"/>
        <v>0.90382615588914761</v>
      </c>
      <c r="R1300">
        <f t="shared" si="354"/>
        <v>1</v>
      </c>
      <c r="AG1300" s="8">
        <f t="shared" si="335"/>
        <v>0.73431322783511965</v>
      </c>
      <c r="AH1300" s="8">
        <f t="shared" si="336"/>
        <v>0.15279361951381437</v>
      </c>
      <c r="AI1300" s="8">
        <f t="shared" si="337"/>
        <v>0.66139110461377948</v>
      </c>
      <c r="AJ1300" s="8"/>
      <c r="AK1300" s="8"/>
      <c r="AL1300" s="8"/>
      <c r="AN1300" s="8">
        <f t="shared" si="355"/>
        <v>1</v>
      </c>
      <c r="AO1300" s="8">
        <f t="shared" si="356"/>
        <v>0.20514960948612451</v>
      </c>
      <c r="AP1300" s="8">
        <f t="shared" si="357"/>
        <v>0.8481243748067534</v>
      </c>
      <c r="AQ1300" s="8"/>
      <c r="AR1300" s="8">
        <f t="shared" si="358"/>
        <v>11.754206792311932</v>
      </c>
      <c r="AS1300" s="8">
        <f t="shared" si="359"/>
        <v>41.406052821401467</v>
      </c>
    </row>
    <row r="1301" spans="1:45">
      <c r="A1301" s="20">
        <v>47.147100000000002</v>
      </c>
      <c r="B1301" s="20">
        <v>1649.620631</v>
      </c>
      <c r="C1301" s="20">
        <v>-366.60113819999998</v>
      </c>
      <c r="E1301" s="9">
        <f t="shared" si="348"/>
        <v>689.620631</v>
      </c>
      <c r="F1301" s="9">
        <f t="shared" si="338"/>
        <v>173.39886180000002</v>
      </c>
      <c r="I1301">
        <v>1</v>
      </c>
      <c r="J1301">
        <f t="shared" si="349"/>
        <v>0.44189453668217382</v>
      </c>
      <c r="K1301">
        <f t="shared" si="350"/>
        <v>0.24633438433169874</v>
      </c>
      <c r="O1301">
        <f t="shared" si="351"/>
        <v>0.41474314384945493</v>
      </c>
      <c r="P1301">
        <f t="shared" si="352"/>
        <v>0.10428340720979555</v>
      </c>
      <c r="Q1301">
        <f t="shared" si="353"/>
        <v>0.9039430820635701</v>
      </c>
      <c r="R1301">
        <f t="shared" si="354"/>
        <v>1</v>
      </c>
      <c r="AG1301" s="8">
        <f t="shared" si="335"/>
        <v>0.73449946658913579</v>
      </c>
      <c r="AH1301" s="8">
        <f t="shared" si="336"/>
        <v>0.15253863499660547</v>
      </c>
      <c r="AI1301" s="8">
        <f t="shared" si="337"/>
        <v>0.66124314621298519</v>
      </c>
      <c r="AJ1301" s="8"/>
      <c r="AK1301" s="8"/>
      <c r="AL1301" s="8"/>
      <c r="AN1301" s="8">
        <f t="shared" si="355"/>
        <v>1</v>
      </c>
      <c r="AO1301" s="8">
        <f t="shared" si="356"/>
        <v>0.20476626121484112</v>
      </c>
      <c r="AP1301" s="8">
        <f t="shared" si="357"/>
        <v>0.84832162468389238</v>
      </c>
      <c r="AQ1301" s="8"/>
      <c r="AR1301" s="8">
        <f t="shared" si="358"/>
        <v>11.732242554283758</v>
      </c>
      <c r="AS1301" s="8">
        <f t="shared" si="359"/>
        <v>41.394751235931928</v>
      </c>
    </row>
    <row r="1302" spans="1:45">
      <c r="A1302" s="20">
        <v>47.180466670000001</v>
      </c>
      <c r="B1302" s="20">
        <v>1650.5042739999999</v>
      </c>
      <c r="C1302" s="20">
        <v>-366.65306299999997</v>
      </c>
      <c r="E1302" s="9">
        <f t="shared" si="348"/>
        <v>690.5042739999999</v>
      </c>
      <c r="F1302" s="9">
        <f t="shared" si="338"/>
        <v>173.34693700000003</v>
      </c>
      <c r="I1302">
        <v>1</v>
      </c>
      <c r="J1302">
        <f t="shared" si="349"/>
        <v>0.44235759316151124</v>
      </c>
      <c r="K1302">
        <f t="shared" si="350"/>
        <v>0.24596098526480265</v>
      </c>
      <c r="O1302">
        <f t="shared" si="351"/>
        <v>0.4151879889050572</v>
      </c>
      <c r="P1302">
        <f t="shared" si="352"/>
        <v>0.10423044268641513</v>
      </c>
      <c r="Q1302">
        <f t="shared" si="353"/>
        <v>0.90374495776539077</v>
      </c>
      <c r="R1302">
        <f t="shared" si="354"/>
        <v>1</v>
      </c>
      <c r="AG1302" s="8">
        <f t="shared" si="335"/>
        <v>0.73453153184872311</v>
      </c>
      <c r="AH1302" s="8">
        <f t="shared" si="336"/>
        <v>0.15300586279802625</v>
      </c>
      <c r="AI1302" s="8">
        <f t="shared" si="337"/>
        <v>0.66109956486856036</v>
      </c>
      <c r="AJ1302" s="8"/>
      <c r="AK1302" s="8"/>
      <c r="AL1302" s="8"/>
      <c r="AN1302" s="8">
        <f t="shared" si="355"/>
        <v>1</v>
      </c>
      <c r="AO1302" s="8">
        <f t="shared" si="356"/>
        <v>0.20536728447610772</v>
      </c>
      <c r="AP1302" s="8">
        <f t="shared" si="357"/>
        <v>0.84851300653095119</v>
      </c>
      <c r="AQ1302" s="8"/>
      <c r="AR1302" s="8">
        <f t="shared" si="358"/>
        <v>11.766678650543522</v>
      </c>
      <c r="AS1302" s="8">
        <f t="shared" si="359"/>
        <v>41.383785863820037</v>
      </c>
    </row>
    <row r="1303" spans="1:45">
      <c r="A1303" s="20">
        <v>47.21383333</v>
      </c>
      <c r="B1303" s="20">
        <v>1650.808591</v>
      </c>
      <c r="C1303" s="20">
        <v>-366.86512299999998</v>
      </c>
      <c r="E1303" s="9">
        <f t="shared" si="348"/>
        <v>690.80859099999998</v>
      </c>
      <c r="F1303" s="9">
        <f t="shared" si="338"/>
        <v>173.13487700000002</v>
      </c>
      <c r="I1303">
        <v>1</v>
      </c>
      <c r="J1303">
        <f t="shared" si="349"/>
        <v>0.4424911384245267</v>
      </c>
      <c r="K1303">
        <f t="shared" si="350"/>
        <v>0.24556813831116475</v>
      </c>
      <c r="O1303">
        <f t="shared" si="351"/>
        <v>0.41534596983060385</v>
      </c>
      <c r="P1303">
        <f t="shared" si="352"/>
        <v>0.10409666923072083</v>
      </c>
      <c r="Q1303">
        <f t="shared" si="353"/>
        <v>0.90368778281027184</v>
      </c>
      <c r="R1303">
        <f t="shared" si="354"/>
        <v>1</v>
      </c>
      <c r="AG1303" s="8">
        <f t="shared" si="335"/>
        <v>0.73462134611107321</v>
      </c>
      <c r="AH1303" s="8">
        <f t="shared" si="336"/>
        <v>0.15314868595269393</v>
      </c>
      <c r="AI1303" s="8">
        <f t="shared" si="337"/>
        <v>0.66096668435626782</v>
      </c>
      <c r="AJ1303" s="8"/>
      <c r="AK1303" s="8"/>
      <c r="AL1303" s="8"/>
      <c r="AN1303" s="8">
        <f t="shared" si="355"/>
        <v>1.0000000000000002</v>
      </c>
      <c r="AO1303" s="8">
        <f t="shared" si="356"/>
        <v>0.20552920330956526</v>
      </c>
      <c r="AP1303" s="8">
        <f t="shared" si="357"/>
        <v>0.84869009631934211</v>
      </c>
      <c r="AQ1303" s="8"/>
      <c r="AR1303" s="8">
        <f t="shared" si="358"/>
        <v>11.775955916324321</v>
      </c>
      <c r="AS1303" s="8">
        <f t="shared" si="359"/>
        <v>41.373639366350375</v>
      </c>
    </row>
    <row r="1304" spans="1:45">
      <c r="A1304" s="20">
        <v>47.247199999999999</v>
      </c>
      <c r="B1304" s="20">
        <v>1651.3750970000001</v>
      </c>
      <c r="C1304" s="20">
        <v>-367.18555520000001</v>
      </c>
      <c r="E1304" s="9">
        <f t="shared" si="348"/>
        <v>691.3750970000001</v>
      </c>
      <c r="F1304" s="9">
        <f t="shared" si="338"/>
        <v>172.81444479999999</v>
      </c>
      <c r="I1304">
        <v>1</v>
      </c>
      <c r="J1304">
        <f t="shared" si="349"/>
        <v>0.44274973561994907</v>
      </c>
      <c r="K1304">
        <f t="shared" si="350"/>
        <v>0.24493873622773538</v>
      </c>
      <c r="O1304">
        <f t="shared" si="351"/>
        <v>0.41563810828163739</v>
      </c>
      <c r="P1304">
        <f t="shared" si="352"/>
        <v>0.10389189490927445</v>
      </c>
      <c r="Q1304">
        <f t="shared" si="353"/>
        <v>0.90357702334456369</v>
      </c>
      <c r="R1304">
        <f t="shared" si="354"/>
        <v>1</v>
      </c>
      <c r="AG1304" s="8">
        <f t="shared" si="335"/>
        <v>0.73475826348964968</v>
      </c>
      <c r="AH1304" s="8">
        <f t="shared" si="336"/>
        <v>0.15342139804156274</v>
      </c>
      <c r="AI1304" s="8">
        <f t="shared" si="337"/>
        <v>0.66075121555442262</v>
      </c>
      <c r="AJ1304" s="8"/>
      <c r="AK1304" s="8"/>
      <c r="AL1304" s="8"/>
      <c r="AN1304" s="8">
        <f t="shared" si="355"/>
        <v>1</v>
      </c>
      <c r="AO1304" s="8">
        <f t="shared" si="356"/>
        <v>0.20584765248521569</v>
      </c>
      <c r="AP1304" s="8">
        <f t="shared" si="357"/>
        <v>0.84897719278483452</v>
      </c>
      <c r="AQ1304" s="8"/>
      <c r="AR1304" s="8">
        <f t="shared" si="358"/>
        <v>11.794201710078511</v>
      </c>
      <c r="AS1304" s="8">
        <f t="shared" si="359"/>
        <v>41.357189950564539</v>
      </c>
    </row>
    <row r="1305" spans="1:45">
      <c r="A1305" s="20">
        <v>47.280566669999999</v>
      </c>
      <c r="B1305" s="20">
        <v>1652.0886210000001</v>
      </c>
      <c r="C1305" s="20">
        <v>-367.27319790000001</v>
      </c>
      <c r="E1305" s="9">
        <f t="shared" si="348"/>
        <v>692.0886210000001</v>
      </c>
      <c r="F1305" s="9">
        <f t="shared" si="338"/>
        <v>172.72680209999999</v>
      </c>
      <c r="I1305">
        <v>1</v>
      </c>
      <c r="J1305">
        <f t="shared" si="349"/>
        <v>0.44311745780198086</v>
      </c>
      <c r="K1305">
        <f t="shared" si="350"/>
        <v>0.24457696986457983</v>
      </c>
      <c r="O1305">
        <f t="shared" si="351"/>
        <v>0.41599801461247859</v>
      </c>
      <c r="P1305">
        <f t="shared" si="352"/>
        <v>0.10382197389712969</v>
      </c>
      <c r="Q1305">
        <f t="shared" si="353"/>
        <v>0.90341942063173497</v>
      </c>
      <c r="R1305">
        <f t="shared" si="354"/>
        <v>1</v>
      </c>
      <c r="AG1305" s="8">
        <f t="shared" si="335"/>
        <v>0.73480237038941609</v>
      </c>
      <c r="AH1305" s="8">
        <f t="shared" si="336"/>
        <v>0.15379408986420628</v>
      </c>
      <c r="AI1305" s="8">
        <f t="shared" si="337"/>
        <v>0.66061551177135991</v>
      </c>
      <c r="AJ1305" s="8"/>
      <c r="AK1305" s="8"/>
      <c r="AL1305" s="8"/>
      <c r="AN1305" s="8">
        <f t="shared" si="355"/>
        <v>1</v>
      </c>
      <c r="AO1305" s="8">
        <f t="shared" si="356"/>
        <v>0.20632160573804439</v>
      </c>
      <c r="AP1305" s="8">
        <f t="shared" si="357"/>
        <v>0.84915797094522771</v>
      </c>
      <c r="AQ1305" s="8"/>
      <c r="AR1305" s="8">
        <f t="shared" si="358"/>
        <v>11.821357231152092</v>
      </c>
      <c r="AS1305" s="8">
        <f t="shared" si="359"/>
        <v>41.34683212494587</v>
      </c>
    </row>
    <row r="1306" spans="1:45">
      <c r="A1306" s="20">
        <v>47.313933329999998</v>
      </c>
      <c r="B1306" s="20">
        <v>1652.9809620000001</v>
      </c>
      <c r="C1306" s="20">
        <v>-367.40753319999999</v>
      </c>
      <c r="E1306" s="9">
        <f t="shared" si="348"/>
        <v>692.98096200000009</v>
      </c>
      <c r="F1306" s="9">
        <f t="shared" si="338"/>
        <v>172.59246680000001</v>
      </c>
      <c r="I1306">
        <v>1</v>
      </c>
      <c r="J1306">
        <f t="shared" si="349"/>
        <v>0.44357395756187279</v>
      </c>
      <c r="K1306">
        <f t="shared" si="350"/>
        <v>0.24409189809096929</v>
      </c>
      <c r="O1306">
        <f t="shared" si="351"/>
        <v>0.41644846914946199</v>
      </c>
      <c r="P1306">
        <f t="shared" si="352"/>
        <v>0.10371983146282933</v>
      </c>
      <c r="Q1306">
        <f t="shared" si="353"/>
        <v>0.9032235986201822</v>
      </c>
      <c r="R1306">
        <f t="shared" si="354"/>
        <v>1</v>
      </c>
      <c r="AG1306" s="8">
        <f t="shared" si="335"/>
        <v>0.73486737426422644</v>
      </c>
      <c r="AH1306" s="8">
        <f t="shared" si="336"/>
        <v>0.15425767596809736</v>
      </c>
      <c r="AI1306" s="8">
        <f t="shared" si="337"/>
        <v>0.66043509268278822</v>
      </c>
      <c r="AJ1306" s="8"/>
      <c r="AK1306" s="8"/>
      <c r="AL1306" s="8"/>
      <c r="AN1306" s="8">
        <f t="shared" si="355"/>
        <v>1.0000000000000002</v>
      </c>
      <c r="AO1306" s="8">
        <f t="shared" si="356"/>
        <v>0.20690816468308998</v>
      </c>
      <c r="AP1306" s="8">
        <f t="shared" si="357"/>
        <v>0.8493982721975265</v>
      </c>
      <c r="AQ1306" s="8"/>
      <c r="AR1306" s="8">
        <f t="shared" si="358"/>
        <v>11.85496458313885</v>
      </c>
      <c r="AS1306" s="8">
        <f t="shared" si="359"/>
        <v>41.333063877377441</v>
      </c>
    </row>
    <row r="1307" spans="1:45">
      <c r="A1307" s="20">
        <v>47.347299999999997</v>
      </c>
      <c r="B1307" s="20">
        <v>1653.4620829999999</v>
      </c>
      <c r="C1307" s="20">
        <v>-367.4975326</v>
      </c>
      <c r="E1307" s="9">
        <f t="shared" si="348"/>
        <v>693.46208299999989</v>
      </c>
      <c r="F1307" s="9">
        <f t="shared" si="338"/>
        <v>172.5024674</v>
      </c>
      <c r="I1307">
        <v>1</v>
      </c>
      <c r="J1307">
        <f t="shared" si="349"/>
        <v>0.44381772269913189</v>
      </c>
      <c r="K1307">
        <f t="shared" si="350"/>
        <v>0.24380697243039248</v>
      </c>
      <c r="O1307">
        <f t="shared" si="351"/>
        <v>0.41669165529884661</v>
      </c>
      <c r="P1307">
        <f t="shared" si="352"/>
        <v>0.10365431715181657</v>
      </c>
      <c r="Q1307">
        <f t="shared" si="353"/>
        <v>0.90311895503311068</v>
      </c>
      <c r="R1307">
        <f t="shared" si="354"/>
        <v>1</v>
      </c>
      <c r="AG1307" s="8">
        <f t="shared" si="335"/>
        <v>0.73490945849367839</v>
      </c>
      <c r="AH1307" s="8">
        <f t="shared" si="336"/>
        <v>0.15450589962648087</v>
      </c>
      <c r="AI1307" s="8">
        <f t="shared" si="337"/>
        <v>0.66033023162440485</v>
      </c>
      <c r="AJ1307" s="8"/>
      <c r="AK1307" s="8"/>
      <c r="AL1307" s="8"/>
      <c r="AN1307" s="8">
        <f t="shared" si="355"/>
        <v>1</v>
      </c>
      <c r="AO1307" s="8">
        <f t="shared" si="356"/>
        <v>0.20722013719381366</v>
      </c>
      <c r="AP1307" s="8">
        <f t="shared" si="357"/>
        <v>0.84953791392618616</v>
      </c>
      <c r="AQ1307" s="8"/>
      <c r="AR1307" s="8">
        <f t="shared" si="358"/>
        <v>11.872839291327416</v>
      </c>
      <c r="AS1307" s="8">
        <f t="shared" si="359"/>
        <v>41.325062995681328</v>
      </c>
    </row>
    <row r="1308" spans="1:45">
      <c r="A1308" s="20">
        <v>47.380666669999997</v>
      </c>
      <c r="B1308" s="20">
        <v>1653.7741779999999</v>
      </c>
      <c r="C1308" s="20">
        <v>-367.82358540000001</v>
      </c>
      <c r="E1308" s="9">
        <f t="shared" si="348"/>
        <v>693.77417799999989</v>
      </c>
      <c r="F1308" s="9">
        <f t="shared" si="338"/>
        <v>172.17641459999999</v>
      </c>
      <c r="I1308">
        <v>1</v>
      </c>
      <c r="J1308">
        <f t="shared" si="349"/>
        <v>0.44394051255041217</v>
      </c>
      <c r="K1308">
        <f t="shared" si="350"/>
        <v>0.24325893292690884</v>
      </c>
      <c r="O1308">
        <f t="shared" si="351"/>
        <v>0.41685602516195447</v>
      </c>
      <c r="P1308">
        <f t="shared" si="352"/>
        <v>0.10345264798366813</v>
      </c>
      <c r="Q1308">
        <f t="shared" si="353"/>
        <v>0.90306622343621246</v>
      </c>
      <c r="R1308">
        <f t="shared" si="354"/>
        <v>1</v>
      </c>
      <c r="AG1308" s="8">
        <f t="shared" si="335"/>
        <v>0.73504523077519468</v>
      </c>
      <c r="AH1308" s="8">
        <f t="shared" si="336"/>
        <v>0.15464205641856504</v>
      </c>
      <c r="AI1308" s="8">
        <f t="shared" si="337"/>
        <v>0.660147213204205</v>
      </c>
      <c r="AJ1308" s="8"/>
      <c r="AK1308" s="8"/>
      <c r="AL1308" s="8"/>
      <c r="AN1308" s="8">
        <f t="shared" si="355"/>
        <v>1</v>
      </c>
      <c r="AO1308" s="8">
        <f t="shared" si="356"/>
        <v>0.20736033826812572</v>
      </c>
      <c r="AP1308" s="8">
        <f t="shared" si="357"/>
        <v>0.84978159544667509</v>
      </c>
      <c r="AQ1308" s="8"/>
      <c r="AR1308" s="8">
        <f t="shared" si="358"/>
        <v>11.880872221168698</v>
      </c>
      <c r="AS1308" s="8">
        <f t="shared" si="359"/>
        <v>41.311101073011983</v>
      </c>
    </row>
    <row r="1309" spans="1:45">
      <c r="A1309" s="20">
        <v>47.414033330000002</v>
      </c>
      <c r="B1309" s="20">
        <v>1653.797317</v>
      </c>
      <c r="C1309" s="20">
        <v>-368.09563079999998</v>
      </c>
      <c r="E1309" s="9">
        <f t="shared" si="348"/>
        <v>693.79731700000002</v>
      </c>
      <c r="F1309" s="9">
        <f t="shared" si="338"/>
        <v>171.90436920000002</v>
      </c>
      <c r="I1309">
        <v>1</v>
      </c>
      <c r="J1309">
        <f t="shared" si="349"/>
        <v>0.44391696015726756</v>
      </c>
      <c r="K1309">
        <f t="shared" si="350"/>
        <v>0.24288173920689748</v>
      </c>
      <c r="O1309">
        <f t="shared" si="351"/>
        <v>0.41687437198815036</v>
      </c>
      <c r="P1309">
        <f t="shared" si="352"/>
        <v>0.10329028982432507</v>
      </c>
      <c r="Q1309">
        <f t="shared" si="353"/>
        <v>0.90307633897001871</v>
      </c>
      <c r="R1309">
        <f t="shared" si="354"/>
        <v>1</v>
      </c>
      <c r="AG1309" s="8">
        <f t="shared" si="335"/>
        <v>0.7351557593065271</v>
      </c>
      <c r="AH1309" s="8">
        <f t="shared" si="336"/>
        <v>0.15462915700922542</v>
      </c>
      <c r="AI1309" s="8">
        <f t="shared" si="337"/>
        <v>0.66002714592739276</v>
      </c>
      <c r="AJ1309" s="8"/>
      <c r="AK1309" s="8"/>
      <c r="AL1309" s="8"/>
      <c r="AN1309" s="8">
        <f t="shared" si="355"/>
        <v>0.99999999999999989</v>
      </c>
      <c r="AO1309" s="8">
        <f t="shared" si="356"/>
        <v>0.20731324502070622</v>
      </c>
      <c r="AP1309" s="8">
        <f t="shared" si="357"/>
        <v>0.84994143175559367</v>
      </c>
      <c r="AQ1309" s="8"/>
      <c r="AR1309" s="8">
        <f t="shared" si="358"/>
        <v>11.878173976847995</v>
      </c>
      <c r="AS1309" s="8">
        <f t="shared" si="359"/>
        <v>41.301943127097999</v>
      </c>
    </row>
    <row r="1310" spans="1:45">
      <c r="A1310" s="20">
        <v>47.447400000000002</v>
      </c>
      <c r="B1310" s="20">
        <v>1654.4821750000001</v>
      </c>
      <c r="C1310" s="20">
        <v>-368.69644599999998</v>
      </c>
      <c r="E1310" s="9">
        <f t="shared" si="348"/>
        <v>694.4821750000001</v>
      </c>
      <c r="F1310" s="9">
        <f t="shared" si="338"/>
        <v>171.30355400000002</v>
      </c>
      <c r="I1310">
        <v>1</v>
      </c>
      <c r="J1310">
        <f t="shared" si="349"/>
        <v>0.4442019816347702</v>
      </c>
      <c r="K1310">
        <f t="shared" si="350"/>
        <v>0.24183617460984244</v>
      </c>
      <c r="O1310">
        <f t="shared" si="351"/>
        <v>0.41723202972548273</v>
      </c>
      <c r="P1310">
        <f t="shared" si="352"/>
        <v>0.10291600289756729</v>
      </c>
      <c r="Q1310">
        <f t="shared" si="353"/>
        <v>0.90295389124735592</v>
      </c>
      <c r="R1310">
        <f t="shared" si="354"/>
        <v>1</v>
      </c>
      <c r="AG1310" s="8">
        <f t="shared" si="335"/>
        <v>0.73540694450835997</v>
      </c>
      <c r="AH1310" s="8">
        <f t="shared" si="336"/>
        <v>0.1549384820071214</v>
      </c>
      <c r="AI1310" s="8">
        <f t="shared" si="337"/>
        <v>0.65967468707098886</v>
      </c>
      <c r="AJ1310" s="8"/>
      <c r="AK1310" s="8"/>
      <c r="AL1310" s="8"/>
      <c r="AN1310" s="8">
        <f t="shared" si="355"/>
        <v>1.0000000000000002</v>
      </c>
      <c r="AO1310" s="8">
        <f t="shared" si="356"/>
        <v>0.20764722059097532</v>
      </c>
      <c r="AP1310" s="8">
        <f t="shared" si="357"/>
        <v>0.85041050347199609</v>
      </c>
      <c r="AQ1310" s="8"/>
      <c r="AR1310" s="8">
        <f t="shared" si="358"/>
        <v>11.897309367484889</v>
      </c>
      <c r="AS1310" s="8">
        <f t="shared" si="359"/>
        <v>41.275067297459181</v>
      </c>
    </row>
    <row r="1311" spans="1:45">
      <c r="A1311" s="20">
        <v>47.480766670000001</v>
      </c>
      <c r="B1311" s="20">
        <v>1654.757848</v>
      </c>
      <c r="C1311" s="20">
        <v>-368.7376797</v>
      </c>
      <c r="E1311" s="9">
        <f t="shared" si="348"/>
        <v>694.75784799999997</v>
      </c>
      <c r="F1311" s="9">
        <f t="shared" si="338"/>
        <v>171.2623203</v>
      </c>
      <c r="I1311">
        <v>1</v>
      </c>
      <c r="J1311">
        <f t="shared" si="349"/>
        <v>0.44434307303082449</v>
      </c>
      <c r="K1311">
        <f t="shared" si="350"/>
        <v>0.24168796304647649</v>
      </c>
      <c r="O1311">
        <f t="shared" si="351"/>
        <v>0.41737097054911282</v>
      </c>
      <c r="P1311">
        <f t="shared" si="352"/>
        <v>0.10288465405302485</v>
      </c>
      <c r="Q1311">
        <f t="shared" si="353"/>
        <v>0.90289325000427434</v>
      </c>
      <c r="R1311">
        <f t="shared" si="354"/>
        <v>1</v>
      </c>
      <c r="AG1311" s="8">
        <f t="shared" si="335"/>
        <v>0.7354267248602524</v>
      </c>
      <c r="AH1311" s="8">
        <f t="shared" si="336"/>
        <v>0.15508156790574867</v>
      </c>
      <c r="AI1311" s="8">
        <f t="shared" si="337"/>
        <v>0.65961901098832598</v>
      </c>
      <c r="AJ1311" s="8"/>
      <c r="AK1311" s="8"/>
      <c r="AL1311" s="8"/>
      <c r="AN1311" s="8">
        <f t="shared" si="355"/>
        <v>1</v>
      </c>
      <c r="AO1311" s="8">
        <f t="shared" si="356"/>
        <v>0.20782808051258064</v>
      </c>
      <c r="AP1311" s="8">
        <f t="shared" si="357"/>
        <v>0.85048458261348425</v>
      </c>
      <c r="AQ1311" s="8"/>
      <c r="AR1311" s="8">
        <f t="shared" si="358"/>
        <v>11.907671877675941</v>
      </c>
      <c r="AS1311" s="8">
        <f t="shared" si="359"/>
        <v>41.27082287530196</v>
      </c>
    </row>
    <row r="1312" spans="1:45">
      <c r="A1312" s="20">
        <v>47.51413333</v>
      </c>
      <c r="B1312" s="20">
        <v>1655.350839</v>
      </c>
      <c r="C1312" s="20">
        <v>-368.85136449999999</v>
      </c>
      <c r="E1312" s="9">
        <f t="shared" si="348"/>
        <v>695.35083899999995</v>
      </c>
      <c r="F1312" s="9">
        <f t="shared" si="338"/>
        <v>171.14863550000001</v>
      </c>
      <c r="I1312">
        <v>1</v>
      </c>
      <c r="J1312">
        <f t="shared" si="349"/>
        <v>0.44464326862644482</v>
      </c>
      <c r="K1312">
        <f t="shared" si="350"/>
        <v>0.24133562840770112</v>
      </c>
      <c r="O1312">
        <f t="shared" si="351"/>
        <v>0.41767036526165796</v>
      </c>
      <c r="P1312">
        <f t="shared" si="352"/>
        <v>0.10280236837870467</v>
      </c>
      <c r="Q1312">
        <f t="shared" si="353"/>
        <v>0.90276416579188734</v>
      </c>
      <c r="R1312">
        <f t="shared" si="354"/>
        <v>1</v>
      </c>
      <c r="AG1312" s="8">
        <f t="shared" ref="AG1312:AG1375" si="360">$O1312*$Z$27+$P1312*$Z$31+$Q1312*$Z$35</f>
        <v>0.73547932482297584</v>
      </c>
      <c r="AH1312" s="8">
        <f t="shared" ref="AH1312:AH1375" si="361">$O1312*$AA$27+$P1312*$AA$31+$Q1312*$AA$35</f>
        <v>0.15538696218185327</v>
      </c>
      <c r="AI1312" s="8">
        <f t="shared" ref="AI1312:AI1375" si="362">$AB$27*$O1312+$P1312*$AB$31+$AB$35*$Q1312</f>
        <v>0.65948847961267287</v>
      </c>
      <c r="AJ1312" s="8"/>
      <c r="AK1312" s="8"/>
      <c r="AL1312" s="8"/>
      <c r="AN1312" s="8">
        <f t="shared" si="355"/>
        <v>1</v>
      </c>
      <c r="AO1312" s="8">
        <f t="shared" si="356"/>
        <v>0.20821116388548175</v>
      </c>
      <c r="AP1312" s="8">
        <f t="shared" si="357"/>
        <v>0.85065824068567386</v>
      </c>
      <c r="AQ1312" s="8"/>
      <c r="AR1312" s="8">
        <f t="shared" si="358"/>
        <v>11.929620938144812</v>
      </c>
      <c r="AS1312" s="8">
        <f t="shared" si="359"/>
        <v>41.260873000687113</v>
      </c>
    </row>
    <row r="1313" spans="1:45">
      <c r="A1313" s="20">
        <v>47.547499999999999</v>
      </c>
      <c r="B1313" s="20">
        <v>1656.4805590000001</v>
      </c>
      <c r="C1313" s="20">
        <v>-369.59773109999998</v>
      </c>
      <c r="E1313" s="9">
        <f t="shared" si="348"/>
        <v>696.48055900000008</v>
      </c>
      <c r="F1313" s="9">
        <f t="shared" ref="F1313:F1376" si="363">(($C$15/2)+C1313)</f>
        <v>170.40226890000002</v>
      </c>
      <c r="I1313">
        <v>1</v>
      </c>
      <c r="J1313">
        <f t="shared" si="349"/>
        <v>0.44514612685432237</v>
      </c>
      <c r="K1313">
        <f t="shared" si="350"/>
        <v>0.23994830940998993</v>
      </c>
      <c r="O1313">
        <f t="shared" si="351"/>
        <v>0.41825348659964595</v>
      </c>
      <c r="P1313">
        <f t="shared" si="352"/>
        <v>0.10233069993259557</v>
      </c>
      <c r="Q1313">
        <f t="shared" si="353"/>
        <v>0.90254775430364065</v>
      </c>
      <c r="R1313">
        <f t="shared" si="354"/>
        <v>1</v>
      </c>
      <c r="AG1313" s="8">
        <f t="shared" si="360"/>
        <v>0.73579368303693016</v>
      </c>
      <c r="AH1313" s="8">
        <f t="shared" si="361"/>
        <v>0.15591938260761162</v>
      </c>
      <c r="AI1313" s="8">
        <f t="shared" si="362"/>
        <v>0.65901198936757655</v>
      </c>
      <c r="AJ1313" s="8"/>
      <c r="AK1313" s="8"/>
      <c r="AL1313" s="8"/>
      <c r="AN1313" s="8">
        <f t="shared" si="355"/>
        <v>1</v>
      </c>
      <c r="AO1313" s="8">
        <f t="shared" si="356"/>
        <v>0.20881736081867902</v>
      </c>
      <c r="AP1313" s="8">
        <f t="shared" si="357"/>
        <v>0.85129193573078066</v>
      </c>
      <c r="AQ1313" s="8"/>
      <c r="AR1313" s="8">
        <f t="shared" si="358"/>
        <v>11.964353463970788</v>
      </c>
      <c r="AS1313" s="8">
        <f t="shared" si="359"/>
        <v>41.224564949104142</v>
      </c>
    </row>
    <row r="1314" spans="1:45">
      <c r="A1314" s="20">
        <v>47.580866669999999</v>
      </c>
      <c r="B1314" s="20">
        <v>1656.903495</v>
      </c>
      <c r="C1314" s="20">
        <v>-369.8902612</v>
      </c>
      <c r="E1314" s="9">
        <f t="shared" si="348"/>
        <v>696.90349500000002</v>
      </c>
      <c r="F1314" s="9">
        <f t="shared" si="363"/>
        <v>170.1097388</v>
      </c>
      <c r="I1314">
        <v>1</v>
      </c>
      <c r="J1314">
        <f t="shared" si="349"/>
        <v>0.4453328163024361</v>
      </c>
      <c r="K1314">
        <f t="shared" si="350"/>
        <v>0.23941209528466328</v>
      </c>
      <c r="O1314">
        <f t="shared" si="351"/>
        <v>0.41847198056383988</v>
      </c>
      <c r="P1314">
        <f t="shared" si="352"/>
        <v>0.1021463657731168</v>
      </c>
      <c r="Q1314">
        <f t="shared" si="353"/>
        <v>0.90246735200910277</v>
      </c>
      <c r="R1314">
        <f t="shared" si="354"/>
        <v>1</v>
      </c>
      <c r="AG1314" s="8">
        <f t="shared" si="360"/>
        <v>0.73591652206112634</v>
      </c>
      <c r="AH1314" s="8">
        <f t="shared" si="361"/>
        <v>0.15611740389398143</v>
      </c>
      <c r="AI1314" s="8">
        <f t="shared" si="362"/>
        <v>0.65882792044574079</v>
      </c>
      <c r="AJ1314" s="8"/>
      <c r="AK1314" s="8"/>
      <c r="AL1314" s="8"/>
      <c r="AN1314" s="8">
        <f t="shared" si="355"/>
        <v>1</v>
      </c>
      <c r="AO1314" s="8">
        <f t="shared" si="356"/>
        <v>0.20904101644727338</v>
      </c>
      <c r="AP1314" s="8">
        <f t="shared" si="357"/>
        <v>0.85153663890367592</v>
      </c>
      <c r="AQ1314" s="8"/>
      <c r="AR1314" s="8">
        <f t="shared" si="358"/>
        <v>11.977167987553591</v>
      </c>
      <c r="AS1314" s="8">
        <f t="shared" si="359"/>
        <v>41.210544490063782</v>
      </c>
    </row>
    <row r="1315" spans="1:45">
      <c r="A1315" s="20">
        <v>47.614233329999998</v>
      </c>
      <c r="B1315" s="20">
        <v>1657.34</v>
      </c>
      <c r="C1315" s="20">
        <v>-369.8826608</v>
      </c>
      <c r="E1315" s="9">
        <f t="shared" si="348"/>
        <v>697.33999999999992</v>
      </c>
      <c r="F1315" s="9">
        <f t="shared" si="363"/>
        <v>170.1173392</v>
      </c>
      <c r="I1315">
        <v>1</v>
      </c>
      <c r="J1315">
        <f t="shared" si="349"/>
        <v>0.44556564673942062</v>
      </c>
      <c r="K1315">
        <f t="shared" si="350"/>
        <v>0.2392781766808649</v>
      </c>
      <c r="O1315">
        <f t="shared" si="351"/>
        <v>0.4186897801141658</v>
      </c>
      <c r="P1315">
        <f t="shared" si="352"/>
        <v>0.10214012008956172</v>
      </c>
      <c r="Q1315">
        <f t="shared" si="353"/>
        <v>0.90236703391471551</v>
      </c>
      <c r="R1315">
        <f t="shared" si="354"/>
        <v>1</v>
      </c>
      <c r="AG1315" s="8">
        <f t="shared" si="360"/>
        <v>0.7359180185231714</v>
      </c>
      <c r="AH1315" s="8">
        <f t="shared" si="361"/>
        <v>0.15635041890095053</v>
      </c>
      <c r="AI1315" s="8">
        <f t="shared" si="362"/>
        <v>0.65877098943595436</v>
      </c>
      <c r="AJ1315" s="8"/>
      <c r="AK1315" s="8"/>
      <c r="AL1315" s="8"/>
      <c r="AN1315" s="8">
        <f t="shared" si="355"/>
        <v>0.99999999999999978</v>
      </c>
      <c r="AO1315" s="8">
        <f t="shared" si="356"/>
        <v>0.20934358010875642</v>
      </c>
      <c r="AP1315" s="8">
        <f t="shared" si="357"/>
        <v>0.85161231297277029</v>
      </c>
      <c r="AQ1315" s="8"/>
      <c r="AR1315" s="8">
        <f t="shared" si="358"/>
        <v>11.994503608390595</v>
      </c>
      <c r="AS1315" s="8">
        <f t="shared" si="359"/>
        <v>41.2062086852861</v>
      </c>
    </row>
    <row r="1316" spans="1:45">
      <c r="A1316" s="20">
        <v>47.647599999999997</v>
      </c>
      <c r="B1316" s="20">
        <v>1657.5436649999999</v>
      </c>
      <c r="C1316" s="20">
        <v>-369.8686841</v>
      </c>
      <c r="E1316" s="9">
        <f t="shared" si="348"/>
        <v>697.54366499999992</v>
      </c>
      <c r="F1316" s="9">
        <f t="shared" si="363"/>
        <v>170.1313159</v>
      </c>
      <c r="I1316">
        <v>1</v>
      </c>
      <c r="J1316">
        <f t="shared" si="349"/>
        <v>0.4456756170861717</v>
      </c>
      <c r="K1316">
        <f t="shared" si="350"/>
        <v>0.23922986078707517</v>
      </c>
      <c r="O1316">
        <f t="shared" si="351"/>
        <v>0.41879111960148313</v>
      </c>
      <c r="P1316">
        <f t="shared" si="352"/>
        <v>0.10214340383269717</v>
      </c>
      <c r="Q1316">
        <f t="shared" si="353"/>
        <v>0.90231963471732501</v>
      </c>
      <c r="R1316">
        <f t="shared" si="354"/>
        <v>1</v>
      </c>
      <c r="AG1316" s="8">
        <f t="shared" si="360"/>
        <v>0.73591448312267627</v>
      </c>
      <c r="AH1316" s="8">
        <f t="shared" si="361"/>
        <v>0.15646008557795177</v>
      </c>
      <c r="AI1316" s="8">
        <f t="shared" si="362"/>
        <v>0.65874890144213838</v>
      </c>
      <c r="AJ1316" s="8"/>
      <c r="AK1316" s="8"/>
      <c r="AL1316" s="8"/>
      <c r="AN1316" s="8">
        <f t="shared" si="355"/>
        <v>1</v>
      </c>
      <c r="AO1316" s="8">
        <f t="shared" si="356"/>
        <v>0.20948713730454749</v>
      </c>
      <c r="AP1316" s="8">
        <f t="shared" si="357"/>
        <v>0.85164167151591508</v>
      </c>
      <c r="AQ1316" s="8"/>
      <c r="AR1316" s="8">
        <f t="shared" si="358"/>
        <v>12.002728829828156</v>
      </c>
      <c r="AS1316" s="8">
        <f t="shared" si="359"/>
        <v>41.204526564671248</v>
      </c>
    </row>
    <row r="1317" spans="1:45">
      <c r="A1317" s="20">
        <v>47.680966669999997</v>
      </c>
      <c r="B1317" s="20">
        <v>1657.9061039999999</v>
      </c>
      <c r="C1317" s="20">
        <v>-370.16846279999999</v>
      </c>
      <c r="E1317" s="9">
        <f t="shared" si="348"/>
        <v>697.90610399999991</v>
      </c>
      <c r="F1317" s="9">
        <f t="shared" si="363"/>
        <v>169.83153720000001</v>
      </c>
      <c r="I1317">
        <v>1</v>
      </c>
      <c r="J1317">
        <f t="shared" si="349"/>
        <v>0.44582930304396146</v>
      </c>
      <c r="K1317">
        <f t="shared" si="350"/>
        <v>0.2387048195455079</v>
      </c>
      <c r="O1317">
        <f t="shared" si="351"/>
        <v>0.4189794281918458</v>
      </c>
      <c r="P1317">
        <f t="shared" si="352"/>
        <v>0.10195629460349039</v>
      </c>
      <c r="Q1317">
        <f t="shared" si="353"/>
        <v>0.90225337502431113</v>
      </c>
      <c r="R1317">
        <f t="shared" si="354"/>
        <v>1</v>
      </c>
      <c r="AG1317" s="8">
        <f t="shared" si="360"/>
        <v>0.73603946790022268</v>
      </c>
      <c r="AH1317" s="8">
        <f t="shared" si="361"/>
        <v>0.15662513160384905</v>
      </c>
      <c r="AI1317" s="8">
        <f t="shared" si="362"/>
        <v>0.65857001893742018</v>
      </c>
      <c r="AJ1317" s="8"/>
      <c r="AK1317" s="8"/>
      <c r="AL1317" s="8"/>
      <c r="AN1317" s="8">
        <f t="shared" si="355"/>
        <v>1</v>
      </c>
      <c r="AO1317" s="8">
        <f t="shared" si="356"/>
        <v>0.2096671274969503</v>
      </c>
      <c r="AP1317" s="8">
        <f t="shared" si="357"/>
        <v>0.85187940771782933</v>
      </c>
      <c r="AQ1317" s="8"/>
      <c r="AR1317" s="8">
        <f t="shared" si="358"/>
        <v>12.013041508206584</v>
      </c>
      <c r="AS1317" s="8">
        <f t="shared" si="359"/>
        <v>41.190905283664094</v>
      </c>
    </row>
    <row r="1318" spans="1:45">
      <c r="A1318" s="20">
        <v>47.714333330000002</v>
      </c>
      <c r="B1318" s="20">
        <v>1658.50459</v>
      </c>
      <c r="C1318" s="20">
        <v>-370.76817720000003</v>
      </c>
      <c r="E1318" s="9">
        <f t="shared" si="348"/>
        <v>698.50459000000001</v>
      </c>
      <c r="F1318" s="9">
        <f t="shared" si="363"/>
        <v>169.23182279999997</v>
      </c>
      <c r="I1318">
        <v>1</v>
      </c>
      <c r="J1318">
        <f t="shared" si="349"/>
        <v>0.44606979469246039</v>
      </c>
      <c r="K1318">
        <f t="shared" si="350"/>
        <v>0.23769715933114691</v>
      </c>
      <c r="O1318">
        <f t="shared" si="351"/>
        <v>0.4192928240491427</v>
      </c>
      <c r="P1318">
        <f t="shared" si="352"/>
        <v>0.10158514334286062</v>
      </c>
      <c r="Q1318">
        <f t="shared" si="353"/>
        <v>0.90214964742713566</v>
      </c>
      <c r="R1318">
        <f t="shared" si="354"/>
        <v>1</v>
      </c>
      <c r="AG1318" s="8">
        <f t="shared" si="360"/>
        <v>0.73628801283167378</v>
      </c>
      <c r="AH1318" s="8">
        <f t="shared" si="361"/>
        <v>0.1568878900013872</v>
      </c>
      <c r="AI1318" s="8">
        <f t="shared" si="362"/>
        <v>0.6582295588404532</v>
      </c>
      <c r="AJ1318" s="8"/>
      <c r="AK1318" s="8"/>
      <c r="AL1318" s="8"/>
      <c r="AN1318" s="8">
        <f t="shared" si="355"/>
        <v>1</v>
      </c>
      <c r="AO1318" s="8">
        <f t="shared" si="356"/>
        <v>0.20993980100194931</v>
      </c>
      <c r="AP1318" s="8">
        <f t="shared" si="357"/>
        <v>0.85233174517114074</v>
      </c>
      <c r="AQ1318" s="8"/>
      <c r="AR1318" s="8">
        <f t="shared" si="358"/>
        <v>12.028664549228067</v>
      </c>
      <c r="AS1318" s="8">
        <f t="shared" si="359"/>
        <v>41.164988256673652</v>
      </c>
    </row>
    <row r="1319" spans="1:45">
      <c r="A1319" s="20">
        <v>47.747700000000002</v>
      </c>
      <c r="B1319" s="20">
        <v>1658.789741</v>
      </c>
      <c r="C1319" s="20">
        <v>-370.83435150000003</v>
      </c>
      <c r="E1319" s="9">
        <f t="shared" si="348"/>
        <v>698.78974100000005</v>
      </c>
      <c r="F1319" s="9">
        <f t="shared" si="363"/>
        <v>169.16564849999997</v>
      </c>
      <c r="I1319">
        <v>1</v>
      </c>
      <c r="J1319">
        <f t="shared" si="349"/>
        <v>0.44621270590018525</v>
      </c>
      <c r="K1319">
        <f t="shared" si="350"/>
        <v>0.23751431999901984</v>
      </c>
      <c r="O1319">
        <f t="shared" si="351"/>
        <v>0.41943669428627306</v>
      </c>
      <c r="P1319">
        <f t="shared" si="352"/>
        <v>0.10153881236449579</v>
      </c>
      <c r="Q1319">
        <f t="shared" si="353"/>
        <v>0.90208798299822801</v>
      </c>
      <c r="R1319">
        <f t="shared" si="354"/>
        <v>1</v>
      </c>
      <c r="AG1319" s="8">
        <f t="shared" si="360"/>
        <v>0.73631761836124276</v>
      </c>
      <c r="AH1319" s="8">
        <f t="shared" si="361"/>
        <v>0.15703339592538929</v>
      </c>
      <c r="AI1319" s="8">
        <f t="shared" si="362"/>
        <v>0.65816174110545755</v>
      </c>
      <c r="AJ1319" s="8"/>
      <c r="AK1319" s="8"/>
      <c r="AL1319" s="8"/>
      <c r="AN1319" s="8">
        <f t="shared" si="355"/>
        <v>1.0000000000000002</v>
      </c>
      <c r="AO1319" s="8">
        <f t="shared" si="356"/>
        <v>0.21012062917754823</v>
      </c>
      <c r="AP1319" s="8">
        <f t="shared" si="357"/>
        <v>0.85242182687724288</v>
      </c>
      <c r="AQ1319" s="8"/>
      <c r="AR1319" s="8">
        <f t="shared" si="358"/>
        <v>12.039025240506936</v>
      </c>
      <c r="AS1319" s="8">
        <f t="shared" si="359"/>
        <v>41.159826955102659</v>
      </c>
    </row>
    <row r="1320" spans="1:45">
      <c r="A1320" s="20">
        <v>47.781066670000001</v>
      </c>
      <c r="B1320" s="20">
        <v>1659.6337109999999</v>
      </c>
      <c r="C1320" s="20">
        <v>-371.11634900000001</v>
      </c>
      <c r="E1320" s="9">
        <f t="shared" si="348"/>
        <v>699.63371099999995</v>
      </c>
      <c r="F1320" s="9">
        <f t="shared" si="363"/>
        <v>168.88365099999999</v>
      </c>
      <c r="I1320">
        <v>1</v>
      </c>
      <c r="J1320">
        <f t="shared" si="349"/>
        <v>0.4466246083555977</v>
      </c>
      <c r="K1320">
        <f t="shared" si="350"/>
        <v>0.23685760529599897</v>
      </c>
      <c r="O1320">
        <f t="shared" si="351"/>
        <v>0.41986444827629649</v>
      </c>
      <c r="P1320">
        <f t="shared" si="352"/>
        <v>0.10135052075842813</v>
      </c>
      <c r="Q1320">
        <f t="shared" si="353"/>
        <v>0.90191014908118017</v>
      </c>
      <c r="R1320">
        <f t="shared" si="354"/>
        <v>1</v>
      </c>
      <c r="AG1320" s="8">
        <f t="shared" si="360"/>
        <v>0.73643990678653948</v>
      </c>
      <c r="AH1320" s="8">
        <f t="shared" si="361"/>
        <v>0.15745593738790248</v>
      </c>
      <c r="AI1320" s="8">
        <f t="shared" si="362"/>
        <v>0.65792392529344157</v>
      </c>
      <c r="AJ1320" s="8"/>
      <c r="AK1320" s="8"/>
      <c r="AL1320" s="8"/>
      <c r="AN1320" s="8">
        <f t="shared" si="355"/>
        <v>1.0000000000000002</v>
      </c>
      <c r="AO1320" s="8">
        <f t="shared" si="356"/>
        <v>0.21063550021108857</v>
      </c>
      <c r="AP1320" s="8">
        <f t="shared" si="357"/>
        <v>0.85273765951307634</v>
      </c>
      <c r="AQ1320" s="8"/>
      <c r="AR1320" s="8">
        <f t="shared" si="358"/>
        <v>12.068525177722336</v>
      </c>
      <c r="AS1320" s="8">
        <f t="shared" si="359"/>
        <v>41.141731078036912</v>
      </c>
    </row>
    <row r="1321" spans="1:45">
      <c r="A1321" s="20">
        <v>47.81443333</v>
      </c>
      <c r="B1321" s="20">
        <v>1659.8901410000001</v>
      </c>
      <c r="C1321" s="20">
        <v>-371.7494049</v>
      </c>
      <c r="E1321" s="9">
        <f t="shared" si="348"/>
        <v>699.89014100000009</v>
      </c>
      <c r="F1321" s="9">
        <f t="shared" si="363"/>
        <v>168.2505951</v>
      </c>
      <c r="I1321">
        <v>1</v>
      </c>
      <c r="J1321">
        <f t="shared" si="349"/>
        <v>0.44667978831293675</v>
      </c>
      <c r="K1321">
        <f t="shared" si="350"/>
        <v>0.23591911602404816</v>
      </c>
      <c r="O1321">
        <f t="shared" si="351"/>
        <v>0.42000776790270139</v>
      </c>
      <c r="P1321">
        <f t="shared" si="352"/>
        <v>0.10096807021068206</v>
      </c>
      <c r="Q1321">
        <f t="shared" si="353"/>
        <v>0.9018863141767488</v>
      </c>
      <c r="R1321">
        <f t="shared" si="354"/>
        <v>1</v>
      </c>
      <c r="AG1321" s="8">
        <f t="shared" si="360"/>
        <v>0.73669809932392083</v>
      </c>
      <c r="AH1321" s="8">
        <f t="shared" si="361"/>
        <v>0.15753357173429172</v>
      </c>
      <c r="AI1321" s="8">
        <f t="shared" si="362"/>
        <v>0.65761621347801269</v>
      </c>
      <c r="AJ1321" s="8"/>
      <c r="AK1321" s="8"/>
      <c r="AL1321" s="8"/>
      <c r="AN1321" s="8">
        <f t="shared" si="355"/>
        <v>1</v>
      </c>
      <c r="AO1321" s="8">
        <f t="shared" si="356"/>
        <v>0.21066461701440484</v>
      </c>
      <c r="AP1321" s="8">
        <f t="shared" si="357"/>
        <v>0.85314618865388381</v>
      </c>
      <c r="AQ1321" s="8"/>
      <c r="AR1321" s="8">
        <f t="shared" si="358"/>
        <v>12.07019344766527</v>
      </c>
      <c r="AS1321" s="8">
        <f t="shared" si="359"/>
        <v>41.118324082460539</v>
      </c>
    </row>
    <row r="1322" spans="1:45">
      <c r="A1322" s="20">
        <v>47.847799999999999</v>
      </c>
      <c r="B1322" s="20">
        <v>1660.259875</v>
      </c>
      <c r="C1322" s="20">
        <v>-373.00415800000002</v>
      </c>
      <c r="E1322" s="9">
        <f t="shared" si="348"/>
        <v>700.25987499999997</v>
      </c>
      <c r="F1322" s="9">
        <f t="shared" si="363"/>
        <v>166.99584199999998</v>
      </c>
      <c r="I1322">
        <v>1</v>
      </c>
      <c r="J1322">
        <f t="shared" si="349"/>
        <v>0.44671659239563344</v>
      </c>
      <c r="K1322">
        <f t="shared" si="350"/>
        <v>0.23410438737202469</v>
      </c>
      <c r="O1322">
        <f t="shared" si="351"/>
        <v>0.42022259324783517</v>
      </c>
      <c r="P1322">
        <f t="shared" si="352"/>
        <v>0.10021340404067239</v>
      </c>
      <c r="Q1322">
        <f t="shared" si="353"/>
        <v>0.90187041517872479</v>
      </c>
      <c r="R1322">
        <f t="shared" si="354"/>
        <v>1</v>
      </c>
      <c r="AG1322" s="8">
        <f t="shared" si="360"/>
        <v>0.73720814386913214</v>
      </c>
      <c r="AH1322" s="8">
        <f t="shared" si="361"/>
        <v>0.15761375749151635</v>
      </c>
      <c r="AI1322" s="8">
        <f t="shared" si="362"/>
        <v>0.65702515633911185</v>
      </c>
      <c r="AJ1322" s="8"/>
      <c r="AK1322" s="8"/>
      <c r="AL1322" s="8"/>
      <c r="AN1322" s="8">
        <f t="shared" si="355"/>
        <v>1</v>
      </c>
      <c r="AO1322" s="8">
        <f t="shared" si="356"/>
        <v>0.21062715382289637</v>
      </c>
      <c r="AP1322" s="8">
        <f t="shared" si="357"/>
        <v>0.85393048877707789</v>
      </c>
      <c r="AQ1322" s="8"/>
      <c r="AR1322" s="8">
        <f t="shared" si="358"/>
        <v>12.068046964904745</v>
      </c>
      <c r="AS1322" s="8">
        <f t="shared" si="359"/>
        <v>41.07338699552993</v>
      </c>
    </row>
    <row r="1323" spans="1:45">
      <c r="A1323" s="20">
        <v>47.881166669999999</v>
      </c>
      <c r="B1323" s="20">
        <v>1660.857086</v>
      </c>
      <c r="C1323" s="20">
        <v>-372.31134029999998</v>
      </c>
      <c r="E1323" s="9">
        <f t="shared" si="348"/>
        <v>700.85708599999998</v>
      </c>
      <c r="F1323" s="9">
        <f t="shared" si="363"/>
        <v>167.68865970000002</v>
      </c>
      <c r="I1323">
        <v>1</v>
      </c>
      <c r="J1323">
        <f t="shared" si="349"/>
        <v>0.44712161544074147</v>
      </c>
      <c r="K1323">
        <f t="shared" si="350"/>
        <v>0.23484731615925941</v>
      </c>
      <c r="O1323">
        <f t="shared" si="351"/>
        <v>0.42050324276056461</v>
      </c>
      <c r="P1323">
        <f t="shared" si="352"/>
        <v>0.1006105618200496</v>
      </c>
      <c r="Q1323">
        <f t="shared" si="353"/>
        <v>0.90169536855753207</v>
      </c>
      <c r="R1323">
        <f t="shared" si="354"/>
        <v>1</v>
      </c>
      <c r="AG1323" s="8">
        <f t="shared" si="360"/>
        <v>0.736934156405463</v>
      </c>
      <c r="AH1323" s="8">
        <f t="shared" si="361"/>
        <v>0.15799525813748833</v>
      </c>
      <c r="AI1323" s="8">
        <f t="shared" si="362"/>
        <v>0.65724085960098144</v>
      </c>
      <c r="AJ1323" s="8"/>
      <c r="AK1323" s="8"/>
      <c r="AL1323" s="8"/>
      <c r="AN1323" s="8">
        <f t="shared" si="355"/>
        <v>1</v>
      </c>
      <c r="AO1323" s="8">
        <f t="shared" si="356"/>
        <v>0.21119815557465446</v>
      </c>
      <c r="AP1323" s="8">
        <f t="shared" si="357"/>
        <v>0.85364432464728235</v>
      </c>
      <c r="AQ1323" s="8"/>
      <c r="AR1323" s="8">
        <f t="shared" si="358"/>
        <v>12.10076295537506</v>
      </c>
      <c r="AS1323" s="8">
        <f t="shared" si="359"/>
        <v>41.089782992415245</v>
      </c>
    </row>
    <row r="1324" spans="1:45">
      <c r="A1324" s="20">
        <v>47.914533329999998</v>
      </c>
      <c r="B1324" s="20">
        <v>1661.490822</v>
      </c>
      <c r="C1324" s="20">
        <v>-372.08075760000003</v>
      </c>
      <c r="E1324" s="9">
        <f t="shared" si="348"/>
        <v>701.49082199999998</v>
      </c>
      <c r="F1324" s="9">
        <f t="shared" si="363"/>
        <v>167.91924239999997</v>
      </c>
      <c r="I1324">
        <v>1</v>
      </c>
      <c r="J1324">
        <f t="shared" si="349"/>
        <v>0.44748728673102789</v>
      </c>
      <c r="K1324">
        <f t="shared" si="350"/>
        <v>0.23495377030085637</v>
      </c>
      <c r="O1324">
        <f t="shared" si="351"/>
        <v>0.42081316682003744</v>
      </c>
      <c r="P1324">
        <f t="shared" si="352"/>
        <v>0.10073207795206977</v>
      </c>
      <c r="Q1324">
        <f t="shared" si="353"/>
        <v>0.90153720228415946</v>
      </c>
      <c r="R1324">
        <f t="shared" si="354"/>
        <v>1</v>
      </c>
      <c r="AG1324" s="8">
        <f t="shared" si="360"/>
        <v>0.73684699081301586</v>
      </c>
      <c r="AH1324" s="8">
        <f t="shared" si="361"/>
        <v>0.15835317357216472</v>
      </c>
      <c r="AI1324" s="8">
        <f t="shared" si="362"/>
        <v>0.65725245115513053</v>
      </c>
      <c r="AJ1324" s="8"/>
      <c r="AK1324" s="8"/>
      <c r="AL1324" s="8"/>
      <c r="AN1324" s="8">
        <f t="shared" si="355"/>
        <v>1</v>
      </c>
      <c r="AO1324" s="8">
        <f t="shared" si="356"/>
        <v>0.21168674493992962</v>
      </c>
      <c r="AP1324" s="8">
        <f t="shared" si="357"/>
        <v>0.85362894461517658</v>
      </c>
      <c r="AQ1324" s="8"/>
      <c r="AR1324" s="8">
        <f t="shared" si="358"/>
        <v>12.128757063920302</v>
      </c>
      <c r="AS1324" s="8">
        <f t="shared" si="359"/>
        <v>41.090664203343678</v>
      </c>
    </row>
    <row r="1325" spans="1:45">
      <c r="A1325" s="20">
        <v>47.947899999999997</v>
      </c>
      <c r="B1325" s="20">
        <v>1662.4788659999999</v>
      </c>
      <c r="C1325" s="20">
        <v>-372.5019696</v>
      </c>
      <c r="E1325" s="9">
        <f t="shared" si="348"/>
        <v>702.47886599999993</v>
      </c>
      <c r="F1325" s="9">
        <f t="shared" si="363"/>
        <v>167.4980304</v>
      </c>
      <c r="I1325">
        <v>1</v>
      </c>
      <c r="J1325">
        <f t="shared" si="349"/>
        <v>0.44795817650010666</v>
      </c>
      <c r="K1325">
        <f t="shared" si="350"/>
        <v>0.23406803369733248</v>
      </c>
      <c r="O1325">
        <f t="shared" si="351"/>
        <v>0.42131512539556343</v>
      </c>
      <c r="P1325">
        <f t="shared" si="352"/>
        <v>0.10045776050647182</v>
      </c>
      <c r="Q1325">
        <f t="shared" si="353"/>
        <v>0.90133334758398076</v>
      </c>
      <c r="R1325">
        <f t="shared" si="354"/>
        <v>1</v>
      </c>
      <c r="AG1325" s="8">
        <f t="shared" si="360"/>
        <v>0.73702595094300016</v>
      </c>
      <c r="AH1325" s="8">
        <f t="shared" si="361"/>
        <v>0.1588386566568048</v>
      </c>
      <c r="AI1325" s="8">
        <f t="shared" si="362"/>
        <v>0.65693456963995123</v>
      </c>
      <c r="AJ1325" s="8"/>
      <c r="AK1325" s="8"/>
      <c r="AL1325" s="8"/>
      <c r="AN1325" s="8">
        <f t="shared" si="355"/>
        <v>1</v>
      </c>
      <c r="AO1325" s="8">
        <f t="shared" si="356"/>
        <v>0.21226642040837079</v>
      </c>
      <c r="AP1325" s="8">
        <f t="shared" si="357"/>
        <v>0.85405064492931992</v>
      </c>
      <c r="AQ1325" s="8"/>
      <c r="AR1325" s="8">
        <f t="shared" si="358"/>
        <v>12.161970021749251</v>
      </c>
      <c r="AS1325" s="8">
        <f t="shared" si="359"/>
        <v>41.066502555123925</v>
      </c>
    </row>
    <row r="1326" spans="1:45">
      <c r="A1326" s="20">
        <v>47.981266669999997</v>
      </c>
      <c r="B1326" s="20">
        <v>1662.500632</v>
      </c>
      <c r="C1326" s="20">
        <v>-372.54754459999998</v>
      </c>
      <c r="E1326" s="9">
        <f t="shared" si="348"/>
        <v>702.500632</v>
      </c>
      <c r="F1326" s="9">
        <f t="shared" si="363"/>
        <v>167.45245540000002</v>
      </c>
      <c r="I1326">
        <v>1</v>
      </c>
      <c r="J1326">
        <f t="shared" si="349"/>
        <v>0.44796396018027423</v>
      </c>
      <c r="K1326">
        <f t="shared" si="350"/>
        <v>0.23399965687137891</v>
      </c>
      <c r="O1326">
        <f t="shared" si="351"/>
        <v>0.42132706433852024</v>
      </c>
      <c r="P1326">
        <f t="shared" si="352"/>
        <v>0.10043016082291439</v>
      </c>
      <c r="Q1326">
        <f t="shared" si="353"/>
        <v>0.90133084250621753</v>
      </c>
      <c r="R1326">
        <f t="shared" si="354"/>
        <v>1</v>
      </c>
      <c r="AG1326" s="8">
        <f t="shared" si="360"/>
        <v>0.73704453064551312</v>
      </c>
      <c r="AH1326" s="8">
        <f t="shared" si="361"/>
        <v>0.15884598875383382</v>
      </c>
      <c r="AI1326" s="8">
        <f t="shared" si="362"/>
        <v>0.65691195125553314</v>
      </c>
      <c r="AJ1326" s="8"/>
      <c r="AK1326" s="8"/>
      <c r="AL1326" s="8"/>
      <c r="AN1326" s="8">
        <f t="shared" si="355"/>
        <v>0.99999999999999978</v>
      </c>
      <c r="AO1326" s="8">
        <f t="shared" si="356"/>
        <v>0.21227073523448173</v>
      </c>
      <c r="AP1326" s="8">
        <f t="shared" si="357"/>
        <v>0.85408064447975962</v>
      </c>
      <c r="AQ1326" s="8"/>
      <c r="AR1326" s="8">
        <f t="shared" si="358"/>
        <v>12.162217243074741</v>
      </c>
      <c r="AS1326" s="8">
        <f t="shared" si="359"/>
        <v>41.064783707496439</v>
      </c>
    </row>
    <row r="1327" spans="1:45">
      <c r="A1327" s="20">
        <v>48.014633330000002</v>
      </c>
      <c r="B1327" s="20">
        <v>1663.669388</v>
      </c>
      <c r="C1327" s="20">
        <v>-372.90486099999998</v>
      </c>
      <c r="E1327" s="9">
        <f t="shared" si="348"/>
        <v>703.66938800000003</v>
      </c>
      <c r="F1327" s="9">
        <f t="shared" si="363"/>
        <v>167.09513900000002</v>
      </c>
      <c r="I1327">
        <v>1</v>
      </c>
      <c r="J1327">
        <f t="shared" si="349"/>
        <v>0.44853887318613384</v>
      </c>
      <c r="K1327">
        <f t="shared" si="350"/>
        <v>0.23314436580304645</v>
      </c>
      <c r="O1327">
        <f t="shared" si="351"/>
        <v>0.42191690471463972</v>
      </c>
      <c r="P1327">
        <f t="shared" si="352"/>
        <v>0.10018947113803178</v>
      </c>
      <c r="Q1327">
        <f t="shared" si="353"/>
        <v>0.90108168075324846</v>
      </c>
      <c r="R1327">
        <f t="shared" si="354"/>
        <v>1</v>
      </c>
      <c r="AG1327" s="8">
        <f t="shared" si="360"/>
        <v>0.73719893550431148</v>
      </c>
      <c r="AH1327" s="8">
        <f t="shared" si="361"/>
        <v>0.1594329522063731</v>
      </c>
      <c r="AI1327" s="8">
        <f t="shared" si="362"/>
        <v>0.65659642341553348</v>
      </c>
      <c r="AJ1327" s="8"/>
      <c r="AK1327" s="8"/>
      <c r="AL1327" s="8"/>
      <c r="AN1327" s="8">
        <f t="shared" si="355"/>
        <v>1.0000000000000002</v>
      </c>
      <c r="AO1327" s="8">
        <f t="shared" si="356"/>
        <v>0.21298835505675495</v>
      </c>
      <c r="AP1327" s="8">
        <f t="shared" si="357"/>
        <v>0.85449905831110073</v>
      </c>
      <c r="AQ1327" s="8"/>
      <c r="AR1327" s="8">
        <f t="shared" si="358"/>
        <v>12.203333830185924</v>
      </c>
      <c r="AS1327" s="8">
        <f t="shared" si="359"/>
        <v>41.040810360870701</v>
      </c>
    </row>
    <row r="1328" spans="1:45">
      <c r="A1328" s="20">
        <v>48.048000000000002</v>
      </c>
      <c r="B1328" s="20">
        <v>1663.6505460000001</v>
      </c>
      <c r="C1328" s="20">
        <v>-373.09881890000003</v>
      </c>
      <c r="E1328" s="9">
        <f t="shared" si="348"/>
        <v>703.65054600000008</v>
      </c>
      <c r="F1328" s="9">
        <f t="shared" si="363"/>
        <v>166.90118109999997</v>
      </c>
      <c r="I1328">
        <v>1</v>
      </c>
      <c r="J1328">
        <f t="shared" si="349"/>
        <v>0.4485044627561241</v>
      </c>
      <c r="K1328">
        <f t="shared" si="350"/>
        <v>0.23288943794598635</v>
      </c>
      <c r="O1328">
        <f t="shared" si="351"/>
        <v>0.42191226230047379</v>
      </c>
      <c r="P1328">
        <f t="shared" si="352"/>
        <v>0.10007475343950356</v>
      </c>
      <c r="Q1328">
        <f t="shared" si="353"/>
        <v>0.90109660228219635</v>
      </c>
      <c r="R1328">
        <f t="shared" si="354"/>
        <v>1</v>
      </c>
      <c r="AG1328" s="8">
        <f t="shared" si="360"/>
        <v>0.73727696781440388</v>
      </c>
      <c r="AH1328" s="8">
        <f t="shared" si="361"/>
        <v>0.15940501217889641</v>
      </c>
      <c r="AI1328" s="8">
        <f t="shared" si="362"/>
        <v>0.65651558612316607</v>
      </c>
      <c r="AJ1328" s="8"/>
      <c r="AK1328" s="8"/>
      <c r="AL1328" s="8"/>
      <c r="AN1328" s="8">
        <f t="shared" si="355"/>
        <v>1</v>
      </c>
      <c r="AO1328" s="8">
        <f t="shared" si="356"/>
        <v>0.21293028458110994</v>
      </c>
      <c r="AP1328" s="8">
        <f t="shared" si="357"/>
        <v>0.85460623016264214</v>
      </c>
      <c r="AQ1328" s="8"/>
      <c r="AR1328" s="8">
        <f t="shared" si="358"/>
        <v>12.200006637017147</v>
      </c>
      <c r="AS1328" s="8">
        <f t="shared" si="359"/>
        <v>41.034669866094774</v>
      </c>
    </row>
    <row r="1329" spans="1:45">
      <c r="A1329" s="20">
        <v>48.081366670000001</v>
      </c>
      <c r="B1329" s="20">
        <v>1664.423777</v>
      </c>
      <c r="C1329" s="20">
        <v>-373.62073809999998</v>
      </c>
      <c r="E1329" s="9">
        <f t="shared" si="348"/>
        <v>704.42377699999997</v>
      </c>
      <c r="F1329" s="9">
        <f t="shared" si="363"/>
        <v>166.37926190000002</v>
      </c>
      <c r="I1329">
        <v>1</v>
      </c>
      <c r="J1329">
        <f t="shared" si="349"/>
        <v>0.44884907537434404</v>
      </c>
      <c r="K1329">
        <f t="shared" si="350"/>
        <v>0.2319412786039397</v>
      </c>
      <c r="O1329">
        <f t="shared" si="351"/>
        <v>0.42230914828810562</v>
      </c>
      <c r="P1329">
        <f t="shared" si="352"/>
        <v>9.9746043049584163E-2</v>
      </c>
      <c r="Q1329">
        <f t="shared" si="353"/>
        <v>0.90094711840824782</v>
      </c>
      <c r="R1329">
        <f t="shared" si="354"/>
        <v>1</v>
      </c>
      <c r="AG1329" s="8">
        <f t="shared" si="360"/>
        <v>0.73749392138276115</v>
      </c>
      <c r="AH1329" s="8">
        <f t="shared" si="361"/>
        <v>0.15976671728591729</v>
      </c>
      <c r="AI1329" s="8">
        <f t="shared" si="362"/>
        <v>0.65618390103016044</v>
      </c>
      <c r="AJ1329" s="8"/>
      <c r="AK1329" s="8"/>
      <c r="AL1329" s="8"/>
      <c r="AN1329" s="8">
        <f t="shared" si="355"/>
        <v>0.99999999999999978</v>
      </c>
      <c r="AO1329" s="8">
        <f t="shared" si="356"/>
        <v>0.21333803466624676</v>
      </c>
      <c r="AP1329" s="8">
        <f t="shared" si="357"/>
        <v>0.85504586450089215</v>
      </c>
      <c r="AQ1329" s="8"/>
      <c r="AR1329" s="8">
        <f t="shared" si="358"/>
        <v>12.223368995991587</v>
      </c>
      <c r="AS1329" s="8">
        <f t="shared" si="359"/>
        <v>41.009480673984022</v>
      </c>
    </row>
    <row r="1330" spans="1:45">
      <c r="A1330" s="20">
        <v>48.11473333</v>
      </c>
      <c r="B1330" s="20">
        <v>1664.661971</v>
      </c>
      <c r="C1330" s="20">
        <v>-373.81129320000002</v>
      </c>
      <c r="E1330" s="9">
        <f t="shared" si="348"/>
        <v>704.66197099999999</v>
      </c>
      <c r="F1330" s="9">
        <f t="shared" si="363"/>
        <v>166.18870679999998</v>
      </c>
      <c r="I1330">
        <v>1</v>
      </c>
      <c r="J1330">
        <f t="shared" si="349"/>
        <v>0.44895155712574475</v>
      </c>
      <c r="K1330">
        <f t="shared" si="350"/>
        <v>0.23160950037268482</v>
      </c>
      <c r="O1330">
        <f t="shared" si="351"/>
        <v>0.42243208163678175</v>
      </c>
      <c r="P1330">
        <f t="shared" si="352"/>
        <v>9.9627118032808923E-2</v>
      </c>
      <c r="Q1330">
        <f t="shared" si="353"/>
        <v>0.90090264388361752</v>
      </c>
      <c r="R1330">
        <f t="shared" si="354"/>
        <v>1</v>
      </c>
      <c r="AG1330" s="8">
        <f t="shared" si="360"/>
        <v>0.7375726941224271</v>
      </c>
      <c r="AH1330" s="8">
        <f t="shared" si="361"/>
        <v>0.15987535316762824</v>
      </c>
      <c r="AI1330" s="8">
        <f t="shared" si="362"/>
        <v>0.65606889297886306</v>
      </c>
      <c r="AJ1330" s="8"/>
      <c r="AK1330" s="8"/>
      <c r="AL1330" s="8"/>
      <c r="AN1330" s="8">
        <f t="shared" si="355"/>
        <v>1</v>
      </c>
      <c r="AO1330" s="8">
        <f t="shared" si="356"/>
        <v>0.21345661809164374</v>
      </c>
      <c r="AP1330" s="8">
        <f t="shared" si="357"/>
        <v>0.85519826349023564</v>
      </c>
      <c r="AQ1330" s="8"/>
      <c r="AR1330" s="8">
        <f t="shared" si="358"/>
        <v>12.230163325787039</v>
      </c>
      <c r="AS1330" s="8">
        <f t="shared" si="359"/>
        <v>41.000748855092581</v>
      </c>
    </row>
    <row r="1331" spans="1:45">
      <c r="A1331" s="20">
        <v>48.148099999999999</v>
      </c>
      <c r="B1331" s="20">
        <v>1665.1188440000001</v>
      </c>
      <c r="C1331" s="20">
        <v>-373.85417819999998</v>
      </c>
      <c r="E1331" s="9">
        <f t="shared" si="348"/>
        <v>705.11884400000008</v>
      </c>
      <c r="F1331" s="9">
        <f t="shared" si="363"/>
        <v>166.14582180000002</v>
      </c>
      <c r="I1331">
        <v>1</v>
      </c>
      <c r="J1331">
        <f t="shared" si="349"/>
        <v>0.44918849290877277</v>
      </c>
      <c r="K1331">
        <f t="shared" si="350"/>
        <v>0.23140711676085346</v>
      </c>
      <c r="O1331">
        <f t="shared" si="351"/>
        <v>0.42265999034645163</v>
      </c>
      <c r="P1331">
        <f t="shared" si="352"/>
        <v>9.9590575454953062E-2</v>
      </c>
      <c r="Q1331">
        <f t="shared" si="353"/>
        <v>0.90079978343741218</v>
      </c>
      <c r="R1331">
        <f t="shared" si="354"/>
        <v>1</v>
      </c>
      <c r="AG1331" s="8">
        <f t="shared" si="360"/>
        <v>0.73759375883508183</v>
      </c>
      <c r="AH1331" s="8">
        <f t="shared" si="361"/>
        <v>0.16011352926154504</v>
      </c>
      <c r="AI1331" s="8">
        <f t="shared" si="362"/>
        <v>0.65598712233926315</v>
      </c>
      <c r="AJ1331" s="8"/>
      <c r="AK1331" s="8"/>
      <c r="AL1331" s="8"/>
      <c r="AN1331" s="8">
        <f t="shared" si="355"/>
        <v>0.99999999999999978</v>
      </c>
      <c r="AO1331" s="8">
        <f t="shared" si="356"/>
        <v>0.21375910442429383</v>
      </c>
      <c r="AP1331" s="8">
        <f t="shared" si="357"/>
        <v>0.85530660677931336</v>
      </c>
      <c r="AQ1331" s="8"/>
      <c r="AR1331" s="8">
        <f t="shared" si="358"/>
        <v>12.247494516008279</v>
      </c>
      <c r="AS1331" s="8">
        <f t="shared" si="359"/>
        <v>40.994541241889863</v>
      </c>
    </row>
    <row r="1332" spans="1:45">
      <c r="A1332" s="20">
        <v>48.181466669999999</v>
      </c>
      <c r="B1332" s="20">
        <v>1665.5200609999999</v>
      </c>
      <c r="C1332" s="20">
        <v>-373.89256289999997</v>
      </c>
      <c r="E1332" s="9">
        <f t="shared" si="348"/>
        <v>705.52006099999994</v>
      </c>
      <c r="F1332" s="9">
        <f t="shared" si="363"/>
        <v>166.10743710000003</v>
      </c>
      <c r="I1332">
        <v>1</v>
      </c>
      <c r="J1332">
        <f t="shared" si="349"/>
        <v>0.44939644468902074</v>
      </c>
      <c r="K1332">
        <f t="shared" si="350"/>
        <v>0.23122861547639509</v>
      </c>
      <c r="O1332">
        <f t="shared" si="351"/>
        <v>0.42286008894269767</v>
      </c>
      <c r="P1332">
        <f t="shared" si="352"/>
        <v>9.9558055835565498E-2</v>
      </c>
      <c r="Q1332">
        <f t="shared" si="353"/>
        <v>0.90070946408795782</v>
      </c>
      <c r="R1332">
        <f t="shared" si="354"/>
        <v>1</v>
      </c>
      <c r="AG1332" s="8">
        <f t="shared" si="360"/>
        <v>0.7376125065595881</v>
      </c>
      <c r="AH1332" s="8">
        <f t="shared" si="361"/>
        <v>0.1603225718397906</v>
      </c>
      <c r="AI1332" s="8">
        <f t="shared" si="362"/>
        <v>0.65591498162914119</v>
      </c>
      <c r="AJ1332" s="8"/>
      <c r="AK1332" s="8"/>
      <c r="AL1332" s="8"/>
      <c r="AN1332" s="8">
        <f t="shared" si="355"/>
        <v>0.99999999999999989</v>
      </c>
      <c r="AO1332" s="8">
        <f t="shared" si="356"/>
        <v>0.21402447084767251</v>
      </c>
      <c r="AP1332" s="8">
        <f t="shared" si="357"/>
        <v>0.85540218227271791</v>
      </c>
      <c r="AQ1332" s="8"/>
      <c r="AR1332" s="8">
        <f t="shared" si="358"/>
        <v>12.262698892092359</v>
      </c>
      <c r="AS1332" s="8">
        <f t="shared" si="359"/>
        <v>40.989065169492896</v>
      </c>
    </row>
    <row r="1333" spans="1:45">
      <c r="A1333" s="20">
        <v>48.214833329999998</v>
      </c>
      <c r="B1333" s="20">
        <v>1665.7942840000001</v>
      </c>
      <c r="C1333" s="20">
        <v>-373.99668910000003</v>
      </c>
      <c r="E1333" s="9">
        <f t="shared" si="348"/>
        <v>705.79428400000006</v>
      </c>
      <c r="F1333" s="9">
        <f t="shared" si="363"/>
        <v>166.00331089999997</v>
      </c>
      <c r="I1333">
        <v>1</v>
      </c>
      <c r="J1333">
        <f t="shared" si="349"/>
        <v>0.44952884406819088</v>
      </c>
      <c r="K1333">
        <f t="shared" si="350"/>
        <v>0.23100214997777585</v>
      </c>
      <c r="O1333">
        <f t="shared" si="351"/>
        <v>0.42299870655568284</v>
      </c>
      <c r="P1333">
        <f t="shared" si="352"/>
        <v>9.9489592628467474E-2</v>
      </c>
      <c r="Q1333">
        <f t="shared" si="353"/>
        <v>0.90065193899243945</v>
      </c>
      <c r="R1333">
        <f t="shared" si="354"/>
        <v>1</v>
      </c>
      <c r="AG1333" s="8">
        <f t="shared" si="360"/>
        <v>0.73765666548874087</v>
      </c>
      <c r="AH1333" s="8">
        <f t="shared" si="361"/>
        <v>0.16045821674420568</v>
      </c>
      <c r="AI1333" s="8">
        <f t="shared" si="362"/>
        <v>0.6558321466193171</v>
      </c>
      <c r="AJ1333" s="8"/>
      <c r="AK1333" s="8"/>
      <c r="AL1333" s="8"/>
      <c r="AN1333" s="8">
        <f t="shared" si="355"/>
        <v>1</v>
      </c>
      <c r="AO1333" s="8">
        <f t="shared" si="356"/>
        <v>0.21418763131224516</v>
      </c>
      <c r="AP1333" s="8">
        <f t="shared" si="357"/>
        <v>0.85551191630149348</v>
      </c>
      <c r="AQ1333" s="8"/>
      <c r="AR1333" s="8">
        <f t="shared" si="358"/>
        <v>12.272047298095766</v>
      </c>
      <c r="AS1333" s="8">
        <f t="shared" si="359"/>
        <v>40.982777872775088</v>
      </c>
    </row>
    <row r="1334" spans="1:45">
      <c r="A1334" s="20">
        <v>48.248199999999997</v>
      </c>
      <c r="B1334" s="20">
        <v>1666.478799</v>
      </c>
      <c r="C1334" s="20">
        <v>-374.38638570000001</v>
      </c>
      <c r="E1334" s="9">
        <f t="shared" si="348"/>
        <v>706.47879899999998</v>
      </c>
      <c r="F1334" s="9">
        <f t="shared" si="363"/>
        <v>165.61361429999999</v>
      </c>
      <c r="I1334">
        <v>1</v>
      </c>
      <c r="J1334">
        <f t="shared" si="349"/>
        <v>0.44984322232271523</v>
      </c>
      <c r="K1334">
        <f t="shared" si="350"/>
        <v>0.23026338980698269</v>
      </c>
      <c r="O1334">
        <f t="shared" si="351"/>
        <v>0.42334774129095754</v>
      </c>
      <c r="P1334">
        <f t="shared" si="352"/>
        <v>9.9241689404096084E-2</v>
      </c>
      <c r="Q1334">
        <f t="shared" si="353"/>
        <v>0.90051528417238169</v>
      </c>
      <c r="R1334">
        <f t="shared" si="354"/>
        <v>1</v>
      </c>
      <c r="AG1334" s="8">
        <f t="shared" si="360"/>
        <v>0.73781902769153662</v>
      </c>
      <c r="AH1334" s="8">
        <f t="shared" si="361"/>
        <v>0.1607847218201619</v>
      </c>
      <c r="AI1334" s="8">
        <f t="shared" si="362"/>
        <v>0.65556948953221461</v>
      </c>
      <c r="AJ1334" s="8"/>
      <c r="AK1334" s="8"/>
      <c r="AL1334" s="8"/>
      <c r="AN1334" s="8">
        <f t="shared" si="355"/>
        <v>0.99999999999999978</v>
      </c>
      <c r="AO1334" s="8">
        <f t="shared" si="356"/>
        <v>0.21456442964911951</v>
      </c>
      <c r="AP1334" s="8">
        <f t="shared" si="357"/>
        <v>0.85585979689604408</v>
      </c>
      <c r="AQ1334" s="8"/>
      <c r="AR1334" s="8">
        <f t="shared" si="358"/>
        <v>12.293636252526214</v>
      </c>
      <c r="AS1334" s="8">
        <f t="shared" si="359"/>
        <v>40.962845782932838</v>
      </c>
    </row>
    <row r="1335" spans="1:45">
      <c r="A1335" s="20">
        <v>48.281566669999997</v>
      </c>
      <c r="B1335" s="20">
        <v>1667.0281709999999</v>
      </c>
      <c r="C1335" s="20">
        <v>-374.75481810000002</v>
      </c>
      <c r="E1335" s="9">
        <f t="shared" si="348"/>
        <v>707.02817099999993</v>
      </c>
      <c r="F1335" s="9">
        <f t="shared" si="363"/>
        <v>165.24518189999998</v>
      </c>
      <c r="I1335">
        <v>1</v>
      </c>
      <c r="J1335">
        <f t="shared" si="349"/>
        <v>0.45008872335004058</v>
      </c>
      <c r="K1335">
        <f t="shared" si="350"/>
        <v>0.22959666948990343</v>
      </c>
      <c r="O1335">
        <f t="shared" si="351"/>
        <v>0.42362907685473561</v>
      </c>
      <c r="P1335">
        <f t="shared" si="352"/>
        <v>9.9009723705888744E-2</v>
      </c>
      <c r="Q1335">
        <f t="shared" si="353"/>
        <v>0.90040850720930443</v>
      </c>
      <c r="R1335">
        <f t="shared" si="354"/>
        <v>1</v>
      </c>
      <c r="AG1335" s="8">
        <f t="shared" si="360"/>
        <v>0.7379715970545343</v>
      </c>
      <c r="AH1335" s="8">
        <f t="shared" si="361"/>
        <v>0.16104152592461085</v>
      </c>
      <c r="AI1335" s="8">
        <f t="shared" si="362"/>
        <v>0.65533468462202804</v>
      </c>
      <c r="AJ1335" s="8"/>
      <c r="AK1335" s="8"/>
      <c r="AL1335" s="8"/>
      <c r="AN1335" s="8">
        <f t="shared" si="355"/>
        <v>1</v>
      </c>
      <c r="AO1335" s="8">
        <f t="shared" si="356"/>
        <v>0.21485361125366567</v>
      </c>
      <c r="AP1335" s="8">
        <f t="shared" si="357"/>
        <v>0.85617069928604872</v>
      </c>
      <c r="AQ1335" s="8"/>
      <c r="AR1335" s="8">
        <f t="shared" si="358"/>
        <v>12.310205137979532</v>
      </c>
      <c r="AS1335" s="8">
        <f t="shared" si="359"/>
        <v>40.945032388145044</v>
      </c>
    </row>
    <row r="1336" spans="1:45">
      <c r="A1336" s="20">
        <v>48.314933330000002</v>
      </c>
      <c r="B1336" s="20">
        <v>1667.520012</v>
      </c>
      <c r="C1336" s="20">
        <v>-375.09995129999999</v>
      </c>
      <c r="E1336" s="9">
        <f t="shared" si="348"/>
        <v>707.52001199999995</v>
      </c>
      <c r="F1336" s="9">
        <f t="shared" si="363"/>
        <v>164.90004870000001</v>
      </c>
      <c r="I1336">
        <v>1</v>
      </c>
      <c r="J1336">
        <f t="shared" si="349"/>
        <v>0.45030672766508067</v>
      </c>
      <c r="K1336">
        <f t="shared" si="350"/>
        <v>0.22897998296872338</v>
      </c>
      <c r="O1336">
        <f t="shared" si="351"/>
        <v>0.42388121357560138</v>
      </c>
      <c r="P1336">
        <f t="shared" si="352"/>
        <v>9.8793011612556034E-2</v>
      </c>
      <c r="Q1336">
        <f t="shared" si="353"/>
        <v>0.90031364403423142</v>
      </c>
      <c r="R1336">
        <f t="shared" si="354"/>
        <v>1</v>
      </c>
      <c r="AG1336" s="8">
        <f t="shared" si="360"/>
        <v>0.73811421783034592</v>
      </c>
      <c r="AH1336" s="8">
        <f t="shared" si="361"/>
        <v>0.16126995530526239</v>
      </c>
      <c r="AI1336" s="8">
        <f t="shared" si="362"/>
        <v>0.65511785424649771</v>
      </c>
      <c r="AJ1336" s="8"/>
      <c r="AK1336" s="8"/>
      <c r="AL1336" s="8"/>
      <c r="AN1336" s="8">
        <f t="shared" si="355"/>
        <v>1</v>
      </c>
      <c r="AO1336" s="8">
        <f t="shared" si="356"/>
        <v>0.21510875758813255</v>
      </c>
      <c r="AP1336" s="8">
        <f t="shared" si="357"/>
        <v>0.8564577273473799</v>
      </c>
      <c r="AQ1336" s="8"/>
      <c r="AR1336" s="8">
        <f t="shared" si="358"/>
        <v>12.324823946102716</v>
      </c>
      <c r="AS1336" s="8">
        <f t="shared" si="359"/>
        <v>40.928586891628946</v>
      </c>
    </row>
    <row r="1337" spans="1:45">
      <c r="A1337" s="20">
        <v>48.348300000000002</v>
      </c>
      <c r="B1337" s="20">
        <v>1668.395033</v>
      </c>
      <c r="C1337" s="20">
        <v>-375.67951069999998</v>
      </c>
      <c r="E1337" s="9">
        <f t="shared" ref="E1337:E1400" si="364">(B1337-($B$15/2))</f>
        <v>708.39503300000001</v>
      </c>
      <c r="F1337" s="9">
        <f t="shared" si="363"/>
        <v>164.32048930000002</v>
      </c>
      <c r="I1337">
        <v>1</v>
      </c>
      <c r="J1337">
        <f t="shared" ref="J1337:J1400" si="365">ATAN((SQRT(E1337^2+F1337^2)^$B$16)/($F$24))</f>
        <v>0.45069906888983635</v>
      </c>
      <c r="K1337">
        <f t="shared" ref="K1337:K1400" si="366">ATAN2(E1337,F1337)</f>
        <v>0.22793069174988659</v>
      </c>
      <c r="O1337">
        <f t="shared" ref="O1337:O1400" si="367">COS(K1337)*SIN(J1337)</f>
        <v>0.42432870444205867</v>
      </c>
      <c r="P1337">
        <f t="shared" ref="P1337:P1400" si="368">SIN(K1337)*SIN(J1337)</f>
        <v>9.8427991572259052E-2</v>
      </c>
      <c r="Q1337">
        <f t="shared" ref="Q1337:Q1400" si="369">COS(J1337)</f>
        <v>0.90014281148136455</v>
      </c>
      <c r="R1337">
        <f t="shared" ref="R1337:R1400" si="370">SQRT(O1337^2+P1337^2+Q1337^2)</f>
        <v>1</v>
      </c>
      <c r="AG1337" s="8">
        <f t="shared" si="360"/>
        <v>0.73835380763379832</v>
      </c>
      <c r="AH1337" s="8">
        <f t="shared" si="361"/>
        <v>0.16167937278472094</v>
      </c>
      <c r="AI1337" s="8">
        <f t="shared" si="362"/>
        <v>0.65474684815477457</v>
      </c>
      <c r="AJ1337" s="8"/>
      <c r="AK1337" s="8"/>
      <c r="AL1337" s="8"/>
      <c r="AN1337" s="8">
        <f t="shared" ref="AN1337:AN1400" si="371">AG1337^2+AH1337^2+AI1337^2</f>
        <v>1.0000000000000002</v>
      </c>
      <c r="AO1337" s="8">
        <f t="shared" ref="AO1337:AO1400" si="372">IF(ATAN2(AG1337,AH1337)&gt;=0,ATAN2(AG1337,AH1337),ATAN2(AG1337,AH1337)+2*PI())</f>
        <v>0.21557027933060302</v>
      </c>
      <c r="AP1337" s="8">
        <f t="shared" ref="AP1337:AP1400" si="373">ACOS(AI1337/AN1337)</f>
        <v>0.85694867909409733</v>
      </c>
      <c r="AQ1337" s="8"/>
      <c r="AR1337" s="8">
        <f t="shared" ref="AR1337:AR1400" si="374">DEGREES(AO1337)</f>
        <v>12.351267194099798</v>
      </c>
      <c r="AS1337" s="8">
        <f t="shared" ref="AS1337:AS1400" si="375">90-DEGREES(AP1337)</f>
        <v>40.900457428597463</v>
      </c>
    </row>
    <row r="1338" spans="1:45">
      <c r="A1338" s="20">
        <v>48.381666670000001</v>
      </c>
      <c r="B1338" s="20">
        <v>1668.960499</v>
      </c>
      <c r="C1338" s="20">
        <v>-376.37214139999998</v>
      </c>
      <c r="E1338" s="9">
        <f t="shared" si="364"/>
        <v>708.96049900000003</v>
      </c>
      <c r="F1338" s="9">
        <f t="shared" si="363"/>
        <v>163.62785860000002</v>
      </c>
      <c r="I1338">
        <v>1</v>
      </c>
      <c r="J1338">
        <f t="shared" si="365"/>
        <v>0.45091381981733092</v>
      </c>
      <c r="K1338">
        <f t="shared" si="366"/>
        <v>0.22682776060157966</v>
      </c>
      <c r="O1338">
        <f t="shared" si="367"/>
        <v>0.42462535073888241</v>
      </c>
      <c r="P1338">
        <f t="shared" si="368"/>
        <v>9.800339644688337E-2</v>
      </c>
      <c r="Q1338">
        <f t="shared" si="369"/>
        <v>0.90004924631642025</v>
      </c>
      <c r="R1338">
        <f t="shared" si="370"/>
        <v>1</v>
      </c>
      <c r="AG1338" s="8">
        <f t="shared" si="360"/>
        <v>0.73863628922863167</v>
      </c>
      <c r="AH1338" s="8">
        <f t="shared" si="361"/>
        <v>0.16191443388671806</v>
      </c>
      <c r="AI1338" s="8">
        <f t="shared" si="362"/>
        <v>0.65437003930016613</v>
      </c>
      <c r="AJ1338" s="8"/>
      <c r="AK1338" s="8"/>
      <c r="AL1338" s="8"/>
      <c r="AN1338" s="8">
        <f t="shared" si="371"/>
        <v>1.0000000000000002</v>
      </c>
      <c r="AO1338" s="8">
        <f t="shared" si="372"/>
        <v>0.21579403247158663</v>
      </c>
      <c r="AP1338" s="8">
        <f t="shared" si="373"/>
        <v>0.85744709600293401</v>
      </c>
      <c r="AQ1338" s="8"/>
      <c r="AR1338" s="8">
        <f t="shared" si="374"/>
        <v>12.364087304730955</v>
      </c>
      <c r="AS1338" s="8">
        <f t="shared" si="375"/>
        <v>40.871900243283164</v>
      </c>
    </row>
    <row r="1339" spans="1:45">
      <c r="A1339" s="20">
        <v>48.41503333</v>
      </c>
      <c r="B1339" s="20">
        <v>1669.056599</v>
      </c>
      <c r="C1339" s="20">
        <v>-376.37614380000002</v>
      </c>
      <c r="E1339" s="9">
        <f t="shared" si="364"/>
        <v>709.05659900000001</v>
      </c>
      <c r="F1339" s="9">
        <f t="shared" si="363"/>
        <v>163.62385619999998</v>
      </c>
      <c r="I1339">
        <v>1</v>
      </c>
      <c r="J1339">
        <f t="shared" si="365"/>
        <v>0.4509642617926794</v>
      </c>
      <c r="K1339">
        <f t="shared" si="366"/>
        <v>0.22679270233207283</v>
      </c>
      <c r="O1339">
        <f t="shared" si="367"/>
        <v>0.42467302344539892</v>
      </c>
      <c r="P1339">
        <f t="shared" si="368"/>
        <v>9.7998718040630178E-2</v>
      </c>
      <c r="Q1339">
        <f t="shared" si="369"/>
        <v>0.90002726315380954</v>
      </c>
      <c r="R1339">
        <f t="shared" si="370"/>
        <v>1</v>
      </c>
      <c r="AG1339" s="8">
        <f t="shared" si="360"/>
        <v>0.73863857939406086</v>
      </c>
      <c r="AH1339" s="8">
        <f t="shared" si="361"/>
        <v>0.16196488639421447</v>
      </c>
      <c r="AI1339" s="8">
        <f t="shared" si="362"/>
        <v>0.65435496835130169</v>
      </c>
      <c r="AJ1339" s="8"/>
      <c r="AK1339" s="8"/>
      <c r="AL1339" s="8"/>
      <c r="AN1339" s="8">
        <f t="shared" si="371"/>
        <v>1.0000000000000002</v>
      </c>
      <c r="AO1339" s="8">
        <f t="shared" si="372"/>
        <v>0.21585855610810159</v>
      </c>
      <c r="AP1339" s="8">
        <f t="shared" si="373"/>
        <v>0.85746702634864358</v>
      </c>
      <c r="AQ1339" s="8"/>
      <c r="AR1339" s="8">
        <f t="shared" si="374"/>
        <v>12.367784236782098</v>
      </c>
      <c r="AS1339" s="8">
        <f t="shared" si="375"/>
        <v>40.870758318589765</v>
      </c>
    </row>
    <row r="1340" spans="1:45">
      <c r="A1340" s="20">
        <v>48.448399999999999</v>
      </c>
      <c r="B1340" s="20">
        <v>1669.7297610000001</v>
      </c>
      <c r="C1340" s="20">
        <v>-376.37384259999999</v>
      </c>
      <c r="E1340" s="9">
        <f t="shared" si="364"/>
        <v>709.72976100000005</v>
      </c>
      <c r="F1340" s="9">
        <f t="shared" si="363"/>
        <v>163.62615740000001</v>
      </c>
      <c r="I1340">
        <v>1</v>
      </c>
      <c r="J1340">
        <f t="shared" si="365"/>
        <v>0.45132124960120013</v>
      </c>
      <c r="K1340">
        <f t="shared" si="366"/>
        <v>0.22658796406500545</v>
      </c>
      <c r="O1340">
        <f t="shared" si="367"/>
        <v>0.42500613747613686</v>
      </c>
      <c r="P1340">
        <f t="shared" si="368"/>
        <v>9.79839439854579E-2</v>
      </c>
      <c r="Q1340">
        <f t="shared" si="369"/>
        <v>0.89987161852603714</v>
      </c>
      <c r="R1340">
        <f t="shared" si="370"/>
        <v>1</v>
      </c>
      <c r="AG1340" s="8">
        <f t="shared" si="360"/>
        <v>0.73864237295486901</v>
      </c>
      <c r="AH1340" s="8">
        <f t="shared" si="361"/>
        <v>0.162321020221463</v>
      </c>
      <c r="AI1340" s="8">
        <f t="shared" si="362"/>
        <v>0.65426243302658271</v>
      </c>
      <c r="AJ1340" s="8"/>
      <c r="AK1340" s="8"/>
      <c r="AL1340" s="8"/>
      <c r="AN1340" s="8">
        <f t="shared" si="371"/>
        <v>1</v>
      </c>
      <c r="AO1340" s="8">
        <f t="shared" si="372"/>
        <v>0.21631746307329511</v>
      </c>
      <c r="AP1340" s="8">
        <f t="shared" si="373"/>
        <v>0.85758939073955354</v>
      </c>
      <c r="AQ1340" s="8"/>
      <c r="AR1340" s="8">
        <f t="shared" si="374"/>
        <v>12.394077669076843</v>
      </c>
      <c r="AS1340" s="8">
        <f t="shared" si="375"/>
        <v>40.86374735542794</v>
      </c>
    </row>
    <row r="1341" spans="1:45">
      <c r="A1341" s="20">
        <v>48.481766669999999</v>
      </c>
      <c r="B1341" s="20">
        <v>1670.321907</v>
      </c>
      <c r="C1341" s="20">
        <v>-377.0123322</v>
      </c>
      <c r="E1341" s="9">
        <f t="shared" si="364"/>
        <v>710.32190700000001</v>
      </c>
      <c r="F1341" s="9">
        <f t="shared" si="363"/>
        <v>162.9876678</v>
      </c>
      <c r="I1341">
        <v>1</v>
      </c>
      <c r="J1341">
        <f t="shared" si="365"/>
        <v>0.4515571762753296</v>
      </c>
      <c r="K1341">
        <f t="shared" si="366"/>
        <v>0.22555171764203491</v>
      </c>
      <c r="O1341">
        <f t="shared" si="367"/>
        <v>0.42531435919827465</v>
      </c>
      <c r="P1341">
        <f t="shared" si="368"/>
        <v>9.7590958133828551E-2</v>
      </c>
      <c r="Q1341">
        <f t="shared" si="369"/>
        <v>0.89976869291517492</v>
      </c>
      <c r="R1341">
        <f t="shared" si="370"/>
        <v>1</v>
      </c>
      <c r="AG1341" s="8">
        <f t="shared" si="360"/>
        <v>0.73890287704135194</v>
      </c>
      <c r="AH1341" s="8">
        <f t="shared" si="361"/>
        <v>0.1625749889456426</v>
      </c>
      <c r="AI1341" s="8">
        <f t="shared" si="362"/>
        <v>0.65390512405802181</v>
      </c>
      <c r="AJ1341" s="8"/>
      <c r="AK1341" s="8"/>
      <c r="AL1341" s="8"/>
      <c r="AN1341" s="8">
        <f t="shared" si="371"/>
        <v>1</v>
      </c>
      <c r="AO1341" s="8">
        <f t="shared" si="372"/>
        <v>0.21657141849506761</v>
      </c>
      <c r="AP1341" s="8">
        <f t="shared" si="373"/>
        <v>0.85806175791912065</v>
      </c>
      <c r="AQ1341" s="8"/>
      <c r="AR1341" s="8">
        <f t="shared" si="374"/>
        <v>12.408628242928874</v>
      </c>
      <c r="AS1341" s="8">
        <f t="shared" si="375"/>
        <v>40.836682709658241</v>
      </c>
    </row>
    <row r="1342" spans="1:45">
      <c r="A1342" s="20">
        <v>48.515133329999998</v>
      </c>
      <c r="B1342" s="20">
        <v>1670.966553</v>
      </c>
      <c r="C1342" s="20">
        <v>-377.61259999999999</v>
      </c>
      <c r="E1342" s="9">
        <f t="shared" si="364"/>
        <v>710.96655299999998</v>
      </c>
      <c r="F1342" s="9">
        <f t="shared" si="363"/>
        <v>162.38740000000001</v>
      </c>
      <c r="I1342">
        <v>1</v>
      </c>
      <c r="J1342">
        <f t="shared" si="365"/>
        <v>0.45182591582404608</v>
      </c>
      <c r="K1342">
        <f t="shared" si="366"/>
        <v>0.22455177356483097</v>
      </c>
      <c r="O1342">
        <f t="shared" si="367"/>
        <v>0.42564744940279592</v>
      </c>
      <c r="P1342">
        <f t="shared" si="368"/>
        <v>9.7219457558858732E-2</v>
      </c>
      <c r="Q1342">
        <f t="shared" si="369"/>
        <v>0.89965139131157668</v>
      </c>
      <c r="R1342">
        <f t="shared" si="370"/>
        <v>1</v>
      </c>
      <c r="AG1342" s="8">
        <f t="shared" si="360"/>
        <v>0.73914813383315292</v>
      </c>
      <c r="AH1342" s="8">
        <f t="shared" si="361"/>
        <v>0.16286013170193164</v>
      </c>
      <c r="AI1342" s="8">
        <f t="shared" si="362"/>
        <v>0.65355689404442596</v>
      </c>
      <c r="AJ1342" s="8"/>
      <c r="AK1342" s="8"/>
      <c r="AL1342" s="8"/>
      <c r="AN1342" s="8">
        <f t="shared" si="371"/>
        <v>1</v>
      </c>
      <c r="AO1342" s="8">
        <f t="shared" si="372"/>
        <v>0.21686972366120086</v>
      </c>
      <c r="AP1342" s="8">
        <f t="shared" si="373"/>
        <v>0.85852193711043157</v>
      </c>
      <c r="AQ1342" s="8"/>
      <c r="AR1342" s="8">
        <f t="shared" si="374"/>
        <v>12.425719869955257</v>
      </c>
      <c r="AS1342" s="8">
        <f t="shared" si="375"/>
        <v>40.810316384176382</v>
      </c>
    </row>
    <row r="1343" spans="1:45">
      <c r="A1343" s="20">
        <v>48.548499999999997</v>
      </c>
      <c r="B1343" s="20">
        <v>1671.467807</v>
      </c>
      <c r="C1343" s="20">
        <v>-377.57843029999998</v>
      </c>
      <c r="E1343" s="9">
        <f t="shared" si="364"/>
        <v>711.46780699999999</v>
      </c>
      <c r="F1343" s="9">
        <f t="shared" si="363"/>
        <v>162.42156970000002</v>
      </c>
      <c r="I1343">
        <v>1</v>
      </c>
      <c r="J1343">
        <f t="shared" si="365"/>
        <v>0.4520955901021424</v>
      </c>
      <c r="K1343">
        <f t="shared" si="366"/>
        <v>0.22444447690948544</v>
      </c>
      <c r="O1343">
        <f t="shared" si="367"/>
        <v>0.42589439039392779</v>
      </c>
      <c r="P1343">
        <f t="shared" si="368"/>
        <v>9.7227779997368688E-2</v>
      </c>
      <c r="Q1343">
        <f t="shared" si="369"/>
        <v>0.89953361639672358</v>
      </c>
      <c r="R1343">
        <f t="shared" si="370"/>
        <v>1</v>
      </c>
      <c r="AG1343" s="8">
        <f t="shared" si="360"/>
        <v>0.73913766320689822</v>
      </c>
      <c r="AH1343" s="8">
        <f t="shared" si="361"/>
        <v>0.16312806350227793</v>
      </c>
      <c r="AI1343" s="8">
        <f t="shared" si="362"/>
        <v>0.65350191256571133</v>
      </c>
      <c r="AJ1343" s="8"/>
      <c r="AK1343" s="8"/>
      <c r="AL1343" s="8"/>
      <c r="AN1343" s="8">
        <f t="shared" si="371"/>
        <v>1</v>
      </c>
      <c r="AO1343" s="8">
        <f t="shared" si="372"/>
        <v>0.2172183827289719</v>
      </c>
      <c r="AP1343" s="8">
        <f t="shared" si="373"/>
        <v>0.85859457734922928</v>
      </c>
      <c r="AQ1343" s="8"/>
      <c r="AR1343" s="8">
        <f t="shared" si="374"/>
        <v>12.445696563027504</v>
      </c>
      <c r="AS1343" s="8">
        <f t="shared" si="375"/>
        <v>40.806154405070451</v>
      </c>
    </row>
    <row r="1344" spans="1:45">
      <c r="A1344" s="20">
        <v>48.581866669999997</v>
      </c>
      <c r="B1344" s="20">
        <v>1671.9830119999999</v>
      </c>
      <c r="C1344" s="20">
        <v>-377.60029539999999</v>
      </c>
      <c r="E1344" s="9">
        <f t="shared" si="364"/>
        <v>711.98301199999992</v>
      </c>
      <c r="F1344" s="9">
        <f t="shared" si="363"/>
        <v>162.39970460000001</v>
      </c>
      <c r="I1344">
        <v>1</v>
      </c>
      <c r="J1344">
        <f t="shared" si="365"/>
        <v>0.45236581820353072</v>
      </c>
      <c r="K1344">
        <f t="shared" si="366"/>
        <v>0.22425826731375711</v>
      </c>
      <c r="O1344">
        <f t="shared" si="367"/>
        <v>0.42614946459437431</v>
      </c>
      <c r="P1344">
        <f t="shared" si="368"/>
        <v>9.7202525901804185E-2</v>
      </c>
      <c r="Q1344">
        <f t="shared" si="369"/>
        <v>0.89941553399095642</v>
      </c>
      <c r="R1344">
        <f t="shared" si="370"/>
        <v>1</v>
      </c>
      <c r="AG1344" s="8">
        <f t="shared" si="360"/>
        <v>0.7391497125137223</v>
      </c>
      <c r="AH1344" s="8">
        <f t="shared" si="361"/>
        <v>0.16339810447844855</v>
      </c>
      <c r="AI1344" s="8">
        <f t="shared" si="362"/>
        <v>0.65342081535847307</v>
      </c>
      <c r="AJ1344" s="8"/>
      <c r="AK1344" s="8"/>
      <c r="AL1344" s="8"/>
      <c r="AN1344" s="8">
        <f t="shared" si="371"/>
        <v>1</v>
      </c>
      <c r="AO1344" s="8">
        <f t="shared" si="372"/>
        <v>0.21756329710162203</v>
      </c>
      <c r="AP1344" s="8">
        <f t="shared" si="373"/>
        <v>0.85870171276090135</v>
      </c>
      <c r="AQ1344" s="8"/>
      <c r="AR1344" s="8">
        <f t="shared" si="374"/>
        <v>12.465458700873759</v>
      </c>
      <c r="AS1344" s="8">
        <f t="shared" si="375"/>
        <v>40.800015998145248</v>
      </c>
    </row>
    <row r="1345" spans="1:45">
      <c r="A1345" s="20">
        <v>48.615233330000002</v>
      </c>
      <c r="B1345" s="20">
        <v>1672.7498889999999</v>
      </c>
      <c r="C1345" s="20">
        <v>-378.2193934</v>
      </c>
      <c r="E1345" s="9">
        <f t="shared" si="364"/>
        <v>712.74988899999994</v>
      </c>
      <c r="F1345" s="9">
        <f t="shared" si="363"/>
        <v>161.7806066</v>
      </c>
      <c r="I1345">
        <v>1</v>
      </c>
      <c r="J1345">
        <f t="shared" si="365"/>
        <v>0.45269732687300579</v>
      </c>
      <c r="K1345">
        <f t="shared" si="366"/>
        <v>0.22319908349180959</v>
      </c>
      <c r="O1345">
        <f t="shared" si="367"/>
        <v>0.42654292533398952</v>
      </c>
      <c r="P1345">
        <f t="shared" si="368"/>
        <v>9.6817094280138613E-2</v>
      </c>
      <c r="Q1345">
        <f t="shared" si="369"/>
        <v>0.89927058391936376</v>
      </c>
      <c r="R1345">
        <f t="shared" si="370"/>
        <v>1</v>
      </c>
      <c r="AG1345" s="8">
        <f t="shared" si="360"/>
        <v>0.73940279850468493</v>
      </c>
      <c r="AH1345" s="8">
        <f t="shared" si="361"/>
        <v>0.16374573544062337</v>
      </c>
      <c r="AI1345" s="8">
        <f t="shared" si="362"/>
        <v>0.65304734567139133</v>
      </c>
      <c r="AJ1345" s="8"/>
      <c r="AK1345" s="8"/>
      <c r="AL1345" s="8"/>
      <c r="AN1345" s="8">
        <f t="shared" si="371"/>
        <v>1</v>
      </c>
      <c r="AO1345" s="8">
        <f t="shared" si="372"/>
        <v>0.2179393709627957</v>
      </c>
      <c r="AP1345" s="8">
        <f t="shared" si="373"/>
        <v>0.85919496605387335</v>
      </c>
      <c r="AQ1345" s="8"/>
      <c r="AR1345" s="8">
        <f t="shared" si="374"/>
        <v>12.487006145904198</v>
      </c>
      <c r="AS1345" s="8">
        <f t="shared" si="375"/>
        <v>40.771754666227018</v>
      </c>
    </row>
    <row r="1346" spans="1:45">
      <c r="A1346" s="20">
        <v>48.648600000000002</v>
      </c>
      <c r="B1346" s="20">
        <v>1673.171771</v>
      </c>
      <c r="C1346" s="20">
        <v>-378.45459210000001</v>
      </c>
      <c r="E1346" s="9">
        <f t="shared" si="364"/>
        <v>713.17177100000004</v>
      </c>
      <c r="F1346" s="9">
        <f t="shared" si="363"/>
        <v>161.54540789999999</v>
      </c>
      <c r="I1346">
        <v>1</v>
      </c>
      <c r="J1346">
        <f t="shared" si="365"/>
        <v>0.45289248082011024</v>
      </c>
      <c r="K1346">
        <f t="shared" si="366"/>
        <v>0.22275771192453858</v>
      </c>
      <c r="O1346">
        <f t="shared" si="367"/>
        <v>0.4267567680042828</v>
      </c>
      <c r="P1346">
        <f t="shared" si="368"/>
        <v>9.666758972339852E-2</v>
      </c>
      <c r="Q1346">
        <f t="shared" si="369"/>
        <v>0.8991852078741106</v>
      </c>
      <c r="R1346">
        <f t="shared" si="370"/>
        <v>1</v>
      </c>
      <c r="AG1346" s="8">
        <f t="shared" si="360"/>
        <v>0.73949964143337055</v>
      </c>
      <c r="AH1346" s="8">
        <f t="shared" si="361"/>
        <v>0.16394664424590544</v>
      </c>
      <c r="AI1346" s="8">
        <f t="shared" si="362"/>
        <v>0.65288726297916311</v>
      </c>
      <c r="AJ1346" s="8"/>
      <c r="AK1346" s="8"/>
      <c r="AL1346" s="8"/>
      <c r="AN1346" s="8">
        <f t="shared" si="371"/>
        <v>1</v>
      </c>
      <c r="AO1346" s="8">
        <f t="shared" si="372"/>
        <v>0.21817069440365736</v>
      </c>
      <c r="AP1346" s="8">
        <f t="shared" si="373"/>
        <v>0.85940632812387585</v>
      </c>
      <c r="AQ1346" s="8"/>
      <c r="AR1346" s="8">
        <f t="shared" si="374"/>
        <v>12.500260002768016</v>
      </c>
      <c r="AS1346" s="8">
        <f t="shared" si="375"/>
        <v>40.759644511666728</v>
      </c>
    </row>
    <row r="1347" spans="1:45">
      <c r="A1347" s="20">
        <v>48.681966670000001</v>
      </c>
      <c r="B1347" s="20">
        <v>1673.4582620000001</v>
      </c>
      <c r="C1347" s="20">
        <v>-378.48319880000003</v>
      </c>
      <c r="E1347" s="9">
        <f t="shared" si="364"/>
        <v>713.4582620000001</v>
      </c>
      <c r="F1347" s="9">
        <f t="shared" si="363"/>
        <v>161.51680119999997</v>
      </c>
      <c r="I1347">
        <v>1</v>
      </c>
      <c r="J1347">
        <f t="shared" si="365"/>
        <v>0.45304073771595937</v>
      </c>
      <c r="K1347">
        <f t="shared" si="366"/>
        <v>0.22263305035065117</v>
      </c>
      <c r="O1347">
        <f t="shared" si="367"/>
        <v>0.4268988309659611</v>
      </c>
      <c r="P1347">
        <f t="shared" si="368"/>
        <v>9.6643822471624161E-2</v>
      </c>
      <c r="Q1347">
        <f t="shared" si="369"/>
        <v>0.89912032548373022</v>
      </c>
      <c r="R1347">
        <f t="shared" si="370"/>
        <v>1</v>
      </c>
      <c r="AG1347" s="8">
        <f t="shared" si="360"/>
        <v>0.73951280294813093</v>
      </c>
      <c r="AH1347" s="8">
        <f t="shared" si="361"/>
        <v>0.16409515802259478</v>
      </c>
      <c r="AI1347" s="8">
        <f t="shared" si="362"/>
        <v>0.65283504301572115</v>
      </c>
      <c r="AJ1347" s="8"/>
      <c r="AK1347" s="8"/>
      <c r="AL1347" s="8"/>
      <c r="AN1347" s="8">
        <f t="shared" si="371"/>
        <v>1</v>
      </c>
      <c r="AO1347" s="8">
        <f t="shared" si="372"/>
        <v>0.21835834392348277</v>
      </c>
      <c r="AP1347" s="8">
        <f t="shared" si="373"/>
        <v>0.85947526740796409</v>
      </c>
      <c r="AQ1347" s="8"/>
      <c r="AR1347" s="8">
        <f t="shared" si="374"/>
        <v>12.511011528281669</v>
      </c>
      <c r="AS1347" s="8">
        <f t="shared" si="375"/>
        <v>40.75569458164582</v>
      </c>
    </row>
    <row r="1348" spans="1:45">
      <c r="A1348" s="20">
        <v>48.71533333</v>
      </c>
      <c r="B1348" s="20">
        <v>1673.8584920000001</v>
      </c>
      <c r="C1348" s="20">
        <v>-378.54740650000002</v>
      </c>
      <c r="E1348" s="9">
        <f t="shared" si="364"/>
        <v>713.85849200000007</v>
      </c>
      <c r="F1348" s="9">
        <f t="shared" si="363"/>
        <v>161.45259349999998</v>
      </c>
      <c r="I1348">
        <v>1</v>
      </c>
      <c r="J1348">
        <f t="shared" si="365"/>
        <v>0.45324492621764745</v>
      </c>
      <c r="K1348">
        <f t="shared" si="366"/>
        <v>0.22242674410506408</v>
      </c>
      <c r="O1348">
        <f t="shared" si="367"/>
        <v>0.4270978184937137</v>
      </c>
      <c r="P1348">
        <f t="shared" si="368"/>
        <v>9.6596245960189994E-2</v>
      </c>
      <c r="Q1348">
        <f t="shared" si="369"/>
        <v>0.89903093311871607</v>
      </c>
      <c r="R1348">
        <f t="shared" si="370"/>
        <v>1</v>
      </c>
      <c r="AG1348" s="8">
        <f t="shared" si="360"/>
        <v>0.73954087390934142</v>
      </c>
      <c r="AH1348" s="8">
        <f t="shared" si="361"/>
        <v>0.1643003525229329</v>
      </c>
      <c r="AI1348" s="8">
        <f t="shared" si="362"/>
        <v>0.65275162962511835</v>
      </c>
      <c r="AJ1348" s="8"/>
      <c r="AK1348" s="8"/>
      <c r="AL1348" s="8"/>
      <c r="AN1348" s="8">
        <f t="shared" si="371"/>
        <v>1</v>
      </c>
      <c r="AO1348" s="8">
        <f t="shared" si="372"/>
        <v>0.21861474345208132</v>
      </c>
      <c r="AP1348" s="8">
        <f t="shared" si="373"/>
        <v>0.85958537885579167</v>
      </c>
      <c r="AQ1348" s="8"/>
      <c r="AR1348" s="8">
        <f t="shared" si="374"/>
        <v>12.525702139139508</v>
      </c>
      <c r="AS1348" s="8">
        <f t="shared" si="375"/>
        <v>40.749385660409224</v>
      </c>
    </row>
    <row r="1349" spans="1:45">
      <c r="A1349" s="20">
        <v>48.748699999999999</v>
      </c>
      <c r="B1349" s="20">
        <v>1674.43056</v>
      </c>
      <c r="C1349" s="20">
        <v>-378.65010030000002</v>
      </c>
      <c r="E1349" s="9">
        <f t="shared" si="364"/>
        <v>714.43056000000001</v>
      </c>
      <c r="F1349" s="9">
        <f t="shared" si="363"/>
        <v>161.34989969999998</v>
      </c>
      <c r="I1349">
        <v>1</v>
      </c>
      <c r="J1349">
        <f t="shared" si="365"/>
        <v>0.45353543799826729</v>
      </c>
      <c r="K1349">
        <f t="shared" si="366"/>
        <v>0.22211768735791532</v>
      </c>
      <c r="O1349">
        <f t="shared" si="367"/>
        <v>0.42738239651168236</v>
      </c>
      <c r="P1349">
        <f t="shared" si="368"/>
        <v>9.6521776463069503E-2</v>
      </c>
      <c r="Q1349">
        <f t="shared" si="369"/>
        <v>0.89890368439580015</v>
      </c>
      <c r="R1349">
        <f t="shared" si="370"/>
        <v>1</v>
      </c>
      <c r="AG1349" s="8">
        <f t="shared" si="360"/>
        <v>0.73958529980482191</v>
      </c>
      <c r="AH1349" s="8">
        <f t="shared" si="361"/>
        <v>0.16459255586665889</v>
      </c>
      <c r="AI1349" s="8">
        <f t="shared" si="362"/>
        <v>0.65262766939955308</v>
      </c>
      <c r="AJ1349" s="8"/>
      <c r="AK1349" s="8"/>
      <c r="AL1349" s="8"/>
      <c r="AN1349" s="8">
        <f t="shared" si="371"/>
        <v>0.99999999999999978</v>
      </c>
      <c r="AO1349" s="8">
        <f t="shared" si="372"/>
        <v>0.21897850391978921</v>
      </c>
      <c r="AP1349" s="8">
        <f t="shared" si="373"/>
        <v>0.85974899563625318</v>
      </c>
      <c r="AQ1349" s="8"/>
      <c r="AR1349" s="8">
        <f t="shared" si="374"/>
        <v>12.546544078692875</v>
      </c>
      <c r="AS1349" s="8">
        <f t="shared" si="375"/>
        <v>40.740011109431265</v>
      </c>
    </row>
    <row r="1350" spans="1:45">
      <c r="A1350" s="20">
        <v>48.782066669999999</v>
      </c>
      <c r="B1350" s="20">
        <v>1675.10078</v>
      </c>
      <c r="C1350" s="20">
        <v>-378.80273039999997</v>
      </c>
      <c r="E1350" s="9">
        <f t="shared" si="364"/>
        <v>715.10077999999999</v>
      </c>
      <c r="F1350" s="9">
        <f t="shared" si="363"/>
        <v>161.19726960000003</v>
      </c>
      <c r="I1350">
        <v>1</v>
      </c>
      <c r="J1350">
        <f t="shared" si="365"/>
        <v>0.45387188510634391</v>
      </c>
      <c r="K1350">
        <f t="shared" si="366"/>
        <v>0.2217131726911232</v>
      </c>
      <c r="O1350">
        <f t="shared" si="367"/>
        <v>0.42771641244403757</v>
      </c>
      <c r="P1350">
        <f t="shared" si="368"/>
        <v>9.6415386162893496E-2</v>
      </c>
      <c r="Q1350">
        <f t="shared" si="369"/>
        <v>0.8987562204719709</v>
      </c>
      <c r="R1350">
        <f t="shared" si="370"/>
        <v>1</v>
      </c>
      <c r="AG1350" s="8">
        <f t="shared" si="360"/>
        <v>0.73965018430252816</v>
      </c>
      <c r="AH1350" s="8">
        <f t="shared" si="361"/>
        <v>0.1649317875807102</v>
      </c>
      <c r="AI1350" s="8">
        <f t="shared" si="362"/>
        <v>0.65246847456920665</v>
      </c>
      <c r="AJ1350" s="8"/>
      <c r="AK1350" s="8"/>
      <c r="AL1350" s="8"/>
      <c r="AN1350" s="8">
        <f t="shared" si="371"/>
        <v>0.99999999999999978</v>
      </c>
      <c r="AO1350" s="8">
        <f t="shared" si="372"/>
        <v>0.21939685857008798</v>
      </c>
      <c r="AP1350" s="8">
        <f t="shared" si="373"/>
        <v>0.85995908523382325</v>
      </c>
      <c r="AQ1350" s="8"/>
      <c r="AR1350" s="8">
        <f t="shared" si="374"/>
        <v>12.570514034494666</v>
      </c>
      <c r="AS1350" s="8">
        <f t="shared" si="375"/>
        <v>40.727973862170892</v>
      </c>
    </row>
    <row r="1351" spans="1:45">
      <c r="A1351" s="20">
        <v>48.815433329999998</v>
      </c>
      <c r="B1351" s="20">
        <v>1675.705244</v>
      </c>
      <c r="C1351" s="20">
        <v>-379.21143410000002</v>
      </c>
      <c r="E1351" s="9">
        <f t="shared" si="364"/>
        <v>715.70524399999999</v>
      </c>
      <c r="F1351" s="9">
        <f t="shared" si="363"/>
        <v>160.78856589999998</v>
      </c>
      <c r="I1351">
        <v>1</v>
      </c>
      <c r="J1351">
        <f t="shared" si="365"/>
        <v>0.45414304387775262</v>
      </c>
      <c r="K1351">
        <f t="shared" si="366"/>
        <v>0.22098844202797546</v>
      </c>
      <c r="O1351">
        <f t="shared" si="367"/>
        <v>0.42802393858903059</v>
      </c>
      <c r="P1351">
        <f t="shared" si="368"/>
        <v>9.6158796981791972E-2</v>
      </c>
      <c r="Q1351">
        <f t="shared" si="369"/>
        <v>0.89863729822311977</v>
      </c>
      <c r="R1351">
        <f t="shared" si="370"/>
        <v>1</v>
      </c>
      <c r="AG1351" s="8">
        <f t="shared" si="360"/>
        <v>0.73981715568166673</v>
      </c>
      <c r="AH1351" s="8">
        <f t="shared" si="361"/>
        <v>0.16521261412010718</v>
      </c>
      <c r="AI1351" s="8">
        <f t="shared" si="362"/>
        <v>0.65220807131979674</v>
      </c>
      <c r="AJ1351" s="8"/>
      <c r="AK1351" s="8"/>
      <c r="AL1351" s="8"/>
      <c r="AN1351" s="8">
        <f t="shared" si="371"/>
        <v>1</v>
      </c>
      <c r="AO1351" s="8">
        <f t="shared" si="372"/>
        <v>0.21971050297995953</v>
      </c>
      <c r="AP1351" s="8">
        <f t="shared" si="373"/>
        <v>0.86030265780358794</v>
      </c>
      <c r="AQ1351" s="8"/>
      <c r="AR1351" s="8">
        <f t="shared" si="374"/>
        <v>12.588484535448178</v>
      </c>
      <c r="AS1351" s="8">
        <f t="shared" si="375"/>
        <v>40.708288603966913</v>
      </c>
    </row>
    <row r="1352" spans="1:45">
      <c r="A1352" s="20">
        <v>48.848799999999997</v>
      </c>
      <c r="B1352" s="20">
        <v>1676.159191</v>
      </c>
      <c r="C1352" s="20">
        <v>-379.48855350000002</v>
      </c>
      <c r="E1352" s="9">
        <f t="shared" si="364"/>
        <v>716.15919099999996</v>
      </c>
      <c r="F1352" s="9">
        <f t="shared" si="363"/>
        <v>160.51144649999998</v>
      </c>
      <c r="I1352">
        <v>1</v>
      </c>
      <c r="J1352">
        <f t="shared" si="365"/>
        <v>0.4543503074304317</v>
      </c>
      <c r="K1352">
        <f t="shared" si="366"/>
        <v>0.22048446402809274</v>
      </c>
      <c r="O1352">
        <f t="shared" si="367"/>
        <v>0.42825408278276045</v>
      </c>
      <c r="P1352">
        <f t="shared" si="368"/>
        <v>9.5983802429467968E-2</v>
      </c>
      <c r="Q1352">
        <f t="shared" si="369"/>
        <v>0.89854635398018134</v>
      </c>
      <c r="R1352">
        <f t="shared" si="370"/>
        <v>1</v>
      </c>
      <c r="AG1352" s="8">
        <f t="shared" si="360"/>
        <v>0.73993050031903562</v>
      </c>
      <c r="AH1352" s="8">
        <f t="shared" si="361"/>
        <v>0.16542619784136497</v>
      </c>
      <c r="AI1352" s="8">
        <f t="shared" si="362"/>
        <v>0.65202532754899267</v>
      </c>
      <c r="AJ1352" s="8"/>
      <c r="AK1352" s="8"/>
      <c r="AL1352" s="8"/>
      <c r="AN1352" s="8">
        <f t="shared" si="371"/>
        <v>1</v>
      </c>
      <c r="AO1352" s="8">
        <f t="shared" si="372"/>
        <v>0.21995284911958687</v>
      </c>
      <c r="AP1352" s="8">
        <f t="shared" si="373"/>
        <v>0.86054370685902959</v>
      </c>
      <c r="AQ1352" s="8"/>
      <c r="AR1352" s="8">
        <f t="shared" si="374"/>
        <v>12.602369946430112</v>
      </c>
      <c r="AS1352" s="8">
        <f t="shared" si="375"/>
        <v>40.694477510434496</v>
      </c>
    </row>
    <row r="1353" spans="1:45">
      <c r="A1353" s="20">
        <v>48.882166669999997</v>
      </c>
      <c r="B1353" s="20">
        <v>1676.8993459999999</v>
      </c>
      <c r="C1353" s="20">
        <v>-380.2629349</v>
      </c>
      <c r="E1353" s="9">
        <f t="shared" si="364"/>
        <v>716.89934599999992</v>
      </c>
      <c r="F1353" s="9">
        <f t="shared" si="363"/>
        <v>159.7370651</v>
      </c>
      <c r="I1353">
        <v>1</v>
      </c>
      <c r="J1353">
        <f t="shared" si="365"/>
        <v>0.45465032081446233</v>
      </c>
      <c r="K1353">
        <f t="shared" si="366"/>
        <v>0.2192352686741747</v>
      </c>
      <c r="O1353">
        <f t="shared" si="367"/>
        <v>0.42863675522287775</v>
      </c>
      <c r="P1353">
        <f t="shared" si="368"/>
        <v>9.5507378623399641E-2</v>
      </c>
      <c r="Q1353">
        <f t="shared" si="369"/>
        <v>0.89841464408172322</v>
      </c>
      <c r="R1353">
        <f t="shared" si="370"/>
        <v>1</v>
      </c>
      <c r="AG1353" s="8">
        <f t="shared" si="360"/>
        <v>0.74024418632565459</v>
      </c>
      <c r="AH1353" s="8">
        <f t="shared" si="361"/>
        <v>0.16574456070127019</v>
      </c>
      <c r="AI1353" s="8">
        <f t="shared" si="362"/>
        <v>0.65158827890701998</v>
      </c>
      <c r="AJ1353" s="8"/>
      <c r="AK1353" s="8"/>
      <c r="AL1353" s="8"/>
      <c r="AN1353" s="8">
        <f t="shared" si="371"/>
        <v>0.99999999999999989</v>
      </c>
      <c r="AO1353" s="8">
        <f t="shared" si="372"/>
        <v>0.22027220097762681</v>
      </c>
      <c r="AP1353" s="8">
        <f t="shared" si="373"/>
        <v>0.86111999545897788</v>
      </c>
      <c r="AQ1353" s="8"/>
      <c r="AR1353" s="8">
        <f t="shared" si="374"/>
        <v>12.620667460075463</v>
      </c>
      <c r="AS1353" s="8">
        <f t="shared" si="375"/>
        <v>40.66145860587595</v>
      </c>
    </row>
    <row r="1354" spans="1:45">
      <c r="A1354" s="20">
        <v>48.915533330000002</v>
      </c>
      <c r="B1354" s="20">
        <v>1676.907168</v>
      </c>
      <c r="C1354" s="20">
        <v>-380.03316310000002</v>
      </c>
      <c r="E1354" s="9">
        <f t="shared" si="364"/>
        <v>716.90716799999996</v>
      </c>
      <c r="F1354" s="9">
        <f t="shared" si="363"/>
        <v>159.96683689999998</v>
      </c>
      <c r="I1354">
        <v>1</v>
      </c>
      <c r="J1354">
        <f t="shared" si="365"/>
        <v>0.45468156123045728</v>
      </c>
      <c r="K1354">
        <f t="shared" si="366"/>
        <v>0.21953827683392246</v>
      </c>
      <c r="O1354">
        <f t="shared" si="367"/>
        <v>0.4286351890114613</v>
      </c>
      <c r="P1354">
        <f t="shared" si="368"/>
        <v>9.5643366994758644E-2</v>
      </c>
      <c r="Q1354">
        <f t="shared" si="369"/>
        <v>0.89840092447137132</v>
      </c>
      <c r="R1354">
        <f t="shared" si="370"/>
        <v>1</v>
      </c>
      <c r="AG1354" s="8">
        <f t="shared" si="360"/>
        <v>0.7401522794595653</v>
      </c>
      <c r="AH1354" s="8">
        <f t="shared" si="361"/>
        <v>0.16576988167788553</v>
      </c>
      <c r="AI1354" s="8">
        <f t="shared" si="362"/>
        <v>0.65168623549934612</v>
      </c>
      <c r="AJ1354" s="8"/>
      <c r="AK1354" s="8"/>
      <c r="AL1354" s="8"/>
      <c r="AN1354" s="8">
        <f t="shared" si="371"/>
        <v>0.99999999999999978</v>
      </c>
      <c r="AO1354" s="8">
        <f t="shared" si="372"/>
        <v>0.22033125312683371</v>
      </c>
      <c r="AP1354" s="8">
        <f t="shared" si="373"/>
        <v>0.86099085554776322</v>
      </c>
      <c r="AQ1354" s="8"/>
      <c r="AR1354" s="8">
        <f t="shared" si="374"/>
        <v>12.624050898996195</v>
      </c>
      <c r="AS1354" s="8">
        <f t="shared" si="375"/>
        <v>40.66885777775525</v>
      </c>
    </row>
    <row r="1355" spans="1:45">
      <c r="A1355" s="20">
        <v>48.948900000000002</v>
      </c>
      <c r="B1355" s="20">
        <v>1677.3393840000001</v>
      </c>
      <c r="C1355" s="20">
        <v>-380.26502290000002</v>
      </c>
      <c r="E1355" s="9">
        <f t="shared" si="364"/>
        <v>717.33938400000011</v>
      </c>
      <c r="F1355" s="9">
        <f t="shared" si="363"/>
        <v>159.73497709999998</v>
      </c>
      <c r="I1355">
        <v>1</v>
      </c>
      <c r="J1355">
        <f t="shared" si="365"/>
        <v>0.45488284420649683</v>
      </c>
      <c r="K1355">
        <f t="shared" si="366"/>
        <v>0.21910227406206134</v>
      </c>
      <c r="O1355">
        <f t="shared" si="367"/>
        <v>0.42885334999240454</v>
      </c>
      <c r="P1355">
        <f t="shared" si="368"/>
        <v>9.5495774480291187E-2</v>
      </c>
      <c r="Q1355">
        <f t="shared" si="369"/>
        <v>0.89831250757000014</v>
      </c>
      <c r="R1355">
        <f t="shared" si="370"/>
        <v>1</v>
      </c>
      <c r="AG1355" s="8">
        <f t="shared" si="360"/>
        <v>0.74024716446466465</v>
      </c>
      <c r="AH1355" s="8">
        <f t="shared" si="361"/>
        <v>0.16597605190270392</v>
      </c>
      <c r="AI1355" s="8">
        <f t="shared" si="362"/>
        <v>0.65152596701652232</v>
      </c>
      <c r="AJ1355" s="8"/>
      <c r="AK1355" s="8"/>
      <c r="AL1355" s="8"/>
      <c r="AN1355" s="8">
        <f t="shared" si="371"/>
        <v>0.99999999999999978</v>
      </c>
      <c r="AO1355" s="8">
        <f t="shared" si="372"/>
        <v>0.22056911554224948</v>
      </c>
      <c r="AP1355" s="8">
        <f t="shared" si="373"/>
        <v>0.86120213614635732</v>
      </c>
      <c r="AQ1355" s="8"/>
      <c r="AR1355" s="8">
        <f t="shared" si="374"/>
        <v>12.637679411504305</v>
      </c>
      <c r="AS1355" s="8">
        <f t="shared" si="375"/>
        <v>40.656752291162803</v>
      </c>
    </row>
    <row r="1356" spans="1:45">
      <c r="A1356" s="20">
        <v>48.982266670000001</v>
      </c>
      <c r="B1356" s="20">
        <v>1677.860674</v>
      </c>
      <c r="C1356" s="20">
        <v>-380.44229209999997</v>
      </c>
      <c r="E1356" s="9">
        <f t="shared" si="364"/>
        <v>717.86067400000002</v>
      </c>
      <c r="F1356" s="9">
        <f t="shared" si="363"/>
        <v>159.55770790000003</v>
      </c>
      <c r="I1356">
        <v>1</v>
      </c>
      <c r="J1356">
        <f t="shared" si="365"/>
        <v>0.45513768792405929</v>
      </c>
      <c r="K1356">
        <f t="shared" si="366"/>
        <v>0.21871290298141507</v>
      </c>
      <c r="O1356">
        <f t="shared" si="367"/>
        <v>0.42911396248168543</v>
      </c>
      <c r="P1356">
        <f t="shared" si="368"/>
        <v>9.5378452618041495E-2</v>
      </c>
      <c r="Q1356">
        <f t="shared" si="369"/>
        <v>0.89820051101046183</v>
      </c>
      <c r="R1356">
        <f t="shared" si="370"/>
        <v>1</v>
      </c>
      <c r="AG1356" s="8">
        <f t="shared" si="360"/>
        <v>0.74032055689688314</v>
      </c>
      <c r="AH1356" s="8">
        <f t="shared" si="361"/>
        <v>0.1662340858535522</v>
      </c>
      <c r="AI1356" s="8">
        <f t="shared" si="362"/>
        <v>0.65137677402277916</v>
      </c>
      <c r="AJ1356" s="8"/>
      <c r="AK1356" s="8"/>
      <c r="AL1356" s="8"/>
      <c r="AN1356" s="8">
        <f t="shared" si="371"/>
        <v>1</v>
      </c>
      <c r="AO1356" s="8">
        <f t="shared" si="372"/>
        <v>0.22087978974187089</v>
      </c>
      <c r="AP1356" s="8">
        <f t="shared" si="373"/>
        <v>0.86139878157111471</v>
      </c>
      <c r="AQ1356" s="8"/>
      <c r="AR1356" s="8">
        <f t="shared" si="374"/>
        <v>12.655479731946217</v>
      </c>
      <c r="AS1356" s="8">
        <f t="shared" si="375"/>
        <v>40.645485338263654</v>
      </c>
    </row>
    <row r="1357" spans="1:45">
      <c r="A1357" s="20">
        <v>49.01563333</v>
      </c>
      <c r="B1357" s="20">
        <v>1678.187013</v>
      </c>
      <c r="C1357" s="20">
        <v>-380.59213729999999</v>
      </c>
      <c r="E1357" s="9">
        <f t="shared" si="364"/>
        <v>718.18701299999998</v>
      </c>
      <c r="F1357" s="9">
        <f t="shared" si="363"/>
        <v>159.40786270000001</v>
      </c>
      <c r="I1357">
        <v>1</v>
      </c>
      <c r="J1357">
        <f t="shared" si="365"/>
        <v>0.45529266196315582</v>
      </c>
      <c r="K1357">
        <f t="shared" si="366"/>
        <v>0.2184178198945983</v>
      </c>
      <c r="O1357">
        <f t="shared" si="367"/>
        <v>0.42927797384524036</v>
      </c>
      <c r="P1357">
        <f t="shared" si="368"/>
        <v>9.5281985160119112E-2</v>
      </c>
      <c r="Q1357">
        <f t="shared" si="369"/>
        <v>0.8981323758084172</v>
      </c>
      <c r="R1357">
        <f t="shared" si="370"/>
        <v>1</v>
      </c>
      <c r="AG1357" s="8">
        <f t="shared" si="360"/>
        <v>0.74038200333337989</v>
      </c>
      <c r="AH1357" s="8">
        <f t="shared" si="361"/>
        <v>0.16639199587264308</v>
      </c>
      <c r="AI1357" s="8">
        <f t="shared" si="362"/>
        <v>0.65126660658256486</v>
      </c>
      <c r="AJ1357" s="8"/>
      <c r="AK1357" s="8"/>
      <c r="AL1357" s="8"/>
      <c r="AN1357" s="8">
        <f t="shared" si="371"/>
        <v>0.99999999999999989</v>
      </c>
      <c r="AO1357" s="8">
        <f t="shared" si="372"/>
        <v>0.22106508539775604</v>
      </c>
      <c r="AP1357" s="8">
        <f t="shared" si="373"/>
        <v>0.8615439676415968</v>
      </c>
      <c r="AQ1357" s="8"/>
      <c r="AR1357" s="8">
        <f t="shared" si="374"/>
        <v>12.666096390990544</v>
      </c>
      <c r="AS1357" s="8">
        <f t="shared" si="375"/>
        <v>40.637166789180938</v>
      </c>
    </row>
    <row r="1358" spans="1:45">
      <c r="A1358" s="20">
        <v>49.048999999999999</v>
      </c>
      <c r="B1358" s="20">
        <v>1679.0182319999999</v>
      </c>
      <c r="C1358" s="20">
        <v>-381.13064989999998</v>
      </c>
      <c r="E1358" s="9">
        <f t="shared" si="364"/>
        <v>719.0182319999999</v>
      </c>
      <c r="F1358" s="9">
        <f t="shared" si="363"/>
        <v>158.86935010000002</v>
      </c>
      <c r="I1358">
        <v>1</v>
      </c>
      <c r="J1358">
        <f t="shared" si="365"/>
        <v>0.45566911842908897</v>
      </c>
      <c r="K1358">
        <f t="shared" si="366"/>
        <v>0.21745927925320335</v>
      </c>
      <c r="O1358">
        <f t="shared" si="367"/>
        <v>0.42969922272673389</v>
      </c>
      <c r="P1358">
        <f t="shared" si="368"/>
        <v>9.4943400897060118E-2</v>
      </c>
      <c r="Q1358">
        <f t="shared" si="369"/>
        <v>0.89796677478297648</v>
      </c>
      <c r="R1358">
        <f t="shared" si="370"/>
        <v>1</v>
      </c>
      <c r="AG1358" s="8">
        <f t="shared" si="360"/>
        <v>0.74060103153535772</v>
      </c>
      <c r="AH1358" s="8">
        <f t="shared" si="361"/>
        <v>0.16677960974233069</v>
      </c>
      <c r="AI1358" s="8">
        <f t="shared" si="362"/>
        <v>0.65091833117754483</v>
      </c>
      <c r="AJ1358" s="8"/>
      <c r="AK1358" s="8"/>
      <c r="AL1358" s="8"/>
      <c r="AN1358" s="8">
        <f t="shared" si="371"/>
        <v>1</v>
      </c>
      <c r="AO1358" s="8">
        <f t="shared" si="372"/>
        <v>0.22149998757168418</v>
      </c>
      <c r="AP1358" s="8">
        <f t="shared" si="373"/>
        <v>0.86200282948772533</v>
      </c>
      <c r="AQ1358" s="8"/>
      <c r="AR1358" s="8">
        <f t="shared" si="374"/>
        <v>12.691014450057692</v>
      </c>
      <c r="AS1358" s="8">
        <f t="shared" si="375"/>
        <v>40.61087594201819</v>
      </c>
    </row>
    <row r="1359" spans="1:45">
      <c r="A1359" s="20">
        <v>49.082366669999999</v>
      </c>
      <c r="B1359" s="20">
        <v>1679.4750799999999</v>
      </c>
      <c r="C1359" s="20">
        <v>-381.51191360000001</v>
      </c>
      <c r="E1359" s="9">
        <f t="shared" si="364"/>
        <v>719.47507999999993</v>
      </c>
      <c r="F1359" s="9">
        <f t="shared" si="363"/>
        <v>158.48808639999999</v>
      </c>
      <c r="I1359">
        <v>1</v>
      </c>
      <c r="J1359">
        <f t="shared" si="365"/>
        <v>0.45586618577143517</v>
      </c>
      <c r="K1359">
        <f t="shared" si="366"/>
        <v>0.21682016754663319</v>
      </c>
      <c r="O1359">
        <f t="shared" si="367"/>
        <v>0.42993262272259747</v>
      </c>
      <c r="P1359">
        <f t="shared" si="368"/>
        <v>9.4706822446494796E-2</v>
      </c>
      <c r="Q1359">
        <f t="shared" si="369"/>
        <v>0.89788003525023141</v>
      </c>
      <c r="R1359">
        <f t="shared" si="370"/>
        <v>1</v>
      </c>
      <c r="AG1359" s="8">
        <f t="shared" si="360"/>
        <v>0.74075535979409335</v>
      </c>
      <c r="AH1359" s="8">
        <f t="shared" si="361"/>
        <v>0.16698470038917618</v>
      </c>
      <c r="AI1359" s="8">
        <f t="shared" si="362"/>
        <v>0.65069010041052611</v>
      </c>
      <c r="AJ1359" s="8"/>
      <c r="AK1359" s="8"/>
      <c r="AL1359" s="8"/>
      <c r="AN1359" s="8">
        <f t="shared" si="371"/>
        <v>1</v>
      </c>
      <c r="AO1359" s="8">
        <f t="shared" si="372"/>
        <v>0.22171882823156297</v>
      </c>
      <c r="AP1359" s="8">
        <f t="shared" si="373"/>
        <v>0.86230343152142541</v>
      </c>
      <c r="AQ1359" s="8"/>
      <c r="AR1359" s="8">
        <f t="shared" si="374"/>
        <v>12.703553096254604</v>
      </c>
      <c r="AS1359" s="8">
        <f t="shared" si="375"/>
        <v>40.593652714174127</v>
      </c>
    </row>
    <row r="1360" spans="1:45">
      <c r="A1360" s="20">
        <v>49.115733329999998</v>
      </c>
      <c r="B1360" s="20">
        <v>1680.5364239999999</v>
      </c>
      <c r="C1360" s="20">
        <v>-381.90279820000001</v>
      </c>
      <c r="E1360" s="9">
        <f t="shared" si="364"/>
        <v>720.5364239999999</v>
      </c>
      <c r="F1360" s="9">
        <f t="shared" si="363"/>
        <v>158.09720179999999</v>
      </c>
      <c r="I1360">
        <v>1</v>
      </c>
      <c r="J1360">
        <f t="shared" si="365"/>
        <v>0.4563817983197474</v>
      </c>
      <c r="K1360">
        <f t="shared" si="366"/>
        <v>0.21599317335310494</v>
      </c>
      <c r="O1360">
        <f t="shared" si="367"/>
        <v>0.4304629414316557</v>
      </c>
      <c r="P1360">
        <f t="shared" si="368"/>
        <v>9.4450445879113609E-2</v>
      </c>
      <c r="Q1360">
        <f t="shared" si="369"/>
        <v>0.89765292253033058</v>
      </c>
      <c r="R1360">
        <f t="shared" si="370"/>
        <v>1</v>
      </c>
      <c r="AG1360" s="8">
        <f t="shared" si="360"/>
        <v>0.7409158352299946</v>
      </c>
      <c r="AH1360" s="8">
        <f t="shared" si="361"/>
        <v>0.16750657718799372</v>
      </c>
      <c r="AI1360" s="8">
        <f t="shared" si="362"/>
        <v>0.65037317880137269</v>
      </c>
      <c r="AJ1360" s="8"/>
      <c r="AK1360" s="8"/>
      <c r="AL1360" s="8"/>
      <c r="AN1360" s="8">
        <f t="shared" si="371"/>
        <v>1</v>
      </c>
      <c r="AO1360" s="8">
        <f t="shared" si="372"/>
        <v>0.22234258135188723</v>
      </c>
      <c r="AP1360" s="8">
        <f t="shared" si="373"/>
        <v>0.86272071962565366</v>
      </c>
      <c r="AQ1360" s="8"/>
      <c r="AR1360" s="8">
        <f t="shared" si="374"/>
        <v>12.739291517507299</v>
      </c>
      <c r="AS1360" s="8">
        <f t="shared" si="375"/>
        <v>40.569743866960835</v>
      </c>
    </row>
    <row r="1361" spans="1:45">
      <c r="A1361" s="20">
        <v>49.149099999999997</v>
      </c>
      <c r="B1361" s="20">
        <v>1680.5565449999999</v>
      </c>
      <c r="C1361" s="20">
        <v>-382.13757659999999</v>
      </c>
      <c r="E1361" s="9">
        <f t="shared" si="364"/>
        <v>720.55654499999991</v>
      </c>
      <c r="F1361" s="9">
        <f t="shared" si="363"/>
        <v>157.86242340000001</v>
      </c>
      <c r="I1361">
        <v>1</v>
      </c>
      <c r="J1361">
        <f t="shared" si="365"/>
        <v>0.45636522601769852</v>
      </c>
      <c r="K1361">
        <f t="shared" si="366"/>
        <v>0.21567644250686197</v>
      </c>
      <c r="O1361">
        <f t="shared" si="367"/>
        <v>0.43047830362805323</v>
      </c>
      <c r="P1361">
        <f t="shared" si="368"/>
        <v>9.4310916614941731E-2</v>
      </c>
      <c r="Q1361">
        <f t="shared" si="369"/>
        <v>0.89766022587210748</v>
      </c>
      <c r="R1361">
        <f t="shared" si="370"/>
        <v>1</v>
      </c>
      <c r="AG1361" s="8">
        <f t="shared" si="360"/>
        <v>0.74100967332944501</v>
      </c>
      <c r="AH1361" s="8">
        <f t="shared" si="361"/>
        <v>0.16749550374826877</v>
      </c>
      <c r="AI1361" s="8">
        <f t="shared" si="362"/>
        <v>0.65026911371854557</v>
      </c>
      <c r="AJ1361" s="8"/>
      <c r="AK1361" s="8"/>
      <c r="AL1361" s="8"/>
      <c r="AN1361" s="8">
        <f t="shared" si="371"/>
        <v>0.99999999999999989</v>
      </c>
      <c r="AO1361" s="8">
        <f t="shared" si="372"/>
        <v>0.22230112629157667</v>
      </c>
      <c r="AP1361" s="8">
        <f t="shared" si="373"/>
        <v>0.86285770875899703</v>
      </c>
      <c r="AQ1361" s="8"/>
      <c r="AR1361" s="8">
        <f t="shared" si="374"/>
        <v>12.736916317512044</v>
      </c>
      <c r="AS1361" s="8">
        <f t="shared" si="375"/>
        <v>40.561894967781107</v>
      </c>
    </row>
    <row r="1362" spans="1:45">
      <c r="A1362" s="20">
        <v>49.182466669999997</v>
      </c>
      <c r="B1362" s="20">
        <v>1680.958472</v>
      </c>
      <c r="C1362" s="20">
        <v>-381.9752441</v>
      </c>
      <c r="E1362" s="9">
        <f t="shared" si="364"/>
        <v>720.95847200000003</v>
      </c>
      <c r="F1362" s="9">
        <f t="shared" si="363"/>
        <v>158.0247559</v>
      </c>
      <c r="I1362">
        <v>1</v>
      </c>
      <c r="J1362">
        <f t="shared" si="365"/>
        <v>0.45659644909960923</v>
      </c>
      <c r="K1362">
        <f t="shared" si="366"/>
        <v>0.21577474685453712</v>
      </c>
      <c r="O1362">
        <f t="shared" si="367"/>
        <v>0.43067176548707825</v>
      </c>
      <c r="P1362">
        <f t="shared" si="368"/>
        <v>9.4397670957832344E-2</v>
      </c>
      <c r="Q1362">
        <f t="shared" si="369"/>
        <v>0.89755830458526753</v>
      </c>
      <c r="R1362">
        <f t="shared" si="370"/>
        <v>1</v>
      </c>
      <c r="AG1362" s="8">
        <f t="shared" si="360"/>
        <v>0.74094640661476396</v>
      </c>
      <c r="AH1362" s="8">
        <f t="shared" si="361"/>
        <v>0.16772166449372683</v>
      </c>
      <c r="AI1362" s="8">
        <f t="shared" si="362"/>
        <v>0.65028291211143074</v>
      </c>
      <c r="AJ1362" s="8"/>
      <c r="AK1362" s="8"/>
      <c r="AL1362" s="8"/>
      <c r="AN1362" s="8">
        <f t="shared" si="371"/>
        <v>1.0000000000000002</v>
      </c>
      <c r="AO1362" s="8">
        <f t="shared" si="372"/>
        <v>0.22260986221604145</v>
      </c>
      <c r="AP1362" s="8">
        <f t="shared" si="373"/>
        <v>0.86283954576236122</v>
      </c>
      <c r="AQ1362" s="8"/>
      <c r="AR1362" s="8">
        <f t="shared" si="374"/>
        <v>12.754605582967947</v>
      </c>
      <c r="AS1362" s="8">
        <f t="shared" si="375"/>
        <v>40.562935630831646</v>
      </c>
    </row>
    <row r="1363" spans="1:45">
      <c r="A1363" s="20">
        <v>49.215833330000002</v>
      </c>
      <c r="B1363" s="20">
        <v>1681.723643</v>
      </c>
      <c r="C1363" s="20">
        <v>-382.32689879999998</v>
      </c>
      <c r="E1363" s="9">
        <f t="shared" si="364"/>
        <v>721.72364300000004</v>
      </c>
      <c r="F1363" s="9">
        <f t="shared" si="363"/>
        <v>157.67310120000002</v>
      </c>
      <c r="I1363">
        <v>1</v>
      </c>
      <c r="J1363">
        <f t="shared" si="365"/>
        <v>0.45696009961334028</v>
      </c>
      <c r="K1363">
        <f t="shared" si="366"/>
        <v>0.21508800681933268</v>
      </c>
      <c r="O1363">
        <f t="shared" si="367"/>
        <v>0.43105533865983586</v>
      </c>
      <c r="P1363">
        <f t="shared" si="368"/>
        <v>9.4171547093563304E-2</v>
      </c>
      <c r="Q1363">
        <f t="shared" si="369"/>
        <v>0.89739791326415452</v>
      </c>
      <c r="R1363">
        <f t="shared" si="370"/>
        <v>1</v>
      </c>
      <c r="AG1363" s="8">
        <f t="shared" si="360"/>
        <v>0.74108965617627864</v>
      </c>
      <c r="AH1363" s="8">
        <f t="shared" si="361"/>
        <v>0.16809117779242427</v>
      </c>
      <c r="AI1363" s="8">
        <f t="shared" si="362"/>
        <v>0.6500242129773941</v>
      </c>
      <c r="AJ1363" s="8"/>
      <c r="AK1363" s="8"/>
      <c r="AL1363" s="8"/>
      <c r="AN1363" s="8">
        <f t="shared" si="371"/>
        <v>0.99999999999999978</v>
      </c>
      <c r="AO1363" s="8">
        <f t="shared" si="372"/>
        <v>0.22304250273620896</v>
      </c>
      <c r="AP1363" s="8">
        <f t="shared" si="373"/>
        <v>0.86318002769632862</v>
      </c>
      <c r="AQ1363" s="8"/>
      <c r="AR1363" s="8">
        <f t="shared" si="374"/>
        <v>12.779394058819889</v>
      </c>
      <c r="AS1363" s="8">
        <f t="shared" si="375"/>
        <v>40.543427453014864</v>
      </c>
    </row>
    <row r="1364" spans="1:45">
      <c r="A1364" s="20">
        <v>49.249200000000002</v>
      </c>
      <c r="B1364" s="20">
        <v>1681.9960040000001</v>
      </c>
      <c r="C1364" s="20">
        <v>-382.69782570000001</v>
      </c>
      <c r="E1364" s="9">
        <f t="shared" si="364"/>
        <v>721.99600400000008</v>
      </c>
      <c r="F1364" s="9">
        <f t="shared" si="363"/>
        <v>157.30217429999999</v>
      </c>
      <c r="I1364">
        <v>1</v>
      </c>
      <c r="J1364">
        <f t="shared" si="365"/>
        <v>0.45706124447857005</v>
      </c>
      <c r="K1364">
        <f t="shared" si="366"/>
        <v>0.21451892852439064</v>
      </c>
      <c r="O1364">
        <f t="shared" si="367"/>
        <v>0.4311975443450366</v>
      </c>
      <c r="P1364">
        <f t="shared" si="368"/>
        <v>9.3945549424806665E-2</v>
      </c>
      <c r="Q1364">
        <f t="shared" si="369"/>
        <v>0.89735328131905856</v>
      </c>
      <c r="R1364">
        <f t="shared" si="370"/>
        <v>1</v>
      </c>
      <c r="AG1364" s="8">
        <f t="shared" si="360"/>
        <v>0.74123866811555827</v>
      </c>
      <c r="AH1364" s="8">
        <f t="shared" si="361"/>
        <v>0.16820001562567893</v>
      </c>
      <c r="AI1364" s="8">
        <f t="shared" si="362"/>
        <v>0.64982612415460395</v>
      </c>
      <c r="AJ1364" s="8"/>
      <c r="AK1364" s="8"/>
      <c r="AL1364" s="8"/>
      <c r="AN1364" s="8">
        <f t="shared" si="371"/>
        <v>1</v>
      </c>
      <c r="AO1364" s="8">
        <f t="shared" si="372"/>
        <v>0.22313878262678391</v>
      </c>
      <c r="AP1364" s="8">
        <f t="shared" si="373"/>
        <v>0.86344067150134041</v>
      </c>
      <c r="AQ1364" s="8"/>
      <c r="AR1364" s="8">
        <f t="shared" si="374"/>
        <v>12.784910490201815</v>
      </c>
      <c r="AS1364" s="8">
        <f t="shared" si="375"/>
        <v>40.528493663031455</v>
      </c>
    </row>
    <row r="1365" spans="1:45">
      <c r="A1365" s="20">
        <v>49.282566670000001</v>
      </c>
      <c r="B1365" s="20">
        <v>1682.573449</v>
      </c>
      <c r="C1365" s="20">
        <v>-382.95483630000001</v>
      </c>
      <c r="E1365" s="9">
        <f t="shared" si="364"/>
        <v>722.57344899999998</v>
      </c>
      <c r="F1365" s="9">
        <f t="shared" si="363"/>
        <v>157.04516369999999</v>
      </c>
      <c r="I1365">
        <v>1</v>
      </c>
      <c r="J1365">
        <f t="shared" si="365"/>
        <v>0.45733676969613135</v>
      </c>
      <c r="K1365">
        <f t="shared" si="366"/>
        <v>0.21401308185514883</v>
      </c>
      <c r="O1365">
        <f t="shared" si="367"/>
        <v>0.43148659781003607</v>
      </c>
      <c r="P1365">
        <f t="shared" si="368"/>
        <v>9.3779924354005936E-2</v>
      </c>
      <c r="Q1365">
        <f t="shared" si="369"/>
        <v>0.89723165442291275</v>
      </c>
      <c r="R1365">
        <f t="shared" si="370"/>
        <v>1</v>
      </c>
      <c r="AG1365" s="8">
        <f t="shared" si="360"/>
        <v>0.7413432046464481</v>
      </c>
      <c r="AH1365" s="8">
        <f t="shared" si="361"/>
        <v>0.16847949398406009</v>
      </c>
      <c r="AI1365" s="8">
        <f t="shared" si="362"/>
        <v>0.64963444569342976</v>
      </c>
      <c r="AJ1365" s="8"/>
      <c r="AK1365" s="8"/>
      <c r="AL1365" s="8"/>
      <c r="AN1365" s="8">
        <f t="shared" si="371"/>
        <v>1</v>
      </c>
      <c r="AO1365" s="8">
        <f t="shared" si="372"/>
        <v>0.22346685556635862</v>
      </c>
      <c r="AP1365" s="8">
        <f t="shared" si="373"/>
        <v>0.86369282532010017</v>
      </c>
      <c r="AQ1365" s="8"/>
      <c r="AR1365" s="8">
        <f t="shared" si="374"/>
        <v>12.803707685011897</v>
      </c>
      <c r="AS1365" s="8">
        <f t="shared" si="375"/>
        <v>40.514046313428416</v>
      </c>
    </row>
    <row r="1366" spans="1:45">
      <c r="A1366" s="20">
        <v>49.31593333</v>
      </c>
      <c r="B1366" s="20">
        <v>1683.0065300000001</v>
      </c>
      <c r="C1366" s="20">
        <v>-383.00081449999999</v>
      </c>
      <c r="E1366" s="9">
        <f t="shared" si="364"/>
        <v>723.00653000000011</v>
      </c>
      <c r="F1366" s="9">
        <f t="shared" si="363"/>
        <v>156.99918550000001</v>
      </c>
      <c r="I1366">
        <v>1</v>
      </c>
      <c r="J1366">
        <f t="shared" si="365"/>
        <v>0.4575602585528985</v>
      </c>
      <c r="K1366">
        <f t="shared" si="366"/>
        <v>0.2138280345783605</v>
      </c>
      <c r="O1366">
        <f t="shared" si="367"/>
        <v>0.43169988792093916</v>
      </c>
      <c r="P1366">
        <f t="shared" si="368"/>
        <v>9.3742626064565043E-2</v>
      </c>
      <c r="Q1366">
        <f t="shared" si="369"/>
        <v>0.89713294824544687</v>
      </c>
      <c r="R1366">
        <f t="shared" si="370"/>
        <v>1</v>
      </c>
      <c r="AG1366" s="8">
        <f t="shared" si="360"/>
        <v>0.74136298483971919</v>
      </c>
      <c r="AH1366" s="8">
        <f t="shared" si="361"/>
        <v>0.16870256423683505</v>
      </c>
      <c r="AI1366" s="8">
        <f t="shared" si="362"/>
        <v>0.64955397737944676</v>
      </c>
      <c r="AJ1366" s="8"/>
      <c r="AK1366" s="8"/>
      <c r="AL1366" s="8"/>
      <c r="AN1366" s="8">
        <f t="shared" si="371"/>
        <v>1</v>
      </c>
      <c r="AO1366" s="8">
        <f t="shared" si="372"/>
        <v>0.22374718669505139</v>
      </c>
      <c r="AP1366" s="8">
        <f t="shared" si="373"/>
        <v>0.86379866553295559</v>
      </c>
      <c r="AQ1366" s="8"/>
      <c r="AR1366" s="8">
        <f t="shared" si="374"/>
        <v>12.819769475552132</v>
      </c>
      <c r="AS1366" s="8">
        <f t="shared" si="375"/>
        <v>40.507982115929032</v>
      </c>
    </row>
    <row r="1367" spans="1:45">
      <c r="A1367" s="20">
        <v>49.349299999999999</v>
      </c>
      <c r="B1367" s="20">
        <v>1683.755735</v>
      </c>
      <c r="C1367" s="20">
        <v>-383.52193499999998</v>
      </c>
      <c r="E1367" s="9">
        <f t="shared" si="364"/>
        <v>723.75573499999996</v>
      </c>
      <c r="F1367" s="9">
        <f t="shared" si="363"/>
        <v>156.47806500000002</v>
      </c>
      <c r="I1367">
        <v>1</v>
      </c>
      <c r="J1367">
        <f t="shared" si="365"/>
        <v>0.45789631385176027</v>
      </c>
      <c r="K1367">
        <f t="shared" si="366"/>
        <v>0.21292559663729763</v>
      </c>
      <c r="O1367">
        <f t="shared" si="367"/>
        <v>0.43207896241233507</v>
      </c>
      <c r="P1367">
        <f t="shared" si="368"/>
        <v>9.341671049486043E-2</v>
      </c>
      <c r="Q1367">
        <f t="shared" si="369"/>
        <v>0.89698444158246105</v>
      </c>
      <c r="R1367">
        <f t="shared" si="370"/>
        <v>1</v>
      </c>
      <c r="AG1367" s="8">
        <f t="shared" si="360"/>
        <v>0.74157316200859846</v>
      </c>
      <c r="AH1367" s="8">
        <f t="shared" si="361"/>
        <v>0.16904764917067028</v>
      </c>
      <c r="AI1367" s="8">
        <f t="shared" si="362"/>
        <v>0.64922425840262554</v>
      </c>
      <c r="AJ1367" s="8"/>
      <c r="AK1367" s="8"/>
      <c r="AL1367" s="8"/>
      <c r="AN1367" s="8">
        <f t="shared" si="371"/>
        <v>1.0000000000000002</v>
      </c>
      <c r="AO1367" s="8">
        <f t="shared" si="372"/>
        <v>0.22412826601858532</v>
      </c>
      <c r="AP1367" s="8">
        <f t="shared" si="373"/>
        <v>0.86423224598733384</v>
      </c>
      <c r="AQ1367" s="8"/>
      <c r="AR1367" s="8">
        <f t="shared" si="374"/>
        <v>12.841603712450326</v>
      </c>
      <c r="AS1367" s="8">
        <f t="shared" si="375"/>
        <v>40.483139785813798</v>
      </c>
    </row>
    <row r="1368" spans="1:45">
      <c r="A1368" s="20">
        <v>49.382666669999999</v>
      </c>
      <c r="B1368" s="20">
        <v>1684.0796889999999</v>
      </c>
      <c r="C1368" s="20">
        <v>-384.03777330000003</v>
      </c>
      <c r="E1368" s="9">
        <f t="shared" si="364"/>
        <v>724.07968899999992</v>
      </c>
      <c r="F1368" s="9">
        <f t="shared" si="363"/>
        <v>155.96222669999997</v>
      </c>
      <c r="I1368">
        <v>1</v>
      </c>
      <c r="J1368">
        <f t="shared" si="365"/>
        <v>0.45800861355951378</v>
      </c>
      <c r="K1368">
        <f t="shared" si="366"/>
        <v>0.21215246572028884</v>
      </c>
      <c r="O1368">
        <f t="shared" si="367"/>
        <v>0.43224952658764648</v>
      </c>
      <c r="P1368">
        <f t="shared" si="368"/>
        <v>9.3103838818810167E-2</v>
      </c>
      <c r="Q1368">
        <f t="shared" si="369"/>
        <v>0.89693479248045482</v>
      </c>
      <c r="R1368">
        <f t="shared" si="370"/>
        <v>1</v>
      </c>
      <c r="AG1368" s="8">
        <f t="shared" si="360"/>
        <v>0.74177974193401464</v>
      </c>
      <c r="AH1368" s="8">
        <f t="shared" si="361"/>
        <v>0.16917004748405556</v>
      </c>
      <c r="AI1368" s="8">
        <f t="shared" si="362"/>
        <v>0.64895632325338293</v>
      </c>
      <c r="AJ1368" s="8"/>
      <c r="AK1368" s="8"/>
      <c r="AL1368" s="8"/>
      <c r="AN1368" s="8">
        <f t="shared" si="371"/>
        <v>1.0000000000000002</v>
      </c>
      <c r="AO1368" s="8">
        <f t="shared" si="372"/>
        <v>0.22422477062337823</v>
      </c>
      <c r="AP1368" s="8">
        <f t="shared" si="373"/>
        <v>0.86458446256099364</v>
      </c>
      <c r="AQ1368" s="8"/>
      <c r="AR1368" s="8">
        <f t="shared" si="374"/>
        <v>12.847133019008538</v>
      </c>
      <c r="AS1368" s="8">
        <f t="shared" si="375"/>
        <v>40.462959262668527</v>
      </c>
    </row>
    <row r="1369" spans="1:45">
      <c r="A1369" s="20">
        <v>49.416033329999998</v>
      </c>
      <c r="B1369" s="20">
        <v>1684.6971570000001</v>
      </c>
      <c r="C1369" s="20">
        <v>-384.0428149</v>
      </c>
      <c r="E1369" s="9">
        <f t="shared" si="364"/>
        <v>724.69715700000006</v>
      </c>
      <c r="F1369" s="9">
        <f t="shared" si="363"/>
        <v>155.9571851</v>
      </c>
      <c r="I1369">
        <v>1</v>
      </c>
      <c r="J1369">
        <f t="shared" si="365"/>
        <v>0.45833410772977723</v>
      </c>
      <c r="K1369">
        <f t="shared" si="366"/>
        <v>0.21197042395184343</v>
      </c>
      <c r="O1369">
        <f t="shared" si="367"/>
        <v>0.43255185807298457</v>
      </c>
      <c r="P1369">
        <f t="shared" si="368"/>
        <v>9.3086566634395365E-2</v>
      </c>
      <c r="Q1369">
        <f t="shared" si="369"/>
        <v>0.89679082354238482</v>
      </c>
      <c r="R1369">
        <f t="shared" si="370"/>
        <v>1</v>
      </c>
      <c r="AG1369" s="8">
        <f t="shared" si="360"/>
        <v>0.7417835155026733</v>
      </c>
      <c r="AH1369" s="8">
        <f t="shared" si="361"/>
        <v>0.1694933890795231</v>
      </c>
      <c r="AI1369" s="8">
        <f t="shared" si="362"/>
        <v>0.64886763456565832</v>
      </c>
      <c r="AJ1369" s="8"/>
      <c r="AK1369" s="8"/>
      <c r="AL1369" s="8"/>
      <c r="AN1369" s="8">
        <f t="shared" si="371"/>
        <v>1</v>
      </c>
      <c r="AO1369" s="8">
        <f t="shared" si="372"/>
        <v>0.22463797567938268</v>
      </c>
      <c r="AP1369" s="8">
        <f t="shared" si="373"/>
        <v>0.86470102576788932</v>
      </c>
      <c r="AQ1369" s="8"/>
      <c r="AR1369" s="8">
        <f t="shared" si="374"/>
        <v>12.870807924791059</v>
      </c>
      <c r="AS1369" s="8">
        <f t="shared" si="375"/>
        <v>40.456280682866897</v>
      </c>
    </row>
    <row r="1370" spans="1:45">
      <c r="A1370" s="20">
        <v>49.449399999999997</v>
      </c>
      <c r="B1370" s="20">
        <v>1685.099641</v>
      </c>
      <c r="C1370" s="20">
        <v>-384.10509389999999</v>
      </c>
      <c r="E1370" s="9">
        <f t="shared" si="364"/>
        <v>725.09964100000002</v>
      </c>
      <c r="F1370" s="9">
        <f t="shared" si="363"/>
        <v>155.89490610000001</v>
      </c>
      <c r="I1370">
        <v>1</v>
      </c>
      <c r="J1370">
        <f t="shared" si="365"/>
        <v>0.45853952973334733</v>
      </c>
      <c r="K1370">
        <f t="shared" si="366"/>
        <v>0.21177416070426375</v>
      </c>
      <c r="O1370">
        <f t="shared" si="367"/>
        <v>0.43275021508032668</v>
      </c>
      <c r="P1370">
        <f t="shared" si="368"/>
        <v>9.3040391044273529E-2</v>
      </c>
      <c r="Q1370">
        <f t="shared" si="369"/>
        <v>0.89669991467729027</v>
      </c>
      <c r="R1370">
        <f t="shared" si="370"/>
        <v>1</v>
      </c>
      <c r="AG1370" s="8">
        <f t="shared" si="360"/>
        <v>0.74180943276875477</v>
      </c>
      <c r="AH1370" s="8">
        <f t="shared" si="361"/>
        <v>0.16969865472995554</v>
      </c>
      <c r="AI1370" s="8">
        <f t="shared" si="362"/>
        <v>0.64878434940906338</v>
      </c>
      <c r="AJ1370" s="8"/>
      <c r="AK1370" s="8"/>
      <c r="AL1370" s="8"/>
      <c r="AN1370" s="8">
        <f t="shared" si="371"/>
        <v>1</v>
      </c>
      <c r="AO1370" s="8">
        <f t="shared" si="372"/>
        <v>0.22489335310884134</v>
      </c>
      <c r="AP1370" s="8">
        <f t="shared" si="373"/>
        <v>0.86481047658613686</v>
      </c>
      <c r="AQ1370" s="8"/>
      <c r="AR1370" s="8">
        <f t="shared" si="374"/>
        <v>12.88543997368194</v>
      </c>
      <c r="AS1370" s="8">
        <f t="shared" si="375"/>
        <v>40.450009612917057</v>
      </c>
    </row>
    <row r="1371" spans="1:45">
      <c r="A1371" s="20">
        <v>49.482766669999997</v>
      </c>
      <c r="B1371" s="20">
        <v>1685.6587259999999</v>
      </c>
      <c r="C1371" s="20">
        <v>-384.30494110000001</v>
      </c>
      <c r="E1371" s="9">
        <f t="shared" si="364"/>
        <v>725.65872599999989</v>
      </c>
      <c r="F1371" s="9">
        <f t="shared" si="363"/>
        <v>155.69505889999999</v>
      </c>
      <c r="I1371">
        <v>1</v>
      </c>
      <c r="J1371">
        <f t="shared" si="365"/>
        <v>0.45881199706543219</v>
      </c>
      <c r="K1371">
        <f t="shared" si="366"/>
        <v>0.21135256217688622</v>
      </c>
      <c r="O1371">
        <f t="shared" si="367"/>
        <v>0.4330282710524217</v>
      </c>
      <c r="P1371">
        <f t="shared" si="368"/>
        <v>9.2909186854967921E-2</v>
      </c>
      <c r="Q1371">
        <f t="shared" si="369"/>
        <v>0.89657927673312809</v>
      </c>
      <c r="R1371">
        <f t="shared" si="370"/>
        <v>1</v>
      </c>
      <c r="AG1371" s="8">
        <f t="shared" si="360"/>
        <v>0.74189050701013481</v>
      </c>
      <c r="AH1371" s="8">
        <f t="shared" si="361"/>
        <v>0.16997326892771109</v>
      </c>
      <c r="AI1371" s="8">
        <f t="shared" si="362"/>
        <v>0.64861973717909116</v>
      </c>
      <c r="AJ1371" s="8"/>
      <c r="AK1371" s="8"/>
      <c r="AL1371" s="8"/>
      <c r="AN1371" s="8">
        <f t="shared" si="371"/>
        <v>1.0000000000000002</v>
      </c>
      <c r="AO1371" s="8">
        <f t="shared" si="372"/>
        <v>0.22522131913919288</v>
      </c>
      <c r="AP1371" s="8">
        <f t="shared" si="373"/>
        <v>0.86502677493339131</v>
      </c>
      <c r="AQ1371" s="8"/>
      <c r="AR1371" s="8">
        <f t="shared" si="374"/>
        <v>12.904231043044744</v>
      </c>
      <c r="AS1371" s="8">
        <f t="shared" si="375"/>
        <v>40.437616630503726</v>
      </c>
    </row>
    <row r="1372" spans="1:45">
      <c r="A1372" s="20">
        <v>49.516133330000002</v>
      </c>
      <c r="B1372" s="20">
        <v>1685.9929460000001</v>
      </c>
      <c r="C1372" s="20">
        <v>-384.45566000000002</v>
      </c>
      <c r="E1372" s="9">
        <f t="shared" si="364"/>
        <v>725.99294600000007</v>
      </c>
      <c r="F1372" s="9">
        <f t="shared" si="363"/>
        <v>155.54433999999998</v>
      </c>
      <c r="I1372">
        <v>1</v>
      </c>
      <c r="J1372">
        <f t="shared" si="365"/>
        <v>0.45897134324315231</v>
      </c>
      <c r="K1372">
        <f t="shared" si="366"/>
        <v>0.21105964930894011</v>
      </c>
      <c r="O1372">
        <f t="shared" si="367"/>
        <v>0.43319515747147946</v>
      </c>
      <c r="P1372">
        <f t="shared" si="368"/>
        <v>9.2812272118271144E-2</v>
      </c>
      <c r="Q1372">
        <f t="shared" si="369"/>
        <v>0.89650869359281959</v>
      </c>
      <c r="R1372">
        <f t="shared" si="370"/>
        <v>1</v>
      </c>
      <c r="AG1372" s="8">
        <f t="shared" si="360"/>
        <v>0.74195136929970107</v>
      </c>
      <c r="AH1372" s="8">
        <f t="shared" si="361"/>
        <v>0.17013451229866006</v>
      </c>
      <c r="AI1372" s="8">
        <f t="shared" si="362"/>
        <v>0.64850783597362627</v>
      </c>
      <c r="AJ1372" s="8"/>
      <c r="AK1372" s="8"/>
      <c r="AL1372" s="8"/>
      <c r="AN1372" s="8">
        <f t="shared" si="371"/>
        <v>1</v>
      </c>
      <c r="AO1372" s="8">
        <f t="shared" si="372"/>
        <v>0.22540993937553547</v>
      </c>
      <c r="AP1372" s="8">
        <f t="shared" si="373"/>
        <v>0.8651737889126847</v>
      </c>
      <c r="AQ1372" s="8"/>
      <c r="AR1372" s="8">
        <f t="shared" si="374"/>
        <v>12.915038186517933</v>
      </c>
      <c r="AS1372" s="8">
        <f t="shared" si="375"/>
        <v>40.429193349960791</v>
      </c>
    </row>
    <row r="1373" spans="1:45">
      <c r="A1373" s="20">
        <v>49.549500000000002</v>
      </c>
      <c r="B1373" s="20">
        <v>1686.405624</v>
      </c>
      <c r="C1373" s="20">
        <v>-384.72172280000001</v>
      </c>
      <c r="E1373" s="9">
        <f t="shared" si="364"/>
        <v>726.40562399999999</v>
      </c>
      <c r="F1373" s="9">
        <f t="shared" si="363"/>
        <v>155.27827719999999</v>
      </c>
      <c r="I1373">
        <v>1</v>
      </c>
      <c r="J1373">
        <f t="shared" si="365"/>
        <v>0.45915908665658139</v>
      </c>
      <c r="K1373">
        <f t="shared" si="366"/>
        <v>0.21059302914977215</v>
      </c>
      <c r="O1373">
        <f t="shared" si="367"/>
        <v>0.43340300582016583</v>
      </c>
      <c r="P1373">
        <f t="shared" si="368"/>
        <v>9.264530704825176E-2</v>
      </c>
      <c r="Q1373">
        <f t="shared" si="369"/>
        <v>0.89642550255332454</v>
      </c>
      <c r="R1373">
        <f t="shared" si="370"/>
        <v>1</v>
      </c>
      <c r="AG1373" s="8">
        <f t="shared" si="360"/>
        <v>0.7420582984664611</v>
      </c>
      <c r="AH1373" s="8">
        <f t="shared" si="361"/>
        <v>0.17032620147194061</v>
      </c>
      <c r="AI1373" s="8">
        <f t="shared" si="362"/>
        <v>0.64833515003368469</v>
      </c>
      <c r="AJ1373" s="8"/>
      <c r="AK1373" s="8"/>
      <c r="AL1373" s="8"/>
      <c r="AN1373" s="8">
        <f t="shared" si="371"/>
        <v>1</v>
      </c>
      <c r="AO1373" s="8">
        <f t="shared" si="372"/>
        <v>0.22562395335257912</v>
      </c>
      <c r="AP1373" s="8">
        <f t="shared" si="373"/>
        <v>0.86540062476038127</v>
      </c>
      <c r="AQ1373" s="8"/>
      <c r="AR1373" s="8">
        <f t="shared" si="374"/>
        <v>12.927300284159344</v>
      </c>
      <c r="AS1373" s="8">
        <f t="shared" si="375"/>
        <v>40.416196613245503</v>
      </c>
    </row>
    <row r="1374" spans="1:45">
      <c r="A1374" s="20">
        <v>49.582866670000001</v>
      </c>
      <c r="B1374" s="20">
        <v>1687.0405169999999</v>
      </c>
      <c r="C1374" s="20">
        <v>-385.16527680000002</v>
      </c>
      <c r="E1374" s="9">
        <f t="shared" si="364"/>
        <v>727.04051699999991</v>
      </c>
      <c r="F1374" s="9">
        <f t="shared" si="363"/>
        <v>154.83472319999998</v>
      </c>
      <c r="I1374">
        <v>1</v>
      </c>
      <c r="J1374">
        <f t="shared" si="365"/>
        <v>0.45944418167452794</v>
      </c>
      <c r="K1374">
        <f t="shared" si="366"/>
        <v>0.20983097026860109</v>
      </c>
      <c r="O1374">
        <f t="shared" si="367"/>
        <v>0.43372342441219969</v>
      </c>
      <c r="P1374">
        <f t="shared" si="368"/>
        <v>9.2368230922430239E-2</v>
      </c>
      <c r="Q1374">
        <f t="shared" si="369"/>
        <v>0.8962991135956877</v>
      </c>
      <c r="R1374">
        <f t="shared" si="370"/>
        <v>1</v>
      </c>
      <c r="AG1374" s="8">
        <f t="shared" si="360"/>
        <v>0.74223627552291593</v>
      </c>
      <c r="AH1374" s="8">
        <f t="shared" si="361"/>
        <v>0.17061786634579978</v>
      </c>
      <c r="AI1374" s="8">
        <f t="shared" si="362"/>
        <v>0.6480546697474503</v>
      </c>
      <c r="AJ1374" s="8"/>
      <c r="AK1374" s="8"/>
      <c r="AL1374" s="8"/>
      <c r="AN1374" s="8">
        <f t="shared" si="371"/>
        <v>1</v>
      </c>
      <c r="AO1374" s="8">
        <f t="shared" si="372"/>
        <v>0.22594493349295411</v>
      </c>
      <c r="AP1374" s="8">
        <f t="shared" si="373"/>
        <v>0.86576896316784679</v>
      </c>
      <c r="AQ1374" s="8"/>
      <c r="AR1374" s="8">
        <f t="shared" si="374"/>
        <v>12.945691091510348</v>
      </c>
      <c r="AS1374" s="8">
        <f t="shared" si="375"/>
        <v>40.395092377065161</v>
      </c>
    </row>
    <row r="1375" spans="1:45">
      <c r="A1375" s="20">
        <v>49.61623333</v>
      </c>
      <c r="B1375" s="20">
        <v>1687.6508940000001</v>
      </c>
      <c r="C1375" s="20">
        <v>-385.01779820000002</v>
      </c>
      <c r="E1375" s="9">
        <f t="shared" si="364"/>
        <v>727.65089400000011</v>
      </c>
      <c r="F1375" s="9">
        <f t="shared" si="363"/>
        <v>154.98220179999998</v>
      </c>
      <c r="I1375">
        <v>1</v>
      </c>
      <c r="J1375">
        <f t="shared" si="365"/>
        <v>0.4597827802415701</v>
      </c>
      <c r="K1375">
        <f t="shared" si="366"/>
        <v>0.20985396251610527</v>
      </c>
      <c r="O1375">
        <f t="shared" si="367"/>
        <v>0.43401810320621598</v>
      </c>
      <c r="P1375">
        <f t="shared" si="368"/>
        <v>9.2441419107167314E-2</v>
      </c>
      <c r="Q1375">
        <f t="shared" si="369"/>
        <v>0.89614891068545721</v>
      </c>
      <c r="R1375">
        <f t="shared" si="370"/>
        <v>1</v>
      </c>
      <c r="AG1375" s="8">
        <f t="shared" si="360"/>
        <v>0.74217886842110192</v>
      </c>
      <c r="AH1375" s="8">
        <f t="shared" si="361"/>
        <v>0.17095099031079397</v>
      </c>
      <c r="AI1375" s="8">
        <f t="shared" si="362"/>
        <v>0.64803262740461731</v>
      </c>
      <c r="AJ1375" s="8"/>
      <c r="AK1375" s="8"/>
      <c r="AL1375" s="8"/>
      <c r="AN1375" s="8">
        <f t="shared" si="371"/>
        <v>1</v>
      </c>
      <c r="AO1375" s="8">
        <f t="shared" si="372"/>
        <v>0.22638809539496249</v>
      </c>
      <c r="AP1375" s="8">
        <f t="shared" si="373"/>
        <v>0.86579790519819133</v>
      </c>
      <c r="AQ1375" s="8"/>
      <c r="AR1375" s="8">
        <f t="shared" si="374"/>
        <v>12.971082398136419</v>
      </c>
      <c r="AS1375" s="8">
        <f t="shared" si="375"/>
        <v>40.393434120875881</v>
      </c>
    </row>
    <row r="1376" spans="1:45">
      <c r="A1376" s="20">
        <v>49.6496</v>
      </c>
      <c r="B1376" s="20">
        <v>1688.1307790000001</v>
      </c>
      <c r="C1376" s="20">
        <v>-385.9492204</v>
      </c>
      <c r="E1376" s="9">
        <f t="shared" si="364"/>
        <v>728.13077900000008</v>
      </c>
      <c r="F1376" s="9">
        <f t="shared" si="363"/>
        <v>154.0507796</v>
      </c>
      <c r="I1376">
        <v>1</v>
      </c>
      <c r="J1376">
        <f t="shared" si="365"/>
        <v>0.45993163184030744</v>
      </c>
      <c r="K1376">
        <f t="shared" si="366"/>
        <v>0.20849560388163582</v>
      </c>
      <c r="O1376">
        <f t="shared" si="367"/>
        <v>0.43427377090252173</v>
      </c>
      <c r="P1376">
        <f t="shared" si="368"/>
        <v>9.187939158298547E-2</v>
      </c>
      <c r="Q1376">
        <f t="shared" si="369"/>
        <v>0.8960828473464072</v>
      </c>
      <c r="R1376">
        <f t="shared" si="370"/>
        <v>1</v>
      </c>
      <c r="AG1376" s="8">
        <f t="shared" ref="AG1376:AG1439" si="376">$O1376*$Z$27+$P1376*$Z$31+$Q1376*$Z$35</f>
        <v>0.74255030457788496</v>
      </c>
      <c r="AH1376" s="8">
        <f t="shared" ref="AH1376:AH1439" si="377">$O1376*$AA$27+$P1376*$AA$31+$Q1376*$AA$35</f>
        <v>0.17111641465238475</v>
      </c>
      <c r="AI1376" s="8">
        <f t="shared" ref="AI1376:AI1439" si="378">$AB$27*$O1376+$P1376*$AB$31+$AB$35*$Q1376</f>
        <v>0.64756329251109002</v>
      </c>
      <c r="AJ1376" s="8"/>
      <c r="AK1376" s="8"/>
      <c r="AL1376" s="8"/>
      <c r="AN1376" s="8">
        <f t="shared" si="371"/>
        <v>1.0000000000000002</v>
      </c>
      <c r="AO1376" s="8">
        <f t="shared" si="372"/>
        <v>0.22649023425716039</v>
      </c>
      <c r="AP1376" s="8">
        <f t="shared" si="373"/>
        <v>0.86641398213573184</v>
      </c>
      <c r="AQ1376" s="8"/>
      <c r="AR1376" s="8">
        <f t="shared" si="374"/>
        <v>12.976934523864626</v>
      </c>
      <c r="AS1376" s="8">
        <f t="shared" si="375"/>
        <v>40.358135512499459</v>
      </c>
    </row>
    <row r="1377" spans="1:45">
      <c r="A1377" s="20">
        <v>49.682966669999999</v>
      </c>
      <c r="B1377" s="20">
        <v>1688.693019</v>
      </c>
      <c r="C1377" s="20">
        <v>-386.15393089999998</v>
      </c>
      <c r="E1377" s="9">
        <f t="shared" si="364"/>
        <v>728.69301900000005</v>
      </c>
      <c r="F1377" s="9">
        <f t="shared" ref="F1377:F1440" si="379">(($C$15/2)+C1377)</f>
        <v>153.84606910000002</v>
      </c>
      <c r="I1377">
        <v>1</v>
      </c>
      <c r="J1377">
        <f t="shared" si="365"/>
        <v>0.46020540641217977</v>
      </c>
      <c r="K1377">
        <f t="shared" si="366"/>
        <v>0.20807042555261299</v>
      </c>
      <c r="O1377">
        <f t="shared" si="367"/>
        <v>0.43455281386593347</v>
      </c>
      <c r="P1377">
        <f t="shared" si="368"/>
        <v>9.1745413344789903E-2</v>
      </c>
      <c r="Q1377">
        <f t="shared" si="369"/>
        <v>0.89596128883528947</v>
      </c>
      <c r="R1377">
        <f t="shared" si="370"/>
        <v>1</v>
      </c>
      <c r="AG1377" s="8">
        <f t="shared" si="376"/>
        <v>0.74263268735500021</v>
      </c>
      <c r="AH1377" s="8">
        <f t="shared" si="377"/>
        <v>0.17139175453594641</v>
      </c>
      <c r="AI1377" s="8">
        <f t="shared" si="378"/>
        <v>0.6473959824936979</v>
      </c>
      <c r="AJ1377" s="8"/>
      <c r="AK1377" s="8"/>
      <c r="AL1377" s="8"/>
      <c r="AN1377" s="8">
        <f t="shared" si="371"/>
        <v>1</v>
      </c>
      <c r="AO1377" s="8">
        <f t="shared" si="372"/>
        <v>0.22681800022123405</v>
      </c>
      <c r="AP1377" s="8">
        <f t="shared" si="373"/>
        <v>0.86663352524740411</v>
      </c>
      <c r="AQ1377" s="8"/>
      <c r="AR1377" s="8">
        <f t="shared" si="374"/>
        <v>12.995714130274084</v>
      </c>
      <c r="AS1377" s="8">
        <f t="shared" si="375"/>
        <v>40.345556618779469</v>
      </c>
    </row>
    <row r="1378" spans="1:45">
      <c r="A1378" s="20">
        <v>49.716333329999998</v>
      </c>
      <c r="B1378" s="20">
        <v>1689.239315</v>
      </c>
      <c r="C1378" s="20">
        <v>-386.22463440000001</v>
      </c>
      <c r="E1378" s="9">
        <f t="shared" si="364"/>
        <v>729.23931500000003</v>
      </c>
      <c r="F1378" s="9">
        <f t="shared" si="379"/>
        <v>153.77536559999999</v>
      </c>
      <c r="I1378">
        <v>1</v>
      </c>
      <c r="J1378">
        <f t="shared" si="365"/>
        <v>0.4604856684215578</v>
      </c>
      <c r="K1378">
        <f t="shared" si="366"/>
        <v>0.20782618305353112</v>
      </c>
      <c r="O1378">
        <f t="shared" si="367"/>
        <v>0.43482089255899664</v>
      </c>
      <c r="P1378">
        <f t="shared" si="368"/>
        <v>9.1691081855313869E-2</v>
      </c>
      <c r="Q1378">
        <f t="shared" si="369"/>
        <v>0.89583678027997915</v>
      </c>
      <c r="R1378">
        <f t="shared" si="370"/>
        <v>1</v>
      </c>
      <c r="AG1378" s="8">
        <f t="shared" si="376"/>
        <v>0.74266167964706664</v>
      </c>
      <c r="AH1378" s="8">
        <f t="shared" si="377"/>
        <v>0.17167099733394381</v>
      </c>
      <c r="AI1378" s="8">
        <f t="shared" si="378"/>
        <v>0.64728872866609277</v>
      </c>
      <c r="AJ1378" s="8"/>
      <c r="AK1378" s="8"/>
      <c r="AL1378" s="8"/>
      <c r="AN1378" s="8">
        <f t="shared" si="371"/>
        <v>0.99999999999999989</v>
      </c>
      <c r="AO1378" s="8">
        <f t="shared" si="372"/>
        <v>0.22716640634347451</v>
      </c>
      <c r="AP1378" s="8">
        <f t="shared" si="373"/>
        <v>0.86677424148591597</v>
      </c>
      <c r="AQ1378" s="8"/>
      <c r="AR1378" s="8">
        <f t="shared" si="374"/>
        <v>13.015676330634982</v>
      </c>
      <c r="AS1378" s="8">
        <f t="shared" si="375"/>
        <v>40.337494172203783</v>
      </c>
    </row>
    <row r="1379" spans="1:45">
      <c r="A1379" s="20">
        <v>49.749699999999997</v>
      </c>
      <c r="B1379" s="20">
        <v>1689.2672480000001</v>
      </c>
      <c r="C1379" s="20">
        <v>-386.27511170000002</v>
      </c>
      <c r="E1379" s="9">
        <f t="shared" si="364"/>
        <v>729.26724800000011</v>
      </c>
      <c r="F1379" s="9">
        <f t="shared" si="379"/>
        <v>153.72488829999998</v>
      </c>
      <c r="I1379">
        <v>1</v>
      </c>
      <c r="J1379">
        <f t="shared" si="365"/>
        <v>0.46049478703006097</v>
      </c>
      <c r="K1379">
        <f t="shared" si="366"/>
        <v>0.20775217912942903</v>
      </c>
      <c r="O1379">
        <f t="shared" si="367"/>
        <v>0.43483566998180595</v>
      </c>
      <c r="P1379">
        <f t="shared" si="368"/>
        <v>9.1660588049346708E-2</v>
      </c>
      <c r="Q1379">
        <f t="shared" si="369"/>
        <v>0.89583272808595349</v>
      </c>
      <c r="R1379">
        <f t="shared" si="370"/>
        <v>1</v>
      </c>
      <c r="AG1379" s="8">
        <f t="shared" si="376"/>
        <v>0.7426817862124333</v>
      </c>
      <c r="AH1379" s="8">
        <f t="shared" si="377"/>
        <v>0.17168096046154191</v>
      </c>
      <c r="AI1379" s="8">
        <f t="shared" si="378"/>
        <v>0.64726301627955851</v>
      </c>
      <c r="AJ1379" s="8"/>
      <c r="AK1379" s="8"/>
      <c r="AL1379" s="8"/>
      <c r="AN1379" s="8">
        <f t="shared" si="371"/>
        <v>1</v>
      </c>
      <c r="AO1379" s="8">
        <f t="shared" si="372"/>
        <v>0.22717320029929139</v>
      </c>
      <c r="AP1379" s="8">
        <f t="shared" si="373"/>
        <v>0.86680797345049654</v>
      </c>
      <c r="AQ1379" s="8"/>
      <c r="AR1379" s="8">
        <f t="shared" si="374"/>
        <v>13.016065595629486</v>
      </c>
      <c r="AS1379" s="8">
        <f t="shared" si="375"/>
        <v>40.335561472998634</v>
      </c>
    </row>
    <row r="1380" spans="1:45">
      <c r="A1380" s="20">
        <v>49.783066669999997</v>
      </c>
      <c r="B1380" s="20">
        <v>1690.240937</v>
      </c>
      <c r="C1380" s="20">
        <v>-386.55466109999998</v>
      </c>
      <c r="E1380" s="9">
        <f t="shared" si="364"/>
        <v>730.24093700000003</v>
      </c>
      <c r="F1380" s="9">
        <f t="shared" si="379"/>
        <v>153.44533890000002</v>
      </c>
      <c r="I1380">
        <v>1</v>
      </c>
      <c r="J1380">
        <f t="shared" si="365"/>
        <v>0.46097717402247385</v>
      </c>
      <c r="K1380">
        <f t="shared" si="366"/>
        <v>0.20711645198488451</v>
      </c>
      <c r="O1380">
        <f t="shared" si="367"/>
        <v>0.43531670499701242</v>
      </c>
      <c r="P1380">
        <f t="shared" si="368"/>
        <v>9.1472986438581302E-2</v>
      </c>
      <c r="Q1380">
        <f t="shared" si="369"/>
        <v>0.8956182552307379</v>
      </c>
      <c r="R1380">
        <f t="shared" si="370"/>
        <v>1</v>
      </c>
      <c r="AG1380" s="8">
        <f t="shared" si="376"/>
        <v>0.74279426229501355</v>
      </c>
      <c r="AH1380" s="8">
        <f t="shared" si="377"/>
        <v>0.17216431202504523</v>
      </c>
      <c r="AI1380" s="8">
        <f t="shared" si="378"/>
        <v>0.64700551277910257</v>
      </c>
      <c r="AJ1380" s="8"/>
      <c r="AK1380" s="8"/>
      <c r="AL1380" s="8"/>
      <c r="AN1380" s="8">
        <f t="shared" si="371"/>
        <v>1</v>
      </c>
      <c r="AO1380" s="8">
        <f t="shared" si="372"/>
        <v>0.22775760560960437</v>
      </c>
      <c r="AP1380" s="8">
        <f t="shared" si="373"/>
        <v>0.86714573786986671</v>
      </c>
      <c r="AQ1380" s="8"/>
      <c r="AR1380" s="8">
        <f t="shared" si="374"/>
        <v>13.049549553435453</v>
      </c>
      <c r="AS1380" s="8">
        <f t="shared" si="375"/>
        <v>40.316208997299036</v>
      </c>
    </row>
    <row r="1381" spans="1:45">
      <c r="A1381" s="20">
        <v>49.816433330000002</v>
      </c>
      <c r="B1381" s="20">
        <v>1690.656166</v>
      </c>
      <c r="C1381" s="20">
        <v>-386.77295400000003</v>
      </c>
      <c r="E1381" s="9">
        <f t="shared" si="364"/>
        <v>730.65616599999998</v>
      </c>
      <c r="F1381" s="9">
        <f t="shared" si="379"/>
        <v>153.22704599999997</v>
      </c>
      <c r="I1381">
        <v>1</v>
      </c>
      <c r="J1381">
        <f t="shared" si="365"/>
        <v>0.46117191199209456</v>
      </c>
      <c r="K1381">
        <f t="shared" si="366"/>
        <v>0.20671592323913868</v>
      </c>
      <c r="O1381">
        <f t="shared" si="367"/>
        <v>0.43552399709748041</v>
      </c>
      <c r="P1381">
        <f t="shared" si="368"/>
        <v>9.133441780515883E-2</v>
      </c>
      <c r="Q1381">
        <f t="shared" si="369"/>
        <v>0.89553161422499572</v>
      </c>
      <c r="R1381">
        <f t="shared" si="370"/>
        <v>1</v>
      </c>
      <c r="AG1381" s="8">
        <f t="shared" si="376"/>
        <v>0.74288149692895911</v>
      </c>
      <c r="AH1381" s="8">
        <f t="shared" si="377"/>
        <v>0.17236123829315569</v>
      </c>
      <c r="AI1381" s="8">
        <f t="shared" si="378"/>
        <v>0.64685290836065579</v>
      </c>
      <c r="AJ1381" s="8"/>
      <c r="AK1381" s="8"/>
      <c r="AL1381" s="8"/>
      <c r="AN1381" s="8">
        <f t="shared" si="371"/>
        <v>1</v>
      </c>
      <c r="AO1381" s="8">
        <f t="shared" si="372"/>
        <v>0.22798333380236149</v>
      </c>
      <c r="AP1381" s="8">
        <f t="shared" si="373"/>
        <v>0.867345861674096</v>
      </c>
      <c r="AQ1381" s="8"/>
      <c r="AR1381" s="8">
        <f t="shared" si="374"/>
        <v>13.062482826197552</v>
      </c>
      <c r="AS1381" s="8">
        <f t="shared" si="375"/>
        <v>40.304742747936594</v>
      </c>
    </row>
    <row r="1382" spans="1:45">
      <c r="A1382" s="20">
        <v>49.849800000000002</v>
      </c>
      <c r="B1382" s="20">
        <v>1691.092778</v>
      </c>
      <c r="C1382" s="20">
        <v>-387.22217110000003</v>
      </c>
      <c r="E1382" s="9">
        <f t="shared" si="364"/>
        <v>731.09277799999995</v>
      </c>
      <c r="F1382" s="9">
        <f t="shared" si="379"/>
        <v>152.77782889999997</v>
      </c>
      <c r="I1382">
        <v>1</v>
      </c>
      <c r="J1382">
        <f t="shared" si="365"/>
        <v>0.46135249274355888</v>
      </c>
      <c r="K1382">
        <f t="shared" si="366"/>
        <v>0.20600729150179714</v>
      </c>
      <c r="O1382">
        <f t="shared" si="367"/>
        <v>0.43574689946753054</v>
      </c>
      <c r="P1382">
        <f t="shared" si="368"/>
        <v>9.1058846775471589E-2</v>
      </c>
      <c r="Q1382">
        <f t="shared" si="369"/>
        <v>0.89545124156949774</v>
      </c>
      <c r="R1382">
        <f t="shared" si="370"/>
        <v>1</v>
      </c>
      <c r="AG1382" s="8">
        <f t="shared" si="376"/>
        <v>0.74306038170987709</v>
      </c>
      <c r="AH1382" s="8">
        <f t="shared" si="377"/>
        <v>0.17254804464705897</v>
      </c>
      <c r="AI1382" s="8">
        <f t="shared" si="378"/>
        <v>0.64659758847497129</v>
      </c>
      <c r="AJ1382" s="8"/>
      <c r="AK1382" s="8"/>
      <c r="AL1382" s="8"/>
      <c r="AN1382" s="8">
        <f t="shared" si="371"/>
        <v>1</v>
      </c>
      <c r="AO1382" s="8">
        <f t="shared" si="372"/>
        <v>0.22816888231562962</v>
      </c>
      <c r="AP1382" s="8">
        <f t="shared" si="373"/>
        <v>0.86768060950818371</v>
      </c>
      <c r="AQ1382" s="8"/>
      <c r="AR1382" s="8">
        <f t="shared" si="374"/>
        <v>13.073113972902743</v>
      </c>
      <c r="AS1382" s="8">
        <f t="shared" si="375"/>
        <v>40.285563109842222</v>
      </c>
    </row>
    <row r="1383" spans="1:45">
      <c r="A1383" s="20">
        <v>49.883166670000001</v>
      </c>
      <c r="B1383" s="20">
        <v>1691.868702</v>
      </c>
      <c r="C1383" s="20">
        <v>-387.44506480000001</v>
      </c>
      <c r="E1383" s="9">
        <f t="shared" si="364"/>
        <v>731.86870199999998</v>
      </c>
      <c r="F1383" s="9">
        <f t="shared" si="379"/>
        <v>152.55493519999999</v>
      </c>
      <c r="I1383">
        <v>1</v>
      </c>
      <c r="J1383">
        <f t="shared" si="365"/>
        <v>0.46173692817283918</v>
      </c>
      <c r="K1383">
        <f t="shared" si="366"/>
        <v>0.20550314646608692</v>
      </c>
      <c r="O1383">
        <f t="shared" si="367"/>
        <v>0.43612971851227994</v>
      </c>
      <c r="P1383">
        <f t="shared" si="368"/>
        <v>9.0909395038503912E-2</v>
      </c>
      <c r="Q1383">
        <f t="shared" si="369"/>
        <v>0.89528004028020902</v>
      </c>
      <c r="R1383">
        <f t="shared" si="370"/>
        <v>1</v>
      </c>
      <c r="AG1383" s="8">
        <f t="shared" si="376"/>
        <v>0.74314960540453701</v>
      </c>
      <c r="AH1383" s="8">
        <f t="shared" si="377"/>
        <v>0.17293282853567205</v>
      </c>
      <c r="AI1383" s="8">
        <f t="shared" si="378"/>
        <v>0.64639221901391475</v>
      </c>
      <c r="AJ1383" s="8"/>
      <c r="AK1383" s="8"/>
      <c r="AL1383" s="8"/>
      <c r="AN1383" s="8">
        <f t="shared" si="371"/>
        <v>1</v>
      </c>
      <c r="AO1383" s="8">
        <f t="shared" si="372"/>
        <v>0.22863366187356038</v>
      </c>
      <c r="AP1383" s="8">
        <f t="shared" si="373"/>
        <v>0.86794979883263024</v>
      </c>
      <c r="AQ1383" s="8"/>
      <c r="AR1383" s="8">
        <f t="shared" si="374"/>
        <v>13.099743879976131</v>
      </c>
      <c r="AS1383" s="8">
        <f t="shared" si="375"/>
        <v>40.270139697661463</v>
      </c>
    </row>
    <row r="1384" spans="1:45">
      <c r="A1384" s="20">
        <v>49.91653333</v>
      </c>
      <c r="B1384" s="20">
        <v>1691.997963</v>
      </c>
      <c r="C1384" s="20">
        <v>-387.96559400000001</v>
      </c>
      <c r="E1384" s="9">
        <f t="shared" si="364"/>
        <v>731.99796300000003</v>
      </c>
      <c r="F1384" s="9">
        <f t="shared" si="379"/>
        <v>152.03440599999999</v>
      </c>
      <c r="I1384">
        <v>1</v>
      </c>
      <c r="J1384">
        <f t="shared" si="365"/>
        <v>0.4617479711144537</v>
      </c>
      <c r="K1384">
        <f t="shared" si="366"/>
        <v>0.20478626682995077</v>
      </c>
      <c r="O1384">
        <f t="shared" si="367"/>
        <v>0.43620445744807385</v>
      </c>
      <c r="P1384">
        <f t="shared" si="368"/>
        <v>9.0598729688910598E-2</v>
      </c>
      <c r="Q1384">
        <f t="shared" si="369"/>
        <v>0.89527512055299918</v>
      </c>
      <c r="R1384">
        <f t="shared" si="370"/>
        <v>1</v>
      </c>
      <c r="AG1384" s="8">
        <f t="shared" si="376"/>
        <v>0.74335628440847423</v>
      </c>
      <c r="AH1384" s="8">
        <f t="shared" si="377"/>
        <v>0.17295244791224335</v>
      </c>
      <c r="AI1384" s="8">
        <f t="shared" si="378"/>
        <v>0.64614927469710148</v>
      </c>
      <c r="AJ1384" s="8"/>
      <c r="AK1384" s="8"/>
      <c r="AL1384" s="8"/>
      <c r="AN1384" s="8">
        <f t="shared" si="371"/>
        <v>1</v>
      </c>
      <c r="AO1384" s="8">
        <f t="shared" si="372"/>
        <v>0.22859732284874304</v>
      </c>
      <c r="AP1384" s="8">
        <f t="shared" si="373"/>
        <v>0.86826816039748256</v>
      </c>
      <c r="AQ1384" s="8"/>
      <c r="AR1384" s="8">
        <f t="shared" si="374"/>
        <v>13.097661807222478</v>
      </c>
      <c r="AS1384" s="8">
        <f t="shared" si="375"/>
        <v>40.25189892363624</v>
      </c>
    </row>
    <row r="1385" spans="1:45">
      <c r="A1385" s="20">
        <v>49.9499</v>
      </c>
      <c r="B1385" s="20">
        <v>1692.535202</v>
      </c>
      <c r="C1385" s="20">
        <v>-387.96570359999998</v>
      </c>
      <c r="E1385" s="9">
        <f t="shared" si="364"/>
        <v>732.53520200000003</v>
      </c>
      <c r="F1385" s="9">
        <f t="shared" si="379"/>
        <v>152.03429640000002</v>
      </c>
      <c r="I1385">
        <v>1</v>
      </c>
      <c r="J1385">
        <f t="shared" si="365"/>
        <v>0.46203107957348377</v>
      </c>
      <c r="K1385">
        <f t="shared" si="366"/>
        <v>0.20464009332630362</v>
      </c>
      <c r="O1385">
        <f t="shared" si="367"/>
        <v>0.4364658497483046</v>
      </c>
      <c r="P1385">
        <f t="shared" si="368"/>
        <v>9.0586470367483601E-2</v>
      </c>
      <c r="Q1385">
        <f t="shared" si="369"/>
        <v>0.89514895597875299</v>
      </c>
      <c r="R1385">
        <f t="shared" si="370"/>
        <v>1</v>
      </c>
      <c r="AG1385" s="8">
        <f t="shared" si="376"/>
        <v>0.74335671020228988</v>
      </c>
      <c r="AH1385" s="8">
        <f t="shared" si="377"/>
        <v>0.17323293553130104</v>
      </c>
      <c r="AI1385" s="8">
        <f t="shared" si="378"/>
        <v>0.64607364243129195</v>
      </c>
      <c r="AJ1385" s="8"/>
      <c r="AK1385" s="8"/>
      <c r="AL1385" s="8"/>
      <c r="AN1385" s="8">
        <f t="shared" si="371"/>
        <v>1</v>
      </c>
      <c r="AO1385" s="8">
        <f t="shared" si="372"/>
        <v>0.22895511562516527</v>
      </c>
      <c r="AP1385" s="8">
        <f t="shared" si="373"/>
        <v>0.8683672536862802</v>
      </c>
      <c r="AQ1385" s="8"/>
      <c r="AR1385" s="8">
        <f t="shared" si="374"/>
        <v>13.118161823251739</v>
      </c>
      <c r="AS1385" s="8">
        <f t="shared" si="375"/>
        <v>40.246221296410063</v>
      </c>
    </row>
    <row r="1386" spans="1:45">
      <c r="A1386" s="20">
        <v>49.983266669999999</v>
      </c>
      <c r="B1386" s="20">
        <v>1692.9090040000001</v>
      </c>
      <c r="C1386" s="20">
        <v>-388.16308020000002</v>
      </c>
      <c r="E1386" s="9">
        <f t="shared" si="364"/>
        <v>732.9090040000001</v>
      </c>
      <c r="F1386" s="9">
        <f t="shared" si="379"/>
        <v>151.83691979999998</v>
      </c>
      <c r="I1386">
        <v>1</v>
      </c>
      <c r="J1386">
        <f t="shared" si="365"/>
        <v>0.4622064716664116</v>
      </c>
      <c r="K1386">
        <f t="shared" si="366"/>
        <v>0.20428040005973899</v>
      </c>
      <c r="O1386">
        <f t="shared" si="367"/>
        <v>0.43665213568105454</v>
      </c>
      <c r="P1386">
        <f t="shared" si="368"/>
        <v>9.0461319132467591E-2</v>
      </c>
      <c r="Q1386">
        <f t="shared" si="369"/>
        <v>0.89507075817836201</v>
      </c>
      <c r="R1386">
        <f t="shared" si="370"/>
        <v>1</v>
      </c>
      <c r="AG1386" s="8">
        <f t="shared" si="376"/>
        <v>0.74343523218029739</v>
      </c>
      <c r="AH1386" s="8">
        <f t="shared" si="377"/>
        <v>0.17340989639682458</v>
      </c>
      <c r="AI1386" s="8">
        <f t="shared" si="378"/>
        <v>0.64593580438358578</v>
      </c>
      <c r="AJ1386" s="8"/>
      <c r="AK1386" s="8"/>
      <c r="AL1386" s="8"/>
      <c r="AN1386" s="8">
        <f t="shared" si="371"/>
        <v>1</v>
      </c>
      <c r="AO1386" s="8">
        <f t="shared" si="372"/>
        <v>0.2291575301285462</v>
      </c>
      <c r="AP1386" s="8">
        <f t="shared" si="373"/>
        <v>0.86854782753015081</v>
      </c>
      <c r="AQ1386" s="8"/>
      <c r="AR1386" s="8">
        <f t="shared" si="374"/>
        <v>13.129759320007702</v>
      </c>
      <c r="AS1386" s="8">
        <f t="shared" si="375"/>
        <v>40.235875177265825</v>
      </c>
    </row>
    <row r="1387" spans="1:45">
      <c r="A1387" s="20">
        <v>50.016633329999998</v>
      </c>
      <c r="B1387" s="20">
        <v>1693.8075100000001</v>
      </c>
      <c r="C1387" s="20">
        <v>-388.34795609999998</v>
      </c>
      <c r="E1387" s="9">
        <f t="shared" si="364"/>
        <v>733.80751000000009</v>
      </c>
      <c r="F1387" s="9">
        <f t="shared" si="379"/>
        <v>151.65204390000002</v>
      </c>
      <c r="I1387">
        <v>1</v>
      </c>
      <c r="J1387">
        <f t="shared" si="365"/>
        <v>0.46265964073806432</v>
      </c>
      <c r="K1387">
        <f t="shared" si="366"/>
        <v>0.20379554996636803</v>
      </c>
      <c r="O1387">
        <f t="shared" si="367"/>
        <v>0.43709312397931693</v>
      </c>
      <c r="P1387">
        <f t="shared" si="368"/>
        <v>9.0331680614851584E-2</v>
      </c>
      <c r="Q1387">
        <f t="shared" si="369"/>
        <v>0.89486858725027218</v>
      </c>
      <c r="R1387">
        <f t="shared" si="370"/>
        <v>1</v>
      </c>
      <c r="AG1387" s="8">
        <f t="shared" si="376"/>
        <v>0.74350894789781763</v>
      </c>
      <c r="AH1387" s="8">
        <f t="shared" si="377"/>
        <v>0.17386171695329178</v>
      </c>
      <c r="AI1387" s="8">
        <f t="shared" si="378"/>
        <v>0.64572946949472099</v>
      </c>
      <c r="AJ1387" s="8"/>
      <c r="AK1387" s="8"/>
      <c r="AL1387" s="8"/>
      <c r="AN1387" s="8">
        <f t="shared" si="371"/>
        <v>1</v>
      </c>
      <c r="AO1387" s="8">
        <f t="shared" si="372"/>
        <v>0.22971185540317643</v>
      </c>
      <c r="AP1387" s="8">
        <f t="shared" si="373"/>
        <v>0.86881808366949931</v>
      </c>
      <c r="AQ1387" s="8"/>
      <c r="AR1387" s="8">
        <f t="shared" si="374"/>
        <v>13.161519818721445</v>
      </c>
      <c r="AS1387" s="8">
        <f t="shared" si="375"/>
        <v>40.220390641093658</v>
      </c>
    </row>
    <row r="1388" spans="1:45">
      <c r="A1388" s="20">
        <v>50.05</v>
      </c>
      <c r="B1388" s="20">
        <v>1694.556161</v>
      </c>
      <c r="C1388" s="20">
        <v>-388.51027060000001</v>
      </c>
      <c r="E1388" s="9">
        <f t="shared" si="364"/>
        <v>734.55616099999997</v>
      </c>
      <c r="F1388" s="9">
        <f t="shared" si="379"/>
        <v>151.48972939999999</v>
      </c>
      <c r="I1388">
        <v>1</v>
      </c>
      <c r="J1388">
        <f t="shared" si="365"/>
        <v>0.46303625011100158</v>
      </c>
      <c r="K1388">
        <f t="shared" si="366"/>
        <v>0.20338159362050279</v>
      </c>
      <c r="O1388">
        <f t="shared" si="367"/>
        <v>0.43746051860825358</v>
      </c>
      <c r="P1388">
        <f t="shared" si="368"/>
        <v>9.0218800284690551E-2</v>
      </c>
      <c r="Q1388">
        <f t="shared" si="369"/>
        <v>0.89470043183972414</v>
      </c>
      <c r="R1388">
        <f t="shared" si="370"/>
        <v>1</v>
      </c>
      <c r="AG1388" s="8">
        <f t="shared" si="376"/>
        <v>0.74357348134440127</v>
      </c>
      <c r="AH1388" s="8">
        <f t="shared" si="377"/>
        <v>0.17423723626736121</v>
      </c>
      <c r="AI1388" s="8">
        <f t="shared" si="378"/>
        <v>0.64555391977686816</v>
      </c>
      <c r="AJ1388" s="8"/>
      <c r="AK1388" s="8"/>
      <c r="AL1388" s="8"/>
      <c r="AN1388" s="8">
        <f t="shared" si="371"/>
        <v>1</v>
      </c>
      <c r="AO1388" s="8">
        <f t="shared" si="372"/>
        <v>0.230171400223353</v>
      </c>
      <c r="AP1388" s="8">
        <f t="shared" si="373"/>
        <v>0.8690479689633489</v>
      </c>
      <c r="AQ1388" s="8"/>
      <c r="AR1388" s="8">
        <f t="shared" si="374"/>
        <v>13.18784979741466</v>
      </c>
      <c r="AS1388" s="8">
        <f t="shared" si="375"/>
        <v>40.207219183983952</v>
      </c>
    </row>
    <row r="1389" spans="1:45">
      <c r="A1389" s="20">
        <v>50.083366669999997</v>
      </c>
      <c r="B1389" s="20">
        <v>1694.6147900000001</v>
      </c>
      <c r="C1389" s="20">
        <v>-388.75385790000001</v>
      </c>
      <c r="E1389" s="9">
        <f t="shared" si="364"/>
        <v>734.61479000000008</v>
      </c>
      <c r="F1389" s="9">
        <f t="shared" si="379"/>
        <v>151.24614209999999</v>
      </c>
      <c r="I1389">
        <v>1</v>
      </c>
      <c r="J1389">
        <f t="shared" si="365"/>
        <v>0.4630406920281061</v>
      </c>
      <c r="K1389">
        <f t="shared" si="366"/>
        <v>0.20304772540903485</v>
      </c>
      <c r="O1389">
        <f t="shared" si="367"/>
        <v>0.43749450795307721</v>
      </c>
      <c r="P1389">
        <f t="shared" si="368"/>
        <v>9.0073542513132196E-2</v>
      </c>
      <c r="Q1389">
        <f t="shared" si="369"/>
        <v>0.89469844777446095</v>
      </c>
      <c r="R1389">
        <f t="shared" si="370"/>
        <v>1</v>
      </c>
      <c r="AG1389" s="8">
        <f t="shared" si="376"/>
        <v>0.7436700371671594</v>
      </c>
      <c r="AH1389" s="8">
        <f t="shared" si="377"/>
        <v>0.17424541719279618</v>
      </c>
      <c r="AI1389" s="8">
        <f t="shared" si="378"/>
        <v>0.64544047781891112</v>
      </c>
      <c r="AJ1389" s="8"/>
      <c r="AK1389" s="8"/>
      <c r="AL1389" s="8"/>
      <c r="AN1389" s="8">
        <f t="shared" si="371"/>
        <v>1</v>
      </c>
      <c r="AO1389" s="8">
        <f t="shared" si="372"/>
        <v>0.23015298793758171</v>
      </c>
      <c r="AP1389" s="8">
        <f t="shared" si="373"/>
        <v>0.86919649934795307</v>
      </c>
      <c r="AQ1389" s="8"/>
      <c r="AR1389" s="8">
        <f t="shared" si="374"/>
        <v>13.186794851148777</v>
      </c>
      <c r="AS1389" s="8">
        <f t="shared" si="375"/>
        <v>40.198709019816675</v>
      </c>
    </row>
    <row r="1390" spans="1:45">
      <c r="A1390" s="20">
        <v>50.116733330000002</v>
      </c>
      <c r="B1390" s="20">
        <v>1695.049432</v>
      </c>
      <c r="C1390" s="20">
        <v>-389.04069909999998</v>
      </c>
      <c r="E1390" s="9">
        <f t="shared" si="364"/>
        <v>735.04943200000002</v>
      </c>
      <c r="F1390" s="9">
        <f t="shared" si="379"/>
        <v>150.95930090000002</v>
      </c>
      <c r="I1390">
        <v>1</v>
      </c>
      <c r="J1390">
        <f t="shared" si="365"/>
        <v>0.46323849824661728</v>
      </c>
      <c r="K1390">
        <f t="shared" si="366"/>
        <v>0.2025565195045855</v>
      </c>
      <c r="O1390">
        <f t="shared" si="367"/>
        <v>0.43771204997360635</v>
      </c>
      <c r="P1390">
        <f t="shared" si="368"/>
        <v>8.9894233207871502E-2</v>
      </c>
      <c r="Q1390">
        <f t="shared" si="369"/>
        <v>0.89461007603529252</v>
      </c>
      <c r="R1390">
        <f t="shared" si="370"/>
        <v>1</v>
      </c>
      <c r="AG1390" s="8">
        <f t="shared" si="376"/>
        <v>0.74378372801342918</v>
      </c>
      <c r="AH1390" s="8">
        <f t="shared" si="377"/>
        <v>0.17444564793895395</v>
      </c>
      <c r="AI1390" s="8">
        <f t="shared" si="378"/>
        <v>0.64525536174262332</v>
      </c>
      <c r="AJ1390" s="8"/>
      <c r="AK1390" s="8"/>
      <c r="AL1390" s="8"/>
      <c r="AN1390" s="8">
        <f t="shared" si="371"/>
        <v>1</v>
      </c>
      <c r="AO1390" s="8">
        <f t="shared" si="372"/>
        <v>0.23037422142047548</v>
      </c>
      <c r="AP1390" s="8">
        <f t="shared" si="373"/>
        <v>0.8694388331581534</v>
      </c>
      <c r="AQ1390" s="8"/>
      <c r="AR1390" s="8">
        <f t="shared" si="374"/>
        <v>13.19947059600557</v>
      </c>
      <c r="AS1390" s="8">
        <f t="shared" si="375"/>
        <v>40.184824315258872</v>
      </c>
    </row>
    <row r="1391" spans="1:45">
      <c r="A1391" s="20">
        <v>50.150100000000002</v>
      </c>
      <c r="B1391" s="20">
        <v>1695.8168969999999</v>
      </c>
      <c r="C1391" s="20">
        <v>-389.40934920000001</v>
      </c>
      <c r="E1391" s="9">
        <f t="shared" si="364"/>
        <v>735.81689699999993</v>
      </c>
      <c r="F1391" s="9">
        <f t="shared" si="379"/>
        <v>150.59065079999999</v>
      </c>
      <c r="I1391">
        <v>1</v>
      </c>
      <c r="J1391">
        <f t="shared" si="365"/>
        <v>0.46360276023816815</v>
      </c>
      <c r="K1391">
        <f t="shared" si="366"/>
        <v>0.20187015417555668</v>
      </c>
      <c r="O1391">
        <f t="shared" si="367"/>
        <v>0.43809287316182677</v>
      </c>
      <c r="P1391">
        <f t="shared" si="368"/>
        <v>8.9659113767648832E-2</v>
      </c>
      <c r="Q1391">
        <f t="shared" si="369"/>
        <v>0.89444724707677159</v>
      </c>
      <c r="R1391">
        <f t="shared" si="370"/>
        <v>1</v>
      </c>
      <c r="AG1391" s="8">
        <f t="shared" si="376"/>
        <v>0.74392967729965354</v>
      </c>
      <c r="AH1391" s="8">
        <f t="shared" si="377"/>
        <v>0.17481174189354975</v>
      </c>
      <c r="AI1391" s="8">
        <f t="shared" si="378"/>
        <v>0.64498797673210639</v>
      </c>
      <c r="AJ1391" s="8"/>
      <c r="AK1391" s="8"/>
      <c r="AL1391" s="8"/>
      <c r="AN1391" s="8">
        <f t="shared" si="371"/>
        <v>1</v>
      </c>
      <c r="AO1391" s="8">
        <f t="shared" si="372"/>
        <v>0.23079701503210903</v>
      </c>
      <c r="AP1391" s="8">
        <f t="shared" si="373"/>
        <v>0.86978877696498436</v>
      </c>
      <c r="AQ1391" s="8"/>
      <c r="AR1391" s="8">
        <f t="shared" si="374"/>
        <v>13.223694885557265</v>
      </c>
      <c r="AS1391" s="8">
        <f t="shared" si="375"/>
        <v>40.164774012060718</v>
      </c>
    </row>
    <row r="1392" spans="1:45">
      <c r="A1392" s="20">
        <v>50.183466670000001</v>
      </c>
      <c r="B1392" s="20">
        <v>1696.236979</v>
      </c>
      <c r="C1392" s="20">
        <v>-389.6256032</v>
      </c>
      <c r="E1392" s="9">
        <f t="shared" si="364"/>
        <v>736.23697900000002</v>
      </c>
      <c r="F1392" s="9">
        <f t="shared" si="379"/>
        <v>150.3743968</v>
      </c>
      <c r="I1392">
        <v>1</v>
      </c>
      <c r="J1392">
        <f t="shared" si="365"/>
        <v>0.46380061372507858</v>
      </c>
      <c r="K1392">
        <f t="shared" si="366"/>
        <v>0.20147612262595826</v>
      </c>
      <c r="O1392">
        <f t="shared" si="367"/>
        <v>0.43830154890622874</v>
      </c>
      <c r="P1392">
        <f t="shared" si="368"/>
        <v>8.9521897042989809E-2</v>
      </c>
      <c r="Q1392">
        <f t="shared" si="369"/>
        <v>0.89435875473784299</v>
      </c>
      <c r="R1392">
        <f t="shared" si="370"/>
        <v>1</v>
      </c>
      <c r="AG1392" s="8">
        <f t="shared" si="376"/>
        <v>0.74401520064032112</v>
      </c>
      <c r="AH1392" s="8">
        <f t="shared" si="377"/>
        <v>0.17501072740048884</v>
      </c>
      <c r="AI1392" s="8">
        <f t="shared" si="378"/>
        <v>0.64483534837266376</v>
      </c>
      <c r="AJ1392" s="8"/>
      <c r="AK1392" s="8"/>
      <c r="AL1392" s="8"/>
      <c r="AN1392" s="8">
        <f t="shared" si="371"/>
        <v>1</v>
      </c>
      <c r="AO1392" s="8">
        <f t="shared" si="372"/>
        <v>0.23102485831650374</v>
      </c>
      <c r="AP1392" s="8">
        <f t="shared" si="373"/>
        <v>0.86998848509458926</v>
      </c>
      <c r="AQ1392" s="8"/>
      <c r="AR1392" s="8">
        <f t="shared" si="374"/>
        <v>13.236749344143481</v>
      </c>
      <c r="AS1392" s="8">
        <f t="shared" si="375"/>
        <v>40.153331579099905</v>
      </c>
    </row>
    <row r="1393" spans="1:45">
      <c r="A1393" s="20">
        <v>50.21683333</v>
      </c>
      <c r="B1393" s="20">
        <v>1696.769123</v>
      </c>
      <c r="C1393" s="20">
        <v>-389.73953749999998</v>
      </c>
      <c r="E1393" s="9">
        <f t="shared" si="364"/>
        <v>736.76912300000004</v>
      </c>
      <c r="F1393" s="9">
        <f t="shared" si="379"/>
        <v>150.26046250000002</v>
      </c>
      <c r="I1393">
        <v>1</v>
      </c>
      <c r="J1393">
        <f t="shared" si="365"/>
        <v>0.46406844648919027</v>
      </c>
      <c r="K1393">
        <f t="shared" si="366"/>
        <v>0.20118604441211782</v>
      </c>
      <c r="O1393">
        <f t="shared" si="367"/>
        <v>0.43856219023901566</v>
      </c>
      <c r="P1393">
        <f t="shared" si="368"/>
        <v>8.9442615716575677E-2</v>
      </c>
      <c r="Q1393">
        <f t="shared" si="369"/>
        <v>0.89423890755576863</v>
      </c>
      <c r="R1393">
        <f t="shared" si="370"/>
        <v>1</v>
      </c>
      <c r="AG1393" s="8">
        <f t="shared" si="376"/>
        <v>0.744060100170713</v>
      </c>
      <c r="AH1393" s="8">
        <f t="shared" si="377"/>
        <v>0.17527742409261865</v>
      </c>
      <c r="AI1393" s="8">
        <f t="shared" si="378"/>
        <v>0.64471109183680475</v>
      </c>
      <c r="AJ1393" s="8"/>
      <c r="AK1393" s="8"/>
      <c r="AL1393" s="8"/>
      <c r="AN1393" s="8">
        <f t="shared" si="371"/>
        <v>1</v>
      </c>
      <c r="AO1393" s="8">
        <f t="shared" si="372"/>
        <v>0.23135102484401113</v>
      </c>
      <c r="AP1393" s="8">
        <f t="shared" si="373"/>
        <v>0.87015104497856566</v>
      </c>
      <c r="AQ1393" s="8"/>
      <c r="AR1393" s="8">
        <f t="shared" si="374"/>
        <v>13.255437309588093</v>
      </c>
      <c r="AS1393" s="8">
        <f t="shared" si="375"/>
        <v>40.144017583829921</v>
      </c>
    </row>
    <row r="1394" spans="1:45">
      <c r="A1394" s="20">
        <v>50.2502</v>
      </c>
      <c r="B1394" s="20">
        <v>1696.8634709999999</v>
      </c>
      <c r="C1394" s="20">
        <v>-390.25883110000001</v>
      </c>
      <c r="E1394" s="9">
        <f t="shared" si="364"/>
        <v>736.86347099999989</v>
      </c>
      <c r="F1394" s="9">
        <f t="shared" si="379"/>
        <v>149.74116889999999</v>
      </c>
      <c r="I1394">
        <v>1</v>
      </c>
      <c r="J1394">
        <f t="shared" si="365"/>
        <v>0.46406246273835067</v>
      </c>
      <c r="K1394">
        <f t="shared" si="366"/>
        <v>0.20048428052710476</v>
      </c>
      <c r="O1394">
        <f t="shared" si="367"/>
        <v>0.43861960610801165</v>
      </c>
      <c r="P1394">
        <f t="shared" si="368"/>
        <v>8.9133761009943246E-2</v>
      </c>
      <c r="Q1394">
        <f t="shared" si="369"/>
        <v>0.89424158580658453</v>
      </c>
      <c r="R1394">
        <f t="shared" si="370"/>
        <v>1</v>
      </c>
      <c r="AG1394" s="8">
        <f t="shared" si="376"/>
        <v>0.74426559534044134</v>
      </c>
      <c r="AH1394" s="8">
        <f t="shared" si="377"/>
        <v>0.1752788396495209</v>
      </c>
      <c r="AI1394" s="8">
        <f t="shared" si="378"/>
        <v>0.644473468781808</v>
      </c>
      <c r="AJ1394" s="8"/>
      <c r="AK1394" s="8"/>
      <c r="AL1394" s="8"/>
      <c r="AN1394" s="8">
        <f t="shared" si="371"/>
        <v>1</v>
      </c>
      <c r="AO1394" s="8">
        <f t="shared" si="372"/>
        <v>0.23129120387004926</v>
      </c>
      <c r="AP1394" s="8">
        <f t="shared" si="373"/>
        <v>0.87046185572655832</v>
      </c>
      <c r="AQ1394" s="8"/>
      <c r="AR1394" s="8">
        <f t="shared" si="374"/>
        <v>13.252009820253715</v>
      </c>
      <c r="AS1394" s="8">
        <f t="shared" si="375"/>
        <v>40.126209439742638</v>
      </c>
    </row>
    <row r="1395" spans="1:45">
      <c r="A1395" s="20">
        <v>50.283566669999999</v>
      </c>
      <c r="B1395" s="20">
        <v>1697.82212</v>
      </c>
      <c r="C1395" s="20">
        <v>-390.44099390000002</v>
      </c>
      <c r="E1395" s="9">
        <f t="shared" si="364"/>
        <v>737.82212000000004</v>
      </c>
      <c r="F1395" s="9">
        <f t="shared" si="379"/>
        <v>149.55900609999998</v>
      </c>
      <c r="I1395">
        <v>1</v>
      </c>
      <c r="J1395">
        <f t="shared" si="365"/>
        <v>0.46454748025519821</v>
      </c>
      <c r="K1395">
        <f t="shared" si="366"/>
        <v>0.19999356621289252</v>
      </c>
      <c r="O1395">
        <f t="shared" si="367"/>
        <v>0.43908831870351311</v>
      </c>
      <c r="P1395">
        <f t="shared" si="368"/>
        <v>8.900466759578507E-2</v>
      </c>
      <c r="Q1395">
        <f t="shared" si="369"/>
        <v>0.89402439425570812</v>
      </c>
      <c r="R1395">
        <f t="shared" si="370"/>
        <v>1</v>
      </c>
      <c r="AG1395" s="8">
        <f t="shared" si="376"/>
        <v>0.7443370529158746</v>
      </c>
      <c r="AH1395" s="8">
        <f t="shared" si="377"/>
        <v>0.1757611858336941</v>
      </c>
      <c r="AI1395" s="8">
        <f t="shared" si="378"/>
        <v>0.64425954180814748</v>
      </c>
      <c r="AJ1395" s="8"/>
      <c r="AK1395" s="8"/>
      <c r="AL1395" s="8"/>
      <c r="AN1395" s="8">
        <f t="shared" si="371"/>
        <v>1</v>
      </c>
      <c r="AO1395" s="8">
        <f t="shared" si="372"/>
        <v>0.23188366891766177</v>
      </c>
      <c r="AP1395" s="8">
        <f t="shared" si="373"/>
        <v>0.87074160238793774</v>
      </c>
      <c r="AQ1395" s="8"/>
      <c r="AR1395" s="8">
        <f t="shared" si="374"/>
        <v>13.28595556699093</v>
      </c>
      <c r="AS1395" s="8">
        <f t="shared" si="375"/>
        <v>40.110181136712725</v>
      </c>
    </row>
    <row r="1396" spans="1:45">
      <c r="A1396" s="20">
        <v>50.316933329999998</v>
      </c>
      <c r="B1396" s="20">
        <v>1698.0629269999999</v>
      </c>
      <c r="C1396" s="20">
        <v>-390.5878988</v>
      </c>
      <c r="E1396" s="9">
        <f t="shared" si="364"/>
        <v>738.06292699999995</v>
      </c>
      <c r="F1396" s="9">
        <f t="shared" si="379"/>
        <v>149.4121012</v>
      </c>
      <c r="I1396">
        <v>1</v>
      </c>
      <c r="J1396">
        <f t="shared" si="365"/>
        <v>0.46465851693463422</v>
      </c>
      <c r="K1396">
        <f t="shared" si="366"/>
        <v>0.19973884184614543</v>
      </c>
      <c r="O1396">
        <f t="shared" si="367"/>
        <v>0.43920826927512691</v>
      </c>
      <c r="P1396">
        <f t="shared" si="368"/>
        <v>8.8912514063739317E-2</v>
      </c>
      <c r="Q1396">
        <f t="shared" si="369"/>
        <v>0.89397464228199053</v>
      </c>
      <c r="R1396">
        <f t="shared" si="370"/>
        <v>1</v>
      </c>
      <c r="AG1396" s="8">
        <f t="shared" si="376"/>
        <v>0.74439497337441163</v>
      </c>
      <c r="AH1396" s="8">
        <f t="shared" si="377"/>
        <v>0.17587301315024623</v>
      </c>
      <c r="AI1396" s="8">
        <f t="shared" si="378"/>
        <v>0.6441620967274948</v>
      </c>
      <c r="AJ1396" s="8"/>
      <c r="AK1396" s="8"/>
      <c r="AL1396" s="8"/>
      <c r="AN1396" s="8">
        <f t="shared" si="371"/>
        <v>1</v>
      </c>
      <c r="AO1396" s="8">
        <f t="shared" si="372"/>
        <v>0.23200855437793177</v>
      </c>
      <c r="AP1396" s="8">
        <f t="shared" si="373"/>
        <v>0.87086900689761904</v>
      </c>
      <c r="AQ1396" s="8"/>
      <c r="AR1396" s="8">
        <f t="shared" si="374"/>
        <v>13.293110976786949</v>
      </c>
      <c r="AS1396" s="8">
        <f t="shared" si="375"/>
        <v>40.102881396017054</v>
      </c>
    </row>
    <row r="1397" spans="1:45">
      <c r="A1397" s="20">
        <v>50.350299999999997</v>
      </c>
      <c r="B1397" s="20">
        <v>1698.636174</v>
      </c>
      <c r="C1397" s="20">
        <v>-390.69603569999998</v>
      </c>
      <c r="E1397" s="9">
        <f t="shared" si="364"/>
        <v>738.63617399999998</v>
      </c>
      <c r="F1397" s="9">
        <f t="shared" si="379"/>
        <v>149.30396430000002</v>
      </c>
      <c r="I1397">
        <v>1</v>
      </c>
      <c r="J1397">
        <f t="shared" si="365"/>
        <v>0.46494856375099075</v>
      </c>
      <c r="K1397">
        <f t="shared" si="366"/>
        <v>0.19944726253133171</v>
      </c>
      <c r="O1397">
        <f t="shared" si="367"/>
        <v>0.43948831148195994</v>
      </c>
      <c r="P1397">
        <f t="shared" si="368"/>
        <v>8.8835815896243717E-2</v>
      </c>
      <c r="Q1397">
        <f t="shared" si="369"/>
        <v>0.89384462961120059</v>
      </c>
      <c r="R1397">
        <f t="shared" si="370"/>
        <v>1</v>
      </c>
      <c r="AG1397" s="8">
        <f t="shared" si="376"/>
        <v>0.74443722838336535</v>
      </c>
      <c r="AH1397" s="8">
        <f t="shared" si="377"/>
        <v>0.17616134379753556</v>
      </c>
      <c r="AI1397" s="8">
        <f t="shared" si="378"/>
        <v>0.64403446642888573</v>
      </c>
      <c r="AJ1397" s="8"/>
      <c r="AK1397" s="8"/>
      <c r="AL1397" s="8"/>
      <c r="AN1397" s="8">
        <f t="shared" si="371"/>
        <v>0.99999999999999989</v>
      </c>
      <c r="AO1397" s="8">
        <f t="shared" si="372"/>
        <v>0.23236265988423638</v>
      </c>
      <c r="AP1397" s="8">
        <f t="shared" si="373"/>
        <v>0.87103585637733139</v>
      </c>
      <c r="AQ1397" s="8"/>
      <c r="AR1397" s="8">
        <f t="shared" si="374"/>
        <v>13.313399727800546</v>
      </c>
      <c r="AS1397" s="8">
        <f t="shared" si="375"/>
        <v>40.093321625015577</v>
      </c>
    </row>
    <row r="1398" spans="1:45">
      <c r="A1398" s="20">
        <v>50.383666669999997</v>
      </c>
      <c r="B1398" s="20">
        <v>1699.1305600000001</v>
      </c>
      <c r="C1398" s="20">
        <v>-390.8079055</v>
      </c>
      <c r="E1398" s="9">
        <f t="shared" si="364"/>
        <v>739.13056000000006</v>
      </c>
      <c r="F1398" s="9">
        <f t="shared" si="379"/>
        <v>149.1920945</v>
      </c>
      <c r="I1398">
        <v>1</v>
      </c>
      <c r="J1398">
        <f t="shared" si="365"/>
        <v>0.46519669496433708</v>
      </c>
      <c r="K1398">
        <f t="shared" si="366"/>
        <v>0.19917193978286074</v>
      </c>
      <c r="O1398">
        <f t="shared" si="367"/>
        <v>0.43973014592912629</v>
      </c>
      <c r="P1398">
        <f t="shared" si="368"/>
        <v>8.8758691679528171E-2</v>
      </c>
      <c r="Q1398">
        <f t="shared" si="369"/>
        <v>0.89373334580986052</v>
      </c>
      <c r="R1398">
        <f t="shared" si="370"/>
        <v>1</v>
      </c>
      <c r="AG1398" s="8">
        <f t="shared" si="376"/>
        <v>0.74448095836145334</v>
      </c>
      <c r="AH1398" s="8">
        <f t="shared" si="377"/>
        <v>0.17640822036521275</v>
      </c>
      <c r="AI1398" s="8">
        <f t="shared" si="378"/>
        <v>0.64391633185126651</v>
      </c>
      <c r="AJ1398" s="8"/>
      <c r="AK1398" s="8"/>
      <c r="AL1398" s="8"/>
      <c r="AN1398" s="8">
        <f t="shared" si="371"/>
        <v>0.99999999999999978</v>
      </c>
      <c r="AO1398" s="8">
        <f t="shared" si="372"/>
        <v>0.2326635002726159</v>
      </c>
      <c r="AP1398" s="8">
        <f t="shared" si="373"/>
        <v>0.87119027133720162</v>
      </c>
      <c r="AQ1398" s="8"/>
      <c r="AR1398" s="8">
        <f t="shared" si="374"/>
        <v>13.330636612361769</v>
      </c>
      <c r="AS1398" s="8">
        <f t="shared" si="375"/>
        <v>40.084474299521332</v>
      </c>
    </row>
    <row r="1399" spans="1:45">
      <c r="A1399" s="20">
        <v>50.417033330000002</v>
      </c>
      <c r="B1399" s="20">
        <v>1699.9445900000001</v>
      </c>
      <c r="C1399" s="20">
        <v>-391.33682809999999</v>
      </c>
      <c r="E1399" s="9">
        <f t="shared" si="364"/>
        <v>739.94459000000006</v>
      </c>
      <c r="F1399" s="9">
        <f t="shared" si="379"/>
        <v>148.66317190000001</v>
      </c>
      <c r="I1399">
        <v>1</v>
      </c>
      <c r="J1399">
        <f t="shared" si="365"/>
        <v>0.46556873423787509</v>
      </c>
      <c r="K1399">
        <f t="shared" si="366"/>
        <v>0.19827158126011013</v>
      </c>
      <c r="O1399">
        <f t="shared" si="367"/>
        <v>0.44013584153860619</v>
      </c>
      <c r="P1399">
        <f t="shared" si="368"/>
        <v>8.8428229835432637E-2</v>
      </c>
      <c r="Q1399">
        <f t="shared" si="369"/>
        <v>0.89356638766309626</v>
      </c>
      <c r="R1399">
        <f t="shared" si="370"/>
        <v>1</v>
      </c>
      <c r="AG1399" s="8">
        <f t="shared" si="376"/>
        <v>0.74468905270522767</v>
      </c>
      <c r="AH1399" s="8">
        <f t="shared" si="377"/>
        <v>0.17678290562039545</v>
      </c>
      <c r="AI1399" s="8">
        <f t="shared" si="378"/>
        <v>0.64357285450941837</v>
      </c>
      <c r="AJ1399" s="8"/>
      <c r="AK1399" s="8"/>
      <c r="AL1399" s="8"/>
      <c r="AN1399" s="8">
        <f t="shared" si="371"/>
        <v>0.99999999999999989</v>
      </c>
      <c r="AO1399" s="8">
        <f t="shared" si="372"/>
        <v>0.23307716055077596</v>
      </c>
      <c r="AP1399" s="8">
        <f t="shared" si="373"/>
        <v>0.8716391202771685</v>
      </c>
      <c r="AQ1399" s="8"/>
      <c r="AR1399" s="8">
        <f t="shared" si="374"/>
        <v>13.354337600452549</v>
      </c>
      <c r="AS1399" s="8">
        <f t="shared" si="375"/>
        <v>40.058757149622309</v>
      </c>
    </row>
    <row r="1400" spans="1:45">
      <c r="A1400" s="20">
        <v>50.450400000000002</v>
      </c>
      <c r="B1400" s="20">
        <v>1700.1064040000001</v>
      </c>
      <c r="C1400" s="20">
        <v>-391.79318039999998</v>
      </c>
      <c r="E1400" s="9">
        <f t="shared" si="364"/>
        <v>740.10640400000011</v>
      </c>
      <c r="F1400" s="9">
        <f t="shared" si="379"/>
        <v>148.20681960000002</v>
      </c>
      <c r="I1400">
        <v>1</v>
      </c>
      <c r="J1400">
        <f t="shared" si="365"/>
        <v>0.46560568764205584</v>
      </c>
      <c r="K1400">
        <f t="shared" si="366"/>
        <v>0.1976365982836889</v>
      </c>
      <c r="O1400">
        <f t="shared" si="367"/>
        <v>0.44022428044845008</v>
      </c>
      <c r="P1400">
        <f t="shared" si="368"/>
        <v>8.8155216821989874E-2</v>
      </c>
      <c r="Q1400">
        <f t="shared" si="369"/>
        <v>0.89354979752149921</v>
      </c>
      <c r="R1400">
        <f t="shared" si="370"/>
        <v>1</v>
      </c>
      <c r="AG1400" s="8">
        <f t="shared" si="376"/>
        <v>0.74486914285760775</v>
      </c>
      <c r="AH1400" s="8">
        <f t="shared" si="377"/>
        <v>0.17682511158996195</v>
      </c>
      <c r="AI1400" s="8">
        <f t="shared" si="378"/>
        <v>0.64335281139493761</v>
      </c>
      <c r="AJ1400" s="8"/>
      <c r="AK1400" s="8"/>
      <c r="AL1400" s="8"/>
      <c r="AN1400" s="8">
        <f t="shared" si="371"/>
        <v>0.99999999999999989</v>
      </c>
      <c r="AO1400" s="8">
        <f t="shared" si="372"/>
        <v>0.23307646674914884</v>
      </c>
      <c r="AP1400" s="8">
        <f t="shared" si="373"/>
        <v>0.87192657896566961</v>
      </c>
      <c r="AQ1400" s="8"/>
      <c r="AR1400" s="8">
        <f t="shared" si="374"/>
        <v>13.354297848547494</v>
      </c>
      <c r="AS1400" s="8">
        <f t="shared" si="375"/>
        <v>40.042286979986834</v>
      </c>
    </row>
    <row r="1401" spans="1:45">
      <c r="A1401" s="20">
        <v>50.483766670000001</v>
      </c>
      <c r="B1401" s="20">
        <v>1700.709208</v>
      </c>
      <c r="C1401" s="20">
        <v>-391.95608199999998</v>
      </c>
      <c r="E1401" s="9">
        <f t="shared" ref="E1401:E1464" si="380">(B1401-($B$15/2))</f>
        <v>740.70920799999999</v>
      </c>
      <c r="F1401" s="9">
        <f t="shared" si="379"/>
        <v>148.04391800000002</v>
      </c>
      <c r="I1401">
        <v>1</v>
      </c>
      <c r="J1401">
        <f t="shared" ref="J1401:J1464" si="381">ATAN((SQRT(E1401^2+F1401^2)^$B$16)/($F$24))</f>
        <v>0.46590549483884575</v>
      </c>
      <c r="K1401">
        <f t="shared" ref="K1401:K1464" si="382">ATAN2(E1401,F1401)</f>
        <v>0.19726843884201087</v>
      </c>
      <c r="O1401">
        <f t="shared" ref="O1401:O1464" si="383">COS(K1401)*SIN(J1401)</f>
        <v>0.44051938304090416</v>
      </c>
      <c r="P1401">
        <f t="shared" ref="P1401:P1464" si="384">SIN(K1401)*SIN(J1401)</f>
        <v>8.8045638849838917E-2</v>
      </c>
      <c r="Q1401">
        <f t="shared" ref="Q1401:Q1464" si="385">COS(J1401)</f>
        <v>0.8934151546984106</v>
      </c>
      <c r="R1401">
        <f t="shared" ref="R1401:R1464" si="386">SQRT(O1401^2+P1401^2+Q1401^2)</f>
        <v>1</v>
      </c>
      <c r="AG1401" s="8">
        <f t="shared" si="376"/>
        <v>0.74493260146677631</v>
      </c>
      <c r="AH1401" s="8">
        <f t="shared" si="377"/>
        <v>0.17712343459817226</v>
      </c>
      <c r="AI1401" s="8">
        <f t="shared" si="378"/>
        <v>0.64319725449358689</v>
      </c>
      <c r="AJ1401" s="8"/>
      <c r="AK1401" s="8"/>
      <c r="AL1401" s="8"/>
      <c r="AN1401" s="8">
        <f t="shared" ref="AN1401:AN1464" si="387">AG1401^2+AH1401^2+AI1401^2</f>
        <v>0.99999999999999989</v>
      </c>
      <c r="AO1401" s="8">
        <f t="shared" ref="AO1401:AO1464" si="388">IF(ATAN2(AG1401,AH1401)&gt;=0,ATAN2(AG1401,AH1401),ATAN2(AG1401,AH1401)+2*PI())</f>
        <v>0.23343639771788338</v>
      </c>
      <c r="AP1401" s="8">
        <f t="shared" ref="AP1401:AP1464" si="389">ACOS(AI1401/AN1401)</f>
        <v>0.87212975262569992</v>
      </c>
      <c r="AQ1401" s="8"/>
      <c r="AR1401" s="8">
        <f t="shared" ref="AR1401:AR1464" si="390">DEGREES(AO1401)</f>
        <v>13.37492037397204</v>
      </c>
      <c r="AS1401" s="8">
        <f t="shared" ref="AS1401:AS1464" si="391">90-DEGREES(AP1401)</f>
        <v>40.03064598675887</v>
      </c>
    </row>
    <row r="1402" spans="1:45">
      <c r="A1402" s="20">
        <v>50.51713333</v>
      </c>
      <c r="B1402" s="20">
        <v>1701.129218</v>
      </c>
      <c r="C1402" s="20">
        <v>-392.11488960000003</v>
      </c>
      <c r="E1402" s="9">
        <f t="shared" si="380"/>
        <v>741.12921800000004</v>
      </c>
      <c r="F1402" s="9">
        <f t="shared" si="379"/>
        <v>147.88511039999997</v>
      </c>
      <c r="I1402">
        <v>1</v>
      </c>
      <c r="J1402">
        <f t="shared" si="381"/>
        <v>0.46610961623962494</v>
      </c>
      <c r="K1402">
        <f t="shared" si="382"/>
        <v>0.19695345472592962</v>
      </c>
      <c r="O1402">
        <f t="shared" si="383"/>
        <v>0.44072592452516079</v>
      </c>
      <c r="P1402">
        <f t="shared" si="384"/>
        <v>8.7942561730909197E-2</v>
      </c>
      <c r="Q1402">
        <f t="shared" si="385"/>
        <v>0.89332343822808513</v>
      </c>
      <c r="R1402">
        <f t="shared" si="386"/>
        <v>1</v>
      </c>
      <c r="AG1402" s="8">
        <f t="shared" si="376"/>
        <v>0.7449946440110935</v>
      </c>
      <c r="AH1402" s="8">
        <f t="shared" si="377"/>
        <v>0.17732707088543942</v>
      </c>
      <c r="AI1402" s="8">
        <f t="shared" si="378"/>
        <v>0.64306927334928266</v>
      </c>
      <c r="AJ1402" s="8"/>
      <c r="AK1402" s="8"/>
      <c r="AL1402" s="8"/>
      <c r="AN1402" s="8">
        <f t="shared" si="387"/>
        <v>1</v>
      </c>
      <c r="AO1402" s="8">
        <f t="shared" si="388"/>
        <v>0.23367635511620435</v>
      </c>
      <c r="AP1402" s="8">
        <f t="shared" si="389"/>
        <v>0.87229688345274892</v>
      </c>
      <c r="AQ1402" s="8"/>
      <c r="AR1402" s="8">
        <f t="shared" si="390"/>
        <v>13.388668920158771</v>
      </c>
      <c r="AS1402" s="8">
        <f t="shared" si="391"/>
        <v>40.021070095742431</v>
      </c>
    </row>
    <row r="1403" spans="1:45">
      <c r="A1403" s="20">
        <v>50.5505</v>
      </c>
      <c r="B1403" s="20">
        <v>1701.736459</v>
      </c>
      <c r="C1403" s="20">
        <v>-392.31030440000001</v>
      </c>
      <c r="E1403" s="9">
        <f t="shared" si="380"/>
        <v>741.73645899999997</v>
      </c>
      <c r="F1403" s="9">
        <f t="shared" si="379"/>
        <v>147.68969559999999</v>
      </c>
      <c r="I1403">
        <v>1</v>
      </c>
      <c r="J1403">
        <f t="shared" si="381"/>
        <v>0.4664083056961425</v>
      </c>
      <c r="K1403">
        <f t="shared" si="382"/>
        <v>0.19654295014021342</v>
      </c>
      <c r="O1403">
        <f t="shared" si="383"/>
        <v>0.44102365777651514</v>
      </c>
      <c r="P1403">
        <f t="shared" si="384"/>
        <v>8.7813736238914059E-2</v>
      </c>
      <c r="Q1403">
        <f t="shared" si="385"/>
        <v>0.89318916306076268</v>
      </c>
      <c r="R1403">
        <f t="shared" si="386"/>
        <v>1</v>
      </c>
      <c r="AG1403" s="8">
        <f t="shared" si="376"/>
        <v>0.74507074621091129</v>
      </c>
      <c r="AH1403" s="8">
        <f t="shared" si="377"/>
        <v>0.17762453077727164</v>
      </c>
      <c r="AI1403" s="8">
        <f t="shared" si="378"/>
        <v>0.64289898833865811</v>
      </c>
      <c r="AJ1403" s="8"/>
      <c r="AK1403" s="8"/>
      <c r="AL1403" s="8"/>
      <c r="AN1403" s="8">
        <f t="shared" si="387"/>
        <v>1.0000000000000002</v>
      </c>
      <c r="AO1403" s="8">
        <f t="shared" si="388"/>
        <v>0.23403114748069789</v>
      </c>
      <c r="AP1403" s="8">
        <f t="shared" si="389"/>
        <v>0.87251922262211912</v>
      </c>
      <c r="AQ1403" s="8"/>
      <c r="AR1403" s="8">
        <f t="shared" si="390"/>
        <v>13.408997025247718</v>
      </c>
      <c r="AS1403" s="8">
        <f t="shared" si="391"/>
        <v>40.008330999717074</v>
      </c>
    </row>
    <row r="1404" spans="1:45">
      <c r="A1404" s="20">
        <v>50.583866669999999</v>
      </c>
      <c r="B1404" s="20">
        <v>1702.465678</v>
      </c>
      <c r="C1404" s="20">
        <v>-392.56986019999999</v>
      </c>
      <c r="E1404" s="9">
        <f t="shared" si="380"/>
        <v>742.46567800000003</v>
      </c>
      <c r="F1404" s="9">
        <f t="shared" si="379"/>
        <v>147.43013980000001</v>
      </c>
      <c r="I1404">
        <v>1</v>
      </c>
      <c r="J1404">
        <f t="shared" si="381"/>
        <v>0.46676437093939904</v>
      </c>
      <c r="K1404">
        <f t="shared" si="382"/>
        <v>0.19601853701294483</v>
      </c>
      <c r="O1404">
        <f t="shared" si="383"/>
        <v>0.44138156305113163</v>
      </c>
      <c r="P1404">
        <f t="shared" si="384"/>
        <v>8.764438205555794E-2</v>
      </c>
      <c r="Q1404">
        <f t="shared" si="385"/>
        <v>0.8930289906227229</v>
      </c>
      <c r="R1404">
        <f t="shared" si="386"/>
        <v>1</v>
      </c>
      <c r="AG1404" s="8">
        <f t="shared" si="376"/>
        <v>0.74517180646447567</v>
      </c>
      <c r="AH1404" s="8">
        <f t="shared" si="377"/>
        <v>0.17797931439540088</v>
      </c>
      <c r="AI1404" s="8">
        <f t="shared" si="378"/>
        <v>0.64268370330809932</v>
      </c>
      <c r="AJ1404" s="8"/>
      <c r="AK1404" s="8"/>
      <c r="AL1404" s="8"/>
      <c r="AN1404" s="8">
        <f t="shared" si="387"/>
        <v>1</v>
      </c>
      <c r="AO1404" s="8">
        <f t="shared" si="388"/>
        <v>0.23445101802675569</v>
      </c>
      <c r="AP1404" s="8">
        <f t="shared" si="389"/>
        <v>0.87280025842330089</v>
      </c>
      <c r="AQ1404" s="8"/>
      <c r="AR1404" s="8">
        <f t="shared" si="390"/>
        <v>13.433053835478683</v>
      </c>
      <c r="AS1404" s="8">
        <f t="shared" si="391"/>
        <v>39.992228834417283</v>
      </c>
    </row>
    <row r="1405" spans="1:45">
      <c r="A1405" s="20">
        <v>50.617233329999998</v>
      </c>
      <c r="B1405" s="20">
        <v>1702.86321</v>
      </c>
      <c r="C1405" s="20">
        <v>-392.62984160000002</v>
      </c>
      <c r="E1405" s="9">
        <f t="shared" si="380"/>
        <v>742.86320999999998</v>
      </c>
      <c r="F1405" s="9">
        <f t="shared" si="379"/>
        <v>147.37015839999998</v>
      </c>
      <c r="I1405">
        <v>1</v>
      </c>
      <c r="J1405">
        <f t="shared" si="381"/>
        <v>0.46696696611183391</v>
      </c>
      <c r="K1405">
        <f t="shared" si="382"/>
        <v>0.19583862000097133</v>
      </c>
      <c r="O1405">
        <f t="shared" si="383"/>
        <v>0.441574780544018</v>
      </c>
      <c r="P1405">
        <f t="shared" si="384"/>
        <v>8.7600172519267938E-2</v>
      </c>
      <c r="Q1405">
        <f t="shared" si="385"/>
        <v>0.89293780464380434</v>
      </c>
      <c r="R1405">
        <f t="shared" si="386"/>
        <v>1</v>
      </c>
      <c r="AG1405" s="8">
        <f t="shared" si="376"/>
        <v>0.74519466558025027</v>
      </c>
      <c r="AH1405" s="8">
        <f t="shared" si="377"/>
        <v>0.17818013827865586</v>
      </c>
      <c r="AI1405" s="8">
        <f t="shared" si="378"/>
        <v>0.6426015473944473</v>
      </c>
      <c r="AJ1405" s="8"/>
      <c r="AK1405" s="8"/>
      <c r="AL1405" s="8"/>
      <c r="AN1405" s="8">
        <f t="shared" si="387"/>
        <v>1</v>
      </c>
      <c r="AO1405" s="8">
        <f t="shared" si="388"/>
        <v>0.23469902016556679</v>
      </c>
      <c r="AP1405" s="8">
        <f t="shared" si="389"/>
        <v>0.8729074883259853</v>
      </c>
      <c r="AQ1405" s="8"/>
      <c r="AR1405" s="8">
        <f t="shared" si="390"/>
        <v>13.447263311342777</v>
      </c>
      <c r="AS1405" s="8">
        <f t="shared" si="391"/>
        <v>39.986085013555865</v>
      </c>
    </row>
    <row r="1406" spans="1:45">
      <c r="A1406" s="20">
        <v>50.650599999999997</v>
      </c>
      <c r="B1406" s="20">
        <v>1703.1600040000001</v>
      </c>
      <c r="C1406" s="20">
        <v>-392.72402670000002</v>
      </c>
      <c r="E1406" s="9">
        <f t="shared" si="380"/>
        <v>743.16000400000007</v>
      </c>
      <c r="F1406" s="9">
        <f t="shared" si="379"/>
        <v>147.27597329999998</v>
      </c>
      <c r="I1406">
        <v>1</v>
      </c>
      <c r="J1406">
        <f t="shared" si="381"/>
        <v>0.4671130606327441</v>
      </c>
      <c r="K1406">
        <f t="shared" si="382"/>
        <v>0.19564044797792357</v>
      </c>
      <c r="O1406">
        <f t="shared" si="383"/>
        <v>0.44172009177464239</v>
      </c>
      <c r="P1406">
        <f t="shared" si="384"/>
        <v>8.7538021545997741E-2</v>
      </c>
      <c r="Q1406">
        <f t="shared" si="385"/>
        <v>0.89287202627611417</v>
      </c>
      <c r="R1406">
        <f t="shared" si="386"/>
        <v>1</v>
      </c>
      <c r="AG1406" s="8">
        <f t="shared" si="376"/>
        <v>0.74523119641969771</v>
      </c>
      <c r="AH1406" s="8">
        <f t="shared" si="377"/>
        <v>0.1783255072560499</v>
      </c>
      <c r="AI1406" s="8">
        <f t="shared" si="378"/>
        <v>0.64251885368815309</v>
      </c>
      <c r="AJ1406" s="8"/>
      <c r="AK1406" s="8"/>
      <c r="AL1406" s="8"/>
      <c r="AN1406" s="8">
        <f t="shared" si="387"/>
        <v>0.99999999999999978</v>
      </c>
      <c r="AO1406" s="8">
        <f t="shared" si="388"/>
        <v>0.23487244253914999</v>
      </c>
      <c r="AP1406" s="8">
        <f t="shared" si="389"/>
        <v>0.87301541041822106</v>
      </c>
      <c r="AQ1406" s="8"/>
      <c r="AR1406" s="8">
        <f t="shared" si="390"/>
        <v>13.457199681422235</v>
      </c>
      <c r="AS1406" s="8">
        <f t="shared" si="391"/>
        <v>39.979901533154532</v>
      </c>
    </row>
    <row r="1407" spans="1:45">
      <c r="A1407" s="20">
        <v>50.683966669999997</v>
      </c>
      <c r="B1407" s="20">
        <v>1703.954555</v>
      </c>
      <c r="C1407" s="20">
        <v>-393.39292310000002</v>
      </c>
      <c r="E1407" s="9">
        <f t="shared" si="380"/>
        <v>743.95455500000003</v>
      </c>
      <c r="F1407" s="9">
        <f t="shared" si="379"/>
        <v>146.60707689999998</v>
      </c>
      <c r="I1407">
        <v>1</v>
      </c>
      <c r="J1407">
        <f t="shared" si="381"/>
        <v>0.46746095573368646</v>
      </c>
      <c r="K1407">
        <f t="shared" si="382"/>
        <v>0.19457143446930447</v>
      </c>
      <c r="O1407">
        <f t="shared" si="383"/>
        <v>0.44211815643278712</v>
      </c>
      <c r="P1407">
        <f t="shared" si="384"/>
        <v>8.7125819881602631E-2</v>
      </c>
      <c r="Q1407">
        <f t="shared" si="385"/>
        <v>0.89271531143048743</v>
      </c>
      <c r="R1407">
        <f t="shared" si="386"/>
        <v>1</v>
      </c>
      <c r="AG1407" s="8">
        <f t="shared" si="376"/>
        <v>0.74549319427651084</v>
      </c>
      <c r="AH1407" s="8">
        <f t="shared" si="377"/>
        <v>0.17867631383096227</v>
      </c>
      <c r="AI1407" s="8">
        <f t="shared" si="378"/>
        <v>0.64211733519909275</v>
      </c>
      <c r="AJ1407" s="8"/>
      <c r="AK1407" s="8"/>
      <c r="AL1407" s="8"/>
      <c r="AN1407" s="8">
        <f t="shared" si="387"/>
        <v>1</v>
      </c>
      <c r="AO1407" s="8">
        <f t="shared" si="388"/>
        <v>0.23523795344154233</v>
      </c>
      <c r="AP1407" s="8">
        <f t="shared" si="389"/>
        <v>0.87353928634197808</v>
      </c>
      <c r="AQ1407" s="8"/>
      <c r="AR1407" s="8">
        <f t="shared" si="390"/>
        <v>13.478141913495334</v>
      </c>
      <c r="AS1407" s="8">
        <f t="shared" si="391"/>
        <v>39.949885653734739</v>
      </c>
    </row>
    <row r="1408" spans="1:45">
      <c r="A1408" s="20">
        <v>50.717333330000002</v>
      </c>
      <c r="B1408" s="20">
        <v>1704.3966700000001</v>
      </c>
      <c r="C1408" s="20">
        <v>-393.74431989999999</v>
      </c>
      <c r="E1408" s="9">
        <f t="shared" si="380"/>
        <v>744.39667000000009</v>
      </c>
      <c r="F1408" s="9">
        <f t="shared" si="379"/>
        <v>146.25568010000001</v>
      </c>
      <c r="I1408">
        <v>1</v>
      </c>
      <c r="J1408">
        <f t="shared" si="381"/>
        <v>0.46765683111211764</v>
      </c>
      <c r="K1408">
        <f t="shared" si="382"/>
        <v>0.19400429599357494</v>
      </c>
      <c r="O1408">
        <f t="shared" si="383"/>
        <v>0.4423390698271511</v>
      </c>
      <c r="P1408">
        <f t="shared" si="384"/>
        <v>8.690877337263124E-2</v>
      </c>
      <c r="Q1408">
        <f t="shared" si="385"/>
        <v>0.89262702872774102</v>
      </c>
      <c r="R1408">
        <f t="shared" si="386"/>
        <v>1</v>
      </c>
      <c r="AG1408" s="8">
        <f t="shared" si="376"/>
        <v>0.74563062858038809</v>
      </c>
      <c r="AH1408" s="8">
        <f t="shared" si="377"/>
        <v>0.1788733453438624</v>
      </c>
      <c r="AI1408" s="8">
        <f t="shared" si="378"/>
        <v>0.64190286807920616</v>
      </c>
      <c r="AJ1408" s="8"/>
      <c r="AK1408" s="8"/>
      <c r="AL1408" s="8"/>
      <c r="AN1408" s="8">
        <f t="shared" si="387"/>
        <v>1</v>
      </c>
      <c r="AO1408" s="8">
        <f t="shared" si="388"/>
        <v>0.23544605927889359</v>
      </c>
      <c r="AP1408" s="8">
        <f t="shared" si="389"/>
        <v>0.87381901529877304</v>
      </c>
      <c r="AQ1408" s="8"/>
      <c r="AR1408" s="8">
        <f t="shared" si="390"/>
        <v>13.490065499667597</v>
      </c>
      <c r="AS1408" s="8">
        <f t="shared" si="391"/>
        <v>39.933858365102793</v>
      </c>
    </row>
    <row r="1409" spans="1:45">
      <c r="A1409" s="20">
        <v>50.750700000000002</v>
      </c>
      <c r="B1409" s="20">
        <v>1704.815077</v>
      </c>
      <c r="C1409" s="20">
        <v>-393.7054741</v>
      </c>
      <c r="E1409" s="9">
        <f t="shared" si="380"/>
        <v>744.81507699999997</v>
      </c>
      <c r="F1409" s="9">
        <f t="shared" si="379"/>
        <v>146.2945259</v>
      </c>
      <c r="I1409">
        <v>1</v>
      </c>
      <c r="J1409">
        <f t="shared" si="381"/>
        <v>0.46788054359651388</v>
      </c>
      <c r="K1409">
        <f t="shared" si="382"/>
        <v>0.19394824216365553</v>
      </c>
      <c r="O1409">
        <f t="shared" si="383"/>
        <v>0.44253987740412243</v>
      </c>
      <c r="P1409">
        <f t="shared" si="384"/>
        <v>8.69224637844975E-2</v>
      </c>
      <c r="Q1409">
        <f t="shared" si="385"/>
        <v>0.89252615771011268</v>
      </c>
      <c r="R1409">
        <f t="shared" si="386"/>
        <v>1</v>
      </c>
      <c r="AG1409" s="8">
        <f t="shared" si="376"/>
        <v>0.74561424183681724</v>
      </c>
      <c r="AH1409" s="8">
        <f t="shared" si="377"/>
        <v>0.17909383530800571</v>
      </c>
      <c r="AI1409" s="8">
        <f t="shared" si="378"/>
        <v>0.64186042137272892</v>
      </c>
      <c r="AJ1409" s="8"/>
      <c r="AK1409" s="8"/>
      <c r="AL1409" s="8"/>
      <c r="AN1409" s="8">
        <f t="shared" si="387"/>
        <v>1</v>
      </c>
      <c r="AO1409" s="8">
        <f t="shared" si="388"/>
        <v>0.2357306488246203</v>
      </c>
      <c r="AP1409" s="8">
        <f t="shared" si="389"/>
        <v>0.87387437067206664</v>
      </c>
      <c r="AQ1409" s="8"/>
      <c r="AR1409" s="8">
        <f t="shared" si="390"/>
        <v>13.506371279531283</v>
      </c>
      <c r="AS1409" s="8">
        <f t="shared" si="391"/>
        <v>39.9306867358397</v>
      </c>
    </row>
    <row r="1410" spans="1:45">
      <c r="A1410" s="20">
        <v>50.784066670000001</v>
      </c>
      <c r="B1410" s="20">
        <v>1705.09383</v>
      </c>
      <c r="C1410" s="20">
        <v>-393.67028549999998</v>
      </c>
      <c r="E1410" s="9">
        <f t="shared" si="380"/>
        <v>745.09383000000003</v>
      </c>
      <c r="F1410" s="9">
        <f t="shared" si="379"/>
        <v>146.32971450000002</v>
      </c>
      <c r="I1410">
        <v>1</v>
      </c>
      <c r="J1410">
        <f t="shared" si="381"/>
        <v>0.4680305192725141</v>
      </c>
      <c r="K1410">
        <f t="shared" si="382"/>
        <v>0.19392296121412944</v>
      </c>
      <c r="O1410">
        <f t="shared" si="383"/>
        <v>0.44267341793438181</v>
      </c>
      <c r="P1410">
        <f t="shared" si="384"/>
        <v>8.693707054731252E-2</v>
      </c>
      <c r="Q1410">
        <f t="shared" si="385"/>
        <v>0.89245850929829995</v>
      </c>
      <c r="R1410">
        <f t="shared" si="386"/>
        <v>1</v>
      </c>
      <c r="AG1410" s="8">
        <f t="shared" si="376"/>
        <v>0.74559963730750156</v>
      </c>
      <c r="AH1410" s="8">
        <f t="shared" si="377"/>
        <v>0.17924155282660836</v>
      </c>
      <c r="AI1410" s="8">
        <f t="shared" si="378"/>
        <v>0.64183615244642311</v>
      </c>
      <c r="AJ1410" s="8"/>
      <c r="AK1410" s="8"/>
      <c r="AL1410" s="8"/>
      <c r="AN1410" s="8">
        <f t="shared" si="387"/>
        <v>0.99999999999999978</v>
      </c>
      <c r="AO1410" s="8">
        <f t="shared" si="388"/>
        <v>0.23592240046765395</v>
      </c>
      <c r="AP1410" s="8">
        <f t="shared" si="389"/>
        <v>0.87390601898283682</v>
      </c>
      <c r="AQ1410" s="8"/>
      <c r="AR1410" s="8">
        <f t="shared" si="390"/>
        <v>13.51735783939181</v>
      </c>
      <c r="AS1410" s="8">
        <f t="shared" si="391"/>
        <v>39.928873421203846</v>
      </c>
    </row>
    <row r="1411" spans="1:45">
      <c r="A1411" s="20">
        <v>50.81743333</v>
      </c>
      <c r="B1411" s="20">
        <v>1705.7614329999999</v>
      </c>
      <c r="C1411" s="20">
        <v>-394.21519990000002</v>
      </c>
      <c r="E1411" s="9">
        <f t="shared" si="380"/>
        <v>745.7614329999999</v>
      </c>
      <c r="F1411" s="9">
        <f t="shared" si="379"/>
        <v>145.78480009999998</v>
      </c>
      <c r="I1411">
        <v>1</v>
      </c>
      <c r="J1411">
        <f t="shared" si="381"/>
        <v>0.46832492213410409</v>
      </c>
      <c r="K1411">
        <f t="shared" si="382"/>
        <v>0.19304998574416288</v>
      </c>
      <c r="O1411">
        <f t="shared" si="383"/>
        <v>0.44300698553194534</v>
      </c>
      <c r="P1411">
        <f t="shared" si="384"/>
        <v>8.6600998618117389E-2</v>
      </c>
      <c r="Q1411">
        <f t="shared" si="385"/>
        <v>0.89232565681383591</v>
      </c>
      <c r="R1411">
        <f t="shared" si="386"/>
        <v>1</v>
      </c>
      <c r="AG1411" s="8">
        <f t="shared" si="376"/>
        <v>0.74581247633278025</v>
      </c>
      <c r="AH1411" s="8">
        <f t="shared" si="377"/>
        <v>0.17953752708705428</v>
      </c>
      <c r="AI1411" s="8">
        <f t="shared" si="378"/>
        <v>0.64150606116686948</v>
      </c>
      <c r="AJ1411" s="8"/>
      <c r="AK1411" s="8"/>
      <c r="AL1411" s="8"/>
      <c r="AN1411" s="8">
        <f t="shared" si="387"/>
        <v>0.99999999999999989</v>
      </c>
      <c r="AO1411" s="8">
        <f t="shared" si="388"/>
        <v>0.2362326872260023</v>
      </c>
      <c r="AP1411" s="8">
        <f t="shared" si="389"/>
        <v>0.8743363969898813</v>
      </c>
      <c r="AQ1411" s="8"/>
      <c r="AR1411" s="8">
        <f t="shared" si="390"/>
        <v>13.535135961083967</v>
      </c>
      <c r="AS1411" s="8">
        <f t="shared" si="391"/>
        <v>39.904214577804943</v>
      </c>
    </row>
    <row r="1412" spans="1:45">
      <c r="A1412" s="20">
        <v>50.8508</v>
      </c>
      <c r="B1412" s="20">
        <v>1706.08851</v>
      </c>
      <c r="C1412" s="20">
        <v>-394.44922739999998</v>
      </c>
      <c r="E1412" s="9">
        <f t="shared" si="380"/>
        <v>746.08851000000004</v>
      </c>
      <c r="F1412" s="9">
        <f t="shared" si="379"/>
        <v>145.55077260000002</v>
      </c>
      <c r="I1412">
        <v>1</v>
      </c>
      <c r="J1412">
        <f t="shared" si="381"/>
        <v>0.46847261237365767</v>
      </c>
      <c r="K1412">
        <f t="shared" si="382"/>
        <v>0.19266528589817447</v>
      </c>
      <c r="O1412">
        <f t="shared" si="383"/>
        <v>0.44316961267966493</v>
      </c>
      <c r="P1412">
        <f t="shared" si="384"/>
        <v>8.6455800690950185E-2</v>
      </c>
      <c r="Q1412">
        <f t="shared" si="385"/>
        <v>0.89225898085939293</v>
      </c>
      <c r="R1412">
        <f t="shared" si="386"/>
        <v>1</v>
      </c>
      <c r="AG1412" s="8">
        <f t="shared" si="376"/>
        <v>0.74590369190127159</v>
      </c>
      <c r="AH1412" s="8">
        <f t="shared" si="377"/>
        <v>0.17968550815065693</v>
      </c>
      <c r="AI1412" s="8">
        <f t="shared" si="378"/>
        <v>0.64135855850584333</v>
      </c>
      <c r="AJ1412" s="8"/>
      <c r="AK1412" s="8"/>
      <c r="AL1412" s="8"/>
      <c r="AN1412" s="8">
        <f t="shared" si="387"/>
        <v>1</v>
      </c>
      <c r="AO1412" s="8">
        <f t="shared" si="388"/>
        <v>0.23639237999324211</v>
      </c>
      <c r="AP1412" s="8">
        <f t="shared" si="389"/>
        <v>0.8745286631229463</v>
      </c>
      <c r="AQ1412" s="8"/>
      <c r="AR1412" s="8">
        <f t="shared" si="390"/>
        <v>13.544285682665572</v>
      </c>
      <c r="AS1412" s="8">
        <f t="shared" si="391"/>
        <v>39.893198539837023</v>
      </c>
    </row>
    <row r="1413" spans="1:45">
      <c r="A1413" s="20">
        <v>50.884166669999999</v>
      </c>
      <c r="B1413" s="20">
        <v>1706.729153</v>
      </c>
      <c r="C1413" s="20">
        <v>-394.67502990000003</v>
      </c>
      <c r="E1413" s="9">
        <f t="shared" si="380"/>
        <v>746.729153</v>
      </c>
      <c r="F1413" s="9">
        <f t="shared" si="379"/>
        <v>145.32497009999997</v>
      </c>
      <c r="I1413">
        <v>1</v>
      </c>
      <c r="J1413">
        <f t="shared" si="381"/>
        <v>0.4687857382429178</v>
      </c>
      <c r="K1413">
        <f t="shared" si="382"/>
        <v>0.19221271010463922</v>
      </c>
      <c r="O1413">
        <f t="shared" si="383"/>
        <v>0.44348291748057583</v>
      </c>
      <c r="P1413">
        <f t="shared" si="384"/>
        <v>8.630859189546794E-2</v>
      </c>
      <c r="Q1413">
        <f t="shared" si="385"/>
        <v>0.89211755327867992</v>
      </c>
      <c r="R1413">
        <f t="shared" si="386"/>
        <v>1</v>
      </c>
      <c r="AG1413" s="8">
        <f t="shared" si="376"/>
        <v>0.74599064651718727</v>
      </c>
      <c r="AH1413" s="8">
        <f t="shared" si="377"/>
        <v>0.17999660052477867</v>
      </c>
      <c r="AI1413" s="8">
        <f t="shared" si="378"/>
        <v>0.64117016392560888</v>
      </c>
      <c r="AJ1413" s="8"/>
      <c r="AK1413" s="8"/>
      <c r="AL1413" s="8"/>
      <c r="AN1413" s="8">
        <f t="shared" si="387"/>
        <v>1</v>
      </c>
      <c r="AO1413" s="8">
        <f t="shared" si="388"/>
        <v>0.23675995442125794</v>
      </c>
      <c r="AP1413" s="8">
        <f t="shared" si="389"/>
        <v>0.8747741859502387</v>
      </c>
      <c r="AQ1413" s="8"/>
      <c r="AR1413" s="8">
        <f t="shared" si="390"/>
        <v>13.565346146047816</v>
      </c>
      <c r="AS1413" s="8">
        <f t="shared" si="391"/>
        <v>39.87913111805905</v>
      </c>
    </row>
    <row r="1414" spans="1:45">
      <c r="A1414" s="20">
        <v>50.917533329999998</v>
      </c>
      <c r="B1414" s="20">
        <v>1706.751145</v>
      </c>
      <c r="C1414" s="20">
        <v>-394.65353160000001</v>
      </c>
      <c r="E1414" s="9">
        <f t="shared" si="380"/>
        <v>746.75114499999995</v>
      </c>
      <c r="F1414" s="9">
        <f t="shared" si="379"/>
        <v>145.34646839999999</v>
      </c>
      <c r="I1414">
        <v>1</v>
      </c>
      <c r="J1414">
        <f t="shared" si="381"/>
        <v>0.46879947411757078</v>
      </c>
      <c r="K1414">
        <f t="shared" si="382"/>
        <v>0.19223492620655319</v>
      </c>
      <c r="O1414">
        <f t="shared" si="383"/>
        <v>0.44349302818104736</v>
      </c>
      <c r="P1414">
        <f t="shared" si="384"/>
        <v>8.6320785495597602E-2</v>
      </c>
      <c r="Q1414">
        <f t="shared" si="385"/>
        <v>0.89211134728027519</v>
      </c>
      <c r="R1414">
        <f t="shared" si="386"/>
        <v>1</v>
      </c>
      <c r="AG1414" s="8">
        <f t="shared" si="376"/>
        <v>0.74598211416106708</v>
      </c>
      <c r="AH1414" s="8">
        <f t="shared" si="377"/>
        <v>0.18000995989122603</v>
      </c>
      <c r="AI1414" s="8">
        <f t="shared" si="378"/>
        <v>0.64117634055830841</v>
      </c>
      <c r="AJ1414" s="8"/>
      <c r="AK1414" s="8"/>
      <c r="AL1414" s="8"/>
      <c r="AN1414" s="8">
        <f t="shared" si="387"/>
        <v>0.99999999999999989</v>
      </c>
      <c r="AO1414" s="8">
        <f t="shared" si="388"/>
        <v>0.2367794854432072</v>
      </c>
      <c r="AP1414" s="8">
        <f t="shared" si="389"/>
        <v>0.87476613713132101</v>
      </c>
      <c r="AQ1414" s="8"/>
      <c r="AR1414" s="8">
        <f t="shared" si="390"/>
        <v>13.566465191175086</v>
      </c>
      <c r="AS1414" s="8">
        <f t="shared" si="391"/>
        <v>39.879592281413096</v>
      </c>
    </row>
    <row r="1415" spans="1:45">
      <c r="A1415" s="20">
        <v>50.950899999999997</v>
      </c>
      <c r="B1415" s="20">
        <v>1707.4361530000001</v>
      </c>
      <c r="C1415" s="20">
        <v>-395.1395569</v>
      </c>
      <c r="E1415" s="9">
        <f t="shared" si="380"/>
        <v>747.4361530000001</v>
      </c>
      <c r="F1415" s="9">
        <f t="shared" si="379"/>
        <v>144.8604431</v>
      </c>
      <c r="I1415">
        <v>1</v>
      </c>
      <c r="J1415">
        <f t="shared" si="381"/>
        <v>0.4691093692000336</v>
      </c>
      <c r="K1415">
        <f t="shared" si="382"/>
        <v>0.19143641041810699</v>
      </c>
      <c r="O1415">
        <f t="shared" si="383"/>
        <v>0.44383320450485186</v>
      </c>
      <c r="P1415">
        <f t="shared" si="384"/>
        <v>8.60192197139623E-2</v>
      </c>
      <c r="Q1415">
        <f t="shared" si="385"/>
        <v>0.89197128901033318</v>
      </c>
      <c r="R1415">
        <f t="shared" si="386"/>
        <v>1</v>
      </c>
      <c r="AG1415" s="8">
        <f t="shared" si="376"/>
        <v>0.74617119635914775</v>
      </c>
      <c r="AH1415" s="8">
        <f t="shared" si="377"/>
        <v>0.18032002980349665</v>
      </c>
      <c r="AI1415" s="8">
        <f t="shared" si="378"/>
        <v>0.64086912281340569</v>
      </c>
      <c r="AJ1415" s="8"/>
      <c r="AK1415" s="8"/>
      <c r="AL1415" s="8"/>
      <c r="AN1415" s="8">
        <f t="shared" si="387"/>
        <v>0.99999999999999978</v>
      </c>
      <c r="AO1415" s="8">
        <f t="shared" si="388"/>
        <v>0.23711435787381113</v>
      </c>
      <c r="AP1415" s="8">
        <f t="shared" si="389"/>
        <v>0.87516640942808177</v>
      </c>
      <c r="AQ1415" s="8"/>
      <c r="AR1415" s="8">
        <f t="shared" si="390"/>
        <v>13.585651968123978</v>
      </c>
      <c r="AS1415" s="8">
        <f t="shared" si="391"/>
        <v>39.856658368152694</v>
      </c>
    </row>
    <row r="1416" spans="1:45">
      <c r="A1416" s="20">
        <v>50.984266669999997</v>
      </c>
      <c r="B1416" s="20">
        <v>1708.079876</v>
      </c>
      <c r="C1416" s="20">
        <v>-395.4418364</v>
      </c>
      <c r="E1416" s="9">
        <f t="shared" si="380"/>
        <v>748.07987600000001</v>
      </c>
      <c r="F1416" s="9">
        <f t="shared" si="379"/>
        <v>144.5581636</v>
      </c>
      <c r="I1416">
        <v>1</v>
      </c>
      <c r="J1416">
        <f t="shared" si="381"/>
        <v>0.46941638464627339</v>
      </c>
      <c r="K1416">
        <f t="shared" si="382"/>
        <v>0.19088617061427729</v>
      </c>
      <c r="O1416">
        <f t="shared" si="383"/>
        <v>0.44414932249324296</v>
      </c>
      <c r="P1416">
        <f t="shared" si="384"/>
        <v>8.5826945067838431E-2</v>
      </c>
      <c r="Q1416">
        <f t="shared" si="385"/>
        <v>0.89183244773282133</v>
      </c>
      <c r="R1416">
        <f t="shared" si="386"/>
        <v>1</v>
      </c>
      <c r="AG1416" s="8">
        <f t="shared" si="376"/>
        <v>0.74628792369493002</v>
      </c>
      <c r="AH1416" s="8">
        <f t="shared" si="377"/>
        <v>0.18062545288219201</v>
      </c>
      <c r="AI1416" s="8">
        <f t="shared" si="378"/>
        <v>0.6406471577383398</v>
      </c>
      <c r="AJ1416" s="8"/>
      <c r="AK1416" s="8"/>
      <c r="AL1416" s="8"/>
      <c r="AN1416" s="8">
        <f t="shared" si="387"/>
        <v>1</v>
      </c>
      <c r="AO1416" s="8">
        <f t="shared" si="388"/>
        <v>0.23746529011494397</v>
      </c>
      <c r="AP1416" s="8">
        <f t="shared" si="389"/>
        <v>0.87545552327935561</v>
      </c>
      <c r="AQ1416" s="8"/>
      <c r="AR1416" s="8">
        <f t="shared" si="390"/>
        <v>13.605758904435957</v>
      </c>
      <c r="AS1416" s="8">
        <f t="shared" si="391"/>
        <v>39.84009336467593</v>
      </c>
    </row>
    <row r="1417" spans="1:45">
      <c r="A1417" s="20">
        <v>51.017633330000002</v>
      </c>
      <c r="B1417" s="20">
        <v>1709.1316670000001</v>
      </c>
      <c r="C1417" s="20">
        <v>-395.65724779999999</v>
      </c>
      <c r="E1417" s="9">
        <f t="shared" si="380"/>
        <v>749.13166700000011</v>
      </c>
      <c r="F1417" s="9">
        <f t="shared" si="379"/>
        <v>144.34275220000001</v>
      </c>
      <c r="I1417">
        <v>1</v>
      </c>
      <c r="J1417">
        <f t="shared" si="381"/>
        <v>0.4699461960116994</v>
      </c>
      <c r="K1417">
        <f t="shared" si="382"/>
        <v>0.19034737364853002</v>
      </c>
      <c r="O1417">
        <f t="shared" si="383"/>
        <v>0.44465940784347358</v>
      </c>
      <c r="P1417">
        <f t="shared" si="384"/>
        <v>8.5677011861987173E-2</v>
      </c>
      <c r="Q1417">
        <f t="shared" si="385"/>
        <v>0.8915926539932304</v>
      </c>
      <c r="R1417">
        <f t="shared" si="386"/>
        <v>1</v>
      </c>
      <c r="AG1417" s="8">
        <f t="shared" si="376"/>
        <v>0.74636882898304546</v>
      </c>
      <c r="AH1417" s="8">
        <f t="shared" si="377"/>
        <v>0.18114975802841793</v>
      </c>
      <c r="AI1417" s="8">
        <f t="shared" si="378"/>
        <v>0.64040482219352701</v>
      </c>
      <c r="AJ1417" s="8"/>
      <c r="AK1417" s="8"/>
      <c r="AL1417" s="8"/>
      <c r="AN1417" s="8">
        <f t="shared" si="387"/>
        <v>0.99999999999999989</v>
      </c>
      <c r="AO1417" s="8">
        <f t="shared" si="388"/>
        <v>0.23810400843721566</v>
      </c>
      <c r="AP1417" s="8">
        <f t="shared" si="389"/>
        <v>0.87577109045236079</v>
      </c>
      <c r="AQ1417" s="8"/>
      <c r="AR1417" s="8">
        <f t="shared" si="390"/>
        <v>13.642354768599802</v>
      </c>
      <c r="AS1417" s="8">
        <f t="shared" si="391"/>
        <v>39.822012697509862</v>
      </c>
    </row>
    <row r="1418" spans="1:45">
      <c r="A1418" s="20">
        <v>51.051000000000002</v>
      </c>
      <c r="B1418" s="20">
        <v>1709.382384</v>
      </c>
      <c r="C1418" s="20">
        <v>-395.64673260000001</v>
      </c>
      <c r="E1418" s="9">
        <f t="shared" si="380"/>
        <v>749.382384</v>
      </c>
      <c r="F1418" s="9">
        <f t="shared" si="379"/>
        <v>144.35326739999999</v>
      </c>
      <c r="I1418">
        <v>1</v>
      </c>
      <c r="J1418">
        <f t="shared" si="381"/>
        <v>0.47007871055198513</v>
      </c>
      <c r="K1418">
        <f t="shared" si="382"/>
        <v>0.19029874633466443</v>
      </c>
      <c r="O1418">
        <f t="shared" si="383"/>
        <v>0.44477958579414462</v>
      </c>
      <c r="P1418">
        <f t="shared" si="384"/>
        <v>8.5677736564198984E-2</v>
      </c>
      <c r="Q1418">
        <f t="shared" si="385"/>
        <v>0.89153263850406783</v>
      </c>
      <c r="R1418">
        <f t="shared" si="386"/>
        <v>1</v>
      </c>
      <c r="AG1418" s="8">
        <f t="shared" si="376"/>
        <v>0.74636374853704746</v>
      </c>
      <c r="AH1418" s="8">
        <f t="shared" si="377"/>
        <v>0.18128035713066026</v>
      </c>
      <c r="AI1418" s="8">
        <f t="shared" si="378"/>
        <v>0.6403737869309668</v>
      </c>
      <c r="AJ1418" s="8"/>
      <c r="AK1418" s="8"/>
      <c r="AL1418" s="8"/>
      <c r="AN1418" s="8">
        <f t="shared" si="387"/>
        <v>1</v>
      </c>
      <c r="AO1418" s="8">
        <f t="shared" si="388"/>
        <v>0.23827080817358434</v>
      </c>
      <c r="AP1418" s="8">
        <f t="shared" si="389"/>
        <v>0.87581149829456284</v>
      </c>
      <c r="AQ1418" s="8"/>
      <c r="AR1418" s="8">
        <f t="shared" si="390"/>
        <v>13.651911689517622</v>
      </c>
      <c r="AS1418" s="8">
        <f t="shared" si="391"/>
        <v>39.819697498692456</v>
      </c>
    </row>
    <row r="1419" spans="1:45">
      <c r="A1419" s="20">
        <v>51.084366670000001</v>
      </c>
      <c r="B1419" s="20">
        <v>1709.815891</v>
      </c>
      <c r="C1419" s="20">
        <v>-396.3155984</v>
      </c>
      <c r="E1419" s="9">
        <f t="shared" si="380"/>
        <v>749.81589099999997</v>
      </c>
      <c r="F1419" s="9">
        <f t="shared" si="379"/>
        <v>143.6844016</v>
      </c>
      <c r="I1419">
        <v>1</v>
      </c>
      <c r="J1419">
        <f t="shared" si="381"/>
        <v>0.47023861584832399</v>
      </c>
      <c r="K1419">
        <f t="shared" si="382"/>
        <v>0.18933105771876335</v>
      </c>
      <c r="O1419">
        <f t="shared" si="383"/>
        <v>0.44500229449238288</v>
      </c>
      <c r="P1419">
        <f t="shared" si="384"/>
        <v>8.5274117503019178E-2</v>
      </c>
      <c r="Q1419">
        <f t="shared" si="385"/>
        <v>0.89146019696932954</v>
      </c>
      <c r="R1419">
        <f t="shared" si="386"/>
        <v>1</v>
      </c>
      <c r="AG1419" s="8">
        <f t="shared" si="376"/>
        <v>0.74662497953611295</v>
      </c>
      <c r="AH1419" s="8">
        <f t="shared" si="377"/>
        <v>0.18144316143481309</v>
      </c>
      <c r="AI1419" s="8">
        <f t="shared" si="378"/>
        <v>0.6400230613823531</v>
      </c>
      <c r="AJ1419" s="8"/>
      <c r="AK1419" s="8"/>
      <c r="AL1419" s="8"/>
      <c r="AN1419" s="8">
        <f t="shared" si="387"/>
        <v>1</v>
      </c>
      <c r="AO1419" s="8">
        <f t="shared" si="388"/>
        <v>0.23839646384887336</v>
      </c>
      <c r="AP1419" s="8">
        <f t="shared" si="389"/>
        <v>0.87626804760287647</v>
      </c>
      <c r="AQ1419" s="8"/>
      <c r="AR1419" s="8">
        <f t="shared" si="390"/>
        <v>13.65911122938355</v>
      </c>
      <c r="AS1419" s="8">
        <f t="shared" si="391"/>
        <v>39.793539150186461</v>
      </c>
    </row>
    <row r="1420" spans="1:45">
      <c r="A1420" s="20">
        <v>51.11773333</v>
      </c>
      <c r="B1420" s="20">
        <v>1709.829473</v>
      </c>
      <c r="C1420" s="20">
        <v>-396.46160830000002</v>
      </c>
      <c r="E1420" s="9">
        <f t="shared" si="380"/>
        <v>749.82947300000001</v>
      </c>
      <c r="F1420" s="9">
        <f t="shared" si="379"/>
        <v>143.53839169999998</v>
      </c>
      <c r="I1420">
        <v>1</v>
      </c>
      <c r="J1420">
        <f t="shared" si="381"/>
        <v>0.47023107492245203</v>
      </c>
      <c r="K1420">
        <f t="shared" si="382"/>
        <v>0.18913987563071627</v>
      </c>
      <c r="O1420">
        <f t="shared" si="383"/>
        <v>0.44501198668145936</v>
      </c>
      <c r="P1420">
        <f t="shared" si="384"/>
        <v>8.5187775561708909E-2</v>
      </c>
      <c r="Q1420">
        <f t="shared" si="385"/>
        <v>0.89146361373006611</v>
      </c>
      <c r="R1420">
        <f t="shared" si="386"/>
        <v>1</v>
      </c>
      <c r="AG1420" s="8">
        <f t="shared" si="376"/>
        <v>0.74668230138350333</v>
      </c>
      <c r="AH1420" s="8">
        <f t="shared" si="377"/>
        <v>0.18143679751722502</v>
      </c>
      <c r="AI1420" s="8">
        <f t="shared" si="378"/>
        <v>0.63995799026758671</v>
      </c>
      <c r="AJ1420" s="8"/>
      <c r="AK1420" s="8"/>
      <c r="AL1420" s="8"/>
      <c r="AN1420" s="8">
        <f t="shared" si="387"/>
        <v>1</v>
      </c>
      <c r="AO1420" s="8">
        <f t="shared" si="388"/>
        <v>0.23837080022100038</v>
      </c>
      <c r="AP1420" s="8">
        <f t="shared" si="389"/>
        <v>0.8763527334064275</v>
      </c>
      <c r="AQ1420" s="8"/>
      <c r="AR1420" s="8">
        <f t="shared" si="390"/>
        <v>13.657640811819432</v>
      </c>
      <c r="AS1420" s="8">
        <f t="shared" si="391"/>
        <v>39.788687011058315</v>
      </c>
    </row>
    <row r="1421" spans="1:45">
      <c r="A1421" s="20">
        <v>51.1511</v>
      </c>
      <c r="B1421" s="20">
        <v>1710.310763</v>
      </c>
      <c r="C1421" s="20">
        <v>-396.5293562</v>
      </c>
      <c r="E1421" s="9">
        <f t="shared" si="380"/>
        <v>750.31076299999995</v>
      </c>
      <c r="F1421" s="9">
        <f t="shared" si="379"/>
        <v>143.4706438</v>
      </c>
      <c r="I1421">
        <v>1</v>
      </c>
      <c r="J1421">
        <f t="shared" si="381"/>
        <v>0.47047659951904208</v>
      </c>
      <c r="K1421">
        <f t="shared" si="382"/>
        <v>0.18893431452558768</v>
      </c>
      <c r="O1421">
        <f t="shared" si="383"/>
        <v>0.44524445648528171</v>
      </c>
      <c r="P1421">
        <f t="shared" si="384"/>
        <v>8.5137401687951614E-2</v>
      </c>
      <c r="Q1421">
        <f t="shared" si="385"/>
        <v>0.89135234155913368</v>
      </c>
      <c r="R1421">
        <f t="shared" si="386"/>
        <v>1</v>
      </c>
      <c r="AG1421" s="8">
        <f t="shared" si="376"/>
        <v>0.74670697649134854</v>
      </c>
      <c r="AH1421" s="8">
        <f t="shared" si="377"/>
        <v>0.18167933662561153</v>
      </c>
      <c r="AI1421" s="8">
        <f t="shared" si="378"/>
        <v>0.63986038313246629</v>
      </c>
      <c r="AJ1421" s="8"/>
      <c r="AK1421" s="8"/>
      <c r="AL1421" s="8"/>
      <c r="AN1421" s="8">
        <f t="shared" si="387"/>
        <v>1.0000000000000002</v>
      </c>
      <c r="AO1421" s="8">
        <f t="shared" si="388"/>
        <v>0.23866989901221053</v>
      </c>
      <c r="AP1421" s="8">
        <f t="shared" si="389"/>
        <v>0.87647975151652424</v>
      </c>
      <c r="AQ1421" s="8"/>
      <c r="AR1421" s="8">
        <f t="shared" si="390"/>
        <v>13.674777910213239</v>
      </c>
      <c r="AS1421" s="8">
        <f t="shared" si="391"/>
        <v>39.781409409428043</v>
      </c>
    </row>
    <row r="1422" spans="1:45">
      <c r="A1422" s="20">
        <v>51.184466669999999</v>
      </c>
      <c r="B1422" s="20">
        <v>1711.0927790000001</v>
      </c>
      <c r="C1422" s="20">
        <v>-396.66056379999998</v>
      </c>
      <c r="E1422" s="9">
        <f t="shared" si="380"/>
        <v>751.09277900000006</v>
      </c>
      <c r="F1422" s="9">
        <f t="shared" si="379"/>
        <v>143.33943620000002</v>
      </c>
      <c r="I1422">
        <v>1</v>
      </c>
      <c r="J1422">
        <f t="shared" si="381"/>
        <v>0.47087333167505124</v>
      </c>
      <c r="K1422">
        <f t="shared" si="382"/>
        <v>0.18857369765485946</v>
      </c>
      <c r="O1422">
        <f t="shared" si="383"/>
        <v>0.44562245369667558</v>
      </c>
      <c r="P1422">
        <f t="shared" si="384"/>
        <v>8.5043117251087416E-2</v>
      </c>
      <c r="Q1422">
        <f t="shared" si="385"/>
        <v>0.89117242830418175</v>
      </c>
      <c r="R1422">
        <f t="shared" si="386"/>
        <v>1</v>
      </c>
      <c r="AG1422" s="8">
        <f t="shared" si="376"/>
        <v>0.74675524593024423</v>
      </c>
      <c r="AH1422" s="8">
        <f t="shared" si="377"/>
        <v>0.18207133361606409</v>
      </c>
      <c r="AI1422" s="8">
        <f t="shared" si="378"/>
        <v>0.63969260754750656</v>
      </c>
      <c r="AJ1422" s="8"/>
      <c r="AK1422" s="8"/>
      <c r="AL1422" s="8"/>
      <c r="AN1422" s="8">
        <f t="shared" si="387"/>
        <v>0.99999999999999989</v>
      </c>
      <c r="AO1422" s="8">
        <f t="shared" si="388"/>
        <v>0.23915058981848006</v>
      </c>
      <c r="AP1422" s="8">
        <f t="shared" si="389"/>
        <v>0.87669804984599142</v>
      </c>
      <c r="AQ1422" s="8"/>
      <c r="AR1422" s="8">
        <f t="shared" si="390"/>
        <v>13.702319464663224</v>
      </c>
      <c r="AS1422" s="8">
        <f t="shared" si="391"/>
        <v>39.768901836474818</v>
      </c>
    </row>
    <row r="1423" spans="1:45">
      <c r="A1423" s="20">
        <v>51.217833329999998</v>
      </c>
      <c r="B1423" s="20">
        <v>1711.751937</v>
      </c>
      <c r="C1423" s="20">
        <v>-397.25172020000002</v>
      </c>
      <c r="E1423" s="9">
        <f t="shared" si="380"/>
        <v>751.751937</v>
      </c>
      <c r="F1423" s="9">
        <f t="shared" si="379"/>
        <v>142.74827979999998</v>
      </c>
      <c r="I1423">
        <v>1</v>
      </c>
      <c r="J1423">
        <f t="shared" si="381"/>
        <v>0.47115976426797762</v>
      </c>
      <c r="K1423">
        <f t="shared" si="382"/>
        <v>0.18765334330215805</v>
      </c>
      <c r="O1423">
        <f t="shared" si="383"/>
        <v>0.44595129612267209</v>
      </c>
      <c r="P1423">
        <f t="shared" si="384"/>
        <v>8.4680567169714963E-2</v>
      </c>
      <c r="Q1423">
        <f t="shared" si="385"/>
        <v>0.89104244737853211</v>
      </c>
      <c r="R1423">
        <f t="shared" si="386"/>
        <v>1</v>
      </c>
      <c r="AG1423" s="8">
        <f t="shared" si="376"/>
        <v>0.74698448310743448</v>
      </c>
      <c r="AH1423" s="8">
        <f t="shared" si="377"/>
        <v>0.18235757251858975</v>
      </c>
      <c r="AI1423" s="8">
        <f t="shared" si="378"/>
        <v>0.63934333322702774</v>
      </c>
      <c r="AJ1423" s="8"/>
      <c r="AK1423" s="8"/>
      <c r="AL1423" s="8"/>
      <c r="AN1423" s="8">
        <f t="shared" si="387"/>
        <v>1</v>
      </c>
      <c r="AO1423" s="8">
        <f t="shared" si="388"/>
        <v>0.23944163555034528</v>
      </c>
      <c r="AP1423" s="8">
        <f t="shared" si="389"/>
        <v>0.87715237498430565</v>
      </c>
      <c r="AQ1423" s="8"/>
      <c r="AR1423" s="8">
        <f t="shared" si="390"/>
        <v>13.718995156744397</v>
      </c>
      <c r="AS1423" s="8">
        <f t="shared" si="391"/>
        <v>39.742870923522716</v>
      </c>
    </row>
    <row r="1424" spans="1:45">
      <c r="A1424" s="20">
        <v>51.251199999999997</v>
      </c>
      <c r="B1424" s="20">
        <v>1712.057681</v>
      </c>
      <c r="C1424" s="20">
        <v>-397.4595812</v>
      </c>
      <c r="E1424" s="9">
        <f t="shared" si="380"/>
        <v>752.057681</v>
      </c>
      <c r="F1424" s="9">
        <f t="shared" si="379"/>
        <v>142.5404188</v>
      </c>
      <c r="I1424">
        <v>1</v>
      </c>
      <c r="J1424">
        <f t="shared" si="381"/>
        <v>0.47129929915073826</v>
      </c>
      <c r="K1424">
        <f t="shared" si="382"/>
        <v>0.18731203968795937</v>
      </c>
      <c r="O1424">
        <f t="shared" si="383"/>
        <v>0.44610232432777724</v>
      </c>
      <c r="P1424">
        <f t="shared" si="384"/>
        <v>8.4551509470368394E-2</v>
      </c>
      <c r="Q1424">
        <f t="shared" si="385"/>
        <v>0.89097910103191358</v>
      </c>
      <c r="R1424">
        <f t="shared" si="386"/>
        <v>1</v>
      </c>
      <c r="AG1424" s="8">
        <f t="shared" si="376"/>
        <v>0.74706468912148016</v>
      </c>
      <c r="AH1424" s="8">
        <f t="shared" si="377"/>
        <v>0.18249637820829767</v>
      </c>
      <c r="AI1424" s="8">
        <f t="shared" si="378"/>
        <v>0.63920999852058025</v>
      </c>
      <c r="AJ1424" s="8"/>
      <c r="AK1424" s="8"/>
      <c r="AL1424" s="8"/>
      <c r="AN1424" s="8">
        <f t="shared" si="387"/>
        <v>1</v>
      </c>
      <c r="AO1424" s="8">
        <f t="shared" si="388"/>
        <v>0.23959224557428627</v>
      </c>
      <c r="AP1424" s="8">
        <f t="shared" si="389"/>
        <v>0.87732576734683521</v>
      </c>
      <c r="AQ1424" s="8"/>
      <c r="AR1424" s="8">
        <f t="shared" si="390"/>
        <v>13.727624475468581</v>
      </c>
      <c r="AS1424" s="8">
        <f t="shared" si="391"/>
        <v>39.732936272949971</v>
      </c>
    </row>
    <row r="1425" spans="1:45">
      <c r="A1425" s="20">
        <v>51.284566669999997</v>
      </c>
      <c r="B1425" s="20">
        <v>1712.2890540000001</v>
      </c>
      <c r="C1425" s="20">
        <v>-397.51408120000002</v>
      </c>
      <c r="E1425" s="9">
        <f t="shared" si="380"/>
        <v>752.28905400000008</v>
      </c>
      <c r="F1425" s="9">
        <f t="shared" si="379"/>
        <v>142.48591879999998</v>
      </c>
      <c r="I1425">
        <v>1</v>
      </c>
      <c r="J1425">
        <f t="shared" si="381"/>
        <v>0.47141510831657618</v>
      </c>
      <c r="K1425">
        <f t="shared" si="382"/>
        <v>0.18718583198871536</v>
      </c>
      <c r="O1425">
        <f t="shared" si="383"/>
        <v>0.44621436995295938</v>
      </c>
      <c r="P1425">
        <f t="shared" si="384"/>
        <v>8.4514408585972228E-2</v>
      </c>
      <c r="Q1425">
        <f t="shared" si="385"/>
        <v>0.89092651256366084</v>
      </c>
      <c r="R1425">
        <f t="shared" si="386"/>
        <v>1</v>
      </c>
      <c r="AG1425" s="8">
        <f t="shared" si="376"/>
        <v>0.7470850154864549</v>
      </c>
      <c r="AH1425" s="8">
        <f t="shared" si="377"/>
        <v>0.1826108215072641</v>
      </c>
      <c r="AI1425" s="8">
        <f t="shared" si="378"/>
        <v>0.6391535554966784</v>
      </c>
      <c r="AJ1425" s="8"/>
      <c r="AK1425" s="8"/>
      <c r="AL1425" s="8"/>
      <c r="AN1425" s="8">
        <f t="shared" si="387"/>
        <v>1</v>
      </c>
      <c r="AO1425" s="8">
        <f t="shared" si="388"/>
        <v>0.23973052864559269</v>
      </c>
      <c r="AP1425" s="8">
        <f t="shared" si="389"/>
        <v>0.87739915998224172</v>
      </c>
      <c r="AQ1425" s="8"/>
      <c r="AR1425" s="8">
        <f t="shared" si="390"/>
        <v>13.735547511832545</v>
      </c>
      <c r="AS1425" s="8">
        <f t="shared" si="391"/>
        <v>39.728731184693835</v>
      </c>
    </row>
    <row r="1426" spans="1:45">
      <c r="A1426" s="20">
        <v>51.317933330000002</v>
      </c>
      <c r="B1426" s="20">
        <v>1713.125489</v>
      </c>
      <c r="C1426" s="20">
        <v>-397.44545319999997</v>
      </c>
      <c r="E1426" s="9">
        <f t="shared" si="380"/>
        <v>753.12548900000002</v>
      </c>
      <c r="F1426" s="9">
        <f t="shared" si="379"/>
        <v>142.55454680000003</v>
      </c>
      <c r="I1426">
        <v>1</v>
      </c>
      <c r="J1426">
        <f t="shared" si="381"/>
        <v>0.4718600202308818</v>
      </c>
      <c r="K1426">
        <f t="shared" si="382"/>
        <v>0.18707072820752629</v>
      </c>
      <c r="O1426">
        <f t="shared" si="383"/>
        <v>0.44661351895482049</v>
      </c>
      <c r="P1426">
        <f t="shared" si="384"/>
        <v>8.4536758772956175E-2</v>
      </c>
      <c r="Q1426">
        <f t="shared" si="385"/>
        <v>0.89072436876003069</v>
      </c>
      <c r="R1426">
        <f t="shared" si="386"/>
        <v>1</v>
      </c>
      <c r="AG1426" s="8">
        <f t="shared" si="376"/>
        <v>0.74705415195136915</v>
      </c>
      <c r="AH1426" s="8">
        <f t="shared" si="377"/>
        <v>0.18304874010857985</v>
      </c>
      <c r="AI1426" s="8">
        <f t="shared" si="378"/>
        <v>0.63906435732004496</v>
      </c>
      <c r="AJ1426" s="8"/>
      <c r="AK1426" s="8"/>
      <c r="AL1426" s="8"/>
      <c r="AN1426" s="8">
        <f t="shared" si="387"/>
        <v>0.99999999999999978</v>
      </c>
      <c r="AO1426" s="8">
        <f t="shared" si="388"/>
        <v>0.24029312560607491</v>
      </c>
      <c r="AP1426" s="8">
        <f t="shared" si="389"/>
        <v>0.87751513488411825</v>
      </c>
      <c r="AQ1426" s="8"/>
      <c r="AR1426" s="8">
        <f t="shared" si="390"/>
        <v>13.767781943235065</v>
      </c>
      <c r="AS1426" s="8">
        <f t="shared" si="391"/>
        <v>39.722086312286869</v>
      </c>
    </row>
    <row r="1427" spans="1:45">
      <c r="A1427" s="20">
        <v>51.351300000000002</v>
      </c>
      <c r="B1427" s="20">
        <v>1713.830935</v>
      </c>
      <c r="C1427" s="20">
        <v>-398.12369539999997</v>
      </c>
      <c r="E1427" s="9">
        <f t="shared" si="380"/>
        <v>753.83093499999995</v>
      </c>
      <c r="F1427" s="9">
        <f t="shared" si="379"/>
        <v>141.87630460000003</v>
      </c>
      <c r="I1427">
        <v>1</v>
      </c>
      <c r="J1427">
        <f t="shared" si="381"/>
        <v>0.47216238575348041</v>
      </c>
      <c r="K1427">
        <f t="shared" si="382"/>
        <v>0.18603090981512369</v>
      </c>
      <c r="O1427">
        <f t="shared" si="383"/>
        <v>0.44696583739049456</v>
      </c>
      <c r="P1427">
        <f t="shared" si="384"/>
        <v>8.4122126523512711E-2</v>
      </c>
      <c r="Q1427">
        <f t="shared" si="385"/>
        <v>0.89058688966039468</v>
      </c>
      <c r="R1427">
        <f t="shared" si="386"/>
        <v>1</v>
      </c>
      <c r="AG1427" s="8">
        <f t="shared" si="376"/>
        <v>0.74731673192644543</v>
      </c>
      <c r="AH1427" s="8">
        <f t="shared" si="377"/>
        <v>0.18335049499107658</v>
      </c>
      <c r="AI1427" s="8">
        <f t="shared" si="378"/>
        <v>0.63867072750307297</v>
      </c>
      <c r="AJ1427" s="8"/>
      <c r="AK1427" s="8"/>
      <c r="AL1427" s="8"/>
      <c r="AN1427" s="8">
        <f t="shared" si="387"/>
        <v>1</v>
      </c>
      <c r="AO1427" s="8">
        <f t="shared" si="388"/>
        <v>0.24059280095448946</v>
      </c>
      <c r="AP1427" s="8">
        <f t="shared" si="389"/>
        <v>0.87802679647172333</v>
      </c>
      <c r="AQ1427" s="8"/>
      <c r="AR1427" s="8">
        <f t="shared" si="390"/>
        <v>13.78495207592333</v>
      </c>
      <c r="AS1427" s="8">
        <f t="shared" si="391"/>
        <v>39.692770262778133</v>
      </c>
    </row>
    <row r="1428" spans="1:45">
      <c r="A1428" s="20">
        <v>51.384666670000001</v>
      </c>
      <c r="B1428" s="20">
        <v>1713.9787389999999</v>
      </c>
      <c r="C1428" s="20">
        <v>-398.53569329999999</v>
      </c>
      <c r="E1428" s="9">
        <f t="shared" si="380"/>
        <v>753.9787389999999</v>
      </c>
      <c r="F1428" s="9">
        <f t="shared" si="379"/>
        <v>141.46430670000001</v>
      </c>
      <c r="I1428">
        <v>1</v>
      </c>
      <c r="J1428">
        <f t="shared" si="381"/>
        <v>0.47219924051071371</v>
      </c>
      <c r="K1428">
        <f t="shared" si="382"/>
        <v>0.18546747945504918</v>
      </c>
      <c r="O1428">
        <f t="shared" si="383"/>
        <v>0.44704542256400737</v>
      </c>
      <c r="P1428">
        <f t="shared" si="384"/>
        <v>8.3876331646038443E-2</v>
      </c>
      <c r="Q1428">
        <f t="shared" si="385"/>
        <v>0.89057012702772143</v>
      </c>
      <c r="R1428">
        <f t="shared" si="386"/>
        <v>1</v>
      </c>
      <c r="AG1428" s="8">
        <f t="shared" si="376"/>
        <v>0.74747751955226271</v>
      </c>
      <c r="AH1428" s="8">
        <f t="shared" si="377"/>
        <v>0.18338897683250516</v>
      </c>
      <c r="AI1428" s="8">
        <f t="shared" si="378"/>
        <v>0.63847148796193209</v>
      </c>
      <c r="AJ1428" s="8"/>
      <c r="AK1428" s="8"/>
      <c r="AL1428" s="8"/>
      <c r="AN1428" s="8">
        <f t="shared" si="387"/>
        <v>1</v>
      </c>
      <c r="AO1428" s="8">
        <f t="shared" si="388"/>
        <v>0.24059158120782367</v>
      </c>
      <c r="AP1428" s="8">
        <f t="shared" si="389"/>
        <v>0.87828569611784058</v>
      </c>
      <c r="AQ1428" s="8"/>
      <c r="AR1428" s="8">
        <f t="shared" si="390"/>
        <v>13.784882189587305</v>
      </c>
      <c r="AS1428" s="8">
        <f t="shared" si="391"/>
        <v>39.67793640573818</v>
      </c>
    </row>
    <row r="1429" spans="1:45">
      <c r="A1429" s="20">
        <v>51.41803333</v>
      </c>
      <c r="B1429" s="20">
        <v>1714.359387</v>
      </c>
      <c r="C1429" s="20">
        <v>-398.53257230000003</v>
      </c>
      <c r="E1429" s="9">
        <f t="shared" si="380"/>
        <v>754.35938699999997</v>
      </c>
      <c r="F1429" s="9">
        <f t="shared" si="379"/>
        <v>141.46742769999997</v>
      </c>
      <c r="I1429">
        <v>1</v>
      </c>
      <c r="J1429">
        <f t="shared" si="381"/>
        <v>0.47239885421957289</v>
      </c>
      <c r="K1429">
        <f t="shared" si="382"/>
        <v>0.18538001957389633</v>
      </c>
      <c r="O1429">
        <f t="shared" si="383"/>
        <v>0.44722747190441053</v>
      </c>
      <c r="P1429">
        <f t="shared" si="384"/>
        <v>8.3869997692613024E-2</v>
      </c>
      <c r="Q1429">
        <f t="shared" si="385"/>
        <v>0.89047931579629114</v>
      </c>
      <c r="R1429">
        <f t="shared" si="386"/>
        <v>1</v>
      </c>
      <c r="AG1429" s="8">
        <f t="shared" si="376"/>
        <v>0.7474743444040024</v>
      </c>
      <c r="AH1429" s="8">
        <f t="shared" si="377"/>
        <v>0.1835855316747515</v>
      </c>
      <c r="AI1429" s="8">
        <f t="shared" si="378"/>
        <v>0.63841871606141498</v>
      </c>
      <c r="AJ1429" s="8"/>
      <c r="AK1429" s="8"/>
      <c r="AL1429" s="8"/>
      <c r="AN1429" s="8">
        <f t="shared" si="387"/>
        <v>1</v>
      </c>
      <c r="AO1429" s="8">
        <f t="shared" si="388"/>
        <v>0.24084057789915947</v>
      </c>
      <c r="AP1429" s="8">
        <f t="shared" si="389"/>
        <v>0.87835426067312039</v>
      </c>
      <c r="AQ1429" s="8"/>
      <c r="AR1429" s="8">
        <f t="shared" si="390"/>
        <v>13.799148649113569</v>
      </c>
      <c r="AS1429" s="8">
        <f t="shared" si="391"/>
        <v>39.674007946096459</v>
      </c>
    </row>
    <row r="1430" spans="1:45">
      <c r="A1430" s="20">
        <v>51.4514</v>
      </c>
      <c r="B1430" s="20">
        <v>1714.8480050000001</v>
      </c>
      <c r="C1430" s="20">
        <v>-398.52446350000002</v>
      </c>
      <c r="E1430" s="9">
        <f t="shared" si="380"/>
        <v>754.84800500000006</v>
      </c>
      <c r="F1430" s="9">
        <f t="shared" si="379"/>
        <v>141.47553649999998</v>
      </c>
      <c r="I1430">
        <v>1</v>
      </c>
      <c r="J1430">
        <f t="shared" si="381"/>
        <v>0.4726554365857436</v>
      </c>
      <c r="K1430">
        <f t="shared" si="382"/>
        <v>0.18527312745565316</v>
      </c>
      <c r="O1430">
        <f t="shared" si="383"/>
        <v>0.44746099072178669</v>
      </c>
      <c r="P1430">
        <f t="shared" si="384"/>
        <v>8.3864279041429374E-2</v>
      </c>
      <c r="Q1430">
        <f t="shared" si="385"/>
        <v>0.89036253542202592</v>
      </c>
      <c r="R1430">
        <f t="shared" si="386"/>
        <v>1</v>
      </c>
      <c r="AG1430" s="8">
        <f t="shared" si="376"/>
        <v>0.7474686164555745</v>
      </c>
      <c r="AH1430" s="8">
        <f t="shared" si="377"/>
        <v>0.18383814595223597</v>
      </c>
      <c r="AI1430" s="8">
        <f t="shared" si="378"/>
        <v>0.63835272656019393</v>
      </c>
      <c r="AJ1430" s="8"/>
      <c r="AK1430" s="8"/>
      <c r="AL1430" s="8"/>
      <c r="AN1430" s="8">
        <f t="shared" si="387"/>
        <v>1</v>
      </c>
      <c r="AO1430" s="8">
        <f t="shared" si="388"/>
        <v>0.24116106044237035</v>
      </c>
      <c r="AP1430" s="8">
        <f t="shared" si="389"/>
        <v>0.87843999287612418</v>
      </c>
      <c r="AQ1430" s="8"/>
      <c r="AR1430" s="8">
        <f t="shared" si="390"/>
        <v>13.81751094624717</v>
      </c>
      <c r="AS1430" s="8">
        <f t="shared" si="391"/>
        <v>39.669095852695982</v>
      </c>
    </row>
    <row r="1431" spans="1:45">
      <c r="A1431" s="20">
        <v>51.484766669999999</v>
      </c>
      <c r="B1431" s="20">
        <v>1715.48865</v>
      </c>
      <c r="C1431" s="20">
        <v>-399.20541370000001</v>
      </c>
      <c r="E1431" s="9">
        <f t="shared" si="380"/>
        <v>755.48865000000001</v>
      </c>
      <c r="F1431" s="9">
        <f t="shared" si="379"/>
        <v>140.79458629999999</v>
      </c>
      <c r="I1431">
        <v>1</v>
      </c>
      <c r="J1431">
        <f t="shared" si="381"/>
        <v>0.47292414397082078</v>
      </c>
      <c r="K1431">
        <f t="shared" si="382"/>
        <v>0.18424864212796982</v>
      </c>
      <c r="O1431">
        <f t="shared" si="383"/>
        <v>0.4477818549871086</v>
      </c>
      <c r="P1431">
        <f t="shared" si="384"/>
        <v>8.3449646828653939E-2</v>
      </c>
      <c r="Q1431">
        <f t="shared" si="385"/>
        <v>0.89024017365454644</v>
      </c>
      <c r="R1431">
        <f t="shared" si="386"/>
        <v>1</v>
      </c>
      <c r="AG1431" s="8">
        <f t="shared" si="376"/>
        <v>0.74773198057425294</v>
      </c>
      <c r="AH1431" s="8">
        <f t="shared" si="377"/>
        <v>0.18410591867818343</v>
      </c>
      <c r="AI1431" s="8">
        <f t="shared" si="378"/>
        <v>0.63796700222987024</v>
      </c>
      <c r="AJ1431" s="8"/>
      <c r="AK1431" s="8"/>
      <c r="AL1431" s="8"/>
      <c r="AN1431" s="8">
        <f t="shared" si="387"/>
        <v>1</v>
      </c>
      <c r="AO1431" s="8">
        <f t="shared" si="388"/>
        <v>0.24141704501124339</v>
      </c>
      <c r="AP1431" s="8">
        <f t="shared" si="389"/>
        <v>0.87894099612043142</v>
      </c>
      <c r="AQ1431" s="8"/>
      <c r="AR1431" s="8">
        <f t="shared" si="390"/>
        <v>13.832177781664072</v>
      </c>
      <c r="AS1431" s="8">
        <f t="shared" si="391"/>
        <v>39.640390481274814</v>
      </c>
    </row>
    <row r="1432" spans="1:45">
      <c r="A1432" s="20">
        <v>51.518133329999998</v>
      </c>
      <c r="B1432" s="20">
        <v>1715.952004</v>
      </c>
      <c r="C1432" s="20">
        <v>-399.42722120000002</v>
      </c>
      <c r="E1432" s="9">
        <f t="shared" si="380"/>
        <v>755.95200399999999</v>
      </c>
      <c r="F1432" s="9">
        <f t="shared" si="379"/>
        <v>140.57277879999998</v>
      </c>
      <c r="I1432">
        <v>1</v>
      </c>
      <c r="J1432">
        <f t="shared" si="381"/>
        <v>0.47314502988954182</v>
      </c>
      <c r="K1432">
        <f t="shared" si="382"/>
        <v>0.18385465197114334</v>
      </c>
      <c r="O1432">
        <f t="shared" si="383"/>
        <v>0.44800801502460907</v>
      </c>
      <c r="P1432">
        <f t="shared" si="384"/>
        <v>8.3309166803507056E-2</v>
      </c>
      <c r="Q1432">
        <f t="shared" si="385"/>
        <v>0.89013954029703402</v>
      </c>
      <c r="R1432">
        <f t="shared" si="386"/>
        <v>1</v>
      </c>
      <c r="AG1432" s="8">
        <f t="shared" si="376"/>
        <v>0.74781628551102053</v>
      </c>
      <c r="AH1432" s="8">
        <f t="shared" si="377"/>
        <v>0.18432430480217721</v>
      </c>
      <c r="AI1432" s="8">
        <f t="shared" si="378"/>
        <v>0.63780510642648025</v>
      </c>
      <c r="AJ1432" s="8"/>
      <c r="AK1432" s="8"/>
      <c r="AL1432" s="8"/>
      <c r="AN1432" s="8">
        <f t="shared" si="387"/>
        <v>0.99999999999999989</v>
      </c>
      <c r="AO1432" s="8">
        <f t="shared" si="388"/>
        <v>0.24166619846317214</v>
      </c>
      <c r="AP1432" s="8">
        <f t="shared" si="389"/>
        <v>0.87915121471382152</v>
      </c>
      <c r="AQ1432" s="8"/>
      <c r="AR1432" s="8">
        <f t="shared" si="390"/>
        <v>13.846453222910705</v>
      </c>
      <c r="AS1432" s="8">
        <f t="shared" si="391"/>
        <v>39.628345843098387</v>
      </c>
    </row>
    <row r="1433" spans="1:45">
      <c r="A1433" s="20">
        <v>51.551499999999997</v>
      </c>
      <c r="B1433" s="20">
        <v>1716.708472</v>
      </c>
      <c r="C1433" s="20">
        <v>-399.61981500000002</v>
      </c>
      <c r="E1433" s="9">
        <f t="shared" si="380"/>
        <v>756.70847200000003</v>
      </c>
      <c r="F1433" s="9">
        <f t="shared" si="379"/>
        <v>140.38018499999998</v>
      </c>
      <c r="I1433">
        <v>1</v>
      </c>
      <c r="J1433">
        <f t="shared" si="381"/>
        <v>0.47352212128542631</v>
      </c>
      <c r="K1433">
        <f t="shared" si="382"/>
        <v>0.18342892757977086</v>
      </c>
      <c r="O1433">
        <f t="shared" si="383"/>
        <v>0.44837344217934466</v>
      </c>
      <c r="P1433">
        <f t="shared" si="384"/>
        <v>8.3179651201557056E-2</v>
      </c>
      <c r="Q1433">
        <f t="shared" si="385"/>
        <v>0.88996764097029568</v>
      </c>
      <c r="R1433">
        <f t="shared" si="386"/>
        <v>1</v>
      </c>
      <c r="AG1433" s="8">
        <f t="shared" si="376"/>
        <v>0.74788738914101094</v>
      </c>
      <c r="AH1433" s="8">
        <f t="shared" si="377"/>
        <v>0.18469622732593616</v>
      </c>
      <c r="AI1433" s="8">
        <f t="shared" si="378"/>
        <v>0.6376141127479914</v>
      </c>
      <c r="AJ1433" s="8"/>
      <c r="AK1433" s="8"/>
      <c r="AL1433" s="8"/>
      <c r="AN1433" s="8">
        <f t="shared" si="387"/>
        <v>1</v>
      </c>
      <c r="AO1433" s="8">
        <f t="shared" si="388"/>
        <v>0.24211287265038145</v>
      </c>
      <c r="AP1433" s="8">
        <f t="shared" si="389"/>
        <v>0.87939916929722417</v>
      </c>
      <c r="AQ1433" s="8"/>
      <c r="AR1433" s="8">
        <f t="shared" si="390"/>
        <v>13.872045768655235</v>
      </c>
      <c r="AS1433" s="8">
        <f t="shared" si="391"/>
        <v>39.614139091958492</v>
      </c>
    </row>
    <row r="1434" spans="1:45">
      <c r="A1434" s="20">
        <v>51.584866669999997</v>
      </c>
      <c r="B1434" s="20">
        <v>1716.9275680000001</v>
      </c>
      <c r="C1434" s="20">
        <v>-399.69364619999999</v>
      </c>
      <c r="E1434" s="9">
        <f t="shared" si="380"/>
        <v>756.92756800000006</v>
      </c>
      <c r="F1434" s="9">
        <f t="shared" si="379"/>
        <v>140.30635380000001</v>
      </c>
      <c r="I1434">
        <v>1</v>
      </c>
      <c r="J1434">
        <f t="shared" si="381"/>
        <v>0.47362957522028443</v>
      </c>
      <c r="K1434">
        <f t="shared" si="382"/>
        <v>0.18328271685241673</v>
      </c>
      <c r="O1434">
        <f t="shared" si="383"/>
        <v>0.44847962533479951</v>
      </c>
      <c r="P1434">
        <f t="shared" si="384"/>
        <v>8.3131522281027326E-2</v>
      </c>
      <c r="Q1434">
        <f t="shared" si="385"/>
        <v>0.8899186342934936</v>
      </c>
      <c r="R1434">
        <f t="shared" si="386"/>
        <v>1</v>
      </c>
      <c r="AG1434" s="8">
        <f t="shared" si="376"/>
        <v>0.7479150184812976</v>
      </c>
      <c r="AH1434" s="8">
        <f t="shared" si="377"/>
        <v>0.18480226254475035</v>
      </c>
      <c r="AI1434" s="8">
        <f t="shared" si="378"/>
        <v>0.63755097748216283</v>
      </c>
      <c r="AJ1434" s="8"/>
      <c r="AK1434" s="8"/>
      <c r="AL1434" s="8"/>
      <c r="AN1434" s="8">
        <f t="shared" si="387"/>
        <v>0.99999999999999989</v>
      </c>
      <c r="AO1434" s="8">
        <f t="shared" si="388"/>
        <v>0.24223789507079824</v>
      </c>
      <c r="AP1434" s="8">
        <f t="shared" si="389"/>
        <v>0.87948112248673271</v>
      </c>
      <c r="AQ1434" s="8"/>
      <c r="AR1434" s="8">
        <f t="shared" si="390"/>
        <v>13.879209025689628</v>
      </c>
      <c r="AS1434" s="8">
        <f t="shared" si="391"/>
        <v>39.609443520082017</v>
      </c>
    </row>
    <row r="1435" spans="1:45">
      <c r="A1435" s="20">
        <v>51.618233330000002</v>
      </c>
      <c r="B1435" s="20">
        <v>1717.3053050000001</v>
      </c>
      <c r="C1435" s="20">
        <v>-400.05467390000001</v>
      </c>
      <c r="E1435" s="9">
        <f t="shared" si="380"/>
        <v>757.30530500000009</v>
      </c>
      <c r="F1435" s="9">
        <f t="shared" si="379"/>
        <v>139.94532609999999</v>
      </c>
      <c r="I1435">
        <v>1</v>
      </c>
      <c r="J1435">
        <f t="shared" si="381"/>
        <v>0.47379221527573917</v>
      </c>
      <c r="K1435">
        <f t="shared" si="382"/>
        <v>0.18273238385245555</v>
      </c>
      <c r="O1435">
        <f t="shared" si="383"/>
        <v>0.44866762818180878</v>
      </c>
      <c r="P1435">
        <f t="shared" si="384"/>
        <v>8.2910996558272845E-2</v>
      </c>
      <c r="Q1435">
        <f t="shared" si="385"/>
        <v>0.88984443925408907</v>
      </c>
      <c r="R1435">
        <f t="shared" si="386"/>
        <v>1</v>
      </c>
      <c r="AG1435" s="8">
        <f t="shared" si="376"/>
        <v>0.7480540892410602</v>
      </c>
      <c r="AH1435" s="8">
        <f t="shared" si="377"/>
        <v>0.18496364328676096</v>
      </c>
      <c r="AI1435" s="8">
        <f t="shared" si="378"/>
        <v>0.63734098427122654</v>
      </c>
      <c r="AJ1435" s="8"/>
      <c r="AK1435" s="8"/>
      <c r="AL1435" s="8"/>
      <c r="AN1435" s="8">
        <f t="shared" si="387"/>
        <v>1</v>
      </c>
      <c r="AO1435" s="8">
        <f t="shared" si="388"/>
        <v>0.24239791608397171</v>
      </c>
      <c r="AP1435" s="8">
        <f t="shared" si="389"/>
        <v>0.8797536657211491</v>
      </c>
      <c r="AQ1435" s="8"/>
      <c r="AR1435" s="8">
        <f t="shared" si="390"/>
        <v>13.888377554377874</v>
      </c>
      <c r="AS1435" s="8">
        <f t="shared" si="391"/>
        <v>39.593827943015114</v>
      </c>
    </row>
    <row r="1436" spans="1:45">
      <c r="A1436" s="20">
        <v>51.651600000000002</v>
      </c>
      <c r="B1436" s="20">
        <v>1717.918199</v>
      </c>
      <c r="C1436" s="20">
        <v>-400.44865759999999</v>
      </c>
      <c r="E1436" s="9">
        <f t="shared" si="380"/>
        <v>757.91819899999996</v>
      </c>
      <c r="F1436" s="9">
        <f t="shared" si="379"/>
        <v>139.55134240000001</v>
      </c>
      <c r="I1436">
        <v>1</v>
      </c>
      <c r="J1436">
        <f t="shared" si="381"/>
        <v>0.47407477002448739</v>
      </c>
      <c r="K1436">
        <f t="shared" si="382"/>
        <v>0.18208514832268313</v>
      </c>
      <c r="O1436">
        <f t="shared" si="383"/>
        <v>0.4489684524267889</v>
      </c>
      <c r="P1436">
        <f t="shared" si="384"/>
        <v>8.2666111348262988E-2</v>
      </c>
      <c r="Q1436">
        <f t="shared" si="385"/>
        <v>0.88971548416336488</v>
      </c>
      <c r="R1436">
        <f t="shared" si="386"/>
        <v>1</v>
      </c>
      <c r="AG1436" s="8">
        <f t="shared" si="376"/>
        <v>0.74820452822951289</v>
      </c>
      <c r="AH1436" s="8">
        <f t="shared" si="377"/>
        <v>0.18524296208290242</v>
      </c>
      <c r="AI1436" s="8">
        <f t="shared" si="378"/>
        <v>0.6370832197881251</v>
      </c>
      <c r="AJ1436" s="8"/>
      <c r="AK1436" s="8"/>
      <c r="AL1436" s="8"/>
      <c r="AN1436" s="8">
        <f t="shared" si="387"/>
        <v>1</v>
      </c>
      <c r="AO1436" s="8">
        <f t="shared" si="388"/>
        <v>0.24270285179396975</v>
      </c>
      <c r="AP1436" s="8">
        <f t="shared" si="389"/>
        <v>0.88008812574309914</v>
      </c>
      <c r="AQ1436" s="8"/>
      <c r="AR1436" s="8">
        <f t="shared" si="390"/>
        <v>13.905849083583588</v>
      </c>
      <c r="AS1436" s="8">
        <f t="shared" si="391"/>
        <v>39.574664795341519</v>
      </c>
    </row>
    <row r="1437" spans="1:45">
      <c r="A1437" s="20">
        <v>51.684966670000001</v>
      </c>
      <c r="B1437" s="20">
        <v>1718.391883</v>
      </c>
      <c r="C1437" s="20">
        <v>-400.4406515</v>
      </c>
      <c r="E1437" s="9">
        <f t="shared" si="380"/>
        <v>758.39188300000001</v>
      </c>
      <c r="F1437" s="9">
        <f t="shared" si="379"/>
        <v>139.5593485</v>
      </c>
      <c r="I1437">
        <v>1</v>
      </c>
      <c r="J1437">
        <f t="shared" si="381"/>
        <v>0.47432324563369471</v>
      </c>
      <c r="K1437">
        <f t="shared" si="382"/>
        <v>0.18198412556583546</v>
      </c>
      <c r="O1437">
        <f t="shared" si="383"/>
        <v>0.44919420935537102</v>
      </c>
      <c r="P1437">
        <f t="shared" si="384"/>
        <v>8.2660762348386291E-2</v>
      </c>
      <c r="Q1437">
        <f t="shared" si="385"/>
        <v>0.88960202374409347</v>
      </c>
      <c r="R1437">
        <f t="shared" si="386"/>
        <v>1</v>
      </c>
      <c r="AG1437" s="8">
        <f t="shared" si="376"/>
        <v>0.74819847227433889</v>
      </c>
      <c r="AH1437" s="8">
        <f t="shared" si="377"/>
        <v>0.18548736941135896</v>
      </c>
      <c r="AI1437" s="8">
        <f t="shared" si="378"/>
        <v>0.6370192162526962</v>
      </c>
      <c r="AJ1437" s="8"/>
      <c r="AK1437" s="8"/>
      <c r="AL1437" s="8"/>
      <c r="AN1437" s="8">
        <f t="shared" si="387"/>
        <v>1</v>
      </c>
      <c r="AO1437" s="8">
        <f t="shared" si="388"/>
        <v>0.24301251033286364</v>
      </c>
      <c r="AP1437" s="8">
        <f t="shared" si="389"/>
        <v>0.88017115863411033</v>
      </c>
      <c r="AQ1437" s="8"/>
      <c r="AR1437" s="8">
        <f t="shared" si="390"/>
        <v>13.923591210952395</v>
      </c>
      <c r="AS1437" s="8">
        <f t="shared" si="391"/>
        <v>39.569907361125807</v>
      </c>
    </row>
    <row r="1438" spans="1:45">
      <c r="A1438" s="20">
        <v>51.71833333</v>
      </c>
      <c r="B1438" s="20">
        <v>1718.999761</v>
      </c>
      <c r="C1438" s="20">
        <v>-400.44358970000002</v>
      </c>
      <c r="E1438" s="9">
        <f t="shared" si="380"/>
        <v>758.99976100000003</v>
      </c>
      <c r="F1438" s="9">
        <f t="shared" si="379"/>
        <v>139.55641029999998</v>
      </c>
      <c r="I1438">
        <v>1</v>
      </c>
      <c r="J1438">
        <f t="shared" si="381"/>
        <v>0.47464075934580691</v>
      </c>
      <c r="K1438">
        <f t="shared" si="382"/>
        <v>0.18183782410547972</v>
      </c>
      <c r="O1438">
        <f t="shared" si="383"/>
        <v>0.44948407920108707</v>
      </c>
      <c r="P1438">
        <f t="shared" si="384"/>
        <v>8.2646119015450659E-2</v>
      </c>
      <c r="Q1438">
        <f t="shared" si="385"/>
        <v>0.88945695879926356</v>
      </c>
      <c r="R1438">
        <f t="shared" si="386"/>
        <v>1</v>
      </c>
      <c r="AG1438" s="8">
        <f t="shared" si="376"/>
        <v>0.74819579973296357</v>
      </c>
      <c r="AH1438" s="8">
        <f t="shared" si="377"/>
        <v>0.1857997013759915</v>
      </c>
      <c r="AI1438" s="8">
        <f t="shared" si="378"/>
        <v>0.63693132771951444</v>
      </c>
      <c r="AJ1438" s="8"/>
      <c r="AK1438" s="8"/>
      <c r="AL1438" s="8"/>
      <c r="AN1438" s="8">
        <f t="shared" si="387"/>
        <v>1</v>
      </c>
      <c r="AO1438" s="8">
        <f t="shared" si="388"/>
        <v>0.24340658202370208</v>
      </c>
      <c r="AP1438" s="8">
        <f t="shared" si="389"/>
        <v>0.88028516866233841</v>
      </c>
      <c r="AQ1438" s="8"/>
      <c r="AR1438" s="8">
        <f t="shared" si="390"/>
        <v>13.946169855663021</v>
      </c>
      <c r="AS1438" s="8">
        <f t="shared" si="391"/>
        <v>39.563375067686174</v>
      </c>
    </row>
    <row r="1439" spans="1:45">
      <c r="A1439" s="20">
        <v>51.7517</v>
      </c>
      <c r="B1439" s="20">
        <v>1719.6061460000001</v>
      </c>
      <c r="C1439" s="20">
        <v>-400.9171619</v>
      </c>
      <c r="E1439" s="9">
        <f t="shared" si="380"/>
        <v>759.60614600000008</v>
      </c>
      <c r="F1439" s="9">
        <f t="shared" si="379"/>
        <v>139.0828381</v>
      </c>
      <c r="I1439">
        <v>1</v>
      </c>
      <c r="J1439">
        <f t="shared" si="381"/>
        <v>0.47491228968869353</v>
      </c>
      <c r="K1439">
        <f t="shared" si="382"/>
        <v>0.18109268536323755</v>
      </c>
      <c r="O1439">
        <f t="shared" si="383"/>
        <v>0.44978308584357479</v>
      </c>
      <c r="P1439">
        <f t="shared" si="384"/>
        <v>8.2354662923567648E-2</v>
      </c>
      <c r="Q1439">
        <f t="shared" si="385"/>
        <v>0.88933283149998288</v>
      </c>
      <c r="R1439">
        <f t="shared" si="386"/>
        <v>1</v>
      </c>
      <c r="AG1439" s="8">
        <f t="shared" si="376"/>
        <v>0.74837703890178897</v>
      </c>
      <c r="AH1439" s="8">
        <f t="shared" si="377"/>
        <v>0.18606808989763651</v>
      </c>
      <c r="AI1439" s="8">
        <f t="shared" si="378"/>
        <v>0.63663998740766781</v>
      </c>
      <c r="AJ1439" s="8"/>
      <c r="AK1439" s="8"/>
      <c r="AL1439" s="8"/>
      <c r="AN1439" s="8">
        <f t="shared" si="387"/>
        <v>1</v>
      </c>
      <c r="AO1439" s="8">
        <f t="shared" si="388"/>
        <v>0.24368771215916146</v>
      </c>
      <c r="AP1439" s="8">
        <f t="shared" si="389"/>
        <v>0.88066302193536139</v>
      </c>
      <c r="AQ1439" s="8"/>
      <c r="AR1439" s="8">
        <f t="shared" si="390"/>
        <v>13.962277425918785</v>
      </c>
      <c r="AS1439" s="8">
        <f t="shared" si="391"/>
        <v>39.54172566986675</v>
      </c>
    </row>
    <row r="1440" spans="1:45">
      <c r="A1440" s="20">
        <v>51.785066669999999</v>
      </c>
      <c r="B1440" s="20">
        <v>1719.933023</v>
      </c>
      <c r="C1440" s="20">
        <v>-401.31465709999998</v>
      </c>
      <c r="E1440" s="9">
        <f t="shared" si="380"/>
        <v>759.93302300000005</v>
      </c>
      <c r="F1440" s="9">
        <f t="shared" si="379"/>
        <v>138.68534290000002</v>
      </c>
      <c r="I1440">
        <v>1</v>
      </c>
      <c r="J1440">
        <f t="shared" si="381"/>
        <v>0.47504515336672709</v>
      </c>
      <c r="K1440">
        <f t="shared" si="382"/>
        <v>0.18051032108702808</v>
      </c>
      <c r="O1440">
        <f t="shared" si="383"/>
        <v>0.44994720620294837</v>
      </c>
      <c r="P1440">
        <f t="shared" si="384"/>
        <v>8.2113924109800021E-2</v>
      </c>
      <c r="Q1440">
        <f t="shared" si="385"/>
        <v>0.88927207034599454</v>
      </c>
      <c r="R1440">
        <f t="shared" si="386"/>
        <v>1</v>
      </c>
      <c r="AG1440" s="8">
        <f t="shared" ref="AG1440:AG1503" si="392">$O1440*$Z$27+$P1440*$Z$31+$Q1440*$Z$35</f>
        <v>0.74853022868836883</v>
      </c>
      <c r="AH1440" s="8">
        <f t="shared" ref="AH1440:AH1503" si="393">$O1440*$AA$27+$P1440*$AA$31+$Q1440*$AA$35</f>
        <v>0.18619970901371025</v>
      </c>
      <c r="AI1440" s="8">
        <f t="shared" ref="AI1440:AI1503" si="394">$AB$27*$O1440+$P1440*$AB$31+$AB$35*$Q1440</f>
        <v>0.63642137385772013</v>
      </c>
      <c r="AJ1440" s="8"/>
      <c r="AK1440" s="8"/>
      <c r="AL1440" s="8"/>
      <c r="AN1440" s="8">
        <f t="shared" si="387"/>
        <v>1</v>
      </c>
      <c r="AO1440" s="8">
        <f t="shared" si="388"/>
        <v>0.24380538805092924</v>
      </c>
      <c r="AP1440" s="8">
        <f t="shared" si="389"/>
        <v>0.88094647498008272</v>
      </c>
      <c r="AQ1440" s="8"/>
      <c r="AR1440" s="8">
        <f t="shared" si="390"/>
        <v>13.969019757867517</v>
      </c>
      <c r="AS1440" s="8">
        <f t="shared" si="391"/>
        <v>39.525485006714085</v>
      </c>
    </row>
    <row r="1441" spans="1:45">
      <c r="A1441" s="20">
        <v>51.818433329999998</v>
      </c>
      <c r="B1441" s="20">
        <v>1720.3579159999999</v>
      </c>
      <c r="C1441" s="20">
        <v>-401.25938730000001</v>
      </c>
      <c r="E1441" s="9">
        <f t="shared" si="380"/>
        <v>760.35791599999993</v>
      </c>
      <c r="F1441" s="9">
        <f t="shared" ref="F1441:F1504" si="395">(($C$15/2)+C1441)</f>
        <v>138.74061269999999</v>
      </c>
      <c r="I1441">
        <v>1</v>
      </c>
      <c r="J1441">
        <f t="shared" si="381"/>
        <v>0.47527246268665901</v>
      </c>
      <c r="K1441">
        <f t="shared" si="382"/>
        <v>0.18048197382249803</v>
      </c>
      <c r="O1441">
        <f t="shared" si="383"/>
        <v>0.45014837863234897</v>
      </c>
      <c r="P1441">
        <f t="shared" si="384"/>
        <v>8.2137452038263101E-2</v>
      </c>
      <c r="Q1441">
        <f t="shared" si="385"/>
        <v>0.88916808095394961</v>
      </c>
      <c r="R1441">
        <f t="shared" si="386"/>
        <v>1</v>
      </c>
      <c r="AG1441" s="8">
        <f t="shared" si="392"/>
        <v>0.74850579410642526</v>
      </c>
      <c r="AH1441" s="8">
        <f t="shared" si="393"/>
        <v>0.18642308539872998</v>
      </c>
      <c r="AI1441" s="8">
        <f t="shared" si="394"/>
        <v>0.6363847180908162</v>
      </c>
      <c r="AJ1441" s="8"/>
      <c r="AK1441" s="8"/>
      <c r="AL1441" s="8"/>
      <c r="AN1441" s="8">
        <f t="shared" si="387"/>
        <v>1</v>
      </c>
      <c r="AO1441" s="8">
        <f t="shared" si="388"/>
        <v>0.2440940540041123</v>
      </c>
      <c r="AP1441" s="8">
        <f t="shared" si="389"/>
        <v>0.88099399614218277</v>
      </c>
      <c r="AQ1441" s="8"/>
      <c r="AR1441" s="8">
        <f t="shared" si="390"/>
        <v>13.985559098674027</v>
      </c>
      <c r="AS1441" s="8">
        <f t="shared" si="391"/>
        <v>39.522762244688195</v>
      </c>
    </row>
    <row r="1442" spans="1:45">
      <c r="A1442" s="20">
        <v>51.851799999999997</v>
      </c>
      <c r="B1442" s="20">
        <v>1720.8178290000001</v>
      </c>
      <c r="C1442" s="20">
        <v>-401.56228959999999</v>
      </c>
      <c r="E1442" s="9">
        <f t="shared" si="380"/>
        <v>760.81782900000007</v>
      </c>
      <c r="F1442" s="9">
        <f t="shared" si="395"/>
        <v>138.43771040000001</v>
      </c>
      <c r="I1442">
        <v>1</v>
      </c>
      <c r="J1442">
        <f t="shared" si="381"/>
        <v>0.47548392291907254</v>
      </c>
      <c r="K1442">
        <f t="shared" si="382"/>
        <v>0.17998988354364331</v>
      </c>
      <c r="O1442">
        <f t="shared" si="383"/>
        <v>0.45037371936457027</v>
      </c>
      <c r="P1442">
        <f t="shared" si="384"/>
        <v>8.1949586558865001E-2</v>
      </c>
      <c r="Q1442">
        <f t="shared" si="385"/>
        <v>0.88907130094754183</v>
      </c>
      <c r="R1442">
        <f t="shared" si="386"/>
        <v>1</v>
      </c>
      <c r="AG1442" s="8">
        <f t="shared" si="392"/>
        <v>0.74862099975100727</v>
      </c>
      <c r="AH1442" s="8">
        <f t="shared" si="393"/>
        <v>0.18663162294986146</v>
      </c>
      <c r="AI1442" s="8">
        <f t="shared" si="394"/>
        <v>0.63618805085202856</v>
      </c>
      <c r="AJ1442" s="8"/>
      <c r="AK1442" s="8"/>
      <c r="AL1442" s="8"/>
      <c r="AN1442" s="8">
        <f t="shared" si="387"/>
        <v>1.0000000000000002</v>
      </c>
      <c r="AO1442" s="8">
        <f t="shared" si="388"/>
        <v>0.24432024391241025</v>
      </c>
      <c r="AP1442" s="8">
        <f t="shared" si="389"/>
        <v>0.88124892710490332</v>
      </c>
      <c r="AQ1442" s="8"/>
      <c r="AR1442" s="8">
        <f t="shared" si="390"/>
        <v>13.998518825787951</v>
      </c>
      <c r="AS1442" s="8">
        <f t="shared" si="391"/>
        <v>39.508155776457102</v>
      </c>
    </row>
    <row r="1443" spans="1:45">
      <c r="A1443" s="20">
        <v>51.885166669999997</v>
      </c>
      <c r="B1443" s="20">
        <v>1721.3926059999999</v>
      </c>
      <c r="C1443" s="20">
        <v>-401.57827909999997</v>
      </c>
      <c r="E1443" s="9">
        <f t="shared" si="380"/>
        <v>761.39260599999989</v>
      </c>
      <c r="F1443" s="9">
        <f t="shared" si="395"/>
        <v>138.42172090000003</v>
      </c>
      <c r="I1443">
        <v>1</v>
      </c>
      <c r="J1443">
        <f t="shared" si="381"/>
        <v>0.47578265654402496</v>
      </c>
      <c r="K1443">
        <f t="shared" si="382"/>
        <v>0.17983659279302969</v>
      </c>
      <c r="O1443">
        <f t="shared" si="383"/>
        <v>0.45064756830281621</v>
      </c>
      <c r="P1443">
        <f t="shared" si="384"/>
        <v>8.1928050564594193E-2</v>
      </c>
      <c r="Q1443">
        <f t="shared" si="385"/>
        <v>0.8889345103625147</v>
      </c>
      <c r="R1443">
        <f t="shared" si="386"/>
        <v>0.99999999999999989</v>
      </c>
      <c r="AG1443" s="8">
        <f t="shared" si="392"/>
        <v>0.74862327057686839</v>
      </c>
      <c r="AH1443" s="8">
        <f t="shared" si="393"/>
        <v>0.18692532236194398</v>
      </c>
      <c r="AI1443" s="8">
        <f t="shared" si="394"/>
        <v>0.63609914526799671</v>
      </c>
      <c r="AJ1443" s="8"/>
      <c r="AK1443" s="8"/>
      <c r="AL1443" s="8"/>
      <c r="AN1443" s="8">
        <f t="shared" si="387"/>
        <v>0.99999999999999978</v>
      </c>
      <c r="AO1443" s="8">
        <f t="shared" si="388"/>
        <v>0.24468886122531974</v>
      </c>
      <c r="AP1443" s="8">
        <f t="shared" si="389"/>
        <v>0.88136415385710831</v>
      </c>
      <c r="AQ1443" s="8"/>
      <c r="AR1443" s="8">
        <f t="shared" si="390"/>
        <v>14.019639042073118</v>
      </c>
      <c r="AS1443" s="8">
        <f t="shared" si="391"/>
        <v>39.501553769868757</v>
      </c>
    </row>
    <row r="1444" spans="1:45">
      <c r="A1444" s="20">
        <v>51.918533330000002</v>
      </c>
      <c r="B1444" s="20">
        <v>1722.341408</v>
      </c>
      <c r="C1444" s="20">
        <v>-402.23496189999997</v>
      </c>
      <c r="E1444" s="9">
        <f t="shared" si="380"/>
        <v>762.341408</v>
      </c>
      <c r="F1444" s="9">
        <f t="shared" si="395"/>
        <v>137.76503810000003</v>
      </c>
      <c r="I1444">
        <v>1</v>
      </c>
      <c r="J1444">
        <f t="shared" si="381"/>
        <v>0.47621600239330442</v>
      </c>
      <c r="K1444">
        <f t="shared" si="382"/>
        <v>0.17878352082749688</v>
      </c>
      <c r="O1444">
        <f t="shared" si="383"/>
        <v>0.45111262823689852</v>
      </c>
      <c r="P1444">
        <f t="shared" si="384"/>
        <v>8.1521937237400421E-2</v>
      </c>
      <c r="Q1444">
        <f t="shared" si="385"/>
        <v>0.88873593963238551</v>
      </c>
      <c r="R1444">
        <f t="shared" si="386"/>
        <v>1</v>
      </c>
      <c r="AG1444" s="8">
        <f t="shared" si="392"/>
        <v>0.74887289009819102</v>
      </c>
      <c r="AH1444" s="8">
        <f t="shared" si="393"/>
        <v>0.18735227478412592</v>
      </c>
      <c r="AI1444" s="8">
        <f t="shared" si="394"/>
        <v>0.63567957306271539</v>
      </c>
      <c r="AJ1444" s="8"/>
      <c r="AK1444" s="8"/>
      <c r="AL1444" s="8"/>
      <c r="AN1444" s="8">
        <f t="shared" si="387"/>
        <v>1</v>
      </c>
      <c r="AO1444" s="8">
        <f t="shared" si="388"/>
        <v>0.2451471316603541</v>
      </c>
      <c r="AP1444" s="8">
        <f t="shared" si="389"/>
        <v>0.88190779595215574</v>
      </c>
      <c r="AQ1444" s="8"/>
      <c r="AR1444" s="8">
        <f t="shared" si="390"/>
        <v>14.04589600387621</v>
      </c>
      <c r="AS1444" s="8">
        <f t="shared" si="391"/>
        <v>39.470405372256891</v>
      </c>
    </row>
    <row r="1445" spans="1:45">
      <c r="A1445" s="20">
        <v>51.951900000000002</v>
      </c>
      <c r="B1445" s="20">
        <v>1722.732405</v>
      </c>
      <c r="C1445" s="20">
        <v>-402.40112629999999</v>
      </c>
      <c r="E1445" s="9">
        <f t="shared" si="380"/>
        <v>762.73240499999997</v>
      </c>
      <c r="F1445" s="9">
        <f t="shared" si="395"/>
        <v>137.59887370000001</v>
      </c>
      <c r="I1445">
        <v>1</v>
      </c>
      <c r="J1445">
        <f t="shared" si="381"/>
        <v>0.47640449425769982</v>
      </c>
      <c r="K1445">
        <f t="shared" si="382"/>
        <v>0.1784828311906636</v>
      </c>
      <c r="O1445">
        <f t="shared" si="383"/>
        <v>0.45130197093890895</v>
      </c>
      <c r="P1445">
        <f t="shared" si="384"/>
        <v>8.1416028075775818E-2</v>
      </c>
      <c r="Q1445">
        <f t="shared" si="385"/>
        <v>0.88864951550035787</v>
      </c>
      <c r="R1445">
        <f t="shared" si="386"/>
        <v>1</v>
      </c>
      <c r="AG1445" s="8">
        <f t="shared" si="392"/>
        <v>0.74893488000998065</v>
      </c>
      <c r="AH1445" s="8">
        <f t="shared" si="393"/>
        <v>0.18753769688656741</v>
      </c>
      <c r="AI1445" s="8">
        <f t="shared" si="394"/>
        <v>0.63555185292068661</v>
      </c>
      <c r="AJ1445" s="8"/>
      <c r="AK1445" s="8"/>
      <c r="AL1445" s="8"/>
      <c r="AN1445" s="8">
        <f t="shared" si="387"/>
        <v>1.0000000000000002</v>
      </c>
      <c r="AO1445" s="8">
        <f t="shared" si="388"/>
        <v>0.24536063032428271</v>
      </c>
      <c r="AP1445" s="8">
        <f t="shared" si="389"/>
        <v>0.88207323534850013</v>
      </c>
      <c r="AQ1445" s="8"/>
      <c r="AR1445" s="8">
        <f t="shared" si="390"/>
        <v>14.058128576251002</v>
      </c>
      <c r="AS1445" s="8">
        <f t="shared" si="391"/>
        <v>39.460926393081166</v>
      </c>
    </row>
    <row r="1446" spans="1:45">
      <c r="A1446" s="20">
        <v>51.985266670000001</v>
      </c>
      <c r="B1446" s="20">
        <v>1722.9193540000001</v>
      </c>
      <c r="C1446" s="20">
        <v>-402.50437909999999</v>
      </c>
      <c r="E1446" s="9">
        <f t="shared" si="380"/>
        <v>762.91935400000011</v>
      </c>
      <c r="F1446" s="9">
        <f t="shared" si="395"/>
        <v>137.49562090000001</v>
      </c>
      <c r="I1446">
        <v>1</v>
      </c>
      <c r="J1446">
        <f t="shared" si="381"/>
        <v>0.47649237917500853</v>
      </c>
      <c r="K1446">
        <f t="shared" si="382"/>
        <v>0.17830893920514704</v>
      </c>
      <c r="O1446">
        <f t="shared" si="383"/>
        <v>0.45139298060134897</v>
      </c>
      <c r="P1446">
        <f t="shared" si="384"/>
        <v>8.1351400789976727E-2</v>
      </c>
      <c r="Q1446">
        <f t="shared" si="385"/>
        <v>0.88860920918778397</v>
      </c>
      <c r="R1446">
        <f t="shared" si="386"/>
        <v>1</v>
      </c>
      <c r="AG1446" s="8">
        <f t="shared" si="392"/>
        <v>0.74897378802623271</v>
      </c>
      <c r="AH1446" s="8">
        <f t="shared" si="393"/>
        <v>0.18762416060761938</v>
      </c>
      <c r="AI1446" s="8">
        <f t="shared" si="394"/>
        <v>0.63548047901247295</v>
      </c>
      <c r="AJ1446" s="8"/>
      <c r="AK1446" s="8"/>
      <c r="AL1446" s="8"/>
      <c r="AN1446" s="8">
        <f t="shared" si="387"/>
        <v>1</v>
      </c>
      <c r="AO1446" s="8">
        <f t="shared" si="388"/>
        <v>0.24545701872596748</v>
      </c>
      <c r="AP1446" s="8">
        <f t="shared" si="389"/>
        <v>0.88216567811255875</v>
      </c>
      <c r="AQ1446" s="8"/>
      <c r="AR1446" s="8">
        <f t="shared" si="390"/>
        <v>14.063651224861552</v>
      </c>
      <c r="AS1446" s="8">
        <f t="shared" si="391"/>
        <v>39.455629812854085</v>
      </c>
    </row>
    <row r="1447" spans="1:45">
      <c r="A1447" s="20">
        <v>52.01863333</v>
      </c>
      <c r="B1447" s="20">
        <v>1722.9046559999999</v>
      </c>
      <c r="C1447" s="20">
        <v>-402.70077320000001</v>
      </c>
      <c r="E1447" s="9">
        <f t="shared" si="380"/>
        <v>762.90465599999993</v>
      </c>
      <c r="F1447" s="9">
        <f t="shared" si="395"/>
        <v>137.29922679999999</v>
      </c>
      <c r="I1447">
        <v>1</v>
      </c>
      <c r="J1447">
        <f t="shared" si="381"/>
        <v>0.47646623884319422</v>
      </c>
      <c r="K1447">
        <f t="shared" si="382"/>
        <v>0.17806296016505441</v>
      </c>
      <c r="O1447">
        <f t="shared" si="383"/>
        <v>0.45139011626582992</v>
      </c>
      <c r="P1447">
        <f t="shared" si="384"/>
        <v>8.1236250770057639E-2</v>
      </c>
      <c r="Q1447">
        <f t="shared" si="385"/>
        <v>0.88862119854206989</v>
      </c>
      <c r="R1447">
        <f t="shared" si="386"/>
        <v>1</v>
      </c>
      <c r="AG1447" s="8">
        <f t="shared" si="392"/>
        <v>0.74905051453884419</v>
      </c>
      <c r="AH1447" s="8">
        <f t="shared" si="393"/>
        <v>0.18759865835635958</v>
      </c>
      <c r="AI1447" s="8">
        <f t="shared" si="394"/>
        <v>0.6353975684970683</v>
      </c>
      <c r="AJ1447" s="8"/>
      <c r="AK1447" s="8"/>
      <c r="AL1447" s="8"/>
      <c r="AN1447" s="8">
        <f t="shared" si="387"/>
        <v>1</v>
      </c>
      <c r="AO1447" s="8">
        <f t="shared" si="388"/>
        <v>0.24540083741678398</v>
      </c>
      <c r="AP1447" s="8">
        <f t="shared" si="389"/>
        <v>0.88227305414385682</v>
      </c>
      <c r="AQ1447" s="8"/>
      <c r="AR1447" s="8">
        <f t="shared" si="390"/>
        <v>14.060432272957817</v>
      </c>
      <c r="AS1447" s="8">
        <f t="shared" si="391"/>
        <v>39.44947761943984</v>
      </c>
    </row>
    <row r="1448" spans="1:45">
      <c r="A1448" s="20">
        <v>52.052</v>
      </c>
      <c r="B1448" s="20">
        <v>1724.0283930000001</v>
      </c>
      <c r="C1448" s="20">
        <v>-403.07828000000001</v>
      </c>
      <c r="E1448" s="9">
        <f t="shared" si="380"/>
        <v>764.02839300000005</v>
      </c>
      <c r="F1448" s="9">
        <f t="shared" si="395"/>
        <v>136.92171999999999</v>
      </c>
      <c r="I1448">
        <v>1</v>
      </c>
      <c r="J1448">
        <f t="shared" si="381"/>
        <v>0.47701744647042654</v>
      </c>
      <c r="K1448">
        <f t="shared" si="382"/>
        <v>0.17732786877187448</v>
      </c>
      <c r="O1448">
        <f t="shared" si="383"/>
        <v>0.45193177555268282</v>
      </c>
      <c r="P1448">
        <f t="shared" si="384"/>
        <v>8.0990806883962596E-2</v>
      </c>
      <c r="Q1448">
        <f t="shared" si="385"/>
        <v>0.88836825666278973</v>
      </c>
      <c r="R1448">
        <f t="shared" si="386"/>
        <v>1</v>
      </c>
      <c r="AG1448" s="8">
        <f t="shared" si="392"/>
        <v>0.74918925621175791</v>
      </c>
      <c r="AH1448" s="8">
        <f t="shared" si="393"/>
        <v>0.1881404120492543</v>
      </c>
      <c r="AI1448" s="8">
        <f t="shared" si="394"/>
        <v>0.63507373094059705</v>
      </c>
      <c r="AJ1448" s="8"/>
      <c r="AK1448" s="8"/>
      <c r="AL1448" s="8"/>
      <c r="AN1448" s="8">
        <f t="shared" si="387"/>
        <v>1</v>
      </c>
      <c r="AO1448" s="8">
        <f t="shared" si="388"/>
        <v>0.24603753261691758</v>
      </c>
      <c r="AP1448" s="8">
        <f t="shared" si="389"/>
        <v>0.88269235993142481</v>
      </c>
      <c r="AQ1448" s="8"/>
      <c r="AR1448" s="8">
        <f t="shared" si="390"/>
        <v>14.096912220761709</v>
      </c>
      <c r="AS1448" s="8">
        <f t="shared" si="391"/>
        <v>39.425453167486779</v>
      </c>
    </row>
    <row r="1449" spans="1:45">
      <c r="A1449" s="20">
        <v>52.085366669999999</v>
      </c>
      <c r="B1449" s="20">
        <v>1723.970894</v>
      </c>
      <c r="C1449" s="20">
        <v>-402.19334720000001</v>
      </c>
      <c r="E1449" s="9">
        <f t="shared" si="380"/>
        <v>763.97089400000004</v>
      </c>
      <c r="F1449" s="9">
        <f t="shared" si="395"/>
        <v>137.80665279999999</v>
      </c>
      <c r="I1449">
        <v>1</v>
      </c>
      <c r="J1449">
        <f t="shared" si="381"/>
        <v>0.47707046862027247</v>
      </c>
      <c r="K1449">
        <f t="shared" si="382"/>
        <v>0.17846299491752451</v>
      </c>
      <c r="O1449">
        <f t="shared" si="383"/>
        <v>0.45188590408297918</v>
      </c>
      <c r="P1449">
        <f t="shared" si="384"/>
        <v>8.1512115681696654E-2</v>
      </c>
      <c r="Q1449">
        <f t="shared" si="385"/>
        <v>0.88834391126871703</v>
      </c>
      <c r="R1449">
        <f t="shared" si="386"/>
        <v>1</v>
      </c>
      <c r="AG1449" s="8">
        <f t="shared" si="392"/>
        <v>0.74884457601135002</v>
      </c>
      <c r="AH1449" s="8">
        <f t="shared" si="393"/>
        <v>0.18819182891418412</v>
      </c>
      <c r="AI1449" s="8">
        <f t="shared" si="394"/>
        <v>0.63546489793561045</v>
      </c>
      <c r="AJ1449" s="8"/>
      <c r="AK1449" s="8"/>
      <c r="AL1449" s="8"/>
      <c r="AN1449" s="8">
        <f t="shared" si="387"/>
        <v>1</v>
      </c>
      <c r="AO1449" s="8">
        <f t="shared" si="388"/>
        <v>0.24621084507866467</v>
      </c>
      <c r="AP1449" s="8">
        <f t="shared" si="389"/>
        <v>0.88218585763042201</v>
      </c>
      <c r="AQ1449" s="8"/>
      <c r="AR1449" s="8">
        <f t="shared" si="390"/>
        <v>14.106842293356841</v>
      </c>
      <c r="AS1449" s="8">
        <f t="shared" si="391"/>
        <v>39.454473611647906</v>
      </c>
    </row>
    <row r="1450" spans="1:45">
      <c r="A1450" s="20">
        <v>52.118733329999998</v>
      </c>
      <c r="B1450" s="20">
        <v>1724.815194</v>
      </c>
      <c r="C1450" s="20">
        <v>-403.19869390000002</v>
      </c>
      <c r="E1450" s="9">
        <f t="shared" si="380"/>
        <v>764.81519400000002</v>
      </c>
      <c r="F1450" s="9">
        <f t="shared" si="395"/>
        <v>136.80130609999998</v>
      </c>
      <c r="I1450">
        <v>1</v>
      </c>
      <c r="J1450">
        <f t="shared" si="381"/>
        <v>0.47741675379687165</v>
      </c>
      <c r="K1450">
        <f t="shared" si="382"/>
        <v>0.17699668126528439</v>
      </c>
      <c r="O1450">
        <f t="shared" si="383"/>
        <v>0.45230772782370465</v>
      </c>
      <c r="P1450">
        <f t="shared" si="384"/>
        <v>8.0903580905331868E-2</v>
      </c>
      <c r="Q1450">
        <f t="shared" si="385"/>
        <v>0.88818485122616897</v>
      </c>
      <c r="R1450">
        <f t="shared" si="386"/>
        <v>1</v>
      </c>
      <c r="AG1450" s="8">
        <f t="shared" si="392"/>
        <v>0.74923007959720678</v>
      </c>
      <c r="AH1450" s="8">
        <f t="shared" si="393"/>
        <v>0.18853265865619234</v>
      </c>
      <c r="AI1450" s="8">
        <f t="shared" si="394"/>
        <v>0.63490922535965011</v>
      </c>
      <c r="AJ1450" s="8"/>
      <c r="AK1450" s="8"/>
      <c r="AL1450" s="8"/>
      <c r="AN1450" s="8">
        <f t="shared" si="387"/>
        <v>1.0000000000000002</v>
      </c>
      <c r="AO1450" s="8">
        <f t="shared" si="388"/>
        <v>0.24651707891789623</v>
      </c>
      <c r="AP1450" s="8">
        <f t="shared" si="389"/>
        <v>0.88290530686468605</v>
      </c>
      <c r="AQ1450" s="8"/>
      <c r="AR1450" s="8">
        <f t="shared" si="390"/>
        <v>14.124388199888896</v>
      </c>
      <c r="AS1450" s="8">
        <f t="shared" si="391"/>
        <v>39.413252206950659</v>
      </c>
    </row>
    <row r="1451" spans="1:45">
      <c r="A1451" s="20">
        <v>52.152099999999997</v>
      </c>
      <c r="B1451" s="20">
        <v>1725.3871240000001</v>
      </c>
      <c r="C1451" s="20">
        <v>-404.085083</v>
      </c>
      <c r="E1451" s="9">
        <f t="shared" si="380"/>
        <v>765.38712400000009</v>
      </c>
      <c r="F1451" s="9">
        <f t="shared" si="395"/>
        <v>135.914917</v>
      </c>
      <c r="I1451">
        <v>1</v>
      </c>
      <c r="J1451">
        <f t="shared" si="381"/>
        <v>0.47763272122395134</v>
      </c>
      <c r="K1451">
        <f t="shared" si="382"/>
        <v>0.1757446978530392</v>
      </c>
      <c r="O1451">
        <f t="shared" si="383"/>
        <v>0.45259751703267442</v>
      </c>
      <c r="P1451">
        <f t="shared" si="384"/>
        <v>8.0370771904835478E-2</v>
      </c>
      <c r="Q1451">
        <f t="shared" si="385"/>
        <v>0.88808559643723473</v>
      </c>
      <c r="R1451">
        <f t="shared" si="386"/>
        <v>1</v>
      </c>
      <c r="AG1451" s="8">
        <f t="shared" si="392"/>
        <v>0.74957089844793356</v>
      </c>
      <c r="AH1451" s="8">
        <f t="shared" si="393"/>
        <v>0.18874463396895019</v>
      </c>
      <c r="AI1451" s="8">
        <f t="shared" si="394"/>
        <v>0.63444379683931396</v>
      </c>
      <c r="AJ1451" s="8"/>
      <c r="AK1451" s="8"/>
      <c r="AL1451" s="8"/>
      <c r="AN1451" s="8">
        <f t="shared" si="387"/>
        <v>1</v>
      </c>
      <c r="AO1451" s="8">
        <f t="shared" si="388"/>
        <v>0.24667542633442655</v>
      </c>
      <c r="AP1451" s="8">
        <f t="shared" si="389"/>
        <v>0.88350758667191465</v>
      </c>
      <c r="AQ1451" s="8"/>
      <c r="AR1451" s="8">
        <f t="shared" si="390"/>
        <v>14.133460838552883</v>
      </c>
      <c r="AS1451" s="8">
        <f t="shared" si="391"/>
        <v>39.378744115910507</v>
      </c>
    </row>
    <row r="1452" spans="1:45">
      <c r="A1452" s="20">
        <v>52.185466669999997</v>
      </c>
      <c r="B1452" s="20">
        <v>1725.6952699999999</v>
      </c>
      <c r="C1452" s="20">
        <v>-404.33932959999999</v>
      </c>
      <c r="E1452" s="9">
        <f t="shared" si="380"/>
        <v>765.69526999999994</v>
      </c>
      <c r="F1452" s="9">
        <f t="shared" si="395"/>
        <v>135.66067040000001</v>
      </c>
      <c r="I1452">
        <v>1</v>
      </c>
      <c r="J1452">
        <f t="shared" si="381"/>
        <v>0.47776995370787889</v>
      </c>
      <c r="K1452">
        <f t="shared" si="382"/>
        <v>0.17535349523539517</v>
      </c>
      <c r="O1452">
        <f t="shared" si="383"/>
        <v>0.4527489246362652</v>
      </c>
      <c r="P1452">
        <f t="shared" si="384"/>
        <v>8.0214969382055634E-2</v>
      </c>
      <c r="Q1452">
        <f t="shared" si="385"/>
        <v>0.88802250530475935</v>
      </c>
      <c r="R1452">
        <f t="shared" si="386"/>
        <v>1</v>
      </c>
      <c r="AG1452" s="8">
        <f t="shared" si="392"/>
        <v>0.74966741562298167</v>
      </c>
      <c r="AH1452" s="8">
        <f t="shared" si="393"/>
        <v>0.18887922047277966</v>
      </c>
      <c r="AI1452" s="8">
        <f t="shared" si="394"/>
        <v>0.63428968620556547</v>
      </c>
      <c r="AJ1452" s="8"/>
      <c r="AK1452" s="8"/>
      <c r="AL1452" s="8"/>
      <c r="AN1452" s="8">
        <f t="shared" si="387"/>
        <v>1</v>
      </c>
      <c r="AO1452" s="8">
        <f t="shared" si="388"/>
        <v>0.24681375959651108</v>
      </c>
      <c r="AP1452" s="8">
        <f t="shared" si="389"/>
        <v>0.88370694528521121</v>
      </c>
      <c r="AQ1452" s="8"/>
      <c r="AR1452" s="8">
        <f t="shared" si="390"/>
        <v>14.141386750636606</v>
      </c>
      <c r="AS1452" s="8">
        <f t="shared" si="391"/>
        <v>39.367321708759036</v>
      </c>
    </row>
    <row r="1453" spans="1:45">
      <c r="A1453" s="20">
        <v>52.218833330000002</v>
      </c>
      <c r="B1453" s="20">
        <v>1726.1310120000001</v>
      </c>
      <c r="C1453" s="20">
        <v>-404.4320452</v>
      </c>
      <c r="E1453" s="9">
        <f t="shared" si="380"/>
        <v>766.13101200000006</v>
      </c>
      <c r="F1453" s="9">
        <f t="shared" si="395"/>
        <v>135.5679548</v>
      </c>
      <c r="I1453">
        <v>1</v>
      </c>
      <c r="J1453">
        <f t="shared" si="381"/>
        <v>0.4779886878243651</v>
      </c>
      <c r="K1453">
        <f t="shared" si="382"/>
        <v>0.17513845076058115</v>
      </c>
      <c r="O1453">
        <f t="shared" si="383"/>
        <v>0.45295742252532228</v>
      </c>
      <c r="P1453">
        <f t="shared" si="384"/>
        <v>8.0151449845287548E-2</v>
      </c>
      <c r="Q1453">
        <f t="shared" si="385"/>
        <v>0.88792191011761556</v>
      </c>
      <c r="R1453">
        <f t="shared" si="386"/>
        <v>1</v>
      </c>
      <c r="AG1453" s="8">
        <f t="shared" si="392"/>
        <v>0.74969993521995537</v>
      </c>
      <c r="AH1453" s="8">
        <f t="shared" si="393"/>
        <v>0.18909388636968805</v>
      </c>
      <c r="AI1453" s="8">
        <f t="shared" si="394"/>
        <v>0.63418728248743872</v>
      </c>
      <c r="AJ1453" s="8"/>
      <c r="AK1453" s="8"/>
      <c r="AL1453" s="8"/>
      <c r="AN1453" s="8">
        <f t="shared" si="387"/>
        <v>1.0000000000000002</v>
      </c>
      <c r="AO1453" s="8">
        <f t="shared" si="388"/>
        <v>0.24707271057064897</v>
      </c>
      <c r="AP1453" s="8">
        <f t="shared" si="389"/>
        <v>0.8838393974331723</v>
      </c>
      <c r="AQ1453" s="8"/>
      <c r="AR1453" s="8">
        <f t="shared" si="390"/>
        <v>14.156223548555507</v>
      </c>
      <c r="AS1453" s="8">
        <f t="shared" si="391"/>
        <v>39.359732759693422</v>
      </c>
    </row>
    <row r="1454" spans="1:45">
      <c r="A1454" s="20">
        <v>52.252200000000002</v>
      </c>
      <c r="B1454" s="20">
        <v>1726.723489</v>
      </c>
      <c r="C1454" s="20">
        <v>-404.56774530000001</v>
      </c>
      <c r="E1454" s="9">
        <f t="shared" si="380"/>
        <v>766.72348899999997</v>
      </c>
      <c r="F1454" s="9">
        <f t="shared" si="395"/>
        <v>135.43225469999999</v>
      </c>
      <c r="I1454">
        <v>1</v>
      </c>
      <c r="J1454">
        <f t="shared" si="381"/>
        <v>0.47828516509488384</v>
      </c>
      <c r="K1454">
        <f t="shared" si="382"/>
        <v>0.17483423519089458</v>
      </c>
      <c r="O1454">
        <f t="shared" si="383"/>
        <v>0.45324100051207339</v>
      </c>
      <c r="P1454">
        <f t="shared" si="384"/>
        <v>8.0059436684134191E-2</v>
      </c>
      <c r="Q1454">
        <f t="shared" si="385"/>
        <v>0.88778549326548117</v>
      </c>
      <c r="R1454">
        <f t="shared" si="386"/>
        <v>1</v>
      </c>
      <c r="AG1454" s="8">
        <f t="shared" si="392"/>
        <v>0.74974782212870428</v>
      </c>
      <c r="AH1454" s="8">
        <f t="shared" si="393"/>
        <v>0.18938479251674134</v>
      </c>
      <c r="AI1454" s="8">
        <f t="shared" si="394"/>
        <v>0.63404384988473428</v>
      </c>
      <c r="AJ1454" s="8"/>
      <c r="AK1454" s="8"/>
      <c r="AL1454" s="8"/>
      <c r="AN1454" s="8">
        <f t="shared" si="387"/>
        <v>0.99999999999999989</v>
      </c>
      <c r="AO1454" s="8">
        <f t="shared" si="388"/>
        <v>0.24742233107303133</v>
      </c>
      <c r="AP1454" s="8">
        <f t="shared" si="389"/>
        <v>0.88402489342542678</v>
      </c>
      <c r="AQ1454" s="8"/>
      <c r="AR1454" s="8">
        <f t="shared" si="390"/>
        <v>14.17625532777326</v>
      </c>
      <c r="AS1454" s="8">
        <f t="shared" si="391"/>
        <v>39.349104622220651</v>
      </c>
    </row>
    <row r="1455" spans="1:45">
      <c r="A1455" s="20">
        <v>52.285566670000001</v>
      </c>
      <c r="B1455" s="20">
        <v>1727.212953</v>
      </c>
      <c r="C1455" s="20">
        <v>-405.11251240000001</v>
      </c>
      <c r="E1455" s="9">
        <f t="shared" si="380"/>
        <v>767.21295299999997</v>
      </c>
      <c r="F1455" s="9">
        <f t="shared" si="395"/>
        <v>134.88748759999999</v>
      </c>
      <c r="I1455">
        <v>1</v>
      </c>
      <c r="J1455">
        <f t="shared" si="381"/>
        <v>0.47849033131865454</v>
      </c>
      <c r="K1455">
        <f t="shared" si="382"/>
        <v>0.17403626616879406</v>
      </c>
      <c r="O1455">
        <f t="shared" si="383"/>
        <v>0.45348412372560049</v>
      </c>
      <c r="P1455">
        <f t="shared" si="384"/>
        <v>7.9729277088774336E-2</v>
      </c>
      <c r="Q1455">
        <f t="shared" si="385"/>
        <v>0.88769104529882792</v>
      </c>
      <c r="R1455">
        <f t="shared" si="386"/>
        <v>1</v>
      </c>
      <c r="AG1455" s="8">
        <f t="shared" si="392"/>
        <v>0.74995567340622515</v>
      </c>
      <c r="AH1455" s="8">
        <f t="shared" si="393"/>
        <v>0.18958548643233081</v>
      </c>
      <c r="AI1455" s="8">
        <f t="shared" si="394"/>
        <v>0.63373798312869956</v>
      </c>
      <c r="AJ1455" s="8"/>
      <c r="AK1455" s="8"/>
      <c r="AL1455" s="8"/>
      <c r="AN1455" s="8">
        <f t="shared" si="387"/>
        <v>1</v>
      </c>
      <c r="AO1455" s="8">
        <f t="shared" si="388"/>
        <v>0.24760807037820706</v>
      </c>
      <c r="AP1455" s="8">
        <f t="shared" si="389"/>
        <v>0.88442036521058254</v>
      </c>
      <c r="AQ1455" s="8"/>
      <c r="AR1455" s="8">
        <f t="shared" si="390"/>
        <v>14.186897406049523</v>
      </c>
      <c r="AS1455" s="8">
        <f t="shared" si="391"/>
        <v>39.326445758014721</v>
      </c>
    </row>
    <row r="1456" spans="1:45">
      <c r="A1456" s="20">
        <v>52.31893333</v>
      </c>
      <c r="B1456" s="20">
        <v>1728.0017250000001</v>
      </c>
      <c r="C1456" s="20">
        <v>-405.4125995</v>
      </c>
      <c r="E1456" s="9">
        <f t="shared" si="380"/>
        <v>768.00172500000008</v>
      </c>
      <c r="F1456" s="9">
        <f t="shared" si="395"/>
        <v>134.5874005</v>
      </c>
      <c r="I1456">
        <v>1</v>
      </c>
      <c r="J1456">
        <f t="shared" si="381"/>
        <v>0.47887409219804017</v>
      </c>
      <c r="K1456">
        <f t="shared" si="382"/>
        <v>0.1734820350369255</v>
      </c>
      <c r="O1456">
        <f t="shared" si="383"/>
        <v>0.45386375678663105</v>
      </c>
      <c r="P1456">
        <f t="shared" si="384"/>
        <v>7.9536726570603608E-2</v>
      </c>
      <c r="Q1456">
        <f t="shared" si="385"/>
        <v>0.88751428123831266</v>
      </c>
      <c r="R1456">
        <f t="shared" si="386"/>
        <v>1</v>
      </c>
      <c r="AG1456" s="8">
        <f t="shared" si="392"/>
        <v>0.75006557055337553</v>
      </c>
      <c r="AH1456" s="8">
        <f t="shared" si="393"/>
        <v>0.18996158195347002</v>
      </c>
      <c r="AI1456" s="8">
        <f t="shared" si="394"/>
        <v>0.63349525432490361</v>
      </c>
      <c r="AJ1456" s="8"/>
      <c r="AK1456" s="8"/>
      <c r="AL1456" s="8"/>
      <c r="AN1456" s="8">
        <f t="shared" si="387"/>
        <v>1</v>
      </c>
      <c r="AO1456" s="8">
        <f t="shared" si="388"/>
        <v>0.24804450647596016</v>
      </c>
      <c r="AP1456" s="8">
        <f t="shared" si="389"/>
        <v>0.88473411133251045</v>
      </c>
      <c r="AQ1456" s="8"/>
      <c r="AR1456" s="8">
        <f t="shared" si="390"/>
        <v>14.211903352477934</v>
      </c>
      <c r="AS1456" s="8">
        <f t="shared" si="391"/>
        <v>39.308469429389653</v>
      </c>
    </row>
    <row r="1457" spans="1:45">
      <c r="A1457" s="20">
        <v>52.3523</v>
      </c>
      <c r="B1457" s="20">
        <v>1728.477071</v>
      </c>
      <c r="C1457" s="20">
        <v>-405.36973169999999</v>
      </c>
      <c r="E1457" s="9">
        <f t="shared" si="380"/>
        <v>768.47707100000002</v>
      </c>
      <c r="F1457" s="9">
        <f t="shared" si="395"/>
        <v>134.63026830000001</v>
      </c>
      <c r="I1457">
        <v>1</v>
      </c>
      <c r="J1457">
        <f t="shared" si="381"/>
        <v>0.47912575937739726</v>
      </c>
      <c r="K1457">
        <f t="shared" si="382"/>
        <v>0.17343098709411589</v>
      </c>
      <c r="O1457">
        <f t="shared" si="383"/>
        <v>0.45408780951459954</v>
      </c>
      <c r="P1457">
        <f t="shared" si="384"/>
        <v>7.9552098473358146E-2</v>
      </c>
      <c r="Q1457">
        <f t="shared" si="385"/>
        <v>0.8873982898781797</v>
      </c>
      <c r="R1457">
        <f t="shared" si="386"/>
        <v>1</v>
      </c>
      <c r="AG1457" s="8">
        <f t="shared" si="392"/>
        <v>0.75004470942506463</v>
      </c>
      <c r="AH1457" s="8">
        <f t="shared" si="393"/>
        <v>0.19020858905664856</v>
      </c>
      <c r="AI1457" s="8">
        <f t="shared" si="394"/>
        <v>0.63344583550020228</v>
      </c>
      <c r="AJ1457" s="8"/>
      <c r="AK1457" s="8"/>
      <c r="AL1457" s="8"/>
      <c r="AN1457" s="8">
        <f t="shared" si="387"/>
        <v>1</v>
      </c>
      <c r="AO1457" s="8">
        <f t="shared" si="388"/>
        <v>0.24836057391805069</v>
      </c>
      <c r="AP1457" s="8">
        <f t="shared" si="389"/>
        <v>0.88479797918571723</v>
      </c>
      <c r="AQ1457" s="8"/>
      <c r="AR1457" s="8">
        <f t="shared" si="390"/>
        <v>14.230012682951216</v>
      </c>
      <c r="AS1457" s="8">
        <f t="shared" si="391"/>
        <v>39.304810070954346</v>
      </c>
    </row>
    <row r="1458" spans="1:45">
      <c r="A1458" s="20">
        <v>52.385666669999999</v>
      </c>
      <c r="B1458" s="20">
        <v>1729.413108</v>
      </c>
      <c r="C1458" s="20">
        <v>-405.45484279999999</v>
      </c>
      <c r="E1458" s="9">
        <f t="shared" si="380"/>
        <v>769.41310799999997</v>
      </c>
      <c r="F1458" s="9">
        <f t="shared" si="395"/>
        <v>134.54515720000001</v>
      </c>
      <c r="I1458">
        <v>1</v>
      </c>
      <c r="J1458">
        <f t="shared" si="381"/>
        <v>0.47960569813810178</v>
      </c>
      <c r="K1458">
        <f t="shared" si="382"/>
        <v>0.1731168618578226</v>
      </c>
      <c r="O1458">
        <f t="shared" si="383"/>
        <v>0.4545322549275862</v>
      </c>
      <c r="P1458">
        <f t="shared" si="384"/>
        <v>7.9482807162810337E-2</v>
      </c>
      <c r="Q1458">
        <f t="shared" si="385"/>
        <v>0.887176934210963</v>
      </c>
      <c r="R1458">
        <f t="shared" si="386"/>
        <v>1</v>
      </c>
      <c r="AG1458" s="8">
        <f t="shared" si="392"/>
        <v>0.75006941425211193</v>
      </c>
      <c r="AH1458" s="8">
        <f t="shared" si="393"/>
        <v>0.19067928245297516</v>
      </c>
      <c r="AI1458" s="8">
        <f t="shared" si="394"/>
        <v>0.63327504691619751</v>
      </c>
      <c r="AJ1458" s="8"/>
      <c r="AK1458" s="8"/>
      <c r="AL1458" s="8"/>
      <c r="AN1458" s="8">
        <f t="shared" si="387"/>
        <v>1</v>
      </c>
      <c r="AO1458" s="8">
        <f t="shared" si="388"/>
        <v>0.24894225447816135</v>
      </c>
      <c r="AP1458" s="8">
        <f t="shared" si="389"/>
        <v>0.88501867706660653</v>
      </c>
      <c r="AQ1458" s="8"/>
      <c r="AR1458" s="8">
        <f t="shared" si="390"/>
        <v>14.263340524070363</v>
      </c>
      <c r="AS1458" s="8">
        <f t="shared" si="391"/>
        <v>39.292165013831905</v>
      </c>
    </row>
    <row r="1459" spans="1:45">
      <c r="A1459" s="20">
        <v>52.419033329999998</v>
      </c>
      <c r="B1459" s="20">
        <v>1729.738055</v>
      </c>
      <c r="C1459" s="20">
        <v>-405.52060089999998</v>
      </c>
      <c r="E1459" s="9">
        <f t="shared" si="380"/>
        <v>769.73805500000003</v>
      </c>
      <c r="F1459" s="9">
        <f t="shared" si="395"/>
        <v>134.47939910000002</v>
      </c>
      <c r="I1459">
        <v>1</v>
      </c>
      <c r="J1459">
        <f t="shared" si="381"/>
        <v>0.47976896896122967</v>
      </c>
      <c r="K1459">
        <f t="shared" si="382"/>
        <v>0.17296233295112343</v>
      </c>
      <c r="O1459">
        <f t="shared" si="383"/>
        <v>0.45468721467155676</v>
      </c>
      <c r="P1459">
        <f t="shared" si="384"/>
        <v>7.9437495665306126E-2</v>
      </c>
      <c r="Q1459">
        <f t="shared" si="385"/>
        <v>0.88710158442911491</v>
      </c>
      <c r="R1459">
        <f t="shared" si="386"/>
        <v>1</v>
      </c>
      <c r="AG1459" s="8">
        <f t="shared" si="392"/>
        <v>0.75009201990947938</v>
      </c>
      <c r="AH1459" s="8">
        <f t="shared" si="393"/>
        <v>0.19083931214162325</v>
      </c>
      <c r="AI1459" s="8">
        <f t="shared" si="394"/>
        <v>0.63320006207314072</v>
      </c>
      <c r="AJ1459" s="8"/>
      <c r="AK1459" s="8"/>
      <c r="AL1459" s="8"/>
      <c r="AN1459" s="8">
        <f t="shared" si="387"/>
        <v>1</v>
      </c>
      <c r="AO1459" s="8">
        <f t="shared" si="388"/>
        <v>0.249135444753949</v>
      </c>
      <c r="AP1459" s="8">
        <f t="shared" si="389"/>
        <v>0.88511556202981256</v>
      </c>
      <c r="AQ1459" s="8"/>
      <c r="AR1459" s="8">
        <f t="shared" si="390"/>
        <v>14.274409511515964</v>
      </c>
      <c r="AS1459" s="8">
        <f t="shared" si="391"/>
        <v>39.28661391434192</v>
      </c>
    </row>
    <row r="1460" spans="1:45">
      <c r="A1460" s="20">
        <v>52.452399999999997</v>
      </c>
      <c r="B1460" s="20">
        <v>1730.12862</v>
      </c>
      <c r="C1460" s="20">
        <v>-406.11110730000001</v>
      </c>
      <c r="E1460" s="9">
        <f t="shared" si="380"/>
        <v>770.12861999999996</v>
      </c>
      <c r="F1460" s="9">
        <f t="shared" si="395"/>
        <v>133.88889269999999</v>
      </c>
      <c r="I1460">
        <v>1</v>
      </c>
      <c r="J1460">
        <f t="shared" si="381"/>
        <v>0.47991878912865554</v>
      </c>
      <c r="K1460">
        <f t="shared" si="382"/>
        <v>0.17213218246617568</v>
      </c>
      <c r="O1460">
        <f t="shared" si="383"/>
        <v>0.45488393956219725</v>
      </c>
      <c r="P1460">
        <f t="shared" si="384"/>
        <v>7.9082773180142701E-2</v>
      </c>
      <c r="Q1460">
        <f t="shared" si="385"/>
        <v>0.88703242134350047</v>
      </c>
      <c r="R1460">
        <f t="shared" si="386"/>
        <v>1</v>
      </c>
      <c r="AG1460" s="8">
        <f t="shared" si="392"/>
        <v>0.75031790716410818</v>
      </c>
      <c r="AH1460" s="8">
        <f t="shared" si="393"/>
        <v>0.19098489412041969</v>
      </c>
      <c r="AI1460" s="8">
        <f t="shared" si="394"/>
        <v>0.63288846442851587</v>
      </c>
      <c r="AJ1460" s="8"/>
      <c r="AK1460" s="8"/>
      <c r="AL1460" s="8"/>
      <c r="AN1460" s="8">
        <f t="shared" si="387"/>
        <v>0.99999999999999989</v>
      </c>
      <c r="AO1460" s="8">
        <f t="shared" si="388"/>
        <v>0.24924573456873861</v>
      </c>
      <c r="AP1460" s="8">
        <f t="shared" si="389"/>
        <v>0.88551808285656242</v>
      </c>
      <c r="AQ1460" s="8"/>
      <c r="AR1460" s="8">
        <f t="shared" si="390"/>
        <v>14.280728652426689</v>
      </c>
      <c r="AS1460" s="8">
        <f t="shared" si="391"/>
        <v>39.263551169803037</v>
      </c>
    </row>
    <row r="1461" spans="1:45">
      <c r="A1461" s="20">
        <v>52.485766669999997</v>
      </c>
      <c r="B1461" s="20">
        <v>1730.384309</v>
      </c>
      <c r="C1461" s="20">
        <v>-406.32112280000001</v>
      </c>
      <c r="E1461" s="9">
        <f t="shared" si="380"/>
        <v>770.38430900000003</v>
      </c>
      <c r="F1461" s="9">
        <f t="shared" si="395"/>
        <v>133.67887719999999</v>
      </c>
      <c r="I1461">
        <v>1</v>
      </c>
      <c r="J1461">
        <f t="shared" si="381"/>
        <v>0.48003295940355017</v>
      </c>
      <c r="K1461">
        <f t="shared" si="382"/>
        <v>0.17181154263788637</v>
      </c>
      <c r="O1461">
        <f t="shared" si="383"/>
        <v>0.45500905196360136</v>
      </c>
      <c r="P1461">
        <f t="shared" si="384"/>
        <v>7.8954229040937907E-2</v>
      </c>
      <c r="Q1461">
        <f t="shared" si="385"/>
        <v>0.88697970233130807</v>
      </c>
      <c r="R1461">
        <f t="shared" si="386"/>
        <v>1</v>
      </c>
      <c r="AG1461" s="8">
        <f t="shared" si="392"/>
        <v>0.7503971144100291</v>
      </c>
      <c r="AH1461" s="8">
        <f t="shared" si="393"/>
        <v>0.19109630646707487</v>
      </c>
      <c r="AI1461" s="8">
        <f t="shared" si="394"/>
        <v>0.6327609124620005</v>
      </c>
      <c r="AJ1461" s="8"/>
      <c r="AK1461" s="8"/>
      <c r="AL1461" s="8"/>
      <c r="AN1461" s="8">
        <f t="shared" si="387"/>
        <v>1</v>
      </c>
      <c r="AO1461" s="8">
        <f t="shared" si="388"/>
        <v>0.24935993562587619</v>
      </c>
      <c r="AP1461" s="8">
        <f t="shared" si="389"/>
        <v>0.88568281587074837</v>
      </c>
      <c r="AQ1461" s="8"/>
      <c r="AR1461" s="8">
        <f t="shared" si="390"/>
        <v>14.287271891016603</v>
      </c>
      <c r="AS1461" s="8">
        <f t="shared" si="391"/>
        <v>39.254112663343712</v>
      </c>
    </row>
    <row r="1462" spans="1:45">
      <c r="A1462" s="20">
        <v>52.519133330000003</v>
      </c>
      <c r="B1462" s="20">
        <v>1730.7151080000001</v>
      </c>
      <c r="C1462" s="20">
        <v>-406.51571999999999</v>
      </c>
      <c r="E1462" s="9">
        <f t="shared" si="380"/>
        <v>770.7151080000001</v>
      </c>
      <c r="F1462" s="9">
        <f t="shared" si="395"/>
        <v>133.48428000000001</v>
      </c>
      <c r="I1462">
        <v>1</v>
      </c>
      <c r="J1462">
        <f t="shared" si="381"/>
        <v>0.48018766398452339</v>
      </c>
      <c r="K1462">
        <f t="shared" si="382"/>
        <v>0.17149411561886227</v>
      </c>
      <c r="O1462">
        <f t="shared" si="383"/>
        <v>0.4551692927299395</v>
      </c>
      <c r="P1462">
        <f t="shared" si="384"/>
        <v>7.8833209168341883E-2</v>
      </c>
      <c r="Q1462">
        <f t="shared" si="385"/>
        <v>0.88690824784074873</v>
      </c>
      <c r="R1462">
        <f t="shared" si="386"/>
        <v>1</v>
      </c>
      <c r="AG1462" s="8">
        <f t="shared" si="392"/>
        <v>0.75046958914522277</v>
      </c>
      <c r="AH1462" s="8">
        <f t="shared" si="393"/>
        <v>0.19124746352179139</v>
      </c>
      <c r="AI1462" s="8">
        <f t="shared" si="394"/>
        <v>0.63262927806471425</v>
      </c>
      <c r="AJ1462" s="8"/>
      <c r="AK1462" s="8"/>
      <c r="AL1462" s="8"/>
      <c r="AN1462" s="8">
        <f t="shared" si="387"/>
        <v>1</v>
      </c>
      <c r="AO1462" s="8">
        <f t="shared" si="388"/>
        <v>0.24952598311233704</v>
      </c>
      <c r="AP1462" s="8">
        <f t="shared" si="389"/>
        <v>0.88585279808529205</v>
      </c>
      <c r="AQ1462" s="8"/>
      <c r="AR1462" s="8">
        <f t="shared" si="390"/>
        <v>14.296785711189566</v>
      </c>
      <c r="AS1462" s="8">
        <f t="shared" si="391"/>
        <v>39.24437339985807</v>
      </c>
    </row>
    <row r="1463" spans="1:45">
      <c r="A1463" s="20">
        <v>52.552500000000002</v>
      </c>
      <c r="B1463" s="20">
        <v>1731.0154580000001</v>
      </c>
      <c r="C1463" s="20">
        <v>-406.65388510000002</v>
      </c>
      <c r="E1463" s="9">
        <f t="shared" si="380"/>
        <v>771.01545800000008</v>
      </c>
      <c r="F1463" s="9">
        <f t="shared" si="395"/>
        <v>133.34611489999998</v>
      </c>
      <c r="I1463">
        <v>1</v>
      </c>
      <c r="J1463">
        <f t="shared" si="381"/>
        <v>0.48033161180653627</v>
      </c>
      <c r="K1463">
        <f t="shared" si="382"/>
        <v>0.17125462206003411</v>
      </c>
      <c r="O1463">
        <f t="shared" si="383"/>
        <v>0.4553139559468935</v>
      </c>
      <c r="P1463">
        <f t="shared" si="384"/>
        <v>7.8745953087321865E-2</v>
      </c>
      <c r="Q1463">
        <f t="shared" si="385"/>
        <v>0.88684174258565418</v>
      </c>
      <c r="R1463">
        <f t="shared" si="386"/>
        <v>1</v>
      </c>
      <c r="AG1463" s="8">
        <f t="shared" si="392"/>
        <v>0.75052039591748709</v>
      </c>
      <c r="AH1463" s="8">
        <f t="shared" si="393"/>
        <v>0.19138819837076593</v>
      </c>
      <c r="AI1463" s="8">
        <f t="shared" si="394"/>
        <v>0.6325264364722244</v>
      </c>
      <c r="AJ1463" s="8"/>
      <c r="AK1463" s="8"/>
      <c r="AL1463" s="8"/>
      <c r="AN1463" s="8">
        <f t="shared" si="387"/>
        <v>1</v>
      </c>
      <c r="AO1463" s="8">
        <f t="shared" si="388"/>
        <v>0.24968585861129264</v>
      </c>
      <c r="AP1463" s="8">
        <f t="shared" si="389"/>
        <v>0.88598558313493403</v>
      </c>
      <c r="AQ1463" s="8"/>
      <c r="AR1463" s="8">
        <f t="shared" si="390"/>
        <v>14.30594590252727</v>
      </c>
      <c r="AS1463" s="8">
        <f t="shared" si="391"/>
        <v>39.236765376931153</v>
      </c>
    </row>
    <row r="1464" spans="1:45">
      <c r="A1464" s="20">
        <v>52.585866670000001</v>
      </c>
      <c r="B1464" s="20">
        <v>1731.9446109999999</v>
      </c>
      <c r="C1464" s="20">
        <v>-407.2856893</v>
      </c>
      <c r="E1464" s="9">
        <f t="shared" si="380"/>
        <v>771.9446109999999</v>
      </c>
      <c r="F1464" s="9">
        <f t="shared" si="395"/>
        <v>132.7143107</v>
      </c>
      <c r="I1464">
        <v>1</v>
      </c>
      <c r="J1464">
        <f t="shared" si="381"/>
        <v>0.48075863539780256</v>
      </c>
      <c r="K1464">
        <f t="shared" si="382"/>
        <v>0.17025763835389324</v>
      </c>
      <c r="O1464">
        <f t="shared" si="383"/>
        <v>0.45576542329283914</v>
      </c>
      <c r="P1464">
        <f t="shared" si="384"/>
        <v>7.8356132203380169E-2</v>
      </c>
      <c r="Q1464">
        <f t="shared" si="385"/>
        <v>0.88664434553930671</v>
      </c>
      <c r="R1464">
        <f t="shared" si="386"/>
        <v>1</v>
      </c>
      <c r="AG1464" s="8">
        <f t="shared" si="392"/>
        <v>0.75075668604225243</v>
      </c>
      <c r="AH1464" s="8">
        <f t="shared" si="393"/>
        <v>0.19180473094604883</v>
      </c>
      <c r="AI1464" s="8">
        <f t="shared" si="394"/>
        <v>0.63211972248108872</v>
      </c>
      <c r="AJ1464" s="8"/>
      <c r="AK1464" s="8"/>
      <c r="AL1464" s="8"/>
      <c r="AN1464" s="8">
        <f t="shared" si="387"/>
        <v>1</v>
      </c>
      <c r="AO1464" s="8">
        <f t="shared" si="388"/>
        <v>0.25013138938985485</v>
      </c>
      <c r="AP1464" s="8">
        <f t="shared" si="389"/>
        <v>0.88651057537261013</v>
      </c>
      <c r="AQ1464" s="8"/>
      <c r="AR1464" s="8">
        <f t="shared" si="390"/>
        <v>14.331472935782063</v>
      </c>
      <c r="AS1464" s="8">
        <f t="shared" si="391"/>
        <v>39.206685537435185</v>
      </c>
    </row>
    <row r="1465" spans="1:45">
      <c r="A1465" s="20">
        <v>52.61923333</v>
      </c>
      <c r="B1465" s="20">
        <v>1732.392175</v>
      </c>
      <c r="C1465" s="20">
        <v>-407.61459280000003</v>
      </c>
      <c r="E1465" s="9">
        <f t="shared" ref="E1465:E1528" si="396">(B1465-($B$15/2))</f>
        <v>772.39217499999995</v>
      </c>
      <c r="F1465" s="9">
        <f t="shared" si="395"/>
        <v>132.38540719999997</v>
      </c>
      <c r="I1465">
        <v>1</v>
      </c>
      <c r="J1465">
        <f t="shared" ref="J1465:J1528" si="397">ATAN((SQRT(E1465^2+F1465^2)^$B$16)/($F$24))</f>
        <v>0.48096221650767473</v>
      </c>
      <c r="K1465">
        <f t="shared" ref="K1465:K1528" si="398">ATAN2(E1465,F1465)</f>
        <v>0.16974723340478576</v>
      </c>
      <c r="O1465">
        <f t="shared" ref="O1465:O1528" si="399">COS(K1465)*SIN(J1465)</f>
        <v>0.45598325758104491</v>
      </c>
      <c r="P1465">
        <f t="shared" ref="P1465:P1528" si="400">SIN(K1465)*SIN(J1465)</f>
        <v>7.8153988589085732E-2</v>
      </c>
      <c r="Q1465">
        <f t="shared" ref="Q1465:Q1528" si="401">COS(J1465)</f>
        <v>0.88655018068544522</v>
      </c>
      <c r="R1465">
        <f t="shared" ref="R1465:R1528" si="402">SQRT(O1465^2+P1465^2+Q1465^2)</f>
        <v>1</v>
      </c>
      <c r="AG1465" s="8">
        <f t="shared" si="392"/>
        <v>0.75087989470642524</v>
      </c>
      <c r="AH1465" s="8">
        <f t="shared" si="393"/>
        <v>0.19200303542634511</v>
      </c>
      <c r="AI1465" s="8">
        <f t="shared" si="394"/>
        <v>0.6319131412723884</v>
      </c>
      <c r="AJ1465" s="8"/>
      <c r="AK1465" s="8"/>
      <c r="AL1465" s="8"/>
      <c r="AN1465" s="8">
        <f t="shared" ref="AN1465:AN1528" si="403">AG1465^2+AH1465^2+AI1465^2</f>
        <v>1</v>
      </c>
      <c r="AO1465" s="8">
        <f t="shared" ref="AO1465:AO1528" si="404">IF(ATAN2(AG1465,AH1465)&gt;=0,ATAN2(AG1465,AH1465),ATAN2(AG1465,AH1465)+2*PI())</f>
        <v>0.25033994042669999</v>
      </c>
      <c r="AP1465" s="8">
        <f t="shared" ref="AP1465:AP1528" si="405">ACOS(AI1465/AN1465)</f>
        <v>0.88677714725658863</v>
      </c>
      <c r="AQ1465" s="8"/>
      <c r="AR1465" s="8">
        <f t="shared" ref="AR1465:AR1528" si="406">DEGREES(AO1465)</f>
        <v>14.343422030006366</v>
      </c>
      <c r="AS1465" s="8">
        <f t="shared" ref="AS1465:AS1528" si="407">90-DEGREES(AP1465)</f>
        <v>39.191412093546361</v>
      </c>
    </row>
    <row r="1466" spans="1:45">
      <c r="A1466" s="20">
        <v>52.6526</v>
      </c>
      <c r="B1466" s="20">
        <v>1732.6290919999999</v>
      </c>
      <c r="C1466" s="20">
        <v>-407.62405610000002</v>
      </c>
      <c r="E1466" s="9">
        <f t="shared" si="396"/>
        <v>772.6290919999999</v>
      </c>
      <c r="F1466" s="9">
        <f t="shared" si="395"/>
        <v>132.37594389999998</v>
      </c>
      <c r="I1466">
        <v>1</v>
      </c>
      <c r="J1466">
        <f t="shared" si="397"/>
        <v>0.48108468004578819</v>
      </c>
      <c r="K1466">
        <f t="shared" si="398"/>
        <v>0.16968427735430691</v>
      </c>
      <c r="O1466">
        <f t="shared" si="399"/>
        <v>0.45609518432714236</v>
      </c>
      <c r="P1466">
        <f t="shared" si="400"/>
        <v>7.8143615298335106E-2</v>
      </c>
      <c r="Q1466">
        <f t="shared" si="401"/>
        <v>0.88649351843185853</v>
      </c>
      <c r="R1466">
        <f t="shared" si="402"/>
        <v>1</v>
      </c>
      <c r="AG1466" s="8">
        <f t="shared" si="392"/>
        <v>0.75088121141742048</v>
      </c>
      <c r="AH1466" s="8">
        <f t="shared" si="393"/>
        <v>0.19212302462197373</v>
      </c>
      <c r="AI1466" s="8">
        <f t="shared" si="394"/>
        <v>0.6318751061328588</v>
      </c>
      <c r="AJ1466" s="8"/>
      <c r="AK1466" s="8"/>
      <c r="AL1466" s="8"/>
      <c r="AN1466" s="8">
        <f t="shared" si="403"/>
        <v>1</v>
      </c>
      <c r="AO1466" s="8">
        <f t="shared" si="404"/>
        <v>0.25048950459241742</v>
      </c>
      <c r="AP1466" s="8">
        <f t="shared" si="405"/>
        <v>0.88682622139115064</v>
      </c>
      <c r="AQ1466" s="8"/>
      <c r="AR1466" s="8">
        <f t="shared" si="406"/>
        <v>14.35199142546837</v>
      </c>
      <c r="AS1466" s="8">
        <f t="shared" si="407"/>
        <v>39.188600352752701</v>
      </c>
    </row>
    <row r="1467" spans="1:45">
      <c r="A1467" s="20">
        <v>52.685966669999999</v>
      </c>
      <c r="B1467" s="20">
        <v>1732.9991930000001</v>
      </c>
      <c r="C1467" s="20">
        <v>-407.63428570000002</v>
      </c>
      <c r="E1467" s="9">
        <f t="shared" si="396"/>
        <v>772.9991930000001</v>
      </c>
      <c r="F1467" s="9">
        <f t="shared" si="395"/>
        <v>132.36571429999998</v>
      </c>
      <c r="I1467">
        <v>1</v>
      </c>
      <c r="J1467">
        <f t="shared" si="397"/>
        <v>0.48127636535976809</v>
      </c>
      <c r="K1467">
        <f t="shared" si="398"/>
        <v>0.16959172772016257</v>
      </c>
      <c r="O1467">
        <f t="shared" si="399"/>
        <v>0.45626989611955709</v>
      </c>
      <c r="P1467">
        <f t="shared" si="400"/>
        <v>7.8130082489558245E-2</v>
      </c>
      <c r="Q1467">
        <f t="shared" si="401"/>
        <v>0.88640480149039325</v>
      </c>
      <c r="R1467">
        <f t="shared" si="402"/>
        <v>1</v>
      </c>
      <c r="AG1467" s="8">
        <f t="shared" si="392"/>
        <v>0.75088147809277928</v>
      </c>
      <c r="AH1467" s="8">
        <f t="shared" si="393"/>
        <v>0.19231084607930321</v>
      </c>
      <c r="AI1467" s="8">
        <f t="shared" si="394"/>
        <v>0.63181765117592736</v>
      </c>
      <c r="AJ1467" s="8"/>
      <c r="AK1467" s="8"/>
      <c r="AL1467" s="8"/>
      <c r="AN1467" s="8">
        <f t="shared" si="403"/>
        <v>1.0000000000000002</v>
      </c>
      <c r="AO1467" s="8">
        <f t="shared" si="404"/>
        <v>0.25072417066194641</v>
      </c>
      <c r="AP1467" s="8">
        <f t="shared" si="405"/>
        <v>0.8869003478629236</v>
      </c>
      <c r="AQ1467" s="8"/>
      <c r="AR1467" s="8">
        <f t="shared" si="406"/>
        <v>14.365436800847306</v>
      </c>
      <c r="AS1467" s="8">
        <f t="shared" si="407"/>
        <v>39.184353218769914</v>
      </c>
    </row>
    <row r="1468" spans="1:45">
      <c r="A1468" s="20">
        <v>52.719333329999998</v>
      </c>
      <c r="B1468" s="20">
        <v>1733.924976</v>
      </c>
      <c r="C1468" s="20">
        <v>-408.02637520000002</v>
      </c>
      <c r="E1468" s="9">
        <f t="shared" si="396"/>
        <v>773.92497600000002</v>
      </c>
      <c r="F1468" s="9">
        <f t="shared" si="395"/>
        <v>131.97362479999998</v>
      </c>
      <c r="I1468">
        <v>1</v>
      </c>
      <c r="J1468">
        <f t="shared" si="397"/>
        <v>0.48172315183083741</v>
      </c>
      <c r="K1468">
        <f t="shared" si="398"/>
        <v>0.16890045223210312</v>
      </c>
      <c r="O1468">
        <f t="shared" si="399"/>
        <v>0.45671414914226044</v>
      </c>
      <c r="P1468">
        <f t="shared" si="400"/>
        <v>7.7881220569048934E-2</v>
      </c>
      <c r="Q1468">
        <f t="shared" si="401"/>
        <v>0.88619789068578603</v>
      </c>
      <c r="R1468">
        <f t="shared" si="402"/>
        <v>1</v>
      </c>
      <c r="AG1468" s="8">
        <f t="shared" si="392"/>
        <v>0.75102411955723247</v>
      </c>
      <c r="AH1468" s="8">
        <f t="shared" si="393"/>
        <v>0.19274701160481655</v>
      </c>
      <c r="AI1468" s="8">
        <f t="shared" si="394"/>
        <v>0.63151513153739769</v>
      </c>
      <c r="AJ1468" s="8"/>
      <c r="AK1468" s="8"/>
      <c r="AL1468" s="8"/>
      <c r="AN1468" s="8">
        <f t="shared" si="403"/>
        <v>1.0000000000000002</v>
      </c>
      <c r="AO1468" s="8">
        <f t="shared" si="404"/>
        <v>0.2512234691080627</v>
      </c>
      <c r="AP1468" s="8">
        <f t="shared" si="405"/>
        <v>0.88729057478014017</v>
      </c>
      <c r="AQ1468" s="8"/>
      <c r="AR1468" s="8">
        <f t="shared" si="406"/>
        <v>14.394044494527209</v>
      </c>
      <c r="AS1468" s="8">
        <f t="shared" si="407"/>
        <v>39.161994863361009</v>
      </c>
    </row>
    <row r="1469" spans="1:45">
      <c r="A1469" s="20">
        <v>52.752699999999997</v>
      </c>
      <c r="B1469" s="20">
        <v>1734.255285</v>
      </c>
      <c r="C1469" s="20">
        <v>-408.0397633</v>
      </c>
      <c r="E1469" s="9">
        <f t="shared" si="396"/>
        <v>774.25528499999996</v>
      </c>
      <c r="F1469" s="9">
        <f t="shared" si="395"/>
        <v>131.9602367</v>
      </c>
      <c r="I1469">
        <v>1</v>
      </c>
      <c r="J1469">
        <f t="shared" si="397"/>
        <v>0.4818937669535539</v>
      </c>
      <c r="K1469">
        <f t="shared" si="398"/>
        <v>0.16881295504063135</v>
      </c>
      <c r="O1469">
        <f t="shared" si="399"/>
        <v>0.45687000459016647</v>
      </c>
      <c r="P1469">
        <f t="shared" si="400"/>
        <v>7.7866661183783145E-2</v>
      </c>
      <c r="Q1469">
        <f t="shared" si="401"/>
        <v>0.88611883062141905</v>
      </c>
      <c r="R1469">
        <f t="shared" si="402"/>
        <v>1</v>
      </c>
      <c r="AG1469" s="8">
        <f t="shared" si="392"/>
        <v>0.75102590528068669</v>
      </c>
      <c r="AH1469" s="8">
        <f t="shared" si="393"/>
        <v>0.19291411966122435</v>
      </c>
      <c r="AI1469" s="8">
        <f t="shared" si="394"/>
        <v>0.63146197987896291</v>
      </c>
      <c r="AJ1469" s="8"/>
      <c r="AK1469" s="8"/>
      <c r="AL1469" s="8"/>
      <c r="AN1469" s="8">
        <f t="shared" si="403"/>
        <v>0.99999999999999989</v>
      </c>
      <c r="AO1469" s="8">
        <f t="shared" si="404"/>
        <v>0.25143164170795435</v>
      </c>
      <c r="AP1469" s="8">
        <f t="shared" si="405"/>
        <v>0.88735912349458401</v>
      </c>
      <c r="AQ1469" s="8"/>
      <c r="AR1469" s="8">
        <f t="shared" si="406"/>
        <v>14.405971905911265</v>
      </c>
      <c r="AS1469" s="8">
        <f t="shared" si="407"/>
        <v>39.158067311332324</v>
      </c>
    </row>
    <row r="1470" spans="1:45">
      <c r="A1470" s="20">
        <v>52.786066669999997</v>
      </c>
      <c r="B1470" s="20">
        <v>1734.7017719999999</v>
      </c>
      <c r="C1470" s="20">
        <v>-408.08335499999998</v>
      </c>
      <c r="E1470" s="9">
        <f t="shared" si="396"/>
        <v>774.70177199999989</v>
      </c>
      <c r="F1470" s="9">
        <f t="shared" si="395"/>
        <v>131.91664500000002</v>
      </c>
      <c r="I1470">
        <v>1</v>
      </c>
      <c r="J1470">
        <f t="shared" si="397"/>
        <v>0.48212209181275045</v>
      </c>
      <c r="K1470">
        <f t="shared" si="398"/>
        <v>0.16866281582120293</v>
      </c>
      <c r="O1470">
        <f t="shared" si="399"/>
        <v>0.45708113038711917</v>
      </c>
      <c r="P1470">
        <f t="shared" si="400"/>
        <v>7.7832026971891746E-2</v>
      </c>
      <c r="Q1470">
        <f t="shared" si="401"/>
        <v>0.88601298851736943</v>
      </c>
      <c r="R1470">
        <f t="shared" si="402"/>
        <v>1</v>
      </c>
      <c r="AG1470" s="8">
        <f t="shared" si="392"/>
        <v>0.75103816341685614</v>
      </c>
      <c r="AH1470" s="8">
        <f t="shared" si="393"/>
        <v>0.19313762072945334</v>
      </c>
      <c r="AI1470" s="8">
        <f t="shared" si="394"/>
        <v>0.63137907516039959</v>
      </c>
      <c r="AJ1470" s="8"/>
      <c r="AK1470" s="8"/>
      <c r="AL1470" s="8"/>
      <c r="AN1470" s="8">
        <f t="shared" si="403"/>
        <v>1</v>
      </c>
      <c r="AO1470" s="8">
        <f t="shared" si="404"/>
        <v>0.2517068588935254</v>
      </c>
      <c r="AP1470" s="8">
        <f t="shared" si="405"/>
        <v>0.88746603654394385</v>
      </c>
      <c r="AQ1470" s="8"/>
      <c r="AR1470" s="8">
        <f t="shared" si="406"/>
        <v>14.421740689093955</v>
      </c>
      <c r="AS1470" s="8">
        <f t="shared" si="407"/>
        <v>39.151941644829137</v>
      </c>
    </row>
    <row r="1471" spans="1:45">
      <c r="A1471" s="20">
        <v>52.819433330000003</v>
      </c>
      <c r="B1471" s="20">
        <v>1735.346761</v>
      </c>
      <c r="C1471" s="20">
        <v>-408.53001180000001</v>
      </c>
      <c r="E1471" s="9">
        <f t="shared" si="396"/>
        <v>775.34676100000001</v>
      </c>
      <c r="F1471" s="9">
        <f t="shared" si="395"/>
        <v>131.46998819999999</v>
      </c>
      <c r="I1471">
        <v>1</v>
      </c>
      <c r="J1471">
        <f t="shared" si="397"/>
        <v>0.48241797884009668</v>
      </c>
      <c r="K1471">
        <f t="shared" si="398"/>
        <v>0.16796523227693258</v>
      </c>
      <c r="O1471">
        <f t="shared" si="399"/>
        <v>0.45739376386440422</v>
      </c>
      <c r="P1471">
        <f t="shared" si="400"/>
        <v>7.7556979357790615E-2</v>
      </c>
      <c r="Q1471">
        <f t="shared" si="401"/>
        <v>0.88587575863145107</v>
      </c>
      <c r="R1471">
        <f t="shared" si="402"/>
        <v>1</v>
      </c>
      <c r="AG1471" s="8">
        <f t="shared" si="392"/>
        <v>0.75120445140883529</v>
      </c>
      <c r="AH1471" s="8">
        <f t="shared" si="393"/>
        <v>0.19342535492776758</v>
      </c>
      <c r="AI1471" s="8">
        <f t="shared" si="394"/>
        <v>0.63109310268344554</v>
      </c>
      <c r="AJ1471" s="8"/>
      <c r="AK1471" s="8"/>
      <c r="AL1471" s="8"/>
      <c r="AN1471" s="8">
        <f t="shared" si="403"/>
        <v>1</v>
      </c>
      <c r="AO1471" s="8">
        <f t="shared" si="404"/>
        <v>0.25201271155214755</v>
      </c>
      <c r="AP1471" s="8">
        <f t="shared" si="405"/>
        <v>0.88783475224164021</v>
      </c>
      <c r="AQ1471" s="8"/>
      <c r="AR1471" s="8">
        <f t="shared" si="406"/>
        <v>14.43926475558586</v>
      </c>
      <c r="AS1471" s="8">
        <f t="shared" si="407"/>
        <v>39.130815791510912</v>
      </c>
    </row>
    <row r="1472" spans="1:45">
      <c r="A1472" s="20">
        <v>52.852800000000002</v>
      </c>
      <c r="B1472" s="20">
        <v>1735.9057640000001</v>
      </c>
      <c r="C1472" s="20">
        <v>-409.0639463</v>
      </c>
      <c r="E1472" s="9">
        <f t="shared" si="396"/>
        <v>775.90576400000009</v>
      </c>
      <c r="F1472" s="9">
        <f t="shared" si="395"/>
        <v>130.9360537</v>
      </c>
      <c r="I1472">
        <v>1</v>
      </c>
      <c r="J1472">
        <f t="shared" si="397"/>
        <v>0.48266162398040702</v>
      </c>
      <c r="K1472">
        <f t="shared" si="398"/>
        <v>0.16717746824846869</v>
      </c>
      <c r="O1472">
        <f t="shared" si="399"/>
        <v>0.45766753512362113</v>
      </c>
      <c r="P1472">
        <f t="shared" si="400"/>
        <v>7.7232550312247822E-2</v>
      </c>
      <c r="Q1472">
        <f t="shared" si="401"/>
        <v>0.88576269986161371</v>
      </c>
      <c r="R1472">
        <f t="shared" si="402"/>
        <v>1</v>
      </c>
      <c r="AG1472" s="8">
        <f t="shared" si="392"/>
        <v>0.75140527070852359</v>
      </c>
      <c r="AH1472" s="8">
        <f t="shared" si="393"/>
        <v>0.19366122672645419</v>
      </c>
      <c r="AI1472" s="8">
        <f t="shared" si="394"/>
        <v>0.63078161705478963</v>
      </c>
      <c r="AJ1472" s="8"/>
      <c r="AK1472" s="8"/>
      <c r="AL1472" s="8"/>
      <c r="AN1472" s="8">
        <f t="shared" si="403"/>
        <v>1</v>
      </c>
      <c r="AO1472" s="8">
        <f t="shared" si="404"/>
        <v>0.25224255083917574</v>
      </c>
      <c r="AP1472" s="8">
        <f t="shared" si="405"/>
        <v>0.88823623725627876</v>
      </c>
      <c r="AQ1472" s="8"/>
      <c r="AR1472" s="8">
        <f t="shared" si="406"/>
        <v>14.452433576698871</v>
      </c>
      <c r="AS1472" s="8">
        <f t="shared" si="407"/>
        <v>39.107812394634372</v>
      </c>
    </row>
    <row r="1473" spans="1:45">
      <c r="A1473" s="20">
        <v>52.886166670000001</v>
      </c>
      <c r="B1473" s="20">
        <v>1736.264547</v>
      </c>
      <c r="C1473" s="20">
        <v>-409.23318039999998</v>
      </c>
      <c r="E1473" s="9">
        <f t="shared" si="396"/>
        <v>776.26454699999999</v>
      </c>
      <c r="F1473" s="9">
        <f t="shared" si="395"/>
        <v>130.76681960000002</v>
      </c>
      <c r="I1473">
        <v>1</v>
      </c>
      <c r="J1473">
        <f t="shared" si="397"/>
        <v>0.48283328298199618</v>
      </c>
      <c r="K1473">
        <f t="shared" si="398"/>
        <v>0.16688964351711341</v>
      </c>
      <c r="O1473">
        <f t="shared" si="399"/>
        <v>0.45783967546279386</v>
      </c>
      <c r="P1473">
        <f t="shared" si="400"/>
        <v>7.7126075740987968E-2</v>
      </c>
      <c r="Q1473">
        <f t="shared" si="401"/>
        <v>0.88568301328010068</v>
      </c>
      <c r="R1473">
        <f t="shared" si="402"/>
        <v>1</v>
      </c>
      <c r="AG1473" s="8">
        <f t="shared" si="392"/>
        <v>0.75146690818449957</v>
      </c>
      <c r="AH1473" s="8">
        <f t="shared" si="393"/>
        <v>0.19382840291277498</v>
      </c>
      <c r="AI1473" s="8">
        <f t="shared" si="394"/>
        <v>0.63065682912968757</v>
      </c>
      <c r="AJ1473" s="8"/>
      <c r="AK1473" s="8"/>
      <c r="AL1473" s="8"/>
      <c r="AN1473" s="8">
        <f t="shared" si="403"/>
        <v>1</v>
      </c>
      <c r="AO1473" s="8">
        <f t="shared" si="404"/>
        <v>0.25243132791117995</v>
      </c>
      <c r="AP1473" s="8">
        <f t="shared" si="405"/>
        <v>0.8883970441338469</v>
      </c>
      <c r="AQ1473" s="8"/>
      <c r="AR1473" s="8">
        <f t="shared" si="406"/>
        <v>14.463249706193549</v>
      </c>
      <c r="AS1473" s="8">
        <f t="shared" si="407"/>
        <v>39.098598839233041</v>
      </c>
    </row>
    <row r="1474" spans="1:45">
      <c r="A1474" s="20">
        <v>52.91953333</v>
      </c>
      <c r="B1474" s="20">
        <v>1736.859641</v>
      </c>
      <c r="C1474" s="20">
        <v>-409.33132210000002</v>
      </c>
      <c r="E1474" s="9">
        <f t="shared" si="396"/>
        <v>776.85964100000001</v>
      </c>
      <c r="F1474" s="9">
        <f t="shared" si="395"/>
        <v>130.66867789999998</v>
      </c>
      <c r="I1474">
        <v>1</v>
      </c>
      <c r="J1474">
        <f t="shared" si="397"/>
        <v>0.48313395826977301</v>
      </c>
      <c r="K1474">
        <f t="shared" si="398"/>
        <v>0.16664130680189568</v>
      </c>
      <c r="O1474">
        <f t="shared" si="399"/>
        <v>0.45812140789693923</v>
      </c>
      <c r="P1474">
        <f t="shared" si="400"/>
        <v>7.7056543458124696E-2</v>
      </c>
      <c r="Q1474">
        <f t="shared" si="401"/>
        <v>0.88554337258928906</v>
      </c>
      <c r="R1474">
        <f t="shared" si="402"/>
        <v>1</v>
      </c>
      <c r="AG1474" s="8">
        <f t="shared" si="392"/>
        <v>0.75149838383760692</v>
      </c>
      <c r="AH1474" s="8">
        <f t="shared" si="393"/>
        <v>0.19412226849278558</v>
      </c>
      <c r="AI1474" s="8">
        <f t="shared" si="394"/>
        <v>0.6305289239715175</v>
      </c>
      <c r="AJ1474" s="8"/>
      <c r="AK1474" s="8"/>
      <c r="AL1474" s="8"/>
      <c r="AN1474" s="8">
        <f t="shared" si="403"/>
        <v>1</v>
      </c>
      <c r="AO1474" s="8">
        <f t="shared" si="404"/>
        <v>0.25278781243970994</v>
      </c>
      <c r="AP1474" s="8">
        <f t="shared" si="405"/>
        <v>0.88856184620190992</v>
      </c>
      <c r="AQ1474" s="8"/>
      <c r="AR1474" s="8">
        <f t="shared" si="406"/>
        <v>14.48367476514003</v>
      </c>
      <c r="AS1474" s="8">
        <f t="shared" si="407"/>
        <v>39.089156376278005</v>
      </c>
    </row>
    <row r="1475" spans="1:45">
      <c r="A1475" s="20">
        <v>52.9529</v>
      </c>
      <c r="B1475" s="20">
        <v>1737.0436070000001</v>
      </c>
      <c r="C1475" s="20">
        <v>-409.37121029999997</v>
      </c>
      <c r="E1475" s="9">
        <f t="shared" si="396"/>
        <v>777.04360700000007</v>
      </c>
      <c r="F1475" s="9">
        <f t="shared" si="395"/>
        <v>130.62878970000003</v>
      </c>
      <c r="I1475">
        <v>1</v>
      </c>
      <c r="J1475">
        <f t="shared" si="397"/>
        <v>0.48322606064415069</v>
      </c>
      <c r="K1475">
        <f t="shared" si="398"/>
        <v>0.16655265834732033</v>
      </c>
      <c r="O1475">
        <f t="shared" si="399"/>
        <v>0.45820866711941383</v>
      </c>
      <c r="P1475">
        <f t="shared" si="400"/>
        <v>7.7029452500030945E-2</v>
      </c>
      <c r="Q1475">
        <f t="shared" si="401"/>
        <v>0.88550058205751381</v>
      </c>
      <c r="R1475">
        <f t="shared" si="402"/>
        <v>1</v>
      </c>
      <c r="AG1475" s="8">
        <f t="shared" si="392"/>
        <v>0.75151179225211717</v>
      </c>
      <c r="AH1475" s="8">
        <f t="shared" si="393"/>
        <v>0.19421221952210277</v>
      </c>
      <c r="AI1475" s="8">
        <f t="shared" si="394"/>
        <v>0.63048524161498753</v>
      </c>
      <c r="AJ1475" s="8"/>
      <c r="AK1475" s="8"/>
      <c r="AL1475" s="8"/>
      <c r="AN1475" s="8">
        <f t="shared" si="403"/>
        <v>1</v>
      </c>
      <c r="AO1475" s="8">
        <f t="shared" si="404"/>
        <v>0.25289569527550487</v>
      </c>
      <c r="AP1475" s="8">
        <f t="shared" si="405"/>
        <v>0.88861812459072587</v>
      </c>
      <c r="AQ1475" s="8"/>
      <c r="AR1475" s="8">
        <f t="shared" si="406"/>
        <v>14.489855996312983</v>
      </c>
      <c r="AS1475" s="8">
        <f t="shared" si="407"/>
        <v>39.085931862121051</v>
      </c>
    </row>
    <row r="1476" spans="1:45">
      <c r="A1476" s="20">
        <v>52.986266669999999</v>
      </c>
      <c r="B1476" s="20">
        <v>1737.5788379999999</v>
      </c>
      <c r="C1476" s="20">
        <v>-409.557298</v>
      </c>
      <c r="E1476" s="9">
        <f t="shared" si="396"/>
        <v>777.57883799999991</v>
      </c>
      <c r="F1476" s="9">
        <f t="shared" si="395"/>
        <v>130.442702</v>
      </c>
      <c r="I1476">
        <v>1</v>
      </c>
      <c r="J1476">
        <f t="shared" si="397"/>
        <v>0.48348788764332518</v>
      </c>
      <c r="K1476">
        <f t="shared" si="398"/>
        <v>0.16620736409489997</v>
      </c>
      <c r="O1476">
        <f t="shared" si="399"/>
        <v>0.4584638748595844</v>
      </c>
      <c r="P1476">
        <f t="shared" si="400"/>
        <v>7.6909586119773068E-2</v>
      </c>
      <c r="Q1476">
        <f t="shared" si="401"/>
        <v>0.88537889686372162</v>
      </c>
      <c r="R1476">
        <f t="shared" si="402"/>
        <v>1</v>
      </c>
      <c r="AG1476" s="8">
        <f t="shared" si="392"/>
        <v>0.751577852304398</v>
      </c>
      <c r="AH1476" s="8">
        <f t="shared" si="393"/>
        <v>0.19446747250678853</v>
      </c>
      <c r="AI1476" s="8">
        <f t="shared" si="394"/>
        <v>0.63032779889699464</v>
      </c>
      <c r="AJ1476" s="8"/>
      <c r="AK1476" s="8"/>
      <c r="AL1476" s="8"/>
      <c r="AN1476" s="8">
        <f t="shared" si="403"/>
        <v>1</v>
      </c>
      <c r="AO1476" s="8">
        <f t="shared" si="404"/>
        <v>0.25319274081679383</v>
      </c>
      <c r="AP1476" s="8">
        <f t="shared" si="405"/>
        <v>0.88882094538472733</v>
      </c>
      <c r="AQ1476" s="8"/>
      <c r="AR1476" s="8">
        <f t="shared" si="406"/>
        <v>14.506875452152018</v>
      </c>
      <c r="AS1476" s="8">
        <f t="shared" si="407"/>
        <v>39.074311086627276</v>
      </c>
    </row>
    <row r="1477" spans="1:45">
      <c r="A1477" s="20">
        <v>53.019633329999998</v>
      </c>
      <c r="B1477" s="20">
        <v>1738.130858</v>
      </c>
      <c r="C1477" s="20">
        <v>-410.19202719999998</v>
      </c>
      <c r="E1477" s="9">
        <f t="shared" si="396"/>
        <v>778.13085799999999</v>
      </c>
      <c r="F1477" s="9">
        <f t="shared" si="395"/>
        <v>129.80797280000002</v>
      </c>
      <c r="I1477">
        <v>1</v>
      </c>
      <c r="J1477">
        <f t="shared" si="397"/>
        <v>0.48371947386197806</v>
      </c>
      <c r="K1477">
        <f t="shared" si="398"/>
        <v>0.16529809179017721</v>
      </c>
      <c r="O1477">
        <f t="shared" si="399"/>
        <v>0.45873585148624052</v>
      </c>
      <c r="P1477">
        <f t="shared" si="400"/>
        <v>7.6526422670299438E-2</v>
      </c>
      <c r="Q1477">
        <f t="shared" si="401"/>
        <v>0.88527121561388211</v>
      </c>
      <c r="R1477">
        <f t="shared" si="402"/>
        <v>1</v>
      </c>
      <c r="AG1477" s="8">
        <f t="shared" si="392"/>
        <v>0.75181715850765007</v>
      </c>
      <c r="AH1477" s="8">
        <f t="shared" si="393"/>
        <v>0.1946902308794996</v>
      </c>
      <c r="AI1477" s="8">
        <f t="shared" si="394"/>
        <v>0.62997355037618064</v>
      </c>
      <c r="AJ1477" s="8"/>
      <c r="AK1477" s="8"/>
      <c r="AL1477" s="8"/>
      <c r="AN1477" s="8">
        <f t="shared" si="403"/>
        <v>1.0000000000000002</v>
      </c>
      <c r="AO1477" s="8">
        <f t="shared" si="404"/>
        <v>0.25339324002349939</v>
      </c>
      <c r="AP1477" s="8">
        <f t="shared" si="405"/>
        <v>0.88927717320784838</v>
      </c>
      <c r="AQ1477" s="8"/>
      <c r="AR1477" s="8">
        <f t="shared" si="406"/>
        <v>14.518363210491968</v>
      </c>
      <c r="AS1477" s="8">
        <f t="shared" si="407"/>
        <v>39.048171157866001</v>
      </c>
    </row>
    <row r="1478" spans="1:45">
      <c r="A1478" s="20">
        <v>53.052999999999997</v>
      </c>
      <c r="B1478" s="20">
        <v>1738.929864</v>
      </c>
      <c r="C1478" s="20">
        <v>-410.5534945</v>
      </c>
      <c r="E1478" s="9">
        <f t="shared" si="396"/>
        <v>778.92986399999995</v>
      </c>
      <c r="F1478" s="9">
        <f t="shared" si="395"/>
        <v>129.4465055</v>
      </c>
      <c r="I1478">
        <v>1</v>
      </c>
      <c r="J1478">
        <f t="shared" si="397"/>
        <v>0.48410317476564768</v>
      </c>
      <c r="K1478">
        <f t="shared" si="398"/>
        <v>0.16468004972434597</v>
      </c>
      <c r="O1478">
        <f t="shared" si="399"/>
        <v>0.45911811043270384</v>
      </c>
      <c r="P1478">
        <f t="shared" si="400"/>
        <v>7.6298570325808709E-2</v>
      </c>
      <c r="Q1478">
        <f t="shared" si="401"/>
        <v>0.88509270070368407</v>
      </c>
      <c r="R1478">
        <f t="shared" si="402"/>
        <v>1</v>
      </c>
      <c r="AG1478" s="8">
        <f t="shared" si="392"/>
        <v>0.75194775236648259</v>
      </c>
      <c r="AH1478" s="8">
        <f t="shared" si="393"/>
        <v>0.19506335580958634</v>
      </c>
      <c r="AI1478" s="8">
        <f t="shared" si="394"/>
        <v>0.62970220337179839</v>
      </c>
      <c r="AJ1478" s="8"/>
      <c r="AK1478" s="8"/>
      <c r="AL1478" s="8"/>
      <c r="AN1478" s="8">
        <f t="shared" si="403"/>
        <v>1</v>
      </c>
      <c r="AO1478" s="8">
        <f t="shared" si="404"/>
        <v>0.25381607212236634</v>
      </c>
      <c r="AP1478" s="8">
        <f t="shared" si="405"/>
        <v>0.88962652006941345</v>
      </c>
      <c r="AQ1478" s="8"/>
      <c r="AR1478" s="8">
        <f t="shared" si="406"/>
        <v>14.542589705199703</v>
      </c>
      <c r="AS1478" s="8">
        <f t="shared" si="407"/>
        <v>39.02815505711218</v>
      </c>
    </row>
    <row r="1479" spans="1:45">
      <c r="A1479" s="20">
        <v>53.086366669999997</v>
      </c>
      <c r="B1479" s="20">
        <v>1739.2018559999999</v>
      </c>
      <c r="C1479" s="20">
        <v>-410.90208469999999</v>
      </c>
      <c r="E1479" s="9">
        <f t="shared" si="396"/>
        <v>779.20185599999991</v>
      </c>
      <c r="F1479" s="9">
        <f t="shared" si="395"/>
        <v>129.09791530000001</v>
      </c>
      <c r="I1479">
        <v>1</v>
      </c>
      <c r="J1479">
        <f t="shared" si="397"/>
        <v>0.48421437364422837</v>
      </c>
      <c r="K1479">
        <f t="shared" si="398"/>
        <v>0.16418821406145229</v>
      </c>
      <c r="O1479">
        <f t="shared" si="399"/>
        <v>0.45925267610297055</v>
      </c>
      <c r="P1479">
        <f t="shared" si="400"/>
        <v>7.6088837089268488E-2</v>
      </c>
      <c r="Q1479">
        <f t="shared" si="401"/>
        <v>0.88504094163076019</v>
      </c>
      <c r="R1479">
        <f t="shared" si="402"/>
        <v>1</v>
      </c>
      <c r="AG1479" s="8">
        <f t="shared" si="392"/>
        <v>0.75207932306553127</v>
      </c>
      <c r="AH1479" s="8">
        <f t="shared" si="393"/>
        <v>0.19516974388162833</v>
      </c>
      <c r="AI1479" s="8">
        <f t="shared" si="394"/>
        <v>0.62951208319655927</v>
      </c>
      <c r="AJ1479" s="8"/>
      <c r="AK1479" s="8"/>
      <c r="AL1479" s="8"/>
      <c r="AN1479" s="8">
        <f t="shared" si="403"/>
        <v>1</v>
      </c>
      <c r="AO1479" s="8">
        <f t="shared" si="404"/>
        <v>0.25390608888106125</v>
      </c>
      <c r="AP1479" s="8">
        <f t="shared" si="405"/>
        <v>0.88987123217174458</v>
      </c>
      <c r="AQ1479" s="8"/>
      <c r="AR1479" s="8">
        <f t="shared" si="406"/>
        <v>14.547747285558369</v>
      </c>
      <c r="AS1479" s="8">
        <f t="shared" si="407"/>
        <v>39.014134086452835</v>
      </c>
    </row>
    <row r="1480" spans="1:45">
      <c r="A1480" s="20">
        <v>53.119733330000003</v>
      </c>
      <c r="B1480" s="20">
        <v>1739.3437489999999</v>
      </c>
      <c r="C1480" s="20">
        <v>-411.10328099999998</v>
      </c>
      <c r="E1480" s="9">
        <f t="shared" si="396"/>
        <v>779.34374899999989</v>
      </c>
      <c r="F1480" s="9">
        <f t="shared" si="395"/>
        <v>128.89671900000002</v>
      </c>
      <c r="I1480">
        <v>1</v>
      </c>
      <c r="J1480">
        <f t="shared" si="397"/>
        <v>0.48427075749471959</v>
      </c>
      <c r="K1480">
        <f t="shared" si="398"/>
        <v>0.16390757802673114</v>
      </c>
      <c r="O1480">
        <f t="shared" si="399"/>
        <v>0.45932324374692635</v>
      </c>
      <c r="P1480">
        <f t="shared" si="400"/>
        <v>7.5968093867929506E-2</v>
      </c>
      <c r="Q1480">
        <f t="shared" si="401"/>
        <v>0.88501469279773826</v>
      </c>
      <c r="R1480">
        <f t="shared" si="402"/>
        <v>1</v>
      </c>
      <c r="AG1480" s="8">
        <f t="shared" si="392"/>
        <v>0.75215540982687656</v>
      </c>
      <c r="AH1480" s="8">
        <f t="shared" si="393"/>
        <v>0.19522346924284423</v>
      </c>
      <c r="AI1480" s="8">
        <f t="shared" si="394"/>
        <v>0.62940450945711501</v>
      </c>
      <c r="AJ1480" s="8"/>
      <c r="AK1480" s="8"/>
      <c r="AL1480" s="8"/>
      <c r="AN1480" s="8">
        <f t="shared" si="403"/>
        <v>1</v>
      </c>
      <c r="AO1480" s="8">
        <f t="shared" si="404"/>
        <v>0.25394841523253336</v>
      </c>
      <c r="AP1480" s="8">
        <f t="shared" si="405"/>
        <v>0.89000967360756078</v>
      </c>
      <c r="AQ1480" s="8"/>
      <c r="AR1480" s="8">
        <f t="shared" si="406"/>
        <v>14.550172406859907</v>
      </c>
      <c r="AS1480" s="8">
        <f t="shared" si="407"/>
        <v>39.006201976470834</v>
      </c>
    </row>
    <row r="1481" spans="1:45">
      <c r="A1481" s="20">
        <v>53.153100000000002</v>
      </c>
      <c r="B1481" s="20">
        <v>1740.2494799999999</v>
      </c>
      <c r="C1481" s="20">
        <v>-410.05197509999999</v>
      </c>
      <c r="E1481" s="9">
        <f t="shared" si="396"/>
        <v>780.24947999999995</v>
      </c>
      <c r="F1481" s="9">
        <f t="shared" si="395"/>
        <v>129.94802490000001</v>
      </c>
      <c r="I1481">
        <v>1</v>
      </c>
      <c r="J1481">
        <f t="shared" si="397"/>
        <v>0.48483143775476201</v>
      </c>
      <c r="K1481">
        <f t="shared" si="398"/>
        <v>0.16503201171262918</v>
      </c>
      <c r="O1481">
        <f t="shared" si="399"/>
        <v>0.45972692840633311</v>
      </c>
      <c r="P1481">
        <f t="shared" si="400"/>
        <v>7.6566031597671419E-2</v>
      </c>
      <c r="Q1481">
        <f t="shared" si="401"/>
        <v>0.88475352166773691</v>
      </c>
      <c r="R1481">
        <f t="shared" si="402"/>
        <v>1</v>
      </c>
      <c r="AG1481" s="8">
        <f t="shared" si="392"/>
        <v>0.75173848643069741</v>
      </c>
      <c r="AH1481" s="8">
        <f t="shared" si="393"/>
        <v>0.19577937302840792</v>
      </c>
      <c r="AI1481" s="8">
        <f t="shared" si="394"/>
        <v>0.62972985090075528</v>
      </c>
      <c r="AJ1481" s="8"/>
      <c r="AK1481" s="8"/>
      <c r="AL1481" s="8"/>
      <c r="AN1481" s="8">
        <f t="shared" si="403"/>
        <v>0.99999999999999978</v>
      </c>
      <c r="AO1481" s="8">
        <f t="shared" si="404"/>
        <v>0.25477592020989259</v>
      </c>
      <c r="AP1481" s="8">
        <f t="shared" si="405"/>
        <v>0.88959092966720388</v>
      </c>
      <c r="AQ1481" s="8"/>
      <c r="AR1481" s="8">
        <f t="shared" si="406"/>
        <v>14.597584949588661</v>
      </c>
      <c r="AS1481" s="8">
        <f t="shared" si="407"/>
        <v>39.03019423694996</v>
      </c>
    </row>
    <row r="1482" spans="1:45">
      <c r="A1482" s="20">
        <v>53.186466670000001</v>
      </c>
      <c r="B1482" s="20">
        <v>1740.624585</v>
      </c>
      <c r="C1482" s="20">
        <v>-411.0996518</v>
      </c>
      <c r="E1482" s="9">
        <f t="shared" si="396"/>
        <v>780.62458500000002</v>
      </c>
      <c r="F1482" s="9">
        <f t="shared" si="395"/>
        <v>128.9003482</v>
      </c>
      <c r="I1482">
        <v>1</v>
      </c>
      <c r="J1482">
        <f t="shared" si="397"/>
        <v>0.48493592055951801</v>
      </c>
      <c r="K1482">
        <f t="shared" si="398"/>
        <v>0.16364794630139159</v>
      </c>
      <c r="O1482">
        <f t="shared" si="399"/>
        <v>0.45992366439085752</v>
      </c>
      <c r="P1482">
        <f t="shared" si="400"/>
        <v>7.59447263442279E-2</v>
      </c>
      <c r="Q1482">
        <f t="shared" si="401"/>
        <v>0.88470482166301445</v>
      </c>
      <c r="R1482">
        <f t="shared" si="402"/>
        <v>1</v>
      </c>
      <c r="AG1482" s="8">
        <f t="shared" si="392"/>
        <v>0.75213883639630263</v>
      </c>
      <c r="AH1482" s="8">
        <f t="shared" si="393"/>
        <v>0.19587425494871696</v>
      </c>
      <c r="AI1482" s="8">
        <f t="shared" si="394"/>
        <v>0.62922209674541862</v>
      </c>
      <c r="AJ1482" s="8"/>
      <c r="AK1482" s="8"/>
      <c r="AL1482" s="8"/>
      <c r="AN1482" s="8">
        <f t="shared" si="403"/>
        <v>1</v>
      </c>
      <c r="AO1482" s="8">
        <f t="shared" si="404"/>
        <v>0.25476423696513328</v>
      </c>
      <c r="AP1482" s="8">
        <f t="shared" si="405"/>
        <v>0.89024439317734116</v>
      </c>
      <c r="AQ1482" s="8"/>
      <c r="AR1482" s="8">
        <f t="shared" si="406"/>
        <v>14.596915548972934</v>
      </c>
      <c r="AS1482" s="8">
        <f t="shared" si="407"/>
        <v>38.992753535753295</v>
      </c>
    </row>
    <row r="1483" spans="1:45">
      <c r="A1483" s="20">
        <v>53.21983333</v>
      </c>
      <c r="B1483" s="20">
        <v>1740.8780509999999</v>
      </c>
      <c r="C1483" s="20">
        <v>-411.3304746</v>
      </c>
      <c r="E1483" s="9">
        <f t="shared" si="396"/>
        <v>780.87805099999991</v>
      </c>
      <c r="F1483" s="9">
        <f t="shared" si="395"/>
        <v>128.6695254</v>
      </c>
      <c r="I1483">
        <v>1</v>
      </c>
      <c r="J1483">
        <f t="shared" si="397"/>
        <v>0.48504768608085641</v>
      </c>
      <c r="K1483">
        <f t="shared" si="398"/>
        <v>0.1633080037492842</v>
      </c>
      <c r="O1483">
        <f t="shared" si="399"/>
        <v>0.4600470156767581</v>
      </c>
      <c r="P1483">
        <f t="shared" si="400"/>
        <v>7.5804449994477843E-2</v>
      </c>
      <c r="Q1483">
        <f t="shared" si="401"/>
        <v>0.88465271645315335</v>
      </c>
      <c r="R1483">
        <f t="shared" si="402"/>
        <v>1</v>
      </c>
      <c r="AG1483" s="8">
        <f t="shared" si="392"/>
        <v>0.7522249363135296</v>
      </c>
      <c r="AH1483" s="8">
        <f t="shared" si="393"/>
        <v>0.19598185447833488</v>
      </c>
      <c r="AI1483" s="8">
        <f t="shared" si="394"/>
        <v>0.62908565227903512</v>
      </c>
      <c r="AJ1483" s="8"/>
      <c r="AK1483" s="8"/>
      <c r="AL1483" s="8"/>
      <c r="AN1483" s="8">
        <f t="shared" si="403"/>
        <v>1</v>
      </c>
      <c r="AO1483" s="8">
        <f t="shared" si="404"/>
        <v>0.25487027585596367</v>
      </c>
      <c r="AP1483" s="8">
        <f t="shared" si="405"/>
        <v>0.89041993394897001</v>
      </c>
      <c r="AQ1483" s="8"/>
      <c r="AR1483" s="8">
        <f t="shared" si="406"/>
        <v>14.602991129881763</v>
      </c>
      <c r="AS1483" s="8">
        <f t="shared" si="407"/>
        <v>38.982695790406488</v>
      </c>
    </row>
    <row r="1484" spans="1:45">
      <c r="A1484" s="20">
        <v>53.2532</v>
      </c>
      <c r="B1484" s="20">
        <v>1741.103241</v>
      </c>
      <c r="C1484" s="20">
        <v>-411.57267910000002</v>
      </c>
      <c r="E1484" s="9">
        <f t="shared" si="396"/>
        <v>781.10324100000003</v>
      </c>
      <c r="F1484" s="9">
        <f t="shared" si="395"/>
        <v>128.42732089999998</v>
      </c>
      <c r="I1484">
        <v>1</v>
      </c>
      <c r="J1484">
        <f t="shared" si="397"/>
        <v>0.48514384471772282</v>
      </c>
      <c r="K1484">
        <f t="shared" si="398"/>
        <v>0.1629598515778139</v>
      </c>
      <c r="O1484">
        <f t="shared" si="399"/>
        <v>0.460157317132591</v>
      </c>
      <c r="P1484">
        <f t="shared" si="400"/>
        <v>7.5658079918106913E-2</v>
      </c>
      <c r="Q1484">
        <f t="shared" si="401"/>
        <v>0.88460787834635601</v>
      </c>
      <c r="R1484">
        <f t="shared" si="402"/>
        <v>1</v>
      </c>
      <c r="AG1484" s="8">
        <f t="shared" si="392"/>
        <v>0.75231573535542384</v>
      </c>
      <c r="AH1484" s="8">
        <f t="shared" si="393"/>
        <v>0.19607404650445182</v>
      </c>
      <c r="AI1484" s="8">
        <f t="shared" si="394"/>
        <v>0.62894833064727806</v>
      </c>
      <c r="AJ1484" s="8"/>
      <c r="AK1484" s="8"/>
      <c r="AL1484" s="8"/>
      <c r="AN1484" s="8">
        <f t="shared" si="403"/>
        <v>0.99999999999999989</v>
      </c>
      <c r="AO1484" s="8">
        <f t="shared" si="404"/>
        <v>0.25495558276929259</v>
      </c>
      <c r="AP1484" s="8">
        <f t="shared" si="405"/>
        <v>0.89059657805065728</v>
      </c>
      <c r="AQ1484" s="8"/>
      <c r="AR1484" s="8">
        <f t="shared" si="406"/>
        <v>14.607878855978798</v>
      </c>
      <c r="AS1484" s="8">
        <f t="shared" si="407"/>
        <v>38.97257482890393</v>
      </c>
    </row>
    <row r="1485" spans="1:45">
      <c r="A1485" s="20">
        <v>53.286566669999999</v>
      </c>
      <c r="B1485" s="20">
        <v>1741.934049</v>
      </c>
      <c r="C1485" s="20">
        <v>-412.17478679999999</v>
      </c>
      <c r="E1485" s="9">
        <f t="shared" si="396"/>
        <v>781.93404899999996</v>
      </c>
      <c r="F1485" s="9">
        <f t="shared" si="395"/>
        <v>127.82521320000001</v>
      </c>
      <c r="I1485">
        <v>1</v>
      </c>
      <c r="J1485">
        <f t="shared" si="397"/>
        <v>0.48552365157497124</v>
      </c>
      <c r="K1485">
        <f t="shared" si="398"/>
        <v>0.16203986100608792</v>
      </c>
      <c r="O1485">
        <f t="shared" si="399"/>
        <v>0.46055827278571998</v>
      </c>
      <c r="P1485">
        <f t="shared" si="400"/>
        <v>7.5288906379185463E-2</v>
      </c>
      <c r="Q1485">
        <f t="shared" si="401"/>
        <v>0.88443069708420941</v>
      </c>
      <c r="R1485">
        <f t="shared" si="402"/>
        <v>1</v>
      </c>
      <c r="AG1485" s="8">
        <f t="shared" si="392"/>
        <v>0.75253796098860815</v>
      </c>
      <c r="AH1485" s="8">
        <f t="shared" si="393"/>
        <v>0.19644063802178852</v>
      </c>
      <c r="AI1485" s="8">
        <f t="shared" si="394"/>
        <v>0.62856797007539345</v>
      </c>
      <c r="AJ1485" s="8"/>
      <c r="AK1485" s="8"/>
      <c r="AL1485" s="8"/>
      <c r="AN1485" s="8">
        <f t="shared" si="403"/>
        <v>1</v>
      </c>
      <c r="AO1485" s="8">
        <f t="shared" si="404"/>
        <v>0.25533963116191816</v>
      </c>
      <c r="AP1485" s="8">
        <f t="shared" si="405"/>
        <v>0.89108572431334276</v>
      </c>
      <c r="AQ1485" s="8"/>
      <c r="AR1485" s="8">
        <f t="shared" si="406"/>
        <v>14.629883208005028</v>
      </c>
      <c r="AS1485" s="8">
        <f t="shared" si="407"/>
        <v>38.944548812487454</v>
      </c>
    </row>
    <row r="1486" spans="1:45">
      <c r="A1486" s="20">
        <v>53.319933329999998</v>
      </c>
      <c r="B1486" s="20">
        <v>1742.726128</v>
      </c>
      <c r="C1486" s="20">
        <v>-412.18324669999998</v>
      </c>
      <c r="E1486" s="9">
        <f t="shared" si="396"/>
        <v>782.72612800000002</v>
      </c>
      <c r="F1486" s="9">
        <f t="shared" si="395"/>
        <v>127.81675330000002</v>
      </c>
      <c r="I1486">
        <v>1</v>
      </c>
      <c r="J1486">
        <f t="shared" si="397"/>
        <v>0.48593372976631544</v>
      </c>
      <c r="K1486">
        <f t="shared" si="398"/>
        <v>0.16186820846774611</v>
      </c>
      <c r="O1486">
        <f t="shared" si="399"/>
        <v>0.46092909548067507</v>
      </c>
      <c r="P1486">
        <f t="shared" si="400"/>
        <v>7.5268294207045547E-2</v>
      </c>
      <c r="Q1486">
        <f t="shared" si="401"/>
        <v>0.88423925089679678</v>
      </c>
      <c r="R1486">
        <f t="shared" si="402"/>
        <v>1</v>
      </c>
      <c r="AG1486" s="8">
        <f t="shared" si="392"/>
        <v>0.75253137264177872</v>
      </c>
      <c r="AH1486" s="8">
        <f t="shared" si="393"/>
        <v>0.19684154479257537</v>
      </c>
      <c r="AI1486" s="8">
        <f t="shared" si="394"/>
        <v>0.62845042718861521</v>
      </c>
      <c r="AJ1486" s="8"/>
      <c r="AK1486" s="8"/>
      <c r="AL1486" s="8"/>
      <c r="AN1486" s="8">
        <f t="shared" si="403"/>
        <v>1</v>
      </c>
      <c r="AO1486" s="8">
        <f t="shared" si="404"/>
        <v>0.25584046376647029</v>
      </c>
      <c r="AP1486" s="8">
        <f t="shared" si="405"/>
        <v>0.89123684614663656</v>
      </c>
      <c r="AQ1486" s="8"/>
      <c r="AR1486" s="8">
        <f t="shared" si="406"/>
        <v>14.658578802488408</v>
      </c>
      <c r="AS1486" s="8">
        <f t="shared" si="407"/>
        <v>38.935890169247436</v>
      </c>
    </row>
    <row r="1487" spans="1:45">
      <c r="A1487" s="20">
        <v>53.353299999999997</v>
      </c>
      <c r="B1487" s="20">
        <v>1743.033392</v>
      </c>
      <c r="C1487" s="20">
        <v>-412.55606610000001</v>
      </c>
      <c r="E1487" s="9">
        <f t="shared" si="396"/>
        <v>783.03339200000005</v>
      </c>
      <c r="F1487" s="9">
        <f t="shared" si="395"/>
        <v>127.44393389999999</v>
      </c>
      <c r="I1487">
        <v>1</v>
      </c>
      <c r="J1487">
        <f t="shared" si="397"/>
        <v>0.4860615354435569</v>
      </c>
      <c r="K1487">
        <f t="shared" si="398"/>
        <v>0.16134199404130475</v>
      </c>
      <c r="O1487">
        <f t="shared" si="399"/>
        <v>0.46108017823880681</v>
      </c>
      <c r="P1487">
        <f t="shared" si="400"/>
        <v>7.504389002872397E-2</v>
      </c>
      <c r="Q1487">
        <f t="shared" si="401"/>
        <v>0.8841795540525843</v>
      </c>
      <c r="R1487">
        <f t="shared" si="402"/>
        <v>1</v>
      </c>
      <c r="AG1487" s="8">
        <f t="shared" si="392"/>
        <v>0.75267130908914393</v>
      </c>
      <c r="AH1487" s="8">
        <f t="shared" si="393"/>
        <v>0.19696330610205387</v>
      </c>
      <c r="AI1487" s="8">
        <f t="shared" si="394"/>
        <v>0.62824466294858627</v>
      </c>
      <c r="AJ1487" s="8"/>
      <c r="AK1487" s="8"/>
      <c r="AL1487" s="8"/>
      <c r="AN1487" s="8">
        <f t="shared" si="403"/>
        <v>0.99999999999999978</v>
      </c>
      <c r="AO1487" s="8">
        <f t="shared" si="404"/>
        <v>0.2559463561771293</v>
      </c>
      <c r="AP1487" s="8">
        <f t="shared" si="405"/>
        <v>0.89150134747012288</v>
      </c>
      <c r="AQ1487" s="8"/>
      <c r="AR1487" s="8">
        <f t="shared" si="406"/>
        <v>14.664645990701636</v>
      </c>
      <c r="AS1487" s="8">
        <f t="shared" si="407"/>
        <v>38.920735359736049</v>
      </c>
    </row>
    <row r="1488" spans="1:45">
      <c r="A1488" s="20">
        <v>53.386666669999997</v>
      </c>
      <c r="B1488" s="20">
        <v>1743.516153</v>
      </c>
      <c r="C1488" s="20">
        <v>-413.15620840000003</v>
      </c>
      <c r="E1488" s="9">
        <f t="shared" si="396"/>
        <v>783.51615300000003</v>
      </c>
      <c r="F1488" s="9">
        <f t="shared" si="395"/>
        <v>126.84379159999997</v>
      </c>
      <c r="I1488">
        <v>1</v>
      </c>
      <c r="J1488">
        <f t="shared" si="397"/>
        <v>0.48626133004566396</v>
      </c>
      <c r="K1488">
        <f t="shared" si="398"/>
        <v>0.16049799032677872</v>
      </c>
      <c r="O1488">
        <f t="shared" si="399"/>
        <v>0.46131772603435373</v>
      </c>
      <c r="P1488">
        <f t="shared" si="400"/>
        <v>7.4682939564728365E-2</v>
      </c>
      <c r="Q1488">
        <f t="shared" si="401"/>
        <v>0.88408620291488771</v>
      </c>
      <c r="R1488">
        <f t="shared" si="402"/>
        <v>1</v>
      </c>
      <c r="AG1488" s="8">
        <f t="shared" si="392"/>
        <v>0.75289656236245017</v>
      </c>
      <c r="AH1488" s="8">
        <f t="shared" si="393"/>
        <v>0.19715323927254758</v>
      </c>
      <c r="AI1488" s="8">
        <f t="shared" si="394"/>
        <v>0.62791509507826504</v>
      </c>
      <c r="AJ1488" s="8"/>
      <c r="AK1488" s="8"/>
      <c r="AL1488" s="8"/>
      <c r="AN1488" s="8">
        <f t="shared" si="403"/>
        <v>0.99999999999999989</v>
      </c>
      <c r="AO1488" s="8">
        <f t="shared" si="404"/>
        <v>0.25610917711616732</v>
      </c>
      <c r="AP1488" s="8">
        <f t="shared" si="405"/>
        <v>0.89192487552477007</v>
      </c>
      <c r="AQ1488" s="8"/>
      <c r="AR1488" s="8">
        <f t="shared" si="406"/>
        <v>14.673974943324872</v>
      </c>
      <c r="AS1488" s="8">
        <f t="shared" si="407"/>
        <v>38.896468989699379</v>
      </c>
    </row>
    <row r="1489" spans="1:45">
      <c r="A1489" s="20">
        <v>53.420033330000003</v>
      </c>
      <c r="B1489" s="20">
        <v>1743.914162</v>
      </c>
      <c r="C1489" s="20">
        <v>-413.11445780000003</v>
      </c>
      <c r="E1489" s="9">
        <f t="shared" si="396"/>
        <v>783.91416200000003</v>
      </c>
      <c r="F1489" s="9">
        <f t="shared" si="395"/>
        <v>126.88554219999997</v>
      </c>
      <c r="I1489">
        <v>1</v>
      </c>
      <c r="J1489">
        <f t="shared" si="397"/>
        <v>0.48647116580571537</v>
      </c>
      <c r="K1489">
        <f t="shared" si="398"/>
        <v>0.1604697932985365</v>
      </c>
      <c r="O1489">
        <f t="shared" si="399"/>
        <v>0.46150295102178673</v>
      </c>
      <c r="P1489">
        <f t="shared" si="400"/>
        <v>7.4699571720837771E-2</v>
      </c>
      <c r="Q1489">
        <f t="shared" si="401"/>
        <v>0.88398812219560152</v>
      </c>
      <c r="R1489">
        <f t="shared" si="402"/>
        <v>1</v>
      </c>
      <c r="AG1489" s="8">
        <f t="shared" si="392"/>
        <v>0.75287536611947203</v>
      </c>
      <c r="AH1489" s="8">
        <f t="shared" si="393"/>
        <v>0.19735872329936671</v>
      </c>
      <c r="AI1489" s="8">
        <f t="shared" si="394"/>
        <v>0.62787595703937815</v>
      </c>
      <c r="AJ1489" s="8"/>
      <c r="AK1489" s="8"/>
      <c r="AL1489" s="8"/>
      <c r="AN1489" s="8">
        <f t="shared" si="403"/>
        <v>1.0000000000000002</v>
      </c>
      <c r="AO1489" s="8">
        <f t="shared" si="404"/>
        <v>0.25637147651307352</v>
      </c>
      <c r="AP1489" s="8">
        <f t="shared" si="405"/>
        <v>0.8919751622494736</v>
      </c>
      <c r="AQ1489" s="8"/>
      <c r="AR1489" s="8">
        <f t="shared" si="406"/>
        <v>14.689003591736423</v>
      </c>
      <c r="AS1489" s="8">
        <f t="shared" si="407"/>
        <v>38.893587772608328</v>
      </c>
    </row>
    <row r="1490" spans="1:45">
      <c r="A1490" s="20">
        <v>53.453400000000002</v>
      </c>
      <c r="B1490" s="20">
        <v>1745.3142359999999</v>
      </c>
      <c r="C1490" s="20">
        <v>-413.1700065</v>
      </c>
      <c r="E1490" s="9">
        <f t="shared" si="396"/>
        <v>785.31423599999994</v>
      </c>
      <c r="F1490" s="9">
        <f t="shared" si="395"/>
        <v>126.8299935</v>
      </c>
      <c r="I1490">
        <v>1</v>
      </c>
      <c r="J1490">
        <f t="shared" si="397"/>
        <v>0.48719199746751374</v>
      </c>
      <c r="K1490">
        <f t="shared" si="398"/>
        <v>0.16011964226942055</v>
      </c>
      <c r="O1490">
        <f t="shared" si="399"/>
        <v>0.46215801451941196</v>
      </c>
      <c r="P1490">
        <f t="shared" si="400"/>
        <v>7.4639545917349101E-2</v>
      </c>
      <c r="Q1490">
        <f t="shared" si="401"/>
        <v>0.88365089701800614</v>
      </c>
      <c r="R1490">
        <f t="shared" si="402"/>
        <v>1</v>
      </c>
      <c r="AG1490" s="8">
        <f t="shared" si="392"/>
        <v>0.75287856285993171</v>
      </c>
      <c r="AH1490" s="8">
        <f t="shared" si="393"/>
        <v>0.19806267869032029</v>
      </c>
      <c r="AI1490" s="8">
        <f t="shared" si="394"/>
        <v>0.62765041615215922</v>
      </c>
      <c r="AJ1490" s="8"/>
      <c r="AK1490" s="8"/>
      <c r="AL1490" s="8"/>
      <c r="AN1490" s="8">
        <f t="shared" si="403"/>
        <v>0.99999999999999978</v>
      </c>
      <c r="AO1490" s="8">
        <f t="shared" si="404"/>
        <v>0.25724513251259207</v>
      </c>
      <c r="AP1490" s="8">
        <f t="shared" si="405"/>
        <v>0.89226490996265451</v>
      </c>
      <c r="AQ1490" s="8"/>
      <c r="AR1490" s="8">
        <f t="shared" si="406"/>
        <v>14.739060393255119</v>
      </c>
      <c r="AS1490" s="8">
        <f t="shared" si="407"/>
        <v>38.8769864515195</v>
      </c>
    </row>
    <row r="1491" spans="1:45">
      <c r="A1491" s="20">
        <v>53.486766670000002</v>
      </c>
      <c r="B1491" s="20">
        <v>1744.799131</v>
      </c>
      <c r="C1491" s="20">
        <v>-413.36740800000001</v>
      </c>
      <c r="E1491" s="9">
        <f t="shared" si="396"/>
        <v>784.79913099999999</v>
      </c>
      <c r="F1491" s="9">
        <f t="shared" si="395"/>
        <v>126.63259199999999</v>
      </c>
      <c r="I1491">
        <v>1</v>
      </c>
      <c r="J1491">
        <f t="shared" si="397"/>
        <v>0.48690862273032764</v>
      </c>
      <c r="K1491">
        <f t="shared" si="398"/>
        <v>0.15997780952695242</v>
      </c>
      <c r="O1491">
        <f t="shared" si="399"/>
        <v>0.46192137076708939</v>
      </c>
      <c r="P1491">
        <f t="shared" si="400"/>
        <v>7.4534104549651398E-2</v>
      </c>
      <c r="Q1491">
        <f t="shared" si="401"/>
        <v>0.88378352241238056</v>
      </c>
      <c r="R1491">
        <f t="shared" si="402"/>
        <v>1</v>
      </c>
      <c r="AG1491" s="8">
        <f t="shared" si="392"/>
        <v>0.75296136616147646</v>
      </c>
      <c r="AH1491" s="8">
        <f t="shared" si="393"/>
        <v>0.19778389402190549</v>
      </c>
      <c r="AI1491" s="8">
        <f t="shared" si="394"/>
        <v>0.62763899841690418</v>
      </c>
      <c r="AJ1491" s="8"/>
      <c r="AK1491" s="8"/>
      <c r="AL1491" s="8"/>
      <c r="AN1491" s="8">
        <f t="shared" si="403"/>
        <v>1</v>
      </c>
      <c r="AO1491" s="8">
        <f t="shared" si="404"/>
        <v>0.25687175288449637</v>
      </c>
      <c r="AP1491" s="8">
        <f t="shared" si="405"/>
        <v>0.8922795762908069</v>
      </c>
      <c r="AQ1491" s="8"/>
      <c r="AR1491" s="8">
        <f t="shared" si="406"/>
        <v>14.717667316409072</v>
      </c>
      <c r="AS1491" s="8">
        <f t="shared" si="407"/>
        <v>38.876146132815414</v>
      </c>
    </row>
    <row r="1492" spans="1:45">
      <c r="A1492" s="20">
        <v>53.52013333</v>
      </c>
      <c r="B1492" s="20">
        <v>1745.617628</v>
      </c>
      <c r="C1492" s="20">
        <v>-413.97993059999999</v>
      </c>
      <c r="E1492" s="9">
        <f t="shared" si="396"/>
        <v>785.61762799999997</v>
      </c>
      <c r="F1492" s="9">
        <f t="shared" si="395"/>
        <v>126.02006940000001</v>
      </c>
      <c r="I1492">
        <v>1</v>
      </c>
      <c r="J1492">
        <f t="shared" si="397"/>
        <v>0.48728163024592136</v>
      </c>
      <c r="K1492">
        <f t="shared" si="398"/>
        <v>0.1590539424321824</v>
      </c>
      <c r="O1492">
        <f t="shared" si="399"/>
        <v>0.46231549789592363</v>
      </c>
      <c r="P1492">
        <f t="shared" si="400"/>
        <v>7.4159526279799631E-2</v>
      </c>
      <c r="Q1492">
        <f t="shared" si="401"/>
        <v>0.88360893220202341</v>
      </c>
      <c r="R1492">
        <f t="shared" si="402"/>
        <v>1</v>
      </c>
      <c r="AG1492" s="8">
        <f t="shared" si="392"/>
        <v>0.75318649002887117</v>
      </c>
      <c r="AH1492" s="8">
        <f t="shared" si="393"/>
        <v>0.19814239388415855</v>
      </c>
      <c r="AI1492" s="8">
        <f t="shared" si="394"/>
        <v>0.62725569187042396</v>
      </c>
      <c r="AJ1492" s="8"/>
      <c r="AK1492" s="8"/>
      <c r="AL1492" s="8"/>
      <c r="AN1492" s="8">
        <f t="shared" si="403"/>
        <v>1</v>
      </c>
      <c r="AO1492" s="8">
        <f t="shared" si="404"/>
        <v>0.25724352767140224</v>
      </c>
      <c r="AP1492" s="8">
        <f t="shared" si="405"/>
        <v>0.89277184127560805</v>
      </c>
      <c r="AQ1492" s="8"/>
      <c r="AR1492" s="8">
        <f t="shared" si="406"/>
        <v>14.738968442628154</v>
      </c>
      <c r="AS1492" s="8">
        <f t="shared" si="407"/>
        <v>38.847941426784232</v>
      </c>
    </row>
    <row r="1493" spans="1:45">
      <c r="A1493" s="20">
        <v>53.5535</v>
      </c>
      <c r="B1493" s="20">
        <v>1745.9494110000001</v>
      </c>
      <c r="C1493" s="20">
        <v>-413.99407880000001</v>
      </c>
      <c r="E1493" s="9">
        <f t="shared" si="396"/>
        <v>785.94941100000005</v>
      </c>
      <c r="F1493" s="9">
        <f t="shared" si="395"/>
        <v>126.00592119999999</v>
      </c>
      <c r="I1493">
        <v>1</v>
      </c>
      <c r="J1493">
        <f t="shared" si="397"/>
        <v>0.48745231714536552</v>
      </c>
      <c r="K1493">
        <f t="shared" si="398"/>
        <v>0.15897037466318326</v>
      </c>
      <c r="O1493">
        <f t="shared" si="399"/>
        <v>0.46247060563562081</v>
      </c>
      <c r="P1493">
        <f t="shared" si="400"/>
        <v>7.4144765395133413E-2</v>
      </c>
      <c r="Q1493">
        <f t="shared" si="401"/>
        <v>0.88352899934723295</v>
      </c>
      <c r="R1493">
        <f t="shared" si="402"/>
        <v>1</v>
      </c>
      <c r="AG1493" s="8">
        <f t="shared" si="392"/>
        <v>0.75318751342111301</v>
      </c>
      <c r="AH1493" s="8">
        <f t="shared" si="393"/>
        <v>0.1983090098752372</v>
      </c>
      <c r="AI1493" s="8">
        <f t="shared" si="394"/>
        <v>0.62720180662114156</v>
      </c>
      <c r="AJ1493" s="8"/>
      <c r="AK1493" s="8"/>
      <c r="AL1493" s="8"/>
      <c r="AN1493" s="8">
        <f t="shared" si="403"/>
        <v>1</v>
      </c>
      <c r="AO1493" s="8">
        <f t="shared" si="404"/>
        <v>0.25745007798841729</v>
      </c>
      <c r="AP1493" s="8">
        <f t="shared" si="405"/>
        <v>0.89284102825763223</v>
      </c>
      <c r="AQ1493" s="8"/>
      <c r="AR1493" s="8">
        <f t="shared" si="406"/>
        <v>14.750802904050206</v>
      </c>
      <c r="AS1493" s="8">
        <f t="shared" si="407"/>
        <v>38.843977304717001</v>
      </c>
    </row>
    <row r="1494" spans="1:45">
      <c r="A1494" s="20">
        <v>53.586866669999999</v>
      </c>
      <c r="B1494" s="20">
        <v>1746.3795210000001</v>
      </c>
      <c r="C1494" s="20">
        <v>-413.96270470000002</v>
      </c>
      <c r="E1494" s="9">
        <f t="shared" si="396"/>
        <v>786.37952100000007</v>
      </c>
      <c r="F1494" s="9">
        <f t="shared" si="395"/>
        <v>126.03729529999998</v>
      </c>
      <c r="I1494">
        <v>1</v>
      </c>
      <c r="J1494">
        <f t="shared" si="397"/>
        <v>0.48767767340723273</v>
      </c>
      <c r="K1494">
        <f t="shared" si="398"/>
        <v>0.1589237801286012</v>
      </c>
      <c r="O1494">
        <f t="shared" si="399"/>
        <v>0.46267064778728512</v>
      </c>
      <c r="P1494">
        <f t="shared" si="400"/>
        <v>7.4154724919150497E-2</v>
      </c>
      <c r="Q1494">
        <f t="shared" si="401"/>
        <v>0.88342342534498086</v>
      </c>
      <c r="R1494">
        <f t="shared" si="402"/>
        <v>1</v>
      </c>
      <c r="AG1494" s="8">
        <f t="shared" si="392"/>
        <v>0.75316966764323912</v>
      </c>
      <c r="AH1494" s="8">
        <f t="shared" si="393"/>
        <v>0.1985294835468161</v>
      </c>
      <c r="AI1494" s="8">
        <f t="shared" si="394"/>
        <v>0.62715348671980375</v>
      </c>
      <c r="AJ1494" s="8"/>
      <c r="AK1494" s="8"/>
      <c r="AL1494" s="8"/>
      <c r="AN1494" s="8">
        <f t="shared" si="403"/>
        <v>0.99999999999999978</v>
      </c>
      <c r="AO1494" s="8">
        <f t="shared" si="404"/>
        <v>0.25772964198898801</v>
      </c>
      <c r="AP1494" s="8">
        <f t="shared" si="405"/>
        <v>0.89290306622822135</v>
      </c>
      <c r="AQ1494" s="8"/>
      <c r="AR1494" s="8">
        <f t="shared" si="406"/>
        <v>14.766820741386701</v>
      </c>
      <c r="AS1494" s="8">
        <f t="shared" si="407"/>
        <v>38.840422790832683</v>
      </c>
    </row>
    <row r="1495" spans="1:45">
      <c r="A1495" s="20">
        <v>53.620233329999998</v>
      </c>
      <c r="B1495" s="20">
        <v>1746.665497</v>
      </c>
      <c r="C1495" s="20">
        <v>-414.46350919999998</v>
      </c>
      <c r="E1495" s="9">
        <f t="shared" si="396"/>
        <v>786.66549699999996</v>
      </c>
      <c r="F1495" s="9">
        <f t="shared" si="395"/>
        <v>125.53649080000002</v>
      </c>
      <c r="I1495">
        <v>1</v>
      </c>
      <c r="J1495">
        <f t="shared" si="397"/>
        <v>0.48778428708564431</v>
      </c>
      <c r="K1495">
        <f t="shared" si="398"/>
        <v>0.15824622821637313</v>
      </c>
      <c r="O1495">
        <f t="shared" si="399"/>
        <v>0.46281379082396196</v>
      </c>
      <c r="P1495">
        <f t="shared" si="400"/>
        <v>7.3856066416353131E-2</v>
      </c>
      <c r="Q1495">
        <f t="shared" si="401"/>
        <v>0.88337346376074555</v>
      </c>
      <c r="R1495">
        <f t="shared" si="402"/>
        <v>1</v>
      </c>
      <c r="AG1495" s="8">
        <f t="shared" si="392"/>
        <v>0.75335855670147533</v>
      </c>
      <c r="AH1495" s="8">
        <f t="shared" si="393"/>
        <v>0.19862847974152986</v>
      </c>
      <c r="AI1495" s="8">
        <f t="shared" si="394"/>
        <v>0.6268952161886695</v>
      </c>
      <c r="AJ1495" s="8"/>
      <c r="AK1495" s="8"/>
      <c r="AL1495" s="8"/>
      <c r="AN1495" s="8">
        <f t="shared" si="403"/>
        <v>1</v>
      </c>
      <c r="AO1495" s="8">
        <f t="shared" si="404"/>
        <v>0.25779071386624619</v>
      </c>
      <c r="AP1495" s="8">
        <f t="shared" si="405"/>
        <v>0.89323460749774242</v>
      </c>
      <c r="AQ1495" s="8"/>
      <c r="AR1495" s="8">
        <f t="shared" si="406"/>
        <v>14.770319902200535</v>
      </c>
      <c r="AS1495" s="8">
        <f t="shared" si="407"/>
        <v>38.821426875354717</v>
      </c>
    </row>
    <row r="1496" spans="1:45">
      <c r="A1496" s="20">
        <v>53.653599999999997</v>
      </c>
      <c r="B1496" s="20">
        <v>1747.847491</v>
      </c>
      <c r="C1496" s="20">
        <v>-414.96884360000001</v>
      </c>
      <c r="E1496" s="9">
        <f t="shared" si="396"/>
        <v>787.84749099999999</v>
      </c>
      <c r="F1496" s="9">
        <f t="shared" si="395"/>
        <v>125.03115639999999</v>
      </c>
      <c r="I1496">
        <v>1</v>
      </c>
      <c r="J1496">
        <f t="shared" si="397"/>
        <v>0.48835459071479642</v>
      </c>
      <c r="K1496">
        <f t="shared" si="398"/>
        <v>0.15738715737608966</v>
      </c>
      <c r="O1496">
        <f t="shared" si="399"/>
        <v>0.46337455665710997</v>
      </c>
      <c r="P1496">
        <f t="shared" si="400"/>
        <v>7.353740073683343E-2</v>
      </c>
      <c r="Q1496">
        <f t="shared" si="401"/>
        <v>0.88310603606571347</v>
      </c>
      <c r="R1496">
        <f t="shared" si="402"/>
        <v>1</v>
      </c>
      <c r="AG1496" s="8">
        <f t="shared" si="392"/>
        <v>0.75353674805194892</v>
      </c>
      <c r="AH1496" s="8">
        <f t="shared" si="393"/>
        <v>0.19918004704405373</v>
      </c>
      <c r="AI1496" s="8">
        <f t="shared" si="394"/>
        <v>0.62650592829982243</v>
      </c>
      <c r="AJ1496" s="8"/>
      <c r="AK1496" s="8"/>
      <c r="AL1496" s="8"/>
      <c r="AN1496" s="8">
        <f t="shared" si="403"/>
        <v>1</v>
      </c>
      <c r="AO1496" s="8">
        <f t="shared" si="404"/>
        <v>0.25841671041998049</v>
      </c>
      <c r="AP1496" s="8">
        <f t="shared" si="405"/>
        <v>0.89373416839162967</v>
      </c>
      <c r="AQ1496" s="8"/>
      <c r="AR1496" s="8">
        <f t="shared" si="406"/>
        <v>14.806186862719246</v>
      </c>
      <c r="AS1496" s="8">
        <f t="shared" si="407"/>
        <v>38.792804144525199</v>
      </c>
    </row>
    <row r="1497" spans="1:45">
      <c r="A1497" s="20">
        <v>53.686966669999997</v>
      </c>
      <c r="B1497" s="20">
        <v>1746.704782</v>
      </c>
      <c r="C1497" s="20">
        <v>-414.5426195</v>
      </c>
      <c r="E1497" s="9">
        <f t="shared" si="396"/>
        <v>786.70478200000002</v>
      </c>
      <c r="F1497" s="9">
        <f t="shared" si="395"/>
        <v>125.4573805</v>
      </c>
      <c r="I1497">
        <v>1</v>
      </c>
      <c r="J1497">
        <f t="shared" si="397"/>
        <v>0.48779809507524691</v>
      </c>
      <c r="K1497">
        <f t="shared" si="398"/>
        <v>0.15814039365700766</v>
      </c>
      <c r="O1497">
        <f t="shared" si="399"/>
        <v>0.46283365012001287</v>
      </c>
      <c r="P1497">
        <f t="shared" si="400"/>
        <v>7.3809005207381997E-2</v>
      </c>
      <c r="Q1497">
        <f t="shared" si="401"/>
        <v>0.88336699228966109</v>
      </c>
      <c r="R1497">
        <f t="shared" si="402"/>
        <v>1</v>
      </c>
      <c r="AG1497" s="8">
        <f t="shared" si="392"/>
        <v>0.75338846519387437</v>
      </c>
      <c r="AH1497" s="8">
        <f t="shared" si="393"/>
        <v>0.1986411359927075</v>
      </c>
      <c r="AI1497" s="8">
        <f t="shared" si="394"/>
        <v>0.62685526208555109</v>
      </c>
      <c r="AJ1497" s="8"/>
      <c r="AK1497" s="8"/>
      <c r="AL1497" s="8"/>
      <c r="AN1497" s="8">
        <f t="shared" si="403"/>
        <v>0.99999999999999989</v>
      </c>
      <c r="AO1497" s="8">
        <f t="shared" si="404"/>
        <v>0.25779663454881296</v>
      </c>
      <c r="AP1497" s="8">
        <f t="shared" si="405"/>
        <v>0.89328588858524782</v>
      </c>
      <c r="AQ1497" s="8"/>
      <c r="AR1497" s="8">
        <f t="shared" si="406"/>
        <v>14.770659132323448</v>
      </c>
      <c r="AS1497" s="8">
        <f t="shared" si="407"/>
        <v>38.81848868547182</v>
      </c>
    </row>
    <row r="1498" spans="1:45">
      <c r="A1498" s="20">
        <v>53.720333330000003</v>
      </c>
      <c r="B1498" s="20">
        <v>1747.8274429999999</v>
      </c>
      <c r="C1498" s="20">
        <v>-413.981289</v>
      </c>
      <c r="E1498" s="9">
        <f t="shared" si="396"/>
        <v>787.8274429999999</v>
      </c>
      <c r="F1498" s="9">
        <f t="shared" si="395"/>
        <v>126.018711</v>
      </c>
      <c r="I1498">
        <v>1</v>
      </c>
      <c r="J1498">
        <f t="shared" si="397"/>
        <v>0.48842564611914313</v>
      </c>
      <c r="K1498">
        <f t="shared" si="398"/>
        <v>0.15861357867327031</v>
      </c>
      <c r="O1498">
        <f t="shared" si="399"/>
        <v>0.46334598096895202</v>
      </c>
      <c r="P1498">
        <f t="shared" si="400"/>
        <v>7.4115548763306879E-2</v>
      </c>
      <c r="Q1498">
        <f t="shared" si="401"/>
        <v>0.88307269652698095</v>
      </c>
      <c r="R1498">
        <f t="shared" si="402"/>
        <v>1</v>
      </c>
      <c r="AG1498" s="8">
        <f t="shared" si="392"/>
        <v>0.75315713311971444</v>
      </c>
      <c r="AH1498" s="8">
        <f t="shared" si="393"/>
        <v>0.19925991718541358</v>
      </c>
      <c r="AI1498" s="8">
        <f t="shared" si="394"/>
        <v>0.62693685346624406</v>
      </c>
      <c r="AJ1498" s="8"/>
      <c r="AK1498" s="8"/>
      <c r="AL1498" s="8"/>
      <c r="AN1498" s="8">
        <f t="shared" si="403"/>
        <v>1</v>
      </c>
      <c r="AO1498" s="8">
        <f t="shared" si="404"/>
        <v>0.25864034726478569</v>
      </c>
      <c r="AP1498" s="8">
        <f t="shared" si="405"/>
        <v>0.89318116380430224</v>
      </c>
      <c r="AQ1498" s="8"/>
      <c r="AR1498" s="8">
        <f t="shared" si="406"/>
        <v>14.819000310070205</v>
      </c>
      <c r="AS1498" s="8">
        <f t="shared" si="407"/>
        <v>38.824488973430434</v>
      </c>
    </row>
    <row r="1499" spans="1:45">
      <c r="A1499" s="20">
        <v>53.753700000000002</v>
      </c>
      <c r="B1499" s="20">
        <v>1748.465326</v>
      </c>
      <c r="C1499" s="20">
        <v>-414.4798462</v>
      </c>
      <c r="E1499" s="9">
        <f t="shared" si="396"/>
        <v>788.465326</v>
      </c>
      <c r="F1499" s="9">
        <f t="shared" si="395"/>
        <v>125.5201538</v>
      </c>
      <c r="I1499">
        <v>1</v>
      </c>
      <c r="J1499">
        <f t="shared" si="397"/>
        <v>0.4887145300550822</v>
      </c>
      <c r="K1499">
        <f t="shared" si="398"/>
        <v>0.15787077221433712</v>
      </c>
      <c r="O1499">
        <f t="shared" si="399"/>
        <v>0.46365282039716116</v>
      </c>
      <c r="P1499">
        <f t="shared" si="400"/>
        <v>7.3811455503441425E-2</v>
      </c>
      <c r="Q1499">
        <f t="shared" si="401"/>
        <v>0.8829371048801955</v>
      </c>
      <c r="R1499">
        <f t="shared" si="402"/>
        <v>1</v>
      </c>
      <c r="AG1499" s="8">
        <f t="shared" si="392"/>
        <v>0.75334010370331417</v>
      </c>
      <c r="AH1499" s="8">
        <f t="shared" si="393"/>
        <v>0.19953682457265254</v>
      </c>
      <c r="AI1499" s="8">
        <f t="shared" si="394"/>
        <v>0.62662887245301935</v>
      </c>
      <c r="AJ1499" s="8"/>
      <c r="AK1499" s="8"/>
      <c r="AL1499" s="8"/>
      <c r="AN1499" s="8">
        <f t="shared" si="403"/>
        <v>1</v>
      </c>
      <c r="AO1499" s="8">
        <f t="shared" si="404"/>
        <v>0.25892379946551553</v>
      </c>
      <c r="AP1499" s="8">
        <f t="shared" si="405"/>
        <v>0.89357641971107959</v>
      </c>
      <c r="AQ1499" s="8"/>
      <c r="AR1499" s="8">
        <f t="shared" si="406"/>
        <v>14.835240924865721</v>
      </c>
      <c r="AS1499" s="8">
        <f t="shared" si="407"/>
        <v>38.801842478144472</v>
      </c>
    </row>
    <row r="1500" spans="1:45">
      <c r="A1500" s="20">
        <v>53.787066670000002</v>
      </c>
      <c r="B1500" s="20">
        <v>1748.9620070000001</v>
      </c>
      <c r="C1500" s="20">
        <v>-414.80530040000002</v>
      </c>
      <c r="E1500" s="9">
        <f t="shared" si="396"/>
        <v>788.96200700000009</v>
      </c>
      <c r="F1500" s="9">
        <f t="shared" si="395"/>
        <v>125.19469959999998</v>
      </c>
      <c r="I1500">
        <v>1</v>
      </c>
      <c r="J1500">
        <f t="shared" si="397"/>
        <v>0.48894471478786894</v>
      </c>
      <c r="K1500">
        <f t="shared" si="398"/>
        <v>0.15737067660382434</v>
      </c>
      <c r="O1500">
        <f t="shared" si="399"/>
        <v>0.46389039009048971</v>
      </c>
      <c r="P1500">
        <f t="shared" si="400"/>
        <v>7.361142554321462E-2</v>
      </c>
      <c r="Q1500">
        <f t="shared" si="401"/>
        <v>0.88282901176342699</v>
      </c>
      <c r="R1500">
        <f t="shared" si="402"/>
        <v>1</v>
      </c>
      <c r="AG1500" s="8">
        <f t="shared" si="392"/>
        <v>0.75345830493884736</v>
      </c>
      <c r="AH1500" s="8">
        <f t="shared" si="393"/>
        <v>0.19975806756793385</v>
      </c>
      <c r="AI1500" s="8">
        <f t="shared" si="394"/>
        <v>0.62641623315508332</v>
      </c>
      <c r="AJ1500" s="8"/>
      <c r="AK1500" s="8"/>
      <c r="AL1500" s="8"/>
      <c r="AN1500" s="8">
        <f t="shared" si="403"/>
        <v>1</v>
      </c>
      <c r="AO1500" s="8">
        <f t="shared" si="404"/>
        <v>0.25915934335931928</v>
      </c>
      <c r="AP1500" s="8">
        <f t="shared" si="405"/>
        <v>0.89384924291081236</v>
      </c>
      <c r="AQ1500" s="8"/>
      <c r="AR1500" s="8">
        <f t="shared" si="406"/>
        <v>14.848736595870752</v>
      </c>
      <c r="AS1500" s="8">
        <f t="shared" si="407"/>
        <v>38.786210860246534</v>
      </c>
    </row>
    <row r="1501" spans="1:45">
      <c r="A1501" s="20">
        <v>53.82043333</v>
      </c>
      <c r="B1501" s="20">
        <v>1749.4091330000001</v>
      </c>
      <c r="C1501" s="20">
        <v>-414.7201809</v>
      </c>
      <c r="E1501" s="9">
        <f t="shared" si="396"/>
        <v>789.40913300000011</v>
      </c>
      <c r="F1501" s="9">
        <f t="shared" si="395"/>
        <v>125.2798191</v>
      </c>
      <c r="I1501">
        <v>1</v>
      </c>
      <c r="J1501">
        <f t="shared" si="397"/>
        <v>0.48918296217938517</v>
      </c>
      <c r="K1501">
        <f t="shared" si="398"/>
        <v>0.15738818369561236</v>
      </c>
      <c r="O1501">
        <f t="shared" si="399"/>
        <v>0.46409682014451475</v>
      </c>
      <c r="P1501">
        <f t="shared" si="400"/>
        <v>7.3652512039773979E-2</v>
      </c>
      <c r="Q1501">
        <f t="shared" si="401"/>
        <v>0.88271708321635023</v>
      </c>
      <c r="R1501">
        <f t="shared" si="402"/>
        <v>1</v>
      </c>
      <c r="AG1501" s="8">
        <f t="shared" si="392"/>
        <v>0.75341927464981229</v>
      </c>
      <c r="AH1501" s="8">
        <f t="shared" si="393"/>
        <v>0.19999161767327595</v>
      </c>
      <c r="AI1501" s="8">
        <f t="shared" si="394"/>
        <v>0.6263886568629552</v>
      </c>
      <c r="AJ1501" s="8"/>
      <c r="AK1501" s="8"/>
      <c r="AL1501" s="8"/>
      <c r="AN1501" s="8">
        <f t="shared" si="403"/>
        <v>1</v>
      </c>
      <c r="AO1501" s="8">
        <f t="shared" si="404"/>
        <v>0.25946178055942321</v>
      </c>
      <c r="AP1501" s="8">
        <f t="shared" si="405"/>
        <v>0.89388461981694423</v>
      </c>
      <c r="AQ1501" s="8"/>
      <c r="AR1501" s="8">
        <f t="shared" si="406"/>
        <v>14.866064971004461</v>
      </c>
      <c r="AS1501" s="8">
        <f t="shared" si="407"/>
        <v>38.784183912832944</v>
      </c>
    </row>
    <row r="1502" spans="1:45">
      <c r="A1502" s="20">
        <v>53.8538</v>
      </c>
      <c r="B1502" s="20">
        <v>1749.9715100000001</v>
      </c>
      <c r="C1502" s="20">
        <v>-415.0548953</v>
      </c>
      <c r="E1502" s="9">
        <f t="shared" si="396"/>
        <v>789.97151000000008</v>
      </c>
      <c r="F1502" s="9">
        <f t="shared" si="395"/>
        <v>124.9451047</v>
      </c>
      <c r="I1502">
        <v>1</v>
      </c>
      <c r="J1502">
        <f t="shared" si="397"/>
        <v>0.48944634672036558</v>
      </c>
      <c r="K1502">
        <f t="shared" si="398"/>
        <v>0.15686464231956573</v>
      </c>
      <c r="O1502">
        <f t="shared" si="399"/>
        <v>0.46436494003562884</v>
      </c>
      <c r="P1502">
        <f t="shared" si="400"/>
        <v>7.3445846232810169E-2</v>
      </c>
      <c r="Q1502">
        <f t="shared" si="401"/>
        <v>0.88259328693167227</v>
      </c>
      <c r="R1502">
        <f t="shared" si="402"/>
        <v>1</v>
      </c>
      <c r="AG1502" s="8">
        <f t="shared" si="392"/>
        <v>0.75353993772926253</v>
      </c>
      <c r="AH1502" s="8">
        <f t="shared" si="393"/>
        <v>0.20024503801820637</v>
      </c>
      <c r="AI1502" s="8">
        <f t="shared" si="394"/>
        <v>0.62616250845612464</v>
      </c>
      <c r="AJ1502" s="8"/>
      <c r="AK1502" s="8"/>
      <c r="AL1502" s="8"/>
      <c r="AN1502" s="8">
        <f t="shared" si="403"/>
        <v>1.0000000000000002</v>
      </c>
      <c r="AO1502" s="8">
        <f t="shared" si="404"/>
        <v>0.25973622276139791</v>
      </c>
      <c r="AP1502" s="8">
        <f t="shared" si="405"/>
        <v>0.89417470178257552</v>
      </c>
      <c r="AQ1502" s="8"/>
      <c r="AR1502" s="8">
        <f t="shared" si="406"/>
        <v>14.881789350897888</v>
      </c>
      <c r="AS1502" s="8">
        <f t="shared" si="407"/>
        <v>38.767563440489411</v>
      </c>
    </row>
    <row r="1503" spans="1:45">
      <c r="A1503" s="20">
        <v>53.887166669999999</v>
      </c>
      <c r="B1503" s="20">
        <v>1751.195426</v>
      </c>
      <c r="C1503" s="20">
        <v>-415.38461539999997</v>
      </c>
      <c r="E1503" s="9">
        <f t="shared" si="396"/>
        <v>791.195426</v>
      </c>
      <c r="F1503" s="9">
        <f t="shared" si="395"/>
        <v>124.61538460000003</v>
      </c>
      <c r="I1503">
        <v>1</v>
      </c>
      <c r="J1503">
        <f t="shared" si="397"/>
        <v>0.49005210675529692</v>
      </c>
      <c r="K1503">
        <f t="shared" si="398"/>
        <v>0.15621931458001079</v>
      </c>
      <c r="O1503">
        <f t="shared" si="399"/>
        <v>0.46494028393928999</v>
      </c>
      <c r="P1503">
        <f t="shared" si="400"/>
        <v>7.3229331711439694E-2</v>
      </c>
      <c r="Q1503">
        <f t="shared" si="401"/>
        <v>0.88230833462432412</v>
      </c>
      <c r="R1503">
        <f t="shared" si="402"/>
        <v>1</v>
      </c>
      <c r="AG1503" s="8">
        <f t="shared" si="392"/>
        <v>0.75364895646066832</v>
      </c>
      <c r="AH1503" s="8">
        <f t="shared" si="393"/>
        <v>0.20083254639017656</v>
      </c>
      <c r="AI1503" s="8">
        <f t="shared" si="394"/>
        <v>0.62584306238559795</v>
      </c>
      <c r="AJ1503" s="8"/>
      <c r="AK1503" s="8"/>
      <c r="AL1503" s="8"/>
      <c r="AN1503" s="8">
        <f t="shared" si="403"/>
        <v>1.0000000000000002</v>
      </c>
      <c r="AO1503" s="8">
        <f t="shared" si="404"/>
        <v>0.26042832346722189</v>
      </c>
      <c r="AP1503" s="8">
        <f t="shared" si="405"/>
        <v>0.89458434213653049</v>
      </c>
      <c r="AQ1503" s="8"/>
      <c r="AR1503" s="8">
        <f t="shared" si="406"/>
        <v>14.921443800339627</v>
      </c>
      <c r="AS1503" s="8">
        <f t="shared" si="407"/>
        <v>38.744092777089548</v>
      </c>
    </row>
    <row r="1504" spans="1:45">
      <c r="A1504" s="20">
        <v>53.920533329999998</v>
      </c>
      <c r="B1504" s="20">
        <v>1750.634589</v>
      </c>
      <c r="C1504" s="20">
        <v>-415.88338620000002</v>
      </c>
      <c r="E1504" s="9">
        <f t="shared" si="396"/>
        <v>790.63458900000001</v>
      </c>
      <c r="F1504" s="9">
        <f t="shared" si="395"/>
        <v>124.11661379999998</v>
      </c>
      <c r="I1504">
        <v>1</v>
      </c>
      <c r="J1504">
        <f t="shared" si="397"/>
        <v>0.48972167839481434</v>
      </c>
      <c r="K1504">
        <f t="shared" si="398"/>
        <v>0.15571271631711356</v>
      </c>
      <c r="O1504">
        <f t="shared" si="399"/>
        <v>0.46468928431911022</v>
      </c>
      <c r="P1504">
        <f t="shared" si="400"/>
        <v>7.2948567190542435E-2</v>
      </c>
      <c r="Q1504">
        <f t="shared" si="401"/>
        <v>0.88246380978703032</v>
      </c>
      <c r="R1504">
        <f t="shared" si="402"/>
        <v>1</v>
      </c>
      <c r="AG1504" s="8">
        <f t="shared" ref="AG1504:AG1567" si="408">$O1504*$Z$27+$P1504*$Z$31+$Q1504*$Z$35</f>
        <v>0.75384867740511619</v>
      </c>
      <c r="AH1504" s="8">
        <f t="shared" ref="AH1504:AH1567" si="409">$O1504*$AA$27+$P1504*$AA$31+$Q1504*$AA$35</f>
        <v>0.20050419405983039</v>
      </c>
      <c r="AI1504" s="8">
        <f t="shared" ref="AI1504:AI1567" si="410">$AB$27*$O1504+$P1504*$AB$31+$AB$35*$Q1504</f>
        <v>0.62570779101668117</v>
      </c>
      <c r="AJ1504" s="8"/>
      <c r="AK1504" s="8"/>
      <c r="AL1504" s="8"/>
      <c r="AN1504" s="8">
        <f t="shared" si="403"/>
        <v>0.99999999999999978</v>
      </c>
      <c r="AO1504" s="8">
        <f t="shared" si="404"/>
        <v>0.25995565671054599</v>
      </c>
      <c r="AP1504" s="8">
        <f t="shared" si="405"/>
        <v>0.89475776624005121</v>
      </c>
      <c r="AQ1504" s="8"/>
      <c r="AR1504" s="8">
        <f t="shared" si="406"/>
        <v>14.894361990065962</v>
      </c>
      <c r="AS1504" s="8">
        <f t="shared" si="407"/>
        <v>38.734156307891972</v>
      </c>
    </row>
    <row r="1505" spans="1:45">
      <c r="A1505" s="20">
        <v>53.953899999999997</v>
      </c>
      <c r="B1505" s="20">
        <v>1751.4950650000001</v>
      </c>
      <c r="C1505" s="20">
        <v>-416.09542690000001</v>
      </c>
      <c r="E1505" s="9">
        <f t="shared" si="396"/>
        <v>791.49506500000007</v>
      </c>
      <c r="F1505" s="9">
        <f t="shared" ref="F1505:F1568" si="411">(($C$15/2)+C1505)</f>
        <v>123.90457309999999</v>
      </c>
      <c r="I1505">
        <v>1</v>
      </c>
      <c r="J1505">
        <f t="shared" si="397"/>
        <v>0.49014927596777369</v>
      </c>
      <c r="K1505">
        <f t="shared" si="398"/>
        <v>0.15528467150789813</v>
      </c>
      <c r="O1505">
        <f t="shared" si="399"/>
        <v>0.46509322357035121</v>
      </c>
      <c r="P1505">
        <f t="shared" si="400"/>
        <v>7.2808005844214846E-2</v>
      </c>
      <c r="Q1505">
        <f t="shared" si="401"/>
        <v>0.88226259564481602</v>
      </c>
      <c r="R1505">
        <f t="shared" si="402"/>
        <v>1</v>
      </c>
      <c r="AG1505" s="8">
        <f t="shared" si="408"/>
        <v>0.75391752328955863</v>
      </c>
      <c r="AH1505" s="8">
        <f t="shared" si="409"/>
        <v>0.2009189298721078</v>
      </c>
      <c r="AI1505" s="8">
        <f t="shared" si="410"/>
        <v>0.62549176788826322</v>
      </c>
      <c r="AJ1505" s="8"/>
      <c r="AK1505" s="8"/>
      <c r="AL1505" s="8"/>
      <c r="AN1505" s="8">
        <f t="shared" si="403"/>
        <v>1.0000000000000002</v>
      </c>
      <c r="AO1505" s="8">
        <f t="shared" si="404"/>
        <v>0.26044667206705913</v>
      </c>
      <c r="AP1505" s="8">
        <f t="shared" si="405"/>
        <v>0.89503466779303054</v>
      </c>
      <c r="AQ1505" s="8"/>
      <c r="AR1505" s="8">
        <f t="shared" si="406"/>
        <v>14.922495097670277</v>
      </c>
      <c r="AS1505" s="8">
        <f t="shared" si="407"/>
        <v>38.71829101756564</v>
      </c>
    </row>
    <row r="1506" spans="1:45">
      <c r="A1506" s="20">
        <v>53.987266669999997</v>
      </c>
      <c r="B1506" s="20">
        <v>1751.6638519999999</v>
      </c>
      <c r="C1506" s="20">
        <v>-416.0513057</v>
      </c>
      <c r="E1506" s="9">
        <f t="shared" si="396"/>
        <v>791.66385199999991</v>
      </c>
      <c r="F1506" s="9">
        <f t="shared" si="411"/>
        <v>123.9486943</v>
      </c>
      <c r="I1506">
        <v>1</v>
      </c>
      <c r="J1506">
        <f t="shared" si="397"/>
        <v>0.49024007060178587</v>
      </c>
      <c r="K1506">
        <f t="shared" si="398"/>
        <v>0.15530649268306665</v>
      </c>
      <c r="O1506">
        <f t="shared" si="399"/>
        <v>0.46517077336888163</v>
      </c>
      <c r="P1506">
        <f t="shared" si="400"/>
        <v>7.2830545237013156E-2</v>
      </c>
      <c r="Q1506">
        <f t="shared" si="401"/>
        <v>0.88221984974487844</v>
      </c>
      <c r="R1506">
        <f t="shared" si="402"/>
        <v>1</v>
      </c>
      <c r="AG1506" s="8">
        <f t="shared" si="408"/>
        <v>0.75389810004170654</v>
      </c>
      <c r="AH1506" s="8">
        <f t="shared" si="409"/>
        <v>0.20100806252262771</v>
      </c>
      <c r="AI1506" s="8">
        <f t="shared" si="410"/>
        <v>0.62548654146544536</v>
      </c>
      <c r="AJ1506" s="8"/>
      <c r="AK1506" s="8"/>
      <c r="AL1506" s="8"/>
      <c r="AN1506" s="8">
        <f t="shared" si="403"/>
        <v>0.99999999999999978</v>
      </c>
      <c r="AO1506" s="8">
        <f t="shared" si="404"/>
        <v>0.26056346814105152</v>
      </c>
      <c r="AP1506" s="8">
        <f t="shared" si="405"/>
        <v>0.89504136633532327</v>
      </c>
      <c r="AQ1506" s="8"/>
      <c r="AR1506" s="8">
        <f t="shared" si="406"/>
        <v>14.929187019773739</v>
      </c>
      <c r="AS1506" s="8">
        <f t="shared" si="407"/>
        <v>38.717907219363376</v>
      </c>
    </row>
    <row r="1507" spans="1:45">
      <c r="A1507" s="20">
        <v>54.020633330000003</v>
      </c>
      <c r="B1507" s="20">
        <v>1751.808501</v>
      </c>
      <c r="C1507" s="20">
        <v>-415.87852520000001</v>
      </c>
      <c r="E1507" s="9">
        <f t="shared" si="396"/>
        <v>791.80850099999998</v>
      </c>
      <c r="F1507" s="9">
        <f t="shared" si="411"/>
        <v>124.12147479999999</v>
      </c>
      <c r="I1507">
        <v>1</v>
      </c>
      <c r="J1507">
        <f t="shared" si="397"/>
        <v>0.49032880010395502</v>
      </c>
      <c r="K1507">
        <f t="shared" si="398"/>
        <v>0.15549155856365207</v>
      </c>
      <c r="O1507">
        <f t="shared" si="399"/>
        <v>0.46523461965675555</v>
      </c>
      <c r="P1507">
        <f t="shared" si="400"/>
        <v>7.2928753665671434E-2</v>
      </c>
      <c r="Q1507">
        <f t="shared" si="401"/>
        <v>0.88217806907766971</v>
      </c>
      <c r="R1507">
        <f t="shared" si="402"/>
        <v>1</v>
      </c>
      <c r="AG1507" s="8">
        <f t="shared" si="408"/>
        <v>0.75382963574496376</v>
      </c>
      <c r="AH1507" s="8">
        <f t="shared" si="409"/>
        <v>0.20109673117340154</v>
      </c>
      <c r="AI1507" s="8">
        <f t="shared" si="410"/>
        <v>0.62554055422809163</v>
      </c>
      <c r="AJ1507" s="8"/>
      <c r="AK1507" s="8"/>
      <c r="AL1507" s="8"/>
      <c r="AN1507" s="8">
        <f t="shared" si="403"/>
        <v>1</v>
      </c>
      <c r="AO1507" s="8">
        <f t="shared" si="404"/>
        <v>0.26069588913636321</v>
      </c>
      <c r="AP1507" s="8">
        <f t="shared" si="405"/>
        <v>0.89497213813538823</v>
      </c>
      <c r="AQ1507" s="8"/>
      <c r="AR1507" s="8">
        <f t="shared" si="406"/>
        <v>14.936774183924021</v>
      </c>
      <c r="AS1507" s="8">
        <f t="shared" si="407"/>
        <v>38.721873703042938</v>
      </c>
    </row>
    <row r="1508" spans="1:45">
      <c r="A1508" s="20">
        <v>54.054000000000002</v>
      </c>
      <c r="B1508" s="20">
        <v>1752.3483570000001</v>
      </c>
      <c r="C1508" s="20">
        <v>-416.19078020000001</v>
      </c>
      <c r="E1508" s="9">
        <f t="shared" si="396"/>
        <v>792.34835700000008</v>
      </c>
      <c r="F1508" s="9">
        <f t="shared" si="411"/>
        <v>123.80921979999999</v>
      </c>
      <c r="I1508">
        <v>1</v>
      </c>
      <c r="J1508">
        <f t="shared" si="397"/>
        <v>0.49058246248473125</v>
      </c>
      <c r="K1508">
        <f t="shared" si="398"/>
        <v>0.15500264195698193</v>
      </c>
      <c r="O1508">
        <f t="shared" si="399"/>
        <v>0.46549129773184078</v>
      </c>
      <c r="P1508">
        <f t="shared" si="400"/>
        <v>7.2735828738354671E-2</v>
      </c>
      <c r="Q1508">
        <f t="shared" si="401"/>
        <v>0.88205858703017648</v>
      </c>
      <c r="R1508">
        <f t="shared" si="402"/>
        <v>1</v>
      </c>
      <c r="AG1508" s="8">
        <f t="shared" si="408"/>
        <v>0.75394149647003794</v>
      </c>
      <c r="AH1508" s="8">
        <f t="shared" si="409"/>
        <v>0.2013404408892816</v>
      </c>
      <c r="AI1508" s="8">
        <f t="shared" si="410"/>
        <v>0.62532731170406231</v>
      </c>
      <c r="AJ1508" s="8"/>
      <c r="AK1508" s="8"/>
      <c r="AL1508" s="8"/>
      <c r="AN1508" s="8">
        <f t="shared" si="403"/>
        <v>1</v>
      </c>
      <c r="AO1508" s="8">
        <f t="shared" si="404"/>
        <v>0.260960692373093</v>
      </c>
      <c r="AP1508" s="8">
        <f t="shared" si="405"/>
        <v>0.89524542889131642</v>
      </c>
      <c r="AQ1508" s="8"/>
      <c r="AR1508" s="8">
        <f t="shared" si="406"/>
        <v>14.951946291790041</v>
      </c>
      <c r="AS1508" s="8">
        <f t="shared" si="407"/>
        <v>38.706215296148315</v>
      </c>
    </row>
    <row r="1509" spans="1:45">
      <c r="A1509" s="20">
        <v>54.087366670000002</v>
      </c>
      <c r="B1509" s="20">
        <v>1753.1751389999999</v>
      </c>
      <c r="C1509" s="20">
        <v>-416.64793320000001</v>
      </c>
      <c r="E1509" s="9">
        <f t="shared" si="396"/>
        <v>793.17513899999994</v>
      </c>
      <c r="F1509" s="9">
        <f t="shared" si="411"/>
        <v>123.35206679999999</v>
      </c>
      <c r="I1509">
        <v>1</v>
      </c>
      <c r="J1509">
        <f t="shared" si="397"/>
        <v>0.49097269768240637</v>
      </c>
      <c r="K1509">
        <f t="shared" si="398"/>
        <v>0.15428094481986365</v>
      </c>
      <c r="O1509">
        <f t="shared" si="399"/>
        <v>0.4658837561604029</v>
      </c>
      <c r="P1509">
        <f t="shared" si="400"/>
        <v>7.2452755243168215E-2</v>
      </c>
      <c r="Q1509">
        <f t="shared" si="401"/>
        <v>0.88187466456608665</v>
      </c>
      <c r="R1509">
        <f t="shared" si="402"/>
        <v>1</v>
      </c>
      <c r="AG1509" s="8">
        <f t="shared" si="408"/>
        <v>0.75410450301227816</v>
      </c>
      <c r="AH1509" s="8">
        <f t="shared" si="409"/>
        <v>0.20171542705335471</v>
      </c>
      <c r="AI1509" s="8">
        <f t="shared" si="410"/>
        <v>0.62500982794295945</v>
      </c>
      <c r="AJ1509" s="8"/>
      <c r="AK1509" s="8"/>
      <c r="AL1509" s="8"/>
      <c r="AN1509" s="8">
        <f t="shared" si="403"/>
        <v>1</v>
      </c>
      <c r="AO1509" s="8">
        <f t="shared" si="404"/>
        <v>0.2613709230250208</v>
      </c>
      <c r="AP1509" s="8">
        <f t="shared" si="405"/>
        <v>0.89565220395151712</v>
      </c>
      <c r="AQ1509" s="8"/>
      <c r="AR1509" s="8">
        <f t="shared" si="406"/>
        <v>14.975450776772403</v>
      </c>
      <c r="AS1509" s="8">
        <f t="shared" si="407"/>
        <v>38.682908801987637</v>
      </c>
    </row>
    <row r="1510" spans="1:45">
      <c r="A1510" s="20">
        <v>54.12073333</v>
      </c>
      <c r="B1510" s="20">
        <v>1753.7520460000001</v>
      </c>
      <c r="C1510" s="20">
        <v>-417.03881360000003</v>
      </c>
      <c r="E1510" s="9">
        <f t="shared" si="396"/>
        <v>793.75204600000006</v>
      </c>
      <c r="F1510" s="9">
        <f t="shared" si="411"/>
        <v>122.96118639999997</v>
      </c>
      <c r="I1510">
        <v>1</v>
      </c>
      <c r="J1510">
        <f t="shared" si="397"/>
        <v>0.49123927642344484</v>
      </c>
      <c r="K1510">
        <f t="shared" si="398"/>
        <v>0.15368971082970292</v>
      </c>
      <c r="O1510">
        <f t="shared" si="399"/>
        <v>0.46615881273992654</v>
      </c>
      <c r="P1510">
        <f t="shared" si="400"/>
        <v>7.2213282415043739E-2</v>
      </c>
      <c r="Q1510">
        <f t="shared" si="401"/>
        <v>0.88174894564595152</v>
      </c>
      <c r="R1510">
        <f t="shared" si="402"/>
        <v>1</v>
      </c>
      <c r="AG1510" s="8">
        <f t="shared" si="408"/>
        <v>0.75424565298102786</v>
      </c>
      <c r="AH1510" s="8">
        <f t="shared" si="409"/>
        <v>0.2019704150741935</v>
      </c>
      <c r="AI1510" s="8">
        <f t="shared" si="410"/>
        <v>0.62475710991871136</v>
      </c>
      <c r="AJ1510" s="8"/>
      <c r="AK1510" s="8"/>
      <c r="AL1510" s="8"/>
      <c r="AN1510" s="8">
        <f t="shared" si="403"/>
        <v>0.99999999999999989</v>
      </c>
      <c r="AO1510" s="8">
        <f t="shared" si="404"/>
        <v>0.26163968422317918</v>
      </c>
      <c r="AP1510" s="8">
        <f t="shared" si="405"/>
        <v>0.89597590343856015</v>
      </c>
      <c r="AQ1510" s="8"/>
      <c r="AR1510" s="8">
        <f t="shared" si="406"/>
        <v>14.990849659123757</v>
      </c>
      <c r="AS1510" s="8">
        <f t="shared" si="407"/>
        <v>38.664362187549521</v>
      </c>
    </row>
    <row r="1511" spans="1:45">
      <c r="A1511" s="20">
        <v>54.1541</v>
      </c>
      <c r="B1511" s="20">
        <v>1754.2827440000001</v>
      </c>
      <c r="C1511" s="20">
        <v>-417.06860710000001</v>
      </c>
      <c r="E1511" s="9">
        <f t="shared" si="396"/>
        <v>794.28274400000009</v>
      </c>
      <c r="F1511" s="9">
        <f t="shared" si="411"/>
        <v>122.93139289999999</v>
      </c>
      <c r="I1511">
        <v>1</v>
      </c>
      <c r="J1511">
        <f t="shared" si="397"/>
        <v>0.49151087919317538</v>
      </c>
      <c r="K1511">
        <f t="shared" si="398"/>
        <v>0.15355199900903357</v>
      </c>
      <c r="O1511">
        <f t="shared" si="399"/>
        <v>0.46640540342409426</v>
      </c>
      <c r="P1511">
        <f t="shared" si="400"/>
        <v>7.2185712622016021E-2</v>
      </c>
      <c r="Q1511">
        <f t="shared" si="401"/>
        <v>0.88162079294334905</v>
      </c>
      <c r="R1511">
        <f t="shared" si="402"/>
        <v>1</v>
      </c>
      <c r="AG1511" s="8">
        <f t="shared" si="408"/>
        <v>0.75424894787232799</v>
      </c>
      <c r="AH1511" s="8">
        <f t="shared" si="409"/>
        <v>0.20223491566144058</v>
      </c>
      <c r="AI1511" s="8">
        <f t="shared" si="410"/>
        <v>0.62466756240491328</v>
      </c>
      <c r="AJ1511" s="8"/>
      <c r="AK1511" s="8"/>
      <c r="AL1511" s="8"/>
      <c r="AN1511" s="8">
        <f t="shared" si="403"/>
        <v>1</v>
      </c>
      <c r="AO1511" s="8">
        <f t="shared" si="404"/>
        <v>0.26196578181738767</v>
      </c>
      <c r="AP1511" s="8">
        <f t="shared" si="405"/>
        <v>0.89609058224120142</v>
      </c>
      <c r="AQ1511" s="8"/>
      <c r="AR1511" s="8">
        <f t="shared" si="406"/>
        <v>15.009533674981274</v>
      </c>
      <c r="AS1511" s="8">
        <f t="shared" si="407"/>
        <v>38.657791576158559</v>
      </c>
    </row>
    <row r="1512" spans="1:45">
      <c r="A1512" s="20">
        <v>54.187466669999999</v>
      </c>
      <c r="B1512" s="20">
        <v>1754.127612</v>
      </c>
      <c r="C1512" s="20">
        <v>-417.19737780000003</v>
      </c>
      <c r="E1512" s="9">
        <f t="shared" si="396"/>
        <v>794.127612</v>
      </c>
      <c r="F1512" s="9">
        <f t="shared" si="411"/>
        <v>122.80262219999997</v>
      </c>
      <c r="I1512">
        <v>1</v>
      </c>
      <c r="J1512">
        <f t="shared" si="397"/>
        <v>0.49142051077436283</v>
      </c>
      <c r="K1512">
        <f t="shared" si="398"/>
        <v>0.15342316305512105</v>
      </c>
      <c r="O1512">
        <f t="shared" si="399"/>
        <v>0.46633596291984691</v>
      </c>
      <c r="P1512">
        <f t="shared" si="400"/>
        <v>7.2113446513328336E-2</v>
      </c>
      <c r="Q1512">
        <f t="shared" si="401"/>
        <v>0.88166343948220316</v>
      </c>
      <c r="R1512">
        <f t="shared" si="402"/>
        <v>1</v>
      </c>
      <c r="AG1512" s="8">
        <f t="shared" si="408"/>
        <v>0.75430069759838081</v>
      </c>
      <c r="AH1512" s="8">
        <f t="shared" si="409"/>
        <v>0.20214509020756016</v>
      </c>
      <c r="AI1512" s="8">
        <f t="shared" si="410"/>
        <v>0.62463414900850045</v>
      </c>
      <c r="AJ1512" s="8"/>
      <c r="AK1512" s="8"/>
      <c r="AL1512" s="8"/>
      <c r="AN1512" s="8">
        <f t="shared" si="403"/>
        <v>1</v>
      </c>
      <c r="AO1512" s="8">
        <f t="shared" si="404"/>
        <v>0.26183751860748061</v>
      </c>
      <c r="AP1512" s="8">
        <f t="shared" si="405"/>
        <v>0.89613337032979745</v>
      </c>
      <c r="AQ1512" s="8"/>
      <c r="AR1512" s="8">
        <f t="shared" si="406"/>
        <v>15.0021847343868</v>
      </c>
      <c r="AS1512" s="8">
        <f t="shared" si="407"/>
        <v>38.655339999268577</v>
      </c>
    </row>
    <row r="1513" spans="1:45">
      <c r="A1513" s="20">
        <v>54.220833329999998</v>
      </c>
      <c r="B1513" s="20">
        <v>1755.9411789999999</v>
      </c>
      <c r="C1513" s="20">
        <v>-417.48665690000001</v>
      </c>
      <c r="E1513" s="9">
        <f t="shared" si="396"/>
        <v>795.94117899999992</v>
      </c>
      <c r="F1513" s="9">
        <f t="shared" si="411"/>
        <v>122.51334309999999</v>
      </c>
      <c r="I1513">
        <v>1</v>
      </c>
      <c r="J1513">
        <f t="shared" si="397"/>
        <v>0.4923333594300851</v>
      </c>
      <c r="K1513">
        <f t="shared" si="398"/>
        <v>0.15272401520886014</v>
      </c>
      <c r="O1513">
        <f t="shared" si="399"/>
        <v>0.46718152986508454</v>
      </c>
      <c r="P1513">
        <f t="shared" si="400"/>
        <v>7.1909800081274608E-2</v>
      </c>
      <c r="Q1513">
        <f t="shared" si="401"/>
        <v>0.88123231829364401</v>
      </c>
      <c r="R1513">
        <f t="shared" si="402"/>
        <v>1</v>
      </c>
      <c r="AG1513" s="8">
        <f t="shared" si="408"/>
        <v>0.75438335799477552</v>
      </c>
      <c r="AH1513" s="8">
        <f t="shared" si="409"/>
        <v>0.20303133177074073</v>
      </c>
      <c r="AI1513" s="8">
        <f t="shared" si="410"/>
        <v>0.62424676811332058</v>
      </c>
      <c r="AJ1513" s="8"/>
      <c r="AK1513" s="8"/>
      <c r="AL1513" s="8"/>
      <c r="AN1513" s="8">
        <f t="shared" si="403"/>
        <v>1</v>
      </c>
      <c r="AO1513" s="8">
        <f t="shared" si="404"/>
        <v>0.26290588626432765</v>
      </c>
      <c r="AP1513" s="8">
        <f t="shared" si="405"/>
        <v>0.89662933062812278</v>
      </c>
      <c r="AQ1513" s="8"/>
      <c r="AR1513" s="8">
        <f t="shared" si="406"/>
        <v>15.063397692092416</v>
      </c>
      <c r="AS1513" s="8">
        <f t="shared" si="407"/>
        <v>38.626923567368486</v>
      </c>
    </row>
    <row r="1514" spans="1:45">
      <c r="A1514" s="20">
        <v>54.254199999999997</v>
      </c>
      <c r="B1514" s="20">
        <v>1755.93121</v>
      </c>
      <c r="C1514" s="20">
        <v>-417.74403769999998</v>
      </c>
      <c r="E1514" s="9">
        <f t="shared" si="396"/>
        <v>795.93120999999996</v>
      </c>
      <c r="F1514" s="9">
        <f t="shared" si="411"/>
        <v>122.25596230000002</v>
      </c>
      <c r="I1514">
        <v>1</v>
      </c>
      <c r="J1514">
        <f t="shared" si="397"/>
        <v>0.49230780229866761</v>
      </c>
      <c r="K1514">
        <f t="shared" si="398"/>
        <v>0.15240999667708335</v>
      </c>
      <c r="O1514">
        <f t="shared" si="399"/>
        <v>0.467181826988951</v>
      </c>
      <c r="P1514">
        <f t="shared" si="400"/>
        <v>7.1759673587377379E-2</v>
      </c>
      <c r="Q1514">
        <f t="shared" si="401"/>
        <v>0.8812443984377426</v>
      </c>
      <c r="R1514">
        <f t="shared" si="402"/>
        <v>1</v>
      </c>
      <c r="AG1514" s="8">
        <f t="shared" si="408"/>
        <v>0.75448210901887025</v>
      </c>
      <c r="AH1514" s="8">
        <f t="shared" si="409"/>
        <v>0.20300289665217919</v>
      </c>
      <c r="AI1514" s="8">
        <f t="shared" si="410"/>
        <v>0.62413666061309214</v>
      </c>
      <c r="AJ1514" s="8"/>
      <c r="AK1514" s="8"/>
      <c r="AL1514" s="8"/>
      <c r="AN1514" s="8">
        <f t="shared" si="403"/>
        <v>1</v>
      </c>
      <c r="AO1514" s="8">
        <f t="shared" si="404"/>
        <v>0.26283789548341641</v>
      </c>
      <c r="AP1514" s="8">
        <f t="shared" si="405"/>
        <v>0.89677026440255558</v>
      </c>
      <c r="AQ1514" s="8"/>
      <c r="AR1514" s="8">
        <f t="shared" si="406"/>
        <v>15.059502107300403</v>
      </c>
      <c r="AS1514" s="8">
        <f t="shared" si="407"/>
        <v>38.618848656902635</v>
      </c>
    </row>
    <row r="1515" spans="1:45">
      <c r="A1515" s="20">
        <v>54.287566669999997</v>
      </c>
      <c r="B1515" s="20">
        <v>1756.0490050000001</v>
      </c>
      <c r="C1515" s="20">
        <v>-417.93902539999999</v>
      </c>
      <c r="E1515" s="9">
        <f t="shared" si="396"/>
        <v>796.04900500000008</v>
      </c>
      <c r="F1515" s="9">
        <f t="shared" si="411"/>
        <v>122.06097460000001</v>
      </c>
      <c r="I1515">
        <v>1</v>
      </c>
      <c r="J1515">
        <f t="shared" si="397"/>
        <v>0.49235313138566705</v>
      </c>
      <c r="K1515">
        <f t="shared" si="398"/>
        <v>0.15214848251089461</v>
      </c>
      <c r="O1515">
        <f t="shared" si="399"/>
        <v>0.46724006124175699</v>
      </c>
      <c r="P1515">
        <f t="shared" si="400"/>
        <v>7.1643550697400263E-2</v>
      </c>
      <c r="Q1515">
        <f t="shared" si="401"/>
        <v>0.8812229722461099</v>
      </c>
      <c r="R1515">
        <f t="shared" si="402"/>
        <v>1</v>
      </c>
      <c r="AG1515" s="8">
        <f t="shared" si="408"/>
        <v>0.75455493061182899</v>
      </c>
      <c r="AH1515" s="8">
        <f t="shared" si="409"/>
        <v>0.2030443892116281</v>
      </c>
      <c r="AI1515" s="8">
        <f t="shared" si="410"/>
        <v>0.62403512136662209</v>
      </c>
      <c r="AJ1515" s="8"/>
      <c r="AK1515" s="8"/>
      <c r="AL1515" s="8"/>
      <c r="AN1515" s="8">
        <f t="shared" si="403"/>
        <v>0.99999999999999989</v>
      </c>
      <c r="AO1515" s="8">
        <f t="shared" si="404"/>
        <v>0.26286495845628605</v>
      </c>
      <c r="AP1515" s="8">
        <f t="shared" si="405"/>
        <v>0.89690021704870015</v>
      </c>
      <c r="AQ1515" s="8"/>
      <c r="AR1515" s="8">
        <f t="shared" si="406"/>
        <v>15.06105270142691</v>
      </c>
      <c r="AS1515" s="8">
        <f t="shared" si="407"/>
        <v>38.611402918741994</v>
      </c>
    </row>
    <row r="1516" spans="1:45">
      <c r="A1516" s="20">
        <v>54.320933330000003</v>
      </c>
      <c r="B1516" s="20">
        <v>1756.3619619999999</v>
      </c>
      <c r="C1516" s="20">
        <v>-418.32104939999999</v>
      </c>
      <c r="E1516" s="9">
        <f t="shared" si="396"/>
        <v>796.36196199999995</v>
      </c>
      <c r="F1516" s="9">
        <f t="shared" si="411"/>
        <v>121.67895060000001</v>
      </c>
      <c r="I1516">
        <v>1</v>
      </c>
      <c r="J1516">
        <f t="shared" si="397"/>
        <v>0.49248440499954704</v>
      </c>
      <c r="K1516">
        <f t="shared" si="398"/>
        <v>0.15162087453093542</v>
      </c>
      <c r="O1516">
        <f t="shared" si="399"/>
        <v>0.46739214606664431</v>
      </c>
      <c r="P1516">
        <f t="shared" si="400"/>
        <v>7.1414493114716593E-2</v>
      </c>
      <c r="Q1516">
        <f t="shared" si="401"/>
        <v>0.88116091150730513</v>
      </c>
      <c r="R1516">
        <f t="shared" si="402"/>
        <v>1</v>
      </c>
      <c r="AG1516" s="8">
        <f t="shared" si="408"/>
        <v>0.75469624883832753</v>
      </c>
      <c r="AH1516" s="8">
        <f t="shared" si="409"/>
        <v>0.20316698348728968</v>
      </c>
      <c r="AI1516" s="8">
        <f t="shared" si="410"/>
        <v>0.623824293218878</v>
      </c>
      <c r="AJ1516" s="8"/>
      <c r="AK1516" s="8"/>
      <c r="AL1516" s="8"/>
      <c r="AN1516" s="8">
        <f t="shared" si="403"/>
        <v>1.0000000000000002</v>
      </c>
      <c r="AO1516" s="8">
        <f t="shared" si="404"/>
        <v>0.26296944350677981</v>
      </c>
      <c r="AP1516" s="8">
        <f t="shared" si="405"/>
        <v>0.89716999749555648</v>
      </c>
      <c r="AQ1516" s="8"/>
      <c r="AR1516" s="8">
        <f t="shared" si="406"/>
        <v>15.067039253842413</v>
      </c>
      <c r="AS1516" s="8">
        <f t="shared" si="407"/>
        <v>38.595945637741977</v>
      </c>
    </row>
    <row r="1517" spans="1:45">
      <c r="A1517" s="20">
        <v>54.354300000000002</v>
      </c>
      <c r="B1517" s="20">
        <v>1756.822748</v>
      </c>
      <c r="C1517" s="20">
        <v>-418.40457079999999</v>
      </c>
      <c r="E1517" s="9">
        <f t="shared" si="396"/>
        <v>796.82274800000005</v>
      </c>
      <c r="F1517" s="9">
        <f t="shared" si="411"/>
        <v>121.59542920000001</v>
      </c>
      <c r="I1517">
        <v>1</v>
      </c>
      <c r="J1517">
        <f t="shared" si="397"/>
        <v>0.49271548858901393</v>
      </c>
      <c r="K1517">
        <f t="shared" si="398"/>
        <v>0.15143210069468513</v>
      </c>
      <c r="O1517">
        <f t="shared" si="399"/>
        <v>0.46760689803413436</v>
      </c>
      <c r="P1517">
        <f t="shared" si="400"/>
        <v>7.1356975696358016E-2</v>
      </c>
      <c r="Q1517">
        <f t="shared" si="401"/>
        <v>0.88105162784615754</v>
      </c>
      <c r="R1517">
        <f t="shared" si="402"/>
        <v>1</v>
      </c>
      <c r="AG1517" s="8">
        <f t="shared" si="408"/>
        <v>0.75472086384862325</v>
      </c>
      <c r="AH1517" s="8">
        <f t="shared" si="409"/>
        <v>0.20339102981517038</v>
      </c>
      <c r="AI1517" s="8">
        <f t="shared" si="410"/>
        <v>0.6237214976752945</v>
      </c>
      <c r="AJ1517" s="8"/>
      <c r="AK1517" s="8"/>
      <c r="AL1517" s="8"/>
      <c r="AN1517" s="8">
        <f t="shared" si="403"/>
        <v>1</v>
      </c>
      <c r="AO1517" s="8">
        <f t="shared" si="404"/>
        <v>0.26323803736593726</v>
      </c>
      <c r="AP1517" s="8">
        <f t="shared" si="405"/>
        <v>0.89730151592207597</v>
      </c>
      <c r="AQ1517" s="8"/>
      <c r="AR1517" s="8">
        <f t="shared" si="406"/>
        <v>15.082428548375267</v>
      </c>
      <c r="AS1517" s="8">
        <f t="shared" si="407"/>
        <v>38.588410186974208</v>
      </c>
    </row>
    <row r="1518" spans="1:45">
      <c r="A1518" s="20">
        <v>54.387666670000002</v>
      </c>
      <c r="B1518" s="20">
        <v>1757.465381</v>
      </c>
      <c r="C1518" s="20">
        <v>-418.61938190000001</v>
      </c>
      <c r="E1518" s="9">
        <f t="shared" si="396"/>
        <v>797.46538099999998</v>
      </c>
      <c r="F1518" s="9">
        <f t="shared" si="411"/>
        <v>121.38061809999999</v>
      </c>
      <c r="I1518">
        <v>1</v>
      </c>
      <c r="J1518">
        <f t="shared" si="397"/>
        <v>0.49302998002499804</v>
      </c>
      <c r="K1518">
        <f t="shared" si="398"/>
        <v>0.15104866728139166</v>
      </c>
      <c r="O1518">
        <f t="shared" si="399"/>
        <v>0.46790812945146043</v>
      </c>
      <c r="P1518">
        <f t="shared" si="400"/>
        <v>7.1219364902854729E-2</v>
      </c>
      <c r="Q1518">
        <f t="shared" si="401"/>
        <v>0.88090282350329052</v>
      </c>
      <c r="R1518">
        <f t="shared" si="402"/>
        <v>1</v>
      </c>
      <c r="AG1518" s="8">
        <f t="shared" si="408"/>
        <v>0.75479273439789796</v>
      </c>
      <c r="AH1518" s="8">
        <f t="shared" si="409"/>
        <v>0.20369443539000673</v>
      </c>
      <c r="AI1518" s="8">
        <f t="shared" si="410"/>
        <v>0.62353548823727012</v>
      </c>
      <c r="AJ1518" s="8"/>
      <c r="AK1518" s="8"/>
      <c r="AL1518" s="8"/>
      <c r="AN1518" s="8">
        <f t="shared" si="403"/>
        <v>1.0000000000000002</v>
      </c>
      <c r="AO1518" s="8">
        <f t="shared" si="404"/>
        <v>0.26358883606960437</v>
      </c>
      <c r="AP1518" s="8">
        <f t="shared" si="405"/>
        <v>0.89753946459256351</v>
      </c>
      <c r="AQ1518" s="8"/>
      <c r="AR1518" s="8">
        <f t="shared" si="406"/>
        <v>15.102527833554053</v>
      </c>
      <c r="AS1518" s="8">
        <f t="shared" si="407"/>
        <v>38.57477673241452</v>
      </c>
    </row>
    <row r="1519" spans="1:45">
      <c r="A1519" s="20">
        <v>54.42103333</v>
      </c>
      <c r="B1519" s="20">
        <v>1757.9679249999999</v>
      </c>
      <c r="C1519" s="20">
        <v>-419.01344260000002</v>
      </c>
      <c r="E1519" s="9">
        <f t="shared" si="396"/>
        <v>797.96792499999992</v>
      </c>
      <c r="F1519" s="9">
        <f t="shared" si="411"/>
        <v>120.98655739999998</v>
      </c>
      <c r="I1519">
        <v>1</v>
      </c>
      <c r="J1519">
        <f t="shared" si="397"/>
        <v>0.49325819930168691</v>
      </c>
      <c r="K1519">
        <f t="shared" si="398"/>
        <v>0.1504722811464477</v>
      </c>
      <c r="O1519">
        <f t="shared" si="399"/>
        <v>0.46814785673417753</v>
      </c>
      <c r="P1519">
        <f t="shared" si="400"/>
        <v>7.0979792252246918E-2</v>
      </c>
      <c r="Q1519">
        <f t="shared" si="401"/>
        <v>0.88079478502487962</v>
      </c>
      <c r="R1519">
        <f t="shared" si="402"/>
        <v>1</v>
      </c>
      <c r="AG1519" s="8">
        <f t="shared" si="408"/>
        <v>0.75493533751521091</v>
      </c>
      <c r="AH1519" s="8">
        <f t="shared" si="409"/>
        <v>0.20391103901560298</v>
      </c>
      <c r="AI1519" s="8">
        <f t="shared" si="410"/>
        <v>0.62329200567500609</v>
      </c>
      <c r="AJ1519" s="8"/>
      <c r="AK1519" s="8"/>
      <c r="AL1519" s="8"/>
      <c r="AN1519" s="8">
        <f t="shared" si="403"/>
        <v>1</v>
      </c>
      <c r="AO1519" s="8">
        <f t="shared" si="404"/>
        <v>0.26380874647169272</v>
      </c>
      <c r="AP1519" s="8">
        <f t="shared" si="405"/>
        <v>0.89785086632734168</v>
      </c>
      <c r="AQ1519" s="8"/>
      <c r="AR1519" s="8">
        <f t="shared" si="406"/>
        <v>15.11512777146474</v>
      </c>
      <c r="AS1519" s="8">
        <f t="shared" si="407"/>
        <v>38.55693472727868</v>
      </c>
    </row>
    <row r="1520" spans="1:45">
      <c r="A1520" s="20">
        <v>54.4544</v>
      </c>
      <c r="B1520" s="20">
        <v>1758.5873630000001</v>
      </c>
      <c r="C1520" s="20">
        <v>-419.38006439999998</v>
      </c>
      <c r="E1520" s="9">
        <f t="shared" si="396"/>
        <v>798.5873630000001</v>
      </c>
      <c r="F1520" s="9">
        <f t="shared" si="411"/>
        <v>120.61993560000002</v>
      </c>
      <c r="I1520">
        <v>1</v>
      </c>
      <c r="J1520">
        <f t="shared" si="397"/>
        <v>0.49354888678741832</v>
      </c>
      <c r="K1520">
        <f t="shared" si="398"/>
        <v>0.14990849894226513</v>
      </c>
      <c r="O1520">
        <f t="shared" si="399"/>
        <v>0.46844094420387172</v>
      </c>
      <c r="P1520">
        <f t="shared" si="400"/>
        <v>7.0754082947183078E-2</v>
      </c>
      <c r="Q1520">
        <f t="shared" si="401"/>
        <v>0.88065710781193851</v>
      </c>
      <c r="R1520">
        <f t="shared" si="402"/>
        <v>1</v>
      </c>
      <c r="AG1520" s="8">
        <f t="shared" si="408"/>
        <v>0.75506539481715829</v>
      </c>
      <c r="AH1520" s="8">
        <f t="shared" si="409"/>
        <v>0.20418875977038745</v>
      </c>
      <c r="AI1520" s="8">
        <f t="shared" si="410"/>
        <v>0.62304349762519773</v>
      </c>
      <c r="AJ1520" s="8"/>
      <c r="AK1520" s="8"/>
      <c r="AL1520" s="8"/>
      <c r="AN1520" s="8">
        <f t="shared" si="403"/>
        <v>0.99999999999999978</v>
      </c>
      <c r="AO1520" s="8">
        <f t="shared" si="404"/>
        <v>0.2641081620302646</v>
      </c>
      <c r="AP1520" s="8">
        <f t="shared" si="405"/>
        <v>0.89816861572273965</v>
      </c>
      <c r="AQ1520" s="8"/>
      <c r="AR1520" s="8">
        <f t="shared" si="406"/>
        <v>15.132283019291462</v>
      </c>
      <c r="AS1520" s="8">
        <f t="shared" si="407"/>
        <v>38.538729027979542</v>
      </c>
    </row>
    <row r="1521" spans="1:45">
      <c r="A1521" s="20">
        <v>54.487766669999999</v>
      </c>
      <c r="B1521" s="20">
        <v>1759.6623030000001</v>
      </c>
      <c r="C1521" s="20">
        <v>-419.60751240000002</v>
      </c>
      <c r="E1521" s="9">
        <f t="shared" si="396"/>
        <v>799.66230300000007</v>
      </c>
      <c r="F1521" s="9">
        <f t="shared" si="411"/>
        <v>120.39248759999998</v>
      </c>
      <c r="I1521">
        <v>1</v>
      </c>
      <c r="J1521">
        <f t="shared" si="397"/>
        <v>0.49408508583657185</v>
      </c>
      <c r="K1521">
        <f t="shared" si="398"/>
        <v>0.1494318708463529</v>
      </c>
      <c r="O1521">
        <f t="shared" si="399"/>
        <v>0.46894149214746061</v>
      </c>
      <c r="P1521">
        <f t="shared" si="400"/>
        <v>7.0601093194821551E-2</v>
      </c>
      <c r="Q1521">
        <f t="shared" si="401"/>
        <v>0.88040295466462926</v>
      </c>
      <c r="R1521">
        <f t="shared" si="402"/>
        <v>1</v>
      </c>
      <c r="AG1521" s="8">
        <f t="shared" si="408"/>
        <v>0.75513450639225621</v>
      </c>
      <c r="AH1521" s="8">
        <f t="shared" si="409"/>
        <v>0.2047076221186612</v>
      </c>
      <c r="AI1521" s="8">
        <f t="shared" si="410"/>
        <v>0.62278942404495519</v>
      </c>
      <c r="AJ1521" s="8"/>
      <c r="AK1521" s="8"/>
      <c r="AL1521" s="8"/>
      <c r="AN1521" s="8">
        <f t="shared" si="403"/>
        <v>1</v>
      </c>
      <c r="AO1521" s="8">
        <f t="shared" si="404"/>
        <v>0.26472528395926476</v>
      </c>
      <c r="AP1521" s="8">
        <f t="shared" si="405"/>
        <v>0.89849339823966534</v>
      </c>
      <c r="AQ1521" s="8"/>
      <c r="AR1521" s="8">
        <f t="shared" si="406"/>
        <v>15.167641501268141</v>
      </c>
      <c r="AS1521" s="8">
        <f t="shared" si="407"/>
        <v>38.520120360500066</v>
      </c>
    </row>
    <row r="1522" spans="1:45">
      <c r="A1522" s="20">
        <v>54.521133329999998</v>
      </c>
      <c r="B1522" s="20">
        <v>1759.2829079999999</v>
      </c>
      <c r="C1522" s="20">
        <v>-419.72878659999998</v>
      </c>
      <c r="E1522" s="9">
        <f t="shared" si="396"/>
        <v>799.28290799999991</v>
      </c>
      <c r="F1522" s="9">
        <f t="shared" si="411"/>
        <v>120.27121340000002</v>
      </c>
      <c r="I1522">
        <v>1</v>
      </c>
      <c r="J1522">
        <f t="shared" si="397"/>
        <v>0.49388022142829913</v>
      </c>
      <c r="K1522">
        <f t="shared" si="398"/>
        <v>0.14935338360658915</v>
      </c>
      <c r="O1522">
        <f t="shared" si="399"/>
        <v>0.46876866681176199</v>
      </c>
      <c r="P1522">
        <f t="shared" si="400"/>
        <v>7.0537447751042037E-2</v>
      </c>
      <c r="Q1522">
        <f t="shared" si="401"/>
        <v>0.88050008829090542</v>
      </c>
      <c r="R1522">
        <f t="shared" si="402"/>
        <v>1</v>
      </c>
      <c r="AG1522" s="8">
        <f t="shared" si="408"/>
        <v>0.75518718725013745</v>
      </c>
      <c r="AH1522" s="8">
        <f t="shared" si="409"/>
        <v>0.20450619291000907</v>
      </c>
      <c r="AI1522" s="8">
        <f t="shared" si="410"/>
        <v>0.62279172222716628</v>
      </c>
      <c r="AJ1522" s="8"/>
      <c r="AK1522" s="8"/>
      <c r="AL1522" s="8"/>
      <c r="AN1522" s="8">
        <f t="shared" si="403"/>
        <v>0.99999999999999978</v>
      </c>
      <c r="AO1522" s="8">
        <f t="shared" si="404"/>
        <v>0.26445918065606472</v>
      </c>
      <c r="AP1522" s="8">
        <f t="shared" si="405"/>
        <v>0.89849046084736739</v>
      </c>
      <c r="AQ1522" s="8"/>
      <c r="AR1522" s="8">
        <f t="shared" si="406"/>
        <v>15.152394905080289</v>
      </c>
      <c r="AS1522" s="8">
        <f t="shared" si="407"/>
        <v>38.520288660681516</v>
      </c>
    </row>
    <row r="1523" spans="1:45">
      <c r="A1523" s="20">
        <v>54.554499999999997</v>
      </c>
      <c r="B1523" s="20">
        <v>1759.7224980000001</v>
      </c>
      <c r="C1523" s="20">
        <v>-419.881168</v>
      </c>
      <c r="E1523" s="9">
        <f t="shared" si="396"/>
        <v>799.72249800000009</v>
      </c>
      <c r="F1523" s="9">
        <f t="shared" si="411"/>
        <v>120.118832</v>
      </c>
      <c r="I1523">
        <v>1</v>
      </c>
      <c r="J1523">
        <f t="shared" si="397"/>
        <v>0.49409489587770899</v>
      </c>
      <c r="K1523">
        <f t="shared" si="398"/>
        <v>0.14908616796633528</v>
      </c>
      <c r="O1523">
        <f t="shared" si="399"/>
        <v>0.4689744120872022</v>
      </c>
      <c r="P1523">
        <f t="shared" si="400"/>
        <v>7.0440257412642412E-2</v>
      </c>
      <c r="Q1523">
        <f t="shared" si="401"/>
        <v>0.88039830244219786</v>
      </c>
      <c r="R1523">
        <f t="shared" si="402"/>
        <v>1</v>
      </c>
      <c r="AG1523" s="8">
        <f t="shared" si="408"/>
        <v>0.75523808038881235</v>
      </c>
      <c r="AH1523" s="8">
        <f t="shared" si="409"/>
        <v>0.20471292679926939</v>
      </c>
      <c r="AI1523" s="8">
        <f t="shared" si="410"/>
        <v>0.62266207491053993</v>
      </c>
      <c r="AJ1523" s="8"/>
      <c r="AK1523" s="8"/>
      <c r="AL1523" s="8"/>
      <c r="AN1523" s="8">
        <f t="shared" si="403"/>
        <v>1</v>
      </c>
      <c r="AO1523" s="8">
        <f t="shared" si="404"/>
        <v>0.26469719463492514</v>
      </c>
      <c r="AP1523" s="8">
        <f t="shared" si="405"/>
        <v>0.89865615717956837</v>
      </c>
      <c r="AQ1523" s="8"/>
      <c r="AR1523" s="8">
        <f t="shared" si="406"/>
        <v>15.166032101534109</v>
      </c>
      <c r="AS1523" s="8">
        <f t="shared" si="407"/>
        <v>38.510794960165597</v>
      </c>
    </row>
    <row r="1524" spans="1:45">
      <c r="A1524" s="20">
        <v>54.587866669999997</v>
      </c>
      <c r="B1524" s="20">
        <v>1760.4645479999999</v>
      </c>
      <c r="C1524" s="20">
        <v>-420.16357119999998</v>
      </c>
      <c r="E1524" s="9">
        <f t="shared" si="396"/>
        <v>800.46454799999992</v>
      </c>
      <c r="F1524" s="9">
        <f t="shared" si="411"/>
        <v>119.83642880000002</v>
      </c>
      <c r="I1524">
        <v>1</v>
      </c>
      <c r="J1524">
        <f t="shared" si="397"/>
        <v>0.4944552936527144</v>
      </c>
      <c r="K1524">
        <f t="shared" si="398"/>
        <v>0.14860495006517688</v>
      </c>
      <c r="O1524">
        <f t="shared" si="399"/>
        <v>0.46932202099901948</v>
      </c>
      <c r="P1524">
        <f t="shared" si="400"/>
        <v>7.026154386755068E-2</v>
      </c>
      <c r="Q1524">
        <f t="shared" si="401"/>
        <v>0.8802273320334606</v>
      </c>
      <c r="R1524">
        <f t="shared" si="402"/>
        <v>1</v>
      </c>
      <c r="AG1524" s="8">
        <f t="shared" si="408"/>
        <v>0.75533347549472585</v>
      </c>
      <c r="AH1524" s="8">
        <f t="shared" si="409"/>
        <v>0.2050594788212175</v>
      </c>
      <c r="AI1524" s="8">
        <f t="shared" si="410"/>
        <v>0.62243228623090308</v>
      </c>
      <c r="AJ1524" s="8"/>
      <c r="AK1524" s="8"/>
      <c r="AL1524" s="8"/>
      <c r="AN1524" s="8">
        <f t="shared" si="403"/>
        <v>0.99999999999999978</v>
      </c>
      <c r="AO1524" s="8">
        <f t="shared" si="404"/>
        <v>0.26509266629717321</v>
      </c>
      <c r="AP1524" s="8">
        <f t="shared" si="405"/>
        <v>0.89894978596607733</v>
      </c>
      <c r="AQ1524" s="8"/>
      <c r="AR1524" s="8">
        <f t="shared" si="406"/>
        <v>15.188690958697945</v>
      </c>
      <c r="AS1524" s="8">
        <f t="shared" si="407"/>
        <v>38.49397126995509</v>
      </c>
    </row>
    <row r="1525" spans="1:45">
      <c r="A1525" s="20">
        <v>54.621233330000003</v>
      </c>
      <c r="B1525" s="20">
        <v>1761.0162459999999</v>
      </c>
      <c r="C1525" s="20">
        <v>-420.24967299999997</v>
      </c>
      <c r="E1525" s="9">
        <f t="shared" si="396"/>
        <v>801.01624599999991</v>
      </c>
      <c r="F1525" s="9">
        <f t="shared" si="411"/>
        <v>119.75032700000003</v>
      </c>
      <c r="I1525">
        <v>1</v>
      </c>
      <c r="J1525">
        <f t="shared" si="397"/>
        <v>0.49473274442540721</v>
      </c>
      <c r="K1525">
        <f t="shared" si="398"/>
        <v>0.14839895825773616</v>
      </c>
      <c r="O1525">
        <f t="shared" si="399"/>
        <v>0.46957800182697135</v>
      </c>
      <c r="P1525">
        <f t="shared" si="400"/>
        <v>7.0200972266905096E-2</v>
      </c>
      <c r="Q1525">
        <f t="shared" si="401"/>
        <v>0.88009563326548224</v>
      </c>
      <c r="R1525">
        <f t="shared" si="402"/>
        <v>1</v>
      </c>
      <c r="AG1525" s="8">
        <f t="shared" si="408"/>
        <v>0.75535698759104963</v>
      </c>
      <c r="AH1525" s="8">
        <f t="shared" si="409"/>
        <v>0.20532829099524</v>
      </c>
      <c r="AI1525" s="8">
        <f t="shared" si="410"/>
        <v>0.62231512452643234</v>
      </c>
      <c r="AJ1525" s="8"/>
      <c r="AK1525" s="8"/>
      <c r="AL1525" s="8"/>
      <c r="AN1525" s="8">
        <f t="shared" si="403"/>
        <v>1</v>
      </c>
      <c r="AO1525" s="8">
        <f t="shared" si="404"/>
        <v>0.26541621342407679</v>
      </c>
      <c r="AP1525" s="8">
        <f t="shared" si="405"/>
        <v>0.89909947125478118</v>
      </c>
      <c r="AQ1525" s="8"/>
      <c r="AR1525" s="8">
        <f t="shared" si="406"/>
        <v>15.207228843543104</v>
      </c>
      <c r="AS1525" s="8">
        <f t="shared" si="407"/>
        <v>38.485394934657158</v>
      </c>
    </row>
    <row r="1526" spans="1:45">
      <c r="A1526" s="20">
        <v>54.654600000000002</v>
      </c>
      <c r="B1526" s="20">
        <v>1761.51991</v>
      </c>
      <c r="C1526" s="20">
        <v>-420.67238029999999</v>
      </c>
      <c r="E1526" s="9">
        <f t="shared" si="396"/>
        <v>801.51990999999998</v>
      </c>
      <c r="F1526" s="9">
        <f t="shared" si="411"/>
        <v>119.32761970000001</v>
      </c>
      <c r="I1526">
        <v>1</v>
      </c>
      <c r="J1526">
        <f t="shared" si="397"/>
        <v>0.49495957482205705</v>
      </c>
      <c r="K1526">
        <f t="shared" si="398"/>
        <v>0.14779116129935957</v>
      </c>
      <c r="O1526">
        <f t="shared" si="399"/>
        <v>0.46981802714201593</v>
      </c>
      <c r="P1526">
        <f t="shared" si="400"/>
        <v>6.9944946060050778E-2</v>
      </c>
      <c r="Q1526">
        <f t="shared" si="401"/>
        <v>0.87998791235620988</v>
      </c>
      <c r="R1526">
        <f t="shared" si="402"/>
        <v>1</v>
      </c>
      <c r="AG1526" s="8">
        <f t="shared" si="408"/>
        <v>0.75550976401080561</v>
      </c>
      <c r="AH1526" s="8">
        <f t="shared" si="409"/>
        <v>0.20554231439320891</v>
      </c>
      <c r="AI1526" s="8">
        <f t="shared" si="410"/>
        <v>0.6220589630237795</v>
      </c>
      <c r="AJ1526" s="8"/>
      <c r="AK1526" s="8"/>
      <c r="AL1526" s="8"/>
      <c r="AN1526" s="8">
        <f t="shared" si="403"/>
        <v>0.99999999999999978</v>
      </c>
      <c r="AO1526" s="8">
        <f t="shared" si="404"/>
        <v>0.26562880652389459</v>
      </c>
      <c r="AP1526" s="8">
        <f t="shared" si="405"/>
        <v>0.89942668005851134</v>
      </c>
      <c r="AQ1526" s="8"/>
      <c r="AR1526" s="8">
        <f t="shared" si="406"/>
        <v>15.219409530916268</v>
      </c>
      <c r="AS1526" s="8">
        <f t="shared" si="407"/>
        <v>38.4666472511839</v>
      </c>
    </row>
    <row r="1527" spans="1:45">
      <c r="A1527" s="20">
        <v>54.687966670000002</v>
      </c>
      <c r="B1527" s="20">
        <v>1761.8590099999999</v>
      </c>
      <c r="C1527" s="20">
        <v>-420.9135508</v>
      </c>
      <c r="E1527" s="9">
        <f t="shared" si="396"/>
        <v>801.8590099999999</v>
      </c>
      <c r="F1527" s="9">
        <f t="shared" si="411"/>
        <v>119.0864492</v>
      </c>
      <c r="I1527">
        <v>1</v>
      </c>
      <c r="J1527">
        <f t="shared" si="397"/>
        <v>0.49511566797701906</v>
      </c>
      <c r="K1527">
        <f t="shared" si="398"/>
        <v>0.14743530628979354</v>
      </c>
      <c r="O1527">
        <f t="shared" si="399"/>
        <v>0.4699787518114617</v>
      </c>
      <c r="P1527">
        <f t="shared" si="400"/>
        <v>6.9797932123597445E-2</v>
      </c>
      <c r="Q1527">
        <f t="shared" si="401"/>
        <v>0.87991375799961791</v>
      </c>
      <c r="R1527">
        <f t="shared" si="402"/>
        <v>1</v>
      </c>
      <c r="AG1527" s="8">
        <f t="shared" si="408"/>
        <v>0.75559597276720103</v>
      </c>
      <c r="AH1527" s="8">
        <f t="shared" si="409"/>
        <v>0.20569031600505033</v>
      </c>
      <c r="AI1527" s="8">
        <f t="shared" si="410"/>
        <v>0.62190531420766104</v>
      </c>
      <c r="AJ1527" s="8"/>
      <c r="AK1527" s="8"/>
      <c r="AL1527" s="8"/>
      <c r="AN1527" s="8">
        <f t="shared" si="403"/>
        <v>0.99999999999999978</v>
      </c>
      <c r="AO1527" s="8">
        <f t="shared" si="404"/>
        <v>0.26578227455930648</v>
      </c>
      <c r="AP1527" s="8">
        <f t="shared" si="405"/>
        <v>0.89962290311046789</v>
      </c>
      <c r="AQ1527" s="8"/>
      <c r="AR1527" s="8">
        <f t="shared" si="406"/>
        <v>15.228202601635534</v>
      </c>
      <c r="AS1527" s="8">
        <f t="shared" si="407"/>
        <v>38.455404498463608</v>
      </c>
    </row>
    <row r="1528" spans="1:45">
      <c r="A1528" s="20">
        <v>54.72133333</v>
      </c>
      <c r="B1528" s="20">
        <v>1762.3688110000001</v>
      </c>
      <c r="C1528" s="20">
        <v>-421.63513829999999</v>
      </c>
      <c r="E1528" s="9">
        <f t="shared" si="396"/>
        <v>802.36881100000005</v>
      </c>
      <c r="F1528" s="9">
        <f t="shared" si="411"/>
        <v>118.36486170000001</v>
      </c>
      <c r="I1528">
        <v>1</v>
      </c>
      <c r="J1528">
        <f t="shared" si="397"/>
        <v>0.49532309094749521</v>
      </c>
      <c r="K1528">
        <f t="shared" si="398"/>
        <v>0.14646292784469297</v>
      </c>
      <c r="O1528">
        <f t="shared" si="399"/>
        <v>0.47022694973482732</v>
      </c>
      <c r="P1528">
        <f t="shared" si="400"/>
        <v>6.9367536611509309E-2</v>
      </c>
      <c r="Q1528">
        <f t="shared" si="401"/>
        <v>0.87981518548359405</v>
      </c>
      <c r="R1528">
        <f t="shared" si="402"/>
        <v>1</v>
      </c>
      <c r="AG1528" s="8">
        <f t="shared" si="408"/>
        <v>0.75586243182656498</v>
      </c>
      <c r="AH1528" s="8">
        <f t="shared" si="409"/>
        <v>0.20588008709779651</v>
      </c>
      <c r="AI1528" s="8">
        <f t="shared" si="410"/>
        <v>0.621518603011877</v>
      </c>
      <c r="AJ1528" s="8"/>
      <c r="AK1528" s="8"/>
      <c r="AL1528" s="8"/>
      <c r="AN1528" s="8">
        <f t="shared" si="403"/>
        <v>1</v>
      </c>
      <c r="AO1528" s="8">
        <f t="shared" si="404"/>
        <v>0.26592666894779321</v>
      </c>
      <c r="AP1528" s="8">
        <f t="shared" si="405"/>
        <v>0.90011663205997372</v>
      </c>
      <c r="AQ1528" s="8"/>
      <c r="AR1528" s="8">
        <f t="shared" si="406"/>
        <v>15.236475790681196</v>
      </c>
      <c r="AS1528" s="8">
        <f t="shared" si="407"/>
        <v>38.427115913433497</v>
      </c>
    </row>
    <row r="1529" spans="1:45">
      <c r="A1529" s="20">
        <v>54.7547</v>
      </c>
      <c r="B1529" s="20">
        <v>1762.8881980000001</v>
      </c>
      <c r="C1529" s="20">
        <v>-421.74985720000001</v>
      </c>
      <c r="E1529" s="9">
        <f t="shared" ref="E1529:E1592" si="412">(B1529-($B$15/2))</f>
        <v>802.8881980000001</v>
      </c>
      <c r="F1529" s="9">
        <f t="shared" si="411"/>
        <v>118.25014279999999</v>
      </c>
      <c r="I1529">
        <v>1</v>
      </c>
      <c r="J1529">
        <f t="shared" ref="J1529:J1592" si="413">ATAN((SQRT(E1529^2+F1529^2)^$B$16)/($F$24))</f>
        <v>0.49558167740286796</v>
      </c>
      <c r="K1529">
        <f t="shared" ref="K1529:K1592" si="414">ATAN2(E1529,F1529)</f>
        <v>0.14622968276716208</v>
      </c>
      <c r="O1529">
        <f t="shared" ref="O1529:O1592" si="415">COS(K1529)*SIN(J1529)</f>
        <v>0.47046818105877536</v>
      </c>
      <c r="P1529">
        <f t="shared" ref="P1529:P1592" si="416">SIN(K1529)*SIN(J1529)</f>
        <v>6.9291004316215432E-2</v>
      </c>
      <c r="Q1529">
        <f t="shared" ref="Q1529:Q1592" si="417">COS(J1529)</f>
        <v>0.87969224580650796</v>
      </c>
      <c r="R1529">
        <f t="shared" ref="R1529:R1592" si="418">SQRT(O1529^2+P1529^2+Q1529^2)</f>
        <v>1</v>
      </c>
      <c r="AG1529" s="8">
        <f t="shared" si="408"/>
        <v>0.75589708242316977</v>
      </c>
      <c r="AH1529" s="8">
        <f t="shared" si="409"/>
        <v>0.20612980190803648</v>
      </c>
      <c r="AI1529" s="8">
        <f t="shared" si="410"/>
        <v>0.6213936800044666</v>
      </c>
      <c r="AJ1529" s="8"/>
      <c r="AK1529" s="8"/>
      <c r="AL1529" s="8"/>
      <c r="AN1529" s="8">
        <f t="shared" ref="AN1529:AN1592" si="419">AG1529^2+AH1529^2+AI1529^2</f>
        <v>1.0000000000000002</v>
      </c>
      <c r="AO1529" s="8">
        <f t="shared" ref="AO1529:AO1592" si="420">IF(ATAN2(AG1529,AH1529)&gt;=0,ATAN2(AG1529,AH1529),ATAN2(AG1529,AH1529)+2*PI())</f>
        <v>0.26622256088345242</v>
      </c>
      <c r="AP1529" s="8">
        <f t="shared" ref="AP1529:AP1592" si="421">ACOS(AI1529/AN1529)</f>
        <v>0.90027608470470299</v>
      </c>
      <c r="AQ1529" s="8"/>
      <c r="AR1529" s="8">
        <f t="shared" ref="AR1529:AR1592" si="422">DEGREES(AO1529)</f>
        <v>15.253429149786424</v>
      </c>
      <c r="AS1529" s="8">
        <f t="shared" ref="AS1529:AS1592" si="423">90-DEGREES(AP1529)</f>
        <v>38.417979949858314</v>
      </c>
    </row>
    <row r="1530" spans="1:45">
      <c r="A1530" s="20">
        <v>54.788066669999999</v>
      </c>
      <c r="B1530" s="20">
        <v>1763.3626200000001</v>
      </c>
      <c r="C1530" s="20">
        <v>-421.66068189999999</v>
      </c>
      <c r="E1530" s="9">
        <f t="shared" si="412"/>
        <v>803.36262000000011</v>
      </c>
      <c r="F1530" s="9">
        <f t="shared" si="411"/>
        <v>118.33931810000001</v>
      </c>
      <c r="I1530">
        <v>1</v>
      </c>
      <c r="J1530">
        <f t="shared" si="413"/>
        <v>0.49583252156119173</v>
      </c>
      <c r="K1530">
        <f t="shared" si="414"/>
        <v>0.14625319905309456</v>
      </c>
      <c r="O1530">
        <f t="shared" si="415"/>
        <v>0.47068484650346293</v>
      </c>
      <c r="P1530">
        <f t="shared" si="416"/>
        <v>6.9334223909027493E-2</v>
      </c>
      <c r="Q1530">
        <f t="shared" si="417"/>
        <v>0.87957293084027111</v>
      </c>
      <c r="R1530">
        <f t="shared" si="418"/>
        <v>1</v>
      </c>
      <c r="AG1530" s="8">
        <f t="shared" si="408"/>
        <v>0.75585471568354501</v>
      </c>
      <c r="AH1530" s="8">
        <f t="shared" si="409"/>
        <v>0.20637546948898719</v>
      </c>
      <c r="AI1530" s="8">
        <f t="shared" si="410"/>
        <v>0.6213636731996387</v>
      </c>
      <c r="AJ1530" s="8"/>
      <c r="AK1530" s="8"/>
      <c r="AL1530" s="8"/>
      <c r="AN1530" s="8">
        <f t="shared" si="419"/>
        <v>0.99999999999999989</v>
      </c>
      <c r="AO1530" s="8">
        <f t="shared" si="420"/>
        <v>0.26653928362054885</v>
      </c>
      <c r="AP1530" s="8">
        <f t="shared" si="421"/>
        <v>0.90031438260731589</v>
      </c>
      <c r="AQ1530" s="8"/>
      <c r="AR1530" s="8">
        <f t="shared" si="422"/>
        <v>15.271576025897881</v>
      </c>
      <c r="AS1530" s="8">
        <f t="shared" si="423"/>
        <v>38.41578564167439</v>
      </c>
    </row>
    <row r="1531" spans="1:45">
      <c r="A1531" s="20">
        <v>54.821433329999998</v>
      </c>
      <c r="B1531" s="20">
        <v>1763.927608</v>
      </c>
      <c r="C1531" s="20">
        <v>-421.93326889999997</v>
      </c>
      <c r="E1531" s="9">
        <f t="shared" si="412"/>
        <v>803.92760799999996</v>
      </c>
      <c r="F1531" s="9">
        <f t="shared" si="411"/>
        <v>118.06673110000003</v>
      </c>
      <c r="I1531">
        <v>1</v>
      </c>
      <c r="J1531">
        <f t="shared" si="413"/>
        <v>0.49610250940277917</v>
      </c>
      <c r="K1531">
        <f t="shared" si="414"/>
        <v>0.14581997841451963</v>
      </c>
      <c r="O1531">
        <f t="shared" si="415"/>
        <v>0.47094977589888637</v>
      </c>
      <c r="P1531">
        <f t="shared" si="416"/>
        <v>6.9164810362700099E-2</v>
      </c>
      <c r="Q1531">
        <f t="shared" si="417"/>
        <v>0.87944444826735957</v>
      </c>
      <c r="R1531">
        <f t="shared" si="418"/>
        <v>1</v>
      </c>
      <c r="AG1531" s="8">
        <f t="shared" si="408"/>
        <v>0.75594862087438508</v>
      </c>
      <c r="AH1531" s="8">
        <f t="shared" si="409"/>
        <v>0.20663348280215918</v>
      </c>
      <c r="AI1531" s="8">
        <f t="shared" si="410"/>
        <v>0.62116365507261051</v>
      </c>
      <c r="AJ1531" s="8"/>
      <c r="AK1531" s="8"/>
      <c r="AL1531" s="8"/>
      <c r="AN1531" s="8">
        <f t="shared" si="419"/>
        <v>1</v>
      </c>
      <c r="AO1531" s="8">
        <f t="shared" si="420"/>
        <v>0.26682532899774097</v>
      </c>
      <c r="AP1531" s="8">
        <f t="shared" si="421"/>
        <v>0.90056963748413299</v>
      </c>
      <c r="AQ1531" s="8"/>
      <c r="AR1531" s="8">
        <f t="shared" si="422"/>
        <v>15.287965218760219</v>
      </c>
      <c r="AS1531" s="8">
        <f t="shared" si="423"/>
        <v>38.401160614532635</v>
      </c>
    </row>
    <row r="1532" spans="1:45">
      <c r="A1532" s="20">
        <v>54.854799999999997</v>
      </c>
      <c r="B1532" s="20">
        <v>1763.9025509999999</v>
      </c>
      <c r="C1532" s="20">
        <v>-422.12855159999998</v>
      </c>
      <c r="E1532" s="9">
        <f t="shared" si="412"/>
        <v>803.9025509999999</v>
      </c>
      <c r="F1532" s="9">
        <f t="shared" si="411"/>
        <v>117.87144840000002</v>
      </c>
      <c r="I1532">
        <v>1</v>
      </c>
      <c r="J1532">
        <f t="shared" si="413"/>
        <v>0.49607488327495797</v>
      </c>
      <c r="K1532">
        <f t="shared" si="414"/>
        <v>0.14558666176662613</v>
      </c>
      <c r="O1532">
        <f t="shared" si="415"/>
        <v>0.47094186158193974</v>
      </c>
      <c r="P1532">
        <f t="shared" si="416"/>
        <v>6.9051403391871533E-2</v>
      </c>
      <c r="Q1532">
        <f t="shared" si="417"/>
        <v>0.87945759801104118</v>
      </c>
      <c r="R1532">
        <f t="shared" si="418"/>
        <v>1</v>
      </c>
      <c r="AG1532" s="8">
        <f t="shared" si="408"/>
        <v>0.75602350367636817</v>
      </c>
      <c r="AH1532" s="8">
        <f t="shared" si="409"/>
        <v>0.20660317778233053</v>
      </c>
      <c r="AI1532" s="8">
        <f t="shared" si="410"/>
        <v>0.62108259420076417</v>
      </c>
      <c r="AJ1532" s="8"/>
      <c r="AK1532" s="8"/>
      <c r="AL1532" s="8"/>
      <c r="AN1532" s="8">
        <f t="shared" si="419"/>
        <v>1</v>
      </c>
      <c r="AO1532" s="8">
        <f t="shared" si="420"/>
        <v>0.26676283802830175</v>
      </c>
      <c r="AP1532" s="8">
        <f t="shared" si="421"/>
        <v>0.90067306931709246</v>
      </c>
      <c r="AQ1532" s="8"/>
      <c r="AR1532" s="8">
        <f t="shared" si="422"/>
        <v>15.28438474995367</v>
      </c>
      <c r="AS1532" s="8">
        <f t="shared" si="423"/>
        <v>38.39523440703676</v>
      </c>
    </row>
    <row r="1533" spans="1:45">
      <c r="A1533" s="20">
        <v>54.888166669999997</v>
      </c>
      <c r="B1533" s="20">
        <v>1764.444139</v>
      </c>
      <c r="C1533" s="20">
        <v>-422.42150839999999</v>
      </c>
      <c r="E1533" s="9">
        <f t="shared" si="412"/>
        <v>804.44413899999995</v>
      </c>
      <c r="F1533" s="9">
        <f t="shared" si="411"/>
        <v>117.57849160000001</v>
      </c>
      <c r="I1533">
        <v>1</v>
      </c>
      <c r="J1533">
        <f t="shared" si="413"/>
        <v>0.49633135936337547</v>
      </c>
      <c r="K1533">
        <f t="shared" si="414"/>
        <v>0.14513348680788915</v>
      </c>
      <c r="O1533">
        <f t="shared" si="415"/>
        <v>0.47119627854279372</v>
      </c>
      <c r="P1533">
        <f t="shared" si="416"/>
        <v>6.8870596468594752E-2</v>
      </c>
      <c r="Q1533">
        <f t="shared" si="417"/>
        <v>0.87933549230625385</v>
      </c>
      <c r="R1533">
        <f t="shared" si="418"/>
        <v>1</v>
      </c>
      <c r="AG1533" s="8">
        <f t="shared" si="408"/>
        <v>0.75612545624381344</v>
      </c>
      <c r="AH1533" s="8">
        <f t="shared" si="409"/>
        <v>0.20684753879992182</v>
      </c>
      <c r="AI1533" s="8">
        <f t="shared" si="410"/>
        <v>0.62087711353576225</v>
      </c>
      <c r="AJ1533" s="8"/>
      <c r="AK1533" s="8"/>
      <c r="AL1533" s="8"/>
      <c r="AN1533" s="8">
        <f t="shared" si="419"/>
        <v>1</v>
      </c>
      <c r="AO1533" s="8">
        <f t="shared" si="420"/>
        <v>0.26702924950862</v>
      </c>
      <c r="AP1533" s="8">
        <f t="shared" si="421"/>
        <v>0.9009352200101074</v>
      </c>
      <c r="AQ1533" s="8"/>
      <c r="AR1533" s="8">
        <f t="shared" si="422"/>
        <v>15.299649003389739</v>
      </c>
      <c r="AS1533" s="8">
        <f t="shared" si="423"/>
        <v>38.380214278730577</v>
      </c>
    </row>
    <row r="1534" spans="1:45">
      <c r="A1534" s="20">
        <v>54.921533330000003</v>
      </c>
      <c r="B1534" s="20">
        <v>1765.7071289999999</v>
      </c>
      <c r="C1534" s="20">
        <v>-422.36055219999997</v>
      </c>
      <c r="E1534" s="9">
        <f t="shared" si="412"/>
        <v>805.7071289999999</v>
      </c>
      <c r="F1534" s="9">
        <f t="shared" si="411"/>
        <v>117.63944780000003</v>
      </c>
      <c r="I1534">
        <v>1</v>
      </c>
      <c r="J1534">
        <f t="shared" si="413"/>
        <v>0.49698519223799681</v>
      </c>
      <c r="K1534">
        <f t="shared" si="414"/>
        <v>0.14498323322922912</v>
      </c>
      <c r="O1534">
        <f t="shared" si="415"/>
        <v>0.47177542690436064</v>
      </c>
      <c r="P1534">
        <f t="shared" si="416"/>
        <v>6.8882846767808925E-2</v>
      </c>
      <c r="Q1534">
        <f t="shared" si="417"/>
        <v>0.87902394733611833</v>
      </c>
      <c r="R1534">
        <f t="shared" si="418"/>
        <v>1</v>
      </c>
      <c r="AG1534" s="8">
        <f t="shared" si="408"/>
        <v>0.75607939919971134</v>
      </c>
      <c r="AH1534" s="8">
        <f t="shared" si="409"/>
        <v>0.20748471849861605</v>
      </c>
      <c r="AI1534" s="8">
        <f t="shared" si="410"/>
        <v>0.62072057618170973</v>
      </c>
      <c r="AJ1534" s="8"/>
      <c r="AK1534" s="8"/>
      <c r="AL1534" s="8"/>
      <c r="AN1534" s="8">
        <f t="shared" si="419"/>
        <v>1.0000000000000002</v>
      </c>
      <c r="AO1534" s="8">
        <f t="shared" si="420"/>
        <v>0.26782864360220654</v>
      </c>
      <c r="AP1534" s="8">
        <f t="shared" si="421"/>
        <v>0.9011348926710866</v>
      </c>
      <c r="AQ1534" s="8"/>
      <c r="AR1534" s="8">
        <f t="shared" si="422"/>
        <v>15.345450911119933</v>
      </c>
      <c r="AS1534" s="8">
        <f t="shared" si="423"/>
        <v>38.368773877972316</v>
      </c>
    </row>
    <row r="1535" spans="1:45">
      <c r="A1535" s="20">
        <v>54.954900000000002</v>
      </c>
      <c r="B1535" s="20">
        <v>1766.0884599999999</v>
      </c>
      <c r="C1535" s="20">
        <v>-422.73715120000003</v>
      </c>
      <c r="E1535" s="9">
        <f t="shared" si="412"/>
        <v>806.08845999999994</v>
      </c>
      <c r="F1535" s="9">
        <f t="shared" si="411"/>
        <v>117.26284879999997</v>
      </c>
      <c r="I1535">
        <v>1</v>
      </c>
      <c r="J1535">
        <f t="shared" si="413"/>
        <v>0.49715294056405718</v>
      </c>
      <c r="K1535">
        <f t="shared" si="414"/>
        <v>0.14445812255169982</v>
      </c>
      <c r="O1535">
        <f t="shared" si="415"/>
        <v>0.4719574452532152</v>
      </c>
      <c r="P1535">
        <f t="shared" si="416"/>
        <v>6.8656329037091096E-2</v>
      </c>
      <c r="Q1535">
        <f t="shared" si="417"/>
        <v>0.87894395632099831</v>
      </c>
      <c r="R1535">
        <f t="shared" si="418"/>
        <v>1</v>
      </c>
      <c r="AG1535" s="8">
        <f t="shared" si="408"/>
        <v>0.75621585879948661</v>
      </c>
      <c r="AH1535" s="8">
        <f t="shared" si="409"/>
        <v>0.20764108559565544</v>
      </c>
      <c r="AI1535" s="8">
        <f t="shared" si="410"/>
        <v>0.62050201810535044</v>
      </c>
      <c r="AJ1535" s="8"/>
      <c r="AK1535" s="8"/>
      <c r="AL1535" s="8"/>
      <c r="AN1535" s="8">
        <f t="shared" si="419"/>
        <v>1</v>
      </c>
      <c r="AO1535" s="8">
        <f t="shared" si="420"/>
        <v>0.26797488071560555</v>
      </c>
      <c r="AP1535" s="8">
        <f t="shared" si="421"/>
        <v>0.90141362364693656</v>
      </c>
      <c r="AQ1535" s="8"/>
      <c r="AR1535" s="8">
        <f t="shared" si="422"/>
        <v>15.353829680525871</v>
      </c>
      <c r="AS1535" s="8">
        <f t="shared" si="423"/>
        <v>38.352803769436555</v>
      </c>
    </row>
    <row r="1536" spans="1:45">
      <c r="A1536" s="20">
        <v>54.988266670000002</v>
      </c>
      <c r="B1536" s="20">
        <v>1766.62446</v>
      </c>
      <c r="C1536" s="20">
        <v>-423.1515417</v>
      </c>
      <c r="E1536" s="9">
        <f t="shared" si="412"/>
        <v>806.62446</v>
      </c>
      <c r="F1536" s="9">
        <f t="shared" si="411"/>
        <v>116.8484583</v>
      </c>
      <c r="I1536">
        <v>1</v>
      </c>
      <c r="J1536">
        <f t="shared" si="413"/>
        <v>0.49739742578672669</v>
      </c>
      <c r="K1536">
        <f t="shared" si="414"/>
        <v>0.14386032065931004</v>
      </c>
      <c r="O1536">
        <f t="shared" si="415"/>
        <v>0.4722110586888702</v>
      </c>
      <c r="P1536">
        <f t="shared" si="416"/>
        <v>6.8404985140179481E-2</v>
      </c>
      <c r="Q1536">
        <f t="shared" si="417"/>
        <v>0.87882732892184701</v>
      </c>
      <c r="R1536">
        <f t="shared" si="418"/>
        <v>1</v>
      </c>
      <c r="AG1536" s="8">
        <f t="shared" si="408"/>
        <v>0.75636375688131896</v>
      </c>
      <c r="AH1536" s="8">
        <f t="shared" si="409"/>
        <v>0.20787125213959146</v>
      </c>
      <c r="AI1536" s="8">
        <f t="shared" si="410"/>
        <v>0.62024463706693633</v>
      </c>
      <c r="AJ1536" s="8"/>
      <c r="AK1536" s="8"/>
      <c r="AL1536" s="8"/>
      <c r="AN1536" s="8">
        <f t="shared" si="419"/>
        <v>1.0000000000000002</v>
      </c>
      <c r="AO1536" s="8">
        <f t="shared" si="420"/>
        <v>0.26820791156513712</v>
      </c>
      <c r="AP1536" s="8">
        <f t="shared" si="421"/>
        <v>0.90174178743208155</v>
      </c>
      <c r="AQ1536" s="8"/>
      <c r="AR1536" s="8">
        <f t="shared" si="422"/>
        <v>15.367181364700379</v>
      </c>
      <c r="AS1536" s="8">
        <f t="shared" si="423"/>
        <v>38.334001369558706</v>
      </c>
    </row>
    <row r="1537" spans="1:45">
      <c r="A1537" s="20">
        <v>55.02163333</v>
      </c>
      <c r="B1537" s="20">
        <v>1767.178332</v>
      </c>
      <c r="C1537" s="20">
        <v>-423.33009920000001</v>
      </c>
      <c r="E1537" s="9">
        <f t="shared" si="412"/>
        <v>807.17833199999995</v>
      </c>
      <c r="F1537" s="9">
        <f t="shared" si="411"/>
        <v>116.66990079999999</v>
      </c>
      <c r="I1537">
        <v>1</v>
      </c>
      <c r="J1537">
        <f t="shared" si="413"/>
        <v>0.49766866932712717</v>
      </c>
      <c r="K1537">
        <f t="shared" si="414"/>
        <v>0.14354628294521449</v>
      </c>
      <c r="O1537">
        <f t="shared" si="415"/>
        <v>0.4724684242897193</v>
      </c>
      <c r="P1537">
        <f t="shared" si="416"/>
        <v>6.8290787806992159E-2</v>
      </c>
      <c r="Q1537">
        <f t="shared" si="417"/>
        <v>0.87869787546681255</v>
      </c>
      <c r="R1537">
        <f t="shared" si="418"/>
        <v>0.99999999999999989</v>
      </c>
      <c r="AG1537" s="8">
        <f t="shared" si="408"/>
        <v>0.75642144658850818</v>
      </c>
      <c r="AH1537" s="8">
        <f t="shared" si="409"/>
        <v>0.20813170157457472</v>
      </c>
      <c r="AI1537" s="8">
        <f t="shared" si="410"/>
        <v>0.62008692127847742</v>
      </c>
      <c r="AJ1537" s="8"/>
      <c r="AK1537" s="8"/>
      <c r="AL1537" s="8"/>
      <c r="AN1537" s="8">
        <f t="shared" si="419"/>
        <v>0.99999999999999978</v>
      </c>
      <c r="AO1537" s="8">
        <f t="shared" si="420"/>
        <v>0.26850853582583634</v>
      </c>
      <c r="AP1537" s="8">
        <f t="shared" si="421"/>
        <v>0.90194283480443682</v>
      </c>
      <c r="AQ1537" s="8"/>
      <c r="AR1537" s="8">
        <f t="shared" si="422"/>
        <v>15.384405866057685</v>
      </c>
      <c r="AS1537" s="8">
        <f t="shared" si="423"/>
        <v>38.322482203640554</v>
      </c>
    </row>
    <row r="1538" spans="1:45">
      <c r="A1538" s="20">
        <v>55.055</v>
      </c>
      <c r="B1538" s="20">
        <v>1767.155434</v>
      </c>
      <c r="C1538" s="20">
        <v>-423.6930241</v>
      </c>
      <c r="E1538" s="9">
        <f t="shared" si="412"/>
        <v>807.15543400000001</v>
      </c>
      <c r="F1538" s="9">
        <f t="shared" si="411"/>
        <v>116.3069759</v>
      </c>
      <c r="I1538">
        <v>1</v>
      </c>
      <c r="J1538">
        <f t="shared" si="413"/>
        <v>0.49763000464024187</v>
      </c>
      <c r="K1538">
        <f t="shared" si="414"/>
        <v>0.14310983899621565</v>
      </c>
      <c r="O1538">
        <f t="shared" si="415"/>
        <v>0.47246455677336119</v>
      </c>
      <c r="P1538">
        <f t="shared" si="416"/>
        <v>6.8079729756540919E-2</v>
      </c>
      <c r="Q1538">
        <f t="shared" si="417"/>
        <v>0.87871633249258985</v>
      </c>
      <c r="R1538">
        <f t="shared" si="418"/>
        <v>1</v>
      </c>
      <c r="AG1538" s="8">
        <f t="shared" si="408"/>
        <v>0.7565599558668088</v>
      </c>
      <c r="AH1538" s="8">
        <f t="shared" si="409"/>
        <v>0.20808726210039061</v>
      </c>
      <c r="AI1538" s="8">
        <f t="shared" si="410"/>
        <v>0.61993283872559601</v>
      </c>
      <c r="AJ1538" s="8"/>
      <c r="AK1538" s="8"/>
      <c r="AL1538" s="8"/>
      <c r="AN1538" s="8">
        <f t="shared" si="419"/>
        <v>1.0000000000000002</v>
      </c>
      <c r="AO1538" s="8">
        <f t="shared" si="420"/>
        <v>0.26840709919926686</v>
      </c>
      <c r="AP1538" s="8">
        <f t="shared" si="421"/>
        <v>0.90213921988144408</v>
      </c>
      <c r="AQ1538" s="8"/>
      <c r="AR1538" s="8">
        <f t="shared" si="422"/>
        <v>15.37859397546721</v>
      </c>
      <c r="AS1538" s="8">
        <f t="shared" si="423"/>
        <v>38.311230167568688</v>
      </c>
    </row>
    <row r="1539" spans="1:45">
      <c r="A1539" s="20">
        <v>55.088366669999999</v>
      </c>
      <c r="B1539" s="20">
        <v>1767.6647109999999</v>
      </c>
      <c r="C1539" s="20">
        <v>-423.94049469999999</v>
      </c>
      <c r="E1539" s="9">
        <f t="shared" si="412"/>
        <v>807.6647109999999</v>
      </c>
      <c r="F1539" s="9">
        <f t="shared" si="411"/>
        <v>116.05950530000001</v>
      </c>
      <c r="I1539">
        <v>1</v>
      </c>
      <c r="J1539">
        <f t="shared" si="413"/>
        <v>0.49787329131837199</v>
      </c>
      <c r="K1539">
        <f t="shared" si="414"/>
        <v>0.14272063550879524</v>
      </c>
      <c r="O1539">
        <f t="shared" si="415"/>
        <v>0.47270261028093524</v>
      </c>
      <c r="P1539">
        <f t="shared" si="416"/>
        <v>6.792624508169709E-2</v>
      </c>
      <c r="Q1539">
        <f t="shared" si="417"/>
        <v>0.87860017497305987</v>
      </c>
      <c r="R1539">
        <f t="shared" si="418"/>
        <v>1</v>
      </c>
      <c r="AG1539" s="8">
        <f t="shared" si="408"/>
        <v>0.75664456834433635</v>
      </c>
      <c r="AH1539" s="8">
        <f t="shared" si="409"/>
        <v>0.20831909052825065</v>
      </c>
      <c r="AI1539" s="8">
        <f t="shared" si="410"/>
        <v>0.61975168714291962</v>
      </c>
      <c r="AJ1539" s="8"/>
      <c r="AK1539" s="8"/>
      <c r="AL1539" s="8"/>
      <c r="AN1539" s="8">
        <f t="shared" si="419"/>
        <v>0.99999999999999989</v>
      </c>
      <c r="AO1539" s="8">
        <f t="shared" si="420"/>
        <v>0.26866332925472103</v>
      </c>
      <c r="AP1539" s="8">
        <f t="shared" si="421"/>
        <v>0.90237006667980901</v>
      </c>
      <c r="AQ1539" s="8"/>
      <c r="AR1539" s="8">
        <f t="shared" si="422"/>
        <v>15.393274876229135</v>
      </c>
      <c r="AS1539" s="8">
        <f t="shared" si="423"/>
        <v>38.298003620308272</v>
      </c>
    </row>
    <row r="1540" spans="1:45">
      <c r="A1540" s="20">
        <v>55.121733329999998</v>
      </c>
      <c r="B1540" s="20">
        <v>1767.8925200000001</v>
      </c>
      <c r="C1540" s="20">
        <v>-424.07083060000002</v>
      </c>
      <c r="E1540" s="9">
        <f t="shared" si="412"/>
        <v>807.8925200000001</v>
      </c>
      <c r="F1540" s="9">
        <f t="shared" si="411"/>
        <v>115.92916939999998</v>
      </c>
      <c r="I1540">
        <v>1</v>
      </c>
      <c r="J1540">
        <f t="shared" si="413"/>
        <v>0.4979806710585572</v>
      </c>
      <c r="K1540">
        <f t="shared" si="414"/>
        <v>0.14252286549989443</v>
      </c>
      <c r="O1540">
        <f t="shared" si="415"/>
        <v>0.47280941937201726</v>
      </c>
      <c r="P1540">
        <f t="shared" si="416"/>
        <v>6.7846157645195443E-2</v>
      </c>
      <c r="Q1540">
        <f t="shared" si="417"/>
        <v>0.87854888984386015</v>
      </c>
      <c r="R1540">
        <f t="shared" si="418"/>
        <v>1</v>
      </c>
      <c r="AG1540" s="8">
        <f t="shared" si="408"/>
        <v>0.75668985476315787</v>
      </c>
      <c r="AH1540" s="8">
        <f t="shared" si="409"/>
        <v>0.20842098013170129</v>
      </c>
      <c r="AI1540" s="8">
        <f t="shared" si="410"/>
        <v>0.6196621327299674</v>
      </c>
      <c r="AJ1540" s="8"/>
      <c r="AK1540" s="8"/>
      <c r="AL1540" s="8"/>
      <c r="AN1540" s="8">
        <f t="shared" si="419"/>
        <v>0.99999999999999967</v>
      </c>
      <c r="AO1540" s="8">
        <f t="shared" si="420"/>
        <v>0.26877317376175913</v>
      </c>
      <c r="AP1540" s="8">
        <f t="shared" si="421"/>
        <v>0.90248417296250971</v>
      </c>
      <c r="AQ1540" s="8"/>
      <c r="AR1540" s="8">
        <f t="shared" si="422"/>
        <v>15.399568502885113</v>
      </c>
      <c r="AS1540" s="8">
        <f t="shared" si="423"/>
        <v>38.291465811893595</v>
      </c>
    </row>
    <row r="1541" spans="1:45">
      <c r="A1541" s="20">
        <v>55.155099999999997</v>
      </c>
      <c r="B1541" s="20">
        <v>1768.6178689999999</v>
      </c>
      <c r="C1541" s="20">
        <v>-424.3282537</v>
      </c>
      <c r="E1541" s="9">
        <f t="shared" si="412"/>
        <v>808.61786899999993</v>
      </c>
      <c r="F1541" s="9">
        <f t="shared" si="411"/>
        <v>115.6717463</v>
      </c>
      <c r="I1541">
        <v>1</v>
      </c>
      <c r="J1541">
        <f t="shared" si="413"/>
        <v>0.49833416252795515</v>
      </c>
      <c r="K1541">
        <f t="shared" si="414"/>
        <v>0.14208478931374</v>
      </c>
      <c r="O1541">
        <f t="shared" si="415"/>
        <v>0.47314649624667893</v>
      </c>
      <c r="P1541">
        <f t="shared" si="416"/>
        <v>6.7682997834641906E-2</v>
      </c>
      <c r="Q1541">
        <f t="shared" si="417"/>
        <v>0.87837998889638147</v>
      </c>
      <c r="R1541">
        <f t="shared" si="418"/>
        <v>1</v>
      </c>
      <c r="AG1541" s="8">
        <f t="shared" si="408"/>
        <v>0.75677401776464603</v>
      </c>
      <c r="AH1541" s="8">
        <f t="shared" si="409"/>
        <v>0.20875962274534587</v>
      </c>
      <c r="AI1541" s="8">
        <f t="shared" si="410"/>
        <v>0.61944532119273932</v>
      </c>
      <c r="AJ1541" s="8"/>
      <c r="AK1541" s="8"/>
      <c r="AL1541" s="8"/>
      <c r="AN1541" s="8">
        <f t="shared" si="419"/>
        <v>0.99999999999999989</v>
      </c>
      <c r="AO1541" s="8">
        <f t="shared" si="420"/>
        <v>0.26916058734501802</v>
      </c>
      <c r="AP1541" s="8">
        <f t="shared" si="421"/>
        <v>0.90276038210254328</v>
      </c>
      <c r="AQ1541" s="8"/>
      <c r="AR1541" s="8">
        <f t="shared" si="422"/>
        <v>15.421765666131888</v>
      </c>
      <c r="AS1541" s="8">
        <f t="shared" si="423"/>
        <v>38.275640193906732</v>
      </c>
    </row>
    <row r="1542" spans="1:45">
      <c r="A1542" s="20">
        <v>55.188466669999997</v>
      </c>
      <c r="B1542" s="20">
        <v>1769.1386910000001</v>
      </c>
      <c r="C1542" s="20">
        <v>-424.68731209999999</v>
      </c>
      <c r="E1542" s="9">
        <f t="shared" si="412"/>
        <v>809.13869100000011</v>
      </c>
      <c r="F1542" s="9">
        <f t="shared" si="411"/>
        <v>115.31268790000001</v>
      </c>
      <c r="I1542">
        <v>1</v>
      </c>
      <c r="J1542">
        <f t="shared" si="413"/>
        <v>0.49857519443024051</v>
      </c>
      <c r="K1542">
        <f t="shared" si="414"/>
        <v>0.14155966405780768</v>
      </c>
      <c r="O1542">
        <f t="shared" si="415"/>
        <v>0.4733915591334677</v>
      </c>
      <c r="P1542">
        <f t="shared" si="416"/>
        <v>6.7464396054757389E-2</v>
      </c>
      <c r="Q1542">
        <f t="shared" si="417"/>
        <v>0.87826475905967638</v>
      </c>
      <c r="R1542">
        <f t="shared" si="418"/>
        <v>1</v>
      </c>
      <c r="AG1542" s="8">
        <f t="shared" si="408"/>
        <v>0.75690055633060216</v>
      </c>
      <c r="AH1542" s="8">
        <f t="shared" si="409"/>
        <v>0.20898683624989417</v>
      </c>
      <c r="AI1542" s="8">
        <f t="shared" si="410"/>
        <v>0.61921405838424304</v>
      </c>
      <c r="AJ1542" s="8"/>
      <c r="AK1542" s="8"/>
      <c r="AL1542" s="8"/>
      <c r="AN1542" s="8">
        <f t="shared" si="419"/>
        <v>0.99999999999999989</v>
      </c>
      <c r="AO1542" s="8">
        <f t="shared" si="420"/>
        <v>0.26939667736053441</v>
      </c>
      <c r="AP1542" s="8">
        <f t="shared" si="421"/>
        <v>0.90305493524317115</v>
      </c>
      <c r="AQ1542" s="8"/>
      <c r="AR1542" s="8">
        <f t="shared" si="422"/>
        <v>15.435292627606156</v>
      </c>
      <c r="AS1542" s="8">
        <f t="shared" si="423"/>
        <v>38.258763542106429</v>
      </c>
    </row>
    <row r="1543" spans="1:45">
      <c r="A1543" s="20">
        <v>55.221833330000003</v>
      </c>
      <c r="B1543" s="20">
        <v>1768.5966739999999</v>
      </c>
      <c r="C1543" s="20">
        <v>-423.24324319999999</v>
      </c>
      <c r="E1543" s="9">
        <f t="shared" si="412"/>
        <v>808.59667399999989</v>
      </c>
      <c r="F1543" s="9">
        <f t="shared" si="411"/>
        <v>116.75675680000001</v>
      </c>
      <c r="I1543">
        <v>1</v>
      </c>
      <c r="J1543">
        <f t="shared" si="413"/>
        <v>0.49840332661219477</v>
      </c>
      <c r="K1543">
        <f t="shared" si="414"/>
        <v>0.14340315071195839</v>
      </c>
      <c r="O1543">
        <f t="shared" si="415"/>
        <v>0.47311698205452718</v>
      </c>
      <c r="P1543">
        <f t="shared" si="416"/>
        <v>6.8315398996670135E-2</v>
      </c>
      <c r="Q1543">
        <f t="shared" si="417"/>
        <v>0.87834692892475119</v>
      </c>
      <c r="R1543">
        <f t="shared" si="418"/>
        <v>1</v>
      </c>
      <c r="AG1543" s="8">
        <f t="shared" si="408"/>
        <v>0.75636184304124754</v>
      </c>
      <c r="AH1543" s="8">
        <f t="shared" si="409"/>
        <v>0.20884766602535301</v>
      </c>
      <c r="AI1543" s="8">
        <f t="shared" si="410"/>
        <v>0.61991887758561581</v>
      </c>
      <c r="AJ1543" s="8"/>
      <c r="AK1543" s="8"/>
      <c r="AL1543" s="8"/>
      <c r="AN1543" s="8">
        <f t="shared" si="419"/>
        <v>1</v>
      </c>
      <c r="AO1543" s="8">
        <f t="shared" si="420"/>
        <v>0.26940843767403877</v>
      </c>
      <c r="AP1543" s="8">
        <f t="shared" si="421"/>
        <v>0.90215701247060409</v>
      </c>
      <c r="AQ1543" s="8"/>
      <c r="AR1543" s="8">
        <f t="shared" si="422"/>
        <v>15.435966443935706</v>
      </c>
      <c r="AS1543" s="8">
        <f t="shared" si="423"/>
        <v>38.310210727303208</v>
      </c>
    </row>
    <row r="1544" spans="1:45">
      <c r="A1544" s="20">
        <v>55.255200000000002</v>
      </c>
      <c r="B1544" s="20">
        <v>1769.916817</v>
      </c>
      <c r="C1544" s="20">
        <v>-425.05739340000002</v>
      </c>
      <c r="E1544" s="9">
        <f t="shared" si="412"/>
        <v>809.91681700000004</v>
      </c>
      <c r="F1544" s="9">
        <f t="shared" si="411"/>
        <v>114.94260659999998</v>
      </c>
      <c r="I1544">
        <v>1</v>
      </c>
      <c r="J1544">
        <f t="shared" si="413"/>
        <v>0.49894751233526585</v>
      </c>
      <c r="K1544">
        <f t="shared" si="414"/>
        <v>0.14097758053930828</v>
      </c>
      <c r="O1544">
        <f t="shared" si="415"/>
        <v>0.47375446565177781</v>
      </c>
      <c r="P1544">
        <f t="shared" si="416"/>
        <v>6.7234772790753766E-2</v>
      </c>
      <c r="Q1544">
        <f t="shared" si="417"/>
        <v>0.87808666520040846</v>
      </c>
      <c r="R1544">
        <f t="shared" si="418"/>
        <v>1</v>
      </c>
      <c r="AG1544" s="8">
        <f t="shared" si="408"/>
        <v>0.75702619493443413</v>
      </c>
      <c r="AH1544" s="8">
        <f t="shared" si="409"/>
        <v>0.20934127518724602</v>
      </c>
      <c r="AI1544" s="8">
        <f t="shared" si="410"/>
        <v>0.61894068430348792</v>
      </c>
      <c r="AJ1544" s="8"/>
      <c r="AK1544" s="8"/>
      <c r="AL1544" s="8"/>
      <c r="AN1544" s="8">
        <f t="shared" si="419"/>
        <v>1</v>
      </c>
      <c r="AO1544" s="8">
        <f t="shared" si="420"/>
        <v>0.26978909065985085</v>
      </c>
      <c r="AP1544" s="8">
        <f t="shared" si="421"/>
        <v>0.90340303614959738</v>
      </c>
      <c r="AQ1544" s="8"/>
      <c r="AR1544" s="8">
        <f t="shared" si="422"/>
        <v>15.457776253481791</v>
      </c>
      <c r="AS1544" s="8">
        <f t="shared" si="423"/>
        <v>38.238818829323527</v>
      </c>
    </row>
    <row r="1545" spans="1:45">
      <c r="A1545" s="20">
        <v>55.288566670000002</v>
      </c>
      <c r="B1545" s="20">
        <v>1770.2537150000001</v>
      </c>
      <c r="C1545" s="20">
        <v>-425.31531519999999</v>
      </c>
      <c r="E1545" s="9">
        <f t="shared" si="412"/>
        <v>810.25371500000006</v>
      </c>
      <c r="F1545" s="9">
        <f t="shared" si="411"/>
        <v>114.68468480000001</v>
      </c>
      <c r="I1545">
        <v>1</v>
      </c>
      <c r="J1545">
        <f t="shared" si="413"/>
        <v>0.49910161281466026</v>
      </c>
      <c r="K1545">
        <f t="shared" si="414"/>
        <v>0.14060767968823512</v>
      </c>
      <c r="O1545">
        <f t="shared" si="415"/>
        <v>0.47391327598235611</v>
      </c>
      <c r="P1545">
        <f t="shared" si="416"/>
        <v>6.7078488715811596E-2</v>
      </c>
      <c r="Q1545">
        <f t="shared" si="417"/>
        <v>0.87801291744442689</v>
      </c>
      <c r="R1545">
        <f t="shared" si="418"/>
        <v>1</v>
      </c>
      <c r="AG1545" s="8">
        <f t="shared" si="408"/>
        <v>0.75711762172899155</v>
      </c>
      <c r="AH1545" s="8">
        <f t="shared" si="409"/>
        <v>0.20948579285734087</v>
      </c>
      <c r="AI1545" s="8">
        <f t="shared" si="410"/>
        <v>0.61877993621187077</v>
      </c>
      <c r="AJ1545" s="8"/>
      <c r="AK1545" s="8"/>
      <c r="AL1545" s="8"/>
      <c r="AN1545" s="8">
        <f t="shared" si="419"/>
        <v>1</v>
      </c>
      <c r="AO1545" s="8">
        <f t="shared" si="420"/>
        <v>0.26993538323569349</v>
      </c>
      <c r="AP1545" s="8">
        <f t="shared" si="421"/>
        <v>0.90360768016659365</v>
      </c>
      <c r="AQ1545" s="8"/>
      <c r="AR1545" s="8">
        <f t="shared" si="422"/>
        <v>15.466158200651673</v>
      </c>
      <c r="AS1545" s="8">
        <f t="shared" si="423"/>
        <v>38.227093590847041</v>
      </c>
    </row>
    <row r="1546" spans="1:45">
      <c r="A1546" s="20">
        <v>55.32193333</v>
      </c>
      <c r="B1546" s="20">
        <v>1770.73784</v>
      </c>
      <c r="C1546" s="20">
        <v>-425.04045819999999</v>
      </c>
      <c r="E1546" s="9">
        <f t="shared" si="412"/>
        <v>810.73784000000001</v>
      </c>
      <c r="F1546" s="9">
        <f t="shared" si="411"/>
        <v>114.95954180000001</v>
      </c>
      <c r="I1546">
        <v>1</v>
      </c>
      <c r="J1546">
        <f t="shared" si="413"/>
        <v>0.49936992919850154</v>
      </c>
      <c r="K1546">
        <f t="shared" si="414"/>
        <v>0.14085717276552237</v>
      </c>
      <c r="O1546">
        <f t="shared" si="415"/>
        <v>0.47412976057192757</v>
      </c>
      <c r="P1546">
        <f t="shared" si="416"/>
        <v>6.7229796538289741E-2</v>
      </c>
      <c r="Q1546">
        <f t="shared" si="417"/>
        <v>0.87788445970835294</v>
      </c>
      <c r="R1546">
        <f t="shared" si="418"/>
        <v>1</v>
      </c>
      <c r="AG1546" s="8">
        <f t="shared" si="408"/>
        <v>0.75700384112097696</v>
      </c>
      <c r="AH1546" s="8">
        <f t="shared" si="409"/>
        <v>0.20975209077264709</v>
      </c>
      <c r="AI1546" s="8">
        <f t="shared" si="410"/>
        <v>0.61882893027442565</v>
      </c>
      <c r="AJ1546" s="8"/>
      <c r="AK1546" s="8"/>
      <c r="AL1546" s="8"/>
      <c r="AN1546" s="8">
        <f t="shared" si="419"/>
        <v>1</v>
      </c>
      <c r="AO1546" s="8">
        <f t="shared" si="420"/>
        <v>0.27030073923252418</v>
      </c>
      <c r="AP1546" s="8">
        <f t="shared" si="421"/>
        <v>0.90354531065553989</v>
      </c>
      <c r="AQ1546" s="8"/>
      <c r="AR1546" s="8">
        <f t="shared" si="422"/>
        <v>15.487091557289865</v>
      </c>
      <c r="AS1546" s="8">
        <f t="shared" si="423"/>
        <v>38.230667100600712</v>
      </c>
    </row>
    <row r="1547" spans="1:45">
      <c r="A1547" s="20">
        <v>55.3553</v>
      </c>
      <c r="B1547" s="20">
        <v>1770.97849</v>
      </c>
      <c r="C1547" s="20">
        <v>-425.24581030000002</v>
      </c>
      <c r="E1547" s="9">
        <f t="shared" si="412"/>
        <v>810.97848999999997</v>
      </c>
      <c r="F1547" s="9">
        <f t="shared" si="411"/>
        <v>114.75418969999998</v>
      </c>
      <c r="I1547">
        <v>1</v>
      </c>
      <c r="J1547">
        <f t="shared" si="413"/>
        <v>0.49947843284676524</v>
      </c>
      <c r="K1547">
        <f t="shared" si="414"/>
        <v>0.14056768918653426</v>
      </c>
      <c r="O1547">
        <f t="shared" si="415"/>
        <v>0.47424351397976339</v>
      </c>
      <c r="P1547">
        <f t="shared" si="416"/>
        <v>6.7105886084880467E-2</v>
      </c>
      <c r="Q1547">
        <f t="shared" si="417"/>
        <v>0.8778324951269969</v>
      </c>
      <c r="R1547">
        <f t="shared" si="418"/>
        <v>1</v>
      </c>
      <c r="AG1547" s="8">
        <f t="shared" si="408"/>
        <v>0.7570771169929289</v>
      </c>
      <c r="AH1547" s="8">
        <f t="shared" si="409"/>
        <v>0.20985334690929033</v>
      </c>
      <c r="AI1547" s="8">
        <f t="shared" si="410"/>
        <v>0.61870494722173031</v>
      </c>
      <c r="AJ1547" s="8"/>
      <c r="AK1547" s="8"/>
      <c r="AL1547" s="8"/>
      <c r="AN1547" s="8">
        <f t="shared" si="419"/>
        <v>1</v>
      </c>
      <c r="AO1547" s="8">
        <f t="shared" si="420"/>
        <v>0.27040004046349897</v>
      </c>
      <c r="AP1547" s="8">
        <f t="shared" si="421"/>
        <v>0.90370313532390145</v>
      </c>
      <c r="AQ1547" s="8"/>
      <c r="AR1547" s="8">
        <f t="shared" si="422"/>
        <v>15.492781098725175</v>
      </c>
      <c r="AS1547" s="8">
        <f t="shared" si="423"/>
        <v>38.221624413200544</v>
      </c>
    </row>
    <row r="1548" spans="1:45">
      <c r="A1548" s="20">
        <v>55.388666669999999</v>
      </c>
      <c r="B1548" s="20">
        <v>1771.862981</v>
      </c>
      <c r="C1548" s="20">
        <v>-425.88999360000003</v>
      </c>
      <c r="E1548" s="9">
        <f t="shared" si="412"/>
        <v>811.86298099999999</v>
      </c>
      <c r="F1548" s="9">
        <f t="shared" si="411"/>
        <v>114.11000639999997</v>
      </c>
      <c r="I1548">
        <v>1</v>
      </c>
      <c r="J1548">
        <f t="shared" si="413"/>
        <v>0.49988539080593569</v>
      </c>
      <c r="K1548">
        <f t="shared" si="414"/>
        <v>0.13963854620509442</v>
      </c>
      <c r="O1548">
        <f t="shared" si="415"/>
        <v>0.47465938460903784</v>
      </c>
      <c r="P1548">
        <f t="shared" si="416"/>
        <v>6.6714934272335477E-2</v>
      </c>
      <c r="Q1548">
        <f t="shared" si="417"/>
        <v>0.87763750270120489</v>
      </c>
      <c r="R1548">
        <f t="shared" si="418"/>
        <v>1</v>
      </c>
      <c r="AG1548" s="8">
        <f t="shared" si="408"/>
        <v>0.75730421297492811</v>
      </c>
      <c r="AH1548" s="8">
        <f t="shared" si="409"/>
        <v>0.21023540416485781</v>
      </c>
      <c r="AI1548" s="8">
        <f t="shared" si="410"/>
        <v>0.61829718084919616</v>
      </c>
      <c r="AJ1548" s="8"/>
      <c r="AK1548" s="8"/>
      <c r="AL1548" s="8"/>
      <c r="AN1548" s="8">
        <f t="shared" si="419"/>
        <v>1</v>
      </c>
      <c r="AO1548" s="8">
        <f t="shared" si="420"/>
        <v>0.27079130692869524</v>
      </c>
      <c r="AP1548" s="8">
        <f t="shared" si="421"/>
        <v>0.90422206470616429</v>
      </c>
      <c r="AQ1548" s="8"/>
      <c r="AR1548" s="8">
        <f t="shared" si="422"/>
        <v>15.515199015845925</v>
      </c>
      <c r="AS1548" s="8">
        <f t="shared" si="423"/>
        <v>38.191891949731556</v>
      </c>
    </row>
    <row r="1549" spans="1:45">
      <c r="A1549" s="20">
        <v>55.422033329999998</v>
      </c>
      <c r="B1549" s="20">
        <v>1772.2382829999999</v>
      </c>
      <c r="C1549" s="20">
        <v>-426.36077749999998</v>
      </c>
      <c r="E1549" s="9">
        <f t="shared" si="412"/>
        <v>812.23828299999991</v>
      </c>
      <c r="F1549" s="9">
        <f t="shared" si="411"/>
        <v>113.63922250000002</v>
      </c>
      <c r="I1549">
        <v>1</v>
      </c>
      <c r="J1549">
        <f t="shared" si="413"/>
        <v>0.50004395198734719</v>
      </c>
      <c r="K1549">
        <f t="shared" si="414"/>
        <v>0.13900641987479778</v>
      </c>
      <c r="O1549">
        <f t="shared" si="415"/>
        <v>0.47483927300255091</v>
      </c>
      <c r="P1549">
        <f t="shared" si="416"/>
        <v>6.6434157224370988E-2</v>
      </c>
      <c r="Q1549">
        <f t="shared" si="417"/>
        <v>0.87756148933752587</v>
      </c>
      <c r="R1549">
        <f t="shared" si="418"/>
        <v>1</v>
      </c>
      <c r="AG1549" s="8">
        <f t="shared" si="408"/>
        <v>0.7574753484016451</v>
      </c>
      <c r="AH1549" s="8">
        <f t="shared" si="409"/>
        <v>0.21037949235846243</v>
      </c>
      <c r="AI1549" s="8">
        <f t="shared" si="410"/>
        <v>0.61803848242548953</v>
      </c>
      <c r="AJ1549" s="8"/>
      <c r="AK1549" s="8"/>
      <c r="AL1549" s="8"/>
      <c r="AN1549" s="8">
        <f t="shared" si="419"/>
        <v>1</v>
      </c>
      <c r="AO1549" s="8">
        <f t="shared" si="420"/>
        <v>0.27090968142306671</v>
      </c>
      <c r="AP1549" s="8">
        <f t="shared" si="421"/>
        <v>0.90455117824588327</v>
      </c>
      <c r="AQ1549" s="8"/>
      <c r="AR1549" s="8">
        <f t="shared" si="422"/>
        <v>15.521981374775404</v>
      </c>
      <c r="AS1549" s="8">
        <f t="shared" si="423"/>
        <v>38.173035132925044</v>
      </c>
    </row>
    <row r="1550" spans="1:45">
      <c r="A1550" s="20">
        <v>55.455399999999997</v>
      </c>
      <c r="B1550" s="20">
        <v>1772.976568</v>
      </c>
      <c r="C1550" s="20">
        <v>-426.71578870000002</v>
      </c>
      <c r="E1550" s="9">
        <f t="shared" si="412"/>
        <v>812.97656800000004</v>
      </c>
      <c r="F1550" s="9">
        <f t="shared" si="411"/>
        <v>113.28421129999998</v>
      </c>
      <c r="I1550">
        <v>1</v>
      </c>
      <c r="J1550">
        <f t="shared" si="413"/>
        <v>0.50039697024986374</v>
      </c>
      <c r="K1550">
        <f t="shared" si="414"/>
        <v>0.13845346466278147</v>
      </c>
      <c r="O1550">
        <f t="shared" si="415"/>
        <v>0.47518273660854149</v>
      </c>
      <c r="P1550">
        <f t="shared" si="416"/>
        <v>6.6214333424766361E-2</v>
      </c>
      <c r="Q1550">
        <f t="shared" si="417"/>
        <v>0.87739217507243095</v>
      </c>
      <c r="R1550">
        <f t="shared" si="418"/>
        <v>1</v>
      </c>
      <c r="AG1550" s="8">
        <f t="shared" si="408"/>
        <v>0.75759519569931422</v>
      </c>
      <c r="AH1550" s="8">
        <f t="shared" si="409"/>
        <v>0.2107147366967704</v>
      </c>
      <c r="AI1550" s="8">
        <f t="shared" si="410"/>
        <v>0.61777732168810506</v>
      </c>
      <c r="AJ1550" s="8"/>
      <c r="AK1550" s="8"/>
      <c r="AL1550" s="8"/>
      <c r="AN1550" s="8">
        <f t="shared" si="419"/>
        <v>0.99999999999999989</v>
      </c>
      <c r="AO1550" s="8">
        <f t="shared" si="420"/>
        <v>0.27127967445521139</v>
      </c>
      <c r="AP1550" s="8">
        <f t="shared" si="421"/>
        <v>0.9048833379658654</v>
      </c>
      <c r="AQ1550" s="8"/>
      <c r="AR1550" s="8">
        <f t="shared" si="422"/>
        <v>15.543180413966542</v>
      </c>
      <c r="AS1550" s="8">
        <f t="shared" si="423"/>
        <v>38.15400378284582</v>
      </c>
    </row>
    <row r="1551" spans="1:45">
      <c r="A1551" s="20">
        <v>55.488766669999997</v>
      </c>
      <c r="B1551" s="20">
        <v>1773.426862</v>
      </c>
      <c r="C1551" s="20">
        <v>-426.85704270000002</v>
      </c>
      <c r="E1551" s="9">
        <f t="shared" si="412"/>
        <v>813.42686200000003</v>
      </c>
      <c r="F1551" s="9">
        <f t="shared" si="411"/>
        <v>113.14295729999998</v>
      </c>
      <c r="I1551">
        <v>1</v>
      </c>
      <c r="J1551">
        <f t="shared" si="413"/>
        <v>0.50061764396049824</v>
      </c>
      <c r="K1551">
        <f t="shared" si="414"/>
        <v>0.13820744200449755</v>
      </c>
      <c r="O1551">
        <f t="shared" si="415"/>
        <v>0.4753907720389996</v>
      </c>
      <c r="P1551">
        <f t="shared" si="416"/>
        <v>6.6124098347790428E-2</v>
      </c>
      <c r="Q1551">
        <f t="shared" si="417"/>
        <v>0.87728628022889743</v>
      </c>
      <c r="R1551">
        <f t="shared" si="418"/>
        <v>1</v>
      </c>
      <c r="AG1551" s="8">
        <f t="shared" si="408"/>
        <v>0.75763966957949958</v>
      </c>
      <c r="AH1551" s="8">
        <f t="shared" si="409"/>
        <v>0.21092597008953445</v>
      </c>
      <c r="AI1551" s="8">
        <f t="shared" si="410"/>
        <v>0.61765068300881487</v>
      </c>
      <c r="AJ1551" s="8"/>
      <c r="AK1551" s="8"/>
      <c r="AL1551" s="8"/>
      <c r="AN1551" s="8">
        <f t="shared" si="419"/>
        <v>1</v>
      </c>
      <c r="AO1551" s="8">
        <f t="shared" si="420"/>
        <v>0.27152328852416557</v>
      </c>
      <c r="AP1551" s="8">
        <f t="shared" si="421"/>
        <v>0.90504437334725218</v>
      </c>
      <c r="AQ1551" s="8"/>
      <c r="AR1551" s="8">
        <f t="shared" si="422"/>
        <v>15.557138471947626</v>
      </c>
      <c r="AS1551" s="8">
        <f t="shared" si="423"/>
        <v>38.144777135140082</v>
      </c>
    </row>
    <row r="1552" spans="1:45">
      <c r="A1552" s="20">
        <v>55.522133330000003</v>
      </c>
      <c r="B1552" s="20">
        <v>1773.788211</v>
      </c>
      <c r="C1552" s="20">
        <v>-426.94691569999998</v>
      </c>
      <c r="E1552" s="9">
        <f t="shared" si="412"/>
        <v>813.78821100000005</v>
      </c>
      <c r="F1552" s="9">
        <f t="shared" si="411"/>
        <v>113.05308430000002</v>
      </c>
      <c r="I1552">
        <v>1</v>
      </c>
      <c r="J1552">
        <f t="shared" si="413"/>
        <v>0.50079638045159403</v>
      </c>
      <c r="K1552">
        <f t="shared" si="414"/>
        <v>0.13803850612554894</v>
      </c>
      <c r="O1552">
        <f t="shared" si="415"/>
        <v>0.47555723992323762</v>
      </c>
      <c r="P1552">
        <f t="shared" si="416"/>
        <v>6.6065361979687251E-2</v>
      </c>
      <c r="Q1552">
        <f t="shared" si="417"/>
        <v>0.87720047851279992</v>
      </c>
      <c r="R1552">
        <f t="shared" si="418"/>
        <v>1</v>
      </c>
      <c r="AG1552" s="8">
        <f t="shared" si="408"/>
        <v>0.75766641946133462</v>
      </c>
      <c r="AH1552" s="8">
        <f t="shared" si="409"/>
        <v>0.21109756808840449</v>
      </c>
      <c r="AI1552" s="8">
        <f t="shared" si="410"/>
        <v>0.61755923891380848</v>
      </c>
      <c r="AJ1552" s="8"/>
      <c r="AK1552" s="8"/>
      <c r="AL1552" s="8"/>
      <c r="AN1552" s="8">
        <f t="shared" si="419"/>
        <v>1</v>
      </c>
      <c r="AO1552" s="8">
        <f t="shared" si="420"/>
        <v>0.27172434643508064</v>
      </c>
      <c r="AP1552" s="8">
        <f t="shared" si="421"/>
        <v>0.90516064217856174</v>
      </c>
      <c r="AQ1552" s="8"/>
      <c r="AR1552" s="8">
        <f t="shared" si="422"/>
        <v>15.568658241680778</v>
      </c>
      <c r="AS1552" s="8">
        <f t="shared" si="423"/>
        <v>38.138115421817126</v>
      </c>
    </row>
    <row r="1553" spans="1:45">
      <c r="A1553" s="20">
        <v>55.555500000000002</v>
      </c>
      <c r="B1553" s="20">
        <v>1774.6431359999999</v>
      </c>
      <c r="C1553" s="20">
        <v>-427.40970829999998</v>
      </c>
      <c r="E1553" s="9">
        <f t="shared" si="412"/>
        <v>814.64313599999991</v>
      </c>
      <c r="F1553" s="9">
        <f t="shared" si="411"/>
        <v>112.59029170000002</v>
      </c>
      <c r="I1553">
        <v>1</v>
      </c>
      <c r="J1553">
        <f t="shared" si="413"/>
        <v>0.50120144372222553</v>
      </c>
      <c r="K1553">
        <f t="shared" si="414"/>
        <v>0.13733807096006539</v>
      </c>
      <c r="O1553">
        <f t="shared" si="415"/>
        <v>0.47595533470345924</v>
      </c>
      <c r="P1553">
        <f t="shared" si="416"/>
        <v>6.5780889327266889E-2</v>
      </c>
      <c r="Q1553">
        <f t="shared" si="417"/>
        <v>0.87700592584465009</v>
      </c>
      <c r="R1553">
        <f t="shared" si="418"/>
        <v>1</v>
      </c>
      <c r="AG1553" s="8">
        <f t="shared" si="408"/>
        <v>0.75782432681567213</v>
      </c>
      <c r="AH1553" s="8">
        <f t="shared" si="409"/>
        <v>0.2114806559455541</v>
      </c>
      <c r="AI1553" s="8">
        <f t="shared" si="410"/>
        <v>0.6172343330107386</v>
      </c>
      <c r="AJ1553" s="8"/>
      <c r="AK1553" s="8"/>
      <c r="AL1553" s="8"/>
      <c r="AN1553" s="8">
        <f t="shared" si="419"/>
        <v>0.99999999999999978</v>
      </c>
      <c r="AO1553" s="8">
        <f t="shared" si="420"/>
        <v>0.27213952124617735</v>
      </c>
      <c r="AP1553" s="8">
        <f t="shared" si="421"/>
        <v>0.90557366591937771</v>
      </c>
      <c r="AQ1553" s="8"/>
      <c r="AR1553" s="8">
        <f t="shared" si="422"/>
        <v>15.592446006116759</v>
      </c>
      <c r="AS1553" s="8">
        <f t="shared" si="423"/>
        <v>38.114450904629663</v>
      </c>
    </row>
    <row r="1554" spans="1:45">
      <c r="A1554" s="20">
        <v>55.588866670000002</v>
      </c>
      <c r="B1554" s="20">
        <v>1774.8101360000001</v>
      </c>
      <c r="C1554" s="20">
        <v>-427.69400000000002</v>
      </c>
      <c r="E1554" s="9">
        <f t="shared" si="412"/>
        <v>814.81013600000006</v>
      </c>
      <c r="F1554" s="9">
        <f t="shared" si="411"/>
        <v>112.30599999999998</v>
      </c>
      <c r="I1554">
        <v>1</v>
      </c>
      <c r="J1554">
        <f t="shared" si="413"/>
        <v>0.50126687448879848</v>
      </c>
      <c r="K1554">
        <f t="shared" si="414"/>
        <v>0.13696789067241735</v>
      </c>
      <c r="O1554">
        <f t="shared" si="415"/>
        <v>0.47603649761263617</v>
      </c>
      <c r="P1554">
        <f t="shared" si="416"/>
        <v>6.5612530501074545E-2</v>
      </c>
      <c r="Q1554">
        <f t="shared" si="417"/>
        <v>0.87697448582153181</v>
      </c>
      <c r="R1554">
        <f t="shared" si="418"/>
        <v>1</v>
      </c>
      <c r="AG1554" s="8">
        <f t="shared" si="408"/>
        <v>0.7579285637496338</v>
      </c>
      <c r="AH1554" s="8">
        <f t="shared" si="409"/>
        <v>0.21153783582601141</v>
      </c>
      <c r="AI1554" s="8">
        <f t="shared" si="410"/>
        <v>0.61708673317975704</v>
      </c>
      <c r="AJ1554" s="8"/>
      <c r="AK1554" s="8"/>
      <c r="AL1554" s="8"/>
      <c r="AN1554" s="8">
        <f t="shared" si="419"/>
        <v>0.99999999999999989</v>
      </c>
      <c r="AO1554" s="8">
        <f t="shared" si="420"/>
        <v>0.27217390626784421</v>
      </c>
      <c r="AP1554" s="8">
        <f t="shared" si="421"/>
        <v>0.9057612521443611</v>
      </c>
      <c r="AQ1554" s="8"/>
      <c r="AR1554" s="8">
        <f t="shared" si="422"/>
        <v>15.594416122736737</v>
      </c>
      <c r="AS1554" s="8">
        <f t="shared" si="423"/>
        <v>38.103703005643325</v>
      </c>
    </row>
    <row r="1555" spans="1:45">
      <c r="A1555" s="20">
        <v>55.62223333</v>
      </c>
      <c r="B1555" s="20">
        <v>1775.107135</v>
      </c>
      <c r="C1555" s="20">
        <v>-427.72521019999999</v>
      </c>
      <c r="E1555" s="9">
        <f t="shared" si="412"/>
        <v>815.10713499999997</v>
      </c>
      <c r="F1555" s="9">
        <f t="shared" si="411"/>
        <v>112.27478980000001</v>
      </c>
      <c r="I1555">
        <v>1</v>
      </c>
      <c r="J1555">
        <f t="shared" si="413"/>
        <v>0.50141676141814717</v>
      </c>
      <c r="K1555">
        <f t="shared" si="414"/>
        <v>0.13688102889584172</v>
      </c>
      <c r="O1555">
        <f t="shared" si="415"/>
        <v>0.47617240720120185</v>
      </c>
      <c r="P1555">
        <f t="shared" si="416"/>
        <v>6.5589116609898079E-2</v>
      </c>
      <c r="Q1555">
        <f t="shared" si="417"/>
        <v>0.87690244976425169</v>
      </c>
      <c r="R1555">
        <f t="shared" si="418"/>
        <v>1</v>
      </c>
      <c r="AG1555" s="8">
        <f t="shared" si="408"/>
        <v>0.75793426934627772</v>
      </c>
      <c r="AH1555" s="8">
        <f t="shared" si="409"/>
        <v>0.21168263066356741</v>
      </c>
      <c r="AI1555" s="8">
        <f t="shared" si="410"/>
        <v>0.61703006995273402</v>
      </c>
      <c r="AJ1555" s="8"/>
      <c r="AK1555" s="8"/>
      <c r="AL1555" s="8"/>
      <c r="AN1555" s="8">
        <f t="shared" si="419"/>
        <v>1</v>
      </c>
      <c r="AO1555" s="8">
        <f t="shared" si="420"/>
        <v>0.27234918141525111</v>
      </c>
      <c r="AP1555" s="8">
        <f t="shared" si="421"/>
        <v>0.90583325872351228</v>
      </c>
      <c r="AQ1555" s="8"/>
      <c r="AR1555" s="8">
        <f t="shared" si="422"/>
        <v>15.604458648936685</v>
      </c>
      <c r="AS1555" s="8">
        <f t="shared" si="423"/>
        <v>38.099577332560784</v>
      </c>
    </row>
    <row r="1556" spans="1:45">
      <c r="A1556" s="20">
        <v>55.6556</v>
      </c>
      <c r="B1556" s="20">
        <v>1775.7766610000001</v>
      </c>
      <c r="C1556" s="20">
        <v>-427.66172319999998</v>
      </c>
      <c r="E1556" s="9">
        <f t="shared" si="412"/>
        <v>815.7766610000001</v>
      </c>
      <c r="F1556" s="9">
        <f t="shared" si="411"/>
        <v>112.33827680000002</v>
      </c>
      <c r="I1556">
        <v>1</v>
      </c>
      <c r="J1556">
        <f t="shared" si="413"/>
        <v>0.50176400404146571</v>
      </c>
      <c r="K1556">
        <f t="shared" si="414"/>
        <v>0.13684646037238479</v>
      </c>
      <c r="O1556">
        <f t="shared" si="415"/>
        <v>0.47647629671621367</v>
      </c>
      <c r="P1556">
        <f t="shared" si="416"/>
        <v>6.5614191565042751E-2</v>
      </c>
      <c r="Q1556">
        <f t="shared" si="417"/>
        <v>0.87673548835031689</v>
      </c>
      <c r="R1556">
        <f t="shared" si="418"/>
        <v>1</v>
      </c>
      <c r="AG1556" s="8">
        <f t="shared" si="408"/>
        <v>0.75789639436513467</v>
      </c>
      <c r="AH1556" s="8">
        <f t="shared" si="409"/>
        <v>0.21202110109184283</v>
      </c>
      <c r="AI1556" s="8">
        <f t="shared" si="410"/>
        <v>0.61696037806339799</v>
      </c>
      <c r="AJ1556" s="8"/>
      <c r="AK1556" s="8"/>
      <c r="AL1556" s="8"/>
      <c r="AN1556" s="8">
        <f t="shared" si="419"/>
        <v>1.0000000000000002</v>
      </c>
      <c r="AO1556" s="8">
        <f t="shared" si="420"/>
        <v>0.27277635500659336</v>
      </c>
      <c r="AP1556" s="8">
        <f t="shared" si="421"/>
        <v>0.90592181631069824</v>
      </c>
      <c r="AQ1556" s="8"/>
      <c r="AR1556" s="8">
        <f t="shared" si="422"/>
        <v>15.628933892840042</v>
      </c>
      <c r="AS1556" s="8">
        <f t="shared" si="423"/>
        <v>38.094503356571167</v>
      </c>
    </row>
    <row r="1557" spans="1:45">
      <c r="A1557" s="20">
        <v>55.688966669999999</v>
      </c>
      <c r="B1557" s="20">
        <v>1776.391627</v>
      </c>
      <c r="C1557" s="20">
        <v>-428.05184359999998</v>
      </c>
      <c r="E1557" s="9">
        <f t="shared" si="412"/>
        <v>816.39162699999997</v>
      </c>
      <c r="F1557" s="9">
        <f t="shared" si="411"/>
        <v>111.94815640000002</v>
      </c>
      <c r="I1557">
        <v>1</v>
      </c>
      <c r="J1557">
        <f t="shared" si="413"/>
        <v>0.50205130669760978</v>
      </c>
      <c r="K1557">
        <f t="shared" si="414"/>
        <v>0.13627564867075684</v>
      </c>
      <c r="O1557">
        <f t="shared" si="415"/>
        <v>0.47676320590383076</v>
      </c>
      <c r="P1557">
        <f t="shared" si="416"/>
        <v>6.5376420060084039E-2</v>
      </c>
      <c r="Q1557">
        <f t="shared" si="417"/>
        <v>0.87659726739046417</v>
      </c>
      <c r="R1557">
        <f t="shared" si="418"/>
        <v>1</v>
      </c>
      <c r="AG1557" s="8">
        <f t="shared" si="408"/>
        <v>0.7580312516489599</v>
      </c>
      <c r="AH1557" s="8">
        <f t="shared" si="409"/>
        <v>0.21229111225766464</v>
      </c>
      <c r="AI1557" s="8">
        <f t="shared" si="410"/>
        <v>0.61670179599212693</v>
      </c>
      <c r="AJ1557" s="8"/>
      <c r="AK1557" s="8"/>
      <c r="AL1557" s="8"/>
      <c r="AN1557" s="8">
        <f t="shared" si="419"/>
        <v>1.0000000000000002</v>
      </c>
      <c r="AO1557" s="8">
        <f t="shared" si="420"/>
        <v>0.27306052352383231</v>
      </c>
      <c r="AP1557" s="8">
        <f t="shared" si="421"/>
        <v>0.90625034322649844</v>
      </c>
      <c r="AQ1557" s="8"/>
      <c r="AR1557" s="8">
        <f t="shared" si="422"/>
        <v>15.645215549548325</v>
      </c>
      <c r="AS1557" s="8">
        <f t="shared" si="423"/>
        <v>38.075680150839368</v>
      </c>
    </row>
    <row r="1558" spans="1:45">
      <c r="A1558" s="20">
        <v>55.722333329999998</v>
      </c>
      <c r="B1558" s="20">
        <v>1776.808043</v>
      </c>
      <c r="C1558" s="20">
        <v>-428.29513040000001</v>
      </c>
      <c r="E1558" s="9">
        <f t="shared" si="412"/>
        <v>816.808043</v>
      </c>
      <c r="F1558" s="9">
        <f t="shared" si="411"/>
        <v>111.70486959999999</v>
      </c>
      <c r="I1558">
        <v>1</v>
      </c>
      <c r="J1558">
        <f t="shared" si="413"/>
        <v>0.5022473388067269</v>
      </c>
      <c r="K1558">
        <f t="shared" si="414"/>
        <v>0.13591465983684814</v>
      </c>
      <c r="O1558">
        <f t="shared" si="415"/>
        <v>0.47695702229382397</v>
      </c>
      <c r="P1558">
        <f t="shared" si="416"/>
        <v>6.5227592255890518E-2</v>
      </c>
      <c r="Q1558">
        <f t="shared" si="417"/>
        <v>0.87650291505111833</v>
      </c>
      <c r="R1558">
        <f t="shared" si="418"/>
        <v>1</v>
      </c>
      <c r="AG1558" s="8">
        <f t="shared" si="408"/>
        <v>0.75811457909278168</v>
      </c>
      <c r="AH1558" s="8">
        <f t="shared" si="409"/>
        <v>0.21247577817081317</v>
      </c>
      <c r="AI1558" s="8">
        <f t="shared" si="410"/>
        <v>0.61653574807766176</v>
      </c>
      <c r="AJ1558" s="8"/>
      <c r="AK1558" s="8"/>
      <c r="AL1558" s="8"/>
      <c r="AN1558" s="8">
        <f t="shared" si="419"/>
        <v>1.0000000000000002</v>
      </c>
      <c r="AO1558" s="8">
        <f t="shared" si="420"/>
        <v>0.27325783967930689</v>
      </c>
      <c r="AP1558" s="8">
        <f t="shared" si="421"/>
        <v>0.90646126149470641</v>
      </c>
      <c r="AQ1558" s="8"/>
      <c r="AR1558" s="8">
        <f t="shared" si="422"/>
        <v>15.656520932486766</v>
      </c>
      <c r="AS1558" s="8">
        <f t="shared" si="423"/>
        <v>38.063595424248845</v>
      </c>
    </row>
    <row r="1559" spans="1:45">
      <c r="A1559" s="20">
        <v>55.755699999999997</v>
      </c>
      <c r="B1559" s="20">
        <v>1777.412863</v>
      </c>
      <c r="C1559" s="20">
        <v>-428.38095989999999</v>
      </c>
      <c r="E1559" s="9">
        <f t="shared" si="412"/>
        <v>817.41286300000002</v>
      </c>
      <c r="F1559" s="9">
        <f t="shared" si="411"/>
        <v>111.61904010000001</v>
      </c>
      <c r="I1559">
        <v>1</v>
      </c>
      <c r="J1559">
        <f t="shared" si="413"/>
        <v>0.50255075334597676</v>
      </c>
      <c r="K1559">
        <f t="shared" si="414"/>
        <v>0.13571224855336231</v>
      </c>
      <c r="O1559">
        <f t="shared" si="415"/>
        <v>0.47723369179833353</v>
      </c>
      <c r="P1559">
        <f t="shared" si="416"/>
        <v>6.5167027573322198E-2</v>
      </c>
      <c r="Q1559">
        <f t="shared" si="417"/>
        <v>0.87635681199485815</v>
      </c>
      <c r="R1559">
        <f t="shared" si="418"/>
        <v>1</v>
      </c>
      <c r="AG1559" s="8">
        <f t="shared" si="408"/>
        <v>0.7581343073056227</v>
      </c>
      <c r="AH1559" s="8">
        <f t="shared" si="409"/>
        <v>0.2127682089587225</v>
      </c>
      <c r="AI1559" s="8">
        <f t="shared" si="410"/>
        <v>0.6164106272142954</v>
      </c>
      <c r="AJ1559" s="8"/>
      <c r="AK1559" s="8"/>
      <c r="AL1559" s="8"/>
      <c r="AN1559" s="8">
        <f t="shared" si="419"/>
        <v>1</v>
      </c>
      <c r="AO1559" s="8">
        <f t="shared" si="420"/>
        <v>0.27360867521714349</v>
      </c>
      <c r="AP1559" s="8">
        <f t="shared" si="421"/>
        <v>0.90662017017306162</v>
      </c>
      <c r="AQ1559" s="8"/>
      <c r="AR1559" s="8">
        <f t="shared" si="422"/>
        <v>15.676622328108005</v>
      </c>
      <c r="AS1559" s="8">
        <f t="shared" si="423"/>
        <v>38.054490627651084</v>
      </c>
    </row>
    <row r="1560" spans="1:45">
      <c r="A1560" s="20">
        <v>55.789066669999997</v>
      </c>
      <c r="B1560" s="20">
        <v>1777.678251</v>
      </c>
      <c r="C1560" s="20">
        <v>-428.57477510000001</v>
      </c>
      <c r="E1560" s="9">
        <f t="shared" si="412"/>
        <v>817.67825100000005</v>
      </c>
      <c r="F1560" s="9">
        <f t="shared" si="411"/>
        <v>111.42522489999999</v>
      </c>
      <c r="I1560">
        <v>1</v>
      </c>
      <c r="J1560">
        <f t="shared" si="413"/>
        <v>0.50267297150198864</v>
      </c>
      <c r="K1560">
        <f t="shared" si="414"/>
        <v>0.13543603756149777</v>
      </c>
      <c r="O1560">
        <f t="shared" si="415"/>
        <v>0.47735779576732246</v>
      </c>
      <c r="P1560">
        <f t="shared" si="416"/>
        <v>6.5049669214134645E-2</v>
      </c>
      <c r="Q1560">
        <f t="shared" si="417"/>
        <v>0.87629793755051999</v>
      </c>
      <c r="R1560">
        <f t="shared" si="418"/>
        <v>1</v>
      </c>
      <c r="AG1560" s="8">
        <f t="shared" si="408"/>
        <v>0.75820198930644023</v>
      </c>
      <c r="AH1560" s="8">
        <f t="shared" si="409"/>
        <v>0.21288230038141687</v>
      </c>
      <c r="AI1560" s="8">
        <f t="shared" si="410"/>
        <v>0.61628797618976228</v>
      </c>
      <c r="AJ1560" s="8"/>
      <c r="AK1560" s="8"/>
      <c r="AL1560" s="8"/>
      <c r="AN1560" s="8">
        <f t="shared" si="419"/>
        <v>1</v>
      </c>
      <c r="AO1560" s="8">
        <f t="shared" si="420"/>
        <v>0.27372493786955265</v>
      </c>
      <c r="AP1560" s="8">
        <f t="shared" si="421"/>
        <v>0.90677592286987974</v>
      </c>
      <c r="AQ1560" s="8"/>
      <c r="AR1560" s="8">
        <f t="shared" si="422"/>
        <v>15.683283687406046</v>
      </c>
      <c r="AS1560" s="8">
        <f t="shared" si="423"/>
        <v>38.045566655475625</v>
      </c>
    </row>
    <row r="1561" spans="1:45">
      <c r="A1561" s="20">
        <v>55.822433330000003</v>
      </c>
      <c r="B1561" s="20">
        <v>1778.429965</v>
      </c>
      <c r="C1561" s="20">
        <v>-429.0452884</v>
      </c>
      <c r="E1561" s="9">
        <f t="shared" si="412"/>
        <v>818.42996500000004</v>
      </c>
      <c r="F1561" s="9">
        <f t="shared" si="411"/>
        <v>110.9547116</v>
      </c>
      <c r="I1561">
        <v>1</v>
      </c>
      <c r="J1561">
        <f t="shared" si="413"/>
        <v>0.50302468184151961</v>
      </c>
      <c r="K1561">
        <f t="shared" si="414"/>
        <v>0.13474867674061713</v>
      </c>
      <c r="O1561">
        <f t="shared" si="415"/>
        <v>0.47770777528000841</v>
      </c>
      <c r="P1561">
        <f t="shared" si="416"/>
        <v>6.4762937211458205E-2</v>
      </c>
      <c r="Q1561">
        <f t="shared" si="417"/>
        <v>0.87612844001366019</v>
      </c>
      <c r="R1561">
        <f t="shared" si="418"/>
        <v>1</v>
      </c>
      <c r="AG1561" s="8">
        <f t="shared" si="408"/>
        <v>0.75836386016845325</v>
      </c>
      <c r="AH1561" s="8">
        <f t="shared" si="409"/>
        <v>0.21321247756074205</v>
      </c>
      <c r="AI1561" s="8">
        <f t="shared" si="410"/>
        <v>0.61597458957558682</v>
      </c>
      <c r="AJ1561" s="8"/>
      <c r="AK1561" s="8"/>
      <c r="AL1561" s="8"/>
      <c r="AN1561" s="8">
        <f t="shared" si="419"/>
        <v>0.99999999999999989</v>
      </c>
      <c r="AO1561" s="8">
        <f t="shared" si="420"/>
        <v>0.27407291942249135</v>
      </c>
      <c r="AP1561" s="8">
        <f t="shared" si="421"/>
        <v>0.90717380164416295</v>
      </c>
      <c r="AQ1561" s="8"/>
      <c r="AR1561" s="8">
        <f t="shared" si="422"/>
        <v>15.703221561737841</v>
      </c>
      <c r="AS1561" s="8">
        <f t="shared" si="423"/>
        <v>38.022769880951358</v>
      </c>
    </row>
    <row r="1562" spans="1:45">
      <c r="A1562" s="20">
        <v>55.855800000000002</v>
      </c>
      <c r="B1562" s="20">
        <v>1778.139293</v>
      </c>
      <c r="C1562" s="20">
        <v>-430.25987529999998</v>
      </c>
      <c r="E1562" s="9">
        <f t="shared" si="412"/>
        <v>818.13929299999995</v>
      </c>
      <c r="F1562" s="9">
        <f t="shared" si="411"/>
        <v>109.74012470000002</v>
      </c>
      <c r="I1562">
        <v>1</v>
      </c>
      <c r="J1562">
        <f t="shared" si="413"/>
        <v>0.50279225946744532</v>
      </c>
      <c r="K1562">
        <f t="shared" si="414"/>
        <v>0.13333792526046401</v>
      </c>
      <c r="O1562">
        <f t="shared" si="415"/>
        <v>0.47759682703723649</v>
      </c>
      <c r="P1562">
        <f t="shared" si="416"/>
        <v>6.4061872842221118E-2</v>
      </c>
      <c r="Q1562">
        <f t="shared" si="417"/>
        <v>0.87624046200338812</v>
      </c>
      <c r="R1562">
        <f t="shared" si="418"/>
        <v>1</v>
      </c>
      <c r="AG1562" s="8">
        <f t="shared" si="408"/>
        <v>0.75882899572321194</v>
      </c>
      <c r="AH1562" s="8">
        <f t="shared" si="409"/>
        <v>0.21295786664755897</v>
      </c>
      <c r="AI1562" s="8">
        <f t="shared" si="410"/>
        <v>0.61548964433418529</v>
      </c>
      <c r="AJ1562" s="8"/>
      <c r="AK1562" s="8"/>
      <c r="AL1562" s="8"/>
      <c r="AN1562" s="8">
        <f t="shared" si="419"/>
        <v>0.99999999999999978</v>
      </c>
      <c r="AO1562" s="8">
        <f t="shared" si="420"/>
        <v>0.27360219507259126</v>
      </c>
      <c r="AP1562" s="8">
        <f t="shared" si="421"/>
        <v>0.90778924912547521</v>
      </c>
      <c r="AQ1562" s="8"/>
      <c r="AR1562" s="8">
        <f t="shared" si="422"/>
        <v>15.676251043174528</v>
      </c>
      <c r="AS1562" s="8">
        <f t="shared" si="423"/>
        <v>37.987507337760213</v>
      </c>
    </row>
    <row r="1563" spans="1:45">
      <c r="A1563" s="20">
        <v>55.889166670000002</v>
      </c>
      <c r="B1563" s="20">
        <v>1778.6224130000001</v>
      </c>
      <c r="C1563" s="20">
        <v>-430.27933630000001</v>
      </c>
      <c r="E1563" s="9">
        <f t="shared" si="412"/>
        <v>818.62241300000005</v>
      </c>
      <c r="F1563" s="9">
        <f t="shared" si="411"/>
        <v>109.72066369999999</v>
      </c>
      <c r="I1563">
        <v>1</v>
      </c>
      <c r="J1563">
        <f t="shared" si="413"/>
        <v>0.50303802719420132</v>
      </c>
      <c r="K1563">
        <f t="shared" si="414"/>
        <v>0.13323680956830375</v>
      </c>
      <c r="O1563">
        <f t="shared" si="415"/>
        <v>0.47781673081640602</v>
      </c>
      <c r="P1563">
        <f t="shared" si="416"/>
        <v>6.4042185993923306E-2</v>
      </c>
      <c r="Q1563">
        <f t="shared" si="417"/>
        <v>0.87612200643805427</v>
      </c>
      <c r="R1563">
        <f t="shared" si="418"/>
        <v>1</v>
      </c>
      <c r="AG1563" s="8">
        <f t="shared" si="408"/>
        <v>0.75882595048009616</v>
      </c>
      <c r="AH1563" s="8">
        <f t="shared" si="409"/>
        <v>0.21319575127594778</v>
      </c>
      <c r="AI1563" s="8">
        <f t="shared" si="410"/>
        <v>0.61541104029409721</v>
      </c>
      <c r="AJ1563" s="8"/>
      <c r="AK1563" s="8"/>
      <c r="AL1563" s="8"/>
      <c r="AN1563" s="8">
        <f t="shared" si="419"/>
        <v>1</v>
      </c>
      <c r="AO1563" s="8">
        <f t="shared" si="420"/>
        <v>0.27389381802452306</v>
      </c>
      <c r="AP1563" s="8">
        <f t="shared" si="421"/>
        <v>0.90788897821360248</v>
      </c>
      <c r="AQ1563" s="8"/>
      <c r="AR1563" s="8">
        <f t="shared" si="422"/>
        <v>15.692959807529366</v>
      </c>
      <c r="AS1563" s="8">
        <f t="shared" si="423"/>
        <v>37.981793281915834</v>
      </c>
    </row>
    <row r="1564" spans="1:45">
      <c r="A1564" s="20">
        <v>55.92253333</v>
      </c>
      <c r="B1564" s="20">
        <v>1779.1047160000001</v>
      </c>
      <c r="C1564" s="20">
        <v>-429.97219799999999</v>
      </c>
      <c r="E1564" s="9">
        <f t="shared" si="412"/>
        <v>819.10471600000005</v>
      </c>
      <c r="F1564" s="9">
        <f t="shared" si="411"/>
        <v>110.02780200000001</v>
      </c>
      <c r="I1564">
        <v>1</v>
      </c>
      <c r="J1564">
        <f t="shared" si="413"/>
        <v>0.5033057125917344</v>
      </c>
      <c r="K1564">
        <f t="shared" si="414"/>
        <v>0.13352762239381832</v>
      </c>
      <c r="O1564">
        <f t="shared" si="415"/>
        <v>0.47803050662648339</v>
      </c>
      <c r="P1564">
        <f t="shared" si="416"/>
        <v>6.4212358817695298E-2</v>
      </c>
      <c r="Q1564">
        <f t="shared" si="417"/>
        <v>0.87599292674626961</v>
      </c>
      <c r="R1564">
        <f t="shared" si="418"/>
        <v>1</v>
      </c>
      <c r="AG1564" s="8">
        <f t="shared" si="408"/>
        <v>0.7586995435426156</v>
      </c>
      <c r="AH1564" s="8">
        <f t="shared" si="409"/>
        <v>0.21346284630119969</v>
      </c>
      <c r="AI1564" s="8">
        <f t="shared" si="410"/>
        <v>0.61547430155711391</v>
      </c>
      <c r="AJ1564" s="8"/>
      <c r="AK1564" s="8"/>
      <c r="AL1564" s="8"/>
      <c r="AN1564" s="8">
        <f t="shared" si="419"/>
        <v>1.0000000000000002</v>
      </c>
      <c r="AO1564" s="8">
        <f t="shared" si="420"/>
        <v>0.27426345237350302</v>
      </c>
      <c r="AP1564" s="8">
        <f t="shared" si="421"/>
        <v>0.90780871592534784</v>
      </c>
      <c r="AQ1564" s="8"/>
      <c r="AR1564" s="8">
        <f t="shared" si="422"/>
        <v>15.714138295688985</v>
      </c>
      <c r="AS1564" s="8">
        <f t="shared" si="423"/>
        <v>37.986391972286881</v>
      </c>
    </row>
    <row r="1565" spans="1:45">
      <c r="A1565" s="20">
        <v>55.9559</v>
      </c>
      <c r="B1565" s="20">
        <v>1780.075844</v>
      </c>
      <c r="C1565" s="20">
        <v>-430.42930680000001</v>
      </c>
      <c r="E1565" s="9">
        <f t="shared" si="412"/>
        <v>820.07584399999996</v>
      </c>
      <c r="F1565" s="9">
        <f t="shared" si="411"/>
        <v>109.57069319999999</v>
      </c>
      <c r="I1565">
        <v>1</v>
      </c>
      <c r="J1565">
        <f t="shared" si="413"/>
        <v>0.5037707896481568</v>
      </c>
      <c r="K1565">
        <f t="shared" si="414"/>
        <v>0.13282378740401996</v>
      </c>
      <c r="O1565">
        <f t="shared" si="415"/>
        <v>0.47847934715310098</v>
      </c>
      <c r="P1565">
        <f t="shared" si="416"/>
        <v>6.3929835432939189E-2</v>
      </c>
      <c r="Q1565">
        <f t="shared" si="417"/>
        <v>0.87576851421449242</v>
      </c>
      <c r="R1565">
        <f t="shared" si="418"/>
        <v>1</v>
      </c>
      <c r="AG1565" s="8">
        <f t="shared" si="408"/>
        <v>0.75885101686963152</v>
      </c>
      <c r="AH1565" s="8">
        <f t="shared" si="409"/>
        <v>0.21390263926815029</v>
      </c>
      <c r="AI1565" s="8">
        <f t="shared" si="410"/>
        <v>0.61513477800401251</v>
      </c>
      <c r="AJ1565" s="8"/>
      <c r="AK1565" s="8"/>
      <c r="AL1565" s="8"/>
      <c r="AN1565" s="8">
        <f t="shared" si="419"/>
        <v>1</v>
      </c>
      <c r="AO1565" s="8">
        <f t="shared" si="420"/>
        <v>0.27474838427208581</v>
      </c>
      <c r="AP1565" s="8">
        <f t="shared" si="421"/>
        <v>0.90823942515581868</v>
      </c>
      <c r="AQ1565" s="8"/>
      <c r="AR1565" s="8">
        <f t="shared" si="422"/>
        <v>15.741922846829043</v>
      </c>
      <c r="AS1565" s="8">
        <f t="shared" si="423"/>
        <v>37.961714151183578</v>
      </c>
    </row>
    <row r="1566" spans="1:45">
      <c r="A1566" s="20">
        <v>55.989266669999999</v>
      </c>
      <c r="B1566" s="20">
        <v>1780.3505620000001</v>
      </c>
      <c r="C1566" s="20">
        <v>-430.67735709999999</v>
      </c>
      <c r="E1566" s="9">
        <f t="shared" si="412"/>
        <v>820.35056200000008</v>
      </c>
      <c r="F1566" s="9">
        <f t="shared" si="411"/>
        <v>109.32264290000001</v>
      </c>
      <c r="I1566">
        <v>1</v>
      </c>
      <c r="J1566">
        <f t="shared" si="413"/>
        <v>0.5038942590335832</v>
      </c>
      <c r="K1566">
        <f t="shared" si="414"/>
        <v>0.13248274539778127</v>
      </c>
      <c r="O1566">
        <f t="shared" si="415"/>
        <v>0.47860830148919514</v>
      </c>
      <c r="P1566">
        <f t="shared" si="416"/>
        <v>6.3780933245315211E-2</v>
      </c>
      <c r="Q1566">
        <f t="shared" si="417"/>
        <v>0.87570890500210419</v>
      </c>
      <c r="R1566">
        <f t="shared" si="418"/>
        <v>1</v>
      </c>
      <c r="AG1566" s="8">
        <f t="shared" si="408"/>
        <v>0.75893861751814629</v>
      </c>
      <c r="AH1566" s="8">
        <f t="shared" si="409"/>
        <v>0.21401620459389017</v>
      </c>
      <c r="AI1566" s="8">
        <f t="shared" si="410"/>
        <v>0.61498718605420621</v>
      </c>
      <c r="AJ1566" s="8"/>
      <c r="AK1566" s="8"/>
      <c r="AL1566" s="8"/>
      <c r="AN1566" s="8">
        <f t="shared" si="419"/>
        <v>0.99999999999999978</v>
      </c>
      <c r="AO1566" s="8">
        <f t="shared" si="420"/>
        <v>0.27485686288830241</v>
      </c>
      <c r="AP1566" s="8">
        <f t="shared" si="421"/>
        <v>0.90842661067240549</v>
      </c>
      <c r="AQ1566" s="8"/>
      <c r="AR1566" s="8">
        <f t="shared" si="422"/>
        <v>15.748138213705674</v>
      </c>
      <c r="AS1566" s="8">
        <f t="shared" si="423"/>
        <v>37.95098921109718</v>
      </c>
    </row>
    <row r="1567" spans="1:45">
      <c r="A1567" s="20">
        <v>56.022633329999998</v>
      </c>
      <c r="B1567" s="20">
        <v>1780.495797</v>
      </c>
      <c r="C1567" s="20">
        <v>-430.9674086</v>
      </c>
      <c r="E1567" s="9">
        <f t="shared" si="412"/>
        <v>820.49579700000004</v>
      </c>
      <c r="F1567" s="9">
        <f t="shared" si="411"/>
        <v>109.0325914</v>
      </c>
      <c r="I1567">
        <v>1</v>
      </c>
      <c r="J1567">
        <f t="shared" si="413"/>
        <v>0.50394874853503613</v>
      </c>
      <c r="K1567">
        <f t="shared" si="414"/>
        <v>0.13211221077603183</v>
      </c>
      <c r="O1567">
        <f t="shared" si="415"/>
        <v>0.47867920209646592</v>
      </c>
      <c r="P1567">
        <f t="shared" si="416"/>
        <v>6.3609873499281294E-2</v>
      </c>
      <c r="Q1567">
        <f t="shared" si="417"/>
        <v>0.87568259402234105</v>
      </c>
      <c r="R1567">
        <f t="shared" si="418"/>
        <v>1</v>
      </c>
      <c r="AG1567" s="8">
        <f t="shared" si="408"/>
        <v>0.75904487017444566</v>
      </c>
      <c r="AH1567" s="8">
        <f t="shared" si="409"/>
        <v>0.21406178658160091</v>
      </c>
      <c r="AI1567" s="8">
        <f t="shared" si="410"/>
        <v>0.61484017157904713</v>
      </c>
      <c r="AJ1567" s="8"/>
      <c r="AK1567" s="8"/>
      <c r="AL1567" s="8"/>
      <c r="AN1567" s="8">
        <f t="shared" si="419"/>
        <v>1</v>
      </c>
      <c r="AO1567" s="8">
        <f t="shared" si="420"/>
        <v>0.2748759246341056</v>
      </c>
      <c r="AP1567" s="8">
        <f t="shared" si="421"/>
        <v>0.90861303663617721</v>
      </c>
      <c r="AQ1567" s="8"/>
      <c r="AR1567" s="8">
        <f t="shared" si="422"/>
        <v>15.749230371290349</v>
      </c>
      <c r="AS1567" s="8">
        <f t="shared" si="423"/>
        <v>37.9403077901814</v>
      </c>
    </row>
    <row r="1568" spans="1:45">
      <c r="A1568" s="20">
        <v>56.055999999999997</v>
      </c>
      <c r="B1568" s="20">
        <v>1781.096192</v>
      </c>
      <c r="C1568" s="20">
        <v>-431.31611880000003</v>
      </c>
      <c r="E1568" s="9">
        <f t="shared" si="412"/>
        <v>821.09619199999997</v>
      </c>
      <c r="F1568" s="9">
        <f t="shared" si="411"/>
        <v>108.68388119999997</v>
      </c>
      <c r="I1568">
        <v>1</v>
      </c>
      <c r="J1568">
        <f t="shared" si="413"/>
        <v>0.50423187366486522</v>
      </c>
      <c r="K1568">
        <f t="shared" si="414"/>
        <v>0.13159937474986158</v>
      </c>
      <c r="O1568">
        <f t="shared" si="415"/>
        <v>0.47895752538255537</v>
      </c>
      <c r="P1568">
        <f t="shared" si="416"/>
        <v>6.3396911708638898E-2</v>
      </c>
      <c r="Q1568">
        <f t="shared" si="417"/>
        <v>0.87554584144134107</v>
      </c>
      <c r="R1568">
        <f t="shared" si="418"/>
        <v>1</v>
      </c>
      <c r="AG1568" s="8">
        <f t="shared" ref="AG1568:AG1631" si="424">$O1568*$Z$27+$P1568*$Z$31+$Q1568*$Z$35</f>
        <v>0.75916315387927602</v>
      </c>
      <c r="AH1568" s="8">
        <f t="shared" ref="AH1568:AH1631" si="425">$O1568*$AA$27+$P1568*$AA$31+$Q1568*$AA$35</f>
        <v>0.21432745510416407</v>
      </c>
      <c r="AI1568" s="8">
        <f t="shared" ref="AI1568:AI1631" si="426">$AB$27*$O1568+$P1568*$AB$31+$AB$35*$Q1568</f>
        <v>0.61460153577797327</v>
      </c>
      <c r="AJ1568" s="8"/>
      <c r="AK1568" s="8"/>
      <c r="AL1568" s="8"/>
      <c r="AN1568" s="8">
        <f t="shared" si="419"/>
        <v>1</v>
      </c>
      <c r="AO1568" s="8">
        <f t="shared" si="420"/>
        <v>0.27515936642846994</v>
      </c>
      <c r="AP1568" s="8">
        <f t="shared" si="421"/>
        <v>0.90891558800693684</v>
      </c>
      <c r="AQ1568" s="8"/>
      <c r="AR1568" s="8">
        <f t="shared" si="422"/>
        <v>15.76547038984504</v>
      </c>
      <c r="AS1568" s="8">
        <f t="shared" si="423"/>
        <v>37.922972873550975</v>
      </c>
    </row>
    <row r="1569" spans="1:45">
      <c r="A1569" s="20">
        <v>56.089366669999997</v>
      </c>
      <c r="B1569" s="20">
        <v>1781.9271839999999</v>
      </c>
      <c r="C1569" s="20">
        <v>-431.60195190000002</v>
      </c>
      <c r="E1569" s="9">
        <f t="shared" si="412"/>
        <v>821.9271839999999</v>
      </c>
      <c r="F1569" s="9">
        <f t="shared" ref="F1569:F1632" si="427">(($C$15/2)+C1569)</f>
        <v>108.39804809999998</v>
      </c>
      <c r="I1569">
        <v>1</v>
      </c>
      <c r="J1569">
        <f t="shared" si="413"/>
        <v>0.50463702486773743</v>
      </c>
      <c r="K1569">
        <f t="shared" si="414"/>
        <v>0.13112605353582857</v>
      </c>
      <c r="O1569">
        <f t="shared" si="415"/>
        <v>0.47933912272158474</v>
      </c>
      <c r="P1569">
        <f t="shared" si="416"/>
        <v>6.321657963436593E-2</v>
      </c>
      <c r="Q1569">
        <f t="shared" si="417"/>
        <v>0.87535002683945429</v>
      </c>
      <c r="R1569">
        <f t="shared" si="418"/>
        <v>1</v>
      </c>
      <c r="AG1569" s="8">
        <f t="shared" si="424"/>
        <v>0.75925244430669514</v>
      </c>
      <c r="AH1569" s="8">
        <f t="shared" si="425"/>
        <v>0.21471286936744582</v>
      </c>
      <c r="AI1569" s="8">
        <f t="shared" si="426"/>
        <v>0.61435666313820259</v>
      </c>
      <c r="AJ1569" s="8"/>
      <c r="AK1569" s="8"/>
      <c r="AL1569" s="8"/>
      <c r="AN1569" s="8">
        <f t="shared" si="419"/>
        <v>1</v>
      </c>
      <c r="AO1569" s="8">
        <f t="shared" si="420"/>
        <v>0.27559871115709034</v>
      </c>
      <c r="AP1569" s="8">
        <f t="shared" si="421"/>
        <v>0.90922597255352511</v>
      </c>
      <c r="AQ1569" s="8"/>
      <c r="AR1569" s="8">
        <f t="shared" si="422"/>
        <v>15.79064298854631</v>
      </c>
      <c r="AS1569" s="8">
        <f t="shared" si="423"/>
        <v>37.905189149005388</v>
      </c>
    </row>
    <row r="1570" spans="1:45">
      <c r="A1570" s="20">
        <v>56.122733330000003</v>
      </c>
      <c r="B1570" s="20">
        <v>1782.146643</v>
      </c>
      <c r="C1570" s="20">
        <v>-431.84888790000002</v>
      </c>
      <c r="E1570" s="9">
        <f t="shared" si="412"/>
        <v>822.14664300000004</v>
      </c>
      <c r="F1570" s="9">
        <f t="shared" si="427"/>
        <v>108.15111209999998</v>
      </c>
      <c r="I1570">
        <v>1</v>
      </c>
      <c r="J1570">
        <f t="shared" si="413"/>
        <v>0.50473248299996054</v>
      </c>
      <c r="K1570">
        <f t="shared" si="414"/>
        <v>0.13079621663371352</v>
      </c>
      <c r="O1570">
        <f t="shared" si="415"/>
        <v>0.47944279116916344</v>
      </c>
      <c r="P1570">
        <f t="shared" si="416"/>
        <v>6.3069370281760143E-2</v>
      </c>
      <c r="Q1570">
        <f t="shared" si="417"/>
        <v>0.8753038698236083</v>
      </c>
      <c r="R1570">
        <f t="shared" si="418"/>
        <v>1</v>
      </c>
      <c r="AG1570" s="8">
        <f t="shared" si="424"/>
        <v>0.75934061332882929</v>
      </c>
      <c r="AH1570" s="8">
        <f t="shared" si="425"/>
        <v>0.21479903293133101</v>
      </c>
      <c r="AI1570" s="8">
        <f t="shared" si="426"/>
        <v>0.61421755787437604</v>
      </c>
      <c r="AJ1570" s="8"/>
      <c r="AK1570" s="8"/>
      <c r="AL1570" s="8"/>
      <c r="AN1570" s="8">
        <f t="shared" si="419"/>
        <v>1.0000000000000002</v>
      </c>
      <c r="AO1570" s="8">
        <f t="shared" si="420"/>
        <v>0.27567337392608471</v>
      </c>
      <c r="AP1570" s="8">
        <f t="shared" si="421"/>
        <v>0.90940225988358914</v>
      </c>
      <c r="AQ1570" s="8"/>
      <c r="AR1570" s="8">
        <f t="shared" si="422"/>
        <v>15.794920850096446</v>
      </c>
      <c r="AS1570" s="8">
        <f t="shared" si="423"/>
        <v>37.895088629011084</v>
      </c>
    </row>
    <row r="1571" spans="1:45">
      <c r="A1571" s="20">
        <v>56.156100000000002</v>
      </c>
      <c r="B1571" s="20">
        <v>1782.25884</v>
      </c>
      <c r="C1571" s="20">
        <v>-431.8904321</v>
      </c>
      <c r="E1571" s="9">
        <f t="shared" si="412"/>
        <v>822.25883999999996</v>
      </c>
      <c r="F1571" s="9">
        <f t="shared" si="427"/>
        <v>108.1095679</v>
      </c>
      <c r="I1571">
        <v>1</v>
      </c>
      <c r="J1571">
        <f t="shared" si="413"/>
        <v>0.50478698361850327</v>
      </c>
      <c r="K1571">
        <f t="shared" si="414"/>
        <v>0.1307289067393291</v>
      </c>
      <c r="O1571">
        <f t="shared" si="415"/>
        <v>0.47949433210923037</v>
      </c>
      <c r="P1571">
        <f t="shared" si="416"/>
        <v>6.3043317424021847E-2</v>
      </c>
      <c r="Q1571">
        <f t="shared" si="417"/>
        <v>0.8752775134797518</v>
      </c>
      <c r="R1571">
        <f t="shared" si="418"/>
        <v>1</v>
      </c>
      <c r="AG1571" s="8">
        <f t="shared" si="424"/>
        <v>0.75935375518325232</v>
      </c>
      <c r="AH1571" s="8">
        <f t="shared" si="425"/>
        <v>0.21485077772443673</v>
      </c>
      <c r="AI1571" s="8">
        <f t="shared" si="426"/>
        <v>0.6141832119166869</v>
      </c>
      <c r="AJ1571" s="8"/>
      <c r="AK1571" s="8"/>
      <c r="AL1571" s="8"/>
      <c r="AN1571" s="8">
        <f t="shared" si="419"/>
        <v>1</v>
      </c>
      <c r="AO1571" s="8">
        <f t="shared" si="420"/>
        <v>0.27573193450977451</v>
      </c>
      <c r="AP1571" s="8">
        <f t="shared" si="421"/>
        <v>0.90944578260190001</v>
      </c>
      <c r="AQ1571" s="8"/>
      <c r="AR1571" s="8">
        <f t="shared" si="422"/>
        <v>15.798276124387694</v>
      </c>
      <c r="AS1571" s="8">
        <f t="shared" si="423"/>
        <v>37.892594960938936</v>
      </c>
    </row>
    <row r="1572" spans="1:45">
      <c r="A1572" s="20">
        <v>56.189466670000002</v>
      </c>
      <c r="B1572" s="20">
        <v>1782.5676430000001</v>
      </c>
      <c r="C1572" s="20">
        <v>-431.89360690000001</v>
      </c>
      <c r="E1572" s="9">
        <f t="shared" si="412"/>
        <v>822.56764300000009</v>
      </c>
      <c r="F1572" s="9">
        <f t="shared" si="427"/>
        <v>108.10639309999999</v>
      </c>
      <c r="I1572">
        <v>1</v>
      </c>
      <c r="J1572">
        <f t="shared" si="413"/>
        <v>0.50494443584204396</v>
      </c>
      <c r="K1572">
        <f t="shared" si="414"/>
        <v>0.13067659219578134</v>
      </c>
      <c r="O1572">
        <f t="shared" si="415"/>
        <v>0.47963426297056955</v>
      </c>
      <c r="P1572">
        <f t="shared" si="416"/>
        <v>6.3036189933045009E-2</v>
      </c>
      <c r="Q1572">
        <f t="shared" si="417"/>
        <v>0.87520135542822575</v>
      </c>
      <c r="R1572">
        <f t="shared" si="418"/>
        <v>1</v>
      </c>
      <c r="AG1572" s="8">
        <f t="shared" si="424"/>
        <v>0.75934801511166139</v>
      </c>
      <c r="AH1572" s="8">
        <f t="shared" si="425"/>
        <v>0.21500328162417934</v>
      </c>
      <c r="AI1572" s="8">
        <f t="shared" si="426"/>
        <v>0.61413693980806416</v>
      </c>
      <c r="AJ1572" s="8"/>
      <c r="AK1572" s="8"/>
      <c r="AL1572" s="8"/>
      <c r="AN1572" s="8">
        <f t="shared" si="419"/>
        <v>0.99999999999999989</v>
      </c>
      <c r="AO1572" s="8">
        <f t="shared" si="420"/>
        <v>0.27591985403108682</v>
      </c>
      <c r="AP1572" s="8">
        <f t="shared" si="421"/>
        <v>0.90950441564142259</v>
      </c>
      <c r="AQ1572" s="8"/>
      <c r="AR1572" s="8">
        <f t="shared" si="422"/>
        <v>15.80904311984701</v>
      </c>
      <c r="AS1572" s="8">
        <f t="shared" si="423"/>
        <v>37.88923553523427</v>
      </c>
    </row>
    <row r="1573" spans="1:45">
      <c r="A1573" s="20">
        <v>56.22283333</v>
      </c>
      <c r="B1573" s="20">
        <v>1783.409746</v>
      </c>
      <c r="C1573" s="20">
        <v>-432.45935040000001</v>
      </c>
      <c r="E1573" s="9">
        <f t="shared" si="412"/>
        <v>823.40974600000004</v>
      </c>
      <c r="F1573" s="9">
        <f t="shared" si="427"/>
        <v>107.54064959999999</v>
      </c>
      <c r="I1573">
        <v>1</v>
      </c>
      <c r="J1573">
        <f t="shared" si="413"/>
        <v>0.50533644924972132</v>
      </c>
      <c r="K1573">
        <f t="shared" si="414"/>
        <v>0.12986897166588757</v>
      </c>
      <c r="O1573">
        <f t="shared" si="415"/>
        <v>0.48002518045379478</v>
      </c>
      <c r="P1573">
        <f t="shared" si="416"/>
        <v>6.2693233813579746E-2</v>
      </c>
      <c r="Q1573">
        <f t="shared" si="417"/>
        <v>0.87501164824492339</v>
      </c>
      <c r="R1573">
        <f t="shared" si="418"/>
        <v>1</v>
      </c>
      <c r="AG1573" s="8">
        <f t="shared" si="424"/>
        <v>0.75954211135363903</v>
      </c>
      <c r="AH1573" s="8">
        <f t="shared" si="425"/>
        <v>0.2153683682115054</v>
      </c>
      <c r="AI1573" s="8">
        <f t="shared" si="426"/>
        <v>0.61376888733005153</v>
      </c>
      <c r="AJ1573" s="8"/>
      <c r="AK1573" s="8"/>
      <c r="AL1573" s="8"/>
      <c r="AN1573" s="8">
        <f t="shared" si="419"/>
        <v>0.99999999999999978</v>
      </c>
      <c r="AO1573" s="8">
        <f t="shared" si="420"/>
        <v>0.27629782050699569</v>
      </c>
      <c r="AP1573" s="8">
        <f t="shared" si="421"/>
        <v>0.90997069284962673</v>
      </c>
      <c r="AQ1573" s="8"/>
      <c r="AR1573" s="8">
        <f t="shared" si="422"/>
        <v>15.83069900371402</v>
      </c>
      <c r="AS1573" s="8">
        <f t="shared" si="423"/>
        <v>37.862519819121033</v>
      </c>
    </row>
    <row r="1574" spans="1:45">
      <c r="A1574" s="20">
        <v>56.2562</v>
      </c>
      <c r="B1574" s="20">
        <v>1783.8586849999999</v>
      </c>
      <c r="C1574" s="20">
        <v>-432.59603040000002</v>
      </c>
      <c r="E1574" s="9">
        <f t="shared" si="412"/>
        <v>823.85868499999992</v>
      </c>
      <c r="F1574" s="9">
        <f t="shared" si="427"/>
        <v>107.40396959999998</v>
      </c>
      <c r="I1574">
        <v>1</v>
      </c>
      <c r="J1574">
        <f t="shared" si="413"/>
        <v>0.50555644653515097</v>
      </c>
      <c r="K1574">
        <f t="shared" si="414"/>
        <v>0.12963586927391896</v>
      </c>
      <c r="O1574">
        <f t="shared" si="415"/>
        <v>0.48023065466108439</v>
      </c>
      <c r="P1574">
        <f t="shared" si="416"/>
        <v>6.2606220670244184E-2</v>
      </c>
      <c r="Q1574">
        <f t="shared" si="417"/>
        <v>0.8749051259749111</v>
      </c>
      <c r="R1574">
        <f t="shared" si="418"/>
        <v>1</v>
      </c>
      <c r="AG1574" s="8">
        <f t="shared" si="424"/>
        <v>0.7595833617998643</v>
      </c>
      <c r="AH1574" s="8">
        <f t="shared" si="425"/>
        <v>0.21557790463669976</v>
      </c>
      <c r="AI1574" s="8">
        <f t="shared" si="426"/>
        <v>0.61364426462671884</v>
      </c>
      <c r="AJ1574" s="8"/>
      <c r="AK1574" s="8"/>
      <c r="AL1574" s="8"/>
      <c r="AN1574" s="8">
        <f t="shared" si="419"/>
        <v>1.0000000000000002</v>
      </c>
      <c r="AO1574" s="8">
        <f t="shared" si="420"/>
        <v>0.27653887973324459</v>
      </c>
      <c r="AP1574" s="8">
        <f t="shared" si="421"/>
        <v>0.91012853617691147</v>
      </c>
      <c r="AQ1574" s="8"/>
      <c r="AR1574" s="8">
        <f t="shared" si="422"/>
        <v>15.844510679990773</v>
      </c>
      <c r="AS1574" s="8">
        <f t="shared" si="423"/>
        <v>37.85347606264331</v>
      </c>
    </row>
    <row r="1575" spans="1:45">
      <c r="A1575" s="20">
        <v>56.289566669999999</v>
      </c>
      <c r="B1575" s="20">
        <v>1784.2347259999999</v>
      </c>
      <c r="C1575" s="20">
        <v>-432.80259180000002</v>
      </c>
      <c r="E1575" s="9">
        <f t="shared" si="412"/>
        <v>824.23472599999991</v>
      </c>
      <c r="F1575" s="9">
        <f t="shared" si="427"/>
        <v>107.19740819999998</v>
      </c>
      <c r="I1575">
        <v>1</v>
      </c>
      <c r="J1575">
        <f t="shared" si="413"/>
        <v>0.50573458645505798</v>
      </c>
      <c r="K1575">
        <f t="shared" si="414"/>
        <v>0.12933095188471996</v>
      </c>
      <c r="O1575">
        <f t="shared" si="415"/>
        <v>0.48040426832715344</v>
      </c>
      <c r="P1575">
        <f t="shared" si="416"/>
        <v>6.2479886891938827E-2</v>
      </c>
      <c r="Q1575">
        <f t="shared" si="417"/>
        <v>0.87481883993603093</v>
      </c>
      <c r="R1575">
        <f t="shared" si="418"/>
        <v>1</v>
      </c>
      <c r="AG1575" s="8">
        <f t="shared" si="424"/>
        <v>0.75965253309738845</v>
      </c>
      <c r="AH1575" s="8">
        <f t="shared" si="425"/>
        <v>0.21574499940941835</v>
      </c>
      <c r="AI1575" s="8">
        <f t="shared" si="426"/>
        <v>0.61349989746417344</v>
      </c>
      <c r="AJ1575" s="8"/>
      <c r="AK1575" s="8"/>
      <c r="AL1575" s="8"/>
      <c r="AN1575" s="8">
        <f t="shared" si="419"/>
        <v>1</v>
      </c>
      <c r="AO1575" s="8">
        <f t="shared" si="420"/>
        <v>0.27671851942017456</v>
      </c>
      <c r="AP1575" s="8">
        <f t="shared" si="421"/>
        <v>0.91031136303207549</v>
      </c>
      <c r="AQ1575" s="8"/>
      <c r="AR1575" s="8">
        <f t="shared" si="422"/>
        <v>15.85480327588491</v>
      </c>
      <c r="AS1575" s="8">
        <f t="shared" si="423"/>
        <v>37.843000855460765</v>
      </c>
    </row>
    <row r="1576" spans="1:45">
      <c r="A1576" s="20">
        <v>56.322933329999998</v>
      </c>
      <c r="B1576" s="20">
        <v>1784.7706029999999</v>
      </c>
      <c r="C1576" s="20">
        <v>-432.95630390000002</v>
      </c>
      <c r="E1576" s="9">
        <f t="shared" si="412"/>
        <v>824.77060299999994</v>
      </c>
      <c r="F1576" s="9">
        <f t="shared" si="427"/>
        <v>107.04369609999998</v>
      </c>
      <c r="I1576">
        <v>1</v>
      </c>
      <c r="J1576">
        <f t="shared" si="413"/>
        <v>0.50599775827133175</v>
      </c>
      <c r="K1576">
        <f t="shared" si="414"/>
        <v>0.12906457698993468</v>
      </c>
      <c r="O1576">
        <f t="shared" si="415"/>
        <v>0.4806491905127902</v>
      </c>
      <c r="P1576">
        <f t="shared" si="416"/>
        <v>6.2381546690458513E-2</v>
      </c>
      <c r="Q1576">
        <f t="shared" si="417"/>
        <v>0.87469131600348338</v>
      </c>
      <c r="R1576">
        <f t="shared" si="418"/>
        <v>1</v>
      </c>
      <c r="AG1576" s="8">
        <f t="shared" si="424"/>
        <v>0.75969808231698177</v>
      </c>
      <c r="AH1576" s="8">
        <f t="shared" si="425"/>
        <v>0.21599582596121658</v>
      </c>
      <c r="AI1576" s="8">
        <f t="shared" si="426"/>
        <v>0.6133552208070232</v>
      </c>
      <c r="AJ1576" s="8"/>
      <c r="AK1576" s="8"/>
      <c r="AL1576" s="8"/>
      <c r="AN1576" s="8">
        <f t="shared" si="419"/>
        <v>1</v>
      </c>
      <c r="AO1576" s="8">
        <f t="shared" si="420"/>
        <v>0.27700826143406088</v>
      </c>
      <c r="AP1576" s="8">
        <f t="shared" si="421"/>
        <v>0.91049455578415328</v>
      </c>
      <c r="AQ1576" s="8"/>
      <c r="AR1576" s="8">
        <f t="shared" si="422"/>
        <v>15.871404270428217</v>
      </c>
      <c r="AS1576" s="8">
        <f t="shared" si="423"/>
        <v>37.832504683929322</v>
      </c>
    </row>
    <row r="1577" spans="1:45">
      <c r="A1577" s="20">
        <v>56.356299999999997</v>
      </c>
      <c r="B1577" s="20">
        <v>1785.4940120000001</v>
      </c>
      <c r="C1577" s="20">
        <v>-433.32099549999998</v>
      </c>
      <c r="E1577" s="9">
        <f t="shared" si="412"/>
        <v>825.49401200000011</v>
      </c>
      <c r="F1577" s="9">
        <f t="shared" si="427"/>
        <v>106.67900450000002</v>
      </c>
      <c r="I1577">
        <v>1</v>
      </c>
      <c r="J1577">
        <f t="shared" si="413"/>
        <v>0.50634259145006821</v>
      </c>
      <c r="K1577">
        <f t="shared" si="414"/>
        <v>0.12851821886502077</v>
      </c>
      <c r="O1577">
        <f t="shared" si="415"/>
        <v>0.48098230792603891</v>
      </c>
      <c r="P1577">
        <f t="shared" si="416"/>
        <v>6.2157584483680396E-2</v>
      </c>
      <c r="Q1577">
        <f t="shared" si="417"/>
        <v>0.87452413011494157</v>
      </c>
      <c r="R1577">
        <f t="shared" si="418"/>
        <v>1</v>
      </c>
      <c r="AG1577" s="8">
        <f t="shared" si="424"/>
        <v>0.75981858244068234</v>
      </c>
      <c r="AH1577" s="8">
        <f t="shared" si="425"/>
        <v>0.21632000265793905</v>
      </c>
      <c r="AI1577" s="8">
        <f t="shared" si="426"/>
        <v>0.6130916556501983</v>
      </c>
      <c r="AJ1577" s="8"/>
      <c r="AK1577" s="8"/>
      <c r="AL1577" s="8"/>
      <c r="AN1577" s="8">
        <f t="shared" si="419"/>
        <v>1</v>
      </c>
      <c r="AO1577" s="8">
        <f t="shared" si="420"/>
        <v>0.27736124874560825</v>
      </c>
      <c r="AP1577" s="8">
        <f t="shared" si="421"/>
        <v>0.91082822079384451</v>
      </c>
      <c r="AQ1577" s="8"/>
      <c r="AR1577" s="8">
        <f t="shared" si="422"/>
        <v>15.89162895360155</v>
      </c>
      <c r="AS1577" s="8">
        <f t="shared" si="423"/>
        <v>37.813387087102818</v>
      </c>
    </row>
    <row r="1578" spans="1:45">
      <c r="A1578" s="20">
        <v>56.389666669999997</v>
      </c>
      <c r="B1578" s="20">
        <v>1785.9064430000001</v>
      </c>
      <c r="C1578" s="20">
        <v>-433.41453569999999</v>
      </c>
      <c r="E1578" s="9">
        <f t="shared" si="412"/>
        <v>825.90644300000008</v>
      </c>
      <c r="F1578" s="9">
        <f t="shared" si="427"/>
        <v>106.58546430000001</v>
      </c>
      <c r="I1578">
        <v>1</v>
      </c>
      <c r="J1578">
        <f t="shared" si="413"/>
        <v>0.50654670849703465</v>
      </c>
      <c r="K1578">
        <f t="shared" si="414"/>
        <v>0.12834334418726162</v>
      </c>
      <c r="O1578">
        <f t="shared" si="415"/>
        <v>0.48117019746694895</v>
      </c>
      <c r="P1578">
        <f t="shared" si="416"/>
        <v>6.2096317735515529E-2</v>
      </c>
      <c r="Q1578">
        <f t="shared" si="417"/>
        <v>0.87442511880280938</v>
      </c>
      <c r="R1578">
        <f t="shared" si="418"/>
        <v>1</v>
      </c>
      <c r="AG1578" s="8">
        <f t="shared" si="424"/>
        <v>0.75984418000760401</v>
      </c>
      <c r="AH1578" s="8">
        <f t="shared" si="425"/>
        <v>0.21651514475585693</v>
      </c>
      <c r="AI1578" s="8">
        <f t="shared" si="426"/>
        <v>0.61299103924928811</v>
      </c>
      <c r="AJ1578" s="8"/>
      <c r="AK1578" s="8"/>
      <c r="AL1578" s="8"/>
      <c r="AN1578" s="8">
        <f t="shared" si="419"/>
        <v>1</v>
      </c>
      <c r="AO1578" s="8">
        <f t="shared" si="420"/>
        <v>0.27758992518340209</v>
      </c>
      <c r="AP1578" s="8">
        <f t="shared" si="421"/>
        <v>0.91095557513346193</v>
      </c>
      <c r="AQ1578" s="8"/>
      <c r="AR1578" s="8">
        <f t="shared" si="422"/>
        <v>15.904731148361224</v>
      </c>
      <c r="AS1578" s="8">
        <f t="shared" si="423"/>
        <v>37.806090220940071</v>
      </c>
    </row>
    <row r="1579" spans="1:45">
      <c r="A1579" s="20">
        <v>56.423033330000003</v>
      </c>
      <c r="B1579" s="20">
        <v>1786.1881920000001</v>
      </c>
      <c r="C1579" s="20">
        <v>-433.5513464</v>
      </c>
      <c r="E1579" s="9">
        <f t="shared" si="412"/>
        <v>826.18819200000007</v>
      </c>
      <c r="F1579" s="9">
        <f t="shared" si="427"/>
        <v>106.4486536</v>
      </c>
      <c r="I1579">
        <v>1</v>
      </c>
      <c r="J1579">
        <f t="shared" si="413"/>
        <v>0.50668134093182504</v>
      </c>
      <c r="K1579">
        <f t="shared" si="414"/>
        <v>0.1281371697914768</v>
      </c>
      <c r="O1579">
        <f t="shared" si="415"/>
        <v>0.4812997463746958</v>
      </c>
      <c r="P1579">
        <f t="shared" si="416"/>
        <v>6.201215470725082E-2</v>
      </c>
      <c r="Q1579">
        <f t="shared" si="417"/>
        <v>0.87435979253864227</v>
      </c>
      <c r="R1579">
        <f t="shared" si="418"/>
        <v>1</v>
      </c>
      <c r="AG1579" s="8">
        <f t="shared" si="424"/>
        <v>0.75988906081560259</v>
      </c>
      <c r="AH1579" s="8">
        <f t="shared" si="425"/>
        <v>0.21664179847886725</v>
      </c>
      <c r="AI1579" s="8">
        <f t="shared" si="426"/>
        <v>0.61289064799899129</v>
      </c>
      <c r="AJ1579" s="8"/>
      <c r="AK1579" s="8"/>
      <c r="AL1579" s="8"/>
      <c r="AN1579" s="8">
        <f t="shared" si="419"/>
        <v>1</v>
      </c>
      <c r="AO1579" s="8">
        <f t="shared" si="420"/>
        <v>0.27772851117183955</v>
      </c>
      <c r="AP1579" s="8">
        <f t="shared" si="421"/>
        <v>0.91108263195047134</v>
      </c>
      <c r="AQ1579" s="8"/>
      <c r="AR1579" s="8">
        <f t="shared" si="422"/>
        <v>15.912671540598339</v>
      </c>
      <c r="AS1579" s="8">
        <f t="shared" si="423"/>
        <v>37.79881040156706</v>
      </c>
    </row>
    <row r="1580" spans="1:45">
      <c r="A1580" s="20">
        <v>56.456400000000002</v>
      </c>
      <c r="B1580" s="20">
        <v>1786.7506289999999</v>
      </c>
      <c r="C1580" s="20">
        <v>-433.77995069999997</v>
      </c>
      <c r="E1580" s="9">
        <f t="shared" si="412"/>
        <v>826.75062899999989</v>
      </c>
      <c r="F1580" s="9">
        <f t="shared" si="427"/>
        <v>106.22004930000003</v>
      </c>
      <c r="I1580">
        <v>1</v>
      </c>
      <c r="J1580">
        <f t="shared" si="413"/>
        <v>0.50695300724634662</v>
      </c>
      <c r="K1580">
        <f t="shared" si="414"/>
        <v>0.12777893871590024</v>
      </c>
      <c r="O1580">
        <f t="shared" si="415"/>
        <v>0.48155750998381674</v>
      </c>
      <c r="P1580">
        <f t="shared" si="416"/>
        <v>6.1870001251932857E-2</v>
      </c>
      <c r="Q1580">
        <f t="shared" si="417"/>
        <v>0.87422792652904435</v>
      </c>
      <c r="R1580">
        <f t="shared" si="418"/>
        <v>1</v>
      </c>
      <c r="AG1580" s="8">
        <f t="shared" si="424"/>
        <v>0.75996184052589477</v>
      </c>
      <c r="AH1580" s="8">
        <f t="shared" si="425"/>
        <v>0.21689859936176104</v>
      </c>
      <c r="AI1580" s="8">
        <f t="shared" si="426"/>
        <v>0.61270955479688816</v>
      </c>
      <c r="AJ1580" s="8"/>
      <c r="AK1580" s="8"/>
      <c r="AL1580" s="8"/>
      <c r="AN1580" s="8">
        <f t="shared" si="419"/>
        <v>1</v>
      </c>
      <c r="AO1580" s="8">
        <f t="shared" si="420"/>
        <v>0.27801574887477781</v>
      </c>
      <c r="AP1580" s="8">
        <f t="shared" si="421"/>
        <v>0.91131179482551272</v>
      </c>
      <c r="AQ1580" s="8"/>
      <c r="AR1580" s="8">
        <f t="shared" si="422"/>
        <v>15.929129048693735</v>
      </c>
      <c r="AS1580" s="8">
        <f t="shared" si="423"/>
        <v>37.785680336006109</v>
      </c>
    </row>
    <row r="1581" spans="1:45">
      <c r="A1581" s="20">
        <v>56.489766670000002</v>
      </c>
      <c r="B1581" s="20">
        <v>1787.149064</v>
      </c>
      <c r="C1581" s="20">
        <v>-434.2127304</v>
      </c>
      <c r="E1581" s="9">
        <f t="shared" si="412"/>
        <v>827.14906399999995</v>
      </c>
      <c r="F1581" s="9">
        <f t="shared" si="427"/>
        <v>105.7872696</v>
      </c>
      <c r="I1581">
        <v>1</v>
      </c>
      <c r="J1581">
        <f t="shared" si="413"/>
        <v>0.50712777070507853</v>
      </c>
      <c r="K1581">
        <f t="shared" si="414"/>
        <v>0.12720329123034893</v>
      </c>
      <c r="O1581">
        <f t="shared" si="415"/>
        <v>0.48174458684537169</v>
      </c>
      <c r="P1581">
        <f t="shared" si="416"/>
        <v>6.1612164850315246E-2</v>
      </c>
      <c r="Q1581">
        <f t="shared" si="417"/>
        <v>0.8741430627692699</v>
      </c>
      <c r="R1581">
        <f t="shared" si="418"/>
        <v>1</v>
      </c>
      <c r="AG1581" s="8">
        <f t="shared" si="424"/>
        <v>0.76011512445922114</v>
      </c>
      <c r="AH1581" s="8">
        <f t="shared" si="425"/>
        <v>0.21705584910628337</v>
      </c>
      <c r="AI1581" s="8">
        <f t="shared" si="426"/>
        <v>0.61246367723897976</v>
      </c>
      <c r="AJ1581" s="8"/>
      <c r="AK1581" s="8"/>
      <c r="AL1581" s="8"/>
      <c r="AN1581" s="8">
        <f t="shared" si="419"/>
        <v>1</v>
      </c>
      <c r="AO1581" s="8">
        <f t="shared" si="420"/>
        <v>0.27815381761670177</v>
      </c>
      <c r="AP1581" s="8">
        <f t="shared" si="421"/>
        <v>0.91162287337146675</v>
      </c>
      <c r="AQ1581" s="8"/>
      <c r="AR1581" s="8">
        <f t="shared" si="422"/>
        <v>15.937039804888657</v>
      </c>
      <c r="AS1581" s="8">
        <f t="shared" si="423"/>
        <v>37.767856848225875</v>
      </c>
    </row>
    <row r="1582" spans="1:45">
      <c r="A1582" s="20">
        <v>56.52313333</v>
      </c>
      <c r="B1582" s="20">
        <v>1787.516247</v>
      </c>
      <c r="C1582" s="20">
        <v>-434.54840230000002</v>
      </c>
      <c r="E1582" s="9">
        <f t="shared" si="412"/>
        <v>827.51624700000002</v>
      </c>
      <c r="F1582" s="9">
        <f t="shared" si="427"/>
        <v>105.45159769999998</v>
      </c>
      <c r="I1582">
        <v>1</v>
      </c>
      <c r="J1582">
        <f t="shared" si="413"/>
        <v>0.50729302189236936</v>
      </c>
      <c r="K1582">
        <f t="shared" si="414"/>
        <v>0.12674831974695719</v>
      </c>
      <c r="O1582">
        <f t="shared" si="415"/>
        <v>0.48191585658487707</v>
      </c>
      <c r="P1582">
        <f t="shared" si="416"/>
        <v>6.1411237807200834E-2</v>
      </c>
      <c r="Q1582">
        <f t="shared" si="417"/>
        <v>0.87406279353548255</v>
      </c>
      <c r="R1582">
        <f t="shared" si="418"/>
        <v>1</v>
      </c>
      <c r="AG1582" s="8">
        <f t="shared" si="424"/>
        <v>0.76023255872886031</v>
      </c>
      <c r="AH1582" s="8">
        <f t="shared" si="425"/>
        <v>0.21720645923992865</v>
      </c>
      <c r="AI1582" s="8">
        <f t="shared" si="426"/>
        <v>0.61226449408162087</v>
      </c>
      <c r="AJ1582" s="8"/>
      <c r="AK1582" s="8"/>
      <c r="AL1582" s="8"/>
      <c r="AN1582" s="8">
        <f t="shared" si="419"/>
        <v>1</v>
      </c>
      <c r="AO1582" s="8">
        <f t="shared" si="420"/>
        <v>0.27829620128498578</v>
      </c>
      <c r="AP1582" s="8">
        <f t="shared" si="421"/>
        <v>0.91187482029161315</v>
      </c>
      <c r="AQ1582" s="8"/>
      <c r="AR1582" s="8">
        <f t="shared" si="422"/>
        <v>15.945197788152923</v>
      </c>
      <c r="AS1582" s="8">
        <f t="shared" si="423"/>
        <v>37.753421353040167</v>
      </c>
    </row>
    <row r="1583" spans="1:45">
      <c r="A1583" s="20">
        <v>56.5565</v>
      </c>
      <c r="B1583" s="20">
        <v>1788.164642</v>
      </c>
      <c r="C1583" s="20">
        <v>-434.64550439999999</v>
      </c>
      <c r="E1583" s="9">
        <f t="shared" si="412"/>
        <v>828.16464199999996</v>
      </c>
      <c r="F1583" s="9">
        <f t="shared" si="427"/>
        <v>105.35449560000001</v>
      </c>
      <c r="I1583">
        <v>1</v>
      </c>
      <c r="J1583">
        <f t="shared" si="413"/>
        <v>0.50761701704152551</v>
      </c>
      <c r="K1583">
        <f t="shared" si="414"/>
        <v>0.12653476208953338</v>
      </c>
      <c r="O1583">
        <f t="shared" si="415"/>
        <v>0.48220986316340464</v>
      </c>
      <c r="P1583">
        <f t="shared" si="416"/>
        <v>6.1344054467524008E-2</v>
      </c>
      <c r="Q1583">
        <f t="shared" si="417"/>
        <v>0.87390534661908092</v>
      </c>
      <c r="R1583">
        <f t="shared" si="418"/>
        <v>1</v>
      </c>
      <c r="AG1583" s="8">
        <f t="shared" si="424"/>
        <v>0.76025361108211298</v>
      </c>
      <c r="AH1583" s="8">
        <f t="shared" si="425"/>
        <v>0.21751736026811933</v>
      </c>
      <c r="AI1583" s="8">
        <f t="shared" si="426"/>
        <v>0.61212796441479167</v>
      </c>
      <c r="AJ1583" s="8"/>
      <c r="AK1583" s="8"/>
      <c r="AL1583" s="8"/>
      <c r="AN1583" s="8">
        <f t="shared" si="419"/>
        <v>1</v>
      </c>
      <c r="AO1583" s="8">
        <f t="shared" si="420"/>
        <v>0.27866692831193918</v>
      </c>
      <c r="AP1583" s="8">
        <f t="shared" si="421"/>
        <v>0.91204748837470517</v>
      </c>
      <c r="AQ1583" s="8"/>
      <c r="AR1583" s="8">
        <f t="shared" si="422"/>
        <v>15.966438882148784</v>
      </c>
      <c r="AS1583" s="8">
        <f t="shared" si="423"/>
        <v>37.743528200622379</v>
      </c>
    </row>
    <row r="1584" spans="1:45">
      <c r="A1584" s="20">
        <v>56.589866669999999</v>
      </c>
      <c r="B1584" s="20">
        <v>1788.754175</v>
      </c>
      <c r="C1584" s="20">
        <v>-434.79021540000002</v>
      </c>
      <c r="E1584" s="9">
        <f t="shared" si="412"/>
        <v>828.75417500000003</v>
      </c>
      <c r="F1584" s="9">
        <f t="shared" si="427"/>
        <v>105.20978459999998</v>
      </c>
      <c r="I1584">
        <v>1</v>
      </c>
      <c r="J1584">
        <f t="shared" si="413"/>
        <v>0.50790786893604112</v>
      </c>
      <c r="K1584">
        <f t="shared" si="414"/>
        <v>0.12627386897835211</v>
      </c>
      <c r="O1584">
        <f t="shared" si="415"/>
        <v>0.48247798387225743</v>
      </c>
      <c r="P1584">
        <f t="shared" si="416"/>
        <v>6.1250255249021779E-2</v>
      </c>
      <c r="Q1584">
        <f t="shared" si="417"/>
        <v>0.87376392767754574</v>
      </c>
      <c r="R1584">
        <f t="shared" si="418"/>
        <v>1</v>
      </c>
      <c r="AG1584" s="8">
        <f t="shared" si="424"/>
        <v>0.7602938564852646</v>
      </c>
      <c r="AH1584" s="8">
        <f t="shared" si="425"/>
        <v>0.21779479385375977</v>
      </c>
      <c r="AI1584" s="8">
        <f t="shared" si="426"/>
        <v>0.61197931301716568</v>
      </c>
      <c r="AJ1584" s="8"/>
      <c r="AK1584" s="8"/>
      <c r="AL1584" s="8"/>
      <c r="AN1584" s="8">
        <f t="shared" si="419"/>
        <v>0.99999999999999989</v>
      </c>
      <c r="AO1584" s="8">
        <f t="shared" si="420"/>
        <v>0.2789901917282408</v>
      </c>
      <c r="AP1584" s="8">
        <f t="shared" si="421"/>
        <v>0.91223546048325999</v>
      </c>
      <c r="AQ1584" s="8"/>
      <c r="AR1584" s="8">
        <f t="shared" si="422"/>
        <v>15.984960511573849</v>
      </c>
      <c r="AS1584" s="8">
        <f t="shared" si="423"/>
        <v>37.732758192136011</v>
      </c>
    </row>
    <row r="1585" spans="1:45">
      <c r="A1585" s="20">
        <v>56.623233329999998</v>
      </c>
      <c r="B1585" s="20">
        <v>1789.0675249999999</v>
      </c>
      <c r="C1585" s="20">
        <v>-435.298608</v>
      </c>
      <c r="E1585" s="9">
        <f t="shared" si="412"/>
        <v>829.06752499999993</v>
      </c>
      <c r="F1585" s="9">
        <f t="shared" si="427"/>
        <v>104.701392</v>
      </c>
      <c r="I1585">
        <v>1</v>
      </c>
      <c r="J1585">
        <f t="shared" si="413"/>
        <v>0.50803463826325812</v>
      </c>
      <c r="K1585">
        <f t="shared" si="414"/>
        <v>0.12562311092697701</v>
      </c>
      <c r="O1585">
        <f t="shared" si="415"/>
        <v>0.48262763052949487</v>
      </c>
      <c r="P1585">
        <f t="shared" si="416"/>
        <v>6.0950143637696838E-2</v>
      </c>
      <c r="Q1585">
        <f t="shared" si="417"/>
        <v>0.87370226635852877</v>
      </c>
      <c r="R1585">
        <f t="shared" si="418"/>
        <v>1</v>
      </c>
      <c r="AG1585" s="8">
        <f t="shared" si="424"/>
        <v>0.76047717944682325</v>
      </c>
      <c r="AH1585" s="8">
        <f t="shared" si="425"/>
        <v>0.21790300486093822</v>
      </c>
      <c r="AI1585" s="8">
        <f t="shared" si="426"/>
        <v>0.61171295557081207</v>
      </c>
      <c r="AJ1585" s="8"/>
      <c r="AK1585" s="8"/>
      <c r="AL1585" s="8"/>
      <c r="AN1585" s="8">
        <f t="shared" si="419"/>
        <v>1.0000000000000002</v>
      </c>
      <c r="AO1585" s="8">
        <f t="shared" si="420"/>
        <v>0.27905787456251563</v>
      </c>
      <c r="AP1585" s="8">
        <f t="shared" si="421"/>
        <v>0.91257220543934847</v>
      </c>
      <c r="AQ1585" s="8"/>
      <c r="AR1585" s="8">
        <f t="shared" si="422"/>
        <v>15.98883845232328</v>
      </c>
      <c r="AS1585" s="8">
        <f t="shared" si="423"/>
        <v>37.713464127379822</v>
      </c>
    </row>
    <row r="1586" spans="1:45">
      <c r="A1586" s="20">
        <v>56.656599999999997</v>
      </c>
      <c r="B1586" s="20">
        <v>1789.8571489999999</v>
      </c>
      <c r="C1586" s="20">
        <v>-435.7988823</v>
      </c>
      <c r="E1586" s="9">
        <f t="shared" si="412"/>
        <v>829.85714899999994</v>
      </c>
      <c r="F1586" s="9">
        <f t="shared" si="427"/>
        <v>104.2011177</v>
      </c>
      <c r="I1586">
        <v>1</v>
      </c>
      <c r="J1586">
        <f t="shared" si="413"/>
        <v>0.50840453778654016</v>
      </c>
      <c r="K1586">
        <f t="shared" si="414"/>
        <v>0.12491138780936324</v>
      </c>
      <c r="O1586">
        <f t="shared" si="415"/>
        <v>0.48299151893349218</v>
      </c>
      <c r="P1586">
        <f t="shared" si="416"/>
        <v>6.064689106207917E-2</v>
      </c>
      <c r="Q1586">
        <f t="shared" si="417"/>
        <v>0.87352226488099449</v>
      </c>
      <c r="R1586">
        <f t="shared" si="418"/>
        <v>1</v>
      </c>
      <c r="AG1586" s="8">
        <f t="shared" si="424"/>
        <v>0.7606457929005872</v>
      </c>
      <c r="AH1586" s="8">
        <f t="shared" si="425"/>
        <v>0.21824650991806771</v>
      </c>
      <c r="AI1586" s="8">
        <f t="shared" si="426"/>
        <v>0.61138076405070163</v>
      </c>
      <c r="AJ1586" s="8"/>
      <c r="AK1586" s="8"/>
      <c r="AL1586" s="8"/>
      <c r="AN1586" s="8">
        <f t="shared" si="419"/>
        <v>1</v>
      </c>
      <c r="AO1586" s="8">
        <f t="shared" si="420"/>
        <v>0.2794164730643019</v>
      </c>
      <c r="AP1586" s="8">
        <f t="shared" si="421"/>
        <v>0.91299205892538549</v>
      </c>
      <c r="AQ1586" s="8"/>
      <c r="AR1586" s="8">
        <f t="shared" si="422"/>
        <v>16.009384633015348</v>
      </c>
      <c r="AS1586" s="8">
        <f t="shared" si="423"/>
        <v>37.689408294616051</v>
      </c>
    </row>
    <row r="1587" spans="1:45">
      <c r="A1587" s="20">
        <v>56.689966669999997</v>
      </c>
      <c r="B1587" s="20">
        <v>1789.876827</v>
      </c>
      <c r="C1587" s="20">
        <v>-436.10098870000002</v>
      </c>
      <c r="E1587" s="9">
        <f t="shared" si="412"/>
        <v>829.87682700000005</v>
      </c>
      <c r="F1587" s="9">
        <f t="shared" si="427"/>
        <v>103.89901129999998</v>
      </c>
      <c r="I1587">
        <v>1</v>
      </c>
      <c r="J1587">
        <f t="shared" si="413"/>
        <v>0.50839527371667115</v>
      </c>
      <c r="K1587">
        <f t="shared" si="414"/>
        <v>0.12455005316029517</v>
      </c>
      <c r="O1587">
        <f t="shared" si="415"/>
        <v>0.48300537151997741</v>
      </c>
      <c r="P1587">
        <f t="shared" si="416"/>
        <v>6.047136023176946E-2</v>
      </c>
      <c r="Q1587">
        <f t="shared" si="417"/>
        <v>0.87352677444630633</v>
      </c>
      <c r="R1587">
        <f t="shared" si="418"/>
        <v>1</v>
      </c>
      <c r="AG1587" s="8">
        <f t="shared" si="424"/>
        <v>0.76075863212339301</v>
      </c>
      <c r="AH1587" s="8">
        <f t="shared" si="425"/>
        <v>0.21822874019593022</v>
      </c>
      <c r="AI1587" s="8">
        <f t="shared" si="426"/>
        <v>0.61124669373522278</v>
      </c>
      <c r="AJ1587" s="8"/>
      <c r="AK1587" s="8"/>
      <c r="AL1587" s="8"/>
      <c r="AN1587" s="8">
        <f t="shared" si="419"/>
        <v>1</v>
      </c>
      <c r="AO1587" s="8">
        <f t="shared" si="420"/>
        <v>0.27935557013580642</v>
      </c>
      <c r="AP1587" s="8">
        <f t="shared" si="421"/>
        <v>0.9131614704607719</v>
      </c>
      <c r="AQ1587" s="8"/>
      <c r="AR1587" s="8">
        <f t="shared" si="422"/>
        <v>16.00589515225257</v>
      </c>
      <c r="AS1587" s="8">
        <f t="shared" si="423"/>
        <v>37.679701728637575</v>
      </c>
    </row>
    <row r="1588" spans="1:45">
      <c r="A1588" s="20">
        <v>56.723333330000003</v>
      </c>
      <c r="B1588" s="20">
        <v>1790.75647</v>
      </c>
      <c r="C1588" s="20">
        <v>-435.58227369999997</v>
      </c>
      <c r="E1588" s="9">
        <f t="shared" si="412"/>
        <v>830.75647000000004</v>
      </c>
      <c r="F1588" s="9">
        <f t="shared" si="427"/>
        <v>104.41772630000003</v>
      </c>
      <c r="I1588">
        <v>1</v>
      </c>
      <c r="J1588">
        <f t="shared" si="413"/>
        <v>0.50887600325228388</v>
      </c>
      <c r="K1588">
        <f t="shared" si="414"/>
        <v>0.12503425688608241</v>
      </c>
      <c r="O1588">
        <f t="shared" si="415"/>
        <v>0.48339263051029474</v>
      </c>
      <c r="P1588">
        <f t="shared" si="416"/>
        <v>6.0757588066766434E-2</v>
      </c>
      <c r="Q1588">
        <f t="shared" si="417"/>
        <v>0.87329266586903542</v>
      </c>
      <c r="R1588">
        <f t="shared" si="418"/>
        <v>1</v>
      </c>
      <c r="AG1588" s="8">
        <f t="shared" si="424"/>
        <v>0.76054262779494186</v>
      </c>
      <c r="AH1588" s="8">
        <f t="shared" si="425"/>
        <v>0.21870895392079112</v>
      </c>
      <c r="AI1588" s="8">
        <f t="shared" si="426"/>
        <v>0.61134385151209125</v>
      </c>
      <c r="AJ1588" s="8"/>
      <c r="AK1588" s="8"/>
      <c r="AL1588" s="8"/>
      <c r="AN1588" s="8">
        <f t="shared" si="419"/>
        <v>1</v>
      </c>
      <c r="AO1588" s="8">
        <f t="shared" si="420"/>
        <v>0.28001412547526355</v>
      </c>
      <c r="AP1588" s="8">
        <f t="shared" si="421"/>
        <v>0.91303870389932362</v>
      </c>
      <c r="AQ1588" s="8"/>
      <c r="AR1588" s="8">
        <f t="shared" si="422"/>
        <v>16.04362759377927</v>
      </c>
      <c r="AS1588" s="8">
        <f t="shared" si="423"/>
        <v>37.686735734473899</v>
      </c>
    </row>
    <row r="1589" spans="1:45">
      <c r="A1589" s="20">
        <v>56.756700000000002</v>
      </c>
      <c r="B1589" s="20">
        <v>1790.769231</v>
      </c>
      <c r="C1589" s="20">
        <v>-435.3118503</v>
      </c>
      <c r="E1589" s="9">
        <f t="shared" si="412"/>
        <v>830.76923099999999</v>
      </c>
      <c r="F1589" s="9">
        <f t="shared" si="427"/>
        <v>104.6881497</v>
      </c>
      <c r="I1589">
        <v>1</v>
      </c>
      <c r="J1589">
        <f t="shared" si="413"/>
        <v>0.50889980735106766</v>
      </c>
      <c r="K1589">
        <f t="shared" si="414"/>
        <v>0.12535279072786865</v>
      </c>
      <c r="O1589">
        <f t="shared" si="415"/>
        <v>0.48339387733709854</v>
      </c>
      <c r="P1589">
        <f t="shared" si="416"/>
        <v>6.0914160884142803E-2</v>
      </c>
      <c r="Q1589">
        <f t="shared" si="417"/>
        <v>0.87328106836046027</v>
      </c>
      <c r="R1589">
        <f t="shared" si="418"/>
        <v>1</v>
      </c>
      <c r="AG1589" s="8">
        <f t="shared" si="424"/>
        <v>0.76044087773117808</v>
      </c>
      <c r="AH1589" s="8">
        <f t="shared" si="425"/>
        <v>0.21873979534005103</v>
      </c>
      <c r="AI1589" s="8">
        <f t="shared" si="426"/>
        <v>0.61145938001639</v>
      </c>
      <c r="AJ1589" s="8"/>
      <c r="AK1589" s="8"/>
      <c r="AL1589" s="8"/>
      <c r="AN1589" s="8">
        <f t="shared" si="419"/>
        <v>1</v>
      </c>
      <c r="AO1589" s="8">
        <f t="shared" si="420"/>
        <v>0.28008712249842849</v>
      </c>
      <c r="AP1589" s="8">
        <f t="shared" si="421"/>
        <v>0.9128927093105389</v>
      </c>
      <c r="AQ1589" s="8"/>
      <c r="AR1589" s="8">
        <f t="shared" si="422"/>
        <v>16.047810015123638</v>
      </c>
      <c r="AS1589" s="8">
        <f t="shared" si="423"/>
        <v>37.69510060824301</v>
      </c>
    </row>
    <row r="1590" spans="1:45">
      <c r="A1590" s="20">
        <v>56.790066670000002</v>
      </c>
      <c r="B1590" s="20">
        <v>1791.312938</v>
      </c>
      <c r="C1590" s="20">
        <v>-436.00758869999999</v>
      </c>
      <c r="E1590" s="9">
        <f t="shared" si="412"/>
        <v>831.31293800000003</v>
      </c>
      <c r="F1590" s="9">
        <f t="shared" si="427"/>
        <v>103.99241130000001</v>
      </c>
      <c r="I1590">
        <v>1</v>
      </c>
      <c r="J1590">
        <f t="shared" si="413"/>
        <v>0.50913192954720121</v>
      </c>
      <c r="K1590">
        <f t="shared" si="414"/>
        <v>0.12444772572997022</v>
      </c>
      <c r="O1590">
        <f t="shared" si="415"/>
        <v>0.48364993784561339</v>
      </c>
      <c r="P1590">
        <f t="shared" si="416"/>
        <v>6.050179296218347E-2</v>
      </c>
      <c r="Q1590">
        <f t="shared" si="417"/>
        <v>0.87316795100959554</v>
      </c>
      <c r="R1590">
        <f t="shared" si="418"/>
        <v>1</v>
      </c>
      <c r="AG1590" s="8">
        <f t="shared" si="424"/>
        <v>0.76068847842453302</v>
      </c>
      <c r="AH1590" s="8">
        <f t="shared" si="425"/>
        <v>0.21894415282771085</v>
      </c>
      <c r="AI1590" s="8">
        <f t="shared" si="426"/>
        <v>0.6110781429037736</v>
      </c>
      <c r="AJ1590" s="8"/>
      <c r="AK1590" s="8"/>
      <c r="AL1590" s="8"/>
      <c r="AN1590" s="8">
        <f t="shared" si="419"/>
        <v>1</v>
      </c>
      <c r="AO1590" s="8">
        <f t="shared" si="420"/>
        <v>0.28024875991296494</v>
      </c>
      <c r="AP1590" s="8">
        <f t="shared" si="421"/>
        <v>0.91337442020522897</v>
      </c>
      <c r="AQ1590" s="8"/>
      <c r="AR1590" s="8">
        <f t="shared" si="422"/>
        <v>16.057071156787984</v>
      </c>
      <c r="AS1590" s="8">
        <f t="shared" si="423"/>
        <v>37.667500607031798</v>
      </c>
    </row>
    <row r="1591" spans="1:45">
      <c r="A1591" s="20">
        <v>56.82343333</v>
      </c>
      <c r="B1591" s="20">
        <v>1791.8667129999999</v>
      </c>
      <c r="C1591" s="20">
        <v>-436.51295290000002</v>
      </c>
      <c r="E1591" s="9">
        <f t="shared" si="412"/>
        <v>831.86671299999989</v>
      </c>
      <c r="F1591" s="9">
        <f t="shared" si="427"/>
        <v>103.48704709999998</v>
      </c>
      <c r="I1591">
        <v>1</v>
      </c>
      <c r="J1591">
        <f t="shared" si="413"/>
        <v>0.509381496339396</v>
      </c>
      <c r="K1591">
        <f t="shared" si="414"/>
        <v>0.12376752953245128</v>
      </c>
      <c r="O1591">
        <f t="shared" si="415"/>
        <v>0.48390721079144766</v>
      </c>
      <c r="P1591">
        <f t="shared" si="416"/>
        <v>6.019970210684962E-2</v>
      </c>
      <c r="Q1591">
        <f t="shared" si="417"/>
        <v>0.87304628010792651</v>
      </c>
      <c r="R1591">
        <f t="shared" si="418"/>
        <v>1</v>
      </c>
      <c r="AG1591" s="8">
        <f t="shared" si="424"/>
        <v>0.76086424207262937</v>
      </c>
      <c r="AH1591" s="8">
        <f t="shared" si="425"/>
        <v>0.21917065735365465</v>
      </c>
      <c r="AI1591" s="8">
        <f t="shared" si="426"/>
        <v>0.61077805141508668</v>
      </c>
      <c r="AJ1591" s="8"/>
      <c r="AK1591" s="8"/>
      <c r="AL1591" s="8"/>
      <c r="AN1591" s="8">
        <f t="shared" si="419"/>
        <v>1</v>
      </c>
      <c r="AO1591" s="8">
        <f t="shared" si="420"/>
        <v>0.28046226349816189</v>
      </c>
      <c r="AP1591" s="8">
        <f t="shared" si="421"/>
        <v>0.91375347384616079</v>
      </c>
      <c r="AQ1591" s="8"/>
      <c r="AR1591" s="8">
        <f t="shared" si="422"/>
        <v>16.069304011130679</v>
      </c>
      <c r="AS1591" s="8">
        <f t="shared" si="423"/>
        <v>37.64578243319734</v>
      </c>
    </row>
    <row r="1592" spans="1:45">
      <c r="A1592" s="20">
        <v>56.8568</v>
      </c>
      <c r="B1592" s="20">
        <v>1792.334746</v>
      </c>
      <c r="C1592" s="20">
        <v>-436.87097299999999</v>
      </c>
      <c r="E1592" s="9">
        <f t="shared" si="412"/>
        <v>832.334746</v>
      </c>
      <c r="F1592" s="9">
        <f t="shared" si="427"/>
        <v>103.12902700000001</v>
      </c>
      <c r="I1592">
        <v>1</v>
      </c>
      <c r="J1592">
        <f t="shared" si="413"/>
        <v>0.50959687520085761</v>
      </c>
      <c r="K1592">
        <f t="shared" si="414"/>
        <v>0.12327502773221759</v>
      </c>
      <c r="O1592">
        <f t="shared" si="415"/>
        <v>0.48412339809629479</v>
      </c>
      <c r="P1592">
        <f t="shared" si="416"/>
        <v>5.9984489694251623E-2</v>
      </c>
      <c r="Q1592">
        <f t="shared" si="417"/>
        <v>0.87294123308033555</v>
      </c>
      <c r="R1592">
        <f t="shared" si="418"/>
        <v>1</v>
      </c>
      <c r="AG1592" s="8">
        <f t="shared" si="424"/>
        <v>0.76098676911871221</v>
      </c>
      <c r="AH1592" s="8">
        <f t="shared" si="425"/>
        <v>0.21936829411367978</v>
      </c>
      <c r="AI1592" s="8">
        <f t="shared" si="426"/>
        <v>0.61055441097736574</v>
      </c>
      <c r="AJ1592" s="8"/>
      <c r="AK1592" s="8"/>
      <c r="AL1592" s="8"/>
      <c r="AN1592" s="8">
        <f t="shared" si="419"/>
        <v>1</v>
      </c>
      <c r="AO1592" s="8">
        <f t="shared" si="420"/>
        <v>0.28065923850325747</v>
      </c>
      <c r="AP1592" s="8">
        <f t="shared" si="421"/>
        <v>0.91403588804251923</v>
      </c>
      <c r="AQ1592" s="8"/>
      <c r="AR1592" s="8">
        <f t="shared" si="422"/>
        <v>16.080589847592226</v>
      </c>
      <c r="AS1592" s="8">
        <f t="shared" si="423"/>
        <v>37.62960129167142</v>
      </c>
    </row>
    <row r="1593" spans="1:45">
      <c r="A1593" s="20">
        <v>56.890166669999999</v>
      </c>
      <c r="B1593" s="20">
        <v>1793.1666270000001</v>
      </c>
      <c r="C1593" s="20">
        <v>-437.58150490000003</v>
      </c>
      <c r="E1593" s="9">
        <f t="shared" ref="E1593:E1656" si="428">(B1593-($B$15/2))</f>
        <v>833.16662700000006</v>
      </c>
      <c r="F1593" s="9">
        <f t="shared" si="427"/>
        <v>102.41849509999997</v>
      </c>
      <c r="I1593">
        <v>1</v>
      </c>
      <c r="J1593">
        <f t="shared" ref="J1593:J1656" si="429">ATAN((SQRT(E1593^2+F1593^2)^$B$16)/($F$24))</f>
        <v>0.50997518351929949</v>
      </c>
      <c r="K1593">
        <f t="shared" ref="K1593:K1656" si="430">ATAN2(E1593,F1593)</f>
        <v>0.12231315731713893</v>
      </c>
      <c r="O1593">
        <f t="shared" ref="O1593:O1656" si="431">COS(K1593)*SIN(J1593)</f>
        <v>0.48450861050616201</v>
      </c>
      <c r="P1593">
        <f t="shared" ref="P1593:P1656" si="432">SIN(K1593)*SIN(J1593)</f>
        <v>5.9559085953442947E-2</v>
      </c>
      <c r="Q1593">
        <f t="shared" ref="Q1593:Q1656" si="433">COS(J1593)</f>
        <v>0.87275662221823247</v>
      </c>
      <c r="R1593">
        <f t="shared" ref="R1593:R1656" si="434">SQRT(O1593^2+P1593^2+Q1593^2)</f>
        <v>1</v>
      </c>
      <c r="AG1593" s="8">
        <f t="shared" si="424"/>
        <v>0.76123205567767482</v>
      </c>
      <c r="AH1593" s="8">
        <f t="shared" si="425"/>
        <v>0.21971266146337373</v>
      </c>
      <c r="AI1593" s="8">
        <f t="shared" si="426"/>
        <v>0.61012466250875508</v>
      </c>
      <c r="AJ1593" s="8"/>
      <c r="AK1593" s="8"/>
      <c r="AL1593" s="8"/>
      <c r="AN1593" s="8">
        <f t="shared" ref="AN1593:AN1656" si="435">AG1593^2+AH1593^2+AI1593^2</f>
        <v>0.99999999999999989</v>
      </c>
      <c r="AO1593" s="8">
        <f t="shared" ref="AO1593:AO1656" si="436">IF(ATAN2(AG1593,AH1593)&gt;=0,ATAN2(AG1593,AH1593),ATAN2(AG1593,AH1593)+2*PI())</f>
        <v>0.28099112010119043</v>
      </c>
      <c r="AP1593" s="8">
        <f t="shared" ref="AP1593:AP1656" si="437">ACOS(AI1593/AN1593)</f>
        <v>0.91457840392062795</v>
      </c>
      <c r="AQ1593" s="8"/>
      <c r="AR1593" s="8">
        <f t="shared" ref="AR1593:AR1656" si="438">DEGREES(AO1593)</f>
        <v>16.099605262451842</v>
      </c>
      <c r="AS1593" s="8">
        <f t="shared" ref="AS1593:AS1656" si="439">90-DEGREES(AP1593)</f>
        <v>37.598517421536954</v>
      </c>
    </row>
    <row r="1594" spans="1:45">
      <c r="A1594" s="20">
        <v>56.923533329999998</v>
      </c>
      <c r="B1594" s="20">
        <v>1793.627109</v>
      </c>
      <c r="C1594" s="20">
        <v>-437.96213260000002</v>
      </c>
      <c r="E1594" s="9">
        <f t="shared" si="428"/>
        <v>833.62710900000002</v>
      </c>
      <c r="F1594" s="9">
        <f t="shared" si="427"/>
        <v>102.03786739999998</v>
      </c>
      <c r="I1594">
        <v>1</v>
      </c>
      <c r="J1594">
        <f t="shared" si="429"/>
        <v>0.51018548553615106</v>
      </c>
      <c r="K1594">
        <f t="shared" si="430"/>
        <v>0.12179643717805612</v>
      </c>
      <c r="O1594">
        <f t="shared" si="431"/>
        <v>0.48472149327721054</v>
      </c>
      <c r="P1594">
        <f t="shared" si="432"/>
        <v>5.9331020936064578E-2</v>
      </c>
      <c r="Q1594">
        <f t="shared" si="433"/>
        <v>0.87265394281455888</v>
      </c>
      <c r="R1594">
        <f t="shared" si="434"/>
        <v>1</v>
      </c>
      <c r="AG1594" s="8">
        <f t="shared" si="424"/>
        <v>0.76136292463429101</v>
      </c>
      <c r="AH1594" s="8">
        <f t="shared" si="425"/>
        <v>0.21990434201411505</v>
      </c>
      <c r="AI1594" s="8">
        <f t="shared" si="426"/>
        <v>0.60989226700759047</v>
      </c>
      <c r="AJ1594" s="8"/>
      <c r="AK1594" s="8"/>
      <c r="AL1594" s="8"/>
      <c r="AN1594" s="8">
        <f t="shared" si="435"/>
        <v>1</v>
      </c>
      <c r="AO1594" s="8">
        <f t="shared" si="436"/>
        <v>0.28117771310335438</v>
      </c>
      <c r="AP1594" s="8">
        <f t="shared" si="437"/>
        <v>0.9148716863538362</v>
      </c>
      <c r="AQ1594" s="8"/>
      <c r="AR1594" s="8">
        <f t="shared" si="438"/>
        <v>16.11029625396251</v>
      </c>
      <c r="AS1594" s="8">
        <f t="shared" si="439"/>
        <v>37.581713575908793</v>
      </c>
    </row>
    <row r="1595" spans="1:45">
      <c r="A1595" s="20">
        <v>56.956899999999997</v>
      </c>
      <c r="B1595" s="20">
        <v>1793.649449</v>
      </c>
      <c r="C1595" s="20">
        <v>-437.62758330000003</v>
      </c>
      <c r="E1595" s="9">
        <f t="shared" si="428"/>
        <v>833.649449</v>
      </c>
      <c r="F1595" s="9">
        <f t="shared" si="427"/>
        <v>102.37241669999997</v>
      </c>
      <c r="I1595">
        <v>1</v>
      </c>
      <c r="J1595">
        <f t="shared" si="429"/>
        <v>0.51021768104585963</v>
      </c>
      <c r="K1595">
        <f t="shared" si="430"/>
        <v>0.12218856980876022</v>
      </c>
      <c r="O1595">
        <f t="shared" si="431"/>
        <v>0.48472607619539965</v>
      </c>
      <c r="P1595">
        <f t="shared" si="432"/>
        <v>5.9524515870736684E-2</v>
      </c>
      <c r="Q1595">
        <f t="shared" si="433"/>
        <v>0.87263822003540858</v>
      </c>
      <c r="R1595">
        <f t="shared" si="434"/>
        <v>1</v>
      </c>
      <c r="AG1595" s="8">
        <f t="shared" si="424"/>
        <v>0.76123715703073436</v>
      </c>
      <c r="AH1595" s="8">
        <f t="shared" si="425"/>
        <v>0.21994572251314326</v>
      </c>
      <c r="AI1595" s="8">
        <f t="shared" si="426"/>
        <v>0.61003431862800672</v>
      </c>
      <c r="AJ1595" s="8"/>
      <c r="AK1595" s="8"/>
      <c r="AL1595" s="8"/>
      <c r="AN1595" s="8">
        <f t="shared" si="435"/>
        <v>1</v>
      </c>
      <c r="AO1595" s="8">
        <f t="shared" si="436"/>
        <v>0.28127192906429044</v>
      </c>
      <c r="AP1595" s="8">
        <f t="shared" si="437"/>
        <v>0.91469242549779206</v>
      </c>
      <c r="AQ1595" s="8"/>
      <c r="AR1595" s="8">
        <f t="shared" si="438"/>
        <v>16.115694430886915</v>
      </c>
      <c r="AS1595" s="8">
        <f t="shared" si="439"/>
        <v>37.591984466392027</v>
      </c>
    </row>
    <row r="1596" spans="1:45">
      <c r="A1596" s="20">
        <v>56.990266669999997</v>
      </c>
      <c r="B1596" s="20">
        <v>1793.450795</v>
      </c>
      <c r="C1596" s="20">
        <v>-437.9489203</v>
      </c>
      <c r="E1596" s="9">
        <f t="shared" si="428"/>
        <v>833.45079499999997</v>
      </c>
      <c r="F1596" s="9">
        <f t="shared" si="427"/>
        <v>102.0510797</v>
      </c>
      <c r="I1596">
        <v>1</v>
      </c>
      <c r="J1596">
        <f t="shared" si="429"/>
        <v>0.51009670275717955</v>
      </c>
      <c r="K1596">
        <f t="shared" si="430"/>
        <v>0.12183756710666366</v>
      </c>
      <c r="O1596">
        <f t="shared" si="431"/>
        <v>0.48464214837002118</v>
      </c>
      <c r="P1596">
        <f t="shared" si="432"/>
        <v>5.9341540983578113E-2</v>
      </c>
      <c r="Q1596">
        <f t="shared" si="433"/>
        <v>0.87269729547935726</v>
      </c>
      <c r="R1596">
        <f t="shared" si="434"/>
        <v>1</v>
      </c>
      <c r="AG1596" s="8">
        <f t="shared" si="424"/>
        <v>0.76136242705270019</v>
      </c>
      <c r="AH1596" s="8">
        <f t="shared" si="425"/>
        <v>0.21981891116430247</v>
      </c>
      <c r="AI1596" s="8">
        <f t="shared" si="426"/>
        <v>0.60992368454337165</v>
      </c>
      <c r="AJ1596" s="8"/>
      <c r="AK1596" s="8"/>
      <c r="AL1596" s="8"/>
      <c r="AN1596" s="8">
        <f t="shared" si="435"/>
        <v>1</v>
      </c>
      <c r="AO1596" s="8">
        <f t="shared" si="436"/>
        <v>0.28107431629805285</v>
      </c>
      <c r="AP1596" s="8">
        <f t="shared" si="437"/>
        <v>0.91483204138716978</v>
      </c>
      <c r="AQ1596" s="8"/>
      <c r="AR1596" s="8">
        <f t="shared" si="438"/>
        <v>16.104372053403598</v>
      </c>
      <c r="AS1596" s="8">
        <f t="shared" si="439"/>
        <v>37.583985065177721</v>
      </c>
    </row>
    <row r="1597" spans="1:45">
      <c r="A1597" s="20">
        <v>57.023633330000003</v>
      </c>
      <c r="B1597" s="20">
        <v>1795.3462830000001</v>
      </c>
      <c r="C1597" s="20">
        <v>-438.16068009999998</v>
      </c>
      <c r="E1597" s="9">
        <f t="shared" si="428"/>
        <v>835.34628300000008</v>
      </c>
      <c r="F1597" s="9">
        <f t="shared" si="427"/>
        <v>101.83931990000002</v>
      </c>
      <c r="I1597">
        <v>1</v>
      </c>
      <c r="J1597">
        <f t="shared" si="429"/>
        <v>0.51104644153234824</v>
      </c>
      <c r="K1597">
        <f t="shared" si="430"/>
        <v>0.12131404429776442</v>
      </c>
      <c r="O1597">
        <f t="shared" si="431"/>
        <v>0.48549567281033701</v>
      </c>
      <c r="P1597">
        <f t="shared" si="432"/>
        <v>5.9188087790171748E-2</v>
      </c>
      <c r="Q1597">
        <f t="shared" si="433"/>
        <v>0.87223318094772173</v>
      </c>
      <c r="R1597">
        <f t="shared" si="434"/>
        <v>1</v>
      </c>
      <c r="AG1597" s="8">
        <f t="shared" si="424"/>
        <v>0.76139351839238423</v>
      </c>
      <c r="AH1597" s="8">
        <f t="shared" si="425"/>
        <v>0.2207304822830379</v>
      </c>
      <c r="AI1597" s="8">
        <f t="shared" si="426"/>
        <v>0.60955554655926447</v>
      </c>
      <c r="AJ1597" s="8"/>
      <c r="AK1597" s="8"/>
      <c r="AL1597" s="8"/>
      <c r="AN1597" s="8">
        <f t="shared" si="435"/>
        <v>1</v>
      </c>
      <c r="AO1597" s="8">
        <f t="shared" si="436"/>
        <v>0.28216820757329553</v>
      </c>
      <c r="AP1597" s="8">
        <f t="shared" si="437"/>
        <v>0.91529650916512229</v>
      </c>
      <c r="AQ1597" s="8"/>
      <c r="AR1597" s="8">
        <f t="shared" si="438"/>
        <v>16.167047406721185</v>
      </c>
      <c r="AS1597" s="8">
        <f t="shared" si="439"/>
        <v>37.557373021781217</v>
      </c>
    </row>
    <row r="1598" spans="1:45">
      <c r="A1598" s="20">
        <v>57.057000000000002</v>
      </c>
      <c r="B1598" s="20">
        <v>1795.3399360000001</v>
      </c>
      <c r="C1598" s="20">
        <v>-438.38596059999998</v>
      </c>
      <c r="E1598" s="9">
        <f t="shared" si="428"/>
        <v>835.33993600000008</v>
      </c>
      <c r="F1598" s="9">
        <f t="shared" si="427"/>
        <v>101.61403940000002</v>
      </c>
      <c r="I1598">
        <v>1</v>
      </c>
      <c r="J1598">
        <f t="shared" si="429"/>
        <v>0.51102928908269085</v>
      </c>
      <c r="K1598">
        <f t="shared" si="430"/>
        <v>0.12104921085976009</v>
      </c>
      <c r="O1598">
        <f t="shared" si="431"/>
        <v>0.48549647923909833</v>
      </c>
      <c r="P1598">
        <f t="shared" si="432"/>
        <v>5.9057703629248039E-2</v>
      </c>
      <c r="Q1598">
        <f t="shared" si="433"/>
        <v>0.87224156991539892</v>
      </c>
      <c r="R1598">
        <f t="shared" si="434"/>
        <v>1</v>
      </c>
      <c r="AG1598" s="8">
        <f t="shared" si="424"/>
        <v>0.76147792397586644</v>
      </c>
      <c r="AH1598" s="8">
        <f t="shared" si="425"/>
        <v>0.22070690087092915</v>
      </c>
      <c r="AI1598" s="8">
        <f t="shared" si="426"/>
        <v>0.60945864109499226</v>
      </c>
      <c r="AJ1598" s="8"/>
      <c r="AK1598" s="8"/>
      <c r="AL1598" s="8"/>
      <c r="AN1598" s="8">
        <f t="shared" si="435"/>
        <v>1.0000000000000002</v>
      </c>
      <c r="AO1598" s="8">
        <f t="shared" si="436"/>
        <v>0.28210999666538689</v>
      </c>
      <c r="AP1598" s="8">
        <f t="shared" si="437"/>
        <v>0.91541874407182788</v>
      </c>
      <c r="AQ1598" s="8"/>
      <c r="AR1598" s="8">
        <f t="shared" si="438"/>
        <v>16.163712167376396</v>
      </c>
      <c r="AS1598" s="8">
        <f t="shared" si="439"/>
        <v>37.550369477517812</v>
      </c>
    </row>
    <row r="1599" spans="1:45">
      <c r="A1599" s="20">
        <v>57.090366670000002</v>
      </c>
      <c r="B1599" s="20">
        <v>1796.12329</v>
      </c>
      <c r="C1599" s="20">
        <v>-438.48441229999997</v>
      </c>
      <c r="E1599" s="9">
        <f t="shared" si="428"/>
        <v>836.12329</v>
      </c>
      <c r="F1599" s="9">
        <f t="shared" si="427"/>
        <v>101.51558770000003</v>
      </c>
      <c r="I1599">
        <v>1</v>
      </c>
      <c r="J1599">
        <f t="shared" si="429"/>
        <v>0.5114208931586397</v>
      </c>
      <c r="K1599">
        <f t="shared" si="430"/>
        <v>0.12082086867335357</v>
      </c>
      <c r="O1599">
        <f t="shared" si="431"/>
        <v>0.48584899800680892</v>
      </c>
      <c r="P1599">
        <f t="shared" si="432"/>
        <v>5.8988007098949899E-2</v>
      </c>
      <c r="Q1599">
        <f t="shared" si="433"/>
        <v>0.87204997916075544</v>
      </c>
      <c r="R1599">
        <f t="shared" si="434"/>
        <v>1</v>
      </c>
      <c r="AG1599" s="8">
        <f t="shared" si="424"/>
        <v>0.76149461503662474</v>
      </c>
      <c r="AH1599" s="8">
        <f t="shared" si="425"/>
        <v>0.22108230244745752</v>
      </c>
      <c r="AI1599" s="8">
        <f t="shared" si="426"/>
        <v>0.60930170426050323</v>
      </c>
      <c r="AJ1599" s="8"/>
      <c r="AK1599" s="8"/>
      <c r="AL1599" s="8"/>
      <c r="AN1599" s="8">
        <f t="shared" si="435"/>
        <v>1.0000000000000002</v>
      </c>
      <c r="AO1599" s="8">
        <f t="shared" si="436"/>
        <v>0.282558853088971</v>
      </c>
      <c r="AP1599" s="8">
        <f t="shared" si="437"/>
        <v>0.91561667717120421</v>
      </c>
      <c r="AQ1599" s="8"/>
      <c r="AR1599" s="8">
        <f t="shared" si="438"/>
        <v>16.189429746055101</v>
      </c>
      <c r="AS1599" s="8">
        <f t="shared" si="439"/>
        <v>37.53902874629761</v>
      </c>
    </row>
    <row r="1600" spans="1:45">
      <c r="A1600" s="20">
        <v>57.12373333</v>
      </c>
      <c r="B1600" s="20">
        <v>1796.6999089999999</v>
      </c>
      <c r="C1600" s="20">
        <v>-439.1064149</v>
      </c>
      <c r="E1600" s="9">
        <f t="shared" si="428"/>
        <v>836.69990899999993</v>
      </c>
      <c r="F1600" s="9">
        <f t="shared" si="427"/>
        <v>100.8935851</v>
      </c>
      <c r="I1600">
        <v>1</v>
      </c>
      <c r="J1600">
        <f t="shared" si="429"/>
        <v>0.5116753382553022</v>
      </c>
      <c r="K1600">
        <f t="shared" si="430"/>
        <v>0.12000573074003026</v>
      </c>
      <c r="O1600">
        <f t="shared" si="431"/>
        <v>0.48611719722667934</v>
      </c>
      <c r="P1600">
        <f t="shared" si="432"/>
        <v>5.8618515765804222E-2</v>
      </c>
      <c r="Q1600">
        <f t="shared" si="433"/>
        <v>0.87192542122012473</v>
      </c>
      <c r="R1600">
        <f t="shared" si="434"/>
        <v>1</v>
      </c>
      <c r="AG1600" s="8">
        <f t="shared" si="424"/>
        <v>0.76171215945555004</v>
      </c>
      <c r="AH1600" s="8">
        <f t="shared" si="425"/>
        <v>0.22130858748586013</v>
      </c>
      <c r="AI1600" s="8">
        <f t="shared" si="426"/>
        <v>0.60894753077960351</v>
      </c>
      <c r="AJ1600" s="8"/>
      <c r="AK1600" s="8"/>
      <c r="AL1600" s="8"/>
      <c r="AN1600" s="8">
        <f t="shared" si="435"/>
        <v>1</v>
      </c>
      <c r="AO1600" s="8">
        <f t="shared" si="436"/>
        <v>0.28275635087809126</v>
      </c>
      <c r="AP1600" s="8">
        <f t="shared" si="437"/>
        <v>0.91606326003121807</v>
      </c>
      <c r="AQ1600" s="8"/>
      <c r="AR1600" s="8">
        <f t="shared" si="438"/>
        <v>16.200745535834859</v>
      </c>
      <c r="AS1600" s="8">
        <f t="shared" si="439"/>
        <v>37.513441433215931</v>
      </c>
    </row>
    <row r="1601" spans="1:45">
      <c r="A1601" s="20">
        <v>57.1571</v>
      </c>
      <c r="B1601" s="20">
        <v>1797.0901409999999</v>
      </c>
      <c r="C1601" s="20">
        <v>-439.23273879999999</v>
      </c>
      <c r="E1601" s="9">
        <f t="shared" si="428"/>
        <v>837.0901409999999</v>
      </c>
      <c r="F1601" s="9">
        <f t="shared" si="427"/>
        <v>100.76726120000001</v>
      </c>
      <c r="I1601">
        <v>1</v>
      </c>
      <c r="J1601">
        <f t="shared" si="429"/>
        <v>0.5118656266561884</v>
      </c>
      <c r="K1601">
        <f t="shared" si="430"/>
        <v>0.11980157191312099</v>
      </c>
      <c r="O1601">
        <f t="shared" si="431"/>
        <v>0.48629387384125961</v>
      </c>
      <c r="P1601">
        <f t="shared" si="432"/>
        <v>5.8539098007752144E-2</v>
      </c>
      <c r="Q1601">
        <f t="shared" si="433"/>
        <v>0.87183223286874401</v>
      </c>
      <c r="R1601">
        <f t="shared" si="434"/>
        <v>1</v>
      </c>
      <c r="AG1601" s="8">
        <f t="shared" si="424"/>
        <v>0.76174921311076704</v>
      </c>
      <c r="AH1601" s="8">
        <f t="shared" si="425"/>
        <v>0.22148843498112725</v>
      </c>
      <c r="AI1601" s="8">
        <f t="shared" si="426"/>
        <v>0.60883578204203648</v>
      </c>
      <c r="AJ1601" s="8"/>
      <c r="AK1601" s="8"/>
      <c r="AL1601" s="8"/>
      <c r="AN1601" s="8">
        <f t="shared" si="435"/>
        <v>0.99999999999999989</v>
      </c>
      <c r="AO1601" s="8">
        <f t="shared" si="436"/>
        <v>0.28296102555364366</v>
      </c>
      <c r="AP1601" s="8">
        <f t="shared" si="437"/>
        <v>0.91620413397936973</v>
      </c>
      <c r="AQ1601" s="8"/>
      <c r="AR1601" s="8">
        <f t="shared" si="438"/>
        <v>16.212472530917221</v>
      </c>
      <c r="AS1601" s="8">
        <f t="shared" si="439"/>
        <v>37.505369950543496</v>
      </c>
    </row>
    <row r="1602" spans="1:45">
      <c r="A1602" s="20">
        <v>57.190466669999999</v>
      </c>
      <c r="B1602" s="20">
        <v>1797.244269</v>
      </c>
      <c r="C1602" s="20">
        <v>-439.29036500000001</v>
      </c>
      <c r="E1602" s="9">
        <f t="shared" si="428"/>
        <v>837.24426900000003</v>
      </c>
      <c r="F1602" s="9">
        <f t="shared" si="427"/>
        <v>100.70963499999999</v>
      </c>
      <c r="I1602">
        <v>1</v>
      </c>
      <c r="J1602">
        <f t="shared" si="429"/>
        <v>0.51194030595838769</v>
      </c>
      <c r="K1602">
        <f t="shared" si="430"/>
        <v>0.11971188184967523</v>
      </c>
      <c r="O1602">
        <f t="shared" si="431"/>
        <v>0.48636376275630439</v>
      </c>
      <c r="P1602">
        <f t="shared" si="432"/>
        <v>5.850325745784711E-2</v>
      </c>
      <c r="Q1602">
        <f t="shared" si="433"/>
        <v>0.87179565217105215</v>
      </c>
      <c r="R1602">
        <f t="shared" si="434"/>
        <v>1</v>
      </c>
      <c r="AG1602" s="8">
        <f t="shared" si="424"/>
        <v>0.7617667244107964</v>
      </c>
      <c r="AH1602" s="8">
        <f t="shared" si="425"/>
        <v>0.22155875277751919</v>
      </c>
      <c r="AI1602" s="8">
        <f t="shared" si="426"/>
        <v>0.60878828557070319</v>
      </c>
      <c r="AJ1602" s="8"/>
      <c r="AK1602" s="8"/>
      <c r="AL1602" s="8"/>
      <c r="AN1602" s="8">
        <f t="shared" si="435"/>
        <v>1</v>
      </c>
      <c r="AO1602" s="8">
        <f t="shared" si="436"/>
        <v>0.28303997389872959</v>
      </c>
      <c r="AP1602" s="8">
        <f t="shared" si="437"/>
        <v>0.91626400490182991</v>
      </c>
      <c r="AQ1602" s="8"/>
      <c r="AR1602" s="8">
        <f t="shared" si="438"/>
        <v>16.216995937890186</v>
      </c>
      <c r="AS1602" s="8">
        <f t="shared" si="439"/>
        <v>37.501939599370971</v>
      </c>
    </row>
    <row r="1603" spans="1:45">
      <c r="A1603" s="20">
        <v>57.223833329999998</v>
      </c>
      <c r="B1603" s="20">
        <v>1797.6482120000001</v>
      </c>
      <c r="C1603" s="20">
        <v>-439.37688129999998</v>
      </c>
      <c r="E1603" s="9">
        <f t="shared" si="428"/>
        <v>837.64821200000006</v>
      </c>
      <c r="F1603" s="9">
        <f t="shared" si="427"/>
        <v>100.62311870000002</v>
      </c>
      <c r="I1603">
        <v>1</v>
      </c>
      <c r="J1603">
        <f t="shared" si="429"/>
        <v>0.512139944430404</v>
      </c>
      <c r="K1603">
        <f t="shared" si="430"/>
        <v>0.11955288789905216</v>
      </c>
      <c r="O1603">
        <f t="shared" si="431"/>
        <v>0.48654585021627228</v>
      </c>
      <c r="P1603">
        <f t="shared" si="432"/>
        <v>5.8446684584225431E-2</v>
      </c>
      <c r="Q1603">
        <f t="shared" si="433"/>
        <v>0.8716978379567295</v>
      </c>
      <c r="R1603">
        <f t="shared" si="434"/>
        <v>1</v>
      </c>
      <c r="AG1603" s="8">
        <f t="shared" si="424"/>
        <v>0.76178849402683935</v>
      </c>
      <c r="AH1603" s="8">
        <f t="shared" si="425"/>
        <v>0.22174886876341299</v>
      </c>
      <c r="AI1603" s="8">
        <f t="shared" si="426"/>
        <v>0.60869181822205132</v>
      </c>
      <c r="AJ1603" s="8"/>
      <c r="AK1603" s="8"/>
      <c r="AL1603" s="8"/>
      <c r="AN1603" s="8">
        <f t="shared" si="435"/>
        <v>1</v>
      </c>
      <c r="AO1603" s="8">
        <f t="shared" si="436"/>
        <v>0.28326239664766512</v>
      </c>
      <c r="AP1603" s="8">
        <f t="shared" si="437"/>
        <v>0.91638559681992227</v>
      </c>
      <c r="AQ1603" s="8"/>
      <c r="AR1603" s="8">
        <f t="shared" si="438"/>
        <v>16.229739822671888</v>
      </c>
      <c r="AS1603" s="8">
        <f t="shared" si="439"/>
        <v>37.494972895641382</v>
      </c>
    </row>
    <row r="1604" spans="1:45">
      <c r="A1604" s="20">
        <v>57.257199999999997</v>
      </c>
      <c r="B1604" s="20">
        <v>1798.0787419999999</v>
      </c>
      <c r="C1604" s="20">
        <v>-439.45752099999999</v>
      </c>
      <c r="E1604" s="9">
        <f t="shared" si="428"/>
        <v>838.07874199999992</v>
      </c>
      <c r="F1604" s="9">
        <f t="shared" si="427"/>
        <v>100.54247900000001</v>
      </c>
      <c r="I1604">
        <v>1</v>
      </c>
      <c r="J1604">
        <f t="shared" si="429"/>
        <v>0.51235339034294347</v>
      </c>
      <c r="K1604">
        <f t="shared" si="430"/>
        <v>0.11939720192796872</v>
      </c>
      <c r="O1604">
        <f t="shared" si="431"/>
        <v>0.48673966826948156</v>
      </c>
      <c r="P1604">
        <f t="shared" si="432"/>
        <v>5.8393096522965288E-2</v>
      </c>
      <c r="Q1604">
        <f t="shared" si="433"/>
        <v>0.87159322026469133</v>
      </c>
      <c r="R1604">
        <f t="shared" si="434"/>
        <v>1</v>
      </c>
      <c r="AG1604" s="8">
        <f t="shared" si="424"/>
        <v>0.76180733266994849</v>
      </c>
      <c r="AH1604" s="8">
        <f t="shared" si="425"/>
        <v>0.22195249168626621</v>
      </c>
      <c r="AI1604" s="8">
        <f t="shared" si="426"/>
        <v>0.60859401847582806</v>
      </c>
      <c r="AJ1604" s="8"/>
      <c r="AK1604" s="8"/>
      <c r="AL1604" s="8"/>
      <c r="AN1604" s="8">
        <f t="shared" si="435"/>
        <v>1.0000000000000002</v>
      </c>
      <c r="AO1604" s="8">
        <f t="shared" si="436"/>
        <v>0.28350215400460321</v>
      </c>
      <c r="AP1604" s="8">
        <f t="shared" si="437"/>
        <v>0.916508856576149</v>
      </c>
      <c r="AQ1604" s="8"/>
      <c r="AR1604" s="8">
        <f t="shared" si="438"/>
        <v>16.243476907331655</v>
      </c>
      <c r="AS1604" s="8">
        <f t="shared" si="439"/>
        <v>37.487910631825777</v>
      </c>
    </row>
    <row r="1605" spans="1:45">
      <c r="A1605" s="20">
        <v>57.290566669999997</v>
      </c>
      <c r="B1605" s="20">
        <v>1798.33779</v>
      </c>
      <c r="C1605" s="20">
        <v>-439.7638207</v>
      </c>
      <c r="E1605" s="9">
        <f t="shared" si="428"/>
        <v>838.33779000000004</v>
      </c>
      <c r="F1605" s="9">
        <f t="shared" si="427"/>
        <v>100.2361793</v>
      </c>
      <c r="I1605">
        <v>1</v>
      </c>
      <c r="J1605">
        <f t="shared" si="429"/>
        <v>0.51246615183496502</v>
      </c>
      <c r="K1605">
        <f t="shared" si="430"/>
        <v>0.11900045707513909</v>
      </c>
      <c r="O1605">
        <f t="shared" si="431"/>
        <v>0.48686038110719299</v>
      </c>
      <c r="P1605">
        <f t="shared" si="432"/>
        <v>5.8211648140932458E-2</v>
      </c>
      <c r="Q1605">
        <f t="shared" si="433"/>
        <v>0.87153793567972426</v>
      </c>
      <c r="R1605">
        <f t="shared" si="434"/>
        <v>1</v>
      </c>
      <c r="AG1605" s="8">
        <f t="shared" si="424"/>
        <v>0.76191487607387609</v>
      </c>
      <c r="AH1605" s="8">
        <f t="shared" si="425"/>
        <v>0.22205156785545119</v>
      </c>
      <c r="AI1605" s="8">
        <f t="shared" si="426"/>
        <v>0.60842322673470173</v>
      </c>
      <c r="AJ1605" s="8"/>
      <c r="AK1605" s="8"/>
      <c r="AL1605" s="8"/>
      <c r="AN1605" s="8">
        <f t="shared" si="435"/>
        <v>1.0000000000000004</v>
      </c>
      <c r="AO1605" s="8">
        <f t="shared" si="436"/>
        <v>0.28358410733613532</v>
      </c>
      <c r="AP1605" s="8">
        <f t="shared" si="437"/>
        <v>0.91672408224741808</v>
      </c>
      <c r="AQ1605" s="8"/>
      <c r="AR1605" s="8">
        <f t="shared" si="438"/>
        <v>16.248172487345482</v>
      </c>
      <c r="AS1605" s="8">
        <f t="shared" si="439"/>
        <v>37.47557910921919</v>
      </c>
    </row>
    <row r="1606" spans="1:45">
      <c r="A1606" s="20">
        <v>57.323933330000003</v>
      </c>
      <c r="B1606" s="20">
        <v>1798.9672479999999</v>
      </c>
      <c r="C1606" s="20">
        <v>-440.30657609999997</v>
      </c>
      <c r="E1606" s="9">
        <f t="shared" si="428"/>
        <v>838.96724799999993</v>
      </c>
      <c r="F1606" s="9">
        <f t="shared" si="427"/>
        <v>99.693423900000028</v>
      </c>
      <c r="I1606">
        <v>1</v>
      </c>
      <c r="J1606">
        <f t="shared" si="429"/>
        <v>0.51275250174641385</v>
      </c>
      <c r="K1606">
        <f t="shared" si="430"/>
        <v>0.11827413667808087</v>
      </c>
      <c r="O1606">
        <f t="shared" si="431"/>
        <v>0.48715033431796373</v>
      </c>
      <c r="P1606">
        <f t="shared" si="432"/>
        <v>5.788746211245125E-2</v>
      </c>
      <c r="Q1606">
        <f t="shared" si="433"/>
        <v>0.87139749454773829</v>
      </c>
      <c r="R1606">
        <f t="shared" si="434"/>
        <v>1</v>
      </c>
      <c r="AG1606" s="8">
        <f t="shared" si="424"/>
        <v>0.76210080219750331</v>
      </c>
      <c r="AH1606" s="8">
        <f t="shared" si="425"/>
        <v>0.22231052690605188</v>
      </c>
      <c r="AI1606" s="8">
        <f t="shared" si="426"/>
        <v>0.60809571361478565</v>
      </c>
      <c r="AJ1606" s="8"/>
      <c r="AK1606" s="8"/>
      <c r="AL1606" s="8"/>
      <c r="AN1606" s="8">
        <f t="shared" si="435"/>
        <v>0.99999999999999989</v>
      </c>
      <c r="AO1606" s="8">
        <f t="shared" si="436"/>
        <v>0.28383174944031059</v>
      </c>
      <c r="AP1606" s="8">
        <f t="shared" si="437"/>
        <v>0.9171367033153851</v>
      </c>
      <c r="AQ1606" s="8"/>
      <c r="AR1606" s="8">
        <f t="shared" si="438"/>
        <v>16.262361334744462</v>
      </c>
      <c r="AS1606" s="8">
        <f t="shared" si="439"/>
        <v>37.451937663486497</v>
      </c>
    </row>
    <row r="1607" spans="1:45">
      <c r="A1607" s="20">
        <v>57.357300000000002</v>
      </c>
      <c r="B1607" s="20">
        <v>1799.542338</v>
      </c>
      <c r="C1607" s="20">
        <v>-440.45376370000002</v>
      </c>
      <c r="E1607" s="9">
        <f t="shared" si="428"/>
        <v>839.54233799999997</v>
      </c>
      <c r="F1607" s="9">
        <f t="shared" si="427"/>
        <v>99.546236299999975</v>
      </c>
      <c r="I1607">
        <v>1</v>
      </c>
      <c r="J1607">
        <f t="shared" si="429"/>
        <v>0.5130351568391035</v>
      </c>
      <c r="K1607">
        <f t="shared" si="430"/>
        <v>0.11802098647268429</v>
      </c>
      <c r="O1607">
        <f t="shared" si="431"/>
        <v>0.48740954501199701</v>
      </c>
      <c r="P1607">
        <f t="shared" si="432"/>
        <v>5.7793137458946979E-2</v>
      </c>
      <c r="Q1607">
        <f t="shared" si="433"/>
        <v>0.87125879547574692</v>
      </c>
      <c r="R1607">
        <f t="shared" si="434"/>
        <v>1</v>
      </c>
      <c r="AG1607" s="8">
        <f t="shared" si="424"/>
        <v>0.76214044091583777</v>
      </c>
      <c r="AH1607" s="8">
        <f t="shared" si="425"/>
        <v>0.2225786892729717</v>
      </c>
      <c r="AI1607" s="8">
        <f t="shared" si="426"/>
        <v>0.60794792162004996</v>
      </c>
      <c r="AJ1607" s="8"/>
      <c r="AK1607" s="8"/>
      <c r="AL1607" s="8"/>
      <c r="AN1607" s="8">
        <f t="shared" si="435"/>
        <v>1.0000000000000002</v>
      </c>
      <c r="AO1607" s="8">
        <f t="shared" si="436"/>
        <v>0.28414200125617728</v>
      </c>
      <c r="AP1607" s="8">
        <f t="shared" si="437"/>
        <v>0.91732285801153313</v>
      </c>
      <c r="AQ1607" s="8"/>
      <c r="AR1607" s="8">
        <f t="shared" si="438"/>
        <v>16.280137454379894</v>
      </c>
      <c r="AS1607" s="8">
        <f t="shared" si="439"/>
        <v>37.441271785060678</v>
      </c>
    </row>
    <row r="1608" spans="1:45">
      <c r="A1608" s="20">
        <v>57.390666670000002</v>
      </c>
      <c r="B1608" s="20">
        <v>1800.135194</v>
      </c>
      <c r="C1608" s="20">
        <v>-440.6622941</v>
      </c>
      <c r="E1608" s="9">
        <f t="shared" si="428"/>
        <v>840.13519399999996</v>
      </c>
      <c r="F1608" s="9">
        <f t="shared" si="427"/>
        <v>99.337705900000003</v>
      </c>
      <c r="I1608">
        <v>1</v>
      </c>
      <c r="J1608">
        <f t="shared" si="429"/>
        <v>0.51332307670441046</v>
      </c>
      <c r="K1608">
        <f t="shared" si="430"/>
        <v>0.11769369220254403</v>
      </c>
      <c r="O1608">
        <f t="shared" si="431"/>
        <v>0.48767753139968179</v>
      </c>
      <c r="P1608">
        <f t="shared" si="432"/>
        <v>5.7663061295608102E-2</v>
      </c>
      <c r="Q1608">
        <f t="shared" si="433"/>
        <v>0.87111744141070402</v>
      </c>
      <c r="R1608">
        <f t="shared" si="434"/>
        <v>1</v>
      </c>
      <c r="AG1608" s="8">
        <f t="shared" si="424"/>
        <v>0.76220239310251414</v>
      </c>
      <c r="AH1608" s="8">
        <f t="shared" si="425"/>
        <v>0.22284986715973432</v>
      </c>
      <c r="AI1608" s="8">
        <f t="shared" si="426"/>
        <v>0.60777088500165033</v>
      </c>
      <c r="AJ1608" s="8"/>
      <c r="AK1608" s="8"/>
      <c r="AL1608" s="8"/>
      <c r="AN1608" s="8">
        <f t="shared" si="435"/>
        <v>1</v>
      </c>
      <c r="AO1608" s="8">
        <f t="shared" si="436"/>
        <v>0.28444792398577434</v>
      </c>
      <c r="AP1608" s="8">
        <f t="shared" si="437"/>
        <v>0.91754581350131514</v>
      </c>
      <c r="AQ1608" s="8"/>
      <c r="AR1608" s="8">
        <f t="shared" si="438"/>
        <v>16.297665535642928</v>
      </c>
      <c r="AS1608" s="8">
        <f t="shared" si="439"/>
        <v>37.428497376476891</v>
      </c>
    </row>
    <row r="1609" spans="1:45">
      <c r="A1609" s="20">
        <v>57.42403333</v>
      </c>
      <c r="B1609" s="20">
        <v>1800.50568</v>
      </c>
      <c r="C1609" s="20">
        <v>-440.93850229999998</v>
      </c>
      <c r="E1609" s="9">
        <f t="shared" si="428"/>
        <v>840.50567999999998</v>
      </c>
      <c r="F1609" s="9">
        <f t="shared" si="427"/>
        <v>99.061497700000018</v>
      </c>
      <c r="I1609">
        <v>1</v>
      </c>
      <c r="J1609">
        <f t="shared" si="429"/>
        <v>0.51349426228275041</v>
      </c>
      <c r="K1609">
        <f t="shared" si="430"/>
        <v>0.11731818472645553</v>
      </c>
      <c r="O1609">
        <f t="shared" si="431"/>
        <v>0.48784724047034472</v>
      </c>
      <c r="P1609">
        <f t="shared" si="432"/>
        <v>5.749738453856066E-2</v>
      </c>
      <c r="Q1609">
        <f t="shared" si="433"/>
        <v>0.87103336373338447</v>
      </c>
      <c r="R1609">
        <f t="shared" si="434"/>
        <v>1</v>
      </c>
      <c r="AG1609" s="8">
        <f t="shared" si="424"/>
        <v>0.7622954419773138</v>
      </c>
      <c r="AH1609" s="8">
        <f t="shared" si="425"/>
        <v>0.22300602243712414</v>
      </c>
      <c r="AI1609" s="8">
        <f t="shared" si="426"/>
        <v>0.60759688371270015</v>
      </c>
      <c r="AJ1609" s="8"/>
      <c r="AK1609" s="8"/>
      <c r="AL1609" s="8"/>
      <c r="AN1609" s="8">
        <f t="shared" si="435"/>
        <v>0.99999999999999978</v>
      </c>
      <c r="AO1609" s="8">
        <f t="shared" si="436"/>
        <v>0.28460375534272847</v>
      </c>
      <c r="AP1609" s="8">
        <f t="shared" si="437"/>
        <v>0.9177649093073792</v>
      </c>
      <c r="AQ1609" s="8"/>
      <c r="AR1609" s="8">
        <f t="shared" si="438"/>
        <v>16.306594014712196</v>
      </c>
      <c r="AS1609" s="8">
        <f t="shared" si="439"/>
        <v>37.415944111480407</v>
      </c>
    </row>
    <row r="1610" spans="1:45">
      <c r="A1610" s="20">
        <v>57.4574</v>
      </c>
      <c r="B1610" s="20">
        <v>1800.8327730000001</v>
      </c>
      <c r="C1610" s="20">
        <v>-441.10210790000002</v>
      </c>
      <c r="E1610" s="9">
        <f t="shared" si="428"/>
        <v>840.83277300000009</v>
      </c>
      <c r="F1610" s="9">
        <f t="shared" si="427"/>
        <v>98.897892099999979</v>
      </c>
      <c r="I1610">
        <v>1</v>
      </c>
      <c r="J1610">
        <f t="shared" si="429"/>
        <v>0.51365020078965262</v>
      </c>
      <c r="K1610">
        <f t="shared" si="430"/>
        <v>0.11708104779597567</v>
      </c>
      <c r="O1610">
        <f t="shared" si="431"/>
        <v>0.48799575331899703</v>
      </c>
      <c r="P1610">
        <f t="shared" si="432"/>
        <v>5.7397562163053764E-2</v>
      </c>
      <c r="Q1610">
        <f t="shared" si="433"/>
        <v>0.87095675242824944</v>
      </c>
      <c r="R1610">
        <f t="shared" si="434"/>
        <v>1</v>
      </c>
      <c r="AG1610" s="8">
        <f t="shared" si="424"/>
        <v>0.76234763021175522</v>
      </c>
      <c r="AH1610" s="8">
        <f t="shared" si="425"/>
        <v>0.22315114261485275</v>
      </c>
      <c r="AI1610" s="8">
        <f t="shared" si="426"/>
        <v>0.60747811340015079</v>
      </c>
      <c r="AJ1610" s="8"/>
      <c r="AK1610" s="8"/>
      <c r="AL1610" s="8"/>
      <c r="AN1610" s="8">
        <f t="shared" si="435"/>
        <v>1</v>
      </c>
      <c r="AO1610" s="8">
        <f t="shared" si="436"/>
        <v>0.2847606525457228</v>
      </c>
      <c r="AP1610" s="8">
        <f t="shared" si="437"/>
        <v>0.91791443928229943</v>
      </c>
      <c r="AQ1610" s="8"/>
      <c r="AR1610" s="8">
        <f t="shared" si="438"/>
        <v>16.315583562261178</v>
      </c>
      <c r="AS1610" s="8">
        <f t="shared" si="439"/>
        <v>37.40737667500678</v>
      </c>
    </row>
    <row r="1611" spans="1:45">
      <c r="A1611" s="20">
        <v>57.490766669999999</v>
      </c>
      <c r="B1611" s="20">
        <v>1801.4479060000001</v>
      </c>
      <c r="C1611" s="20">
        <v>-441.1988154</v>
      </c>
      <c r="E1611" s="9">
        <f t="shared" si="428"/>
        <v>841.4479060000001</v>
      </c>
      <c r="F1611" s="9">
        <f t="shared" si="427"/>
        <v>98.801184599999999</v>
      </c>
      <c r="I1611">
        <v>1</v>
      </c>
      <c r="J1611">
        <f t="shared" si="429"/>
        <v>0.51395598309268165</v>
      </c>
      <c r="K1611">
        <f t="shared" si="430"/>
        <v>0.11688287056456706</v>
      </c>
      <c r="O1611">
        <f t="shared" si="431"/>
        <v>0.48827160183769286</v>
      </c>
      <c r="P1611">
        <f t="shared" si="432"/>
        <v>5.7331906496067259E-2</v>
      </c>
      <c r="Q1611">
        <f t="shared" si="433"/>
        <v>0.8708064626174864</v>
      </c>
      <c r="R1611">
        <f t="shared" si="434"/>
        <v>1</v>
      </c>
      <c r="AG1611" s="8">
        <f t="shared" si="424"/>
        <v>0.76236707264271675</v>
      </c>
      <c r="AH1611" s="8">
        <f t="shared" si="425"/>
        <v>0.22344312906447131</v>
      </c>
      <c r="AI1611" s="8">
        <f t="shared" si="426"/>
        <v>0.60734637121172685</v>
      </c>
      <c r="AJ1611" s="8"/>
      <c r="AK1611" s="8"/>
      <c r="AL1611" s="8"/>
      <c r="AN1611" s="8">
        <f t="shared" si="435"/>
        <v>1</v>
      </c>
      <c r="AO1611" s="8">
        <f t="shared" si="436"/>
        <v>0.28510651493000538</v>
      </c>
      <c r="AP1611" s="8">
        <f t="shared" si="437"/>
        <v>0.91808028064690872</v>
      </c>
      <c r="AQ1611" s="8"/>
      <c r="AR1611" s="8">
        <f t="shared" si="438"/>
        <v>16.335400017172901</v>
      </c>
      <c r="AS1611" s="8">
        <f t="shared" si="439"/>
        <v>37.397874664745977</v>
      </c>
    </row>
    <row r="1612" spans="1:45">
      <c r="A1612" s="20">
        <v>57.524133329999998</v>
      </c>
      <c r="B1612" s="20">
        <v>1802.2026679999999</v>
      </c>
      <c r="C1612" s="20">
        <v>-441.28457379999998</v>
      </c>
      <c r="E1612" s="9">
        <f t="shared" si="428"/>
        <v>842.2026679999999</v>
      </c>
      <c r="F1612" s="9">
        <f t="shared" si="427"/>
        <v>98.715426200000024</v>
      </c>
      <c r="I1612">
        <v>1</v>
      </c>
      <c r="J1612">
        <f t="shared" si="429"/>
        <v>0.51433300816469585</v>
      </c>
      <c r="K1612">
        <f t="shared" si="430"/>
        <v>0.11667862789722332</v>
      </c>
      <c r="O1612">
        <f t="shared" si="431"/>
        <v>0.48860935013648399</v>
      </c>
      <c r="P1612">
        <f t="shared" si="432"/>
        <v>5.7270395923310069E-2</v>
      </c>
      <c r="Q1612">
        <f t="shared" si="433"/>
        <v>0.87062104540953411</v>
      </c>
      <c r="R1612">
        <f t="shared" si="434"/>
        <v>1</v>
      </c>
      <c r="AG1612" s="8">
        <f t="shared" si="424"/>
        <v>0.76237855752027039</v>
      </c>
      <c r="AH1612" s="8">
        <f t="shared" si="425"/>
        <v>0.22380421451389018</v>
      </c>
      <c r="AI1612" s="8">
        <f t="shared" si="426"/>
        <v>0.6071989859997563</v>
      </c>
      <c r="AJ1612" s="8"/>
      <c r="AK1612" s="8"/>
      <c r="AL1612" s="8"/>
      <c r="AN1612" s="8">
        <f t="shared" si="435"/>
        <v>0.99999999999999989</v>
      </c>
      <c r="AO1612" s="8">
        <f t="shared" si="436"/>
        <v>0.28553855684806301</v>
      </c>
      <c r="AP1612" s="8">
        <f t="shared" si="437"/>
        <v>0.91826578904413125</v>
      </c>
      <c r="AQ1612" s="8"/>
      <c r="AR1612" s="8">
        <f t="shared" si="438"/>
        <v>16.360154195650342</v>
      </c>
      <c r="AS1612" s="8">
        <f t="shared" si="439"/>
        <v>37.387245816520888</v>
      </c>
    </row>
    <row r="1613" spans="1:45">
      <c r="A1613" s="20">
        <v>57.557499999999997</v>
      </c>
      <c r="B1613" s="20">
        <v>1802.3218770000001</v>
      </c>
      <c r="C1613" s="20">
        <v>-441.38271759999998</v>
      </c>
      <c r="E1613" s="9">
        <f t="shared" si="428"/>
        <v>842.32187700000009</v>
      </c>
      <c r="F1613" s="9">
        <f t="shared" si="427"/>
        <v>98.617282400000022</v>
      </c>
      <c r="I1613">
        <v>1</v>
      </c>
      <c r="J1613">
        <f t="shared" si="429"/>
        <v>0.51438752828727619</v>
      </c>
      <c r="K1613">
        <f t="shared" si="430"/>
        <v>0.11654732573825845</v>
      </c>
      <c r="O1613">
        <f t="shared" si="431"/>
        <v>0.48866400928140985</v>
      </c>
      <c r="P1613">
        <f t="shared" si="432"/>
        <v>5.7211759444805471E-2</v>
      </c>
      <c r="Q1613">
        <f t="shared" si="433"/>
        <v>0.87059422270897702</v>
      </c>
      <c r="R1613">
        <f t="shared" si="434"/>
        <v>1</v>
      </c>
      <c r="AG1613" s="8">
        <f t="shared" si="424"/>
        <v>0.76241187055048121</v>
      </c>
      <c r="AH1613" s="8">
        <f t="shared" si="425"/>
        <v>0.22385354677596106</v>
      </c>
      <c r="AI1613" s="8">
        <f t="shared" si="426"/>
        <v>0.60713897028566599</v>
      </c>
      <c r="AJ1613" s="8"/>
      <c r="AK1613" s="8"/>
      <c r="AL1613" s="8"/>
      <c r="AN1613" s="8">
        <f t="shared" si="435"/>
        <v>1</v>
      </c>
      <c r="AO1613" s="8">
        <f t="shared" si="436"/>
        <v>0.28558631872564999</v>
      </c>
      <c r="AP1613" s="8">
        <f t="shared" si="437"/>
        <v>0.91834132110236733</v>
      </c>
      <c r="AQ1613" s="8"/>
      <c r="AR1613" s="8">
        <f t="shared" si="438"/>
        <v>16.362890749657694</v>
      </c>
      <c r="AS1613" s="8">
        <f t="shared" si="439"/>
        <v>37.382918148366031</v>
      </c>
    </row>
    <row r="1614" spans="1:45">
      <c r="A1614" s="20">
        <v>57.590866669999997</v>
      </c>
      <c r="B1614" s="20">
        <v>1802.5926239999999</v>
      </c>
      <c r="C1614" s="20">
        <v>-441.6830162</v>
      </c>
      <c r="E1614" s="9">
        <f t="shared" si="428"/>
        <v>842.59262399999989</v>
      </c>
      <c r="F1614" s="9">
        <f t="shared" si="427"/>
        <v>98.316983800000003</v>
      </c>
      <c r="I1614">
        <v>1</v>
      </c>
      <c r="J1614">
        <f t="shared" si="429"/>
        <v>0.51450679727689919</v>
      </c>
      <c r="K1614">
        <f t="shared" si="430"/>
        <v>0.11615861743108404</v>
      </c>
      <c r="O1614">
        <f t="shared" si="431"/>
        <v>0.4887893427414578</v>
      </c>
      <c r="P1614">
        <f t="shared" si="432"/>
        <v>5.7033841174385307E-2</v>
      </c>
      <c r="Q1614">
        <f t="shared" si="433"/>
        <v>0.87053553596810085</v>
      </c>
      <c r="R1614">
        <f t="shared" si="434"/>
        <v>1</v>
      </c>
      <c r="AG1614" s="8">
        <f t="shared" si="424"/>
        <v>0.76251632241794842</v>
      </c>
      <c r="AH1614" s="8">
        <f t="shared" si="425"/>
        <v>0.22395854482192773</v>
      </c>
      <c r="AI1614" s="8">
        <f t="shared" si="426"/>
        <v>0.60696905048565031</v>
      </c>
      <c r="AJ1614" s="8"/>
      <c r="AK1614" s="8"/>
      <c r="AL1614" s="8"/>
      <c r="AN1614" s="8">
        <f t="shared" si="435"/>
        <v>1</v>
      </c>
      <c r="AO1614" s="8">
        <f t="shared" si="436"/>
        <v>0.28567605925576228</v>
      </c>
      <c r="AP1614" s="8">
        <f t="shared" si="437"/>
        <v>0.91855514799448235</v>
      </c>
      <c r="AQ1614" s="8"/>
      <c r="AR1614" s="8">
        <f t="shared" si="438"/>
        <v>16.368032503284397</v>
      </c>
      <c r="AS1614" s="8">
        <f t="shared" si="439"/>
        <v>37.37066676990144</v>
      </c>
    </row>
    <row r="1615" spans="1:45">
      <c r="A1615" s="20">
        <v>57.624233330000003</v>
      </c>
      <c r="B1615" s="20">
        <v>1803.0873120000001</v>
      </c>
      <c r="C1615" s="20">
        <v>-442.14212880000002</v>
      </c>
      <c r="E1615" s="9">
        <f t="shared" si="428"/>
        <v>843.08731200000011</v>
      </c>
      <c r="F1615" s="9">
        <f t="shared" si="427"/>
        <v>97.857871199999977</v>
      </c>
      <c r="I1615">
        <v>1</v>
      </c>
      <c r="J1615">
        <f t="shared" si="429"/>
        <v>0.51473010255470131</v>
      </c>
      <c r="K1615">
        <f t="shared" si="430"/>
        <v>0.11555378281521168</v>
      </c>
      <c r="O1615">
        <f t="shared" si="431"/>
        <v>0.48901683596105638</v>
      </c>
      <c r="P1615">
        <f t="shared" si="432"/>
        <v>5.6760605772357496E-2</v>
      </c>
      <c r="Q1615">
        <f t="shared" si="433"/>
        <v>0.87042562449585104</v>
      </c>
      <c r="R1615">
        <f t="shared" si="434"/>
        <v>1</v>
      </c>
      <c r="AG1615" s="8">
        <f t="shared" si="424"/>
        <v>0.7626736972542183</v>
      </c>
      <c r="AH1615" s="8">
        <f t="shared" si="425"/>
        <v>0.22415846118731694</v>
      </c>
      <c r="AI1615" s="8">
        <f t="shared" si="426"/>
        <v>0.60669746644824141</v>
      </c>
      <c r="AJ1615" s="8"/>
      <c r="AK1615" s="8"/>
      <c r="AL1615" s="8"/>
      <c r="AN1615" s="8">
        <f t="shared" si="435"/>
        <v>0.99999999999999989</v>
      </c>
      <c r="AO1615" s="8">
        <f t="shared" si="436"/>
        <v>0.28586156527939449</v>
      </c>
      <c r="AP1615" s="8">
        <f t="shared" si="437"/>
        <v>0.91889683656618937</v>
      </c>
      <c r="AQ1615" s="8"/>
      <c r="AR1615" s="8">
        <f t="shared" si="438"/>
        <v>16.378661215512775</v>
      </c>
      <c r="AS1615" s="8">
        <f t="shared" si="439"/>
        <v>37.351089456834771</v>
      </c>
    </row>
    <row r="1616" spans="1:45">
      <c r="A1616" s="20">
        <v>57.657600000000002</v>
      </c>
      <c r="B1616" s="20">
        <v>1804.029732</v>
      </c>
      <c r="C1616" s="20">
        <v>-442.33305799999999</v>
      </c>
      <c r="E1616" s="9">
        <f t="shared" si="428"/>
        <v>844.02973199999997</v>
      </c>
      <c r="F1616" s="9">
        <f t="shared" si="427"/>
        <v>97.666942000000006</v>
      </c>
      <c r="I1616">
        <v>1</v>
      </c>
      <c r="J1616">
        <f t="shared" si="429"/>
        <v>0.51519567859311255</v>
      </c>
      <c r="K1616">
        <f t="shared" si="430"/>
        <v>0.11520268552677425</v>
      </c>
      <c r="O1616">
        <f t="shared" si="431"/>
        <v>0.48943924441994813</v>
      </c>
      <c r="P1616">
        <f t="shared" si="432"/>
        <v>5.6635486268968194E-2</v>
      </c>
      <c r="Q1616">
        <f t="shared" si="433"/>
        <v>0.8701963271105595</v>
      </c>
      <c r="R1616">
        <f t="shared" si="434"/>
        <v>1</v>
      </c>
      <c r="AG1616" s="8">
        <f t="shared" si="424"/>
        <v>0.76271879152669575</v>
      </c>
      <c r="AH1616" s="8">
        <f t="shared" si="425"/>
        <v>0.2246012023614577</v>
      </c>
      <c r="AI1616" s="8">
        <f t="shared" si="426"/>
        <v>0.6064769945759233</v>
      </c>
      <c r="AJ1616" s="8"/>
      <c r="AK1616" s="8"/>
      <c r="AL1616" s="8"/>
      <c r="AN1616" s="8">
        <f t="shared" si="435"/>
        <v>1.0000000000000002</v>
      </c>
      <c r="AO1616" s="8">
        <f t="shared" si="436"/>
        <v>0.28637981195708773</v>
      </c>
      <c r="AP1616" s="8">
        <f t="shared" si="437"/>
        <v>0.91917415377002221</v>
      </c>
      <c r="AQ1616" s="8"/>
      <c r="AR1616" s="8">
        <f t="shared" si="438"/>
        <v>16.408354562891276</v>
      </c>
      <c r="AS1616" s="8">
        <f t="shared" si="439"/>
        <v>37.335200351468778</v>
      </c>
    </row>
    <row r="1617" spans="1:45">
      <c r="A1617" s="20">
        <v>57.690966670000002</v>
      </c>
      <c r="B1617" s="20">
        <v>1804.25974</v>
      </c>
      <c r="C1617" s="20">
        <v>-442.56430510000001</v>
      </c>
      <c r="E1617" s="9">
        <f t="shared" si="428"/>
        <v>844.25973999999997</v>
      </c>
      <c r="F1617" s="9">
        <f t="shared" si="427"/>
        <v>97.435694899999987</v>
      </c>
      <c r="I1617">
        <v>1</v>
      </c>
      <c r="J1617">
        <f t="shared" si="429"/>
        <v>0.51529849165018593</v>
      </c>
      <c r="K1617">
        <f t="shared" si="430"/>
        <v>0.11490128041179086</v>
      </c>
      <c r="O1617">
        <f t="shared" si="431"/>
        <v>0.48954516743156223</v>
      </c>
      <c r="P1617">
        <f t="shared" si="432"/>
        <v>5.6498221238917665E-2</v>
      </c>
      <c r="Q1617">
        <f t="shared" si="433"/>
        <v>0.87014566599003529</v>
      </c>
      <c r="R1617">
        <f t="shared" si="434"/>
        <v>1</v>
      </c>
      <c r="AG1617" s="8">
        <f t="shared" si="424"/>
        <v>0.76279845232522236</v>
      </c>
      <c r="AH1617" s="8">
        <f t="shared" si="425"/>
        <v>0.22469244743951683</v>
      </c>
      <c r="AI1617" s="8">
        <f t="shared" si="426"/>
        <v>0.60634299302777916</v>
      </c>
      <c r="AJ1617" s="8"/>
      <c r="AK1617" s="8"/>
      <c r="AL1617" s="8"/>
      <c r="AN1617" s="8">
        <f t="shared" si="435"/>
        <v>1</v>
      </c>
      <c r="AO1617" s="8">
        <f t="shared" si="436"/>
        <v>0.28646158505608088</v>
      </c>
      <c r="AP1617" s="8">
        <f t="shared" si="437"/>
        <v>0.9193426769274271</v>
      </c>
      <c r="AQ1617" s="8"/>
      <c r="AR1617" s="8">
        <f t="shared" si="438"/>
        <v>16.413039816341289</v>
      </c>
      <c r="AS1617" s="8">
        <f t="shared" si="439"/>
        <v>37.325544685799258</v>
      </c>
    </row>
    <row r="1618" spans="1:45">
      <c r="A1618" s="20">
        <v>57.72433333</v>
      </c>
      <c r="B1618" s="20">
        <v>1805.0659149999999</v>
      </c>
      <c r="C1618" s="20">
        <v>-443.12379129999999</v>
      </c>
      <c r="E1618" s="9">
        <f t="shared" si="428"/>
        <v>845.0659149999999</v>
      </c>
      <c r="F1618" s="9">
        <f t="shared" si="427"/>
        <v>96.876208700000007</v>
      </c>
      <c r="I1618">
        <v>1</v>
      </c>
      <c r="J1618">
        <f t="shared" si="429"/>
        <v>0.51567359783434752</v>
      </c>
      <c r="K1618">
        <f t="shared" si="430"/>
        <v>0.11413920251842435</v>
      </c>
      <c r="O1618">
        <f t="shared" si="431"/>
        <v>0.48991232008378088</v>
      </c>
      <c r="P1618">
        <f t="shared" si="432"/>
        <v>5.6162303227124684E-2</v>
      </c>
      <c r="Q1618">
        <f t="shared" si="433"/>
        <v>0.86996075447479326</v>
      </c>
      <c r="R1618">
        <f t="shared" si="434"/>
        <v>1</v>
      </c>
      <c r="AG1618" s="8">
        <f t="shared" si="424"/>
        <v>0.76298408232819404</v>
      </c>
      <c r="AH1618" s="8">
        <f t="shared" si="425"/>
        <v>0.22503492513775383</v>
      </c>
      <c r="AI1618" s="8">
        <f t="shared" si="426"/>
        <v>0.60598232035435584</v>
      </c>
      <c r="AJ1618" s="8"/>
      <c r="AK1618" s="8"/>
      <c r="AL1618" s="8"/>
      <c r="AN1618" s="8">
        <f t="shared" si="435"/>
        <v>1</v>
      </c>
      <c r="AO1618" s="8">
        <f t="shared" si="436"/>
        <v>0.28680863427778808</v>
      </c>
      <c r="AP1618" s="8">
        <f t="shared" si="437"/>
        <v>0.91979615891395194</v>
      </c>
      <c r="AQ1618" s="8"/>
      <c r="AR1618" s="8">
        <f t="shared" si="438"/>
        <v>16.432924272028412</v>
      </c>
      <c r="AS1618" s="8">
        <f t="shared" si="439"/>
        <v>37.299562081886179</v>
      </c>
    </row>
    <row r="1619" spans="1:45">
      <c r="A1619" s="20">
        <v>57.7577</v>
      </c>
      <c r="B1619" s="20">
        <v>1805.5015350000001</v>
      </c>
      <c r="C1619" s="20">
        <v>-443.48680880000001</v>
      </c>
      <c r="E1619" s="9">
        <f t="shared" si="428"/>
        <v>845.5015350000001</v>
      </c>
      <c r="F1619" s="9">
        <f t="shared" si="427"/>
        <v>96.513191199999994</v>
      </c>
      <c r="I1619">
        <v>1</v>
      </c>
      <c r="J1619">
        <f t="shared" si="429"/>
        <v>0.51587282398457912</v>
      </c>
      <c r="K1619">
        <f t="shared" si="430"/>
        <v>0.11365709600376435</v>
      </c>
      <c r="O1619">
        <f t="shared" si="431"/>
        <v>0.49011153031155502</v>
      </c>
      <c r="P1619">
        <f t="shared" si="432"/>
        <v>5.5945762220625299E-2</v>
      </c>
      <c r="Q1619">
        <f t="shared" si="433"/>
        <v>0.8698624946192467</v>
      </c>
      <c r="R1619">
        <f t="shared" si="434"/>
        <v>1</v>
      </c>
      <c r="AG1619" s="8">
        <f t="shared" si="424"/>
        <v>0.76310682343581848</v>
      </c>
      <c r="AH1619" s="8">
        <f t="shared" si="425"/>
        <v>0.22521438601264043</v>
      </c>
      <c r="AI1619" s="8">
        <f t="shared" si="426"/>
        <v>0.60576105549848935</v>
      </c>
      <c r="AJ1619" s="8"/>
      <c r="AK1619" s="8"/>
      <c r="AL1619" s="8"/>
      <c r="AN1619" s="8">
        <f t="shared" si="435"/>
        <v>1</v>
      </c>
      <c r="AO1619" s="8">
        <f t="shared" si="436"/>
        <v>0.28698133358704908</v>
      </c>
      <c r="AP1619" s="8">
        <f t="shared" si="437"/>
        <v>0.92007428274667113</v>
      </c>
      <c r="AQ1619" s="8"/>
      <c r="AR1619" s="8">
        <f t="shared" si="438"/>
        <v>16.442819213573891</v>
      </c>
      <c r="AS1619" s="8">
        <f t="shared" si="439"/>
        <v>37.283626760089369</v>
      </c>
    </row>
    <row r="1620" spans="1:45">
      <c r="A1620" s="20">
        <v>57.791066669999999</v>
      </c>
      <c r="B1620" s="20">
        <v>1805.925156</v>
      </c>
      <c r="C1620" s="20">
        <v>-443.73180869999999</v>
      </c>
      <c r="E1620" s="9">
        <f t="shared" si="428"/>
        <v>845.92515600000002</v>
      </c>
      <c r="F1620" s="9">
        <f t="shared" si="427"/>
        <v>96.268191300000012</v>
      </c>
      <c r="I1620">
        <v>1</v>
      </c>
      <c r="J1620">
        <f t="shared" si="429"/>
        <v>0.51607282582542913</v>
      </c>
      <c r="K1620">
        <f t="shared" si="430"/>
        <v>0.11331475617307993</v>
      </c>
      <c r="O1620">
        <f t="shared" si="431"/>
        <v>0.49030350261107347</v>
      </c>
      <c r="P1620">
        <f t="shared" si="432"/>
        <v>5.5797644803014787E-2</v>
      </c>
      <c r="Q1620">
        <f t="shared" si="433"/>
        <v>0.8697638174595157</v>
      </c>
      <c r="R1620">
        <f t="shared" si="434"/>
        <v>1</v>
      </c>
      <c r="AG1620" s="8">
        <f t="shared" si="424"/>
        <v>0.7631859590590615</v>
      </c>
      <c r="AH1620" s="8">
        <f t="shared" si="425"/>
        <v>0.22539865816806751</v>
      </c>
      <c r="AI1620" s="8">
        <f t="shared" si="426"/>
        <v>0.60559279783624842</v>
      </c>
      <c r="AJ1620" s="8"/>
      <c r="AK1620" s="8"/>
      <c r="AL1620" s="8"/>
      <c r="AN1620" s="8">
        <f t="shared" si="435"/>
        <v>1</v>
      </c>
      <c r="AO1620" s="8">
        <f t="shared" si="436"/>
        <v>0.28717527783892494</v>
      </c>
      <c r="AP1620" s="8">
        <f t="shared" si="437"/>
        <v>0.92028573858200369</v>
      </c>
      <c r="AQ1620" s="8"/>
      <c r="AR1620" s="8">
        <f t="shared" si="438"/>
        <v>16.453931400667198</v>
      </c>
      <c r="AS1620" s="8">
        <f t="shared" si="439"/>
        <v>37.271511233171395</v>
      </c>
    </row>
    <row r="1621" spans="1:45">
      <c r="A1621" s="20">
        <v>57.824433329999998</v>
      </c>
      <c r="B1621" s="20">
        <v>1806.5291259999999</v>
      </c>
      <c r="C1621" s="20">
        <v>-443.36437100000001</v>
      </c>
      <c r="E1621" s="9">
        <f t="shared" si="428"/>
        <v>846.52912599999991</v>
      </c>
      <c r="F1621" s="9">
        <f t="shared" si="427"/>
        <v>96.635628999999994</v>
      </c>
      <c r="I1621">
        <v>1</v>
      </c>
      <c r="J1621">
        <f t="shared" si="429"/>
        <v>0.51639916971665367</v>
      </c>
      <c r="K1621">
        <f t="shared" si="430"/>
        <v>0.11366308890298936</v>
      </c>
      <c r="O1621">
        <f t="shared" si="431"/>
        <v>0.49056602116856762</v>
      </c>
      <c r="P1621">
        <f t="shared" si="432"/>
        <v>5.6000620138912799E-2</v>
      </c>
      <c r="Q1621">
        <f t="shared" si="433"/>
        <v>0.86960273080234607</v>
      </c>
      <c r="R1621">
        <f t="shared" si="434"/>
        <v>1</v>
      </c>
      <c r="AG1621" s="8">
        <f t="shared" si="424"/>
        <v>0.76303243432163859</v>
      </c>
      <c r="AH1621" s="8">
        <f t="shared" si="425"/>
        <v>0.22572637378074567</v>
      </c>
      <c r="AI1621" s="8">
        <f t="shared" si="426"/>
        <v>0.60566418777486686</v>
      </c>
      <c r="AJ1621" s="8"/>
      <c r="AK1621" s="8"/>
      <c r="AL1621" s="8"/>
      <c r="AN1621" s="8">
        <f t="shared" si="435"/>
        <v>0.99999999999999989</v>
      </c>
      <c r="AO1621" s="8">
        <f t="shared" si="436"/>
        <v>0.28762490810125746</v>
      </c>
      <c r="AP1621" s="8">
        <f t="shared" si="437"/>
        <v>0.92019602427419822</v>
      </c>
      <c r="AQ1621" s="8"/>
      <c r="AR1621" s="8">
        <f t="shared" si="438"/>
        <v>16.479693317040212</v>
      </c>
      <c r="AS1621" s="8">
        <f t="shared" si="439"/>
        <v>37.276651484370589</v>
      </c>
    </row>
    <row r="1622" spans="1:45">
      <c r="A1622" s="20">
        <v>57.857799999999997</v>
      </c>
      <c r="B1622" s="20">
        <v>1806.7424109999999</v>
      </c>
      <c r="C1622" s="20">
        <v>-443.8563833</v>
      </c>
      <c r="E1622" s="9">
        <f t="shared" si="428"/>
        <v>846.74241099999995</v>
      </c>
      <c r="F1622" s="9">
        <f t="shared" si="427"/>
        <v>96.143616699999995</v>
      </c>
      <c r="I1622">
        <v>1</v>
      </c>
      <c r="J1622">
        <f t="shared" si="429"/>
        <v>0.51647862006796097</v>
      </c>
      <c r="K1622">
        <f t="shared" si="430"/>
        <v>0.11306107286295326</v>
      </c>
      <c r="O1622">
        <f t="shared" si="431"/>
        <v>0.4906682931223954</v>
      </c>
      <c r="P1622">
        <f t="shared" si="432"/>
        <v>5.5713076005121501E-2</v>
      </c>
      <c r="Q1622">
        <f t="shared" si="433"/>
        <v>0.8695634992836363</v>
      </c>
      <c r="R1622">
        <f t="shared" si="434"/>
        <v>1</v>
      </c>
      <c r="AG1622" s="8">
        <f t="shared" si="424"/>
        <v>0.7632091715207765</v>
      </c>
      <c r="AH1622" s="8">
        <f t="shared" si="425"/>
        <v>0.22578561567039915</v>
      </c>
      <c r="AI1622" s="8">
        <f t="shared" si="426"/>
        <v>0.60541937222301423</v>
      </c>
      <c r="AJ1622" s="8"/>
      <c r="AK1622" s="8"/>
      <c r="AL1622" s="8"/>
      <c r="AN1622" s="8">
        <f t="shared" si="435"/>
        <v>1</v>
      </c>
      <c r="AO1622" s="8">
        <f t="shared" si="436"/>
        <v>0.28763329129391985</v>
      </c>
      <c r="AP1622" s="8">
        <f t="shared" si="437"/>
        <v>0.9205036535736385</v>
      </c>
      <c r="AQ1622" s="8"/>
      <c r="AR1622" s="8">
        <f t="shared" si="438"/>
        <v>16.480173638598611</v>
      </c>
      <c r="AS1622" s="8">
        <f t="shared" si="439"/>
        <v>37.259025623858093</v>
      </c>
    </row>
    <row r="1623" spans="1:45">
      <c r="A1623" s="20">
        <v>57.891166669999997</v>
      </c>
      <c r="B1623" s="20">
        <v>1807.1927949999999</v>
      </c>
      <c r="C1623" s="20">
        <v>-444.26244129999998</v>
      </c>
      <c r="E1623" s="9">
        <f t="shared" si="428"/>
        <v>847.19279499999993</v>
      </c>
      <c r="F1623" s="9">
        <f t="shared" si="427"/>
        <v>95.737558700000022</v>
      </c>
      <c r="I1623">
        <v>1</v>
      </c>
      <c r="J1623">
        <f t="shared" si="429"/>
        <v>0.51668289212315832</v>
      </c>
      <c r="K1623">
        <f t="shared" si="430"/>
        <v>0.11252824863287622</v>
      </c>
      <c r="O1623">
        <f t="shared" si="431"/>
        <v>0.490874402603726</v>
      </c>
      <c r="P1623">
        <f t="shared" si="432"/>
        <v>5.5471572953593958E-2</v>
      </c>
      <c r="Q1623">
        <f t="shared" si="433"/>
        <v>0.86946260728250369</v>
      </c>
      <c r="R1623">
        <f t="shared" si="434"/>
        <v>1</v>
      </c>
      <c r="AG1623" s="8">
        <f t="shared" si="424"/>
        <v>0.76334717479369063</v>
      </c>
      <c r="AH1623" s="8">
        <f t="shared" si="425"/>
        <v>0.22596813164704935</v>
      </c>
      <c r="AI1623" s="8">
        <f t="shared" si="426"/>
        <v>0.60517724198323308</v>
      </c>
      <c r="AJ1623" s="8"/>
      <c r="AK1623" s="8"/>
      <c r="AL1623" s="8"/>
      <c r="AN1623" s="8">
        <f t="shared" si="435"/>
        <v>1.0000000000000002</v>
      </c>
      <c r="AO1623" s="8">
        <f t="shared" si="436"/>
        <v>0.28780396101749689</v>
      </c>
      <c r="AP1623" s="8">
        <f t="shared" si="437"/>
        <v>0.92080783778498199</v>
      </c>
      <c r="AQ1623" s="8"/>
      <c r="AR1623" s="8">
        <f t="shared" si="438"/>
        <v>16.489952293450241</v>
      </c>
      <c r="AS1623" s="8">
        <f t="shared" si="439"/>
        <v>37.241597152353599</v>
      </c>
    </row>
    <row r="1624" spans="1:45">
      <c r="A1624" s="20">
        <v>57.924533330000003</v>
      </c>
      <c r="B1624" s="20">
        <v>1807.6849549999999</v>
      </c>
      <c r="C1624" s="20">
        <v>-444.62065260000003</v>
      </c>
      <c r="E1624" s="9">
        <f t="shared" si="428"/>
        <v>847.68495499999995</v>
      </c>
      <c r="F1624" s="9">
        <f t="shared" si="427"/>
        <v>95.379347399999972</v>
      </c>
      <c r="I1624">
        <v>1</v>
      </c>
      <c r="J1624">
        <f t="shared" si="429"/>
        <v>0.51691105569610241</v>
      </c>
      <c r="K1624">
        <f t="shared" si="430"/>
        <v>0.11204619180831628</v>
      </c>
      <c r="O1624">
        <f t="shared" si="431"/>
        <v>0.49109820897236994</v>
      </c>
      <c r="P1624">
        <f t="shared" si="432"/>
        <v>5.5257116933369974E-2</v>
      </c>
      <c r="Q1624">
        <f t="shared" si="433"/>
        <v>0.86934987212993964</v>
      </c>
      <c r="R1624">
        <f t="shared" si="434"/>
        <v>1</v>
      </c>
      <c r="AG1624" s="8">
        <f t="shared" si="424"/>
        <v>0.76346611347108539</v>
      </c>
      <c r="AH1624" s="8">
        <f t="shared" si="425"/>
        <v>0.22617526986602818</v>
      </c>
      <c r="AI1624" s="8">
        <f t="shared" si="426"/>
        <v>0.60494978376918618</v>
      </c>
      <c r="AJ1624" s="8"/>
      <c r="AK1624" s="8"/>
      <c r="AL1624" s="8"/>
      <c r="AN1624" s="8">
        <f t="shared" si="435"/>
        <v>1</v>
      </c>
      <c r="AO1624" s="8">
        <f t="shared" si="436"/>
        <v>0.28801100063608842</v>
      </c>
      <c r="AP1624" s="8">
        <f t="shared" si="437"/>
        <v>0.92109352571234526</v>
      </c>
      <c r="AQ1624" s="8"/>
      <c r="AR1624" s="8">
        <f t="shared" si="438"/>
        <v>16.501814789787534</v>
      </c>
      <c r="AS1624" s="8">
        <f t="shared" si="439"/>
        <v>37.225228439857844</v>
      </c>
    </row>
    <row r="1625" spans="1:45">
      <c r="A1625" s="20">
        <v>57.957900000000002</v>
      </c>
      <c r="B1625" s="20">
        <v>1808.287742</v>
      </c>
      <c r="C1625" s="20">
        <v>-444.68942140000001</v>
      </c>
      <c r="E1625" s="9">
        <f t="shared" si="428"/>
        <v>848.28774199999998</v>
      </c>
      <c r="F1625" s="9">
        <f t="shared" si="427"/>
        <v>95.310578599999985</v>
      </c>
      <c r="I1625">
        <v>1</v>
      </c>
      <c r="J1625">
        <f t="shared" si="429"/>
        <v>0.51721150818844019</v>
      </c>
      <c r="K1625">
        <f t="shared" si="430"/>
        <v>0.11188718020183865</v>
      </c>
      <c r="O1625">
        <f t="shared" si="431"/>
        <v>0.49136653221972248</v>
      </c>
      <c r="P1625">
        <f t="shared" si="432"/>
        <v>5.5208187236232976E-2</v>
      </c>
      <c r="Q1625">
        <f t="shared" si="433"/>
        <v>0.86920135013496924</v>
      </c>
      <c r="R1625">
        <f t="shared" si="434"/>
        <v>1</v>
      </c>
      <c r="AG1625" s="8">
        <f t="shared" si="424"/>
        <v>0.76347438415426472</v>
      </c>
      <c r="AH1625" s="8">
        <f t="shared" si="425"/>
        <v>0.22646246827559838</v>
      </c>
      <c r="AI1625" s="8">
        <f t="shared" si="426"/>
        <v>0.60483189003456972</v>
      </c>
      <c r="AJ1625" s="8"/>
      <c r="AK1625" s="8"/>
      <c r="AL1625" s="8"/>
      <c r="AN1625" s="8">
        <f t="shared" si="435"/>
        <v>1</v>
      </c>
      <c r="AO1625" s="8">
        <f t="shared" si="436"/>
        <v>0.28835383806023501</v>
      </c>
      <c r="AP1625" s="8">
        <f t="shared" si="437"/>
        <v>0.92124157605843138</v>
      </c>
      <c r="AQ1625" s="8"/>
      <c r="AR1625" s="8">
        <f t="shared" si="438"/>
        <v>16.521457927250271</v>
      </c>
      <c r="AS1625" s="8">
        <f t="shared" si="439"/>
        <v>37.216745779871658</v>
      </c>
    </row>
    <row r="1626" spans="1:45">
      <c r="A1626" s="20">
        <v>57.991266670000002</v>
      </c>
      <c r="B1626" s="20">
        <v>1808.561019</v>
      </c>
      <c r="C1626" s="20">
        <v>-445.19932419999998</v>
      </c>
      <c r="E1626" s="9">
        <f t="shared" si="428"/>
        <v>848.56101899999999</v>
      </c>
      <c r="F1626" s="9">
        <f t="shared" si="427"/>
        <v>94.800675800000022</v>
      </c>
      <c r="I1626">
        <v>1</v>
      </c>
      <c r="J1626">
        <f t="shared" si="429"/>
        <v>0.51732062485732544</v>
      </c>
      <c r="K1626">
        <f t="shared" si="430"/>
        <v>0.11125799107155264</v>
      </c>
      <c r="O1626">
        <f t="shared" si="431"/>
        <v>0.49149542637561422</v>
      </c>
      <c r="P1626">
        <f t="shared" si="432"/>
        <v>5.4909543957047349E-2</v>
      </c>
      <c r="Q1626">
        <f t="shared" si="433"/>
        <v>0.86914739131765351</v>
      </c>
      <c r="R1626">
        <f t="shared" si="434"/>
        <v>1</v>
      </c>
      <c r="AG1626" s="8">
        <f t="shared" si="424"/>
        <v>0.7636556840897224</v>
      </c>
      <c r="AH1626" s="8">
        <f t="shared" si="425"/>
        <v>0.22654915084077357</v>
      </c>
      <c r="AI1626" s="8">
        <f t="shared" si="426"/>
        <v>0.60457049085345083</v>
      </c>
      <c r="AJ1626" s="8"/>
      <c r="AK1626" s="8"/>
      <c r="AL1626" s="8"/>
      <c r="AN1626" s="8">
        <f t="shared" si="435"/>
        <v>1</v>
      </c>
      <c r="AO1626" s="8">
        <f t="shared" si="436"/>
        <v>0.28839344210291962</v>
      </c>
      <c r="AP1626" s="8">
        <f t="shared" si="437"/>
        <v>0.92156978044966475</v>
      </c>
      <c r="AQ1626" s="8"/>
      <c r="AR1626" s="8">
        <f t="shared" si="438"/>
        <v>16.523727071747754</v>
      </c>
      <c r="AS1626" s="8">
        <f t="shared" si="439"/>
        <v>37.197941053436324</v>
      </c>
    </row>
    <row r="1627" spans="1:45">
      <c r="A1627" s="20">
        <v>58.02463333</v>
      </c>
      <c r="B1627" s="20">
        <v>1809.1432560000001</v>
      </c>
      <c r="C1627" s="20">
        <v>-445.50907979999999</v>
      </c>
      <c r="E1627" s="9">
        <f t="shared" si="428"/>
        <v>849.14325600000006</v>
      </c>
      <c r="F1627" s="9">
        <f t="shared" si="427"/>
        <v>94.490920200000005</v>
      </c>
      <c r="I1627">
        <v>1</v>
      </c>
      <c r="J1627">
        <f t="shared" si="429"/>
        <v>0.5175970728786774</v>
      </c>
      <c r="K1627">
        <f t="shared" si="430"/>
        <v>0.11082202174357823</v>
      </c>
      <c r="O1627">
        <f t="shared" si="431"/>
        <v>0.49175809987844915</v>
      </c>
      <c r="P1627">
        <f t="shared" si="432"/>
        <v>5.472183291215843E-2</v>
      </c>
      <c r="Q1627">
        <f t="shared" si="433"/>
        <v>0.86901063986965721</v>
      </c>
      <c r="R1627">
        <f t="shared" si="434"/>
        <v>1</v>
      </c>
      <c r="AG1627" s="8">
        <f t="shared" si="424"/>
        <v>0.7637537489260332</v>
      </c>
      <c r="AH1627" s="8">
        <f t="shared" si="425"/>
        <v>0.22680429927637225</v>
      </c>
      <c r="AI1627" s="8">
        <f t="shared" si="426"/>
        <v>0.60435090868731511</v>
      </c>
      <c r="AJ1627" s="8"/>
      <c r="AK1627" s="8"/>
      <c r="AL1627" s="8"/>
      <c r="AN1627" s="8">
        <f t="shared" si="435"/>
        <v>1</v>
      </c>
      <c r="AO1627" s="8">
        <f t="shared" si="436"/>
        <v>0.28866545855594661</v>
      </c>
      <c r="AP1627" s="8">
        <f t="shared" si="437"/>
        <v>0.92184541757149407</v>
      </c>
      <c r="AQ1627" s="8"/>
      <c r="AR1627" s="8">
        <f t="shared" si="438"/>
        <v>16.53931246646432</v>
      </c>
      <c r="AS1627" s="8">
        <f t="shared" si="439"/>
        <v>37.182148209678374</v>
      </c>
    </row>
    <row r="1628" spans="1:45">
      <c r="A1628" s="20">
        <v>58.058</v>
      </c>
      <c r="B1628" s="20">
        <v>1809.2563749999999</v>
      </c>
      <c r="C1628" s="20">
        <v>-445.61596989999998</v>
      </c>
      <c r="E1628" s="9">
        <f t="shared" si="428"/>
        <v>849.25637499999993</v>
      </c>
      <c r="F1628" s="9">
        <f t="shared" si="427"/>
        <v>94.384030100000018</v>
      </c>
      <c r="I1628">
        <v>1</v>
      </c>
      <c r="J1628">
        <f t="shared" si="429"/>
        <v>0.51764816138995662</v>
      </c>
      <c r="K1628">
        <f t="shared" si="430"/>
        <v>0.11068305522303129</v>
      </c>
      <c r="O1628">
        <f t="shared" si="431"/>
        <v>0.4918098237836947</v>
      </c>
      <c r="P1628">
        <f t="shared" si="432"/>
        <v>5.4658398309316139E-2</v>
      </c>
      <c r="Q1628">
        <f t="shared" si="433"/>
        <v>0.8689853604774429</v>
      </c>
      <c r="R1628">
        <f t="shared" si="434"/>
        <v>1</v>
      </c>
      <c r="AG1628" s="8">
        <f t="shared" si="424"/>
        <v>0.76379010269060044</v>
      </c>
      <c r="AH1628" s="8">
        <f t="shared" si="425"/>
        <v>0.22684961456703415</v>
      </c>
      <c r="AI1628" s="8">
        <f t="shared" si="426"/>
        <v>0.60428795404398894</v>
      </c>
      <c r="AJ1628" s="8"/>
      <c r="AK1628" s="8"/>
      <c r="AL1628" s="8"/>
      <c r="AN1628" s="8">
        <f t="shared" si="435"/>
        <v>1</v>
      </c>
      <c r="AO1628" s="8">
        <f t="shared" si="436"/>
        <v>0.28870699071592659</v>
      </c>
      <c r="AP1628" s="8">
        <f t="shared" si="437"/>
        <v>0.92192443265158563</v>
      </c>
      <c r="AQ1628" s="8"/>
      <c r="AR1628" s="8">
        <f t="shared" si="438"/>
        <v>16.541692083945236</v>
      </c>
      <c r="AS1628" s="8">
        <f t="shared" si="439"/>
        <v>37.177620979071236</v>
      </c>
    </row>
    <row r="1629" spans="1:45">
      <c r="A1629" s="20">
        <v>58.091366669999999</v>
      </c>
      <c r="B1629" s="20">
        <v>1809.2324679999999</v>
      </c>
      <c r="C1629" s="20">
        <v>-445.62486689999997</v>
      </c>
      <c r="E1629" s="9">
        <f t="shared" si="428"/>
        <v>849.23246799999993</v>
      </c>
      <c r="F1629" s="9">
        <f t="shared" si="427"/>
        <v>94.375133100000028</v>
      </c>
      <c r="I1629">
        <v>1</v>
      </c>
      <c r="J1629">
        <f t="shared" si="429"/>
        <v>0.5176355974780299</v>
      </c>
      <c r="K1629">
        <f t="shared" si="430"/>
        <v>0.11067579700673258</v>
      </c>
      <c r="O1629">
        <f t="shared" si="431"/>
        <v>0.49179936939776603</v>
      </c>
      <c r="P1629">
        <f t="shared" si="432"/>
        <v>5.4653622764468134E-2</v>
      </c>
      <c r="Q1629">
        <f t="shared" si="433"/>
        <v>0.86899157750733058</v>
      </c>
      <c r="R1629">
        <f t="shared" si="434"/>
        <v>1</v>
      </c>
      <c r="AG1629" s="8">
        <f t="shared" si="424"/>
        <v>0.76379409287196853</v>
      </c>
      <c r="AH1629" s="8">
        <f t="shared" si="425"/>
        <v>0.2268371771372803</v>
      </c>
      <c r="AI1629" s="8">
        <f t="shared" si="426"/>
        <v>0.60428757952011303</v>
      </c>
      <c r="AJ1629" s="8"/>
      <c r="AK1629" s="8"/>
      <c r="AL1629" s="8"/>
      <c r="AN1629" s="8">
        <f t="shared" si="435"/>
        <v>1</v>
      </c>
      <c r="AO1629" s="8">
        <f t="shared" si="436"/>
        <v>0.28869060104675037</v>
      </c>
      <c r="AP1629" s="8">
        <f t="shared" si="437"/>
        <v>0.92192490270654071</v>
      </c>
      <c r="AQ1629" s="8"/>
      <c r="AR1629" s="8">
        <f t="shared" si="438"/>
        <v>16.540753025073823</v>
      </c>
      <c r="AS1629" s="8">
        <f t="shared" si="439"/>
        <v>37.177594046906172</v>
      </c>
    </row>
    <row r="1630" spans="1:45">
      <c r="A1630" s="20">
        <v>58.124733329999998</v>
      </c>
      <c r="B1630" s="20">
        <v>1810.1944169999999</v>
      </c>
      <c r="C1630" s="20">
        <v>-445.80221920000002</v>
      </c>
      <c r="E1630" s="9">
        <f t="shared" si="428"/>
        <v>850.19441699999993</v>
      </c>
      <c r="F1630" s="9">
        <f t="shared" si="427"/>
        <v>94.197780799999975</v>
      </c>
      <c r="I1630">
        <v>1</v>
      </c>
      <c r="J1630">
        <f t="shared" si="429"/>
        <v>0.51811100979187397</v>
      </c>
      <c r="K1630">
        <f t="shared" si="430"/>
        <v>0.11034552403016021</v>
      </c>
      <c r="O1630">
        <f t="shared" si="431"/>
        <v>0.49222795428297061</v>
      </c>
      <c r="P1630">
        <f t="shared" si="432"/>
        <v>5.4536680098170622E-2</v>
      </c>
      <c r="Q1630">
        <f t="shared" si="433"/>
        <v>0.86875623252226031</v>
      </c>
      <c r="R1630">
        <f t="shared" si="434"/>
        <v>1</v>
      </c>
      <c r="AG1630" s="8">
        <f t="shared" si="424"/>
        <v>0.76383188836788074</v>
      </c>
      <c r="AH1630" s="8">
        <f t="shared" si="425"/>
        <v>0.22728884228516402</v>
      </c>
      <c r="AI1630" s="8">
        <f t="shared" si="426"/>
        <v>0.60407005263051017</v>
      </c>
      <c r="AJ1630" s="8"/>
      <c r="AK1630" s="8"/>
      <c r="AL1630" s="8"/>
      <c r="AN1630" s="8">
        <f t="shared" si="435"/>
        <v>1.0000000000000002</v>
      </c>
      <c r="AO1630" s="8">
        <f t="shared" si="436"/>
        <v>0.28922040065816645</v>
      </c>
      <c r="AP1630" s="8">
        <f t="shared" si="437"/>
        <v>0.92219788661556523</v>
      </c>
      <c r="AQ1630" s="8"/>
      <c r="AR1630" s="8">
        <f t="shared" si="438"/>
        <v>16.571108306795633</v>
      </c>
      <c r="AS1630" s="8">
        <f t="shared" si="439"/>
        <v>37.161953221044079</v>
      </c>
    </row>
    <row r="1631" spans="1:45">
      <c r="A1631" s="20">
        <v>58.158099999999997</v>
      </c>
      <c r="B1631" s="20">
        <v>1810.710043</v>
      </c>
      <c r="C1631" s="20">
        <v>-445.90571030000001</v>
      </c>
      <c r="E1631" s="9">
        <f t="shared" si="428"/>
        <v>850.71004300000004</v>
      </c>
      <c r="F1631" s="9">
        <f t="shared" si="427"/>
        <v>94.09428969999999</v>
      </c>
      <c r="I1631">
        <v>1</v>
      </c>
      <c r="J1631">
        <f t="shared" si="429"/>
        <v>0.51836528668081505</v>
      </c>
      <c r="K1631">
        <f t="shared" si="430"/>
        <v>0.11015900260543486</v>
      </c>
      <c r="O1631">
        <f t="shared" si="431"/>
        <v>0.49245766771162053</v>
      </c>
      <c r="P1631">
        <f t="shared" si="432"/>
        <v>5.4469151777303687E-2</v>
      </c>
      <c r="Q1631">
        <f t="shared" si="433"/>
        <v>0.86863027636428392</v>
      </c>
      <c r="R1631">
        <f t="shared" si="434"/>
        <v>1</v>
      </c>
      <c r="AG1631" s="8">
        <f t="shared" si="424"/>
        <v>0.76385518203996139</v>
      </c>
      <c r="AH1631" s="8">
        <f t="shared" si="425"/>
        <v>0.2275300571816051</v>
      </c>
      <c r="AI1631" s="8">
        <f t="shared" si="426"/>
        <v>0.60394977767164792</v>
      </c>
      <c r="AJ1631" s="8"/>
      <c r="AK1631" s="8"/>
      <c r="AL1631" s="8"/>
      <c r="AN1631" s="8">
        <f t="shared" si="435"/>
        <v>1</v>
      </c>
      <c r="AO1631" s="8">
        <f t="shared" si="436"/>
        <v>0.28950214046460848</v>
      </c>
      <c r="AP1631" s="8">
        <f t="shared" si="437"/>
        <v>0.92234880061823266</v>
      </c>
      <c r="AQ1631" s="8"/>
      <c r="AR1631" s="8">
        <f t="shared" si="438"/>
        <v>16.587250808625594</v>
      </c>
      <c r="AS1631" s="8">
        <f t="shared" si="439"/>
        <v>37.153306485621812</v>
      </c>
    </row>
    <row r="1632" spans="1:45">
      <c r="A1632" s="20">
        <v>58.191466669999997</v>
      </c>
      <c r="B1632" s="20">
        <v>1811.001178</v>
      </c>
      <c r="C1632" s="20">
        <v>-445.97305219999998</v>
      </c>
      <c r="E1632" s="9">
        <f t="shared" si="428"/>
        <v>851.00117799999998</v>
      </c>
      <c r="F1632" s="9">
        <f t="shared" si="427"/>
        <v>94.026947800000016</v>
      </c>
      <c r="I1632">
        <v>1</v>
      </c>
      <c r="J1632">
        <f t="shared" si="429"/>
        <v>0.51850833599062762</v>
      </c>
      <c r="K1632">
        <f t="shared" si="430"/>
        <v>0.1100434427455225</v>
      </c>
      <c r="O1632">
        <f t="shared" si="431"/>
        <v>0.49258745920380936</v>
      </c>
      <c r="P1632">
        <f t="shared" si="432"/>
        <v>5.4425888601403578E-2</v>
      </c>
      <c r="Q1632">
        <f t="shared" si="433"/>
        <v>0.86855939214603106</v>
      </c>
      <c r="R1632">
        <f t="shared" si="434"/>
        <v>1</v>
      </c>
      <c r="AG1632" s="8">
        <f t="shared" ref="AG1632:AG1695" si="440">$O1632*$Z$27+$P1632*$Z$31+$Q1632*$Z$35</f>
        <v>0.76387160661915876</v>
      </c>
      <c r="AH1632" s="8">
        <f t="shared" ref="AH1632:AH1695" si="441">$O1632*$AA$27+$P1632*$AA$31+$Q1632*$AA$35</f>
        <v>0.22766540638897811</v>
      </c>
      <c r="AI1632" s="8">
        <f t="shared" ref="AI1632:AI1695" si="442">$AB$27*$O1632+$P1632*$AB$31+$AB$35*$Q1632</f>
        <v>0.60387799374940521</v>
      </c>
      <c r="AJ1632" s="8"/>
      <c r="AK1632" s="8"/>
      <c r="AL1632" s="8"/>
      <c r="AN1632" s="8">
        <f t="shared" si="435"/>
        <v>1</v>
      </c>
      <c r="AO1632" s="8">
        <f t="shared" si="436"/>
        <v>0.28965899862328748</v>
      </c>
      <c r="AP1632" s="8">
        <f t="shared" si="437"/>
        <v>0.92243886267324116</v>
      </c>
      <c r="AQ1632" s="8"/>
      <c r="AR1632" s="8">
        <f t="shared" si="438"/>
        <v>16.596238119100096</v>
      </c>
      <c r="AS1632" s="8">
        <f t="shared" si="439"/>
        <v>37.148146309975552</v>
      </c>
    </row>
    <row r="1633" spans="1:45">
      <c r="A1633" s="20">
        <v>58.224833330000003</v>
      </c>
      <c r="B1633" s="20">
        <v>1811.4341030000001</v>
      </c>
      <c r="C1633" s="20">
        <v>-446.35013909999998</v>
      </c>
      <c r="E1633" s="9">
        <f t="shared" si="428"/>
        <v>851.43410300000005</v>
      </c>
      <c r="F1633" s="9">
        <f t="shared" ref="F1633:F1696" si="443">(($C$15/2)+C1633)</f>
        <v>93.649860900000022</v>
      </c>
      <c r="I1633">
        <v>1</v>
      </c>
      <c r="J1633">
        <f t="shared" si="429"/>
        <v>0.51870564345874037</v>
      </c>
      <c r="K1633">
        <f t="shared" si="430"/>
        <v>0.10955037033418208</v>
      </c>
      <c r="O1633">
        <f t="shared" si="431"/>
        <v>0.49278457157102468</v>
      </c>
      <c r="P1633">
        <f t="shared" si="432"/>
        <v>5.4201736128124713E-2</v>
      </c>
      <c r="Q1633">
        <f t="shared" si="433"/>
        <v>0.86846159260053568</v>
      </c>
      <c r="R1633">
        <f t="shared" si="434"/>
        <v>1</v>
      </c>
      <c r="AG1633" s="8">
        <f t="shared" si="440"/>
        <v>0.76399855277825723</v>
      </c>
      <c r="AH1633" s="8">
        <f t="shared" si="441"/>
        <v>0.22784147422659781</v>
      </c>
      <c r="AI1633" s="8">
        <f t="shared" si="442"/>
        <v>0.60365095375968647</v>
      </c>
      <c r="AJ1633" s="8"/>
      <c r="AK1633" s="8"/>
      <c r="AL1633" s="8"/>
      <c r="AN1633" s="8">
        <f t="shared" si="435"/>
        <v>1</v>
      </c>
      <c r="AO1633" s="8">
        <f t="shared" si="436"/>
        <v>0.28982516261849384</v>
      </c>
      <c r="AP1633" s="8">
        <f t="shared" si="437"/>
        <v>0.92272367275747635</v>
      </c>
      <c r="AQ1633" s="8"/>
      <c r="AR1633" s="8">
        <f t="shared" si="438"/>
        <v>16.605758614732451</v>
      </c>
      <c r="AS1633" s="8">
        <f t="shared" si="439"/>
        <v>37.13182789418611</v>
      </c>
    </row>
    <row r="1634" spans="1:45">
      <c r="A1634" s="20">
        <v>58.258200000000002</v>
      </c>
      <c r="B1634" s="20">
        <v>1812.1114379999999</v>
      </c>
      <c r="C1634" s="20">
        <v>-446.88866910000002</v>
      </c>
      <c r="E1634" s="9">
        <f t="shared" si="428"/>
        <v>852.11143799999991</v>
      </c>
      <c r="F1634" s="9">
        <f t="shared" si="443"/>
        <v>93.111330899999984</v>
      </c>
      <c r="I1634">
        <v>1</v>
      </c>
      <c r="J1634">
        <f t="shared" si="429"/>
        <v>0.51901729816541586</v>
      </c>
      <c r="K1634">
        <f t="shared" si="430"/>
        <v>0.1088394890632859</v>
      </c>
      <c r="O1634">
        <f t="shared" si="431"/>
        <v>0.49309201271414982</v>
      </c>
      <c r="P1634">
        <f t="shared" si="432"/>
        <v>5.3880808908909644E-2</v>
      </c>
      <c r="Q1634">
        <f t="shared" si="433"/>
        <v>0.86830704559437399</v>
      </c>
      <c r="R1634">
        <f t="shared" si="434"/>
        <v>1</v>
      </c>
      <c r="AG1634" s="8">
        <f t="shared" si="440"/>
        <v>0.76417792212417646</v>
      </c>
      <c r="AH1634" s="8">
        <f t="shared" si="441"/>
        <v>0.22812149352935407</v>
      </c>
      <c r="AI1634" s="8">
        <f t="shared" si="442"/>
        <v>0.60331806497726637</v>
      </c>
      <c r="AJ1634" s="8"/>
      <c r="AK1634" s="8"/>
      <c r="AL1634" s="8"/>
      <c r="AN1634" s="8">
        <f t="shared" si="435"/>
        <v>1</v>
      </c>
      <c r="AO1634" s="8">
        <f t="shared" si="436"/>
        <v>0.29009736272750059</v>
      </c>
      <c r="AP1634" s="8">
        <f t="shared" si="437"/>
        <v>0.92314115374840089</v>
      </c>
      <c r="AQ1634" s="8"/>
      <c r="AR1634" s="8">
        <f t="shared" si="438"/>
        <v>16.62135453216154</v>
      </c>
      <c r="AS1634" s="8">
        <f t="shared" si="439"/>
        <v>37.107907995379193</v>
      </c>
    </row>
    <row r="1635" spans="1:45">
      <c r="A1635" s="20">
        <v>58.291566670000002</v>
      </c>
      <c r="B1635" s="20">
        <v>1812.964723</v>
      </c>
      <c r="C1635" s="20">
        <v>-447.03608029999998</v>
      </c>
      <c r="E1635" s="9">
        <f t="shared" si="428"/>
        <v>852.96472300000005</v>
      </c>
      <c r="F1635" s="9">
        <f t="shared" si="443"/>
        <v>92.963919700000019</v>
      </c>
      <c r="I1635">
        <v>1</v>
      </c>
      <c r="J1635">
        <f t="shared" si="429"/>
        <v>0.51943914095003629</v>
      </c>
      <c r="K1635">
        <f t="shared" si="430"/>
        <v>0.10856067508432943</v>
      </c>
      <c r="O1635">
        <f t="shared" si="431"/>
        <v>0.49347110513132153</v>
      </c>
      <c r="P1635">
        <f t="shared" si="432"/>
        <v>5.3783007614136048E-2</v>
      </c>
      <c r="Q1635">
        <f t="shared" si="433"/>
        <v>0.86809772289325238</v>
      </c>
      <c r="R1635">
        <f t="shared" si="434"/>
        <v>1</v>
      </c>
      <c r="AG1635" s="8">
        <f t="shared" si="440"/>
        <v>0.76420713551518227</v>
      </c>
      <c r="AH1635" s="8">
        <f t="shared" si="441"/>
        <v>0.22852227822342547</v>
      </c>
      <c r="AI1635" s="8">
        <f t="shared" si="442"/>
        <v>0.60312935791856059</v>
      </c>
      <c r="AJ1635" s="8"/>
      <c r="AK1635" s="8"/>
      <c r="AL1635" s="8"/>
      <c r="AN1635" s="8">
        <f t="shared" si="435"/>
        <v>0.99999999999999989</v>
      </c>
      <c r="AO1635" s="8">
        <f t="shared" si="436"/>
        <v>0.29056835261764252</v>
      </c>
      <c r="AP1635" s="8">
        <f t="shared" si="437"/>
        <v>0.92337775564915103</v>
      </c>
      <c r="AQ1635" s="8"/>
      <c r="AR1635" s="8">
        <f t="shared" si="438"/>
        <v>16.648340265060003</v>
      </c>
      <c r="AS1635" s="8">
        <f t="shared" si="439"/>
        <v>37.09435170504144</v>
      </c>
    </row>
    <row r="1636" spans="1:45">
      <c r="A1636" s="20">
        <v>58.32493333</v>
      </c>
      <c r="B1636" s="20">
        <v>1813.4978410000001</v>
      </c>
      <c r="C1636" s="20">
        <v>-447.19485889999999</v>
      </c>
      <c r="E1636" s="9">
        <f t="shared" si="428"/>
        <v>853.49784100000011</v>
      </c>
      <c r="F1636" s="9">
        <f t="shared" si="443"/>
        <v>92.805141100000014</v>
      </c>
      <c r="I1636">
        <v>1</v>
      </c>
      <c r="J1636">
        <f t="shared" si="429"/>
        <v>0.51969896416002392</v>
      </c>
      <c r="K1636">
        <f t="shared" si="430"/>
        <v>0.10830954085331364</v>
      </c>
      <c r="O1636">
        <f t="shared" si="431"/>
        <v>0.49370880992434685</v>
      </c>
      <c r="P1636">
        <f t="shared" si="432"/>
        <v>5.3683458312745846E-2</v>
      </c>
      <c r="Q1636">
        <f t="shared" si="433"/>
        <v>0.86796871908304907</v>
      </c>
      <c r="R1636">
        <f t="shared" si="434"/>
        <v>1</v>
      </c>
      <c r="AG1636" s="8">
        <f t="shared" si="440"/>
        <v>0.76424996726277361</v>
      </c>
      <c r="AH1636" s="8">
        <f t="shared" si="441"/>
        <v>0.22876650805767218</v>
      </c>
      <c r="AI1636" s="8">
        <f t="shared" si="442"/>
        <v>0.60298248094778728</v>
      </c>
      <c r="AJ1636" s="8"/>
      <c r="AK1636" s="8"/>
      <c r="AL1636" s="8"/>
      <c r="AN1636" s="8">
        <f t="shared" si="435"/>
        <v>1.0000000000000002</v>
      </c>
      <c r="AO1636" s="8">
        <f t="shared" si="436"/>
        <v>0.29084628383164951</v>
      </c>
      <c r="AP1636" s="8">
        <f t="shared" si="437"/>
        <v>0.92356188147492957</v>
      </c>
      <c r="AQ1636" s="8"/>
      <c r="AR1636" s="8">
        <f t="shared" si="438"/>
        <v>16.664264550617549</v>
      </c>
      <c r="AS1636" s="8">
        <f t="shared" si="439"/>
        <v>37.083802072324964</v>
      </c>
    </row>
    <row r="1637" spans="1:45">
      <c r="A1637" s="20">
        <v>58.3583</v>
      </c>
      <c r="B1637" s="20">
        <v>1813.7446769999999</v>
      </c>
      <c r="C1637" s="20">
        <v>-447.26709679999999</v>
      </c>
      <c r="E1637" s="9">
        <f t="shared" si="428"/>
        <v>853.74467699999991</v>
      </c>
      <c r="F1637" s="9">
        <f t="shared" si="443"/>
        <v>92.73290320000001</v>
      </c>
      <c r="I1637">
        <v>1</v>
      </c>
      <c r="J1637">
        <f t="shared" si="429"/>
        <v>0.51981931692087346</v>
      </c>
      <c r="K1637">
        <f t="shared" si="430"/>
        <v>0.10819484483972347</v>
      </c>
      <c r="O1637">
        <f t="shared" si="431"/>
        <v>0.49381881198243449</v>
      </c>
      <c r="P1637">
        <f t="shared" si="432"/>
        <v>5.3638111397450172E-2</v>
      </c>
      <c r="Q1637">
        <f t="shared" si="433"/>
        <v>0.86790894334484869</v>
      </c>
      <c r="R1637">
        <f t="shared" si="434"/>
        <v>1</v>
      </c>
      <c r="AG1637" s="8">
        <f t="shared" si="440"/>
        <v>0.7642693005830844</v>
      </c>
      <c r="AH1637" s="8">
        <f t="shared" si="441"/>
        <v>0.22887967302552192</v>
      </c>
      <c r="AI1637" s="8">
        <f t="shared" si="442"/>
        <v>0.60291502839286837</v>
      </c>
      <c r="AJ1637" s="8"/>
      <c r="AK1637" s="8"/>
      <c r="AL1637" s="8"/>
      <c r="AN1637" s="8">
        <f t="shared" si="435"/>
        <v>1.0000000000000002</v>
      </c>
      <c r="AO1637" s="8">
        <f t="shared" si="436"/>
        <v>0.29097522270572973</v>
      </c>
      <c r="AP1637" s="8">
        <f t="shared" si="437"/>
        <v>0.92364643180436579</v>
      </c>
      <c r="AQ1637" s="8"/>
      <c r="AR1637" s="8">
        <f t="shared" si="438"/>
        <v>16.671652203917517</v>
      </c>
      <c r="AS1637" s="8">
        <f t="shared" si="439"/>
        <v>37.078957695291827</v>
      </c>
    </row>
    <row r="1638" spans="1:45">
      <c r="A1638" s="20">
        <v>58.391666669999999</v>
      </c>
      <c r="B1638" s="20">
        <v>1814.0888560000001</v>
      </c>
      <c r="C1638" s="20">
        <v>-447.45577850000001</v>
      </c>
      <c r="E1638" s="9">
        <f t="shared" si="428"/>
        <v>854.08885600000008</v>
      </c>
      <c r="F1638" s="9">
        <f t="shared" si="443"/>
        <v>92.544221499999992</v>
      </c>
      <c r="I1638">
        <v>1</v>
      </c>
      <c r="J1638">
        <f t="shared" si="429"/>
        <v>0.51998231403691964</v>
      </c>
      <c r="K1638">
        <f t="shared" si="430"/>
        <v>0.10793323695489099</v>
      </c>
      <c r="O1638">
        <f t="shared" si="431"/>
        <v>0.49397346411685911</v>
      </c>
      <c r="P1638">
        <f t="shared" si="432"/>
        <v>5.3524161282761079E-2</v>
      </c>
      <c r="Q1638">
        <f t="shared" si="433"/>
        <v>0.86782796734569867</v>
      </c>
      <c r="R1638">
        <f t="shared" si="434"/>
        <v>1</v>
      </c>
      <c r="AG1638" s="8">
        <f t="shared" si="440"/>
        <v>0.7643287532624784</v>
      </c>
      <c r="AH1638" s="8">
        <f t="shared" si="441"/>
        <v>0.22902944753339</v>
      </c>
      <c r="AI1638" s="8">
        <f t="shared" si="442"/>
        <v>0.60278277106995648</v>
      </c>
      <c r="AJ1638" s="8"/>
      <c r="AK1638" s="8"/>
      <c r="AL1638" s="8"/>
      <c r="AN1638" s="8">
        <f t="shared" si="435"/>
        <v>1</v>
      </c>
      <c r="AO1638" s="8">
        <f t="shared" si="436"/>
        <v>0.29113366567789828</v>
      </c>
      <c r="AP1638" s="8">
        <f t="shared" si="437"/>
        <v>0.92381219784039303</v>
      </c>
      <c r="AQ1638" s="8"/>
      <c r="AR1638" s="8">
        <f t="shared" si="438"/>
        <v>16.680730317516282</v>
      </c>
      <c r="AS1638" s="8">
        <f t="shared" si="439"/>
        <v>37.069460001040852</v>
      </c>
    </row>
    <row r="1639" spans="1:45">
      <c r="A1639" s="20">
        <v>58.425033329999998</v>
      </c>
      <c r="B1639" s="20">
        <v>1814.8425139999999</v>
      </c>
      <c r="C1639" s="20">
        <v>-447.73967340000002</v>
      </c>
      <c r="E1639" s="9">
        <f t="shared" si="428"/>
        <v>854.84251399999994</v>
      </c>
      <c r="F1639" s="9">
        <f t="shared" si="443"/>
        <v>92.260326599999985</v>
      </c>
      <c r="I1639">
        <v>1</v>
      </c>
      <c r="J1639">
        <f t="shared" si="429"/>
        <v>0.52034624966528553</v>
      </c>
      <c r="K1639">
        <f t="shared" si="430"/>
        <v>0.10751054920942245</v>
      </c>
      <c r="O1639">
        <f t="shared" si="431"/>
        <v>0.49431002126411211</v>
      </c>
      <c r="P1639">
        <f t="shared" si="432"/>
        <v>5.3349246506333596E-2</v>
      </c>
      <c r="Q1639">
        <f t="shared" si="433"/>
        <v>0.86764708307875937</v>
      </c>
      <c r="R1639">
        <f t="shared" si="434"/>
        <v>1</v>
      </c>
      <c r="AG1639" s="8">
        <f t="shared" si="440"/>
        <v>0.76441101125196531</v>
      </c>
      <c r="AH1639" s="8">
        <f t="shared" si="441"/>
        <v>0.22936902032917014</v>
      </c>
      <c r="AI1639" s="8">
        <f t="shared" si="442"/>
        <v>0.60254929955148451</v>
      </c>
      <c r="AJ1639" s="8"/>
      <c r="AK1639" s="8"/>
      <c r="AL1639" s="8"/>
      <c r="AN1639" s="8">
        <f t="shared" si="435"/>
        <v>1</v>
      </c>
      <c r="AO1639" s="8">
        <f t="shared" si="436"/>
        <v>0.29151166217104252</v>
      </c>
      <c r="AP1639" s="8">
        <f t="shared" si="437"/>
        <v>0.9241047710460133</v>
      </c>
      <c r="AQ1639" s="8"/>
      <c r="AR1639" s="8">
        <f t="shared" si="438"/>
        <v>16.702387921244192</v>
      </c>
      <c r="AS1639" s="8">
        <f t="shared" si="439"/>
        <v>37.052696791160201</v>
      </c>
    </row>
    <row r="1640" spans="1:45">
      <c r="A1640" s="20">
        <v>58.458399999999997</v>
      </c>
      <c r="B1640" s="20">
        <v>1814.916915</v>
      </c>
      <c r="C1640" s="20">
        <v>-447.90512940000002</v>
      </c>
      <c r="E1640" s="9">
        <f t="shared" si="428"/>
        <v>854.91691500000002</v>
      </c>
      <c r="F1640" s="9">
        <f t="shared" si="443"/>
        <v>92.094870599999979</v>
      </c>
      <c r="I1640">
        <v>1</v>
      </c>
      <c r="J1640">
        <f t="shared" si="429"/>
        <v>0.52037471688870485</v>
      </c>
      <c r="K1640">
        <f t="shared" si="430"/>
        <v>0.10730995423243531</v>
      </c>
      <c r="O1640">
        <f t="shared" si="431"/>
        <v>0.49434527013663487</v>
      </c>
      <c r="P1640">
        <f t="shared" si="432"/>
        <v>5.325273472329814E-2</v>
      </c>
      <c r="Q1640">
        <f t="shared" si="433"/>
        <v>0.86763292937625847</v>
      </c>
      <c r="R1640">
        <f t="shared" si="434"/>
        <v>1</v>
      </c>
      <c r="AG1640" s="8">
        <f t="shared" si="440"/>
        <v>0.76446991149553378</v>
      </c>
      <c r="AH1640" s="8">
        <f t="shared" si="441"/>
        <v>0.22939005467047624</v>
      </c>
      <c r="AI1640" s="8">
        <f t="shared" si="442"/>
        <v>0.60246656109388064</v>
      </c>
      <c r="AJ1640" s="8"/>
      <c r="AK1640" s="8"/>
      <c r="AL1640" s="8"/>
      <c r="AN1640" s="8">
        <f t="shared" si="435"/>
        <v>1</v>
      </c>
      <c r="AO1640" s="8">
        <f t="shared" si="436"/>
        <v>0.2915156952239561</v>
      </c>
      <c r="AP1640" s="8">
        <f t="shared" si="437"/>
        <v>0.92420843865766955</v>
      </c>
      <c r="AQ1640" s="8"/>
      <c r="AR1640" s="8">
        <f t="shared" si="438"/>
        <v>16.702618998154694</v>
      </c>
      <c r="AS1640" s="8">
        <f t="shared" si="439"/>
        <v>37.046757074540096</v>
      </c>
    </row>
    <row r="1641" spans="1:45">
      <c r="A1641" s="20">
        <v>58.491766669999997</v>
      </c>
      <c r="B1641" s="20">
        <v>1815.541553</v>
      </c>
      <c r="C1641" s="20">
        <v>-448.45848749999999</v>
      </c>
      <c r="E1641" s="9">
        <f t="shared" si="428"/>
        <v>855.54155300000002</v>
      </c>
      <c r="F1641" s="9">
        <f t="shared" si="443"/>
        <v>91.54151250000001</v>
      </c>
      <c r="I1641">
        <v>1</v>
      </c>
      <c r="J1641">
        <f t="shared" si="429"/>
        <v>0.52065916294328196</v>
      </c>
      <c r="K1641">
        <f t="shared" si="430"/>
        <v>0.10659277792082181</v>
      </c>
      <c r="O1641">
        <f t="shared" si="431"/>
        <v>0.49462870864555381</v>
      </c>
      <c r="P1641">
        <f t="shared" si="432"/>
        <v>5.2924442952609958E-2</v>
      </c>
      <c r="Q1641">
        <f t="shared" si="433"/>
        <v>0.8674914661953671</v>
      </c>
      <c r="R1641">
        <f t="shared" si="434"/>
        <v>1</v>
      </c>
      <c r="AG1641" s="8">
        <f t="shared" si="440"/>
        <v>0.76465541766466949</v>
      </c>
      <c r="AH1641" s="8">
        <f t="shared" si="441"/>
        <v>0.22964246248608328</v>
      </c>
      <c r="AI1641" s="8">
        <f t="shared" si="442"/>
        <v>0.60213489490262695</v>
      </c>
      <c r="AJ1641" s="8"/>
      <c r="AK1641" s="8"/>
      <c r="AL1641" s="8"/>
      <c r="AN1641" s="8">
        <f t="shared" si="435"/>
        <v>0.99999999999999989</v>
      </c>
      <c r="AO1641" s="8">
        <f t="shared" si="436"/>
        <v>0.29175172306437275</v>
      </c>
      <c r="AP1641" s="8">
        <f t="shared" si="437"/>
        <v>0.92462392026107532</v>
      </c>
      <c r="AQ1641" s="8"/>
      <c r="AR1641" s="8">
        <f t="shared" si="438"/>
        <v>16.716142397258157</v>
      </c>
      <c r="AS1641" s="8">
        <f t="shared" si="439"/>
        <v>37.022951732199616</v>
      </c>
    </row>
    <row r="1642" spans="1:45">
      <c r="A1642" s="20">
        <v>58.525133330000003</v>
      </c>
      <c r="B1642" s="20">
        <v>1816.8711020000001</v>
      </c>
      <c r="C1642" s="20">
        <v>-449.06444909999999</v>
      </c>
      <c r="E1642" s="9">
        <f t="shared" si="428"/>
        <v>856.87110200000006</v>
      </c>
      <c r="F1642" s="9">
        <f t="shared" si="443"/>
        <v>90.93555090000001</v>
      </c>
      <c r="I1642">
        <v>1</v>
      </c>
      <c r="J1642">
        <f t="shared" si="429"/>
        <v>0.52129547412987676</v>
      </c>
      <c r="K1642">
        <f t="shared" si="430"/>
        <v>0.10572938071398015</v>
      </c>
      <c r="O1642">
        <f t="shared" si="431"/>
        <v>0.49522303101875603</v>
      </c>
      <c r="P1642">
        <f t="shared" si="432"/>
        <v>5.2555604966659696E-2</v>
      </c>
      <c r="Q1642">
        <f t="shared" si="433"/>
        <v>0.86717475628340601</v>
      </c>
      <c r="R1642">
        <f t="shared" si="434"/>
        <v>1</v>
      </c>
      <c r="AG1642" s="8">
        <f t="shared" si="440"/>
        <v>0.76483853075887542</v>
      </c>
      <c r="AH1642" s="8">
        <f t="shared" si="441"/>
        <v>0.23023124131191194</v>
      </c>
      <c r="AI1642" s="8">
        <f t="shared" si="442"/>
        <v>0.6016773199901928</v>
      </c>
      <c r="AJ1642" s="8"/>
      <c r="AK1642" s="8"/>
      <c r="AL1642" s="8"/>
      <c r="AN1642" s="8">
        <f t="shared" si="435"/>
        <v>0.99999999999999989</v>
      </c>
      <c r="AO1642" s="8">
        <f t="shared" si="436"/>
        <v>0.29239176805721417</v>
      </c>
      <c r="AP1642" s="8">
        <f t="shared" si="437"/>
        <v>0.9251969153970343</v>
      </c>
      <c r="AQ1642" s="8"/>
      <c r="AR1642" s="8">
        <f t="shared" si="438"/>
        <v>16.75281427404645</v>
      </c>
      <c r="AS1642" s="8">
        <f t="shared" si="439"/>
        <v>36.990121529227643</v>
      </c>
    </row>
    <row r="1643" spans="1:45">
      <c r="A1643" s="20">
        <v>58.558500000000002</v>
      </c>
      <c r="B1643" s="20">
        <v>1816.812848</v>
      </c>
      <c r="C1643" s="20">
        <v>-448.9984935</v>
      </c>
      <c r="E1643" s="9">
        <f t="shared" si="428"/>
        <v>856.81284800000003</v>
      </c>
      <c r="F1643" s="9">
        <f t="shared" si="443"/>
        <v>91.001506500000005</v>
      </c>
      <c r="I1643">
        <v>1</v>
      </c>
      <c r="J1643">
        <f t="shared" si="429"/>
        <v>0.52126970120858984</v>
      </c>
      <c r="K1643">
        <f t="shared" si="430"/>
        <v>0.10581263550633165</v>
      </c>
      <c r="O1643">
        <f t="shared" si="431"/>
        <v>0.49519642900531574</v>
      </c>
      <c r="P1643">
        <f t="shared" si="432"/>
        <v>5.2594473995217252E-2</v>
      </c>
      <c r="Q1643">
        <f t="shared" si="433"/>
        <v>0.867187591012204</v>
      </c>
      <c r="R1643">
        <f t="shared" si="434"/>
        <v>1</v>
      </c>
      <c r="AG1643" s="8">
        <f t="shared" si="440"/>
        <v>0.76481597616056207</v>
      </c>
      <c r="AH1643" s="8">
        <f t="shared" si="441"/>
        <v>0.230209034356022</v>
      </c>
      <c r="AI1643" s="8">
        <f t="shared" si="442"/>
        <v>0.60171448637242753</v>
      </c>
      <c r="AJ1643" s="8"/>
      <c r="AK1643" s="8"/>
      <c r="AL1643" s="8"/>
      <c r="AN1643" s="8">
        <f t="shared" si="435"/>
        <v>0.99999999999999978</v>
      </c>
      <c r="AO1643" s="8">
        <f t="shared" si="436"/>
        <v>0.29237328425783166</v>
      </c>
      <c r="AP1643" s="8">
        <f t="shared" si="437"/>
        <v>0.92515038327374943</v>
      </c>
      <c r="AQ1643" s="8"/>
      <c r="AR1643" s="8">
        <f t="shared" si="438"/>
        <v>16.751755230352465</v>
      </c>
      <c r="AS1643" s="8">
        <f t="shared" si="439"/>
        <v>36.992787623503645</v>
      </c>
    </row>
    <row r="1644" spans="1:45">
      <c r="A1644" s="20">
        <v>58.591866670000002</v>
      </c>
      <c r="B1644" s="20">
        <v>1817.2266959999999</v>
      </c>
      <c r="C1644" s="20">
        <v>-449.32837000000001</v>
      </c>
      <c r="E1644" s="9">
        <f t="shared" si="428"/>
        <v>857.22669599999995</v>
      </c>
      <c r="F1644" s="9">
        <f t="shared" si="443"/>
        <v>90.671629999999993</v>
      </c>
      <c r="I1644">
        <v>1</v>
      </c>
      <c r="J1644">
        <f t="shared" si="429"/>
        <v>0.52146021633779205</v>
      </c>
      <c r="K1644">
        <f t="shared" si="430"/>
        <v>0.10538138669962889</v>
      </c>
      <c r="O1644">
        <f t="shared" si="431"/>
        <v>0.4953833511167533</v>
      </c>
      <c r="P1644">
        <f t="shared" si="432"/>
        <v>5.2398293392181453E-2</v>
      </c>
      <c r="Q1644">
        <f t="shared" si="433"/>
        <v>0.86709270224464607</v>
      </c>
      <c r="R1644">
        <f t="shared" si="434"/>
        <v>1</v>
      </c>
      <c r="AG1644" s="8">
        <f t="shared" si="440"/>
        <v>0.76492498811695597</v>
      </c>
      <c r="AH1644" s="8">
        <f t="shared" si="441"/>
        <v>0.23037936836918002</v>
      </c>
      <c r="AI1644" s="8">
        <f t="shared" si="442"/>
        <v>0.60151068916860706</v>
      </c>
      <c r="AJ1644" s="8"/>
      <c r="AK1644" s="8"/>
      <c r="AL1644" s="8"/>
      <c r="AN1644" s="8">
        <f t="shared" si="435"/>
        <v>1.0000000000000002</v>
      </c>
      <c r="AO1644" s="8">
        <f t="shared" si="436"/>
        <v>0.29253812496760545</v>
      </c>
      <c r="AP1644" s="8">
        <f t="shared" si="437"/>
        <v>0.92540551630188062</v>
      </c>
      <c r="AQ1644" s="8"/>
      <c r="AR1644" s="8">
        <f t="shared" si="438"/>
        <v>16.761199907314445</v>
      </c>
      <c r="AS1644" s="8">
        <f t="shared" si="439"/>
        <v>36.978169577777336</v>
      </c>
    </row>
    <row r="1645" spans="1:45">
      <c r="A1645" s="20">
        <v>58.62523333</v>
      </c>
      <c r="B1645" s="20">
        <v>1817.2159899999999</v>
      </c>
      <c r="C1645" s="20">
        <v>-449.18541590000001</v>
      </c>
      <c r="E1645" s="9">
        <f t="shared" si="428"/>
        <v>857.21598999999992</v>
      </c>
      <c r="F1645" s="9">
        <f t="shared" si="443"/>
        <v>90.81458409999999</v>
      </c>
      <c r="I1645">
        <v>1</v>
      </c>
      <c r="J1645">
        <f t="shared" si="429"/>
        <v>0.52146244203019543</v>
      </c>
      <c r="K1645">
        <f t="shared" si="430"/>
        <v>0.10554761061850765</v>
      </c>
      <c r="O1645">
        <f t="shared" si="431"/>
        <v>0.49537655356396626</v>
      </c>
      <c r="P1645">
        <f t="shared" si="432"/>
        <v>5.2480840546153325E-2</v>
      </c>
      <c r="Q1645">
        <f t="shared" si="433"/>
        <v>0.86709159352092446</v>
      </c>
      <c r="R1645">
        <f t="shared" si="434"/>
        <v>1</v>
      </c>
      <c r="AG1645" s="8">
        <f t="shared" si="440"/>
        <v>0.76487257099882899</v>
      </c>
      <c r="AH1645" s="8">
        <f t="shared" si="441"/>
        <v>0.23038717054855443</v>
      </c>
      <c r="AI1645" s="8">
        <f t="shared" si="442"/>
        <v>0.60157435266164117</v>
      </c>
      <c r="AJ1645" s="8"/>
      <c r="AK1645" s="8"/>
      <c r="AL1645" s="8"/>
      <c r="AN1645" s="8">
        <f t="shared" si="435"/>
        <v>1</v>
      </c>
      <c r="AO1645" s="8">
        <f t="shared" si="436"/>
        <v>0.29256640045276983</v>
      </c>
      <c r="AP1645" s="8">
        <f t="shared" si="437"/>
        <v>0.92532582145594</v>
      </c>
      <c r="AQ1645" s="8"/>
      <c r="AR1645" s="8">
        <f t="shared" si="438"/>
        <v>16.762819973278049</v>
      </c>
      <c r="AS1645" s="8">
        <f t="shared" si="439"/>
        <v>36.982735756098684</v>
      </c>
    </row>
    <row r="1646" spans="1:45">
      <c r="A1646" s="20">
        <v>58.6586</v>
      </c>
      <c r="B1646" s="20">
        <v>1817.2406539999999</v>
      </c>
      <c r="C1646" s="20">
        <v>-449.72572300000002</v>
      </c>
      <c r="E1646" s="9">
        <f t="shared" si="428"/>
        <v>857.24065399999995</v>
      </c>
      <c r="F1646" s="9">
        <f t="shared" si="443"/>
        <v>90.274276999999984</v>
      </c>
      <c r="I1646">
        <v>1</v>
      </c>
      <c r="J1646">
        <f t="shared" si="429"/>
        <v>0.52144614839244785</v>
      </c>
      <c r="K1646">
        <f t="shared" si="430"/>
        <v>0.10492126406646432</v>
      </c>
      <c r="O1646">
        <f t="shared" si="431"/>
        <v>0.49539527713562764</v>
      </c>
      <c r="P1646">
        <f t="shared" si="432"/>
        <v>5.2169073251434266E-2</v>
      </c>
      <c r="Q1646">
        <f t="shared" si="433"/>
        <v>0.8670997100609602</v>
      </c>
      <c r="R1646">
        <f t="shared" si="434"/>
        <v>1</v>
      </c>
      <c r="AG1646" s="8">
        <f t="shared" si="440"/>
        <v>0.76507114617602801</v>
      </c>
      <c r="AH1646" s="8">
        <f t="shared" si="441"/>
        <v>0.23035002759410486</v>
      </c>
      <c r="AI1646" s="8">
        <f t="shared" si="442"/>
        <v>0.60133601761103095</v>
      </c>
      <c r="AJ1646" s="8"/>
      <c r="AK1646" s="8"/>
      <c r="AL1646" s="8"/>
      <c r="AN1646" s="8">
        <f t="shared" si="435"/>
        <v>1.0000000000000002</v>
      </c>
      <c r="AO1646" s="8">
        <f t="shared" si="436"/>
        <v>0.29245020991448595</v>
      </c>
      <c r="AP1646" s="8">
        <f t="shared" si="437"/>
        <v>0.92562414803226467</v>
      </c>
      <c r="AQ1646" s="8"/>
      <c r="AR1646" s="8">
        <f t="shared" si="438"/>
        <v>16.756162745815029</v>
      </c>
      <c r="AS1646" s="8">
        <f t="shared" si="439"/>
        <v>36.965642902358688</v>
      </c>
    </row>
    <row r="1647" spans="1:45">
      <c r="A1647" s="20">
        <v>58.691966669999999</v>
      </c>
      <c r="B1647" s="20">
        <v>1818.3584619999999</v>
      </c>
      <c r="C1647" s="20">
        <v>-449.7262374</v>
      </c>
      <c r="E1647" s="9">
        <f t="shared" si="428"/>
        <v>858.35846199999992</v>
      </c>
      <c r="F1647" s="9">
        <f t="shared" si="443"/>
        <v>90.273762599999998</v>
      </c>
      <c r="I1647">
        <v>1</v>
      </c>
      <c r="J1647">
        <f t="shared" si="429"/>
        <v>0.52200800567950145</v>
      </c>
      <c r="K1647">
        <f t="shared" si="430"/>
        <v>0.10478503493580672</v>
      </c>
      <c r="O1647">
        <f t="shared" si="431"/>
        <v>0.49588681537336787</v>
      </c>
      <c r="P1647">
        <f t="shared" si="432"/>
        <v>5.2152533736523524E-2</v>
      </c>
      <c r="Q1647">
        <f t="shared" si="433"/>
        <v>0.86681969264877701</v>
      </c>
      <c r="R1647">
        <f t="shared" si="434"/>
        <v>1</v>
      </c>
      <c r="AG1647" s="8">
        <f t="shared" si="440"/>
        <v>0.76503675681071537</v>
      </c>
      <c r="AH1647" s="8">
        <f t="shared" si="441"/>
        <v>0.23089070882877805</v>
      </c>
      <c r="AI1647" s="8">
        <f t="shared" si="442"/>
        <v>0.60117238900758485</v>
      </c>
      <c r="AJ1647" s="8"/>
      <c r="AK1647" s="8"/>
      <c r="AL1647" s="8"/>
      <c r="AN1647" s="8">
        <f t="shared" si="435"/>
        <v>1.0000000000000002</v>
      </c>
      <c r="AO1647" s="8">
        <f t="shared" si="436"/>
        <v>0.2931104849532809</v>
      </c>
      <c r="AP1647" s="8">
        <f t="shared" si="437"/>
        <v>0.92582892496112013</v>
      </c>
      <c r="AQ1647" s="8"/>
      <c r="AR1647" s="8">
        <f t="shared" si="438"/>
        <v>16.793993718855816</v>
      </c>
      <c r="AS1647" s="8">
        <f t="shared" si="439"/>
        <v>36.95391004859362</v>
      </c>
    </row>
    <row r="1648" spans="1:45">
      <c r="A1648" s="20">
        <v>58.725333329999998</v>
      </c>
      <c r="B1648" s="20">
        <v>1818.9824980000001</v>
      </c>
      <c r="C1648" s="20">
        <v>-449.89072429999999</v>
      </c>
      <c r="E1648" s="9">
        <f t="shared" si="428"/>
        <v>858.98249800000008</v>
      </c>
      <c r="F1648" s="9">
        <f t="shared" si="443"/>
        <v>90.109275700000012</v>
      </c>
      <c r="I1648">
        <v>1</v>
      </c>
      <c r="J1648">
        <f t="shared" si="429"/>
        <v>0.52231286015192824</v>
      </c>
      <c r="K1648">
        <f t="shared" si="430"/>
        <v>0.10452006350273274</v>
      </c>
      <c r="O1648">
        <f t="shared" si="431"/>
        <v>0.49616340560954308</v>
      </c>
      <c r="P1648">
        <f t="shared" si="432"/>
        <v>5.2048703218538966E-2</v>
      </c>
      <c r="Q1648">
        <f t="shared" si="433"/>
        <v>0.8666676453100165</v>
      </c>
      <c r="R1648">
        <f t="shared" si="434"/>
        <v>1</v>
      </c>
      <c r="AG1648" s="8">
        <f t="shared" si="440"/>
        <v>0.76507799430212431</v>
      </c>
      <c r="AH1648" s="8">
        <f t="shared" si="441"/>
        <v>0.23117746404279541</v>
      </c>
      <c r="AI1648" s="8">
        <f t="shared" si="442"/>
        <v>0.60100968607284599</v>
      </c>
      <c r="AJ1648" s="8"/>
      <c r="AK1648" s="8"/>
      <c r="AL1648" s="8"/>
      <c r="AN1648" s="8">
        <f t="shared" si="435"/>
        <v>1.0000000000000002</v>
      </c>
      <c r="AO1648" s="8">
        <f t="shared" si="436"/>
        <v>0.29343905918613949</v>
      </c>
      <c r="AP1648" s="8">
        <f t="shared" si="437"/>
        <v>0.92603251216532489</v>
      </c>
      <c r="AQ1648" s="8"/>
      <c r="AR1648" s="8">
        <f t="shared" si="438"/>
        <v>16.812819635655362</v>
      </c>
      <c r="AS1648" s="8">
        <f t="shared" si="439"/>
        <v>36.942245361029819</v>
      </c>
    </row>
    <row r="1649" spans="1:45">
      <c r="A1649" s="20">
        <v>58.758699999999997</v>
      </c>
      <c r="B1649" s="20">
        <v>1819.301854</v>
      </c>
      <c r="C1649" s="20">
        <v>-450.05169310000002</v>
      </c>
      <c r="E1649" s="9">
        <f t="shared" si="428"/>
        <v>859.30185400000005</v>
      </c>
      <c r="F1649" s="9">
        <f t="shared" si="443"/>
        <v>89.948306899999977</v>
      </c>
      <c r="I1649">
        <v>1</v>
      </c>
      <c r="J1649">
        <f t="shared" si="429"/>
        <v>0.52246480425939745</v>
      </c>
      <c r="K1649">
        <f t="shared" si="430"/>
        <v>0.10429620997130633</v>
      </c>
      <c r="O1649">
        <f t="shared" si="431"/>
        <v>0.49630600821157328</v>
      </c>
      <c r="P1649">
        <f t="shared" si="432"/>
        <v>5.1951342750074528E-2</v>
      </c>
      <c r="Q1649">
        <f t="shared" si="433"/>
        <v>0.86659183252530025</v>
      </c>
      <c r="R1649">
        <f t="shared" si="434"/>
        <v>1</v>
      </c>
      <c r="AG1649" s="8">
        <f t="shared" si="440"/>
        <v>0.76512736292699401</v>
      </c>
      <c r="AH1649" s="8">
        <f t="shared" si="441"/>
        <v>0.23131719316406482</v>
      </c>
      <c r="AI1649" s="8">
        <f t="shared" si="442"/>
        <v>0.60089306423612743</v>
      </c>
      <c r="AJ1649" s="8"/>
      <c r="AK1649" s="8"/>
      <c r="AL1649" s="8"/>
      <c r="AN1649" s="8">
        <f t="shared" si="435"/>
        <v>1</v>
      </c>
      <c r="AO1649" s="8">
        <f t="shared" si="436"/>
        <v>0.29358853034684412</v>
      </c>
      <c r="AP1649" s="8">
        <f t="shared" si="437"/>
        <v>0.92617841975998205</v>
      </c>
      <c r="AQ1649" s="8"/>
      <c r="AR1649" s="8">
        <f t="shared" si="438"/>
        <v>16.82138370232266</v>
      </c>
      <c r="AS1649" s="8">
        <f t="shared" si="439"/>
        <v>36.933885471657064</v>
      </c>
    </row>
    <row r="1650" spans="1:45">
      <c r="A1650" s="20">
        <v>58.792066669999997</v>
      </c>
      <c r="B1650" s="20">
        <v>1819.846231</v>
      </c>
      <c r="C1650" s="20">
        <v>-450.3592304</v>
      </c>
      <c r="E1650" s="9">
        <f t="shared" si="428"/>
        <v>859.84623099999999</v>
      </c>
      <c r="F1650" s="9">
        <f t="shared" si="443"/>
        <v>89.640769599999999</v>
      </c>
      <c r="I1650">
        <v>1</v>
      </c>
      <c r="J1650">
        <f t="shared" si="429"/>
        <v>0.52272206400100873</v>
      </c>
      <c r="K1650">
        <f t="shared" si="430"/>
        <v>0.10387684947540556</v>
      </c>
      <c r="O1650">
        <f t="shared" si="431"/>
        <v>0.49654947195481719</v>
      </c>
      <c r="P1650">
        <f t="shared" si="432"/>
        <v>5.1766321937280708E-2</v>
      </c>
      <c r="Q1650">
        <f t="shared" si="433"/>
        <v>0.86646342670333065</v>
      </c>
      <c r="R1650">
        <f t="shared" si="434"/>
        <v>1</v>
      </c>
      <c r="AG1650" s="8">
        <f t="shared" si="440"/>
        <v>0.76522364831277123</v>
      </c>
      <c r="AH1650" s="8">
        <f t="shared" si="441"/>
        <v>0.23155229276903225</v>
      </c>
      <c r="AI1650" s="8">
        <f t="shared" si="442"/>
        <v>0.60067986796320771</v>
      </c>
      <c r="AJ1650" s="8"/>
      <c r="AK1650" s="8"/>
      <c r="AL1650" s="8"/>
      <c r="AN1650" s="8">
        <f t="shared" si="435"/>
        <v>1</v>
      </c>
      <c r="AO1650" s="8">
        <f t="shared" si="436"/>
        <v>0.29383515783543201</v>
      </c>
      <c r="AP1650" s="8">
        <f t="shared" si="437"/>
        <v>0.92644511194010792</v>
      </c>
      <c r="AQ1650" s="8"/>
      <c r="AR1650" s="8">
        <f t="shared" si="438"/>
        <v>16.835514416530657</v>
      </c>
      <c r="AS1650" s="8">
        <f t="shared" si="439"/>
        <v>36.918605135306706</v>
      </c>
    </row>
    <row r="1651" spans="1:45">
      <c r="A1651" s="20">
        <v>58.825433330000003</v>
      </c>
      <c r="B1651" s="20">
        <v>1820.0732740000001</v>
      </c>
      <c r="C1651" s="20">
        <v>-450.3827867</v>
      </c>
      <c r="E1651" s="9">
        <f t="shared" si="428"/>
        <v>860.07327400000008</v>
      </c>
      <c r="F1651" s="9">
        <f t="shared" si="443"/>
        <v>89.617213300000003</v>
      </c>
      <c r="I1651">
        <v>1</v>
      </c>
      <c r="J1651">
        <f t="shared" si="429"/>
        <v>0.52283483452015378</v>
      </c>
      <c r="K1651">
        <f t="shared" si="430"/>
        <v>0.1038225302485306</v>
      </c>
      <c r="O1651">
        <f t="shared" si="431"/>
        <v>0.49664946535254179</v>
      </c>
      <c r="P1651">
        <f t="shared" si="432"/>
        <v>5.1749475791558766E-2</v>
      </c>
      <c r="Q1651">
        <f t="shared" si="433"/>
        <v>0.86640712157757183</v>
      </c>
      <c r="R1651">
        <f t="shared" si="434"/>
        <v>1</v>
      </c>
      <c r="AG1651" s="8">
        <f t="shared" si="440"/>
        <v>0.76522519995111937</v>
      </c>
      <c r="AH1651" s="8">
        <f t="shared" si="441"/>
        <v>0.23165982554387751</v>
      </c>
      <c r="AI1651" s="8">
        <f t="shared" si="442"/>
        <v>0.60063642795683791</v>
      </c>
      <c r="AJ1651" s="8"/>
      <c r="AK1651" s="8"/>
      <c r="AL1651" s="8"/>
      <c r="AN1651" s="8">
        <f t="shared" si="435"/>
        <v>1.0000000000000002</v>
      </c>
      <c r="AO1651" s="8">
        <f t="shared" si="436"/>
        <v>0.29396332755152377</v>
      </c>
      <c r="AP1651" s="8">
        <f t="shared" si="437"/>
        <v>0.92649944550138774</v>
      </c>
      <c r="AQ1651" s="8"/>
      <c r="AR1651" s="8">
        <f t="shared" si="438"/>
        <v>16.842858000324103</v>
      </c>
      <c r="AS1651" s="8">
        <f t="shared" si="439"/>
        <v>36.915492051559454</v>
      </c>
    </row>
    <row r="1652" spans="1:45">
      <c r="A1652" s="20">
        <v>58.858800000000002</v>
      </c>
      <c r="B1652" s="20">
        <v>1820.93273</v>
      </c>
      <c r="C1652" s="20">
        <v>-450.83365209999999</v>
      </c>
      <c r="E1652" s="9">
        <f t="shared" si="428"/>
        <v>860.93272999999999</v>
      </c>
      <c r="F1652" s="9">
        <f t="shared" si="443"/>
        <v>89.166347900000005</v>
      </c>
      <c r="I1652">
        <v>1</v>
      </c>
      <c r="J1652">
        <f t="shared" si="429"/>
        <v>0.52324276234158018</v>
      </c>
      <c r="K1652">
        <f t="shared" si="430"/>
        <v>0.10320151948999287</v>
      </c>
      <c r="O1652">
        <f t="shared" si="431"/>
        <v>0.49703301634776631</v>
      </c>
      <c r="P1652">
        <f t="shared" si="432"/>
        <v>5.1477446854008353E-2</v>
      </c>
      <c r="Q1652">
        <f t="shared" si="433"/>
        <v>0.8662033555266534</v>
      </c>
      <c r="R1652">
        <f t="shared" si="434"/>
        <v>1</v>
      </c>
      <c r="AG1652" s="8">
        <f t="shared" si="440"/>
        <v>0.76536416983160915</v>
      </c>
      <c r="AH1652" s="8">
        <f t="shared" si="441"/>
        <v>0.23203389515952558</v>
      </c>
      <c r="AI1652" s="8">
        <f t="shared" si="442"/>
        <v>0.60031488323634785</v>
      </c>
      <c r="AJ1652" s="8"/>
      <c r="AK1652" s="8"/>
      <c r="AL1652" s="8"/>
      <c r="AN1652" s="8">
        <f t="shared" si="435"/>
        <v>1</v>
      </c>
      <c r="AO1652" s="8">
        <f t="shared" si="436"/>
        <v>0.29436064107944698</v>
      </c>
      <c r="AP1652" s="8">
        <f t="shared" si="437"/>
        <v>0.92690155583229661</v>
      </c>
      <c r="AQ1652" s="8"/>
      <c r="AR1652" s="8">
        <f t="shared" si="438"/>
        <v>16.865622388617556</v>
      </c>
      <c r="AS1652" s="8">
        <f t="shared" si="439"/>
        <v>36.892452826699767</v>
      </c>
    </row>
    <row r="1653" spans="1:45">
      <c r="A1653" s="20">
        <v>58.892166670000002</v>
      </c>
      <c r="B1653" s="20">
        <v>1821.411777</v>
      </c>
      <c r="C1653" s="20">
        <v>-451.08025750000002</v>
      </c>
      <c r="E1653" s="9">
        <f t="shared" si="428"/>
        <v>861.41177700000003</v>
      </c>
      <c r="F1653" s="9">
        <f t="shared" si="443"/>
        <v>88.919742499999984</v>
      </c>
      <c r="I1653">
        <v>1</v>
      </c>
      <c r="J1653">
        <f t="shared" si="429"/>
        <v>0.52347036937031322</v>
      </c>
      <c r="K1653">
        <f t="shared" si="430"/>
        <v>0.1028612796118519</v>
      </c>
      <c r="O1653">
        <f t="shared" si="431"/>
        <v>0.49724660128522552</v>
      </c>
      <c r="P1653">
        <f t="shared" si="432"/>
        <v>5.1328575863297504E-2</v>
      </c>
      <c r="Q1653">
        <f t="shared" si="433"/>
        <v>0.86608959975867261</v>
      </c>
      <c r="R1653">
        <f t="shared" si="434"/>
        <v>1</v>
      </c>
      <c r="AG1653" s="8">
        <f t="shared" si="440"/>
        <v>0.76543978504482713</v>
      </c>
      <c r="AH1653" s="8">
        <f t="shared" si="441"/>
        <v>0.23224272139626936</v>
      </c>
      <c r="AI1653" s="8">
        <f t="shared" si="442"/>
        <v>0.60013769572405939</v>
      </c>
      <c r="AJ1653" s="8"/>
      <c r="AK1653" s="8"/>
      <c r="AL1653" s="8"/>
      <c r="AN1653" s="8">
        <f t="shared" si="435"/>
        <v>1</v>
      </c>
      <c r="AO1653" s="8">
        <f t="shared" si="436"/>
        <v>0.29458305238936844</v>
      </c>
      <c r="AP1653" s="8">
        <f t="shared" si="437"/>
        <v>0.92712308723481263</v>
      </c>
      <c r="AQ1653" s="8"/>
      <c r="AR1653" s="8">
        <f t="shared" si="438"/>
        <v>16.878365617992031</v>
      </c>
      <c r="AS1653" s="8">
        <f t="shared" si="439"/>
        <v>36.879760012305987</v>
      </c>
    </row>
    <row r="1654" spans="1:45">
      <c r="A1654" s="20">
        <v>58.92553333</v>
      </c>
      <c r="B1654" s="20">
        <v>1821.093705</v>
      </c>
      <c r="C1654" s="20">
        <v>-451.03351500000002</v>
      </c>
      <c r="E1654" s="9">
        <f t="shared" si="428"/>
        <v>861.093705</v>
      </c>
      <c r="F1654" s="9">
        <f t="shared" si="443"/>
        <v>88.966484999999977</v>
      </c>
      <c r="I1654">
        <v>1</v>
      </c>
      <c r="J1654">
        <f t="shared" si="429"/>
        <v>0.52331317609214334</v>
      </c>
      <c r="K1654">
        <f t="shared" si="430"/>
        <v>0.10295271675359595</v>
      </c>
      <c r="O1654">
        <f t="shared" si="431"/>
        <v>0.4971064771351616</v>
      </c>
      <c r="P1654">
        <f t="shared" si="432"/>
        <v>5.1360050229897092E-2</v>
      </c>
      <c r="Q1654">
        <f t="shared" si="433"/>
        <v>0.86616816821599452</v>
      </c>
      <c r="R1654">
        <f t="shared" si="434"/>
        <v>1</v>
      </c>
      <c r="AG1654" s="8">
        <f t="shared" si="440"/>
        <v>0.76543265971017482</v>
      </c>
      <c r="AH1654" s="8">
        <f t="shared" si="441"/>
        <v>0.23209345196677547</v>
      </c>
      <c r="AI1654" s="8">
        <f t="shared" si="442"/>
        <v>0.60020452597689877</v>
      </c>
      <c r="AJ1654" s="8"/>
      <c r="AK1654" s="8"/>
      <c r="AL1654" s="8"/>
      <c r="AN1654" s="8">
        <f t="shared" si="435"/>
        <v>1</v>
      </c>
      <c r="AO1654" s="8">
        <f t="shared" si="436"/>
        <v>0.29440705536269929</v>
      </c>
      <c r="AP1654" s="8">
        <f t="shared" si="437"/>
        <v>0.92703953601272326</v>
      </c>
      <c r="AQ1654" s="8"/>
      <c r="AR1654" s="8">
        <f t="shared" si="438"/>
        <v>16.86828173115704</v>
      </c>
      <c r="AS1654" s="8">
        <f t="shared" si="439"/>
        <v>36.884547144704868</v>
      </c>
    </row>
    <row r="1655" spans="1:45">
      <c r="A1655" s="20">
        <v>58.9589</v>
      </c>
      <c r="B1655" s="20">
        <v>1821.8442299999999</v>
      </c>
      <c r="C1655" s="20">
        <v>-451.41401280000002</v>
      </c>
      <c r="E1655" s="9">
        <f t="shared" si="428"/>
        <v>861.84422999999992</v>
      </c>
      <c r="F1655" s="9">
        <f t="shared" si="443"/>
        <v>88.585987199999977</v>
      </c>
      <c r="I1655">
        <v>1</v>
      </c>
      <c r="J1655">
        <f t="shared" si="429"/>
        <v>0.52367009693153976</v>
      </c>
      <c r="K1655">
        <f t="shared" si="430"/>
        <v>0.10242683591581006</v>
      </c>
      <c r="O1655">
        <f t="shared" si="431"/>
        <v>0.49744091917330541</v>
      </c>
      <c r="P1655">
        <f t="shared" si="432"/>
        <v>5.1130231386062257E-2</v>
      </c>
      <c r="Q1655">
        <f t="shared" si="433"/>
        <v>0.86598974091522862</v>
      </c>
      <c r="R1655">
        <f t="shared" si="434"/>
        <v>1</v>
      </c>
      <c r="AG1655" s="8">
        <f t="shared" si="440"/>
        <v>0.76554887147491313</v>
      </c>
      <c r="AH1655" s="8">
        <f t="shared" si="441"/>
        <v>0.23242108283381352</v>
      </c>
      <c r="AI1655" s="8">
        <f t="shared" si="442"/>
        <v>0.59992946721914275</v>
      </c>
      <c r="AJ1655" s="8"/>
      <c r="AK1655" s="8"/>
      <c r="AL1655" s="8"/>
      <c r="AN1655" s="8">
        <f t="shared" si="435"/>
        <v>1</v>
      </c>
      <c r="AO1655" s="8">
        <f t="shared" si="436"/>
        <v>0.2947567983539866</v>
      </c>
      <c r="AP1655" s="8">
        <f t="shared" si="437"/>
        <v>0.92738338106302598</v>
      </c>
      <c r="AQ1655" s="8"/>
      <c r="AR1655" s="8">
        <f t="shared" si="438"/>
        <v>16.888320528472082</v>
      </c>
      <c r="AS1655" s="8">
        <f t="shared" si="439"/>
        <v>36.864846274516061</v>
      </c>
    </row>
    <row r="1656" spans="1:45">
      <c r="A1656" s="20">
        <v>58.992266669999999</v>
      </c>
      <c r="B1656" s="20">
        <v>1822.718261</v>
      </c>
      <c r="C1656" s="20">
        <v>-451.76139369999999</v>
      </c>
      <c r="E1656" s="9">
        <f t="shared" si="428"/>
        <v>862.71826099999998</v>
      </c>
      <c r="F1656" s="9">
        <f t="shared" si="443"/>
        <v>88.238606300000015</v>
      </c>
      <c r="I1656">
        <v>1</v>
      </c>
      <c r="J1656">
        <f t="shared" si="429"/>
        <v>0.52409062990127642</v>
      </c>
      <c r="K1656">
        <f t="shared" si="430"/>
        <v>0.10192531549408475</v>
      </c>
      <c r="O1656">
        <f t="shared" si="431"/>
        <v>0.4978287426677952</v>
      </c>
      <c r="P1656">
        <f t="shared" si="432"/>
        <v>5.0917798329862408E-2</v>
      </c>
      <c r="Q1656">
        <f t="shared" si="433"/>
        <v>0.86577937188815113</v>
      </c>
      <c r="R1656">
        <f t="shared" si="434"/>
        <v>0.99999999999999989</v>
      </c>
      <c r="AG1656" s="8">
        <f t="shared" si="440"/>
        <v>0.76564875200198146</v>
      </c>
      <c r="AH1656" s="8">
        <f t="shared" si="441"/>
        <v>0.2328110978044283</v>
      </c>
      <c r="AI1656" s="8">
        <f t="shared" si="442"/>
        <v>0.59965071608137444</v>
      </c>
      <c r="AJ1656" s="8"/>
      <c r="AK1656" s="8"/>
      <c r="AL1656" s="8"/>
      <c r="AN1656" s="8">
        <f t="shared" si="435"/>
        <v>0.99999999999999978</v>
      </c>
      <c r="AO1656" s="8">
        <f t="shared" si="436"/>
        <v>0.29518688099775836</v>
      </c>
      <c r="AP1656" s="8">
        <f t="shared" si="437"/>
        <v>0.92773175145321418</v>
      </c>
      <c r="AQ1656" s="8"/>
      <c r="AR1656" s="8">
        <f t="shared" si="438"/>
        <v>16.912962448802034</v>
      </c>
      <c r="AS1656" s="8">
        <f t="shared" si="439"/>
        <v>36.844886121450948</v>
      </c>
    </row>
    <row r="1657" spans="1:45">
      <c r="A1657" s="20">
        <v>59.025633329999998</v>
      </c>
      <c r="B1657" s="20">
        <v>1822.6588489999999</v>
      </c>
      <c r="C1657" s="20">
        <v>-451.78361330000001</v>
      </c>
      <c r="E1657" s="9">
        <f t="shared" ref="E1657:E1720" si="444">(B1657-($B$15/2))</f>
        <v>862.65884899999992</v>
      </c>
      <c r="F1657" s="9">
        <f t="shared" si="443"/>
        <v>88.216386699999987</v>
      </c>
      <c r="I1657">
        <v>1</v>
      </c>
      <c r="J1657">
        <f t="shared" ref="J1657:J1720" si="445">ATAN((SQRT(E1657^2+F1657^2)^$B$16)/($F$24))</f>
        <v>0.52405969612069114</v>
      </c>
      <c r="K1657">
        <f t="shared" ref="K1657:K1720" si="446">ATAN2(E1657,F1657)</f>
        <v>0.10190679616818142</v>
      </c>
      <c r="O1657">
        <f t="shared" ref="O1657:O1720" si="447">COS(K1657)*SIN(J1657)</f>
        <v>0.49780304242269546</v>
      </c>
      <c r="P1657">
        <f t="shared" ref="P1657:P1720" si="448">SIN(K1657)*SIN(J1657)</f>
        <v>5.0905854315066557E-2</v>
      </c>
      <c r="Q1657">
        <f t="shared" ref="Q1657:Q1720" si="449">COS(J1657)</f>
        <v>0.86579485153883962</v>
      </c>
      <c r="R1657">
        <f t="shared" ref="R1657:R1720" si="450">SQRT(O1657^2+P1657^2+Q1657^2)</f>
        <v>1</v>
      </c>
      <c r="AG1657" s="8">
        <f t="shared" si="440"/>
        <v>0.76565882685651887</v>
      </c>
      <c r="AH1657" s="8">
        <f t="shared" si="441"/>
        <v>0.23278043252810909</v>
      </c>
      <c r="AI1657" s="8">
        <f t="shared" si="442"/>
        <v>0.59964975701548129</v>
      </c>
      <c r="AJ1657" s="8"/>
      <c r="AK1657" s="8"/>
      <c r="AL1657" s="8"/>
      <c r="AN1657" s="8">
        <f t="shared" ref="AN1657:AN1720" si="451">AG1657^2+AH1657^2+AI1657^2</f>
        <v>1</v>
      </c>
      <c r="AO1657" s="8">
        <f t="shared" ref="AO1657:AO1720" si="452">IF(ATAN2(AG1657,AH1657)&gt;=0,ATAN2(AG1657,AH1657),ATAN2(AG1657,AH1657)+2*PI())</f>
        <v>0.29514655685910707</v>
      </c>
      <c r="AP1657" s="8">
        <f t="shared" ref="AP1657:AP1720" si="453">ACOS(AI1657/AN1657)</f>
        <v>0.92773294989278743</v>
      </c>
      <c r="AQ1657" s="8"/>
      <c r="AR1657" s="8">
        <f t="shared" ref="AR1657:AR1720" si="454">DEGREES(AO1657)</f>
        <v>16.910652045844813</v>
      </c>
      <c r="AS1657" s="8">
        <f t="shared" ref="AS1657:AS1720" si="455">90-DEGREES(AP1657)</f>
        <v>36.844817455921401</v>
      </c>
    </row>
    <row r="1658" spans="1:45">
      <c r="A1658" s="20">
        <v>59.058999999999997</v>
      </c>
      <c r="B1658" s="20">
        <v>1823.638111</v>
      </c>
      <c r="C1658" s="20">
        <v>-452.42864279999998</v>
      </c>
      <c r="E1658" s="9">
        <f t="shared" si="444"/>
        <v>863.63811099999998</v>
      </c>
      <c r="F1658" s="9">
        <f t="shared" si="443"/>
        <v>87.571357200000023</v>
      </c>
      <c r="I1658">
        <v>1</v>
      </c>
      <c r="J1658">
        <f t="shared" si="445"/>
        <v>0.52451775119049004</v>
      </c>
      <c r="K1658">
        <f t="shared" si="446"/>
        <v>0.10105282478387861</v>
      </c>
      <c r="O1658">
        <f t="shared" si="447"/>
        <v>0.49824083936531144</v>
      </c>
      <c r="P1658">
        <f t="shared" si="448"/>
        <v>5.0520728485646371E-2</v>
      </c>
      <c r="Q1658">
        <f t="shared" si="449"/>
        <v>0.86556555036682781</v>
      </c>
      <c r="R1658">
        <f t="shared" si="450"/>
        <v>1</v>
      </c>
      <c r="AG1658" s="8">
        <f t="shared" si="440"/>
        <v>0.76586449856641392</v>
      </c>
      <c r="AH1658" s="8">
        <f t="shared" si="441"/>
        <v>0.23319390563348774</v>
      </c>
      <c r="AI1658" s="8">
        <f t="shared" si="442"/>
        <v>0.59922631134740356</v>
      </c>
      <c r="AJ1658" s="8"/>
      <c r="AK1658" s="8"/>
      <c r="AL1658" s="8"/>
      <c r="AN1658" s="8">
        <f t="shared" si="451"/>
        <v>1</v>
      </c>
      <c r="AO1658" s="8">
        <f t="shared" si="452"/>
        <v>0.2955659636289637</v>
      </c>
      <c r="AP1658" s="8">
        <f t="shared" si="453"/>
        <v>0.92826197848329239</v>
      </c>
      <c r="AQ1658" s="8"/>
      <c r="AR1658" s="8">
        <f t="shared" si="454"/>
        <v>16.934682283656812</v>
      </c>
      <c r="AS1658" s="8">
        <f t="shared" si="455"/>
        <v>36.814506350443715</v>
      </c>
    </row>
    <row r="1659" spans="1:45">
      <c r="A1659" s="20">
        <v>59.092366669999997</v>
      </c>
      <c r="B1659" s="20">
        <v>1823.8056309999999</v>
      </c>
      <c r="C1659" s="20">
        <v>-452.54520339999999</v>
      </c>
      <c r="E1659" s="9">
        <f t="shared" si="444"/>
        <v>863.80563099999995</v>
      </c>
      <c r="F1659" s="9">
        <f t="shared" si="443"/>
        <v>87.454796600000009</v>
      </c>
      <c r="I1659">
        <v>1</v>
      </c>
      <c r="J1659">
        <f t="shared" si="445"/>
        <v>0.52459580210035717</v>
      </c>
      <c r="K1659">
        <f t="shared" si="446"/>
        <v>0.10089979292996842</v>
      </c>
      <c r="O1659">
        <f t="shared" si="447"/>
        <v>0.4983157778675531</v>
      </c>
      <c r="P1659">
        <f t="shared" si="448"/>
        <v>5.0451286067128738E-2</v>
      </c>
      <c r="Q1659">
        <f t="shared" si="449"/>
        <v>0.86552646017463164</v>
      </c>
      <c r="R1659">
        <f t="shared" si="450"/>
        <v>1</v>
      </c>
      <c r="AG1659" s="8">
        <f t="shared" si="440"/>
        <v>0.76590192634858645</v>
      </c>
      <c r="AH1659" s="8">
        <f t="shared" si="441"/>
        <v>0.23326404239270668</v>
      </c>
      <c r="AI1659" s="8">
        <f t="shared" si="442"/>
        <v>0.59915117102625937</v>
      </c>
      <c r="AJ1659" s="8"/>
      <c r="AK1659" s="8"/>
      <c r="AL1659" s="8"/>
      <c r="AN1659" s="8">
        <f t="shared" si="451"/>
        <v>1</v>
      </c>
      <c r="AO1659" s="8">
        <f t="shared" si="452"/>
        <v>0.29563614963341356</v>
      </c>
      <c r="AP1659" s="8">
        <f t="shared" si="453"/>
        <v>0.92835583257894494</v>
      </c>
      <c r="AQ1659" s="8"/>
      <c r="AR1659" s="8">
        <f t="shared" si="454"/>
        <v>16.938703645492676</v>
      </c>
      <c r="AS1659" s="8">
        <f t="shared" si="455"/>
        <v>36.8091289068728</v>
      </c>
    </row>
    <row r="1660" spans="1:45">
      <c r="A1660" s="20">
        <v>59.125733330000003</v>
      </c>
      <c r="B1660" s="20">
        <v>1824.6453349999999</v>
      </c>
      <c r="C1660" s="20">
        <v>-452.99449650000003</v>
      </c>
      <c r="E1660" s="9">
        <f t="shared" si="444"/>
        <v>864.64533499999993</v>
      </c>
      <c r="F1660" s="9">
        <f t="shared" si="443"/>
        <v>87.005503499999975</v>
      </c>
      <c r="I1660">
        <v>1</v>
      </c>
      <c r="J1660">
        <f t="shared" si="445"/>
        <v>0.5249938866213143</v>
      </c>
      <c r="K1660">
        <f t="shared" si="446"/>
        <v>0.10028807480697909</v>
      </c>
      <c r="O1660">
        <f t="shared" si="447"/>
        <v>0.4986893285357506</v>
      </c>
      <c r="P1660">
        <f t="shared" si="448"/>
        <v>5.0180940511672205E-2</v>
      </c>
      <c r="Q1660">
        <f t="shared" si="449"/>
        <v>0.86532700571167098</v>
      </c>
      <c r="R1660">
        <f t="shared" si="450"/>
        <v>1</v>
      </c>
      <c r="AG1660" s="8">
        <f t="shared" si="440"/>
        <v>0.76603977646814536</v>
      </c>
      <c r="AH1660" s="8">
        <f t="shared" si="441"/>
        <v>0.23362773189477179</v>
      </c>
      <c r="AI1660" s="8">
        <f t="shared" si="442"/>
        <v>0.59883315185311725</v>
      </c>
      <c r="AJ1660" s="8"/>
      <c r="AK1660" s="8"/>
      <c r="AL1660" s="8"/>
      <c r="AN1660" s="8">
        <f t="shared" si="451"/>
        <v>1</v>
      </c>
      <c r="AO1660" s="8">
        <f t="shared" si="452"/>
        <v>0.29602041634667259</v>
      </c>
      <c r="AP1660" s="8">
        <f t="shared" si="453"/>
        <v>0.92875298179843357</v>
      </c>
      <c r="AQ1660" s="8"/>
      <c r="AR1660" s="8">
        <f t="shared" si="454"/>
        <v>16.960720506369782</v>
      </c>
      <c r="AS1660" s="8">
        <f t="shared" si="455"/>
        <v>36.78637393275919</v>
      </c>
    </row>
    <row r="1661" spans="1:45">
      <c r="A1661" s="20">
        <v>59.159100000000002</v>
      </c>
      <c r="B1661" s="20">
        <v>1825.144327</v>
      </c>
      <c r="C1661" s="20">
        <v>-453.15772620000001</v>
      </c>
      <c r="E1661" s="9">
        <f t="shared" si="444"/>
        <v>865.14432699999998</v>
      </c>
      <c r="F1661" s="9">
        <f t="shared" si="443"/>
        <v>86.842273799999987</v>
      </c>
      <c r="I1661">
        <v>1</v>
      </c>
      <c r="J1661">
        <f t="shared" si="445"/>
        <v>0.52523565364617519</v>
      </c>
      <c r="K1661">
        <f t="shared" si="446"/>
        <v>0.10004383030261552</v>
      </c>
      <c r="O1661">
        <f t="shared" si="447"/>
        <v>0.49890971695671477</v>
      </c>
      <c r="P1661">
        <f t="shared" si="448"/>
        <v>5.0080030451884958E-2</v>
      </c>
      <c r="Q1661">
        <f t="shared" si="449"/>
        <v>0.8652058049251109</v>
      </c>
      <c r="R1661">
        <f t="shared" si="450"/>
        <v>1</v>
      </c>
      <c r="AG1661" s="8">
        <f t="shared" si="440"/>
        <v>0.76608347392986798</v>
      </c>
      <c r="AH1661" s="8">
        <f t="shared" si="441"/>
        <v>0.2338531718471144</v>
      </c>
      <c r="AI1661" s="8">
        <f t="shared" si="442"/>
        <v>0.59868923907866367</v>
      </c>
      <c r="AJ1661" s="8"/>
      <c r="AK1661" s="8"/>
      <c r="AL1661" s="8"/>
      <c r="AN1661" s="8">
        <f t="shared" si="451"/>
        <v>1</v>
      </c>
      <c r="AO1661" s="8">
        <f t="shared" si="452"/>
        <v>0.29627371459766838</v>
      </c>
      <c r="AP1661" s="8">
        <f t="shared" si="453"/>
        <v>0.92893266442369127</v>
      </c>
      <c r="AQ1661" s="8"/>
      <c r="AR1661" s="8">
        <f t="shared" si="454"/>
        <v>16.975233427109888</v>
      </c>
      <c r="AS1661" s="8">
        <f t="shared" si="455"/>
        <v>36.776078876680096</v>
      </c>
    </row>
    <row r="1662" spans="1:45">
      <c r="A1662" s="20">
        <v>59.192466670000002</v>
      </c>
      <c r="B1662" s="20">
        <v>1825.2483259999999</v>
      </c>
      <c r="C1662" s="20">
        <v>-452.9525213</v>
      </c>
      <c r="E1662" s="9">
        <f t="shared" si="444"/>
        <v>865.24832599999991</v>
      </c>
      <c r="F1662" s="9">
        <f t="shared" si="443"/>
        <v>87.047478699999999</v>
      </c>
      <c r="I1662">
        <v>1</v>
      </c>
      <c r="J1662">
        <f t="shared" si="445"/>
        <v>0.52529807535325412</v>
      </c>
      <c r="K1662">
        <f t="shared" si="446"/>
        <v>0.10026667777801211</v>
      </c>
      <c r="O1662">
        <f t="shared" si="447"/>
        <v>0.49895227975865308</v>
      </c>
      <c r="P1662">
        <f t="shared" si="448"/>
        <v>5.0196615976588199E-2</v>
      </c>
      <c r="Q1662">
        <f t="shared" si="449"/>
        <v>0.86517450394018303</v>
      </c>
      <c r="R1662">
        <f t="shared" si="450"/>
        <v>1</v>
      </c>
      <c r="AG1662" s="8">
        <f t="shared" si="440"/>
        <v>0.76600472918240048</v>
      </c>
      <c r="AH1662" s="8">
        <f t="shared" si="441"/>
        <v>0.23392187078493717</v>
      </c>
      <c r="AI1662" s="8">
        <f t="shared" si="442"/>
        <v>0.59876315287321458</v>
      </c>
      <c r="AJ1662" s="8"/>
      <c r="AK1662" s="8"/>
      <c r="AL1662" s="8"/>
      <c r="AN1662" s="8">
        <f t="shared" si="451"/>
        <v>1</v>
      </c>
      <c r="AO1662" s="8">
        <f t="shared" si="452"/>
        <v>0.29638445636966665</v>
      </c>
      <c r="AP1662" s="8">
        <f t="shared" si="453"/>
        <v>0.92884038220047638</v>
      </c>
      <c r="AQ1662" s="8"/>
      <c r="AR1662" s="8">
        <f t="shared" si="454"/>
        <v>16.981578463261187</v>
      </c>
      <c r="AS1662" s="8">
        <f t="shared" si="455"/>
        <v>36.781366258594389</v>
      </c>
    </row>
    <row r="1663" spans="1:45">
      <c r="A1663" s="20">
        <v>59.22583333</v>
      </c>
      <c r="B1663" s="20">
        <v>1825.7700580000001</v>
      </c>
      <c r="C1663" s="20">
        <v>-453.30813019999999</v>
      </c>
      <c r="E1663" s="9">
        <f t="shared" si="444"/>
        <v>865.77005800000006</v>
      </c>
      <c r="F1663" s="9">
        <f t="shared" si="443"/>
        <v>86.691869800000006</v>
      </c>
      <c r="I1663">
        <v>1</v>
      </c>
      <c r="J1663">
        <f t="shared" si="445"/>
        <v>0.52554149100489822</v>
      </c>
      <c r="K1663">
        <f t="shared" si="446"/>
        <v>9.9800009815297186E-2</v>
      </c>
      <c r="O1663">
        <f t="shared" si="447"/>
        <v>0.49918518490344477</v>
      </c>
      <c r="P1663">
        <f t="shared" si="448"/>
        <v>4.9984746707119727E-2</v>
      </c>
      <c r="Q1663">
        <f t="shared" si="449"/>
        <v>0.86505241244073683</v>
      </c>
      <c r="R1663">
        <f t="shared" si="450"/>
        <v>1</v>
      </c>
      <c r="AG1663" s="8">
        <f t="shared" si="440"/>
        <v>0.76611824732209888</v>
      </c>
      <c r="AH1663" s="8">
        <f t="shared" si="441"/>
        <v>0.23414068901200896</v>
      </c>
      <c r="AI1663" s="8">
        <f t="shared" si="442"/>
        <v>0.59853234571666802</v>
      </c>
      <c r="AJ1663" s="8"/>
      <c r="AK1663" s="8"/>
      <c r="AL1663" s="8"/>
      <c r="AN1663" s="8">
        <f t="shared" si="451"/>
        <v>1</v>
      </c>
      <c r="AO1663" s="8">
        <f t="shared" si="452"/>
        <v>0.29660430805248278</v>
      </c>
      <c r="AP1663" s="8">
        <f t="shared" si="453"/>
        <v>0.92912852650057476</v>
      </c>
      <c r="AQ1663" s="8"/>
      <c r="AR1663" s="8">
        <f t="shared" si="454"/>
        <v>16.994175036805402</v>
      </c>
      <c r="AS1663" s="8">
        <f t="shared" si="455"/>
        <v>36.764856806308003</v>
      </c>
    </row>
    <row r="1664" spans="1:45">
      <c r="A1664" s="20">
        <v>59.2592</v>
      </c>
      <c r="B1664" s="20">
        <v>1826.154853</v>
      </c>
      <c r="C1664" s="20">
        <v>-453.65052450000002</v>
      </c>
      <c r="E1664" s="9">
        <f t="shared" si="444"/>
        <v>866.154853</v>
      </c>
      <c r="F1664" s="9">
        <f t="shared" si="443"/>
        <v>86.349475499999983</v>
      </c>
      <c r="I1664">
        <v>1</v>
      </c>
      <c r="J1664">
        <f t="shared" si="445"/>
        <v>0.52571703509763312</v>
      </c>
      <c r="K1664">
        <f t="shared" si="446"/>
        <v>9.9364568251000887E-2</v>
      </c>
      <c r="O1664">
        <f t="shared" si="447"/>
        <v>0.49935800112345863</v>
      </c>
      <c r="P1664">
        <f t="shared" si="448"/>
        <v>4.9782439403752952E-2</v>
      </c>
      <c r="Q1664">
        <f t="shared" si="449"/>
        <v>0.86496433188946908</v>
      </c>
      <c r="R1664">
        <f t="shared" si="450"/>
        <v>1</v>
      </c>
      <c r="AG1664" s="8">
        <f t="shared" si="440"/>
        <v>0.76623129734338358</v>
      </c>
      <c r="AH1664" s="8">
        <f t="shared" si="441"/>
        <v>0.23429474330163191</v>
      </c>
      <c r="AI1664" s="8">
        <f t="shared" si="442"/>
        <v>0.5983273119561715</v>
      </c>
      <c r="AJ1664" s="8"/>
      <c r="AK1664" s="8"/>
      <c r="AL1664" s="8"/>
      <c r="AN1664" s="8">
        <f t="shared" si="451"/>
        <v>1.0000000000000002</v>
      </c>
      <c r="AO1664" s="8">
        <f t="shared" si="452"/>
        <v>0.29674694210836045</v>
      </c>
      <c r="AP1664" s="8">
        <f t="shared" si="453"/>
        <v>0.92938444275432996</v>
      </c>
      <c r="AQ1664" s="8"/>
      <c r="AR1664" s="8">
        <f t="shared" si="454"/>
        <v>17.002347366222025</v>
      </c>
      <c r="AS1664" s="8">
        <f t="shared" si="455"/>
        <v>36.750193885059034</v>
      </c>
    </row>
    <row r="1665" spans="1:45">
      <c r="A1665" s="20">
        <v>59.292566669999999</v>
      </c>
      <c r="B1665" s="20">
        <v>1826.7684959999999</v>
      </c>
      <c r="C1665" s="20">
        <v>-453.75494880000002</v>
      </c>
      <c r="E1665" s="9">
        <f t="shared" si="444"/>
        <v>866.76849599999991</v>
      </c>
      <c r="F1665" s="9">
        <f t="shared" si="443"/>
        <v>86.245051199999978</v>
      </c>
      <c r="I1665">
        <v>1</v>
      </c>
      <c r="J1665">
        <f t="shared" si="445"/>
        <v>0.5260190161414291</v>
      </c>
      <c r="K1665">
        <f t="shared" si="446"/>
        <v>9.9175390191340571E-2</v>
      </c>
      <c r="O1665">
        <f t="shared" si="447"/>
        <v>0.49962730648026293</v>
      </c>
      <c r="P1665">
        <f t="shared" si="448"/>
        <v>4.9713831117724844E-2</v>
      </c>
      <c r="Q1665">
        <f t="shared" si="449"/>
        <v>0.86481274829576593</v>
      </c>
      <c r="R1665">
        <f t="shared" si="450"/>
        <v>1</v>
      </c>
      <c r="AG1665" s="8">
        <f t="shared" si="440"/>
        <v>0.76624942183053601</v>
      </c>
      <c r="AH1665" s="8">
        <f t="shared" si="441"/>
        <v>0.23458042299945281</v>
      </c>
      <c r="AI1665" s="8">
        <f t="shared" si="442"/>
        <v>0.59819215030771455</v>
      </c>
      <c r="AJ1665" s="8"/>
      <c r="AK1665" s="8"/>
      <c r="AL1665" s="8"/>
      <c r="AN1665" s="8">
        <f t="shared" si="451"/>
        <v>1.0000000000000002</v>
      </c>
      <c r="AO1665" s="8">
        <f t="shared" si="452"/>
        <v>0.29708124389446061</v>
      </c>
      <c r="AP1665" s="8">
        <f t="shared" si="453"/>
        <v>0.92955312024034631</v>
      </c>
      <c r="AQ1665" s="8"/>
      <c r="AR1665" s="8">
        <f t="shared" si="454"/>
        <v>17.02150144764925</v>
      </c>
      <c r="AS1665" s="8">
        <f t="shared" si="455"/>
        <v>36.74052937701142</v>
      </c>
    </row>
    <row r="1666" spans="1:45">
      <c r="A1666" s="20">
        <v>59.325933329999998</v>
      </c>
      <c r="B1666" s="20">
        <v>1827.145649</v>
      </c>
      <c r="C1666" s="20">
        <v>-453.8297101</v>
      </c>
      <c r="E1666" s="9">
        <f t="shared" si="444"/>
        <v>867.14564900000005</v>
      </c>
      <c r="F1666" s="9">
        <f t="shared" si="443"/>
        <v>86.1702899</v>
      </c>
      <c r="I1666">
        <v>1</v>
      </c>
      <c r="J1666">
        <f t="shared" si="445"/>
        <v>0.52620404762431738</v>
      </c>
      <c r="K1666">
        <f t="shared" si="446"/>
        <v>9.9047165707579807E-2</v>
      </c>
      <c r="O1666">
        <f t="shared" si="447"/>
        <v>0.49979290166263624</v>
      </c>
      <c r="P1666">
        <f t="shared" si="448"/>
        <v>4.966558879226015E-2</v>
      </c>
      <c r="Q1666">
        <f t="shared" si="449"/>
        <v>0.86471983019794374</v>
      </c>
      <c r="R1666">
        <f t="shared" si="450"/>
        <v>1</v>
      </c>
      <c r="AG1666" s="8">
        <f t="shared" si="440"/>
        <v>0.7662644015609259</v>
      </c>
      <c r="AH1666" s="8">
        <f t="shared" si="441"/>
        <v>0.2347549843964257</v>
      </c>
      <c r="AI1666" s="8">
        <f t="shared" si="442"/>
        <v>0.59810447599187067</v>
      </c>
      <c r="AJ1666" s="8"/>
      <c r="AK1666" s="8"/>
      <c r="AL1666" s="8"/>
      <c r="AN1666" s="8">
        <f t="shared" si="451"/>
        <v>1.0000000000000002</v>
      </c>
      <c r="AO1666" s="8">
        <f t="shared" si="452"/>
        <v>0.29728404652373253</v>
      </c>
      <c r="AP1666" s="8">
        <f t="shared" si="453"/>
        <v>0.92966252367281921</v>
      </c>
      <c r="AQ1666" s="8"/>
      <c r="AR1666" s="8">
        <f t="shared" si="454"/>
        <v>17.033121182380686</v>
      </c>
      <c r="AS1666" s="8">
        <f t="shared" si="455"/>
        <v>36.734261022066477</v>
      </c>
    </row>
    <row r="1667" spans="1:45">
      <c r="A1667" s="20">
        <v>59.359299999999998</v>
      </c>
      <c r="B1667" s="20">
        <v>1827.876201</v>
      </c>
      <c r="C1667" s="20">
        <v>-454.29101070000002</v>
      </c>
      <c r="E1667" s="9">
        <f t="shared" si="444"/>
        <v>867.87620100000004</v>
      </c>
      <c r="F1667" s="9">
        <f t="shared" si="443"/>
        <v>85.708989299999985</v>
      </c>
      <c r="I1667">
        <v>1</v>
      </c>
      <c r="J1667">
        <f t="shared" si="445"/>
        <v>0.5265467022921122</v>
      </c>
      <c r="K1667">
        <f t="shared" si="446"/>
        <v>9.8437967541064514E-2</v>
      </c>
      <c r="O1667">
        <f t="shared" si="447"/>
        <v>0.50011790162095848</v>
      </c>
      <c r="P1667">
        <f t="shared" si="448"/>
        <v>4.9390223892968779E-2</v>
      </c>
      <c r="Q1667">
        <f t="shared" si="449"/>
        <v>0.86454767957704437</v>
      </c>
      <c r="R1667">
        <f t="shared" si="450"/>
        <v>1</v>
      </c>
      <c r="AG1667" s="8">
        <f t="shared" si="440"/>
        <v>0.76640936943110782</v>
      </c>
      <c r="AH1667" s="8">
        <f t="shared" si="441"/>
        <v>0.23506424910891266</v>
      </c>
      <c r="AI1667" s="8">
        <f t="shared" si="442"/>
        <v>0.59779718737969556</v>
      </c>
      <c r="AJ1667" s="8"/>
      <c r="AK1667" s="8"/>
      <c r="AL1667" s="8"/>
      <c r="AN1667" s="8">
        <f t="shared" si="451"/>
        <v>1</v>
      </c>
      <c r="AO1667" s="8">
        <f t="shared" si="452"/>
        <v>0.29759993898489256</v>
      </c>
      <c r="AP1667" s="8">
        <f t="shared" si="453"/>
        <v>0.93004589990340847</v>
      </c>
      <c r="AQ1667" s="8"/>
      <c r="AR1667" s="8">
        <f t="shared" si="454"/>
        <v>17.051220487185155</v>
      </c>
      <c r="AS1667" s="8">
        <f t="shared" si="455"/>
        <v>36.712295182088077</v>
      </c>
    </row>
    <row r="1668" spans="1:45">
      <c r="A1668" s="20">
        <v>59.392666669999997</v>
      </c>
      <c r="B1668" s="20">
        <v>1828.210744</v>
      </c>
      <c r="C1668" s="20">
        <v>-454.60569550000002</v>
      </c>
      <c r="E1668" s="9">
        <f t="shared" si="444"/>
        <v>868.21074399999998</v>
      </c>
      <c r="F1668" s="9">
        <f t="shared" si="443"/>
        <v>85.394304499999976</v>
      </c>
      <c r="I1668">
        <v>1</v>
      </c>
      <c r="J1668">
        <f t="shared" si="445"/>
        <v>0.52669853232661989</v>
      </c>
      <c r="K1668">
        <f t="shared" si="446"/>
        <v>9.804131475903767E-2</v>
      </c>
      <c r="O1668">
        <f t="shared" si="447"/>
        <v>0.50026808122876831</v>
      </c>
      <c r="P1668">
        <f t="shared" si="448"/>
        <v>4.9204695006723115E-2</v>
      </c>
      <c r="Q1668">
        <f t="shared" si="449"/>
        <v>0.86447136730662277</v>
      </c>
      <c r="R1668">
        <f t="shared" si="450"/>
        <v>1</v>
      </c>
      <c r="AG1668" s="8">
        <f t="shared" si="440"/>
        <v>0.76651359616580184</v>
      </c>
      <c r="AH1668" s="8">
        <f t="shared" si="441"/>
        <v>0.23519642138962576</v>
      </c>
      <c r="AI1668" s="8">
        <f t="shared" si="442"/>
        <v>0.59761153792282462</v>
      </c>
      <c r="AJ1668" s="8"/>
      <c r="AK1668" s="8"/>
      <c r="AL1668" s="8"/>
      <c r="AN1668" s="8">
        <f t="shared" si="451"/>
        <v>1</v>
      </c>
      <c r="AO1668" s="8">
        <f t="shared" si="452"/>
        <v>0.29771942270002516</v>
      </c>
      <c r="AP1668" s="8">
        <f t="shared" si="453"/>
        <v>0.93027746484754026</v>
      </c>
      <c r="AQ1668" s="8"/>
      <c r="AR1668" s="8">
        <f t="shared" si="454"/>
        <v>17.058066399782799</v>
      </c>
      <c r="AS1668" s="8">
        <f t="shared" si="455"/>
        <v>36.69902748810614</v>
      </c>
    </row>
    <row r="1669" spans="1:45">
      <c r="A1669" s="20">
        <v>59.426033330000003</v>
      </c>
      <c r="B1669" s="20">
        <v>1828.6241239999999</v>
      </c>
      <c r="C1669" s="20">
        <v>-454.7706791</v>
      </c>
      <c r="E1669" s="9">
        <f t="shared" si="444"/>
        <v>868.62412399999994</v>
      </c>
      <c r="F1669" s="9">
        <f t="shared" si="443"/>
        <v>85.229320900000005</v>
      </c>
      <c r="I1669">
        <v>1</v>
      </c>
      <c r="J1669">
        <f t="shared" si="445"/>
        <v>0.52689717085623178</v>
      </c>
      <c r="K1669">
        <f t="shared" si="446"/>
        <v>9.7806832854770015E-2</v>
      </c>
      <c r="O1669">
        <f t="shared" si="447"/>
        <v>0.50045049185221413</v>
      </c>
      <c r="P1669">
        <f t="shared" si="448"/>
        <v>4.9104157236870845E-2</v>
      </c>
      <c r="Q1669">
        <f t="shared" si="449"/>
        <v>0.86437149822685244</v>
      </c>
      <c r="R1669">
        <f t="shared" si="450"/>
        <v>1</v>
      </c>
      <c r="AG1669" s="8">
        <f t="shared" si="440"/>
        <v>0.76656027051857079</v>
      </c>
      <c r="AH1669" s="8">
        <f t="shared" si="441"/>
        <v>0.23538002014246281</v>
      </c>
      <c r="AI1669" s="8">
        <f t="shared" si="442"/>
        <v>0.59747937017124653</v>
      </c>
      <c r="AJ1669" s="8"/>
      <c r="AK1669" s="8"/>
      <c r="AL1669" s="8"/>
      <c r="AN1669" s="8">
        <f t="shared" si="451"/>
        <v>1</v>
      </c>
      <c r="AO1669" s="8">
        <f t="shared" si="452"/>
        <v>0.29792123533767534</v>
      </c>
      <c r="AP1669" s="8">
        <f t="shared" si="453"/>
        <v>0.93044229644692034</v>
      </c>
      <c r="AQ1669" s="8"/>
      <c r="AR1669" s="8">
        <f t="shared" si="454"/>
        <v>17.069629412172556</v>
      </c>
      <c r="AS1669" s="8">
        <f t="shared" si="455"/>
        <v>36.689583333131274</v>
      </c>
    </row>
    <row r="1670" spans="1:45">
      <c r="A1670" s="20">
        <v>59.459400000000002</v>
      </c>
      <c r="B1670" s="20">
        <v>1828.8998449999999</v>
      </c>
      <c r="C1670" s="20">
        <v>-454.93528099999997</v>
      </c>
      <c r="E1670" s="9">
        <f t="shared" si="444"/>
        <v>868.89984499999991</v>
      </c>
      <c r="F1670" s="9">
        <f t="shared" si="443"/>
        <v>85.064719000000025</v>
      </c>
      <c r="I1670">
        <v>1</v>
      </c>
      <c r="J1670">
        <f t="shared" si="445"/>
        <v>0.52702697782661245</v>
      </c>
      <c r="K1670">
        <f t="shared" si="446"/>
        <v>9.7588358752876234E-2</v>
      </c>
      <c r="O1670">
        <f t="shared" si="447"/>
        <v>0.50057287127343453</v>
      </c>
      <c r="P1670">
        <f t="shared" si="448"/>
        <v>4.900575236481703E-2</v>
      </c>
      <c r="Q1670">
        <f t="shared" si="449"/>
        <v>0.86430621702046539</v>
      </c>
      <c r="R1670">
        <f t="shared" si="450"/>
        <v>1</v>
      </c>
      <c r="AG1670" s="8">
        <f t="shared" si="440"/>
        <v>0.76661136227466353</v>
      </c>
      <c r="AH1670" s="8">
        <f t="shared" si="441"/>
        <v>0.23549749436548445</v>
      </c>
      <c r="AI1670" s="8">
        <f t="shared" si="442"/>
        <v>0.5973675161732207</v>
      </c>
      <c r="AJ1670" s="8"/>
      <c r="AK1670" s="8"/>
      <c r="AL1670" s="8"/>
      <c r="AN1670" s="8">
        <f t="shared" si="451"/>
        <v>1</v>
      </c>
      <c r="AO1670" s="8">
        <f t="shared" si="452"/>
        <v>0.29804256465921364</v>
      </c>
      <c r="AP1670" s="8">
        <f t="shared" si="453"/>
        <v>0.93058177815124032</v>
      </c>
      <c r="AQ1670" s="8"/>
      <c r="AR1670" s="8">
        <f t="shared" si="454"/>
        <v>17.076581070227885</v>
      </c>
      <c r="AS1670" s="8">
        <f t="shared" si="455"/>
        <v>36.681591620154443</v>
      </c>
    </row>
    <row r="1671" spans="1:45">
      <c r="A1671" s="20">
        <v>59.492766670000002</v>
      </c>
      <c r="B1671" s="20">
        <v>1829.3141149999999</v>
      </c>
      <c r="C1671" s="20">
        <v>-455.30737040000002</v>
      </c>
      <c r="E1671" s="9">
        <f t="shared" si="444"/>
        <v>869.3141149999999</v>
      </c>
      <c r="F1671" s="9">
        <f t="shared" si="443"/>
        <v>84.692629599999975</v>
      </c>
      <c r="I1671">
        <v>1</v>
      </c>
      <c r="J1671">
        <f t="shared" si="445"/>
        <v>0.52721593383390286</v>
      </c>
      <c r="K1671">
        <f t="shared" si="446"/>
        <v>9.7118163268207033E-2</v>
      </c>
      <c r="O1671">
        <f t="shared" si="447"/>
        <v>0.50075839554865531</v>
      </c>
      <c r="P1671">
        <f t="shared" si="448"/>
        <v>4.8786214995821787E-2</v>
      </c>
      <c r="Q1671">
        <f t="shared" si="449"/>
        <v>0.86421116315048718</v>
      </c>
      <c r="R1671">
        <f t="shared" si="450"/>
        <v>1</v>
      </c>
      <c r="AG1671" s="8">
        <f t="shared" si="440"/>
        <v>0.76673377025110434</v>
      </c>
      <c r="AH1671" s="8">
        <f t="shared" si="441"/>
        <v>0.23566262149592548</v>
      </c>
      <c r="AI1671" s="8">
        <f t="shared" si="442"/>
        <v>0.59714525400960461</v>
      </c>
      <c r="AJ1671" s="8"/>
      <c r="AK1671" s="8"/>
      <c r="AL1671" s="8"/>
      <c r="AN1671" s="8">
        <f t="shared" si="451"/>
        <v>1.0000000000000002</v>
      </c>
      <c r="AO1671" s="8">
        <f t="shared" si="452"/>
        <v>0.29819453710659261</v>
      </c>
      <c r="AP1671" s="8">
        <f t="shared" si="453"/>
        <v>0.93085889561334445</v>
      </c>
      <c r="AQ1671" s="8"/>
      <c r="AR1671" s="8">
        <f t="shared" si="454"/>
        <v>17.085288450064976</v>
      </c>
      <c r="AS1671" s="8">
        <f t="shared" si="455"/>
        <v>36.665713959146501</v>
      </c>
    </row>
    <row r="1672" spans="1:45">
      <c r="A1672" s="20">
        <v>59.52613333</v>
      </c>
      <c r="B1672" s="20">
        <v>1829.8805480000001</v>
      </c>
      <c r="C1672" s="20">
        <v>-455.62379010000001</v>
      </c>
      <c r="E1672" s="9">
        <f t="shared" si="444"/>
        <v>869.88054800000009</v>
      </c>
      <c r="F1672" s="9">
        <f t="shared" si="443"/>
        <v>84.376209899999992</v>
      </c>
      <c r="I1672">
        <v>1</v>
      </c>
      <c r="J1672">
        <f t="shared" si="445"/>
        <v>0.52748369882505219</v>
      </c>
      <c r="K1672">
        <f t="shared" si="446"/>
        <v>9.6694972458619355E-2</v>
      </c>
      <c r="O1672">
        <f t="shared" si="447"/>
        <v>0.50100930315606262</v>
      </c>
      <c r="P1672">
        <f t="shared" si="448"/>
        <v>4.8596633436788453E-2</v>
      </c>
      <c r="Q1672">
        <f t="shared" si="449"/>
        <v>0.86407641176558392</v>
      </c>
      <c r="R1672">
        <f t="shared" si="450"/>
        <v>1</v>
      </c>
      <c r="AG1672" s="8">
        <f t="shared" si="440"/>
        <v>0.76683057338795479</v>
      </c>
      <c r="AH1672" s="8">
        <f t="shared" si="441"/>
        <v>0.23590578054492164</v>
      </c>
      <c r="AI1672" s="8">
        <f t="shared" si="442"/>
        <v>0.59692489847801766</v>
      </c>
      <c r="AJ1672" s="8"/>
      <c r="AK1672" s="8"/>
      <c r="AL1672" s="8"/>
      <c r="AN1672" s="8">
        <f t="shared" si="451"/>
        <v>1</v>
      </c>
      <c r="AO1672" s="8">
        <f t="shared" si="452"/>
        <v>0.29844879179697692</v>
      </c>
      <c r="AP1672" s="8">
        <f t="shared" si="453"/>
        <v>0.93113357945398512</v>
      </c>
      <c r="AQ1672" s="8"/>
      <c r="AR1672" s="8">
        <f t="shared" si="454"/>
        <v>17.099856170745401</v>
      </c>
      <c r="AS1672" s="8">
        <f t="shared" si="455"/>
        <v>36.64997573437735</v>
      </c>
    </row>
    <row r="1673" spans="1:45">
      <c r="A1673" s="20">
        <v>59.5595</v>
      </c>
      <c r="B1673" s="20">
        <v>1830.2907359999999</v>
      </c>
      <c r="C1673" s="20">
        <v>-455.71120000000002</v>
      </c>
      <c r="E1673" s="9">
        <f t="shared" si="444"/>
        <v>870.29073599999992</v>
      </c>
      <c r="F1673" s="9">
        <f t="shared" si="443"/>
        <v>84.288799999999981</v>
      </c>
      <c r="I1673">
        <v>1</v>
      </c>
      <c r="J1673">
        <f t="shared" si="445"/>
        <v>0.52768445463236813</v>
      </c>
      <c r="K1673">
        <f t="shared" si="446"/>
        <v>9.6550177988998023E-2</v>
      </c>
      <c r="O1673">
        <f t="shared" si="447"/>
        <v>0.50118898478547946</v>
      </c>
      <c r="P1673">
        <f t="shared" si="448"/>
        <v>4.854081096502251E-2</v>
      </c>
      <c r="Q1673">
        <f t="shared" si="449"/>
        <v>0.86397534177808477</v>
      </c>
      <c r="R1673">
        <f t="shared" si="450"/>
        <v>1</v>
      </c>
      <c r="AG1673" s="8">
        <f t="shared" si="440"/>
        <v>0.76684872589784803</v>
      </c>
      <c r="AH1673" s="8">
        <f t="shared" si="441"/>
        <v>0.23609467585509061</v>
      </c>
      <c r="AI1673" s="8">
        <f t="shared" si="442"/>
        <v>0.59682688915775806</v>
      </c>
      <c r="AJ1673" s="8"/>
      <c r="AK1673" s="8"/>
      <c r="AL1673" s="8"/>
      <c r="AN1673" s="8">
        <f t="shared" si="451"/>
        <v>1</v>
      </c>
      <c r="AO1673" s="8">
        <f t="shared" si="452"/>
        <v>0.29866715418090045</v>
      </c>
      <c r="AP1673" s="8">
        <f t="shared" si="453"/>
        <v>0.9312557347810686</v>
      </c>
      <c r="AQ1673" s="8"/>
      <c r="AR1673" s="8">
        <f t="shared" si="454"/>
        <v>17.112367413748636</v>
      </c>
      <c r="AS1673" s="8">
        <f t="shared" si="455"/>
        <v>36.642976749690426</v>
      </c>
    </row>
    <row r="1674" spans="1:45">
      <c r="A1674" s="20">
        <v>59.592866669999999</v>
      </c>
      <c r="B1674" s="20">
        <v>1830.885256</v>
      </c>
      <c r="C1674" s="20">
        <v>-455.76714879999997</v>
      </c>
      <c r="E1674" s="9">
        <f t="shared" si="444"/>
        <v>870.88525600000003</v>
      </c>
      <c r="F1674" s="9">
        <f t="shared" si="443"/>
        <v>84.232851200000027</v>
      </c>
      <c r="I1674">
        <v>1</v>
      </c>
      <c r="J1674">
        <f t="shared" si="445"/>
        <v>0.52797877780397684</v>
      </c>
      <c r="K1674">
        <f t="shared" si="446"/>
        <v>9.6421027537250292E-2</v>
      </c>
      <c r="O1674">
        <f t="shared" si="447"/>
        <v>0.50144833478015116</v>
      </c>
      <c r="P1674">
        <f t="shared" si="448"/>
        <v>4.8500560409102014E-2</v>
      </c>
      <c r="Q1674">
        <f t="shared" si="449"/>
        <v>0.86382710259994533</v>
      </c>
      <c r="R1674">
        <f t="shared" si="450"/>
        <v>1</v>
      </c>
      <c r="AG1674" s="8">
        <f t="shared" si="440"/>
        <v>0.7668490793580498</v>
      </c>
      <c r="AH1674" s="8">
        <f t="shared" si="441"/>
        <v>0.23637478539249082</v>
      </c>
      <c r="AI1674" s="8">
        <f t="shared" si="442"/>
        <v>0.59671555226788364</v>
      </c>
      <c r="AJ1674" s="8"/>
      <c r="AK1674" s="8"/>
      <c r="AL1674" s="8"/>
      <c r="AN1674" s="8">
        <f t="shared" si="451"/>
        <v>1</v>
      </c>
      <c r="AO1674" s="8">
        <f t="shared" si="452"/>
        <v>0.29900063789986248</v>
      </c>
      <c r="AP1674" s="8">
        <f t="shared" si="453"/>
        <v>0.93139448765189337</v>
      </c>
      <c r="AQ1674" s="8"/>
      <c r="AR1674" s="8">
        <f t="shared" si="454"/>
        <v>17.131474623381486</v>
      </c>
      <c r="AS1674" s="8">
        <f t="shared" si="455"/>
        <v>36.63502679579684</v>
      </c>
    </row>
    <row r="1675" spans="1:45">
      <c r="A1675" s="20">
        <v>59.626233329999998</v>
      </c>
      <c r="B1675" s="20">
        <v>1831.7463620000001</v>
      </c>
      <c r="C1675" s="20">
        <v>-455.8004158</v>
      </c>
      <c r="E1675" s="9">
        <f t="shared" si="444"/>
        <v>871.74636200000009</v>
      </c>
      <c r="F1675" s="9">
        <f t="shared" si="443"/>
        <v>84.199584200000004</v>
      </c>
      <c r="I1675">
        <v>1</v>
      </c>
      <c r="J1675">
        <f t="shared" si="445"/>
        <v>0.52840721713865157</v>
      </c>
      <c r="K1675">
        <f t="shared" si="446"/>
        <v>9.6288563295543764E-2</v>
      </c>
      <c r="O1675">
        <f t="shared" si="447"/>
        <v>0.5018230920929112</v>
      </c>
      <c r="P1675">
        <f t="shared" si="448"/>
        <v>4.846971268023649E-2</v>
      </c>
      <c r="Q1675">
        <f t="shared" si="449"/>
        <v>0.86361118056391839</v>
      </c>
      <c r="R1675">
        <f t="shared" si="450"/>
        <v>1</v>
      </c>
      <c r="AG1675" s="8">
        <f t="shared" si="440"/>
        <v>0.7668319919541946</v>
      </c>
      <c r="AH1675" s="8">
        <f t="shared" si="441"/>
        <v>0.23678462837505715</v>
      </c>
      <c r="AI1675" s="8">
        <f t="shared" si="442"/>
        <v>0.59657500440501876</v>
      </c>
      <c r="AJ1675" s="8"/>
      <c r="AK1675" s="8"/>
      <c r="AL1675" s="8"/>
      <c r="AN1675" s="8">
        <f t="shared" si="451"/>
        <v>1</v>
      </c>
      <c r="AO1675" s="8">
        <f t="shared" si="452"/>
        <v>0.29949492305487069</v>
      </c>
      <c r="AP1675" s="8">
        <f t="shared" si="453"/>
        <v>0.93156962406651189</v>
      </c>
      <c r="AQ1675" s="8"/>
      <c r="AR1675" s="8">
        <f t="shared" si="454"/>
        <v>17.159795076639426</v>
      </c>
      <c r="AS1675" s="8">
        <f t="shared" si="455"/>
        <v>36.624992218400145</v>
      </c>
    </row>
    <row r="1676" spans="1:45">
      <c r="A1676" s="20">
        <v>59.659599999999998</v>
      </c>
      <c r="B1676" s="20">
        <v>1832.029734</v>
      </c>
      <c r="C1676" s="20">
        <v>-456.46130749999998</v>
      </c>
      <c r="E1676" s="9">
        <f t="shared" si="444"/>
        <v>872.02973399999996</v>
      </c>
      <c r="F1676" s="9">
        <f t="shared" si="443"/>
        <v>83.538692500000025</v>
      </c>
      <c r="I1676">
        <v>1</v>
      </c>
      <c r="J1676">
        <f t="shared" si="445"/>
        <v>0.52851695803717458</v>
      </c>
      <c r="K1676">
        <f t="shared" si="446"/>
        <v>9.5506535287478239E-2</v>
      </c>
      <c r="O1676">
        <f t="shared" si="447"/>
        <v>0.50195518184770671</v>
      </c>
      <c r="P1676">
        <f t="shared" si="448"/>
        <v>4.8086295627572218E-2</v>
      </c>
      <c r="Q1676">
        <f t="shared" si="449"/>
        <v>0.86355584856397871</v>
      </c>
      <c r="R1676">
        <f t="shared" si="450"/>
        <v>1</v>
      </c>
      <c r="AG1676" s="8">
        <f t="shared" si="440"/>
        <v>0.76706404836308906</v>
      </c>
      <c r="AH1676" s="8">
        <f t="shared" si="441"/>
        <v>0.23686043790589281</v>
      </c>
      <c r="AI1676" s="8">
        <f t="shared" si="442"/>
        <v>0.5962464915316964</v>
      </c>
      <c r="AJ1676" s="8"/>
      <c r="AK1676" s="8"/>
      <c r="AL1676" s="8"/>
      <c r="AN1676" s="8">
        <f t="shared" si="451"/>
        <v>1</v>
      </c>
      <c r="AO1676" s="8">
        <f t="shared" si="452"/>
        <v>0.29949986766430681</v>
      </c>
      <c r="AP1676" s="8">
        <f t="shared" si="453"/>
        <v>0.93197889441688975</v>
      </c>
      <c r="AQ1676" s="8"/>
      <c r="AR1676" s="8">
        <f t="shared" si="454"/>
        <v>17.160078381891456</v>
      </c>
      <c r="AS1676" s="8">
        <f t="shared" si="455"/>
        <v>36.601542754643653</v>
      </c>
    </row>
    <row r="1677" spans="1:45">
      <c r="A1677" s="20">
        <v>59.692966669999997</v>
      </c>
      <c r="B1677" s="20">
        <v>1832.333942</v>
      </c>
      <c r="C1677" s="20">
        <v>-456.83963949999998</v>
      </c>
      <c r="E1677" s="9">
        <f t="shared" si="444"/>
        <v>872.33394199999998</v>
      </c>
      <c r="F1677" s="9">
        <f t="shared" si="443"/>
        <v>83.160360500000024</v>
      </c>
      <c r="I1677">
        <v>1</v>
      </c>
      <c r="J1677">
        <f t="shared" si="445"/>
        <v>0.52865078029177304</v>
      </c>
      <c r="K1677">
        <f t="shared" si="446"/>
        <v>9.5043654183185305E-2</v>
      </c>
      <c r="O1677">
        <f t="shared" si="447"/>
        <v>0.50209242324126169</v>
      </c>
      <c r="P1677">
        <f t="shared" si="448"/>
        <v>4.7864911487144578E-2</v>
      </c>
      <c r="Q1677">
        <f t="shared" si="449"/>
        <v>0.86348836053072853</v>
      </c>
      <c r="R1677">
        <f t="shared" si="450"/>
        <v>0.99999999999999989</v>
      </c>
      <c r="AG1677" s="8">
        <f t="shared" si="440"/>
        <v>0.76719195525036787</v>
      </c>
      <c r="AH1677" s="8">
        <f t="shared" si="441"/>
        <v>0.23697185310559502</v>
      </c>
      <c r="AI1677" s="8">
        <f t="shared" si="442"/>
        <v>0.59603762015062245</v>
      </c>
      <c r="AJ1677" s="8"/>
      <c r="AK1677" s="8"/>
      <c r="AL1677" s="8"/>
      <c r="AN1677" s="8">
        <f t="shared" si="451"/>
        <v>0.99999999999999978</v>
      </c>
      <c r="AO1677" s="8">
        <f t="shared" si="452"/>
        <v>0.2995854482742018</v>
      </c>
      <c r="AP1677" s="8">
        <f t="shared" si="453"/>
        <v>0.93223904742751496</v>
      </c>
      <c r="AQ1677" s="8"/>
      <c r="AR1677" s="8">
        <f t="shared" si="454"/>
        <v>17.164981789646596</v>
      </c>
      <c r="AS1677" s="8">
        <f t="shared" si="455"/>
        <v>36.586637085107206</v>
      </c>
    </row>
    <row r="1678" spans="1:45">
      <c r="A1678" s="20">
        <v>59.726333330000003</v>
      </c>
      <c r="B1678" s="20">
        <v>1832.8646040000001</v>
      </c>
      <c r="C1678" s="20">
        <v>-456.82707169999998</v>
      </c>
      <c r="E1678" s="9">
        <f t="shared" si="444"/>
        <v>872.8646040000001</v>
      </c>
      <c r="F1678" s="9">
        <f t="shared" si="443"/>
        <v>83.172928300000024</v>
      </c>
      <c r="I1678">
        <v>1</v>
      </c>
      <c r="J1678">
        <f t="shared" si="445"/>
        <v>0.52891625059011693</v>
      </c>
      <c r="K1678">
        <f t="shared" si="446"/>
        <v>9.5000487797374786E-2</v>
      </c>
      <c r="O1678">
        <f t="shared" si="447"/>
        <v>0.50232266811072368</v>
      </c>
      <c r="P1678">
        <f t="shared" si="448"/>
        <v>4.7864980509895814E-2</v>
      </c>
      <c r="Q1678">
        <f t="shared" si="449"/>
        <v>0.86335443517880361</v>
      </c>
      <c r="R1678">
        <f t="shared" si="450"/>
        <v>1</v>
      </c>
      <c r="AG1678" s="8">
        <f t="shared" si="440"/>
        <v>0.7671691506911561</v>
      </c>
      <c r="AH1678" s="8">
        <f t="shared" si="441"/>
        <v>0.23722721738353525</v>
      </c>
      <c r="AI1678" s="8">
        <f t="shared" si="442"/>
        <v>0.59596538620986628</v>
      </c>
      <c r="AJ1678" s="8"/>
      <c r="AK1678" s="8"/>
      <c r="AL1678" s="8"/>
      <c r="AN1678" s="8">
        <f t="shared" si="451"/>
        <v>0.99999999999999989</v>
      </c>
      <c r="AO1678" s="8">
        <f t="shared" si="452"/>
        <v>0.29989767379766419</v>
      </c>
      <c r="AP1678" s="8">
        <f t="shared" si="453"/>
        <v>0.93232900439081068</v>
      </c>
      <c r="AQ1678" s="8"/>
      <c r="AR1678" s="8">
        <f t="shared" si="454"/>
        <v>17.182870994397252</v>
      </c>
      <c r="AS1678" s="8">
        <f t="shared" si="455"/>
        <v>36.581482930772552</v>
      </c>
    </row>
    <row r="1679" spans="1:45">
      <c r="A1679" s="20">
        <v>59.759700000000002</v>
      </c>
      <c r="B1679" s="20">
        <v>1832.9999049999999</v>
      </c>
      <c r="C1679" s="20">
        <v>-456.89997959999999</v>
      </c>
      <c r="E1679" s="9">
        <f t="shared" si="444"/>
        <v>872.9999049999999</v>
      </c>
      <c r="F1679" s="9">
        <f t="shared" si="443"/>
        <v>83.100020400000005</v>
      </c>
      <c r="I1679">
        <v>1</v>
      </c>
      <c r="J1679">
        <f t="shared" si="445"/>
        <v>0.52898030666964835</v>
      </c>
      <c r="K1679">
        <f t="shared" si="446"/>
        <v>9.4903089013666453E-2</v>
      </c>
      <c r="O1679">
        <f t="shared" si="447"/>
        <v>0.50238238092922427</v>
      </c>
      <c r="P1679">
        <f t="shared" si="448"/>
        <v>4.7821295128112423E-2</v>
      </c>
      <c r="Q1679">
        <f t="shared" si="449"/>
        <v>0.86332211083937482</v>
      </c>
      <c r="R1679">
        <f t="shared" si="450"/>
        <v>1</v>
      </c>
      <c r="AG1679" s="8">
        <f t="shared" si="440"/>
        <v>0.7671911447836075</v>
      </c>
      <c r="AH1679" s="8">
        <f t="shared" si="441"/>
        <v>0.23728539988508565</v>
      </c>
      <c r="AI1679" s="8">
        <f t="shared" si="442"/>
        <v>0.59591390851950499</v>
      </c>
      <c r="AJ1679" s="8"/>
      <c r="AK1679" s="8"/>
      <c r="AL1679" s="8"/>
      <c r="AN1679" s="8">
        <f t="shared" si="451"/>
        <v>1.0000000000000002</v>
      </c>
      <c r="AO1679" s="8">
        <f t="shared" si="452"/>
        <v>0.29995880097478195</v>
      </c>
      <c r="AP1679" s="8">
        <f t="shared" si="453"/>
        <v>0.93239310877053005</v>
      </c>
      <c r="AQ1679" s="8"/>
      <c r="AR1679" s="8">
        <f t="shared" si="454"/>
        <v>17.186373323659648</v>
      </c>
      <c r="AS1679" s="8">
        <f t="shared" si="455"/>
        <v>36.577810020366329</v>
      </c>
    </row>
    <row r="1680" spans="1:45">
      <c r="A1680" s="20">
        <v>59.793066670000002</v>
      </c>
      <c r="B1680" s="20">
        <v>1833.264189</v>
      </c>
      <c r="C1680" s="20">
        <v>-457.0762987</v>
      </c>
      <c r="E1680" s="9">
        <f t="shared" si="444"/>
        <v>873.26418899999999</v>
      </c>
      <c r="F1680" s="9">
        <f t="shared" si="443"/>
        <v>82.923701300000005</v>
      </c>
      <c r="I1680">
        <v>1</v>
      </c>
      <c r="J1680">
        <f t="shared" si="445"/>
        <v>0.5291038191845393</v>
      </c>
      <c r="K1680">
        <f t="shared" si="446"/>
        <v>9.4674439754711071E-2</v>
      </c>
      <c r="O1680">
        <f t="shared" si="447"/>
        <v>0.50249945182946365</v>
      </c>
      <c r="P1680">
        <f t="shared" si="448"/>
        <v>4.7716504320000443E-2</v>
      </c>
      <c r="Q1680">
        <f t="shared" si="449"/>
        <v>0.86325977325864545</v>
      </c>
      <c r="R1680">
        <f t="shared" si="450"/>
        <v>1</v>
      </c>
      <c r="AG1680" s="8">
        <f t="shared" si="440"/>
        <v>0.76724647637371424</v>
      </c>
      <c r="AH1680" s="8">
        <f t="shared" si="441"/>
        <v>0.23739595196527963</v>
      </c>
      <c r="AI1680" s="8">
        <f t="shared" si="442"/>
        <v>0.59579862913791459</v>
      </c>
      <c r="AJ1680" s="8"/>
      <c r="AK1680" s="8"/>
      <c r="AL1680" s="8"/>
      <c r="AN1680" s="8">
        <f t="shared" si="451"/>
        <v>1</v>
      </c>
      <c r="AO1680" s="8">
        <f t="shared" si="452"/>
        <v>0.30006994852040919</v>
      </c>
      <c r="AP1680" s="8">
        <f t="shared" si="453"/>
        <v>0.9325366533603876</v>
      </c>
      <c r="AQ1680" s="8"/>
      <c r="AR1680" s="8">
        <f t="shared" si="454"/>
        <v>17.192741608927328</v>
      </c>
      <c r="AS1680" s="8">
        <f t="shared" si="455"/>
        <v>36.569585521195549</v>
      </c>
    </row>
    <row r="1681" spans="1:45">
      <c r="A1681" s="20">
        <v>59.82643333</v>
      </c>
      <c r="B1681" s="20">
        <v>1834.631707</v>
      </c>
      <c r="C1681" s="20">
        <v>-457.71079909999997</v>
      </c>
      <c r="E1681" s="9">
        <f t="shared" si="444"/>
        <v>874.63170700000001</v>
      </c>
      <c r="F1681" s="9">
        <f t="shared" si="443"/>
        <v>82.289200900000026</v>
      </c>
      <c r="I1681">
        <v>1</v>
      </c>
      <c r="J1681">
        <f t="shared" si="445"/>
        <v>0.52975602514958331</v>
      </c>
      <c r="K1681">
        <f t="shared" si="446"/>
        <v>9.3808259118598997E-2</v>
      </c>
      <c r="O1681">
        <f t="shared" si="447"/>
        <v>0.50310103519892779</v>
      </c>
      <c r="P1681">
        <f t="shared" si="448"/>
        <v>4.7333959913806962E-2</v>
      </c>
      <c r="Q1681">
        <f t="shared" si="449"/>
        <v>0.86293038225609209</v>
      </c>
      <c r="R1681">
        <f t="shared" si="450"/>
        <v>0.99999999999999989</v>
      </c>
      <c r="AG1681" s="8">
        <f t="shared" si="440"/>
        <v>0.76743088351463018</v>
      </c>
      <c r="AH1681" s="8">
        <f t="shared" si="441"/>
        <v>0.2379928751017473</v>
      </c>
      <c r="AI1681" s="8">
        <f t="shared" si="442"/>
        <v>0.59532279515298114</v>
      </c>
      <c r="AJ1681" s="8"/>
      <c r="AK1681" s="8"/>
      <c r="AL1681" s="8"/>
      <c r="AN1681" s="8">
        <f t="shared" si="451"/>
        <v>1</v>
      </c>
      <c r="AO1681" s="8">
        <f t="shared" si="452"/>
        <v>0.30071182825801074</v>
      </c>
      <c r="AP1681" s="8">
        <f t="shared" si="453"/>
        <v>0.93312899482960276</v>
      </c>
      <c r="AQ1681" s="8"/>
      <c r="AR1681" s="8">
        <f t="shared" si="454"/>
        <v>17.229518608846863</v>
      </c>
      <c r="AS1681" s="8">
        <f t="shared" si="455"/>
        <v>36.535646854978943</v>
      </c>
    </row>
    <row r="1682" spans="1:45">
      <c r="A1682" s="20">
        <v>59.8598</v>
      </c>
      <c r="B1682" s="20">
        <v>1834.4440039999999</v>
      </c>
      <c r="C1682" s="20">
        <v>-457.89127120000001</v>
      </c>
      <c r="E1682" s="9">
        <f t="shared" si="444"/>
        <v>874.44400399999995</v>
      </c>
      <c r="F1682" s="9">
        <f t="shared" si="443"/>
        <v>82.108728799999994</v>
      </c>
      <c r="I1682">
        <v>1</v>
      </c>
      <c r="J1682">
        <f t="shared" si="445"/>
        <v>0.52965396462804559</v>
      </c>
      <c r="K1682">
        <f t="shared" si="446"/>
        <v>9.3623700213045807E-2</v>
      </c>
      <c r="O1682">
        <f t="shared" si="447"/>
        <v>0.5030220744967433</v>
      </c>
      <c r="P1682">
        <f t="shared" si="448"/>
        <v>4.7232873581767386E-2</v>
      </c>
      <c r="Q1682">
        <f t="shared" si="449"/>
        <v>0.86298195127256383</v>
      </c>
      <c r="R1682">
        <f t="shared" si="450"/>
        <v>1</v>
      </c>
      <c r="AG1682" s="8">
        <f t="shared" si="440"/>
        <v>0.76750329319473554</v>
      </c>
      <c r="AH1682" s="8">
        <f t="shared" si="441"/>
        <v>0.23788667618963233</v>
      </c>
      <c r="AI1682" s="8">
        <f t="shared" si="442"/>
        <v>0.59527189101005351</v>
      </c>
      <c r="AJ1682" s="8"/>
      <c r="AK1682" s="8"/>
      <c r="AL1682" s="8"/>
      <c r="AN1682" s="8">
        <f t="shared" si="451"/>
        <v>1</v>
      </c>
      <c r="AO1682" s="8">
        <f t="shared" si="452"/>
        <v>0.30055890060806417</v>
      </c>
      <c r="AP1682" s="8">
        <f t="shared" si="453"/>
        <v>0.93319234740596946</v>
      </c>
      <c r="AQ1682" s="8"/>
      <c r="AR1682" s="8">
        <f t="shared" si="454"/>
        <v>17.220756499934069</v>
      </c>
      <c r="AS1682" s="8">
        <f t="shared" si="455"/>
        <v>36.532017019731853</v>
      </c>
    </row>
    <row r="1683" spans="1:45">
      <c r="A1683" s="20">
        <v>59.893166669999999</v>
      </c>
      <c r="B1683" s="20">
        <v>1834.7843849999999</v>
      </c>
      <c r="C1683" s="20">
        <v>-457.92304030000003</v>
      </c>
      <c r="E1683" s="9">
        <f t="shared" si="444"/>
        <v>874.78438499999993</v>
      </c>
      <c r="F1683" s="9">
        <f t="shared" si="443"/>
        <v>82.076959699999975</v>
      </c>
      <c r="I1683">
        <v>1</v>
      </c>
      <c r="J1683">
        <f t="shared" si="445"/>
        <v>0.52982221076428782</v>
      </c>
      <c r="K1683">
        <f t="shared" si="446"/>
        <v>9.3551483897871851E-2</v>
      </c>
      <c r="O1683">
        <f t="shared" si="447"/>
        <v>0.50317003553362205</v>
      </c>
      <c r="P1683">
        <f t="shared" si="448"/>
        <v>4.7210109641749792E-2</v>
      </c>
      <c r="Q1683">
        <f t="shared" si="449"/>
        <v>0.86289693526440769</v>
      </c>
      <c r="R1683">
        <f t="shared" si="450"/>
        <v>1</v>
      </c>
      <c r="AG1683" s="8">
        <f t="shared" si="440"/>
        <v>0.76750305039842281</v>
      </c>
      <c r="AH1683" s="8">
        <f t="shared" si="441"/>
        <v>0.23804664040768814</v>
      </c>
      <c r="AI1683" s="8">
        <f t="shared" si="442"/>
        <v>0.59520825315155779</v>
      </c>
      <c r="AJ1683" s="8"/>
      <c r="AK1683" s="8"/>
      <c r="AL1683" s="8"/>
      <c r="AN1683" s="8">
        <f t="shared" si="451"/>
        <v>1</v>
      </c>
      <c r="AO1683" s="8">
        <f t="shared" si="452"/>
        <v>0.30074913270818088</v>
      </c>
      <c r="AP1683" s="8">
        <f t="shared" si="453"/>
        <v>0.93327154350256913</v>
      </c>
      <c r="AQ1683" s="8"/>
      <c r="AR1683" s="8">
        <f t="shared" si="454"/>
        <v>17.231655996398668</v>
      </c>
      <c r="AS1683" s="8">
        <f t="shared" si="455"/>
        <v>36.52747941764278</v>
      </c>
    </row>
    <row r="1684" spans="1:45">
      <c r="A1684" s="20">
        <v>59.926533329999998</v>
      </c>
      <c r="B1684" s="20">
        <v>1834.989812</v>
      </c>
      <c r="C1684" s="20">
        <v>-457.97856239999999</v>
      </c>
      <c r="E1684" s="9">
        <f t="shared" si="444"/>
        <v>874.98981200000003</v>
      </c>
      <c r="F1684" s="9">
        <f t="shared" si="443"/>
        <v>82.021437600000013</v>
      </c>
      <c r="I1684">
        <v>1</v>
      </c>
      <c r="J1684">
        <f t="shared" si="445"/>
        <v>0.52992203703144936</v>
      </c>
      <c r="K1684">
        <f t="shared" si="446"/>
        <v>9.3466746625343711E-2</v>
      </c>
      <c r="O1684">
        <f t="shared" si="447"/>
        <v>0.50325979546964594</v>
      </c>
      <c r="P1684">
        <f t="shared" si="448"/>
        <v>4.7175511468357911E-2</v>
      </c>
      <c r="Q1684">
        <f t="shared" si="449"/>
        <v>0.86284648077253523</v>
      </c>
      <c r="R1684">
        <f t="shared" si="450"/>
        <v>1</v>
      </c>
      <c r="AG1684" s="8">
        <f t="shared" si="440"/>
        <v>0.76751615968520859</v>
      </c>
      <c r="AH1684" s="8">
        <f t="shared" si="441"/>
        <v>0.23813986252105243</v>
      </c>
      <c r="AI1684" s="8">
        <f t="shared" si="442"/>
        <v>0.59515405610692407</v>
      </c>
      <c r="AJ1684" s="8"/>
      <c r="AK1684" s="8"/>
      <c r="AL1684" s="8"/>
      <c r="AN1684" s="8">
        <f t="shared" si="451"/>
        <v>1.0000000000000002</v>
      </c>
      <c r="AO1684" s="8">
        <f t="shared" si="452"/>
        <v>0.30085509730692889</v>
      </c>
      <c r="AP1684" s="8">
        <f t="shared" si="453"/>
        <v>0.93333898702418905</v>
      </c>
      <c r="AQ1684" s="8"/>
      <c r="AR1684" s="8">
        <f t="shared" si="454"/>
        <v>17.237727320684726</v>
      </c>
      <c r="AS1684" s="8">
        <f t="shared" si="455"/>
        <v>36.523615188498461</v>
      </c>
    </row>
    <row r="1685" spans="1:45">
      <c r="A1685" s="20">
        <v>59.959899999999998</v>
      </c>
      <c r="B1685" s="20">
        <v>1835.8525520000001</v>
      </c>
      <c r="C1685" s="20">
        <v>-458.663318</v>
      </c>
      <c r="E1685" s="9">
        <f t="shared" si="444"/>
        <v>875.85255200000006</v>
      </c>
      <c r="F1685" s="9">
        <f t="shared" si="443"/>
        <v>81.336681999999996</v>
      </c>
      <c r="I1685">
        <v>1</v>
      </c>
      <c r="J1685">
        <f t="shared" si="445"/>
        <v>0.53032023375850779</v>
      </c>
      <c r="K1685">
        <f t="shared" si="446"/>
        <v>9.2600138311654395E-2</v>
      </c>
      <c r="O1685">
        <f t="shared" si="447"/>
        <v>0.50364255989070228</v>
      </c>
      <c r="P1685">
        <f t="shared" si="448"/>
        <v>4.6771131330215043E-2</v>
      </c>
      <c r="Q1685">
        <f t="shared" si="449"/>
        <v>0.86264513743533744</v>
      </c>
      <c r="R1685">
        <f t="shared" si="450"/>
        <v>1</v>
      </c>
      <c r="AG1685" s="8">
        <f t="shared" si="440"/>
        <v>0.76773582619152181</v>
      </c>
      <c r="AH1685" s="8">
        <f t="shared" si="441"/>
        <v>0.23849020883101174</v>
      </c>
      <c r="AI1685" s="8">
        <f t="shared" si="442"/>
        <v>0.59473029305203717</v>
      </c>
      <c r="AJ1685" s="8"/>
      <c r="AK1685" s="8"/>
      <c r="AL1685" s="8"/>
      <c r="AN1685" s="8">
        <f t="shared" si="451"/>
        <v>1.0000000000000002</v>
      </c>
      <c r="AO1685" s="8">
        <f t="shared" si="452"/>
        <v>0.30119034568386477</v>
      </c>
      <c r="AP1685" s="8">
        <f t="shared" si="453"/>
        <v>0.93386620731891656</v>
      </c>
      <c r="AQ1685" s="8"/>
      <c r="AR1685" s="8">
        <f t="shared" si="454"/>
        <v>17.256935637771761</v>
      </c>
      <c r="AS1685" s="8">
        <f t="shared" si="455"/>
        <v>36.49340769073693</v>
      </c>
    </row>
    <row r="1686" spans="1:45">
      <c r="A1686" s="20">
        <v>59.993266669999997</v>
      </c>
      <c r="B1686" s="20">
        <v>1836.6369360000001</v>
      </c>
      <c r="C1686" s="20">
        <v>-458.46037630000001</v>
      </c>
      <c r="E1686" s="9">
        <f t="shared" si="444"/>
        <v>876.63693600000011</v>
      </c>
      <c r="F1686" s="9">
        <f t="shared" si="443"/>
        <v>81.539623699999993</v>
      </c>
      <c r="I1686">
        <v>1</v>
      </c>
      <c r="J1686">
        <f t="shared" si="445"/>
        <v>0.53072045046138683</v>
      </c>
      <c r="K1686">
        <f t="shared" si="446"/>
        <v>9.2747274661871021E-2</v>
      </c>
      <c r="O1686">
        <f t="shared" si="447"/>
        <v>0.50397939351001175</v>
      </c>
      <c r="P1686">
        <f t="shared" si="448"/>
        <v>4.6877205844040058E-2</v>
      </c>
      <c r="Q1686">
        <f t="shared" si="449"/>
        <v>0.86244263489784423</v>
      </c>
      <c r="R1686">
        <f t="shared" si="450"/>
        <v>1</v>
      </c>
      <c r="AG1686" s="8">
        <f t="shared" si="440"/>
        <v>0.76763425130285423</v>
      </c>
      <c r="AH1686" s="8">
        <f t="shared" si="441"/>
        <v>0.23888350761240301</v>
      </c>
      <c r="AI1686" s="8">
        <f t="shared" si="442"/>
        <v>0.59470356146360959</v>
      </c>
      <c r="AJ1686" s="8"/>
      <c r="AK1686" s="8"/>
      <c r="AL1686" s="8"/>
      <c r="AN1686" s="8">
        <f t="shared" si="451"/>
        <v>0.99999999999999978</v>
      </c>
      <c r="AO1686" s="8">
        <f t="shared" si="452"/>
        <v>0.30169501573198998</v>
      </c>
      <c r="AP1686" s="8">
        <f t="shared" si="453"/>
        <v>0.93389945824391396</v>
      </c>
      <c r="AQ1686" s="8"/>
      <c r="AR1686" s="8">
        <f t="shared" si="454"/>
        <v>17.285851101576</v>
      </c>
      <c r="AS1686" s="8">
        <f t="shared" si="455"/>
        <v>36.491502553069672</v>
      </c>
    </row>
    <row r="1687" spans="1:45">
      <c r="A1687" s="20">
        <v>60.026633330000003</v>
      </c>
      <c r="B1687" s="20">
        <v>1836.860412</v>
      </c>
      <c r="C1687" s="20">
        <v>-458.75447200000002</v>
      </c>
      <c r="E1687" s="9">
        <f t="shared" si="444"/>
        <v>876.860412</v>
      </c>
      <c r="F1687" s="9">
        <f t="shared" si="443"/>
        <v>81.245527999999979</v>
      </c>
      <c r="I1687">
        <v>1</v>
      </c>
      <c r="J1687">
        <f t="shared" si="445"/>
        <v>0.5308181668507167</v>
      </c>
      <c r="K1687">
        <f t="shared" si="446"/>
        <v>9.2391241283396361E-2</v>
      </c>
      <c r="O1687">
        <f t="shared" si="447"/>
        <v>0.50407996435649427</v>
      </c>
      <c r="P1687">
        <f t="shared" si="448"/>
        <v>4.6705544346509448E-2</v>
      </c>
      <c r="Q1687">
        <f t="shared" si="449"/>
        <v>0.86239317115898584</v>
      </c>
      <c r="R1687">
        <f t="shared" si="450"/>
        <v>1</v>
      </c>
      <c r="AG1687" s="8">
        <f t="shared" si="440"/>
        <v>0.7677336177100833</v>
      </c>
      <c r="AH1687" s="8">
        <f t="shared" si="441"/>
        <v>0.23896356682680459</v>
      </c>
      <c r="AI1687" s="8">
        <f t="shared" si="442"/>
        <v>0.59454310690411605</v>
      </c>
      <c r="AJ1687" s="8"/>
      <c r="AK1687" s="8"/>
      <c r="AL1687" s="8"/>
      <c r="AN1687" s="8">
        <f t="shared" si="451"/>
        <v>1.0000000000000002</v>
      </c>
      <c r="AO1687" s="8">
        <f t="shared" si="452"/>
        <v>0.30175336637041045</v>
      </c>
      <c r="AP1687" s="8">
        <f t="shared" si="453"/>
        <v>0.93409902749789742</v>
      </c>
      <c r="AQ1687" s="8"/>
      <c r="AR1687" s="8">
        <f t="shared" si="454"/>
        <v>17.289194346889388</v>
      </c>
      <c r="AS1687" s="8">
        <f t="shared" si="455"/>
        <v>36.480068077095851</v>
      </c>
    </row>
    <row r="1688" spans="1:45">
      <c r="A1688" s="20">
        <v>60.06</v>
      </c>
      <c r="B1688" s="20">
        <v>1837.129457</v>
      </c>
      <c r="C1688" s="20">
        <v>-459.34169750000001</v>
      </c>
      <c r="E1688" s="9">
        <f t="shared" si="444"/>
        <v>877.129457</v>
      </c>
      <c r="F1688" s="9">
        <f t="shared" si="443"/>
        <v>80.658302499999991</v>
      </c>
      <c r="I1688">
        <v>1</v>
      </c>
      <c r="J1688">
        <f t="shared" si="445"/>
        <v>0.53092517393320104</v>
      </c>
      <c r="K1688">
        <f t="shared" si="446"/>
        <v>9.169923156195664E-2</v>
      </c>
      <c r="O1688">
        <f t="shared" si="447"/>
        <v>0.50420405592220285</v>
      </c>
      <c r="P1688">
        <f t="shared" si="448"/>
        <v>4.6365155040392118E-2</v>
      </c>
      <c r="Q1688">
        <f t="shared" si="449"/>
        <v>0.86233899505338418</v>
      </c>
      <c r="R1688">
        <f t="shared" si="450"/>
        <v>1</v>
      </c>
      <c r="AG1688" s="8">
        <f t="shared" si="440"/>
        <v>0.76793816472423937</v>
      </c>
      <c r="AH1688" s="8">
        <f t="shared" si="441"/>
        <v>0.23903874582835152</v>
      </c>
      <c r="AI1688" s="8">
        <f t="shared" si="442"/>
        <v>0.59424864589898385</v>
      </c>
      <c r="AJ1688" s="8"/>
      <c r="AK1688" s="8"/>
      <c r="AL1688" s="8"/>
      <c r="AN1688" s="8">
        <f t="shared" si="451"/>
        <v>1</v>
      </c>
      <c r="AO1688" s="8">
        <f t="shared" si="452"/>
        <v>0.3017670330653619</v>
      </c>
      <c r="AP1688" s="8">
        <f t="shared" si="453"/>
        <v>0.93446519393524663</v>
      </c>
      <c r="AQ1688" s="8"/>
      <c r="AR1688" s="8">
        <f t="shared" si="454"/>
        <v>17.28997739083</v>
      </c>
      <c r="AS1688" s="8">
        <f t="shared" si="455"/>
        <v>36.459088285636398</v>
      </c>
    </row>
    <row r="1689" spans="1:45">
      <c r="A1689" s="20">
        <v>60.093366670000002</v>
      </c>
      <c r="B1689" s="20">
        <v>1837.6179529999999</v>
      </c>
      <c r="C1689" s="20">
        <v>-459.7117288</v>
      </c>
      <c r="E1689" s="9">
        <f t="shared" si="444"/>
        <v>877.61795299999994</v>
      </c>
      <c r="F1689" s="9">
        <f t="shared" si="443"/>
        <v>80.288271199999997</v>
      </c>
      <c r="I1689">
        <v>1</v>
      </c>
      <c r="J1689">
        <f t="shared" si="445"/>
        <v>0.53115154650192353</v>
      </c>
      <c r="K1689">
        <f t="shared" si="446"/>
        <v>9.1230359840685962E-2</v>
      </c>
      <c r="O1689">
        <f t="shared" si="447"/>
        <v>0.50442012498093136</v>
      </c>
      <c r="P1689">
        <f t="shared" si="448"/>
        <v>4.6146526121950152E-2</v>
      </c>
      <c r="Q1689">
        <f t="shared" si="449"/>
        <v>0.86222435342612402</v>
      </c>
      <c r="R1689">
        <f t="shared" si="450"/>
        <v>0.99999999999999989</v>
      </c>
      <c r="AG1689" s="8">
        <f t="shared" si="440"/>
        <v>0.76805567707118361</v>
      </c>
      <c r="AH1689" s="8">
        <f t="shared" si="441"/>
        <v>0.23923841838431398</v>
      </c>
      <c r="AI1689" s="8">
        <f t="shared" si="442"/>
        <v>0.59401637695243503</v>
      </c>
      <c r="AJ1689" s="8"/>
      <c r="AK1689" s="8"/>
      <c r="AL1689" s="8"/>
      <c r="AN1689" s="8">
        <f t="shared" si="451"/>
        <v>0.99999999999999978</v>
      </c>
      <c r="AO1689" s="8">
        <f t="shared" si="452"/>
        <v>0.30196061097684385</v>
      </c>
      <c r="AP1689" s="8">
        <f t="shared" si="453"/>
        <v>0.93475395378858461</v>
      </c>
      <c r="AQ1689" s="8"/>
      <c r="AR1689" s="8">
        <f t="shared" si="454"/>
        <v>17.30106858816487</v>
      </c>
      <c r="AS1689" s="8">
        <f t="shared" si="455"/>
        <v>36.442543564747311</v>
      </c>
    </row>
    <row r="1690" spans="1:45">
      <c r="A1690" s="20">
        <v>60.12673333</v>
      </c>
      <c r="B1690" s="20">
        <v>1837.903493</v>
      </c>
      <c r="C1690" s="20">
        <v>-459.92621539999999</v>
      </c>
      <c r="E1690" s="9">
        <f t="shared" si="444"/>
        <v>877.90349300000003</v>
      </c>
      <c r="F1690" s="9">
        <f t="shared" si="443"/>
        <v>80.07378460000001</v>
      </c>
      <c r="I1690">
        <v>1</v>
      </c>
      <c r="J1690">
        <f t="shared" si="445"/>
        <v>0.5312839673028894</v>
      </c>
      <c r="K1690">
        <f t="shared" si="446"/>
        <v>9.0958555565488347E-2</v>
      </c>
      <c r="O1690">
        <f t="shared" si="447"/>
        <v>0.5045463491961929</v>
      </c>
      <c r="P1690">
        <f t="shared" si="448"/>
        <v>4.6019791478665799E-2</v>
      </c>
      <c r="Q1690">
        <f t="shared" si="449"/>
        <v>0.86215727121277208</v>
      </c>
      <c r="R1690">
        <f t="shared" si="450"/>
        <v>1</v>
      </c>
      <c r="AG1690" s="8">
        <f t="shared" si="440"/>
        <v>0.76812365594928156</v>
      </c>
      <c r="AH1690" s="8">
        <f t="shared" si="441"/>
        <v>0.23935526124332213</v>
      </c>
      <c r="AI1690" s="8">
        <f t="shared" si="442"/>
        <v>0.59388139227142878</v>
      </c>
      <c r="AJ1690" s="8"/>
      <c r="AK1690" s="8"/>
      <c r="AL1690" s="8"/>
      <c r="AN1690" s="8">
        <f t="shared" si="451"/>
        <v>1</v>
      </c>
      <c r="AO1690" s="8">
        <f t="shared" si="452"/>
        <v>0.30207413980322312</v>
      </c>
      <c r="AP1690" s="8">
        <f t="shared" si="453"/>
        <v>0.93492174025848584</v>
      </c>
      <c r="AQ1690" s="8"/>
      <c r="AR1690" s="8">
        <f t="shared" si="454"/>
        <v>17.307573310769477</v>
      </c>
      <c r="AS1690" s="8">
        <f t="shared" si="455"/>
        <v>36.432930108162573</v>
      </c>
    </row>
    <row r="1691" spans="1:45">
      <c r="A1691" s="20">
        <v>60.1601</v>
      </c>
      <c r="B1691" s="20">
        <v>1838.5461049999999</v>
      </c>
      <c r="C1691" s="20">
        <v>-460.05529630000001</v>
      </c>
      <c r="E1691" s="9">
        <f t="shared" si="444"/>
        <v>878.5461049999999</v>
      </c>
      <c r="F1691" s="9">
        <f t="shared" si="443"/>
        <v>79.944703699999991</v>
      </c>
      <c r="I1691">
        <v>1</v>
      </c>
      <c r="J1691">
        <f t="shared" si="445"/>
        <v>0.53159800805975965</v>
      </c>
      <c r="K1691">
        <f t="shared" si="446"/>
        <v>9.0746672902290007E-2</v>
      </c>
      <c r="O1691">
        <f t="shared" si="447"/>
        <v>0.50482570225089696</v>
      </c>
      <c r="P1691">
        <f t="shared" si="448"/>
        <v>4.5937419740301945E-2</v>
      </c>
      <c r="Q1691">
        <f t="shared" si="449"/>
        <v>0.8619981228601904</v>
      </c>
      <c r="R1691">
        <f t="shared" si="450"/>
        <v>0.99999999999999989</v>
      </c>
      <c r="AG1691" s="8">
        <f t="shared" si="440"/>
        <v>0.76814776251549532</v>
      </c>
      <c r="AH1691" s="8">
        <f t="shared" si="441"/>
        <v>0.23965025423539574</v>
      </c>
      <c r="AI1691" s="8">
        <f t="shared" si="442"/>
        <v>0.59373122756626873</v>
      </c>
      <c r="AJ1691" s="8"/>
      <c r="AK1691" s="8"/>
      <c r="AL1691" s="8"/>
      <c r="AN1691" s="8">
        <f t="shared" si="451"/>
        <v>1</v>
      </c>
      <c r="AO1691" s="8">
        <f t="shared" si="452"/>
        <v>0.30241523200948689</v>
      </c>
      <c r="AP1691" s="8">
        <f t="shared" si="453"/>
        <v>0.93510837114203293</v>
      </c>
      <c r="AQ1691" s="8"/>
      <c r="AR1691" s="8">
        <f t="shared" si="454"/>
        <v>17.327116454613197</v>
      </c>
      <c r="AS1691" s="8">
        <f t="shared" si="455"/>
        <v>36.422236946208528</v>
      </c>
    </row>
    <row r="1692" spans="1:45">
      <c r="A1692" s="20">
        <v>60.193466669999999</v>
      </c>
      <c r="B1692" s="20">
        <v>1839.4045149999999</v>
      </c>
      <c r="C1692" s="20">
        <v>-460.24061440000003</v>
      </c>
      <c r="E1692" s="9">
        <f t="shared" si="444"/>
        <v>879.40451499999995</v>
      </c>
      <c r="F1692" s="9">
        <f t="shared" si="443"/>
        <v>79.759385599999973</v>
      </c>
      <c r="I1692">
        <v>1</v>
      </c>
      <c r="J1692">
        <f t="shared" si="445"/>
        <v>0.53201677944868475</v>
      </c>
      <c r="K1692">
        <f t="shared" si="446"/>
        <v>9.0449569411070643E-2</v>
      </c>
      <c r="O1692">
        <f t="shared" si="447"/>
        <v>0.50519878840644628</v>
      </c>
      <c r="P1692">
        <f t="shared" si="448"/>
        <v>4.5820034218453549E-2</v>
      </c>
      <c r="Q1692">
        <f t="shared" si="449"/>
        <v>0.86178576726288447</v>
      </c>
      <c r="R1692">
        <f t="shared" si="450"/>
        <v>1</v>
      </c>
      <c r="AG1692" s="8">
        <f t="shared" si="440"/>
        <v>0.76818451102586827</v>
      </c>
      <c r="AH1692" s="8">
        <f t="shared" si="441"/>
        <v>0.24004293111931244</v>
      </c>
      <c r="AI1692" s="8">
        <f t="shared" si="442"/>
        <v>0.5935250190510899</v>
      </c>
      <c r="AJ1692" s="8"/>
      <c r="AK1692" s="8"/>
      <c r="AL1692" s="8"/>
      <c r="AN1692" s="8">
        <f t="shared" si="451"/>
        <v>1</v>
      </c>
      <c r="AO1692" s="8">
        <f t="shared" si="452"/>
        <v>0.30286740085542674</v>
      </c>
      <c r="AP1692" s="8">
        <f t="shared" si="453"/>
        <v>0.93536461371309798</v>
      </c>
      <c r="AQ1692" s="8"/>
      <c r="AR1692" s="8">
        <f t="shared" si="454"/>
        <v>17.353023821112849</v>
      </c>
      <c r="AS1692" s="8">
        <f t="shared" si="455"/>
        <v>36.407555328354917</v>
      </c>
    </row>
    <row r="1693" spans="1:45">
      <c r="A1693" s="20">
        <v>60.226833329999998</v>
      </c>
      <c r="B1693" s="20">
        <v>1839.7027720000001</v>
      </c>
      <c r="C1693" s="20">
        <v>-460.83107410000002</v>
      </c>
      <c r="E1693" s="9">
        <f t="shared" si="444"/>
        <v>879.7027720000001</v>
      </c>
      <c r="F1693" s="9">
        <f t="shared" si="443"/>
        <v>79.168925899999977</v>
      </c>
      <c r="I1693">
        <v>1</v>
      </c>
      <c r="J1693">
        <f t="shared" si="445"/>
        <v>0.53213861585463085</v>
      </c>
      <c r="K1693">
        <f t="shared" si="446"/>
        <v>8.9753298858860089E-2</v>
      </c>
      <c r="O1693">
        <f t="shared" si="447"/>
        <v>0.50533513959105414</v>
      </c>
      <c r="P1693">
        <f t="shared" si="448"/>
        <v>4.5477678932390936E-2</v>
      </c>
      <c r="Q1693">
        <f t="shared" si="449"/>
        <v>0.86172395662033918</v>
      </c>
      <c r="R1693">
        <f t="shared" si="450"/>
        <v>1</v>
      </c>
      <c r="AG1693" s="8">
        <f t="shared" si="440"/>
        <v>0.76838865373445242</v>
      </c>
      <c r="AH1693" s="8">
        <f t="shared" si="441"/>
        <v>0.24013151838289651</v>
      </c>
      <c r="AI1693" s="8">
        <f t="shared" si="442"/>
        <v>0.5932248567712588</v>
      </c>
      <c r="AJ1693" s="8"/>
      <c r="AK1693" s="8"/>
      <c r="AL1693" s="8"/>
      <c r="AN1693" s="8">
        <f t="shared" si="451"/>
        <v>1.0000000000000002</v>
      </c>
      <c r="AO1693" s="8">
        <f t="shared" si="452"/>
        <v>0.30289680071532471</v>
      </c>
      <c r="AP1693" s="8">
        <f t="shared" si="453"/>
        <v>0.93573752030431356</v>
      </c>
      <c r="AQ1693" s="8"/>
      <c r="AR1693" s="8">
        <f t="shared" si="454"/>
        <v>17.354708309003282</v>
      </c>
      <c r="AS1693" s="8">
        <f t="shared" si="455"/>
        <v>36.386189354525655</v>
      </c>
    </row>
    <row r="1694" spans="1:45">
      <c r="A1694" s="20">
        <v>60.260199999999998</v>
      </c>
      <c r="B1694" s="20">
        <v>1840.5896250000001</v>
      </c>
      <c r="C1694" s="20">
        <v>-460.805094</v>
      </c>
      <c r="E1694" s="9">
        <f t="shared" si="444"/>
        <v>880.58962500000007</v>
      </c>
      <c r="F1694" s="9">
        <f t="shared" si="443"/>
        <v>79.194906000000003</v>
      </c>
      <c r="I1694">
        <v>1</v>
      </c>
      <c r="J1694">
        <f t="shared" si="445"/>
        <v>0.53258083341716611</v>
      </c>
      <c r="K1694">
        <f t="shared" si="446"/>
        <v>8.9692657545563131E-2</v>
      </c>
      <c r="O1694">
        <f t="shared" si="447"/>
        <v>0.50571738475102768</v>
      </c>
      <c r="P1694">
        <f t="shared" si="448"/>
        <v>4.5481163541897816E-2</v>
      </c>
      <c r="Q1694">
        <f t="shared" si="449"/>
        <v>0.86149950117423535</v>
      </c>
      <c r="R1694">
        <f t="shared" si="450"/>
        <v>1</v>
      </c>
      <c r="AG1694" s="8">
        <f t="shared" si="440"/>
        <v>0.76834722933518251</v>
      </c>
      <c r="AH1694" s="8">
        <f t="shared" si="441"/>
        <v>0.24055663438146224</v>
      </c>
      <c r="AI1694" s="8">
        <f t="shared" si="442"/>
        <v>0.59310626436416269</v>
      </c>
      <c r="AJ1694" s="8"/>
      <c r="AK1694" s="8"/>
      <c r="AL1694" s="8"/>
      <c r="AN1694" s="8">
        <f t="shared" si="451"/>
        <v>1</v>
      </c>
      <c r="AO1694" s="8">
        <f t="shared" si="452"/>
        <v>0.30341612376484223</v>
      </c>
      <c r="AP1694" s="8">
        <f t="shared" si="453"/>
        <v>0.93588482533381523</v>
      </c>
      <c r="AQ1694" s="8"/>
      <c r="AR1694" s="8">
        <f t="shared" si="454"/>
        <v>17.384463327944498</v>
      </c>
      <c r="AS1694" s="8">
        <f t="shared" si="455"/>
        <v>36.377749398034162</v>
      </c>
    </row>
    <row r="1695" spans="1:45">
      <c r="A1695" s="20">
        <v>60.293566669999997</v>
      </c>
      <c r="B1695" s="20">
        <v>1840.6207999999999</v>
      </c>
      <c r="C1695" s="20">
        <v>-460.80144180000002</v>
      </c>
      <c r="E1695" s="9">
        <f t="shared" si="444"/>
        <v>880.62079999999992</v>
      </c>
      <c r="F1695" s="9">
        <f t="shared" si="443"/>
        <v>79.198558199999979</v>
      </c>
      <c r="I1695">
        <v>1</v>
      </c>
      <c r="J1695">
        <f t="shared" si="445"/>
        <v>0.53259649679931909</v>
      </c>
      <c r="K1695">
        <f t="shared" si="446"/>
        <v>8.9693613349881893E-2</v>
      </c>
      <c r="O1695">
        <f t="shared" si="447"/>
        <v>0.50573078097073543</v>
      </c>
      <c r="P1695">
        <f t="shared" si="448"/>
        <v>4.5482855606229423E-2</v>
      </c>
      <c r="Q1695">
        <f t="shared" si="449"/>
        <v>0.8614915478544366</v>
      </c>
      <c r="R1695">
        <f t="shared" si="450"/>
        <v>1</v>
      </c>
      <c r="AG1695" s="8">
        <f t="shared" si="440"/>
        <v>0.76834477465866191</v>
      </c>
      <c r="AH1695" s="8">
        <f t="shared" si="441"/>
        <v>0.24057182219623169</v>
      </c>
      <c r="AI1695" s="8">
        <f t="shared" si="442"/>
        <v>0.59310328410818536</v>
      </c>
      <c r="AJ1695" s="8"/>
      <c r="AK1695" s="8"/>
      <c r="AL1695" s="8"/>
      <c r="AN1695" s="8">
        <f t="shared" si="451"/>
        <v>1</v>
      </c>
      <c r="AO1695" s="8">
        <f t="shared" si="452"/>
        <v>0.30343503690682544</v>
      </c>
      <c r="AP1695" s="8">
        <f t="shared" si="453"/>
        <v>0.93588852693905322</v>
      </c>
      <c r="AQ1695" s="8"/>
      <c r="AR1695" s="8">
        <f t="shared" si="454"/>
        <v>17.385546971157467</v>
      </c>
      <c r="AS1695" s="8">
        <f t="shared" si="455"/>
        <v>36.377537311676598</v>
      </c>
    </row>
    <row r="1696" spans="1:45">
      <c r="A1696" s="20">
        <v>60.326933330000003</v>
      </c>
      <c r="B1696" s="20">
        <v>1840.947488</v>
      </c>
      <c r="C1696" s="20">
        <v>-460.76380030000001</v>
      </c>
      <c r="E1696" s="9">
        <f t="shared" si="444"/>
        <v>880.94748800000002</v>
      </c>
      <c r="F1696" s="9">
        <f t="shared" si="443"/>
        <v>79.236199699999986</v>
      </c>
      <c r="I1696">
        <v>1</v>
      </c>
      <c r="J1696">
        <f t="shared" si="445"/>
        <v>0.53276059072054105</v>
      </c>
      <c r="K1696">
        <f t="shared" si="446"/>
        <v>8.9702915328985111E-2</v>
      </c>
      <c r="O1696">
        <f t="shared" si="447"/>
        <v>0.50587114820942103</v>
      </c>
      <c r="P1696">
        <f t="shared" si="448"/>
        <v>4.5500223189228257E-2</v>
      </c>
      <c r="Q1696">
        <f t="shared" si="449"/>
        <v>0.86140821397233747</v>
      </c>
      <c r="R1696">
        <f t="shared" si="450"/>
        <v>1</v>
      </c>
      <c r="AG1696" s="8">
        <f t="shared" ref="AG1696:AG1759" si="456">$O1696*$Z$27+$P1696*$Z$31+$Q1696*$Z$35</f>
        <v>0.76831927232252939</v>
      </c>
      <c r="AH1696" s="8">
        <f t="shared" ref="AH1696:AH1759" si="457">$O1696*$AA$27+$P1696*$AA$31+$Q1696*$AA$35</f>
        <v>0.24073090043811815</v>
      </c>
      <c r="AI1696" s="8">
        <f t="shared" ref="AI1696:AI1759" si="458">$AB$27*$O1696+$P1696*$AB$31+$AB$35*$Q1696</f>
        <v>0.5930717741994066</v>
      </c>
      <c r="AJ1696" s="8"/>
      <c r="AK1696" s="8"/>
      <c r="AL1696" s="8"/>
      <c r="AN1696" s="8">
        <f t="shared" si="451"/>
        <v>1.0000000000000002</v>
      </c>
      <c r="AO1696" s="8">
        <f t="shared" si="452"/>
        <v>0.30363305100352139</v>
      </c>
      <c r="AP1696" s="8">
        <f t="shared" si="453"/>
        <v>0.93592766297434138</v>
      </c>
      <c r="AQ1696" s="8"/>
      <c r="AR1696" s="8">
        <f t="shared" si="454"/>
        <v>17.396892343182241</v>
      </c>
      <c r="AS1696" s="8">
        <f t="shared" si="455"/>
        <v>36.375294982027711</v>
      </c>
    </row>
    <row r="1697" spans="1:45">
      <c r="A1697" s="20">
        <v>60.360300000000002</v>
      </c>
      <c r="B1697" s="20">
        <v>1841.2140340000001</v>
      </c>
      <c r="C1697" s="20">
        <v>-461.2245221</v>
      </c>
      <c r="E1697" s="9">
        <f t="shared" si="444"/>
        <v>881.21403400000008</v>
      </c>
      <c r="F1697" s="9">
        <f t="shared" ref="F1697:F1760" si="459">(($C$15/2)+C1697)</f>
        <v>78.775477899999998</v>
      </c>
      <c r="I1697">
        <v>1</v>
      </c>
      <c r="J1697">
        <f t="shared" si="445"/>
        <v>0.5328725488701741</v>
      </c>
      <c r="K1697">
        <f t="shared" si="446"/>
        <v>8.9157270445621536E-2</v>
      </c>
      <c r="O1697">
        <f t="shared" si="447"/>
        <v>0.50599195531050079</v>
      </c>
      <c r="P1697">
        <f t="shared" si="448"/>
        <v>4.523277723143948E-2</v>
      </c>
      <c r="Q1697">
        <f t="shared" si="449"/>
        <v>0.86135134354396126</v>
      </c>
      <c r="R1697">
        <f t="shared" si="450"/>
        <v>1</v>
      </c>
      <c r="AG1697" s="8">
        <f t="shared" si="456"/>
        <v>0.76847713549598429</v>
      </c>
      <c r="AH1697" s="8">
        <f t="shared" si="457"/>
        <v>0.24081603020455972</v>
      </c>
      <c r="AI1697" s="8">
        <f t="shared" si="458"/>
        <v>0.59283263389965579</v>
      </c>
      <c r="AJ1697" s="8"/>
      <c r="AK1697" s="8"/>
      <c r="AL1697" s="8"/>
      <c r="AN1697" s="8">
        <f t="shared" si="451"/>
        <v>1</v>
      </c>
      <c r="AO1697" s="8">
        <f t="shared" si="452"/>
        <v>0.30367531499617539</v>
      </c>
      <c r="AP1697" s="8">
        <f t="shared" si="453"/>
        <v>0.93622464399612981</v>
      </c>
      <c r="AQ1697" s="8"/>
      <c r="AR1697" s="8">
        <f t="shared" si="454"/>
        <v>17.399313891586687</v>
      </c>
      <c r="AS1697" s="8">
        <f t="shared" si="455"/>
        <v>36.358279222883752</v>
      </c>
    </row>
    <row r="1698" spans="1:45">
      <c r="A1698" s="20">
        <v>60.393666670000002</v>
      </c>
      <c r="B1698" s="20">
        <v>1841.7677980000001</v>
      </c>
      <c r="C1698" s="20">
        <v>-461.69931730000002</v>
      </c>
      <c r="E1698" s="9">
        <f t="shared" si="444"/>
        <v>881.76779800000008</v>
      </c>
      <c r="F1698" s="9">
        <f t="shared" si="459"/>
        <v>78.300682699999982</v>
      </c>
      <c r="I1698">
        <v>1</v>
      </c>
      <c r="J1698">
        <f t="shared" si="445"/>
        <v>0.5331267429611084</v>
      </c>
      <c r="K1698">
        <f t="shared" si="446"/>
        <v>8.8567354067562734E-2</v>
      </c>
      <c r="O1698">
        <f t="shared" si="447"/>
        <v>0.5062366267117816</v>
      </c>
      <c r="P1698">
        <f t="shared" si="448"/>
        <v>4.4953641501974582E-2</v>
      </c>
      <c r="Q1698">
        <f t="shared" si="449"/>
        <v>0.86122218265160133</v>
      </c>
      <c r="R1698">
        <f t="shared" si="450"/>
        <v>1</v>
      </c>
      <c r="AG1698" s="8">
        <f t="shared" si="456"/>
        <v>0.76862956858158227</v>
      </c>
      <c r="AH1698" s="8">
        <f t="shared" si="457"/>
        <v>0.24103663136914288</v>
      </c>
      <c r="AI1698" s="8">
        <f t="shared" si="458"/>
        <v>0.59254529669916933</v>
      </c>
      <c r="AJ1698" s="8"/>
      <c r="AK1698" s="8"/>
      <c r="AL1698" s="8"/>
      <c r="AN1698" s="8">
        <f t="shared" si="451"/>
        <v>1</v>
      </c>
      <c r="AO1698" s="8">
        <f t="shared" si="452"/>
        <v>0.30388005459591316</v>
      </c>
      <c r="AP1698" s="8">
        <f t="shared" si="453"/>
        <v>0.93658139342673841</v>
      </c>
      <c r="AQ1698" s="8"/>
      <c r="AR1698" s="8">
        <f t="shared" si="454"/>
        <v>17.41104460655086</v>
      </c>
      <c r="AS1698" s="8">
        <f t="shared" si="455"/>
        <v>36.33783898616619</v>
      </c>
    </row>
    <row r="1699" spans="1:45">
      <c r="A1699" s="20">
        <v>60.42703333</v>
      </c>
      <c r="B1699" s="20">
        <v>1842.3998240000001</v>
      </c>
      <c r="C1699" s="20">
        <v>-461.8373952</v>
      </c>
      <c r="E1699" s="9">
        <f t="shared" si="444"/>
        <v>882.39982400000008</v>
      </c>
      <c r="F1699" s="9">
        <f t="shared" si="459"/>
        <v>78.162604799999997</v>
      </c>
      <c r="I1699">
        <v>1</v>
      </c>
      <c r="J1699">
        <f t="shared" si="445"/>
        <v>0.53343468165655616</v>
      </c>
      <c r="K1699">
        <f t="shared" si="446"/>
        <v>8.8348988253356797E-2</v>
      </c>
      <c r="O1699">
        <f t="shared" si="447"/>
        <v>0.50651057625293672</v>
      </c>
      <c r="P1699">
        <f t="shared" si="448"/>
        <v>4.4866493534883742E-2</v>
      </c>
      <c r="Q1699">
        <f t="shared" si="449"/>
        <v>0.86106563855597107</v>
      </c>
      <c r="R1699">
        <f t="shared" si="450"/>
        <v>1</v>
      </c>
      <c r="AG1699" s="8">
        <f t="shared" si="456"/>
        <v>0.76865667261109383</v>
      </c>
      <c r="AH1699" s="8">
        <f t="shared" si="457"/>
        <v>0.24132497999796168</v>
      </c>
      <c r="AI1699" s="8">
        <f t="shared" si="458"/>
        <v>0.59239275289239091</v>
      </c>
      <c r="AJ1699" s="8"/>
      <c r="AK1699" s="8"/>
      <c r="AL1699" s="8"/>
      <c r="AN1699" s="8">
        <f t="shared" si="451"/>
        <v>1.0000000000000002</v>
      </c>
      <c r="AO1699" s="8">
        <f t="shared" si="452"/>
        <v>0.30421149789995816</v>
      </c>
      <c r="AP1699" s="8">
        <f t="shared" si="453"/>
        <v>0.93677074929693371</v>
      </c>
      <c r="AQ1699" s="8"/>
      <c r="AR1699" s="8">
        <f t="shared" si="454"/>
        <v>17.43003490902051</v>
      </c>
      <c r="AS1699" s="8">
        <f t="shared" si="455"/>
        <v>36.326989693977971</v>
      </c>
    </row>
    <row r="1700" spans="1:45">
      <c r="A1700" s="20">
        <v>60.4604</v>
      </c>
      <c r="B1700" s="20">
        <v>1843.1176909999999</v>
      </c>
      <c r="C1700" s="20">
        <v>-462.14858249999997</v>
      </c>
      <c r="E1700" s="9">
        <f t="shared" si="444"/>
        <v>883.11769099999992</v>
      </c>
      <c r="F1700" s="9">
        <f t="shared" si="459"/>
        <v>77.851417500000025</v>
      </c>
      <c r="I1700">
        <v>1</v>
      </c>
      <c r="J1700">
        <f t="shared" si="445"/>
        <v>0.53377757242388191</v>
      </c>
      <c r="K1700">
        <f t="shared" si="446"/>
        <v>8.7927898534284732E-2</v>
      </c>
      <c r="O1700">
        <f t="shared" si="447"/>
        <v>0.50682350523366526</v>
      </c>
      <c r="P1700">
        <f t="shared" si="448"/>
        <v>4.467912794282311E-2</v>
      </c>
      <c r="Q1700">
        <f t="shared" si="449"/>
        <v>0.86089123010339108</v>
      </c>
      <c r="R1700">
        <f t="shared" si="450"/>
        <v>1</v>
      </c>
      <c r="AG1700" s="8">
        <f t="shared" si="456"/>
        <v>0.76874339784480794</v>
      </c>
      <c r="AH1700" s="8">
        <f t="shared" si="457"/>
        <v>0.24163831338056421</v>
      </c>
      <c r="AI1700" s="8">
        <f t="shared" si="458"/>
        <v>0.59215244133298628</v>
      </c>
      <c r="AJ1700" s="8"/>
      <c r="AK1700" s="8"/>
      <c r="AL1700" s="8"/>
      <c r="AN1700" s="8">
        <f t="shared" si="451"/>
        <v>1.0000000000000002</v>
      </c>
      <c r="AO1700" s="8">
        <f t="shared" si="452"/>
        <v>0.30455024155812971</v>
      </c>
      <c r="AP1700" s="8">
        <f t="shared" si="453"/>
        <v>0.93706899967641277</v>
      </c>
      <c r="AQ1700" s="8"/>
      <c r="AR1700" s="8">
        <f t="shared" si="454"/>
        <v>17.449443490970562</v>
      </c>
      <c r="AS1700" s="8">
        <f t="shared" si="455"/>
        <v>36.309901205995644</v>
      </c>
    </row>
    <row r="1701" spans="1:45">
      <c r="A1701" s="20">
        <v>60.493766669999999</v>
      </c>
      <c r="B1701" s="20">
        <v>1843.4385729999999</v>
      </c>
      <c r="C1701" s="20">
        <v>-462.16993309999998</v>
      </c>
      <c r="E1701" s="9">
        <f t="shared" si="444"/>
        <v>883.43857299999991</v>
      </c>
      <c r="F1701" s="9">
        <f t="shared" si="459"/>
        <v>77.83006690000002</v>
      </c>
      <c r="I1701">
        <v>1</v>
      </c>
      <c r="J1701">
        <f t="shared" si="445"/>
        <v>0.53393597016765137</v>
      </c>
      <c r="K1701">
        <f t="shared" si="446"/>
        <v>8.7872144255993559E-2</v>
      </c>
      <c r="O1701">
        <f t="shared" si="447"/>
        <v>0.50696182624167596</v>
      </c>
      <c r="P1701">
        <f t="shared" si="448"/>
        <v>4.4662836849139735E-2</v>
      </c>
      <c r="Q1701">
        <f t="shared" si="449"/>
        <v>0.86081062826750221</v>
      </c>
      <c r="R1701">
        <f t="shared" si="450"/>
        <v>1</v>
      </c>
      <c r="AG1701" s="8">
        <f t="shared" si="456"/>
        <v>0.76873936269570087</v>
      </c>
      <c r="AH1701" s="8">
        <f t="shared" si="457"/>
        <v>0.24178901522234986</v>
      </c>
      <c r="AI1701" s="8">
        <f t="shared" si="458"/>
        <v>0.59209616141300381</v>
      </c>
      <c r="AJ1701" s="8"/>
      <c r="AK1701" s="8"/>
      <c r="AL1701" s="8"/>
      <c r="AN1701" s="8">
        <f t="shared" si="451"/>
        <v>1</v>
      </c>
      <c r="AO1701" s="8">
        <f t="shared" si="452"/>
        <v>0.30473014316924096</v>
      </c>
      <c r="AP1701" s="8">
        <f t="shared" si="453"/>
        <v>0.93713883916822505</v>
      </c>
      <c r="AQ1701" s="8"/>
      <c r="AR1701" s="8">
        <f t="shared" si="454"/>
        <v>17.459751094014841</v>
      </c>
      <c r="AS1701" s="8">
        <f t="shared" si="455"/>
        <v>36.30589969787146</v>
      </c>
    </row>
    <row r="1702" spans="1:45">
      <c r="A1702" s="20">
        <v>60.527133329999998</v>
      </c>
      <c r="B1702" s="20">
        <v>1843.9649959999999</v>
      </c>
      <c r="C1702" s="20">
        <v>-462.59584860000001</v>
      </c>
      <c r="E1702" s="9">
        <f t="shared" si="444"/>
        <v>883.96499599999993</v>
      </c>
      <c r="F1702" s="9">
        <f t="shared" si="459"/>
        <v>77.404151399999989</v>
      </c>
      <c r="I1702">
        <v>1</v>
      </c>
      <c r="J1702">
        <f t="shared" si="445"/>
        <v>0.53417873681765882</v>
      </c>
      <c r="K1702">
        <f t="shared" si="446"/>
        <v>8.7341945371298385E-2</v>
      </c>
      <c r="O1702">
        <f t="shared" si="447"/>
        <v>0.50719359974873357</v>
      </c>
      <c r="P1702">
        <f t="shared" si="448"/>
        <v>4.4412267863219758E-2</v>
      </c>
      <c r="Q1702">
        <f t="shared" si="449"/>
        <v>0.86068705278815894</v>
      </c>
      <c r="R1702">
        <f t="shared" si="450"/>
        <v>1</v>
      </c>
      <c r="AG1702" s="8">
        <f t="shared" si="456"/>
        <v>0.76887457798956449</v>
      </c>
      <c r="AH1702" s="8">
        <f t="shared" si="457"/>
        <v>0.24200066777366178</v>
      </c>
      <c r="AI1702" s="8">
        <f t="shared" si="458"/>
        <v>0.59183406468238287</v>
      </c>
      <c r="AJ1702" s="8"/>
      <c r="AK1702" s="8"/>
      <c r="AL1702" s="8"/>
      <c r="AN1702" s="8">
        <f t="shared" si="451"/>
        <v>1</v>
      </c>
      <c r="AO1702" s="8">
        <f t="shared" si="452"/>
        <v>0.30493029191472282</v>
      </c>
      <c r="AP1702" s="8">
        <f t="shared" si="453"/>
        <v>0.93746403591110172</v>
      </c>
      <c r="AQ1702" s="8"/>
      <c r="AR1702" s="8">
        <f t="shared" si="454"/>
        <v>17.471218772405788</v>
      </c>
      <c r="AS1702" s="8">
        <f t="shared" si="455"/>
        <v>36.287267296993228</v>
      </c>
    </row>
    <row r="1703" spans="1:45">
      <c r="A1703" s="20">
        <v>60.560499999999998</v>
      </c>
      <c r="B1703" s="20">
        <v>1844.501188</v>
      </c>
      <c r="C1703" s="20">
        <v>-462.73435690000002</v>
      </c>
      <c r="E1703" s="9">
        <f t="shared" si="444"/>
        <v>884.50118799999996</v>
      </c>
      <c r="F1703" s="9">
        <f t="shared" si="459"/>
        <v>77.265643099999977</v>
      </c>
      <c r="I1703">
        <v>1</v>
      </c>
      <c r="J1703">
        <f t="shared" si="445"/>
        <v>0.53443884304738976</v>
      </c>
      <c r="K1703">
        <f t="shared" si="446"/>
        <v>8.7133859785149995E-2</v>
      </c>
      <c r="O1703">
        <f t="shared" si="447"/>
        <v>0.50742583391725615</v>
      </c>
      <c r="P1703">
        <f t="shared" si="448"/>
        <v>4.4326207714681522E-2</v>
      </c>
      <c r="Q1703">
        <f t="shared" si="449"/>
        <v>0.86055459465568607</v>
      </c>
      <c r="R1703">
        <f t="shared" si="450"/>
        <v>1</v>
      </c>
      <c r="AG1703" s="8">
        <f t="shared" si="456"/>
        <v>0.76890502489385293</v>
      </c>
      <c r="AH1703" s="8">
        <f t="shared" si="457"/>
        <v>0.24224298590688445</v>
      </c>
      <c r="AI1703" s="8">
        <f t="shared" si="458"/>
        <v>0.59169535951526653</v>
      </c>
      <c r="AJ1703" s="8"/>
      <c r="AK1703" s="8"/>
      <c r="AL1703" s="8"/>
      <c r="AN1703" s="8">
        <f t="shared" si="451"/>
        <v>1</v>
      </c>
      <c r="AO1703" s="8">
        <f t="shared" si="452"/>
        <v>0.30520566908657554</v>
      </c>
      <c r="AP1703" s="8">
        <f t="shared" si="453"/>
        <v>0.9376361030485828</v>
      </c>
      <c r="AQ1703" s="8"/>
      <c r="AR1703" s="8">
        <f t="shared" si="454"/>
        <v>17.486996722127198</v>
      </c>
      <c r="AS1703" s="8">
        <f t="shared" si="455"/>
        <v>36.277408576222662</v>
      </c>
    </row>
    <row r="1704" spans="1:45">
      <c r="A1704" s="20">
        <v>60.593866669999997</v>
      </c>
      <c r="B1704" s="20">
        <v>1844.9644579999999</v>
      </c>
      <c r="C1704" s="20">
        <v>-462.82109430000003</v>
      </c>
      <c r="E1704" s="9">
        <f t="shared" si="444"/>
        <v>884.96445799999992</v>
      </c>
      <c r="F1704" s="9">
        <f t="shared" si="459"/>
        <v>77.178905699999973</v>
      </c>
      <c r="I1704">
        <v>1</v>
      </c>
      <c r="J1704">
        <f t="shared" si="445"/>
        <v>0.53466495156647498</v>
      </c>
      <c r="K1704">
        <f t="shared" si="446"/>
        <v>8.69912047943011E-2</v>
      </c>
      <c r="O1704">
        <f t="shared" si="447"/>
        <v>0.50762598209077203</v>
      </c>
      <c r="P1704">
        <f t="shared" si="448"/>
        <v>4.4270724601974433E-2</v>
      </c>
      <c r="Q1704">
        <f t="shared" si="449"/>
        <v>0.86043940242738504</v>
      </c>
      <c r="R1704">
        <f t="shared" si="450"/>
        <v>1</v>
      </c>
      <c r="AG1704" s="8">
        <f t="shared" si="456"/>
        <v>0.76891932842231459</v>
      </c>
      <c r="AH1704" s="8">
        <f t="shared" si="457"/>
        <v>0.2424552660963534</v>
      </c>
      <c r="AI1704" s="8">
        <f t="shared" si="458"/>
        <v>0.59158981593729565</v>
      </c>
      <c r="AJ1704" s="8"/>
      <c r="AK1704" s="8"/>
      <c r="AL1704" s="8"/>
      <c r="AN1704" s="8">
        <f t="shared" si="451"/>
        <v>1</v>
      </c>
      <c r="AO1704" s="8">
        <f t="shared" si="452"/>
        <v>0.30545146669236489</v>
      </c>
      <c r="AP1704" s="8">
        <f t="shared" si="453"/>
        <v>0.93776701786968353</v>
      </c>
      <c r="AQ1704" s="8"/>
      <c r="AR1704" s="8">
        <f t="shared" si="454"/>
        <v>17.501079887553349</v>
      </c>
      <c r="AS1704" s="8">
        <f t="shared" si="455"/>
        <v>36.269907709497879</v>
      </c>
    </row>
    <row r="1705" spans="1:45">
      <c r="A1705" s="20">
        <v>60.627233330000003</v>
      </c>
      <c r="B1705" s="20">
        <v>1845.109234</v>
      </c>
      <c r="C1705" s="20">
        <v>-462.92718730000001</v>
      </c>
      <c r="E1705" s="9">
        <f t="shared" si="444"/>
        <v>885.10923400000001</v>
      </c>
      <c r="F1705" s="9">
        <f t="shared" si="459"/>
        <v>77.072812699999986</v>
      </c>
      <c r="I1705">
        <v>1</v>
      </c>
      <c r="J1705">
        <f t="shared" si="445"/>
        <v>0.53473218836758207</v>
      </c>
      <c r="K1705">
        <f t="shared" si="446"/>
        <v>8.6858086386646688E-2</v>
      </c>
      <c r="O1705">
        <f t="shared" si="447"/>
        <v>0.50768950479235664</v>
      </c>
      <c r="P1705">
        <f t="shared" si="448"/>
        <v>4.4208168449203014E-2</v>
      </c>
      <c r="Q1705">
        <f t="shared" si="449"/>
        <v>0.86040513978361299</v>
      </c>
      <c r="R1705">
        <f t="shared" si="450"/>
        <v>1</v>
      </c>
      <c r="AG1705" s="8">
        <f t="shared" si="456"/>
        <v>0.76895243879280339</v>
      </c>
      <c r="AH1705" s="8">
        <f t="shared" si="457"/>
        <v>0.24251441651780539</v>
      </c>
      <c r="AI1705" s="8">
        <f t="shared" si="458"/>
        <v>0.59152253097885332</v>
      </c>
      <c r="AJ1705" s="8"/>
      <c r="AK1705" s="8"/>
      <c r="AL1705" s="8"/>
      <c r="AN1705" s="8">
        <f t="shared" si="451"/>
        <v>1</v>
      </c>
      <c r="AO1705" s="8">
        <f t="shared" si="452"/>
        <v>0.30550908298051138</v>
      </c>
      <c r="AP1705" s="8">
        <f t="shared" si="453"/>
        <v>0.93785047065475025</v>
      </c>
      <c r="AQ1705" s="8"/>
      <c r="AR1705" s="8">
        <f t="shared" si="454"/>
        <v>17.504381057695351</v>
      </c>
      <c r="AS1705" s="8">
        <f t="shared" si="455"/>
        <v>36.265126217124944</v>
      </c>
    </row>
    <row r="1706" spans="1:45">
      <c r="A1706" s="20">
        <v>60.660600000000002</v>
      </c>
      <c r="B1706" s="20">
        <v>1845.65616</v>
      </c>
      <c r="C1706" s="20">
        <v>-463.38117390000002</v>
      </c>
      <c r="E1706" s="9">
        <f t="shared" si="444"/>
        <v>885.65616</v>
      </c>
      <c r="F1706" s="9">
        <f t="shared" si="459"/>
        <v>76.618826099999978</v>
      </c>
      <c r="I1706">
        <v>1</v>
      </c>
      <c r="J1706">
        <f t="shared" si="445"/>
        <v>0.53498393149381163</v>
      </c>
      <c r="K1706">
        <f t="shared" si="446"/>
        <v>8.6295948508155279E-2</v>
      </c>
      <c r="O1706">
        <f t="shared" si="447"/>
        <v>0.50793005463899377</v>
      </c>
      <c r="P1706">
        <f t="shared" si="448"/>
        <v>4.3941437190871624E-2</v>
      </c>
      <c r="Q1706">
        <f t="shared" si="449"/>
        <v>0.86027682154759311</v>
      </c>
      <c r="R1706">
        <f t="shared" si="450"/>
        <v>1</v>
      </c>
      <c r="AG1706" s="8">
        <f t="shared" si="456"/>
        <v>0.76909672067969659</v>
      </c>
      <c r="AH1706" s="8">
        <f t="shared" si="457"/>
        <v>0.24273297730707302</v>
      </c>
      <c r="AI1706" s="8">
        <f t="shared" si="458"/>
        <v>0.59124524181373384</v>
      </c>
      <c r="AJ1706" s="8"/>
      <c r="AK1706" s="8"/>
      <c r="AL1706" s="8"/>
      <c r="AN1706" s="8">
        <f t="shared" si="451"/>
        <v>0.99999999999999978</v>
      </c>
      <c r="AO1706" s="8">
        <f t="shared" si="452"/>
        <v>0.30571372632310301</v>
      </c>
      <c r="AP1706" s="8">
        <f t="shared" si="453"/>
        <v>0.93819433542465369</v>
      </c>
      <c r="AQ1706" s="8"/>
      <c r="AR1706" s="8">
        <f t="shared" si="454"/>
        <v>17.516106257531302</v>
      </c>
      <c r="AS1706" s="8">
        <f t="shared" si="455"/>
        <v>36.245424217086239</v>
      </c>
    </row>
    <row r="1707" spans="1:45">
      <c r="A1707" s="20">
        <v>60.693966670000002</v>
      </c>
      <c r="B1707" s="20">
        <v>1845.887019</v>
      </c>
      <c r="C1707" s="20">
        <v>-463.71914249999998</v>
      </c>
      <c r="E1707" s="9">
        <f t="shared" si="444"/>
        <v>885.88701900000001</v>
      </c>
      <c r="F1707" s="9">
        <f t="shared" si="459"/>
        <v>76.280857500000025</v>
      </c>
      <c r="I1707">
        <v>1</v>
      </c>
      <c r="J1707">
        <f t="shared" si="445"/>
        <v>0.53508395779946061</v>
      </c>
      <c r="K1707">
        <f t="shared" si="446"/>
        <v>8.5894888633428659E-2</v>
      </c>
      <c r="O1707">
        <f t="shared" si="447"/>
        <v>0.50803336746531691</v>
      </c>
      <c r="P1707">
        <f t="shared" si="448"/>
        <v>4.3745105276079214E-2</v>
      </c>
      <c r="Q1707">
        <f t="shared" si="449"/>
        <v>0.86022582111108192</v>
      </c>
      <c r="R1707">
        <f t="shared" si="450"/>
        <v>1</v>
      </c>
      <c r="AG1707" s="8">
        <f t="shared" si="456"/>
        <v>0.76921061802406521</v>
      </c>
      <c r="AH1707" s="8">
        <f t="shared" si="457"/>
        <v>0.24281190550087009</v>
      </c>
      <c r="AI1707" s="8">
        <f t="shared" si="458"/>
        <v>0.59106463577689405</v>
      </c>
      <c r="AJ1707" s="8"/>
      <c r="AK1707" s="8"/>
      <c r="AL1707" s="8"/>
      <c r="AN1707" s="8">
        <f t="shared" si="451"/>
        <v>1.0000000000000002</v>
      </c>
      <c r="AO1707" s="8">
        <f t="shared" si="452"/>
        <v>0.30576454100914824</v>
      </c>
      <c r="AP1707" s="8">
        <f t="shared" si="453"/>
        <v>0.93841825736644313</v>
      </c>
      <c r="AQ1707" s="8"/>
      <c r="AR1707" s="8">
        <f t="shared" si="454"/>
        <v>17.519017724578976</v>
      </c>
      <c r="AS1707" s="8">
        <f t="shared" si="455"/>
        <v>36.232594434881335</v>
      </c>
    </row>
    <row r="1708" spans="1:45">
      <c r="A1708" s="20">
        <v>60.72733333</v>
      </c>
      <c r="B1708" s="20">
        <v>1846.2477590000001</v>
      </c>
      <c r="C1708" s="20">
        <v>-463.53734939999998</v>
      </c>
      <c r="E1708" s="9">
        <f t="shared" si="444"/>
        <v>886.24775900000009</v>
      </c>
      <c r="F1708" s="9">
        <f t="shared" si="459"/>
        <v>76.462650600000018</v>
      </c>
      <c r="I1708">
        <v>1</v>
      </c>
      <c r="J1708">
        <f t="shared" si="445"/>
        <v>0.53527060572292451</v>
      </c>
      <c r="K1708">
        <f t="shared" si="446"/>
        <v>8.6063712103414486E-2</v>
      </c>
      <c r="O1708">
        <f t="shared" si="447"/>
        <v>0.50818593127653755</v>
      </c>
      <c r="P1708">
        <f t="shared" si="448"/>
        <v>4.3844673127160484E-2</v>
      </c>
      <c r="Q1708">
        <f t="shared" si="449"/>
        <v>0.86013063187574634</v>
      </c>
      <c r="R1708">
        <f t="shared" si="450"/>
        <v>1</v>
      </c>
      <c r="AG1708" s="8">
        <f t="shared" si="456"/>
        <v>0.76913124889633766</v>
      </c>
      <c r="AH1708" s="8">
        <f t="shared" si="457"/>
        <v>0.24299970730422624</v>
      </c>
      <c r="AI1708" s="8">
        <f t="shared" si="458"/>
        <v>0.59109074110598303</v>
      </c>
      <c r="AJ1708" s="8"/>
      <c r="AK1708" s="8"/>
      <c r="AL1708" s="8"/>
      <c r="AN1708" s="8">
        <f t="shared" si="451"/>
        <v>1</v>
      </c>
      <c r="AO1708" s="8">
        <f t="shared" si="452"/>
        <v>0.30601619190951518</v>
      </c>
      <c r="AP1708" s="8">
        <f t="shared" si="453"/>
        <v>0.93838589330060196</v>
      </c>
      <c r="AQ1708" s="8"/>
      <c r="AR1708" s="8">
        <f t="shared" si="454"/>
        <v>17.53343625908067</v>
      </c>
      <c r="AS1708" s="8">
        <f t="shared" si="455"/>
        <v>36.234448759261916</v>
      </c>
    </row>
    <row r="1709" spans="1:45">
      <c r="A1709" s="20">
        <v>60.7607</v>
      </c>
      <c r="B1709" s="20">
        <v>1846.9053960000001</v>
      </c>
      <c r="C1709" s="20">
        <v>-464.00334279999998</v>
      </c>
      <c r="E1709" s="9">
        <f t="shared" si="444"/>
        <v>886.90539600000011</v>
      </c>
      <c r="F1709" s="9">
        <f t="shared" si="459"/>
        <v>75.996657200000016</v>
      </c>
      <c r="I1709">
        <v>1</v>
      </c>
      <c r="J1709">
        <f t="shared" si="445"/>
        <v>0.53557675429529061</v>
      </c>
      <c r="K1709">
        <f t="shared" si="446"/>
        <v>8.5478648505278837E-2</v>
      </c>
      <c r="O1709">
        <f t="shared" si="447"/>
        <v>0.50847383873613872</v>
      </c>
      <c r="P1709">
        <f t="shared" si="448"/>
        <v>4.3569824010404851E-2</v>
      </c>
      <c r="Q1709">
        <f t="shared" si="449"/>
        <v>0.85997443319940481</v>
      </c>
      <c r="R1709">
        <f t="shared" si="450"/>
        <v>1</v>
      </c>
      <c r="AG1709" s="8">
        <f t="shared" si="456"/>
        <v>0.76927546086735688</v>
      </c>
      <c r="AH1709" s="8">
        <f t="shared" si="457"/>
        <v>0.24326951743347219</v>
      </c>
      <c r="AI1709" s="8">
        <f t="shared" si="458"/>
        <v>0.59079201686803562</v>
      </c>
      <c r="AJ1709" s="8"/>
      <c r="AK1709" s="8"/>
      <c r="AL1709" s="8"/>
      <c r="AN1709" s="8">
        <f t="shared" si="451"/>
        <v>1</v>
      </c>
      <c r="AO1709" s="8">
        <f t="shared" si="452"/>
        <v>0.30628121811350856</v>
      </c>
      <c r="AP1709" s="8">
        <f t="shared" si="453"/>
        <v>0.93875619065105465</v>
      </c>
      <c r="AQ1709" s="8"/>
      <c r="AR1709" s="8">
        <f t="shared" si="454"/>
        <v>17.548621142029862</v>
      </c>
      <c r="AS1709" s="8">
        <f t="shared" si="455"/>
        <v>36.213232283916099</v>
      </c>
    </row>
    <row r="1710" spans="1:45">
      <c r="A1710" s="20">
        <v>60.794066669999999</v>
      </c>
      <c r="B1710" s="20">
        <v>1847.2835970000001</v>
      </c>
      <c r="C1710" s="20">
        <v>-464.53793710000002</v>
      </c>
      <c r="E1710" s="9">
        <f t="shared" si="444"/>
        <v>887.2835970000001</v>
      </c>
      <c r="F1710" s="9">
        <f t="shared" si="459"/>
        <v>75.462062899999978</v>
      </c>
      <c r="I1710">
        <v>1</v>
      </c>
      <c r="J1710">
        <f t="shared" si="445"/>
        <v>0.53574157982993653</v>
      </c>
      <c r="K1710">
        <f t="shared" si="446"/>
        <v>8.4844241276292698E-2</v>
      </c>
      <c r="O1710">
        <f t="shared" si="447"/>
        <v>0.50864260638436842</v>
      </c>
      <c r="P1710">
        <f t="shared" si="448"/>
        <v>4.3259247084443883E-2</v>
      </c>
      <c r="Q1710">
        <f t="shared" si="449"/>
        <v>0.85989030492976459</v>
      </c>
      <c r="R1710">
        <f t="shared" si="450"/>
        <v>1</v>
      </c>
      <c r="AG1710" s="8">
        <f t="shared" si="456"/>
        <v>0.76945485374267686</v>
      </c>
      <c r="AH1710" s="8">
        <f t="shared" si="457"/>
        <v>0.24340039139351763</v>
      </c>
      <c r="AI1710" s="8">
        <f t="shared" si="458"/>
        <v>0.59050442633507694</v>
      </c>
      <c r="AJ1710" s="8"/>
      <c r="AK1710" s="8"/>
      <c r="AL1710" s="8"/>
      <c r="AN1710" s="8">
        <f t="shared" si="451"/>
        <v>1</v>
      </c>
      <c r="AO1710" s="8">
        <f t="shared" si="452"/>
        <v>0.30636881490944595</v>
      </c>
      <c r="AP1710" s="8">
        <f t="shared" si="453"/>
        <v>0.93911259186838869</v>
      </c>
      <c r="AQ1710" s="8"/>
      <c r="AR1710" s="8">
        <f t="shared" si="454"/>
        <v>17.553640068735945</v>
      </c>
      <c r="AS1710" s="8">
        <f t="shared" si="455"/>
        <v>36.192811998349534</v>
      </c>
    </row>
    <row r="1711" spans="1:45">
      <c r="A1711" s="20">
        <v>60.827433329999998</v>
      </c>
      <c r="B1711" s="20">
        <v>1847.768828</v>
      </c>
      <c r="C1711" s="20">
        <v>-464.60893110000001</v>
      </c>
      <c r="E1711" s="9">
        <f t="shared" si="444"/>
        <v>887.76882799999998</v>
      </c>
      <c r="F1711" s="9">
        <f t="shared" si="459"/>
        <v>75.391068899999993</v>
      </c>
      <c r="I1711">
        <v>1</v>
      </c>
      <c r="J1711">
        <f t="shared" si="445"/>
        <v>0.53597903203753527</v>
      </c>
      <c r="K1711">
        <f t="shared" si="446"/>
        <v>8.4718693806827686E-2</v>
      </c>
      <c r="O1711">
        <f t="shared" si="447"/>
        <v>0.50885146967603812</v>
      </c>
      <c r="P1711">
        <f t="shared" si="448"/>
        <v>4.3212664153389764E-2</v>
      </c>
      <c r="Q1711">
        <f t="shared" si="449"/>
        <v>0.85976906635753203</v>
      </c>
      <c r="R1711">
        <f t="shared" si="450"/>
        <v>1</v>
      </c>
      <c r="AG1711" s="8">
        <f t="shared" si="456"/>
        <v>0.76946225610047314</v>
      </c>
      <c r="AH1711" s="8">
        <f t="shared" si="457"/>
        <v>0.243624113501995</v>
      </c>
      <c r="AI1711" s="8">
        <f t="shared" si="458"/>
        <v>0.59040251333910898</v>
      </c>
      <c r="AJ1711" s="8"/>
      <c r="AK1711" s="8"/>
      <c r="AL1711" s="8"/>
      <c r="AN1711" s="8">
        <f t="shared" si="451"/>
        <v>0.99999999999999978</v>
      </c>
      <c r="AO1711" s="8">
        <f t="shared" si="452"/>
        <v>0.30663033096770231</v>
      </c>
      <c r="AP1711" s="8">
        <f t="shared" si="453"/>
        <v>0.93923886689254288</v>
      </c>
      <c r="AQ1711" s="8"/>
      <c r="AR1711" s="8">
        <f t="shared" si="454"/>
        <v>17.56862383514893</v>
      </c>
      <c r="AS1711" s="8">
        <f t="shared" si="455"/>
        <v>36.185576972407588</v>
      </c>
    </row>
    <row r="1712" spans="1:45">
      <c r="A1712" s="20">
        <v>60.860799999999998</v>
      </c>
      <c r="B1712" s="20">
        <v>1848.0245649999999</v>
      </c>
      <c r="C1712" s="20">
        <v>-464.6173038</v>
      </c>
      <c r="E1712" s="9">
        <f t="shared" si="444"/>
        <v>888.02456499999994</v>
      </c>
      <c r="F1712" s="9">
        <f t="shared" si="459"/>
        <v>75.382696199999998</v>
      </c>
      <c r="I1712">
        <v>1</v>
      </c>
      <c r="J1712">
        <f t="shared" si="445"/>
        <v>0.53610537672119285</v>
      </c>
      <c r="K1712">
        <f t="shared" si="446"/>
        <v>8.4685051694272803E-2</v>
      </c>
      <c r="O1712">
        <f t="shared" si="447"/>
        <v>0.50896115706182321</v>
      </c>
      <c r="P1712">
        <f t="shared" si="448"/>
        <v>4.3204733058698548E-2</v>
      </c>
      <c r="Q1712">
        <f t="shared" si="449"/>
        <v>0.85970453741015973</v>
      </c>
      <c r="R1712">
        <f t="shared" si="450"/>
        <v>1</v>
      </c>
      <c r="AG1712" s="8">
        <f t="shared" si="456"/>
        <v>0.76945562430179748</v>
      </c>
      <c r="AH1712" s="8">
        <f t="shared" si="457"/>
        <v>0.24374463268510999</v>
      </c>
      <c r="AI1712" s="8">
        <f t="shared" si="458"/>
        <v>0.59036141156712807</v>
      </c>
      <c r="AJ1712" s="8"/>
      <c r="AK1712" s="8"/>
      <c r="AL1712" s="8"/>
      <c r="AN1712" s="8">
        <f t="shared" si="451"/>
        <v>1.0000000000000002</v>
      </c>
      <c r="AO1712" s="8">
        <f t="shared" si="452"/>
        <v>0.3067751628870492</v>
      </c>
      <c r="AP1712" s="8">
        <f t="shared" si="453"/>
        <v>0.93928979063214391</v>
      </c>
      <c r="AQ1712" s="8"/>
      <c r="AR1712" s="8">
        <f t="shared" si="454"/>
        <v>17.576922092866287</v>
      </c>
      <c r="AS1712" s="8">
        <f t="shared" si="455"/>
        <v>36.182659257051426</v>
      </c>
    </row>
    <row r="1713" spans="1:45">
      <c r="A1713" s="20">
        <v>60.894166669999997</v>
      </c>
      <c r="B1713" s="20">
        <v>1848.719069</v>
      </c>
      <c r="C1713" s="20">
        <v>-464.83682750000003</v>
      </c>
      <c r="E1713" s="9">
        <f t="shared" si="444"/>
        <v>888.71906899999999</v>
      </c>
      <c r="F1713" s="9">
        <f t="shared" si="459"/>
        <v>75.163172499999973</v>
      </c>
      <c r="I1713">
        <v>1</v>
      </c>
      <c r="J1713">
        <f t="shared" si="445"/>
        <v>0.5364401465905323</v>
      </c>
      <c r="K1713">
        <f t="shared" si="446"/>
        <v>8.4373936794975526E-2</v>
      </c>
      <c r="O1713">
        <f t="shared" si="447"/>
        <v>0.50926132489344089</v>
      </c>
      <c r="P1713">
        <f t="shared" si="448"/>
        <v>4.3070637444085534E-2</v>
      </c>
      <c r="Q1713">
        <f t="shared" si="449"/>
        <v>0.85953349158595171</v>
      </c>
      <c r="R1713">
        <f t="shared" si="450"/>
        <v>1</v>
      </c>
      <c r="AG1713" s="8">
        <f t="shared" si="456"/>
        <v>0.76950877102287096</v>
      </c>
      <c r="AH1713" s="8">
        <f t="shared" si="457"/>
        <v>0.24405393836695788</v>
      </c>
      <c r="AI1713" s="8">
        <f t="shared" si="458"/>
        <v>0.59016432159733945</v>
      </c>
      <c r="AJ1713" s="8"/>
      <c r="AK1713" s="8"/>
      <c r="AL1713" s="8"/>
      <c r="AN1713" s="8">
        <f t="shared" si="451"/>
        <v>1</v>
      </c>
      <c r="AO1713" s="8">
        <f t="shared" si="452"/>
        <v>0.30712053784193455</v>
      </c>
      <c r="AP1713" s="8">
        <f t="shared" si="453"/>
        <v>0.93953395225581604</v>
      </c>
      <c r="AQ1713" s="8"/>
      <c r="AR1713" s="8">
        <f t="shared" si="454"/>
        <v>17.596710620130739</v>
      </c>
      <c r="AS1713" s="8">
        <f t="shared" si="455"/>
        <v>36.16866982649595</v>
      </c>
    </row>
    <row r="1714" spans="1:45">
      <c r="A1714" s="20">
        <v>60.927533330000003</v>
      </c>
      <c r="B1714" s="20">
        <v>1848.9050910000001</v>
      </c>
      <c r="C1714" s="20">
        <v>-465.41739569999999</v>
      </c>
      <c r="E1714" s="9">
        <f t="shared" si="444"/>
        <v>888.90509100000008</v>
      </c>
      <c r="F1714" s="9">
        <f t="shared" si="459"/>
        <v>74.582604300000014</v>
      </c>
      <c r="I1714">
        <v>1</v>
      </c>
      <c r="J1714">
        <f t="shared" si="445"/>
        <v>0.53650804561030763</v>
      </c>
      <c r="K1714">
        <f t="shared" si="446"/>
        <v>8.3707837283467673E-2</v>
      </c>
      <c r="O1714">
        <f t="shared" si="447"/>
        <v>0.50934805720254372</v>
      </c>
      <c r="P1714">
        <f t="shared" si="448"/>
        <v>4.2736288706114622E-2</v>
      </c>
      <c r="Q1714">
        <f t="shared" si="449"/>
        <v>0.85949878781277045</v>
      </c>
      <c r="R1714">
        <f t="shared" si="450"/>
        <v>1</v>
      </c>
      <c r="AG1714" s="8">
        <f t="shared" si="456"/>
        <v>0.76971174544809351</v>
      </c>
      <c r="AH1714" s="8">
        <f t="shared" si="457"/>
        <v>0.24408934250141326</v>
      </c>
      <c r="AI1714" s="8">
        <f t="shared" si="458"/>
        <v>0.58988492250309044</v>
      </c>
      <c r="AJ1714" s="8"/>
      <c r="AK1714" s="8"/>
      <c r="AL1714" s="8"/>
      <c r="AN1714" s="8">
        <f t="shared" si="451"/>
        <v>0.99999999999999989</v>
      </c>
      <c r="AO1714" s="8">
        <f t="shared" si="452"/>
        <v>0.30708633948194897</v>
      </c>
      <c r="AP1714" s="8">
        <f t="shared" si="453"/>
        <v>0.9398800065057985</v>
      </c>
      <c r="AQ1714" s="8"/>
      <c r="AR1714" s="8">
        <f t="shared" si="454"/>
        <v>17.594751198437294</v>
      </c>
      <c r="AS1714" s="8">
        <f t="shared" si="455"/>
        <v>36.148842378489391</v>
      </c>
    </row>
    <row r="1715" spans="1:45">
      <c r="A1715" s="20">
        <v>60.960900000000002</v>
      </c>
      <c r="B1715" s="20">
        <v>1849.647191</v>
      </c>
      <c r="C1715" s="20">
        <v>-465.62791659999999</v>
      </c>
      <c r="E1715" s="9">
        <f t="shared" si="444"/>
        <v>889.64719100000002</v>
      </c>
      <c r="F1715" s="9">
        <f t="shared" si="459"/>
        <v>74.372083400000008</v>
      </c>
      <c r="I1715">
        <v>1</v>
      </c>
      <c r="J1715">
        <f t="shared" si="445"/>
        <v>0.53686672505178434</v>
      </c>
      <c r="K1715">
        <f t="shared" si="446"/>
        <v>8.3403350350275601E-2</v>
      </c>
      <c r="O1715">
        <f t="shared" si="447"/>
        <v>0.50966822639553633</v>
      </c>
      <c r="P1715">
        <f t="shared" si="448"/>
        <v>4.2606876324998037E-2</v>
      </c>
      <c r="Q1715">
        <f t="shared" si="449"/>
        <v>0.85931539791432499</v>
      </c>
      <c r="R1715">
        <f t="shared" si="450"/>
        <v>1</v>
      </c>
      <c r="AG1715" s="8">
        <f t="shared" si="456"/>
        <v>0.76975959344229161</v>
      </c>
      <c r="AH1715" s="8">
        <f t="shared" si="457"/>
        <v>0.2444218209905433</v>
      </c>
      <c r="AI1715" s="8">
        <f t="shared" si="458"/>
        <v>0.58968478166493732</v>
      </c>
      <c r="AJ1715" s="8"/>
      <c r="AK1715" s="8"/>
      <c r="AL1715" s="8"/>
      <c r="AN1715" s="8">
        <f t="shared" si="451"/>
        <v>1</v>
      </c>
      <c r="AO1715" s="8">
        <f t="shared" si="452"/>
        <v>0.30746084226891102</v>
      </c>
      <c r="AP1715" s="8">
        <f t="shared" si="453"/>
        <v>0.94012784039549391</v>
      </c>
      <c r="AQ1715" s="8"/>
      <c r="AR1715" s="8">
        <f t="shared" si="454"/>
        <v>17.616208627546108</v>
      </c>
      <c r="AS1715" s="8">
        <f t="shared" si="455"/>
        <v>36.134642542589532</v>
      </c>
    </row>
    <row r="1716" spans="1:45">
      <c r="A1716" s="20">
        <v>60.994266670000002</v>
      </c>
      <c r="B1716" s="20">
        <v>1850.0900119999999</v>
      </c>
      <c r="C1716" s="20">
        <v>-465.69954410000003</v>
      </c>
      <c r="E1716" s="9">
        <f t="shared" si="444"/>
        <v>890.09001199999989</v>
      </c>
      <c r="F1716" s="9">
        <f t="shared" si="459"/>
        <v>74.300455899999974</v>
      </c>
      <c r="I1716">
        <v>1</v>
      </c>
      <c r="J1716">
        <f t="shared" si="445"/>
        <v>0.53708293139393115</v>
      </c>
      <c r="K1716">
        <f t="shared" si="446"/>
        <v>8.3282134274544131E-2</v>
      </c>
      <c r="O1716">
        <f t="shared" si="447"/>
        <v>0.50985852087715622</v>
      </c>
      <c r="P1716">
        <f t="shared" si="448"/>
        <v>4.2560550095996769E-2</v>
      </c>
      <c r="Q1716">
        <f t="shared" si="449"/>
        <v>0.859204799954286</v>
      </c>
      <c r="R1716">
        <f t="shared" si="450"/>
        <v>1</v>
      </c>
      <c r="AG1716" s="8">
        <f t="shared" si="456"/>
        <v>0.76976856081656975</v>
      </c>
      <c r="AH1716" s="8">
        <f t="shared" si="457"/>
        <v>0.24462503810043099</v>
      </c>
      <c r="AI1716" s="8">
        <f t="shared" si="458"/>
        <v>0.58958880036237948</v>
      </c>
      <c r="AJ1716" s="8"/>
      <c r="AK1716" s="8"/>
      <c r="AL1716" s="8"/>
      <c r="AN1716" s="8">
        <f t="shared" si="451"/>
        <v>1.0000000000000002</v>
      </c>
      <c r="AO1716" s="8">
        <f t="shared" si="452"/>
        <v>0.30769728220862524</v>
      </c>
      <c r="AP1716" s="8">
        <f t="shared" si="453"/>
        <v>0.94024667788775129</v>
      </c>
      <c r="AQ1716" s="8"/>
      <c r="AR1716" s="8">
        <f t="shared" si="454"/>
        <v>17.629755638200059</v>
      </c>
      <c r="AS1716" s="8">
        <f t="shared" si="455"/>
        <v>36.127833655835268</v>
      </c>
    </row>
    <row r="1717" spans="1:45">
      <c r="A1717" s="20">
        <v>61.02763333</v>
      </c>
      <c r="B1717" s="20">
        <v>1850.5556059999999</v>
      </c>
      <c r="C1717" s="20">
        <v>-465.87388470000002</v>
      </c>
      <c r="E1717" s="9">
        <f t="shared" si="444"/>
        <v>890.5556059999999</v>
      </c>
      <c r="F1717" s="9">
        <f t="shared" si="459"/>
        <v>74.126115299999981</v>
      </c>
      <c r="I1717">
        <v>1</v>
      </c>
      <c r="J1717">
        <f t="shared" si="445"/>
        <v>0.53730612375114661</v>
      </c>
      <c r="K1717">
        <f t="shared" si="446"/>
        <v>8.3044378212394326E-2</v>
      </c>
      <c r="O1717">
        <f t="shared" si="447"/>
        <v>0.5100597198674659</v>
      </c>
      <c r="P1717">
        <f t="shared" si="448"/>
        <v>4.245523283448005E-2</v>
      </c>
      <c r="Q1717">
        <f t="shared" si="449"/>
        <v>0.85909058624436818</v>
      </c>
      <c r="R1717">
        <f t="shared" si="450"/>
        <v>1</v>
      </c>
      <c r="AG1717" s="8">
        <f t="shared" si="456"/>
        <v>0.76981373760688365</v>
      </c>
      <c r="AH1717" s="8">
        <f t="shared" si="457"/>
        <v>0.24482963846856165</v>
      </c>
      <c r="AI1717" s="8">
        <f t="shared" si="458"/>
        <v>0.58944487233249676</v>
      </c>
      <c r="AJ1717" s="8"/>
      <c r="AK1717" s="8"/>
      <c r="AL1717" s="8"/>
      <c r="AN1717" s="8">
        <f t="shared" si="451"/>
        <v>0.99999999999999989</v>
      </c>
      <c r="AO1717" s="8">
        <f t="shared" si="452"/>
        <v>0.30792172713792004</v>
      </c>
      <c r="AP1717" s="8">
        <f t="shared" si="453"/>
        <v>0.94042486042614237</v>
      </c>
      <c r="AQ1717" s="8"/>
      <c r="AR1717" s="8">
        <f t="shared" si="454"/>
        <v>17.642615385381763</v>
      </c>
      <c r="AS1717" s="8">
        <f t="shared" si="455"/>
        <v>36.117624548402532</v>
      </c>
    </row>
    <row r="1718" spans="1:45">
      <c r="A1718" s="20">
        <v>61.061</v>
      </c>
      <c r="B1718" s="20">
        <v>1850.8810410000001</v>
      </c>
      <c r="C1718" s="20">
        <v>-466.10787099999999</v>
      </c>
      <c r="E1718" s="9">
        <f t="shared" si="444"/>
        <v>890.8810410000001</v>
      </c>
      <c r="F1718" s="9">
        <f t="shared" si="459"/>
        <v>73.892129000000011</v>
      </c>
      <c r="I1718">
        <v>1</v>
      </c>
      <c r="J1718">
        <f t="shared" si="445"/>
        <v>0.53745750408413662</v>
      </c>
      <c r="K1718">
        <f t="shared" si="446"/>
        <v>8.2753335886401824E-2</v>
      </c>
      <c r="O1718">
        <f t="shared" si="447"/>
        <v>0.51020165306605192</v>
      </c>
      <c r="P1718">
        <f t="shared" si="448"/>
        <v>4.2317531330616734E-2</v>
      </c>
      <c r="Q1718">
        <f t="shared" si="449"/>
        <v>0.85901309637906587</v>
      </c>
      <c r="R1718">
        <f t="shared" si="450"/>
        <v>1</v>
      </c>
      <c r="AG1718" s="8">
        <f t="shared" si="456"/>
        <v>0.7698857950639113</v>
      </c>
      <c r="AH1718" s="8">
        <f t="shared" si="457"/>
        <v>0.24496241658865586</v>
      </c>
      <c r="AI1718" s="8">
        <f t="shared" si="458"/>
        <v>0.58929557695426082</v>
      </c>
      <c r="AJ1718" s="8"/>
      <c r="AK1718" s="8"/>
      <c r="AL1718" s="8"/>
      <c r="AN1718" s="8">
        <f t="shared" si="451"/>
        <v>1</v>
      </c>
      <c r="AO1718" s="8">
        <f t="shared" si="452"/>
        <v>0.30805131200344127</v>
      </c>
      <c r="AP1718" s="8">
        <f t="shared" si="453"/>
        <v>0.94060966325289719</v>
      </c>
      <c r="AQ1718" s="8"/>
      <c r="AR1718" s="8">
        <f t="shared" si="454"/>
        <v>17.650040051264902</v>
      </c>
      <c r="AS1718" s="8">
        <f t="shared" si="455"/>
        <v>36.107036126387392</v>
      </c>
    </row>
    <row r="1719" spans="1:45">
      <c r="A1719" s="20">
        <v>61.094366669999999</v>
      </c>
      <c r="B1719" s="20">
        <v>1851.673597</v>
      </c>
      <c r="C1719" s="20">
        <v>-466.74636170000002</v>
      </c>
      <c r="E1719" s="9">
        <f t="shared" si="444"/>
        <v>891.67359699999997</v>
      </c>
      <c r="F1719" s="9">
        <f t="shared" si="459"/>
        <v>73.253638299999977</v>
      </c>
      <c r="I1719">
        <v>1</v>
      </c>
      <c r="J1719">
        <f t="shared" si="445"/>
        <v>0.53782342648895132</v>
      </c>
      <c r="K1719">
        <f t="shared" si="446"/>
        <v>8.1968899504730464E-2</v>
      </c>
      <c r="O1719">
        <f t="shared" si="447"/>
        <v>0.5105479340788972</v>
      </c>
      <c r="P1719">
        <f t="shared" si="448"/>
        <v>4.1943031422772704E-2</v>
      </c>
      <c r="Q1719">
        <f t="shared" si="449"/>
        <v>0.85882570357601573</v>
      </c>
      <c r="R1719">
        <f t="shared" si="450"/>
        <v>1</v>
      </c>
      <c r="AG1719" s="8">
        <f t="shared" si="456"/>
        <v>0.77008587260836303</v>
      </c>
      <c r="AH1719" s="8">
        <f t="shared" si="457"/>
        <v>0.24527939742056634</v>
      </c>
      <c r="AI1719" s="8">
        <f t="shared" si="458"/>
        <v>0.58890217015224178</v>
      </c>
      <c r="AJ1719" s="8"/>
      <c r="AK1719" s="8"/>
      <c r="AL1719" s="8"/>
      <c r="AN1719" s="8">
        <f t="shared" si="451"/>
        <v>1</v>
      </c>
      <c r="AO1719" s="8">
        <f t="shared" si="452"/>
        <v>0.30834999314150241</v>
      </c>
      <c r="AP1719" s="8">
        <f t="shared" si="453"/>
        <v>0.94109651614016698</v>
      </c>
      <c r="AQ1719" s="8"/>
      <c r="AR1719" s="8">
        <f t="shared" si="454"/>
        <v>17.667153219895969</v>
      </c>
      <c r="AS1719" s="8">
        <f t="shared" si="455"/>
        <v>36.079141510703074</v>
      </c>
    </row>
    <row r="1720" spans="1:45">
      <c r="A1720" s="20">
        <v>61.127733329999998</v>
      </c>
      <c r="B1720" s="20">
        <v>1851.672041</v>
      </c>
      <c r="C1720" s="20">
        <v>-466.76058060000003</v>
      </c>
      <c r="E1720" s="9">
        <f t="shared" si="444"/>
        <v>891.67204100000004</v>
      </c>
      <c r="F1720" s="9">
        <f t="shared" si="459"/>
        <v>73.239419399999974</v>
      </c>
      <c r="I1720">
        <v>1</v>
      </c>
      <c r="J1720">
        <f t="shared" si="445"/>
        <v>0.53782207946313132</v>
      </c>
      <c r="K1720">
        <f t="shared" si="446"/>
        <v>8.1953202451632151E-2</v>
      </c>
      <c r="O1720">
        <f t="shared" si="447"/>
        <v>0.51054743941988157</v>
      </c>
      <c r="P1720">
        <f t="shared" si="448"/>
        <v>4.1934922617214571E-2</v>
      </c>
      <c r="Q1720">
        <f t="shared" si="449"/>
        <v>0.85882639361333712</v>
      </c>
      <c r="R1720">
        <f t="shared" si="450"/>
        <v>1</v>
      </c>
      <c r="AG1720" s="8">
        <f t="shared" si="456"/>
        <v>0.77009106707946173</v>
      </c>
      <c r="AH1720" s="8">
        <f t="shared" si="457"/>
        <v>0.24527736879826328</v>
      </c>
      <c r="AI1720" s="8">
        <f t="shared" si="458"/>
        <v>0.5888962224023998</v>
      </c>
      <c r="AJ1720" s="8"/>
      <c r="AK1720" s="8"/>
      <c r="AL1720" s="8"/>
      <c r="AN1720" s="8">
        <f t="shared" si="451"/>
        <v>1</v>
      </c>
      <c r="AO1720" s="8">
        <f t="shared" si="452"/>
        <v>0.30834565094930161</v>
      </c>
      <c r="AP1720" s="8">
        <f t="shared" si="453"/>
        <v>0.94110387533597606</v>
      </c>
      <c r="AQ1720" s="8"/>
      <c r="AR1720" s="8">
        <f t="shared" si="454"/>
        <v>17.666904430609026</v>
      </c>
      <c r="AS1720" s="8">
        <f t="shared" si="455"/>
        <v>36.0787198598426</v>
      </c>
    </row>
    <row r="1721" spans="1:45">
      <c r="A1721" s="20">
        <v>61.161099999999998</v>
      </c>
      <c r="B1721" s="20">
        <v>1851.914775</v>
      </c>
      <c r="C1721" s="20">
        <v>-467.16452570000001</v>
      </c>
      <c r="E1721" s="9">
        <f t="shared" ref="E1721:E1784" si="460">(B1721-($B$15/2))</f>
        <v>891.91477499999996</v>
      </c>
      <c r="F1721" s="9">
        <f t="shared" si="459"/>
        <v>72.835474299999987</v>
      </c>
      <c r="I1721">
        <v>1</v>
      </c>
      <c r="J1721">
        <f t="shared" ref="J1721:J1784" si="461">ATAN((SQRT(E1721^2+F1721^2)^$B$16)/($F$24))</f>
        <v>0.53792574790249448</v>
      </c>
      <c r="K1721">
        <f t="shared" ref="K1721:K1784" si="462">ATAN2(E1721,F1721)</f>
        <v>8.1481118879731085E-2</v>
      </c>
      <c r="O1721">
        <f t="shared" ref="O1721:O1784" si="463">COS(K1721)*SIN(J1721)</f>
        <v>0.51065591437445657</v>
      </c>
      <c r="P1721">
        <f t="shared" ref="P1721:P1784" si="464">SIN(K1721)*SIN(J1721)</f>
        <v>4.1701143169832262E-2</v>
      </c>
      <c r="Q1721">
        <f t="shared" ref="Q1721:Q1784" si="465">COS(J1721)</f>
        <v>0.85877328310370538</v>
      </c>
      <c r="R1721">
        <f t="shared" ref="R1721:R1784" si="466">SQRT(O1721^2+P1721^2+Q1721^2)</f>
        <v>1</v>
      </c>
      <c r="AG1721" s="8">
        <f t="shared" si="456"/>
        <v>0.77022751064162254</v>
      </c>
      <c r="AH1721" s="8">
        <f t="shared" si="457"/>
        <v>0.24535546107331629</v>
      </c>
      <c r="AI1721" s="8">
        <f t="shared" si="458"/>
        <v>0.58868521263261719</v>
      </c>
      <c r="AJ1721" s="8"/>
      <c r="AK1721" s="8"/>
      <c r="AL1721" s="8"/>
      <c r="AN1721" s="8">
        <f t="shared" ref="AN1721:AN1784" si="467">AG1721^2+AH1721^2+AI1721^2</f>
        <v>1.0000000000000002</v>
      </c>
      <c r="AO1721" s="8">
        <f t="shared" ref="AO1721:AO1784" si="468">IF(ATAN2(AG1721,AH1721)&gt;=0,ATAN2(AG1721,AH1721),ATAN2(AG1721,AH1721)+2*PI())</f>
        <v>0.30838647538799707</v>
      </c>
      <c r="AP1721" s="8">
        <f t="shared" ref="AP1721:AP1784" si="469">ACOS(AI1721/AN1721)</f>
        <v>0.94136493379198105</v>
      </c>
      <c r="AQ1721" s="8"/>
      <c r="AR1721" s="8">
        <f t="shared" ref="AR1721:AR1784" si="470">DEGREES(AO1721)</f>
        <v>17.669243498647269</v>
      </c>
      <c r="AS1721" s="8">
        <f t="shared" ref="AS1721:AS1784" si="471">90-DEGREES(AP1721)</f>
        <v>36.063762312107315</v>
      </c>
    </row>
    <row r="1722" spans="1:45">
      <c r="A1722" s="20">
        <v>61.194466669999997</v>
      </c>
      <c r="B1722" s="20">
        <v>1852.4465459999999</v>
      </c>
      <c r="C1722" s="20">
        <v>-466.94149290000001</v>
      </c>
      <c r="E1722" s="9">
        <f t="shared" si="460"/>
        <v>892.4465459999999</v>
      </c>
      <c r="F1722" s="9">
        <f t="shared" si="459"/>
        <v>73.058507099999986</v>
      </c>
      <c r="I1722">
        <v>1</v>
      </c>
      <c r="J1722">
        <f t="shared" si="461"/>
        <v>0.53819765879669046</v>
      </c>
      <c r="K1722">
        <f t="shared" si="462"/>
        <v>8.1681035206776775E-2</v>
      </c>
      <c r="O1722">
        <f t="shared" si="463"/>
        <v>0.51088027983011952</v>
      </c>
      <c r="P1722">
        <f t="shared" si="464"/>
        <v>4.182228136632709E-2</v>
      </c>
      <c r="Q1722">
        <f t="shared" si="465"/>
        <v>0.8586339362394283</v>
      </c>
      <c r="R1722">
        <f t="shared" si="466"/>
        <v>1</v>
      </c>
      <c r="AG1722" s="8">
        <f t="shared" si="456"/>
        <v>0.77012638706901282</v>
      </c>
      <c r="AH1722" s="8">
        <f t="shared" si="457"/>
        <v>0.24562720682823228</v>
      </c>
      <c r="AI1722" s="8">
        <f t="shared" si="458"/>
        <v>0.58870418989997841</v>
      </c>
      <c r="AJ1722" s="8"/>
      <c r="AK1722" s="8"/>
      <c r="AL1722" s="8"/>
      <c r="AN1722" s="8">
        <f t="shared" si="467"/>
        <v>1</v>
      </c>
      <c r="AO1722" s="8">
        <f t="shared" si="468"/>
        <v>0.30874476046722932</v>
      </c>
      <c r="AP1722" s="8">
        <f t="shared" si="469"/>
        <v>0.94134145740279807</v>
      </c>
      <c r="AQ1722" s="8"/>
      <c r="AR1722" s="8">
        <f t="shared" si="470"/>
        <v>17.689771721549786</v>
      </c>
      <c r="AS1722" s="8">
        <f t="shared" si="471"/>
        <v>36.065107410125705</v>
      </c>
    </row>
    <row r="1723" spans="1:45">
      <c r="A1723" s="20">
        <v>61.227833330000003</v>
      </c>
      <c r="B1723" s="20">
        <v>1852.9818290000001</v>
      </c>
      <c r="C1723" s="20">
        <v>-467.27037289999998</v>
      </c>
      <c r="E1723" s="9">
        <f t="shared" si="460"/>
        <v>892.98182900000006</v>
      </c>
      <c r="F1723" s="9">
        <f t="shared" si="459"/>
        <v>72.729627100000016</v>
      </c>
      <c r="I1723">
        <v>1</v>
      </c>
      <c r="J1723">
        <f t="shared" si="461"/>
        <v>0.53844893938660909</v>
      </c>
      <c r="K1723">
        <f t="shared" si="462"/>
        <v>8.1266433871902646E-2</v>
      </c>
      <c r="O1723">
        <f t="shared" si="463"/>
        <v>0.51111260533863534</v>
      </c>
      <c r="P1723">
        <f t="shared" si="464"/>
        <v>4.1627979411424758E-2</v>
      </c>
      <c r="Q1723">
        <f t="shared" si="465"/>
        <v>0.85850510539779223</v>
      </c>
      <c r="R1723">
        <f t="shared" si="466"/>
        <v>1</v>
      </c>
      <c r="AG1723" s="8">
        <f t="shared" si="456"/>
        <v>0.77022427498813339</v>
      </c>
      <c r="AH1723" s="8">
        <f t="shared" si="457"/>
        <v>0.24585034952074714</v>
      </c>
      <c r="AI1723" s="8">
        <f t="shared" si="458"/>
        <v>0.58848294100978871</v>
      </c>
      <c r="AJ1723" s="8"/>
      <c r="AK1723" s="8"/>
      <c r="AL1723" s="8"/>
      <c r="AN1723" s="8">
        <f t="shared" si="467"/>
        <v>0.99999999999999967</v>
      </c>
      <c r="AO1723" s="8">
        <f t="shared" si="468"/>
        <v>0.30897091366790752</v>
      </c>
      <c r="AP1723" s="8">
        <f t="shared" si="469"/>
        <v>0.94161513494747751</v>
      </c>
      <c r="AQ1723" s="8"/>
      <c r="AR1723" s="8">
        <f t="shared" si="470"/>
        <v>17.702729345472022</v>
      </c>
      <c r="AS1723" s="8">
        <f t="shared" si="471"/>
        <v>36.049426841868069</v>
      </c>
    </row>
    <row r="1724" spans="1:45">
      <c r="A1724" s="20">
        <v>61.261200000000002</v>
      </c>
      <c r="B1724" s="20">
        <v>1853.7188920000001</v>
      </c>
      <c r="C1724" s="20">
        <v>-467.82547249999999</v>
      </c>
      <c r="E1724" s="9">
        <f t="shared" si="460"/>
        <v>893.7188920000001</v>
      </c>
      <c r="F1724" s="9">
        <f t="shared" si="459"/>
        <v>72.174527500000011</v>
      </c>
      <c r="I1724">
        <v>1</v>
      </c>
      <c r="J1724">
        <f t="shared" si="461"/>
        <v>0.53879086419532141</v>
      </c>
      <c r="K1724">
        <f t="shared" si="462"/>
        <v>8.0582649848472354E-2</v>
      </c>
      <c r="O1724">
        <f t="shared" si="463"/>
        <v>0.51143351214615396</v>
      </c>
      <c r="P1724">
        <f t="shared" si="464"/>
        <v>4.1302105636605663E-2</v>
      </c>
      <c r="Q1724">
        <f t="shared" si="465"/>
        <v>0.8583297144593286</v>
      </c>
      <c r="R1724">
        <f t="shared" si="466"/>
        <v>1</v>
      </c>
      <c r="AG1724" s="8">
        <f t="shared" si="456"/>
        <v>0.7703957523768199</v>
      </c>
      <c r="AH1724" s="8">
        <f t="shared" si="457"/>
        <v>0.24614816226651265</v>
      </c>
      <c r="AI1724" s="8">
        <f t="shared" si="458"/>
        <v>0.58813388521030852</v>
      </c>
      <c r="AJ1724" s="8"/>
      <c r="AK1724" s="8"/>
      <c r="AL1724" s="8"/>
      <c r="AN1724" s="8">
        <f t="shared" si="467"/>
        <v>1.0000000000000002</v>
      </c>
      <c r="AO1724" s="8">
        <f t="shared" si="468"/>
        <v>0.30925723695065493</v>
      </c>
      <c r="AP1724" s="8">
        <f t="shared" si="469"/>
        <v>0.94204679459585949</v>
      </c>
      <c r="AQ1724" s="8"/>
      <c r="AR1724" s="8">
        <f t="shared" si="470"/>
        <v>17.719134461149782</v>
      </c>
      <c r="AS1724" s="8">
        <f t="shared" si="471"/>
        <v>36.024694565829684</v>
      </c>
    </row>
    <row r="1725" spans="1:45">
      <c r="A1725" s="20">
        <v>61.294566670000002</v>
      </c>
      <c r="B1725" s="20">
        <v>1854.1386809999999</v>
      </c>
      <c r="C1725" s="20">
        <v>-468.01404980000001</v>
      </c>
      <c r="E1725" s="9">
        <f t="shared" si="460"/>
        <v>894.13868099999991</v>
      </c>
      <c r="F1725" s="9">
        <f t="shared" si="459"/>
        <v>71.985950199999991</v>
      </c>
      <c r="I1725">
        <v>1</v>
      </c>
      <c r="J1725">
        <f t="shared" si="461"/>
        <v>0.53899070463617171</v>
      </c>
      <c r="K1725">
        <f t="shared" si="462"/>
        <v>8.033543844707125E-2</v>
      </c>
      <c r="O1725">
        <f t="shared" si="463"/>
        <v>0.51161467243677283</v>
      </c>
      <c r="P1725">
        <f t="shared" si="464"/>
        <v>4.1189436397532204E-2</v>
      </c>
      <c r="Q1725">
        <f t="shared" si="465"/>
        <v>0.8582271594844032</v>
      </c>
      <c r="R1725">
        <f t="shared" si="466"/>
        <v>1</v>
      </c>
      <c r="AG1725" s="8">
        <f t="shared" si="456"/>
        <v>0.77044731086995644</v>
      </c>
      <c r="AH1725" s="8">
        <f t="shared" si="457"/>
        <v>0.24632929955291702</v>
      </c>
      <c r="AI1725" s="8">
        <f t="shared" si="458"/>
        <v>0.58799049087125721</v>
      </c>
      <c r="AJ1725" s="8"/>
      <c r="AK1725" s="8"/>
      <c r="AL1725" s="8"/>
      <c r="AN1725" s="8">
        <f t="shared" si="467"/>
        <v>1</v>
      </c>
      <c r="AO1725" s="8">
        <f t="shared" si="468"/>
        <v>0.30945115271600043</v>
      </c>
      <c r="AP1725" s="8">
        <f t="shared" si="469"/>
        <v>0.94222408385550183</v>
      </c>
      <c r="AQ1725" s="8"/>
      <c r="AR1725" s="8">
        <f t="shared" si="470"/>
        <v>17.730245016085128</v>
      </c>
      <c r="AS1725" s="8">
        <f t="shared" si="471"/>
        <v>36.014536639499177</v>
      </c>
    </row>
    <row r="1726" spans="1:45">
      <c r="A1726" s="20">
        <v>61.32793333</v>
      </c>
      <c r="B1726" s="20">
        <v>1855.3222450000001</v>
      </c>
      <c r="C1726" s="20">
        <v>-468.71101870000001</v>
      </c>
      <c r="E1726" s="9">
        <f t="shared" si="460"/>
        <v>895.32224500000007</v>
      </c>
      <c r="F1726" s="9">
        <f t="shared" si="459"/>
        <v>71.288981299999989</v>
      </c>
      <c r="I1726">
        <v>1</v>
      </c>
      <c r="J1726">
        <f t="shared" si="461"/>
        <v>0.53954752938329287</v>
      </c>
      <c r="K1726">
        <f t="shared" si="462"/>
        <v>7.9456191257657086E-2</v>
      </c>
      <c r="O1726">
        <f t="shared" si="463"/>
        <v>0.5121269854368441</v>
      </c>
      <c r="P1726">
        <f t="shared" si="464"/>
        <v>4.0777509206232833E-2</v>
      </c>
      <c r="Q1726">
        <f t="shared" si="465"/>
        <v>0.85794122498589953</v>
      </c>
      <c r="R1726">
        <f t="shared" si="466"/>
        <v>0.99999999999999989</v>
      </c>
      <c r="AG1726" s="8">
        <f t="shared" si="456"/>
        <v>0.77065192601021049</v>
      </c>
      <c r="AH1726" s="8">
        <f t="shared" si="457"/>
        <v>0.24682467174678224</v>
      </c>
      <c r="AI1726" s="8">
        <f t="shared" si="458"/>
        <v>0.58751441714552521</v>
      </c>
      <c r="AJ1726" s="8"/>
      <c r="AK1726" s="8"/>
      <c r="AL1726" s="8"/>
      <c r="AN1726" s="8">
        <f t="shared" si="467"/>
        <v>0.99999999999999989</v>
      </c>
      <c r="AO1726" s="8">
        <f t="shared" si="468"/>
        <v>0.30995723633845346</v>
      </c>
      <c r="AP1726" s="8">
        <f t="shared" si="469"/>
        <v>0.94281252603309507</v>
      </c>
      <c r="AQ1726" s="8"/>
      <c r="AR1726" s="8">
        <f t="shared" si="470"/>
        <v>17.759241471732377</v>
      </c>
      <c r="AS1726" s="8">
        <f t="shared" si="471"/>
        <v>35.980821386235597</v>
      </c>
    </row>
    <row r="1727" spans="1:45">
      <c r="A1727" s="20">
        <v>61.3613</v>
      </c>
      <c r="B1727" s="20">
        <v>1856.1642409999999</v>
      </c>
      <c r="C1727" s="20">
        <v>-469.27234929999997</v>
      </c>
      <c r="E1727" s="9">
        <f t="shared" si="460"/>
        <v>896.16424099999995</v>
      </c>
      <c r="F1727" s="9">
        <f t="shared" si="459"/>
        <v>70.727650700000027</v>
      </c>
      <c r="I1727">
        <v>1</v>
      </c>
      <c r="J1727">
        <f t="shared" si="461"/>
        <v>0.53994109337795537</v>
      </c>
      <c r="K1727">
        <f t="shared" si="462"/>
        <v>7.8759388935838101E-2</v>
      </c>
      <c r="O1727">
        <f t="shared" si="463"/>
        <v>0.51249184337067355</v>
      </c>
      <c r="P1727">
        <f t="shared" si="464"/>
        <v>4.0447210930970548E-2</v>
      </c>
      <c r="Q1727">
        <f t="shared" si="465"/>
        <v>0.85773896589022613</v>
      </c>
      <c r="R1727">
        <f t="shared" si="466"/>
        <v>1</v>
      </c>
      <c r="AG1727" s="8">
        <f t="shared" si="456"/>
        <v>0.77082075156851626</v>
      </c>
      <c r="AH1727" s="8">
        <f t="shared" si="457"/>
        <v>0.24717085302374284</v>
      </c>
      <c r="AI1727" s="8">
        <f t="shared" si="458"/>
        <v>0.58714728847782571</v>
      </c>
      <c r="AJ1727" s="8"/>
      <c r="AK1727" s="8"/>
      <c r="AL1727" s="8"/>
      <c r="AN1727" s="8">
        <f t="shared" si="467"/>
        <v>1</v>
      </c>
      <c r="AO1727" s="8">
        <f t="shared" si="468"/>
        <v>0.31030090105268687</v>
      </c>
      <c r="AP1727" s="8">
        <f t="shared" si="469"/>
        <v>0.94326613703433804</v>
      </c>
      <c r="AQ1727" s="8"/>
      <c r="AR1727" s="8">
        <f t="shared" si="470"/>
        <v>17.778932009425521</v>
      </c>
      <c r="AS1727" s="8">
        <f t="shared" si="471"/>
        <v>35.954831390323669</v>
      </c>
    </row>
    <row r="1728" spans="1:45">
      <c r="A1728" s="20">
        <v>61.394666669999999</v>
      </c>
      <c r="B1728" s="20">
        <v>1856.301068</v>
      </c>
      <c r="C1728" s="20">
        <v>-469.25337430000002</v>
      </c>
      <c r="E1728" s="9">
        <f t="shared" si="460"/>
        <v>896.30106799999999</v>
      </c>
      <c r="F1728" s="9">
        <f t="shared" si="459"/>
        <v>70.746625699999981</v>
      </c>
      <c r="I1728">
        <v>1</v>
      </c>
      <c r="J1728">
        <f t="shared" si="461"/>
        <v>0.54000933969582066</v>
      </c>
      <c r="K1728">
        <f t="shared" si="462"/>
        <v>7.87684546762695E-2</v>
      </c>
      <c r="O1728">
        <f t="shared" si="463"/>
        <v>0.51254983149501154</v>
      </c>
      <c r="P1728">
        <f t="shared" si="464"/>
        <v>4.0456463097035648E-2</v>
      </c>
      <c r="Q1728">
        <f t="shared" si="465"/>
        <v>0.85770387945264281</v>
      </c>
      <c r="R1728">
        <f t="shared" si="466"/>
        <v>1</v>
      </c>
      <c r="AG1728" s="8">
        <f t="shared" si="456"/>
        <v>0.77080849059376977</v>
      </c>
      <c r="AH1728" s="8">
        <f t="shared" si="457"/>
        <v>0.24723710813005315</v>
      </c>
      <c r="AI1728" s="8">
        <f t="shared" si="458"/>
        <v>0.58713548963764994</v>
      </c>
      <c r="AJ1728" s="8"/>
      <c r="AK1728" s="8"/>
      <c r="AL1728" s="8"/>
      <c r="AN1728" s="8">
        <f t="shared" si="467"/>
        <v>1.0000000000000002</v>
      </c>
      <c r="AO1728" s="8">
        <f t="shared" si="468"/>
        <v>0.31038346515634396</v>
      </c>
      <c r="AP1728" s="8">
        <f t="shared" si="469"/>
        <v>0.94328071278183545</v>
      </c>
      <c r="AQ1728" s="8"/>
      <c r="AR1728" s="8">
        <f t="shared" si="470"/>
        <v>17.783662584104352</v>
      </c>
      <c r="AS1728" s="8">
        <f t="shared" si="471"/>
        <v>35.95399626150882</v>
      </c>
    </row>
    <row r="1729" spans="1:45">
      <c r="A1729" s="20">
        <v>61.428033329999998</v>
      </c>
      <c r="B1729" s="20">
        <v>1856.822576</v>
      </c>
      <c r="C1729" s="20">
        <v>-469.31041629999999</v>
      </c>
      <c r="E1729" s="9">
        <f t="shared" si="460"/>
        <v>896.82257600000003</v>
      </c>
      <c r="F1729" s="9">
        <f t="shared" si="459"/>
        <v>70.689583700000014</v>
      </c>
      <c r="I1729">
        <v>1</v>
      </c>
      <c r="J1729">
        <f t="shared" si="461"/>
        <v>0.54026437274830252</v>
      </c>
      <c r="K1729">
        <f t="shared" si="462"/>
        <v>7.8659627876491098E-2</v>
      </c>
      <c r="O1729">
        <f t="shared" si="463"/>
        <v>0.51277228100569328</v>
      </c>
      <c r="P1729">
        <f t="shared" si="464"/>
        <v>4.0417870877942616E-2</v>
      </c>
      <c r="Q1729">
        <f t="shared" si="465"/>
        <v>0.85757272784639804</v>
      </c>
      <c r="R1729">
        <f t="shared" si="466"/>
        <v>1</v>
      </c>
      <c r="AG1729" s="8">
        <f t="shared" si="456"/>
        <v>0.77080829823974328</v>
      </c>
      <c r="AH1729" s="8">
        <f t="shared" si="457"/>
        <v>0.24747781450854192</v>
      </c>
      <c r="AI1729" s="8">
        <f t="shared" si="458"/>
        <v>0.58703432496816299</v>
      </c>
      <c r="AJ1729" s="8"/>
      <c r="AK1729" s="8"/>
      <c r="AL1729" s="8"/>
      <c r="AN1729" s="8">
        <f t="shared" si="467"/>
        <v>1</v>
      </c>
      <c r="AO1729" s="8">
        <f t="shared" si="468"/>
        <v>0.31066665943992228</v>
      </c>
      <c r="AP1729" s="8">
        <f t="shared" si="469"/>
        <v>0.9434056806635267</v>
      </c>
      <c r="AQ1729" s="8"/>
      <c r="AR1729" s="8">
        <f t="shared" si="470"/>
        <v>17.799888421335623</v>
      </c>
      <c r="AS1729" s="8">
        <f t="shared" si="471"/>
        <v>35.946836129313226</v>
      </c>
    </row>
    <row r="1730" spans="1:45">
      <c r="A1730" s="20">
        <v>61.461399999999998</v>
      </c>
      <c r="B1730" s="20">
        <v>1857.636634</v>
      </c>
      <c r="C1730" s="20">
        <v>-469.57715760000002</v>
      </c>
      <c r="E1730" s="9">
        <f t="shared" si="460"/>
        <v>897.63663399999996</v>
      </c>
      <c r="F1730" s="9">
        <f t="shared" si="459"/>
        <v>70.422842399999979</v>
      </c>
      <c r="I1730">
        <v>1</v>
      </c>
      <c r="J1730">
        <f t="shared" si="461"/>
        <v>0.54065544713281877</v>
      </c>
      <c r="K1730">
        <f t="shared" si="462"/>
        <v>7.8293250828668975E-2</v>
      </c>
      <c r="O1730">
        <f t="shared" si="463"/>
        <v>0.51312136290530452</v>
      </c>
      <c r="P1730">
        <f t="shared" si="464"/>
        <v>4.0256227857956892E-2</v>
      </c>
      <c r="Q1730">
        <f t="shared" si="465"/>
        <v>0.85737150818583374</v>
      </c>
      <c r="R1730">
        <f t="shared" si="466"/>
        <v>1</v>
      </c>
      <c r="AG1730" s="8">
        <f t="shared" si="456"/>
        <v>0.77087182957304756</v>
      </c>
      <c r="AH1730" s="8">
        <f t="shared" si="457"/>
        <v>0.24783721692345256</v>
      </c>
      <c r="AI1730" s="8">
        <f t="shared" si="458"/>
        <v>0.58679922995718048</v>
      </c>
      <c r="AJ1730" s="8"/>
      <c r="AK1730" s="8"/>
      <c r="AL1730" s="8"/>
      <c r="AN1730" s="8">
        <f t="shared" si="467"/>
        <v>1</v>
      </c>
      <c r="AO1730" s="8">
        <f t="shared" si="468"/>
        <v>0.31106528087019714</v>
      </c>
      <c r="AP1730" s="8">
        <f t="shared" si="469"/>
        <v>0.94369604786762307</v>
      </c>
      <c r="AQ1730" s="8"/>
      <c r="AR1730" s="8">
        <f t="shared" si="470"/>
        <v>17.822727746913841</v>
      </c>
      <c r="AS1730" s="8">
        <f t="shared" si="471"/>
        <v>35.930199314009485</v>
      </c>
    </row>
    <row r="1731" spans="1:45">
      <c r="A1731" s="20">
        <v>61.494766669999997</v>
      </c>
      <c r="B1731" s="20">
        <v>1857.7462</v>
      </c>
      <c r="C1731" s="20">
        <v>-470.08739070000001</v>
      </c>
      <c r="E1731" s="9">
        <f t="shared" si="460"/>
        <v>897.74620000000004</v>
      </c>
      <c r="F1731" s="9">
        <f t="shared" si="459"/>
        <v>69.912609299999986</v>
      </c>
      <c r="I1731">
        <v>1</v>
      </c>
      <c r="J1731">
        <f t="shared" si="461"/>
        <v>0.54068980135798705</v>
      </c>
      <c r="K1731">
        <f t="shared" si="462"/>
        <v>7.7718836491351875E-2</v>
      </c>
      <c r="O1731">
        <f t="shared" si="463"/>
        <v>0.51317376712632079</v>
      </c>
      <c r="P1731">
        <f t="shared" si="464"/>
        <v>3.9963763794390483E-2</v>
      </c>
      <c r="Q1731">
        <f t="shared" si="465"/>
        <v>0.85735382562671691</v>
      </c>
      <c r="R1731">
        <f t="shared" si="466"/>
        <v>1</v>
      </c>
      <c r="AG1731" s="8">
        <f t="shared" si="456"/>
        <v>0.77105098410077277</v>
      </c>
      <c r="AH1731" s="8">
        <f t="shared" si="457"/>
        <v>0.24784244073572462</v>
      </c>
      <c r="AI1731" s="8">
        <f t="shared" si="458"/>
        <v>0.5865615947940922</v>
      </c>
      <c r="AJ1731" s="8"/>
      <c r="AK1731" s="8"/>
      <c r="AL1731" s="8"/>
      <c r="AN1731" s="8">
        <f t="shared" si="467"/>
        <v>1</v>
      </c>
      <c r="AO1731" s="8">
        <f t="shared" si="468"/>
        <v>0.31100371652668179</v>
      </c>
      <c r="AP1731" s="8">
        <f t="shared" si="469"/>
        <v>0.94398949034743029</v>
      </c>
      <c r="AQ1731" s="8"/>
      <c r="AR1731" s="8">
        <f t="shared" si="470"/>
        <v>17.819200369861917</v>
      </c>
      <c r="AS1731" s="8">
        <f t="shared" si="471"/>
        <v>35.913386298386683</v>
      </c>
    </row>
    <row r="1732" spans="1:45">
      <c r="A1732" s="20">
        <v>61.528133330000003</v>
      </c>
      <c r="B1732" s="20">
        <v>1858.2933479999999</v>
      </c>
      <c r="C1732" s="20">
        <v>-470.6790858</v>
      </c>
      <c r="E1732" s="9">
        <f t="shared" si="460"/>
        <v>898.29334799999992</v>
      </c>
      <c r="F1732" s="9">
        <f t="shared" si="459"/>
        <v>69.320914200000004</v>
      </c>
      <c r="I1732">
        <v>1</v>
      </c>
      <c r="J1732">
        <f t="shared" si="461"/>
        <v>0.54093690352628843</v>
      </c>
      <c r="K1732">
        <f t="shared" si="462"/>
        <v>7.7016932863328322E-2</v>
      </c>
      <c r="O1732">
        <f t="shared" si="463"/>
        <v>0.51341290173485488</v>
      </c>
      <c r="P1732">
        <f t="shared" si="464"/>
        <v>3.9619854460210165E-2</v>
      </c>
      <c r="Q1732">
        <f t="shared" si="465"/>
        <v>0.85722660916746396</v>
      </c>
      <c r="R1732">
        <f t="shared" si="466"/>
        <v>1</v>
      </c>
      <c r="AG1732" s="8">
        <f t="shared" si="456"/>
        <v>0.77124178262229981</v>
      </c>
      <c r="AH1732" s="8">
        <f t="shared" si="457"/>
        <v>0.24804635301636732</v>
      </c>
      <c r="AI1732" s="8">
        <f t="shared" si="458"/>
        <v>0.5862244616977843</v>
      </c>
      <c r="AJ1732" s="8"/>
      <c r="AK1732" s="8"/>
      <c r="AL1732" s="8"/>
      <c r="AN1732" s="8">
        <f t="shared" si="467"/>
        <v>1</v>
      </c>
      <c r="AO1732" s="8">
        <f t="shared" si="468"/>
        <v>0.31117126958660712</v>
      </c>
      <c r="AP1732" s="8">
        <f t="shared" si="469"/>
        <v>0.9444056903472613</v>
      </c>
      <c r="AQ1732" s="8"/>
      <c r="AR1732" s="8">
        <f t="shared" si="470"/>
        <v>17.828800453040142</v>
      </c>
      <c r="AS1732" s="8">
        <f t="shared" si="471"/>
        <v>35.889539794963021</v>
      </c>
    </row>
    <row r="1733" spans="1:45">
      <c r="A1733" s="20">
        <v>61.561500000000002</v>
      </c>
      <c r="B1733" s="20">
        <v>1859.0014880000001</v>
      </c>
      <c r="C1733" s="20">
        <v>-470.9868429</v>
      </c>
      <c r="E1733" s="9">
        <f t="shared" si="460"/>
        <v>899.00148800000011</v>
      </c>
      <c r="F1733" s="9">
        <f t="shared" si="459"/>
        <v>69.013157100000001</v>
      </c>
      <c r="I1733">
        <v>1</v>
      </c>
      <c r="J1733">
        <f t="shared" si="461"/>
        <v>0.54127419830364776</v>
      </c>
      <c r="K1733">
        <f t="shared" si="462"/>
        <v>7.6616188596700469E-2</v>
      </c>
      <c r="O1733">
        <f t="shared" si="463"/>
        <v>0.51371699857393438</v>
      </c>
      <c r="P1733">
        <f t="shared" si="464"/>
        <v>3.9436232754626328E-2</v>
      </c>
      <c r="Q1733">
        <f t="shared" si="465"/>
        <v>0.85705287405288544</v>
      </c>
      <c r="R1733">
        <f t="shared" si="466"/>
        <v>0.99999999999999989</v>
      </c>
      <c r="AG1733" s="8">
        <f t="shared" si="456"/>
        <v>0.77132387505430278</v>
      </c>
      <c r="AH1733" s="8">
        <f t="shared" si="457"/>
        <v>0.2483517886096468</v>
      </c>
      <c r="AI1733" s="8">
        <f t="shared" si="458"/>
        <v>0.58598708933354793</v>
      </c>
      <c r="AJ1733" s="8"/>
      <c r="AK1733" s="8"/>
      <c r="AL1733" s="8"/>
      <c r="AN1733" s="8">
        <f t="shared" si="467"/>
        <v>0.99999999999999978</v>
      </c>
      <c r="AO1733" s="8">
        <f t="shared" si="468"/>
        <v>0.31149908150752997</v>
      </c>
      <c r="AP1733" s="8">
        <f t="shared" si="469"/>
        <v>0.94469865781886797</v>
      </c>
      <c r="AQ1733" s="8"/>
      <c r="AR1733" s="8">
        <f t="shared" si="470"/>
        <v>17.847582692583096</v>
      </c>
      <c r="AS1733" s="8">
        <f t="shared" si="471"/>
        <v>35.872753995305338</v>
      </c>
    </row>
    <row r="1734" spans="1:45">
      <c r="A1734" s="20">
        <v>61.594866670000002</v>
      </c>
      <c r="B1734" s="20">
        <v>1859.2759120000001</v>
      </c>
      <c r="C1734" s="20">
        <v>-471.09207359999999</v>
      </c>
      <c r="E1734" s="9">
        <f t="shared" si="460"/>
        <v>899.27591200000006</v>
      </c>
      <c r="F1734" s="9">
        <f t="shared" si="459"/>
        <v>68.907926400000008</v>
      </c>
      <c r="I1734">
        <v>1</v>
      </c>
      <c r="J1734">
        <f t="shared" si="461"/>
        <v>0.54140542220831145</v>
      </c>
      <c r="K1734">
        <f t="shared" si="462"/>
        <v>7.6476566618226369E-2</v>
      </c>
      <c r="O1734">
        <f t="shared" si="463"/>
        <v>0.5138346324055042</v>
      </c>
      <c r="P1734">
        <f t="shared" si="464"/>
        <v>3.9373098466324245E-2</v>
      </c>
      <c r="Q1734">
        <f t="shared" si="465"/>
        <v>0.8569852563830147</v>
      </c>
      <c r="R1734">
        <f t="shared" si="466"/>
        <v>1</v>
      </c>
      <c r="AG1734" s="8">
        <f t="shared" si="456"/>
        <v>0.77135060569607761</v>
      </c>
      <c r="AH1734" s="8">
        <f t="shared" si="457"/>
        <v>0.24847138717023975</v>
      </c>
      <c r="AI1734" s="8">
        <f t="shared" si="458"/>
        <v>0.5859011971740552</v>
      </c>
      <c r="AJ1734" s="8"/>
      <c r="AK1734" s="8"/>
      <c r="AL1734" s="8"/>
      <c r="AN1734" s="8">
        <f t="shared" si="467"/>
        <v>1</v>
      </c>
      <c r="AO1734" s="8">
        <f t="shared" si="468"/>
        <v>0.31162945246024304</v>
      </c>
      <c r="AP1734" s="8">
        <f t="shared" si="469"/>
        <v>0.9448046515335089</v>
      </c>
      <c r="AQ1734" s="8"/>
      <c r="AR1734" s="8">
        <f t="shared" si="470"/>
        <v>17.855052397944654</v>
      </c>
      <c r="AS1734" s="8">
        <f t="shared" si="471"/>
        <v>35.866681002801499</v>
      </c>
    </row>
    <row r="1735" spans="1:45">
      <c r="A1735" s="20">
        <v>61.62823333</v>
      </c>
      <c r="B1735" s="20">
        <v>1860.0774429999999</v>
      </c>
      <c r="C1735" s="20">
        <v>-471.52459870000001</v>
      </c>
      <c r="E1735" s="9">
        <f t="shared" si="460"/>
        <v>900.0774429999999</v>
      </c>
      <c r="F1735" s="9">
        <f t="shared" si="459"/>
        <v>68.475401299999987</v>
      </c>
      <c r="I1735">
        <v>1</v>
      </c>
      <c r="J1735">
        <f t="shared" si="461"/>
        <v>0.54178393743370501</v>
      </c>
      <c r="K1735">
        <f t="shared" si="462"/>
        <v>7.5930968650392061E-2</v>
      </c>
      <c r="O1735">
        <f t="shared" si="463"/>
        <v>0.51417944829238138</v>
      </c>
      <c r="P1735">
        <f t="shared" si="464"/>
        <v>3.9117349663470476E-2</v>
      </c>
      <c r="Q1735">
        <f t="shared" si="465"/>
        <v>0.85679013060903542</v>
      </c>
      <c r="R1735">
        <f t="shared" si="466"/>
        <v>1</v>
      </c>
      <c r="AG1735" s="8">
        <f t="shared" si="456"/>
        <v>0.77147350206064114</v>
      </c>
      <c r="AH1735" s="8">
        <f t="shared" si="457"/>
        <v>0.24880918197952678</v>
      </c>
      <c r="AI1735" s="8">
        <f t="shared" si="458"/>
        <v>0.58559595847390244</v>
      </c>
      <c r="AJ1735" s="8"/>
      <c r="AK1735" s="8"/>
      <c r="AL1735" s="8"/>
      <c r="AN1735" s="8">
        <f t="shared" si="467"/>
        <v>0.99999999999999978</v>
      </c>
      <c r="AO1735" s="8">
        <f t="shared" si="468"/>
        <v>0.31197961612429664</v>
      </c>
      <c r="AP1735" s="8">
        <f t="shared" si="469"/>
        <v>0.94518126030663874</v>
      </c>
      <c r="AQ1735" s="8"/>
      <c r="AR1735" s="8">
        <f t="shared" si="470"/>
        <v>17.875115298033762</v>
      </c>
      <c r="AS1735" s="8">
        <f t="shared" si="471"/>
        <v>35.845102909573555</v>
      </c>
    </row>
    <row r="1736" spans="1:45">
      <c r="A1736" s="20">
        <v>61.6616</v>
      </c>
      <c r="B1736" s="20">
        <v>1860.0935549999999</v>
      </c>
      <c r="C1736" s="20">
        <v>-470.6756757</v>
      </c>
      <c r="E1736" s="9">
        <f t="shared" si="460"/>
        <v>900.09355499999992</v>
      </c>
      <c r="F1736" s="9">
        <f t="shared" si="459"/>
        <v>69.324324300000001</v>
      </c>
      <c r="I1736">
        <v>1</v>
      </c>
      <c r="J1736">
        <f t="shared" si="461"/>
        <v>0.54182386915684966</v>
      </c>
      <c r="K1736">
        <f t="shared" si="462"/>
        <v>7.6867270143233121E-2</v>
      </c>
      <c r="O1736">
        <f t="shared" si="463"/>
        <v>0.51417670895519696</v>
      </c>
      <c r="P1736">
        <f t="shared" si="464"/>
        <v>3.9601386679317785E-2</v>
      </c>
      <c r="Q1736">
        <f t="shared" si="465"/>
        <v>0.85676953852309534</v>
      </c>
      <c r="R1736">
        <f t="shared" si="466"/>
        <v>1</v>
      </c>
      <c r="AG1736" s="8">
        <f t="shared" si="456"/>
        <v>0.77116795848045838</v>
      </c>
      <c r="AH1736" s="8">
        <f t="shared" si="457"/>
        <v>0.24889397126642032</v>
      </c>
      <c r="AI1736" s="8">
        <f t="shared" si="458"/>
        <v>0.58596226062803081</v>
      </c>
      <c r="AJ1736" s="8"/>
      <c r="AK1736" s="8"/>
      <c r="AL1736" s="8"/>
      <c r="AN1736" s="8">
        <f t="shared" si="467"/>
        <v>1</v>
      </c>
      <c r="AO1736" s="8">
        <f t="shared" si="468"/>
        <v>0.31219493467286874</v>
      </c>
      <c r="AP1736" s="8">
        <f t="shared" si="469"/>
        <v>0.94472929808267014</v>
      </c>
      <c r="AQ1736" s="8"/>
      <c r="AR1736" s="8">
        <f t="shared" si="470"/>
        <v>17.887452142117827</v>
      </c>
      <c r="AS1736" s="8">
        <f t="shared" si="471"/>
        <v>35.870998437506302</v>
      </c>
    </row>
    <row r="1737" spans="1:45">
      <c r="A1737" s="20">
        <v>61.694966669999999</v>
      </c>
      <c r="B1737" s="20">
        <v>1860.1285210000001</v>
      </c>
      <c r="C1737" s="20">
        <v>-470.67416480000003</v>
      </c>
      <c r="E1737" s="9">
        <f t="shared" si="460"/>
        <v>900.12852100000009</v>
      </c>
      <c r="F1737" s="9">
        <f t="shared" si="459"/>
        <v>69.325835199999972</v>
      </c>
      <c r="I1737">
        <v>1</v>
      </c>
      <c r="J1737">
        <f t="shared" si="461"/>
        <v>0.54184114264733296</v>
      </c>
      <c r="K1737">
        <f t="shared" si="462"/>
        <v>7.6865964578401849E-2</v>
      </c>
      <c r="O1737">
        <f t="shared" si="463"/>
        <v>0.51419151628200455</v>
      </c>
      <c r="P1737">
        <f t="shared" si="464"/>
        <v>3.9601851832672182E-2</v>
      </c>
      <c r="Q1737">
        <f t="shared" si="465"/>
        <v>0.85676063046514706</v>
      </c>
      <c r="R1737">
        <f t="shared" si="466"/>
        <v>1</v>
      </c>
      <c r="AG1737" s="8">
        <f t="shared" si="456"/>
        <v>0.77116600030699367</v>
      </c>
      <c r="AH1737" s="8">
        <f t="shared" si="457"/>
        <v>0.24891055541928964</v>
      </c>
      <c r="AI1737" s="8">
        <f t="shared" si="458"/>
        <v>0.58595779316549312</v>
      </c>
      <c r="AJ1737" s="8"/>
      <c r="AK1737" s="8"/>
      <c r="AL1737" s="8"/>
      <c r="AN1737" s="8">
        <f t="shared" si="467"/>
        <v>1.0000000000000002</v>
      </c>
      <c r="AO1737" s="8">
        <f t="shared" si="468"/>
        <v>0.31221515324860899</v>
      </c>
      <c r="AP1737" s="8">
        <f t="shared" si="469"/>
        <v>0.94473481115467883</v>
      </c>
      <c r="AQ1737" s="8"/>
      <c r="AR1737" s="8">
        <f t="shared" si="470"/>
        <v>17.888610581175509</v>
      </c>
      <c r="AS1737" s="8">
        <f t="shared" si="471"/>
        <v>35.870682561748055</v>
      </c>
    </row>
    <row r="1738" spans="1:45">
      <c r="A1738" s="20">
        <v>61.728333329999998</v>
      </c>
      <c r="B1738" s="20">
        <v>1860.1977879999999</v>
      </c>
      <c r="C1738" s="20">
        <v>-470.67177420000002</v>
      </c>
      <c r="E1738" s="9">
        <f t="shared" si="460"/>
        <v>900.19778799999995</v>
      </c>
      <c r="F1738" s="9">
        <f t="shared" si="459"/>
        <v>69.328225799999984</v>
      </c>
      <c r="I1738">
        <v>1</v>
      </c>
      <c r="J1738">
        <f t="shared" si="461"/>
        <v>0.54187533722814796</v>
      </c>
      <c r="K1738">
        <f t="shared" si="462"/>
        <v>7.6862713264971169E-2</v>
      </c>
      <c r="O1738">
        <f t="shared" si="463"/>
        <v>0.51422085480965107</v>
      </c>
      <c r="P1738">
        <f t="shared" si="464"/>
        <v>3.9602429608850027E-2</v>
      </c>
      <c r="Q1738">
        <f t="shared" si="465"/>
        <v>0.8567429953305179</v>
      </c>
      <c r="R1738">
        <f t="shared" si="466"/>
        <v>1</v>
      </c>
      <c r="AG1738" s="8">
        <f t="shared" si="456"/>
        <v>0.77116233706874215</v>
      </c>
      <c r="AH1738" s="8">
        <f t="shared" si="457"/>
        <v>0.24894335232729251</v>
      </c>
      <c r="AI1738" s="8">
        <f t="shared" si="458"/>
        <v>0.58594868138662548</v>
      </c>
      <c r="AJ1738" s="8"/>
      <c r="AK1738" s="8"/>
      <c r="AL1738" s="8"/>
      <c r="AN1738" s="8">
        <f t="shared" si="467"/>
        <v>1</v>
      </c>
      <c r="AO1738" s="8">
        <f t="shared" si="468"/>
        <v>0.31225505780618867</v>
      </c>
      <c r="AP1738" s="8">
        <f t="shared" si="469"/>
        <v>0.94474605547698776</v>
      </c>
      <c r="AQ1738" s="8"/>
      <c r="AR1738" s="8">
        <f t="shared" si="470"/>
        <v>17.89089694390816</v>
      </c>
      <c r="AS1738" s="8">
        <f t="shared" si="471"/>
        <v>35.87003830953627</v>
      </c>
    </row>
    <row r="1739" spans="1:45">
      <c r="A1739" s="20">
        <v>61.761699999999998</v>
      </c>
      <c r="B1739" s="20">
        <v>1860.893075</v>
      </c>
      <c r="C1739" s="20">
        <v>-471.0036849</v>
      </c>
      <c r="E1739" s="9">
        <f t="shared" si="460"/>
        <v>900.89307499999995</v>
      </c>
      <c r="F1739" s="9">
        <f t="shared" si="459"/>
        <v>68.996315100000004</v>
      </c>
      <c r="I1739">
        <v>1</v>
      </c>
      <c r="J1739">
        <f t="shared" si="461"/>
        <v>0.5422050488632103</v>
      </c>
      <c r="K1739">
        <f t="shared" si="462"/>
        <v>7.6437360223078121E-2</v>
      </c>
      <c r="O1739">
        <f t="shared" si="463"/>
        <v>0.51451927867112024</v>
      </c>
      <c r="P1739">
        <f t="shared" si="464"/>
        <v>3.9405269350324762E-2</v>
      </c>
      <c r="Q1739">
        <f t="shared" si="465"/>
        <v>0.85657290210651571</v>
      </c>
      <c r="R1739">
        <f t="shared" si="466"/>
        <v>1</v>
      </c>
      <c r="AG1739" s="8">
        <f t="shared" si="456"/>
        <v>0.77125334031172676</v>
      </c>
      <c r="AH1739" s="8">
        <f t="shared" si="457"/>
        <v>0.24924011878878008</v>
      </c>
      <c r="AI1739" s="8">
        <f t="shared" si="458"/>
        <v>0.58570269612164039</v>
      </c>
      <c r="AJ1739" s="8"/>
      <c r="AK1739" s="8"/>
      <c r="AL1739" s="8"/>
      <c r="AN1739" s="8">
        <f t="shared" si="467"/>
        <v>1</v>
      </c>
      <c r="AO1739" s="8">
        <f t="shared" si="468"/>
        <v>0.31256900099254598</v>
      </c>
      <c r="AP1739" s="8">
        <f t="shared" si="469"/>
        <v>0.94504957721007576</v>
      </c>
      <c r="AQ1739" s="8"/>
      <c r="AR1739" s="8">
        <f t="shared" si="470"/>
        <v>17.908884563493324</v>
      </c>
      <c r="AS1739" s="8">
        <f t="shared" si="471"/>
        <v>35.852647795239832</v>
      </c>
    </row>
    <row r="1740" spans="1:45">
      <c r="A1740" s="20">
        <v>61.795066669999997</v>
      </c>
      <c r="B1740" s="20">
        <v>1861.508709</v>
      </c>
      <c r="C1740" s="20">
        <v>-471.21126099999998</v>
      </c>
      <c r="E1740" s="9">
        <f t="shared" si="460"/>
        <v>901.50870899999995</v>
      </c>
      <c r="F1740" s="9">
        <f t="shared" si="459"/>
        <v>68.788739000000021</v>
      </c>
      <c r="I1740">
        <v>1</v>
      </c>
      <c r="J1740">
        <f t="shared" si="461"/>
        <v>0.54250018633836294</v>
      </c>
      <c r="K1740">
        <f t="shared" si="462"/>
        <v>7.6156447284149539E-2</v>
      </c>
      <c r="O1740">
        <f t="shared" si="463"/>
        <v>0.51478237941004468</v>
      </c>
      <c r="P1740">
        <f t="shared" si="464"/>
        <v>3.9279965224425298E-2</v>
      </c>
      <c r="Q1740">
        <f t="shared" si="465"/>
        <v>0.85642056618281936</v>
      </c>
      <c r="R1740">
        <f t="shared" si="466"/>
        <v>1</v>
      </c>
      <c r="AG1740" s="8">
        <f t="shared" si="456"/>
        <v>0.77130280627647518</v>
      </c>
      <c r="AH1740" s="8">
        <f t="shared" si="457"/>
        <v>0.24951060513814402</v>
      </c>
      <c r="AI1740" s="8">
        <f t="shared" si="458"/>
        <v>0.58552236417888559</v>
      </c>
      <c r="AJ1740" s="8"/>
      <c r="AK1740" s="8"/>
      <c r="AL1740" s="8"/>
      <c r="AN1740" s="8">
        <f t="shared" si="467"/>
        <v>1.0000000000000002</v>
      </c>
      <c r="AO1740" s="8">
        <f t="shared" si="468"/>
        <v>0.31286773354888781</v>
      </c>
      <c r="AP1740" s="8">
        <f t="shared" si="469"/>
        <v>0.9452720468858008</v>
      </c>
      <c r="AQ1740" s="8"/>
      <c r="AR1740" s="8">
        <f t="shared" si="470"/>
        <v>17.926000678174866</v>
      </c>
      <c r="AS1740" s="8">
        <f t="shared" si="471"/>
        <v>35.839901221751141</v>
      </c>
    </row>
    <row r="1741" spans="1:45">
      <c r="A1741" s="20">
        <v>61.828433330000003</v>
      </c>
      <c r="B1741" s="20">
        <v>1861.762935</v>
      </c>
      <c r="C1741" s="20">
        <v>-471.32447789999998</v>
      </c>
      <c r="E1741" s="9">
        <f t="shared" si="460"/>
        <v>901.76293499999997</v>
      </c>
      <c r="F1741" s="9">
        <f t="shared" si="459"/>
        <v>68.675522100000023</v>
      </c>
      <c r="I1741">
        <v>1</v>
      </c>
      <c r="J1741">
        <f t="shared" si="461"/>
        <v>0.54262101304810884</v>
      </c>
      <c r="K1741">
        <f t="shared" si="462"/>
        <v>7.6010234600694837E-2</v>
      </c>
      <c r="O1741">
        <f t="shared" si="463"/>
        <v>0.51489129307535031</v>
      </c>
      <c r="P1741">
        <f t="shared" si="464"/>
        <v>3.9212554657387655E-2</v>
      </c>
      <c r="Q1741">
        <f t="shared" si="465"/>
        <v>0.85635817966107797</v>
      </c>
      <c r="R1741">
        <f t="shared" si="466"/>
        <v>1</v>
      </c>
      <c r="AG1741" s="8">
        <f t="shared" si="456"/>
        <v>0.77133307367278081</v>
      </c>
      <c r="AH1741" s="8">
        <f t="shared" si="457"/>
        <v>0.24961976721303236</v>
      </c>
      <c r="AI1741" s="8">
        <f t="shared" si="458"/>
        <v>0.58543595830373463</v>
      </c>
      <c r="AJ1741" s="8"/>
      <c r="AK1741" s="8"/>
      <c r="AL1741" s="8"/>
      <c r="AN1741" s="8">
        <f t="shared" si="467"/>
        <v>1</v>
      </c>
      <c r="AO1741" s="8">
        <f t="shared" si="468"/>
        <v>0.31298435456008528</v>
      </c>
      <c r="AP1741" s="8">
        <f t="shared" si="469"/>
        <v>0.94537863034726621</v>
      </c>
      <c r="AQ1741" s="8"/>
      <c r="AR1741" s="8">
        <f t="shared" si="470"/>
        <v>17.932682569919027</v>
      </c>
      <c r="AS1741" s="8">
        <f t="shared" si="471"/>
        <v>35.833794439243277</v>
      </c>
    </row>
    <row r="1742" spans="1:45">
      <c r="A1742" s="20">
        <v>61.861800000000002</v>
      </c>
      <c r="B1742" s="20">
        <v>1861.9166580000001</v>
      </c>
      <c r="C1742" s="20">
        <v>-471.0822842</v>
      </c>
      <c r="E1742" s="9">
        <f t="shared" si="460"/>
        <v>901.9166580000001</v>
      </c>
      <c r="F1742" s="9">
        <f t="shared" si="459"/>
        <v>68.917715799999996</v>
      </c>
      <c r="I1742">
        <v>1</v>
      </c>
      <c r="J1742">
        <f t="shared" si="461"/>
        <v>0.54270571975550785</v>
      </c>
      <c r="K1742">
        <f t="shared" si="462"/>
        <v>7.626430807427563E-2</v>
      </c>
      <c r="O1742">
        <f t="shared" si="463"/>
        <v>0.51495364017010625</v>
      </c>
      <c r="P1742">
        <f t="shared" si="464"/>
        <v>3.9348900265481997E-2</v>
      </c>
      <c r="Q1742">
        <f t="shared" si="465"/>
        <v>0.85631443554540976</v>
      </c>
      <c r="R1742">
        <f t="shared" si="466"/>
        <v>0.99999999999999989</v>
      </c>
      <c r="AG1742" s="8">
        <f t="shared" si="456"/>
        <v>0.77123986686083268</v>
      </c>
      <c r="AH1742" s="8">
        <f t="shared" si="457"/>
        <v>0.24971400170834027</v>
      </c>
      <c r="AI1742" s="8">
        <f t="shared" si="458"/>
        <v>0.5855185608631821</v>
      </c>
      <c r="AJ1742" s="8"/>
      <c r="AK1742" s="8"/>
      <c r="AL1742" s="8"/>
      <c r="AN1742" s="8">
        <f t="shared" si="467"/>
        <v>0.99999999999999978</v>
      </c>
      <c r="AO1742" s="8">
        <f t="shared" si="468"/>
        <v>0.31313035281819346</v>
      </c>
      <c r="AP1742" s="8">
        <f t="shared" si="469"/>
        <v>0.94527673852821226</v>
      </c>
      <c r="AQ1742" s="8"/>
      <c r="AR1742" s="8">
        <f t="shared" si="470"/>
        <v>17.941047653924887</v>
      </c>
      <c r="AS1742" s="8">
        <f t="shared" si="471"/>
        <v>35.839632410441979</v>
      </c>
    </row>
    <row r="1743" spans="1:45">
      <c r="A1743" s="20">
        <v>61.895166670000002</v>
      </c>
      <c r="B1743" s="20">
        <v>1862.9265680000001</v>
      </c>
      <c r="C1743" s="20">
        <v>-471.68750540000002</v>
      </c>
      <c r="E1743" s="9">
        <f t="shared" si="460"/>
        <v>902.92656800000009</v>
      </c>
      <c r="F1743" s="9">
        <f t="shared" si="459"/>
        <v>68.31249459999998</v>
      </c>
      <c r="I1743">
        <v>1</v>
      </c>
      <c r="J1743">
        <f t="shared" si="461"/>
        <v>0.54317972240372414</v>
      </c>
      <c r="K1743">
        <f t="shared" si="462"/>
        <v>7.5512897556450118E-2</v>
      </c>
      <c r="O1743">
        <f t="shared" si="463"/>
        <v>0.51538774271320253</v>
      </c>
      <c r="P1743">
        <f t="shared" si="464"/>
        <v>3.8992564444068747E-2</v>
      </c>
      <c r="Q1743">
        <f t="shared" si="465"/>
        <v>0.85606953840156286</v>
      </c>
      <c r="R1743">
        <f t="shared" si="466"/>
        <v>1</v>
      </c>
      <c r="AG1743" s="8">
        <f t="shared" si="456"/>
        <v>0.77141569646972585</v>
      </c>
      <c r="AH1743" s="8">
        <f t="shared" si="457"/>
        <v>0.2501332628341762</v>
      </c>
      <c r="AI1743" s="8">
        <f t="shared" si="458"/>
        <v>0.58510783114230902</v>
      </c>
      <c r="AJ1743" s="8"/>
      <c r="AK1743" s="8"/>
      <c r="AL1743" s="8"/>
      <c r="AN1743" s="8">
        <f t="shared" si="467"/>
        <v>1</v>
      </c>
      <c r="AO1743" s="8">
        <f t="shared" si="468"/>
        <v>0.31355542161566857</v>
      </c>
      <c r="AP1743" s="8">
        <f t="shared" si="469"/>
        <v>0.94578330739711935</v>
      </c>
      <c r="AQ1743" s="8"/>
      <c r="AR1743" s="8">
        <f t="shared" si="470"/>
        <v>17.965402302022913</v>
      </c>
      <c r="AS1743" s="8">
        <f t="shared" si="471"/>
        <v>35.810608152220887</v>
      </c>
    </row>
    <row r="1744" spans="1:45">
      <c r="A1744" s="20">
        <v>61.92853333</v>
      </c>
      <c r="B1744" s="20">
        <v>1863.235819</v>
      </c>
      <c r="C1744" s="20">
        <v>-471.8452499</v>
      </c>
      <c r="E1744" s="9">
        <f t="shared" si="460"/>
        <v>903.23581899999999</v>
      </c>
      <c r="F1744" s="9">
        <f t="shared" si="459"/>
        <v>68.154750100000001</v>
      </c>
      <c r="I1744">
        <v>1</v>
      </c>
      <c r="J1744">
        <f t="shared" si="461"/>
        <v>0.54332588971603035</v>
      </c>
      <c r="K1744">
        <f t="shared" si="462"/>
        <v>7.5313488724409822E-2</v>
      </c>
      <c r="O1744">
        <f t="shared" si="463"/>
        <v>0.5155202770985956</v>
      </c>
      <c r="P1744">
        <f t="shared" si="464"/>
        <v>3.8899205410206986E-2</v>
      </c>
      <c r="Q1744">
        <f t="shared" si="465"/>
        <v>0.85599398112290592</v>
      </c>
      <c r="R1744">
        <f t="shared" si="466"/>
        <v>1</v>
      </c>
      <c r="AG1744" s="8">
        <f t="shared" si="456"/>
        <v>0.77145956864884613</v>
      </c>
      <c r="AH1744" s="8">
        <f t="shared" si="457"/>
        <v>0.25026408930212185</v>
      </c>
      <c r="AI1744" s="8">
        <f t="shared" si="458"/>
        <v>0.58499403376950421</v>
      </c>
      <c r="AJ1744" s="8"/>
      <c r="AK1744" s="8"/>
      <c r="AL1744" s="8"/>
      <c r="AN1744" s="8">
        <f t="shared" si="467"/>
        <v>1</v>
      </c>
      <c r="AO1744" s="8">
        <f t="shared" si="468"/>
        <v>0.31369217939856403</v>
      </c>
      <c r="AP1744" s="8">
        <f t="shared" si="469"/>
        <v>0.94592362534649055</v>
      </c>
      <c r="AQ1744" s="8"/>
      <c r="AR1744" s="8">
        <f t="shared" si="470"/>
        <v>17.973237945798388</v>
      </c>
      <c r="AS1744" s="8">
        <f t="shared" si="471"/>
        <v>35.802568525931989</v>
      </c>
    </row>
    <row r="1745" spans="1:45">
      <c r="A1745" s="20">
        <v>61.9619</v>
      </c>
      <c r="B1745" s="20">
        <v>1863.94416</v>
      </c>
      <c r="C1745" s="20">
        <v>-471.83372709999998</v>
      </c>
      <c r="E1745" s="9">
        <f t="shared" si="460"/>
        <v>903.94416000000001</v>
      </c>
      <c r="F1745" s="9">
        <f t="shared" si="459"/>
        <v>68.166272900000024</v>
      </c>
      <c r="I1745">
        <v>1</v>
      </c>
      <c r="J1745">
        <f t="shared" si="461"/>
        <v>0.54367443517622305</v>
      </c>
      <c r="K1745">
        <f t="shared" si="462"/>
        <v>7.5267370044443116E-2</v>
      </c>
      <c r="O1745">
        <f t="shared" si="463"/>
        <v>0.51581954731473045</v>
      </c>
      <c r="P1745">
        <f t="shared" si="464"/>
        <v>3.8897862927075477E-2</v>
      </c>
      <c r="Q1745">
        <f t="shared" si="465"/>
        <v>0.85581373608264377</v>
      </c>
      <c r="R1745">
        <f t="shared" si="466"/>
        <v>1</v>
      </c>
      <c r="AG1745" s="8">
        <f t="shared" si="456"/>
        <v>0.77142626989258423</v>
      </c>
      <c r="AH1745" s="8">
        <f t="shared" si="457"/>
        <v>0.25059751929165491</v>
      </c>
      <c r="AI1745" s="8">
        <f t="shared" si="458"/>
        <v>0.58489519868475792</v>
      </c>
      <c r="AJ1745" s="8"/>
      <c r="AK1745" s="8"/>
      <c r="AL1745" s="8"/>
      <c r="AN1745" s="8">
        <f t="shared" si="467"/>
        <v>1</v>
      </c>
      <c r="AO1745" s="8">
        <f t="shared" si="468"/>
        <v>0.31409586620752705</v>
      </c>
      <c r="AP1745" s="8">
        <f t="shared" si="469"/>
        <v>0.94604548251102449</v>
      </c>
      <c r="AQ1745" s="8"/>
      <c r="AR1745" s="8">
        <f t="shared" si="470"/>
        <v>17.996367496197074</v>
      </c>
      <c r="AS1745" s="8">
        <f t="shared" si="471"/>
        <v>35.795586624700761</v>
      </c>
    </row>
    <row r="1746" spans="1:45">
      <c r="A1746" s="20">
        <v>61.995266669999999</v>
      </c>
      <c r="B1746" s="20">
        <v>1864.5265449999999</v>
      </c>
      <c r="C1746" s="20">
        <v>-471.84086389999999</v>
      </c>
      <c r="E1746" s="9">
        <f t="shared" si="460"/>
        <v>904.52654499999994</v>
      </c>
      <c r="F1746" s="9">
        <f t="shared" si="459"/>
        <v>68.159136100000012</v>
      </c>
      <c r="I1746">
        <v>1</v>
      </c>
      <c r="J1746">
        <f t="shared" si="461"/>
        <v>0.54396028057029822</v>
      </c>
      <c r="K1746">
        <f t="shared" si="462"/>
        <v>7.5211245786813985E-2</v>
      </c>
      <c r="O1746">
        <f t="shared" si="463"/>
        <v>0.51606564737587268</v>
      </c>
      <c r="P1746">
        <f t="shared" si="464"/>
        <v>3.8887292905291922E-2</v>
      </c>
      <c r="Q1746">
        <f t="shared" si="465"/>
        <v>0.85566583784151362</v>
      </c>
      <c r="R1746">
        <f t="shared" si="466"/>
        <v>1</v>
      </c>
      <c r="AG1746" s="8">
        <f t="shared" si="456"/>
        <v>0.77140478699890869</v>
      </c>
      <c r="AH1746" s="8">
        <f t="shared" si="457"/>
        <v>0.25087002385949453</v>
      </c>
      <c r="AI1746" s="8">
        <f t="shared" si="458"/>
        <v>0.58480670800180201</v>
      </c>
      <c r="AJ1746" s="8"/>
      <c r="AK1746" s="8"/>
      <c r="AL1746" s="8"/>
      <c r="AN1746" s="8">
        <f t="shared" si="467"/>
        <v>1</v>
      </c>
      <c r="AO1746" s="8">
        <f t="shared" si="468"/>
        <v>0.31442355213543605</v>
      </c>
      <c r="AP1746" s="8">
        <f t="shared" si="469"/>
        <v>0.94615457662320002</v>
      </c>
      <c r="AQ1746" s="8"/>
      <c r="AR1746" s="8">
        <f t="shared" si="470"/>
        <v>18.015142516872089</v>
      </c>
      <c r="AS1746" s="8">
        <f t="shared" si="471"/>
        <v>35.789335992503375</v>
      </c>
    </row>
    <row r="1747" spans="1:45">
      <c r="A1747" s="20">
        <v>62.028633329999998</v>
      </c>
      <c r="B1747" s="20">
        <v>1864.4843989999999</v>
      </c>
      <c r="C1747" s="20">
        <v>-471.83012789999998</v>
      </c>
      <c r="E1747" s="9">
        <f t="shared" si="460"/>
        <v>904.48439899999994</v>
      </c>
      <c r="F1747" s="9">
        <f t="shared" si="459"/>
        <v>68.169872100000021</v>
      </c>
      <c r="I1747">
        <v>1</v>
      </c>
      <c r="J1747">
        <f t="shared" si="461"/>
        <v>0.54393997605458189</v>
      </c>
      <c r="K1747">
        <f t="shared" si="462"/>
        <v>7.5226539893052724E-2</v>
      </c>
      <c r="O1747">
        <f t="shared" si="463"/>
        <v>0.51604772771879281</v>
      </c>
      <c r="P1747">
        <f t="shared" si="464"/>
        <v>3.8893879911007449E-2</v>
      </c>
      <c r="Q1747">
        <f t="shared" si="465"/>
        <v>0.85567634583511698</v>
      </c>
      <c r="R1747">
        <f t="shared" si="466"/>
        <v>1</v>
      </c>
      <c r="AG1747" s="8">
        <f t="shared" si="456"/>
        <v>0.77140267987871025</v>
      </c>
      <c r="AH1747" s="8">
        <f t="shared" si="457"/>
        <v>0.25085123555830247</v>
      </c>
      <c r="AI1747" s="8">
        <f t="shared" si="458"/>
        <v>0.58481754684244625</v>
      </c>
      <c r="AJ1747" s="8"/>
      <c r="AK1747" s="8"/>
      <c r="AL1747" s="8"/>
      <c r="AN1747" s="8">
        <f t="shared" si="467"/>
        <v>0.99999999999999956</v>
      </c>
      <c r="AO1747" s="8">
        <f t="shared" si="468"/>
        <v>0.31440232890889319</v>
      </c>
      <c r="AP1747" s="8">
        <f t="shared" si="469"/>
        <v>0.94614121461885825</v>
      </c>
      <c r="AQ1747" s="8"/>
      <c r="AR1747" s="8">
        <f t="shared" si="470"/>
        <v>18.013926515563533</v>
      </c>
      <c r="AS1747" s="8">
        <f t="shared" si="471"/>
        <v>35.790101578957994</v>
      </c>
    </row>
    <row r="1748" spans="1:45">
      <c r="A1748" s="20">
        <v>62.061999999999998</v>
      </c>
      <c r="B1748" s="20">
        <v>1864.911038</v>
      </c>
      <c r="C1748" s="20">
        <v>-473.06627880000002</v>
      </c>
      <c r="E1748" s="9">
        <f t="shared" si="460"/>
        <v>904.91103799999996</v>
      </c>
      <c r="F1748" s="9">
        <f t="shared" si="459"/>
        <v>66.933721199999979</v>
      </c>
      <c r="I1748">
        <v>1</v>
      </c>
      <c r="J1748">
        <f t="shared" si="461"/>
        <v>0.54410419596732695</v>
      </c>
      <c r="K1748">
        <f t="shared" si="462"/>
        <v>7.3832729992577506E-2</v>
      </c>
      <c r="O1748">
        <f t="shared" si="463"/>
        <v>0.51624156641680563</v>
      </c>
      <c r="P1748">
        <f t="shared" si="464"/>
        <v>3.8184934902290073E-2</v>
      </c>
      <c r="Q1748">
        <f t="shared" si="465"/>
        <v>0.85559134862972441</v>
      </c>
      <c r="R1748">
        <f t="shared" si="466"/>
        <v>0.99999999999999989</v>
      </c>
      <c r="AG1748" s="8">
        <f t="shared" si="456"/>
        <v>0.77182795756661027</v>
      </c>
      <c r="AH1748" s="8">
        <f t="shared" si="457"/>
        <v>0.25093892140834972</v>
      </c>
      <c r="AI1748" s="8">
        <f t="shared" si="458"/>
        <v>0.58421850504838424</v>
      </c>
      <c r="AJ1748" s="8"/>
      <c r="AK1748" s="8"/>
      <c r="AL1748" s="8"/>
      <c r="AN1748" s="8">
        <f t="shared" si="467"/>
        <v>1</v>
      </c>
      <c r="AO1748" s="8">
        <f t="shared" si="468"/>
        <v>0.31434302760098037</v>
      </c>
      <c r="AP1748" s="8">
        <f t="shared" si="469"/>
        <v>0.94687951393015668</v>
      </c>
      <c r="AQ1748" s="8"/>
      <c r="AR1748" s="8">
        <f t="shared" si="470"/>
        <v>18.010528800900524</v>
      </c>
      <c r="AS1748" s="8">
        <f t="shared" si="471"/>
        <v>35.747800144403179</v>
      </c>
    </row>
    <row r="1749" spans="1:45">
      <c r="A1749" s="20">
        <v>62.095366669999997</v>
      </c>
      <c r="B1749" s="20">
        <v>1864.864865</v>
      </c>
      <c r="C1749" s="20">
        <v>-472.92099789999997</v>
      </c>
      <c r="E1749" s="9">
        <f t="shared" si="460"/>
        <v>904.86486500000001</v>
      </c>
      <c r="F1749" s="9">
        <f t="shared" si="459"/>
        <v>67.079002100000025</v>
      </c>
      <c r="I1749">
        <v>1</v>
      </c>
      <c r="J1749">
        <f t="shared" si="461"/>
        <v>0.54408680156605338</v>
      </c>
      <c r="K1749">
        <f t="shared" si="462"/>
        <v>7.3996163552541377E-2</v>
      </c>
      <c r="O1749">
        <f t="shared" si="463"/>
        <v>0.51622047697057227</v>
      </c>
      <c r="P1749">
        <f t="shared" si="464"/>
        <v>3.8268205340000729E-2</v>
      </c>
      <c r="Q1749">
        <f t="shared" si="465"/>
        <v>0.85560035274439339</v>
      </c>
      <c r="R1749">
        <f t="shared" si="466"/>
        <v>1</v>
      </c>
      <c r="AG1749" s="8">
        <f t="shared" si="456"/>
        <v>0.7717778375207307</v>
      </c>
      <c r="AH1749" s="8">
        <f t="shared" si="457"/>
        <v>0.25093048426150033</v>
      </c>
      <c r="AI1749" s="8">
        <f t="shared" si="458"/>
        <v>0.58428833770674693</v>
      </c>
      <c r="AJ1749" s="8"/>
      <c r="AK1749" s="8"/>
      <c r="AL1749" s="8"/>
      <c r="AN1749" s="8">
        <f t="shared" si="467"/>
        <v>1</v>
      </c>
      <c r="AO1749" s="8">
        <f t="shared" si="468"/>
        <v>0.31435223592623535</v>
      </c>
      <c r="AP1749" s="8">
        <f t="shared" si="469"/>
        <v>0.94679346768838712</v>
      </c>
      <c r="AQ1749" s="8"/>
      <c r="AR1749" s="8">
        <f t="shared" si="470"/>
        <v>18.011056399074015</v>
      </c>
      <c r="AS1749" s="8">
        <f t="shared" si="471"/>
        <v>35.752730230899537</v>
      </c>
    </row>
    <row r="1750" spans="1:45">
      <c r="A1750" s="20">
        <v>62.128733330000003</v>
      </c>
      <c r="B1750" s="20">
        <v>1866.131226</v>
      </c>
      <c r="C1750" s="20">
        <v>-473.39237059999999</v>
      </c>
      <c r="E1750" s="9">
        <f t="shared" si="460"/>
        <v>906.13122599999997</v>
      </c>
      <c r="F1750" s="9">
        <f t="shared" si="459"/>
        <v>66.607629400000008</v>
      </c>
      <c r="I1750">
        <v>1</v>
      </c>
      <c r="J1750">
        <f t="shared" si="461"/>
        <v>0.54469149377863102</v>
      </c>
      <c r="K1750">
        <f t="shared" si="462"/>
        <v>7.337573862751029E-2</v>
      </c>
      <c r="O1750">
        <f t="shared" si="463"/>
        <v>0.51676000847166026</v>
      </c>
      <c r="P1750">
        <f t="shared" si="464"/>
        <v>3.7985843711583124E-2</v>
      </c>
      <c r="Q1750">
        <f t="shared" si="465"/>
        <v>0.85528718529034953</v>
      </c>
      <c r="R1750">
        <f t="shared" si="466"/>
        <v>1</v>
      </c>
      <c r="AG1750" s="8">
        <f t="shared" si="456"/>
        <v>0.77189390558658277</v>
      </c>
      <c r="AH1750" s="8">
        <f t="shared" si="457"/>
        <v>0.25148110263243617</v>
      </c>
      <c r="AI1750" s="8">
        <f t="shared" si="458"/>
        <v>0.58389815339412199</v>
      </c>
      <c r="AJ1750" s="8"/>
      <c r="AK1750" s="8"/>
      <c r="AL1750" s="8"/>
      <c r="AN1750" s="8">
        <f t="shared" si="467"/>
        <v>0.99999999999999989</v>
      </c>
      <c r="AO1750" s="8">
        <f t="shared" si="468"/>
        <v>0.31495303895225185</v>
      </c>
      <c r="AP1750" s="8">
        <f t="shared" si="469"/>
        <v>0.94727417580754936</v>
      </c>
      <c r="AQ1750" s="8"/>
      <c r="AR1750" s="8">
        <f t="shared" si="470"/>
        <v>18.04547987678345</v>
      </c>
      <c r="AS1750" s="8">
        <f t="shared" si="471"/>
        <v>35.725187684493868</v>
      </c>
    </row>
    <row r="1751" spans="1:45">
      <c r="A1751" s="20">
        <v>62.162100000000002</v>
      </c>
      <c r="B1751" s="20">
        <v>1866.4140520000001</v>
      </c>
      <c r="C1751" s="20">
        <v>-473.61140139999998</v>
      </c>
      <c r="E1751" s="9">
        <f t="shared" si="460"/>
        <v>906.41405200000008</v>
      </c>
      <c r="F1751" s="9">
        <f t="shared" si="459"/>
        <v>66.388598600000023</v>
      </c>
      <c r="I1751">
        <v>1</v>
      </c>
      <c r="J1751">
        <f t="shared" si="461"/>
        <v>0.54482241585250912</v>
      </c>
      <c r="K1751">
        <f t="shared" si="462"/>
        <v>7.3112573663896646E-2</v>
      </c>
      <c r="O1751">
        <f t="shared" si="463"/>
        <v>0.51688165951567955</v>
      </c>
      <c r="P1751">
        <f t="shared" si="464"/>
        <v>3.7858028504271606E-2</v>
      </c>
      <c r="Q1751">
        <f t="shared" si="465"/>
        <v>0.85521934013099055</v>
      </c>
      <c r="R1751">
        <f t="shared" si="466"/>
        <v>1</v>
      </c>
      <c r="AG1751" s="8">
        <f t="shared" si="456"/>
        <v>0.77196047856527938</v>
      </c>
      <c r="AH1751" s="8">
        <f t="shared" si="457"/>
        <v>0.25159366304196873</v>
      </c>
      <c r="AI1751" s="8">
        <f t="shared" si="458"/>
        <v>0.58376163650105439</v>
      </c>
      <c r="AJ1751" s="8"/>
      <c r="AK1751" s="8"/>
      <c r="AL1751" s="8"/>
      <c r="AN1751" s="8">
        <f t="shared" si="467"/>
        <v>1</v>
      </c>
      <c r="AO1751" s="8">
        <f t="shared" si="468"/>
        <v>0.31505945423091825</v>
      </c>
      <c r="AP1751" s="8">
        <f t="shared" si="469"/>
        <v>0.94744232573683396</v>
      </c>
      <c r="AQ1751" s="8"/>
      <c r="AR1751" s="8">
        <f t="shared" si="470"/>
        <v>18.051577023126743</v>
      </c>
      <c r="AS1751" s="8">
        <f t="shared" si="471"/>
        <v>35.71555340322044</v>
      </c>
    </row>
    <row r="1752" spans="1:45">
      <c r="A1752" s="20">
        <v>62.195466670000002</v>
      </c>
      <c r="B1752" s="20">
        <v>1866.7520460000001</v>
      </c>
      <c r="C1752" s="20">
        <v>-473.81396189999998</v>
      </c>
      <c r="E1752" s="9">
        <f t="shared" si="460"/>
        <v>906.75204600000006</v>
      </c>
      <c r="F1752" s="9">
        <f t="shared" si="459"/>
        <v>66.186038100000019</v>
      </c>
      <c r="I1752">
        <v>1</v>
      </c>
      <c r="J1752">
        <f t="shared" si="461"/>
        <v>0.54498100852361409</v>
      </c>
      <c r="K1752">
        <f t="shared" si="462"/>
        <v>7.2863213963755474E-2</v>
      </c>
      <c r="O1752">
        <f t="shared" si="463"/>
        <v>0.51702634885307586</v>
      </c>
      <c r="P1752">
        <f t="shared" si="464"/>
        <v>3.7739011204716462E-2</v>
      </c>
      <c r="Q1752">
        <f t="shared" si="465"/>
        <v>0.85513713615124198</v>
      </c>
      <c r="R1752">
        <f t="shared" si="466"/>
        <v>1</v>
      </c>
      <c r="AG1752" s="8">
        <f t="shared" si="456"/>
        <v>0.77201880925644406</v>
      </c>
      <c r="AH1752" s="8">
        <f t="shared" si="457"/>
        <v>0.25173352789622777</v>
      </c>
      <c r="AI1752" s="8">
        <f t="shared" si="458"/>
        <v>0.58362418480318412</v>
      </c>
      <c r="AJ1752" s="8"/>
      <c r="AK1752" s="8"/>
      <c r="AL1752" s="8"/>
      <c r="AN1752" s="8">
        <f t="shared" si="467"/>
        <v>0.99999999999999989</v>
      </c>
      <c r="AO1752" s="8">
        <f t="shared" si="468"/>
        <v>0.31520095907439105</v>
      </c>
      <c r="AP1752" s="8">
        <f t="shared" si="469"/>
        <v>0.94761160654375498</v>
      </c>
      <c r="AQ1752" s="8"/>
      <c r="AR1752" s="8">
        <f t="shared" si="470"/>
        <v>18.059684653438396</v>
      </c>
      <c r="AS1752" s="8">
        <f t="shared" si="471"/>
        <v>35.705854327431297</v>
      </c>
    </row>
    <row r="1753" spans="1:45">
      <c r="A1753" s="20">
        <v>62.228833330000001</v>
      </c>
      <c r="B1753" s="20">
        <v>1867.3079580000001</v>
      </c>
      <c r="C1753" s="20">
        <v>-473.98221059999997</v>
      </c>
      <c r="E1753" s="9">
        <f t="shared" si="460"/>
        <v>907.3079580000001</v>
      </c>
      <c r="F1753" s="9">
        <f t="shared" si="459"/>
        <v>66.017789400000026</v>
      </c>
      <c r="I1753">
        <v>1</v>
      </c>
      <c r="J1753">
        <f t="shared" si="461"/>
        <v>0.54524772603596083</v>
      </c>
      <c r="K1753">
        <f t="shared" si="462"/>
        <v>7.2634269834853285E-2</v>
      </c>
      <c r="O1753">
        <f t="shared" si="463"/>
        <v>0.51726243570373454</v>
      </c>
      <c r="P1753">
        <f t="shared" si="464"/>
        <v>3.7637190596337966E-2</v>
      </c>
      <c r="Q1753">
        <f t="shared" si="465"/>
        <v>0.85499883888450678</v>
      </c>
      <c r="R1753">
        <f t="shared" si="466"/>
        <v>1</v>
      </c>
      <c r="AG1753" s="8">
        <f t="shared" si="456"/>
        <v>0.77205567153050392</v>
      </c>
      <c r="AH1753" s="8">
        <f t="shared" si="457"/>
        <v>0.25197848528539668</v>
      </c>
      <c r="AI1753" s="8">
        <f t="shared" si="458"/>
        <v>0.58346969330965248</v>
      </c>
      <c r="AJ1753" s="8"/>
      <c r="AK1753" s="8"/>
      <c r="AL1753" s="8"/>
      <c r="AN1753" s="8">
        <f t="shared" si="467"/>
        <v>1.0000000000000002</v>
      </c>
      <c r="AO1753" s="8">
        <f t="shared" si="468"/>
        <v>0.31547364992807075</v>
      </c>
      <c r="AP1753" s="8">
        <f t="shared" si="469"/>
        <v>0.94780184839943526</v>
      </c>
      <c r="AQ1753" s="8"/>
      <c r="AR1753" s="8">
        <f t="shared" si="470"/>
        <v>18.075308688466063</v>
      </c>
      <c r="AS1753" s="8">
        <f t="shared" si="471"/>
        <v>35.69495427201408</v>
      </c>
    </row>
    <row r="1754" spans="1:45">
      <c r="A1754" s="20">
        <v>62.2622</v>
      </c>
      <c r="B1754" s="20">
        <v>1868.2328480000001</v>
      </c>
      <c r="C1754" s="20">
        <v>-474.3243243</v>
      </c>
      <c r="E1754" s="9">
        <f t="shared" si="460"/>
        <v>908.2328480000001</v>
      </c>
      <c r="F1754" s="9">
        <f t="shared" si="459"/>
        <v>65.675675699999999</v>
      </c>
      <c r="I1754">
        <v>1</v>
      </c>
      <c r="J1754">
        <f t="shared" si="461"/>
        <v>0.54568913104966965</v>
      </c>
      <c r="K1754">
        <f t="shared" si="462"/>
        <v>7.2185851885417013E-2</v>
      </c>
      <c r="O1754">
        <f t="shared" si="463"/>
        <v>0.51765562840627677</v>
      </c>
      <c r="P1754">
        <f t="shared" si="464"/>
        <v>3.7432452757412644E-2</v>
      </c>
      <c r="Q1754">
        <f t="shared" si="465"/>
        <v>0.85476982975527793</v>
      </c>
      <c r="R1754">
        <f t="shared" si="466"/>
        <v>1</v>
      </c>
      <c r="AG1754" s="8">
        <f t="shared" si="456"/>
        <v>0.77213906418167122</v>
      </c>
      <c r="AH1754" s="8">
        <f t="shared" si="457"/>
        <v>0.25238015479375031</v>
      </c>
      <c r="AI1754" s="8">
        <f t="shared" si="458"/>
        <v>0.58318566771735381</v>
      </c>
      <c r="AJ1754" s="8"/>
      <c r="AK1754" s="8"/>
      <c r="AL1754" s="8"/>
      <c r="AN1754" s="8">
        <f t="shared" si="467"/>
        <v>1.0000000000000002</v>
      </c>
      <c r="AO1754" s="8">
        <f t="shared" si="468"/>
        <v>0.31591185739721989</v>
      </c>
      <c r="AP1754" s="8">
        <f t="shared" si="469"/>
        <v>0.94815153158713494</v>
      </c>
      <c r="AQ1754" s="8"/>
      <c r="AR1754" s="8">
        <f t="shared" si="470"/>
        <v>18.100416126999416</v>
      </c>
      <c r="AS1754" s="8">
        <f t="shared" si="471"/>
        <v>35.674918901192207</v>
      </c>
    </row>
    <row r="1755" spans="1:45">
      <c r="A1755" s="20">
        <v>62.295566669999999</v>
      </c>
      <c r="B1755" s="20">
        <v>1868.1462160000001</v>
      </c>
      <c r="C1755" s="20">
        <v>-474.67879019999998</v>
      </c>
      <c r="E1755" s="9">
        <f t="shared" si="460"/>
        <v>908.14621600000009</v>
      </c>
      <c r="F1755" s="9">
        <f t="shared" si="459"/>
        <v>65.32120980000002</v>
      </c>
      <c r="I1755">
        <v>1</v>
      </c>
      <c r="J1755">
        <f t="shared" si="461"/>
        <v>0.54563412008819445</v>
      </c>
      <c r="K1755">
        <f t="shared" si="462"/>
        <v>7.1804415852120926E-2</v>
      </c>
      <c r="O1755">
        <f t="shared" si="463"/>
        <v>0.51762296750797354</v>
      </c>
      <c r="P1755">
        <f t="shared" si="464"/>
        <v>3.7231624007435078E-2</v>
      </c>
      <c r="Q1755">
        <f t="shared" si="465"/>
        <v>0.85479837955041094</v>
      </c>
      <c r="R1755">
        <f t="shared" si="466"/>
        <v>1</v>
      </c>
      <c r="AG1755" s="8">
        <f t="shared" si="456"/>
        <v>0.77226943082956423</v>
      </c>
      <c r="AH1755" s="8">
        <f t="shared" si="457"/>
        <v>0.25230739384145023</v>
      </c>
      <c r="AI1755" s="8">
        <f t="shared" si="458"/>
        <v>0.58304451392592338</v>
      </c>
      <c r="AJ1755" s="8"/>
      <c r="AK1755" s="8"/>
      <c r="AL1755" s="8"/>
      <c r="AN1755" s="8">
        <f t="shared" si="467"/>
        <v>1</v>
      </c>
      <c r="AO1755" s="8">
        <f t="shared" si="468"/>
        <v>0.31577687760510742</v>
      </c>
      <c r="AP1755" s="8">
        <f t="shared" si="469"/>
        <v>0.94832528294917906</v>
      </c>
      <c r="AQ1755" s="8"/>
      <c r="AR1755" s="8">
        <f t="shared" si="470"/>
        <v>18.092682354591819</v>
      </c>
      <c r="AS1755" s="8">
        <f t="shared" si="471"/>
        <v>35.664963681462432</v>
      </c>
    </row>
    <row r="1756" spans="1:45">
      <c r="A1756" s="20">
        <v>62.328933329999998</v>
      </c>
      <c r="B1756" s="20">
        <v>1869.084652</v>
      </c>
      <c r="C1756" s="20">
        <v>-475.14317690000001</v>
      </c>
      <c r="E1756" s="9">
        <f t="shared" si="460"/>
        <v>909.08465200000001</v>
      </c>
      <c r="F1756" s="9">
        <f t="shared" si="459"/>
        <v>64.856823099999986</v>
      </c>
      <c r="I1756">
        <v>1</v>
      </c>
      <c r="J1756">
        <f t="shared" si="461"/>
        <v>0.54607784716254437</v>
      </c>
      <c r="K1756">
        <f t="shared" si="462"/>
        <v>7.1222323679473773E-2</v>
      </c>
      <c r="O1756">
        <f t="shared" si="463"/>
        <v>0.5180228366529207</v>
      </c>
      <c r="P1756">
        <f t="shared" si="464"/>
        <v>3.6957301396128593E-2</v>
      </c>
      <c r="Q1756">
        <f t="shared" si="465"/>
        <v>0.85456801869691867</v>
      </c>
      <c r="R1756">
        <f t="shared" si="466"/>
        <v>1</v>
      </c>
      <c r="AG1756" s="8">
        <f t="shared" si="456"/>
        <v>0.77239564587435594</v>
      </c>
      <c r="AH1756" s="8">
        <f t="shared" si="457"/>
        <v>0.25270402849125517</v>
      </c>
      <c r="AI1756" s="8">
        <f t="shared" si="458"/>
        <v>0.58270544893507514</v>
      </c>
      <c r="AJ1756" s="8"/>
      <c r="AK1756" s="8"/>
      <c r="AL1756" s="8"/>
      <c r="AN1756" s="8">
        <f t="shared" si="467"/>
        <v>1</v>
      </c>
      <c r="AO1756" s="8">
        <f t="shared" si="468"/>
        <v>0.31619257022147423</v>
      </c>
      <c r="AP1756" s="8">
        <f t="shared" si="469"/>
        <v>0.9487425619515667</v>
      </c>
      <c r="AQ1756" s="8"/>
      <c r="AR1756" s="8">
        <f t="shared" si="470"/>
        <v>18.116499787084386</v>
      </c>
      <c r="AS1756" s="8">
        <f t="shared" si="471"/>
        <v>35.64105535574619</v>
      </c>
    </row>
    <row r="1757" spans="1:45">
      <c r="A1757" s="20">
        <v>62.362299999999998</v>
      </c>
      <c r="B1757" s="20">
        <v>1869.0896969999999</v>
      </c>
      <c r="C1757" s="20">
        <v>-475.38284659999999</v>
      </c>
      <c r="E1757" s="9">
        <f t="shared" si="460"/>
        <v>909.08969699999989</v>
      </c>
      <c r="F1757" s="9">
        <f t="shared" si="459"/>
        <v>64.617153400000007</v>
      </c>
      <c r="I1757">
        <v>1</v>
      </c>
      <c r="J1757">
        <f t="shared" si="461"/>
        <v>0.54607195511310791</v>
      </c>
      <c r="K1757">
        <f t="shared" si="462"/>
        <v>7.0959622897604116E-2</v>
      </c>
      <c r="O1757">
        <f t="shared" si="463"/>
        <v>0.51802750499532269</v>
      </c>
      <c r="P1757">
        <f t="shared" si="464"/>
        <v>3.6820858124522376E-2</v>
      </c>
      <c r="Q1757">
        <f t="shared" si="465"/>
        <v>0.85457107865600912</v>
      </c>
      <c r="R1757">
        <f t="shared" si="466"/>
        <v>1</v>
      </c>
      <c r="AG1757" s="8">
        <f t="shared" si="456"/>
        <v>0.77248103911434407</v>
      </c>
      <c r="AH1757" s="8">
        <f t="shared" si="457"/>
        <v>0.25268458437460695</v>
      </c>
      <c r="AI1757" s="8">
        <f t="shared" si="458"/>
        <v>0.58260067372794533</v>
      </c>
      <c r="AJ1757" s="8"/>
      <c r="AK1757" s="8"/>
      <c r="AL1757" s="8"/>
      <c r="AN1757" s="8">
        <f t="shared" si="467"/>
        <v>1.0000000000000004</v>
      </c>
      <c r="AO1757" s="8">
        <f t="shared" si="468"/>
        <v>0.31613716232855571</v>
      </c>
      <c r="AP1757" s="8">
        <f t="shared" si="469"/>
        <v>0.94887148098823804</v>
      </c>
      <c r="AQ1757" s="8"/>
      <c r="AR1757" s="8">
        <f t="shared" si="470"/>
        <v>18.113325148668444</v>
      </c>
      <c r="AS1757" s="8">
        <f t="shared" si="471"/>
        <v>35.633668839046031</v>
      </c>
    </row>
    <row r="1758" spans="1:45">
      <c r="A1758" s="20">
        <v>62.395666669999997</v>
      </c>
      <c r="B1758" s="20">
        <v>1869.858056</v>
      </c>
      <c r="C1758" s="20">
        <v>-475.37186059999999</v>
      </c>
      <c r="E1758" s="9">
        <f t="shared" si="460"/>
        <v>909.85805600000003</v>
      </c>
      <c r="F1758" s="9">
        <f t="shared" si="459"/>
        <v>64.628139400000009</v>
      </c>
      <c r="I1758">
        <v>1</v>
      </c>
      <c r="J1758">
        <f t="shared" si="461"/>
        <v>0.54644883172459813</v>
      </c>
      <c r="K1758">
        <f t="shared" si="462"/>
        <v>7.0911913260711334E-2</v>
      </c>
      <c r="O1758">
        <f t="shared" si="463"/>
        <v>0.51835048275118112</v>
      </c>
      <c r="P1758">
        <f t="shared" si="464"/>
        <v>3.6818959876638857E-2</v>
      </c>
      <c r="Q1758">
        <f t="shared" si="465"/>
        <v>0.85437529296277048</v>
      </c>
      <c r="R1758">
        <f t="shared" si="466"/>
        <v>1</v>
      </c>
      <c r="AG1758" s="8">
        <f t="shared" si="456"/>
        <v>0.77244444798783574</v>
      </c>
      <c r="AH1758" s="8">
        <f t="shared" si="457"/>
        <v>0.25304471042478827</v>
      </c>
      <c r="AI1758" s="8">
        <f t="shared" si="458"/>
        <v>0.58249287489101764</v>
      </c>
      <c r="AJ1758" s="8"/>
      <c r="AK1758" s="8"/>
      <c r="AL1758" s="8"/>
      <c r="AN1758" s="8">
        <f t="shared" si="467"/>
        <v>0.99999999999999989</v>
      </c>
      <c r="AO1758" s="8">
        <f t="shared" si="468"/>
        <v>0.31657225087072599</v>
      </c>
      <c r="AP1758" s="8">
        <f t="shared" si="469"/>
        <v>0.94900410797045054</v>
      </c>
      <c r="AQ1758" s="8"/>
      <c r="AR1758" s="8">
        <f t="shared" si="470"/>
        <v>18.138253885849299</v>
      </c>
      <c r="AS1758" s="8">
        <f t="shared" si="471"/>
        <v>35.626069872715696</v>
      </c>
    </row>
    <row r="1759" spans="1:45">
      <c r="A1759" s="20">
        <v>62.429033330000003</v>
      </c>
      <c r="B1759" s="20">
        <v>1869.9458999999999</v>
      </c>
      <c r="C1759" s="20">
        <v>-475.47251240000003</v>
      </c>
      <c r="E1759" s="9">
        <f t="shared" si="460"/>
        <v>909.94589999999994</v>
      </c>
      <c r="F1759" s="9">
        <f t="shared" si="459"/>
        <v>64.527487599999972</v>
      </c>
      <c r="I1759">
        <v>1</v>
      </c>
      <c r="J1759">
        <f t="shared" si="461"/>
        <v>0.5464883651725484</v>
      </c>
      <c r="K1759">
        <f t="shared" si="462"/>
        <v>7.0795031886165621E-2</v>
      </c>
      <c r="O1759">
        <f t="shared" si="463"/>
        <v>0.51838847405000721</v>
      </c>
      <c r="P1759">
        <f t="shared" si="464"/>
        <v>3.6760763284108156E-2</v>
      </c>
      <c r="Q1759">
        <f t="shared" si="465"/>
        <v>0.85435474848266324</v>
      </c>
      <c r="R1759">
        <f t="shared" si="466"/>
        <v>1</v>
      </c>
      <c r="AG1759" s="8">
        <f t="shared" si="456"/>
        <v>0.77247664571036334</v>
      </c>
      <c r="AH1759" s="8">
        <f t="shared" si="457"/>
        <v>0.25307660102851931</v>
      </c>
      <c r="AI1759" s="8">
        <f t="shared" si="458"/>
        <v>0.58243631913190086</v>
      </c>
      <c r="AJ1759" s="8"/>
      <c r="AK1759" s="8"/>
      <c r="AL1759" s="8"/>
      <c r="AN1759" s="8">
        <f t="shared" si="467"/>
        <v>1</v>
      </c>
      <c r="AO1759" s="8">
        <f t="shared" si="468"/>
        <v>0.31659720226066723</v>
      </c>
      <c r="AP1759" s="8">
        <f t="shared" si="469"/>
        <v>0.94907368456724039</v>
      </c>
      <c r="AQ1759" s="8"/>
      <c r="AR1759" s="8">
        <f t="shared" si="470"/>
        <v>18.139683495185917</v>
      </c>
      <c r="AS1759" s="8">
        <f t="shared" si="471"/>
        <v>35.622083427366753</v>
      </c>
    </row>
    <row r="1760" spans="1:45">
      <c r="A1760" s="20">
        <v>62.462400000000002</v>
      </c>
      <c r="B1760" s="20">
        <v>1870.422415</v>
      </c>
      <c r="C1760" s="20">
        <v>-476.25677389999998</v>
      </c>
      <c r="E1760" s="9">
        <f t="shared" si="460"/>
        <v>910.422415</v>
      </c>
      <c r="F1760" s="9">
        <f t="shared" si="459"/>
        <v>63.743226100000015</v>
      </c>
      <c r="I1760">
        <v>1</v>
      </c>
      <c r="J1760">
        <f t="shared" si="461"/>
        <v>0.54669470481233828</v>
      </c>
      <c r="K1760">
        <f t="shared" si="462"/>
        <v>6.9900929257618191E-2</v>
      </c>
      <c r="O1760">
        <f t="shared" si="463"/>
        <v>0.51859698044268632</v>
      </c>
      <c r="P1760">
        <f t="shared" si="464"/>
        <v>3.6309567992276894E-2</v>
      </c>
      <c r="Q1760">
        <f t="shared" si="465"/>
        <v>0.85424749759536456</v>
      </c>
      <c r="R1760">
        <f t="shared" si="466"/>
        <v>1</v>
      </c>
      <c r="AG1760" s="8">
        <f t="shared" ref="AG1760:AG1823" si="472">$O1760*$Z$27+$P1760*$Z$31+$Q1760*$Z$35</f>
        <v>0.77273623090091093</v>
      </c>
      <c r="AH1760" s="8">
        <f t="shared" ref="AH1760:AH1823" si="473">$O1760*$AA$27+$P1760*$AA$31+$Q1760*$AA$35</f>
        <v>0.25322786366813732</v>
      </c>
      <c r="AI1760" s="8">
        <f t="shared" ref="AI1760:AI1823" si="474">$AB$27*$O1760+$P1760*$AB$31+$AB$35*$Q1760</f>
        <v>0.58202608748674267</v>
      </c>
      <c r="AJ1760" s="8"/>
      <c r="AK1760" s="8"/>
      <c r="AL1760" s="8"/>
      <c r="AN1760" s="8">
        <f t="shared" si="467"/>
        <v>1.0000000000000002</v>
      </c>
      <c r="AO1760" s="8">
        <f t="shared" si="468"/>
        <v>0.31667458712783469</v>
      </c>
      <c r="AP1760" s="8">
        <f t="shared" si="469"/>
        <v>0.94957826011257063</v>
      </c>
      <c r="AQ1760" s="8"/>
      <c r="AR1760" s="8">
        <f t="shared" si="470"/>
        <v>18.144117321472795</v>
      </c>
      <c r="AS1760" s="8">
        <f t="shared" si="471"/>
        <v>35.593173378173816</v>
      </c>
    </row>
    <row r="1761" spans="1:45">
      <c r="A1761" s="20">
        <v>62.495766670000002</v>
      </c>
      <c r="B1761" s="20">
        <v>1870.9855829999999</v>
      </c>
      <c r="C1761" s="20">
        <v>-476.29848249999998</v>
      </c>
      <c r="E1761" s="9">
        <f t="shared" si="460"/>
        <v>910.98558299999991</v>
      </c>
      <c r="F1761" s="9">
        <f t="shared" ref="F1761:F1824" si="475">(($C$15/2)+C1761)</f>
        <v>63.701517500000023</v>
      </c>
      <c r="I1761">
        <v>1</v>
      </c>
      <c r="J1761">
        <f t="shared" si="461"/>
        <v>0.54696905902990633</v>
      </c>
      <c r="K1761">
        <f t="shared" si="462"/>
        <v>6.9812296133182974E-2</v>
      </c>
      <c r="O1761">
        <f t="shared" si="463"/>
        <v>0.51883397262894193</v>
      </c>
      <c r="P1761">
        <f t="shared" si="464"/>
        <v>3.6279949983596037E-2</v>
      </c>
      <c r="Q1761">
        <f t="shared" si="465"/>
        <v>0.85410483787135771</v>
      </c>
      <c r="R1761">
        <f t="shared" si="466"/>
        <v>1</v>
      </c>
      <c r="AG1761" s="8">
        <f t="shared" si="472"/>
        <v>0.77272700086730928</v>
      </c>
      <c r="AH1761" s="8">
        <f t="shared" si="473"/>
        <v>0.25348707552407457</v>
      </c>
      <c r="AI1761" s="8">
        <f t="shared" si="474"/>
        <v>0.58192549752770373</v>
      </c>
      <c r="AJ1761" s="8"/>
      <c r="AK1761" s="8"/>
      <c r="AL1761" s="8"/>
      <c r="AN1761" s="8">
        <f t="shared" si="467"/>
        <v>1</v>
      </c>
      <c r="AO1761" s="8">
        <f t="shared" si="468"/>
        <v>0.31698101147242547</v>
      </c>
      <c r="AP1761" s="8">
        <f t="shared" si="469"/>
        <v>0.94970195564067272</v>
      </c>
      <c r="AQ1761" s="8"/>
      <c r="AR1761" s="8">
        <f t="shared" si="470"/>
        <v>18.161674143157907</v>
      </c>
      <c r="AS1761" s="8">
        <f t="shared" si="471"/>
        <v>35.586086146468929</v>
      </c>
    </row>
    <row r="1762" spans="1:45">
      <c r="A1762" s="20">
        <v>62.529133330000001</v>
      </c>
      <c r="B1762" s="20">
        <v>1871.23804</v>
      </c>
      <c r="C1762" s="20">
        <v>-476.3063037</v>
      </c>
      <c r="E1762" s="9">
        <f t="shared" si="460"/>
        <v>911.23803999999996</v>
      </c>
      <c r="F1762" s="9">
        <f t="shared" si="475"/>
        <v>63.693696299999999</v>
      </c>
      <c r="I1762">
        <v>1</v>
      </c>
      <c r="J1762">
        <f t="shared" si="461"/>
        <v>0.54709239057346715</v>
      </c>
      <c r="K1762">
        <f t="shared" si="462"/>
        <v>6.978447619509362E-2</v>
      </c>
      <c r="O1762">
        <f t="shared" si="463"/>
        <v>0.51894005946852628</v>
      </c>
      <c r="P1762">
        <f t="shared" si="464"/>
        <v>3.6272860761708596E-2</v>
      </c>
      <c r="Q1762">
        <f t="shared" si="465"/>
        <v>0.85404068653136433</v>
      </c>
      <c r="R1762">
        <f t="shared" si="466"/>
        <v>1</v>
      </c>
      <c r="AG1762" s="8">
        <f t="shared" si="472"/>
        <v>0.77271896532254647</v>
      </c>
      <c r="AH1762" s="8">
        <f t="shared" si="473"/>
        <v>0.25360423052409831</v>
      </c>
      <c r="AI1762" s="8">
        <f t="shared" si="474"/>
        <v>0.58188512173034057</v>
      </c>
      <c r="AJ1762" s="8"/>
      <c r="AK1762" s="8"/>
      <c r="AL1762" s="8"/>
      <c r="AN1762" s="8">
        <f t="shared" si="467"/>
        <v>1</v>
      </c>
      <c r="AO1762" s="8">
        <f t="shared" si="468"/>
        <v>0.31712096863735817</v>
      </c>
      <c r="AP1762" s="8">
        <f t="shared" si="469"/>
        <v>0.94975160270166648</v>
      </c>
      <c r="AQ1762" s="8"/>
      <c r="AR1762" s="8">
        <f t="shared" si="470"/>
        <v>18.169693098021167</v>
      </c>
      <c r="AS1762" s="8">
        <f t="shared" si="471"/>
        <v>35.583241579408757</v>
      </c>
    </row>
    <row r="1763" spans="1:45">
      <c r="A1763" s="20">
        <v>62.5625</v>
      </c>
      <c r="B1763" s="20">
        <v>1871.959681</v>
      </c>
      <c r="C1763" s="20">
        <v>-476.30069839999999</v>
      </c>
      <c r="E1763" s="9">
        <f t="shared" si="460"/>
        <v>911.95968100000005</v>
      </c>
      <c r="F1763" s="9">
        <f t="shared" si="475"/>
        <v>63.699301600000013</v>
      </c>
      <c r="I1763">
        <v>1</v>
      </c>
      <c r="J1763">
        <f t="shared" si="461"/>
        <v>0.5474457871657904</v>
      </c>
      <c r="K1763">
        <f t="shared" si="462"/>
        <v>6.9735550668099028E-2</v>
      </c>
      <c r="O1763">
        <f t="shared" si="463"/>
        <v>0.51924288260013529</v>
      </c>
      <c r="P1763">
        <f t="shared" si="464"/>
        <v>3.6268499223705716E-2</v>
      </c>
      <c r="Q1763">
        <f t="shared" si="465"/>
        <v>0.85385679410142434</v>
      </c>
      <c r="R1763">
        <f t="shared" si="466"/>
        <v>1</v>
      </c>
      <c r="AG1763" s="8">
        <f t="shared" si="472"/>
        <v>0.77268596489329844</v>
      </c>
      <c r="AH1763" s="8">
        <f t="shared" si="473"/>
        <v>0.25394154095575328</v>
      </c>
      <c r="AI1763" s="8">
        <f t="shared" si="474"/>
        <v>0.58178182631801922</v>
      </c>
      <c r="AJ1763" s="8"/>
      <c r="AK1763" s="8"/>
      <c r="AL1763" s="8"/>
      <c r="AN1763" s="8">
        <f t="shared" si="467"/>
        <v>1</v>
      </c>
      <c r="AO1763" s="8">
        <f t="shared" si="468"/>
        <v>0.31752766176584196</v>
      </c>
      <c r="AP1763" s="8">
        <f t="shared" si="469"/>
        <v>0.94987860922301492</v>
      </c>
      <c r="AQ1763" s="8"/>
      <c r="AR1763" s="8">
        <f t="shared" si="470"/>
        <v>18.192994897840261</v>
      </c>
      <c r="AS1763" s="8">
        <f t="shared" si="471"/>
        <v>35.575964641764855</v>
      </c>
    </row>
    <row r="1764" spans="1:45">
      <c r="A1764" s="20">
        <v>62.595866669999999</v>
      </c>
      <c r="B1764" s="20">
        <v>1872.2215209999999</v>
      </c>
      <c r="C1764" s="20">
        <v>-476.45460450000002</v>
      </c>
      <c r="E1764" s="9">
        <f t="shared" si="460"/>
        <v>912.22152099999994</v>
      </c>
      <c r="F1764" s="9">
        <f t="shared" si="475"/>
        <v>63.545395499999984</v>
      </c>
      <c r="I1764">
        <v>1</v>
      </c>
      <c r="J1764">
        <f t="shared" si="461"/>
        <v>0.54756865533414278</v>
      </c>
      <c r="K1764">
        <f t="shared" si="462"/>
        <v>6.9547699890170803E-2</v>
      </c>
      <c r="O1764">
        <f t="shared" si="463"/>
        <v>0.51935434078417919</v>
      </c>
      <c r="P1764">
        <f t="shared" si="464"/>
        <v>3.6178248627147268E-2</v>
      </c>
      <c r="Q1764">
        <f t="shared" si="465"/>
        <v>0.85379283379219284</v>
      </c>
      <c r="R1764">
        <f t="shared" si="466"/>
        <v>1</v>
      </c>
      <c r="AG1764" s="8">
        <f t="shared" si="472"/>
        <v>0.77272957651950103</v>
      </c>
      <c r="AH1764" s="8">
        <f t="shared" si="473"/>
        <v>0.25404970444825237</v>
      </c>
      <c r="AI1764" s="8">
        <f t="shared" si="474"/>
        <v>0.58167667070439411</v>
      </c>
      <c r="AJ1764" s="8"/>
      <c r="AK1764" s="8"/>
      <c r="AL1764" s="8"/>
      <c r="AN1764" s="8">
        <f t="shared" si="467"/>
        <v>1</v>
      </c>
      <c r="AO1764" s="8">
        <f t="shared" si="468"/>
        <v>0.31763724850574787</v>
      </c>
      <c r="AP1764" s="8">
        <f t="shared" si="469"/>
        <v>0.95000789109789652</v>
      </c>
      <c r="AQ1764" s="8"/>
      <c r="AR1764" s="8">
        <f t="shared" si="470"/>
        <v>18.199273755527468</v>
      </c>
      <c r="AS1764" s="8">
        <f t="shared" si="471"/>
        <v>35.568557335966595</v>
      </c>
    </row>
    <row r="1765" spans="1:45">
      <c r="A1765" s="20">
        <v>62.629233329999998</v>
      </c>
      <c r="B1765" s="20">
        <v>1872.1621620000001</v>
      </c>
      <c r="C1765" s="20">
        <v>-476.85031190000001</v>
      </c>
      <c r="E1765" s="9">
        <f t="shared" si="460"/>
        <v>912.16216200000008</v>
      </c>
      <c r="F1765" s="9">
        <f t="shared" si="475"/>
        <v>63.149688099999992</v>
      </c>
      <c r="I1765">
        <v>1</v>
      </c>
      <c r="J1765">
        <f t="shared" si="461"/>
        <v>0.54752616515058106</v>
      </c>
      <c r="K1765">
        <f t="shared" si="462"/>
        <v>6.912048080521814E-2</v>
      </c>
      <c r="O1765">
        <f t="shared" si="463"/>
        <v>0.51933355777033363</v>
      </c>
      <c r="P1765">
        <f t="shared" si="464"/>
        <v>3.5953861669894491E-2</v>
      </c>
      <c r="Q1765">
        <f t="shared" si="465"/>
        <v>0.85381495395936335</v>
      </c>
      <c r="R1765">
        <f t="shared" si="466"/>
        <v>1</v>
      </c>
      <c r="AG1765" s="8">
        <f t="shared" si="472"/>
        <v>0.77287321359126138</v>
      </c>
      <c r="AH1765" s="8">
        <f t="shared" si="473"/>
        <v>0.25398601246731378</v>
      </c>
      <c r="AI1765" s="8">
        <f t="shared" si="474"/>
        <v>0.58151362940525331</v>
      </c>
      <c r="AJ1765" s="8"/>
      <c r="AK1765" s="8"/>
      <c r="AL1765" s="8"/>
      <c r="AN1765" s="8">
        <f t="shared" si="467"/>
        <v>1.0000000000000004</v>
      </c>
      <c r="AO1765" s="8">
        <f t="shared" si="468"/>
        <v>0.31750773129672355</v>
      </c>
      <c r="AP1765" s="8">
        <f t="shared" si="469"/>
        <v>0.95020831596844602</v>
      </c>
      <c r="AQ1765" s="8"/>
      <c r="AR1765" s="8">
        <f t="shared" si="470"/>
        <v>18.191852966076059</v>
      </c>
      <c r="AS1765" s="8">
        <f t="shared" si="471"/>
        <v>35.557073836774656</v>
      </c>
    </row>
    <row r="1766" spans="1:45">
      <c r="A1766" s="20">
        <v>62.662599999999998</v>
      </c>
      <c r="B1766" s="20">
        <v>1873.013833</v>
      </c>
      <c r="C1766" s="20">
        <v>-477.47934900000001</v>
      </c>
      <c r="E1766" s="9">
        <f t="shared" si="460"/>
        <v>913.01383299999998</v>
      </c>
      <c r="F1766" s="9">
        <f t="shared" si="475"/>
        <v>62.520650999999987</v>
      </c>
      <c r="I1766">
        <v>1</v>
      </c>
      <c r="J1766">
        <f t="shared" si="461"/>
        <v>0.54792162614878248</v>
      </c>
      <c r="K1766">
        <f t="shared" si="462"/>
        <v>6.8370489340626783E-2</v>
      </c>
      <c r="O1766">
        <f t="shared" si="463"/>
        <v>0.51969719782159596</v>
      </c>
      <c r="P1766">
        <f t="shared" si="464"/>
        <v>3.5587420427048398E-2</v>
      </c>
      <c r="Q1766">
        <f t="shared" si="465"/>
        <v>0.85360901944844136</v>
      </c>
      <c r="R1766">
        <f t="shared" si="466"/>
        <v>1</v>
      </c>
      <c r="AG1766" s="8">
        <f t="shared" si="472"/>
        <v>0.77306057511630932</v>
      </c>
      <c r="AH1766" s="8">
        <f t="shared" si="473"/>
        <v>0.25432599923165622</v>
      </c>
      <c r="AI1766" s="8">
        <f t="shared" si="474"/>
        <v>0.58111585188812465</v>
      </c>
      <c r="AJ1766" s="8"/>
      <c r="AK1766" s="8"/>
      <c r="AL1766" s="8"/>
      <c r="AN1766" s="8">
        <f t="shared" si="467"/>
        <v>1.0000000000000002</v>
      </c>
      <c r="AO1766" s="8">
        <f t="shared" si="468"/>
        <v>0.31783273991400035</v>
      </c>
      <c r="AP1766" s="8">
        <f t="shared" si="469"/>
        <v>0.95069717905832929</v>
      </c>
      <c r="AQ1766" s="8"/>
      <c r="AR1766" s="8">
        <f t="shared" si="470"/>
        <v>18.210474588151403</v>
      </c>
      <c r="AS1766" s="8">
        <f t="shared" si="471"/>
        <v>35.52906404496462</v>
      </c>
    </row>
    <row r="1767" spans="1:45">
      <c r="A1767" s="20">
        <v>62.695966669999997</v>
      </c>
      <c r="B1767" s="20">
        <v>1873.0367630000001</v>
      </c>
      <c r="C1767" s="20">
        <v>-477.7846677</v>
      </c>
      <c r="E1767" s="9">
        <f t="shared" si="460"/>
        <v>913.03676300000006</v>
      </c>
      <c r="F1767" s="9">
        <f t="shared" si="475"/>
        <v>62.2153323</v>
      </c>
      <c r="I1767">
        <v>1</v>
      </c>
      <c r="J1767">
        <f t="shared" si="461"/>
        <v>0.54792264054438211</v>
      </c>
      <c r="K1767">
        <f t="shared" si="462"/>
        <v>6.8035931570250952E-2</v>
      </c>
      <c r="O1767">
        <f t="shared" si="463"/>
        <v>0.51970993867850523</v>
      </c>
      <c r="P1767">
        <f t="shared" si="464"/>
        <v>3.5413608569555291E-2</v>
      </c>
      <c r="Q1767">
        <f t="shared" si="465"/>
        <v>0.85360849103489278</v>
      </c>
      <c r="R1767">
        <f t="shared" si="466"/>
        <v>1</v>
      </c>
      <c r="AG1767" s="8">
        <f t="shared" si="472"/>
        <v>0.77316833659986473</v>
      </c>
      <c r="AH1767" s="8">
        <f t="shared" si="473"/>
        <v>0.25430889935886503</v>
      </c>
      <c r="AI1767" s="8">
        <f t="shared" si="474"/>
        <v>0.58097995403135971</v>
      </c>
      <c r="AJ1767" s="8"/>
      <c r="AK1767" s="8"/>
      <c r="AL1767" s="8"/>
      <c r="AN1767" s="8">
        <f t="shared" si="467"/>
        <v>0.99999999999999978</v>
      </c>
      <c r="AO1767" s="8">
        <f t="shared" si="468"/>
        <v>0.31777140717363433</v>
      </c>
      <c r="AP1767" s="8">
        <f t="shared" si="469"/>
        <v>0.95086415654134182</v>
      </c>
      <c r="AQ1767" s="8"/>
      <c r="AR1767" s="8">
        <f t="shared" si="470"/>
        <v>18.20696048098246</v>
      </c>
      <c r="AS1767" s="8">
        <f t="shared" si="471"/>
        <v>35.519496939914283</v>
      </c>
    </row>
    <row r="1768" spans="1:45">
      <c r="A1768" s="20">
        <v>62.729333330000003</v>
      </c>
      <c r="B1768" s="20">
        <v>1874.2506149999999</v>
      </c>
      <c r="C1768" s="20">
        <v>-477.4327424</v>
      </c>
      <c r="E1768" s="9">
        <f t="shared" si="460"/>
        <v>914.25061499999993</v>
      </c>
      <c r="F1768" s="9">
        <f t="shared" si="475"/>
        <v>62.567257600000005</v>
      </c>
      <c r="I1768">
        <v>1</v>
      </c>
      <c r="J1768">
        <f t="shared" si="461"/>
        <v>0.54852789029473803</v>
      </c>
      <c r="K1768">
        <f t="shared" si="462"/>
        <v>6.8329026801145762E-2</v>
      </c>
      <c r="O1768">
        <f t="shared" si="463"/>
        <v>0.52021488229621116</v>
      </c>
      <c r="P1768">
        <f t="shared" si="464"/>
        <v>3.5601199511340477E-2</v>
      </c>
      <c r="Q1768">
        <f t="shared" si="465"/>
        <v>0.85329305096836039</v>
      </c>
      <c r="R1768">
        <f t="shared" si="466"/>
        <v>1</v>
      </c>
      <c r="AG1768" s="8">
        <f t="shared" si="472"/>
        <v>0.77299028551896021</v>
      </c>
      <c r="AH1768" s="8">
        <f t="shared" si="473"/>
        <v>0.25490667143808809</v>
      </c>
      <c r="AI1768" s="8">
        <f t="shared" si="474"/>
        <v>0.58095490991097676</v>
      </c>
      <c r="AJ1768" s="8"/>
      <c r="AK1768" s="8"/>
      <c r="AL1768" s="8"/>
      <c r="AN1768" s="8">
        <f t="shared" si="467"/>
        <v>1.0000000000000002</v>
      </c>
      <c r="AO1768" s="8">
        <f t="shared" si="468"/>
        <v>0.31853740899515043</v>
      </c>
      <c r="AP1768" s="8">
        <f t="shared" si="469"/>
        <v>0.95089492604082138</v>
      </c>
      <c r="AQ1768" s="8"/>
      <c r="AR1768" s="8">
        <f t="shared" si="470"/>
        <v>18.250849152454666</v>
      </c>
      <c r="AS1768" s="8">
        <f t="shared" si="471"/>
        <v>35.517733977456373</v>
      </c>
    </row>
    <row r="1769" spans="1:45">
      <c r="A1769" s="20">
        <v>62.762700000000002</v>
      </c>
      <c r="B1769" s="20">
        <v>1874.4087529999999</v>
      </c>
      <c r="C1769" s="20">
        <v>-478.07141669999999</v>
      </c>
      <c r="E1769" s="9">
        <f t="shared" si="460"/>
        <v>914.40875299999993</v>
      </c>
      <c r="F1769" s="9">
        <f t="shared" si="475"/>
        <v>61.928583300000014</v>
      </c>
      <c r="I1769">
        <v>1</v>
      </c>
      <c r="J1769">
        <f t="shared" si="461"/>
        <v>0.54858392897875874</v>
      </c>
      <c r="K1769">
        <f t="shared" si="462"/>
        <v>6.7622012521798502E-2</v>
      </c>
      <c r="O1769">
        <f t="shared" si="463"/>
        <v>0.52028763014703394</v>
      </c>
      <c r="P1769">
        <f t="shared" si="464"/>
        <v>3.5236622284957712E-2</v>
      </c>
      <c r="Q1769">
        <f t="shared" si="465"/>
        <v>0.85326382928489974</v>
      </c>
      <c r="R1769">
        <f t="shared" si="466"/>
        <v>1</v>
      </c>
      <c r="AG1769" s="8">
        <f t="shared" si="472"/>
        <v>0.77321078664153142</v>
      </c>
      <c r="AH1769" s="8">
        <f t="shared" si="473"/>
        <v>0.25492222711906604</v>
      </c>
      <c r="AI1769" s="8">
        <f t="shared" si="474"/>
        <v>0.58065457678540655</v>
      </c>
      <c r="AJ1769" s="8"/>
      <c r="AK1769" s="8"/>
      <c r="AL1769" s="8"/>
      <c r="AN1769" s="8">
        <f t="shared" si="467"/>
        <v>1</v>
      </c>
      <c r="AO1769" s="8">
        <f t="shared" si="468"/>
        <v>0.31847073463735387</v>
      </c>
      <c r="AP1769" s="8">
        <f t="shared" si="469"/>
        <v>0.95126386621372128</v>
      </c>
      <c r="AQ1769" s="8"/>
      <c r="AR1769" s="8">
        <f t="shared" si="470"/>
        <v>18.247028993151176</v>
      </c>
      <c r="AS1769" s="8">
        <f t="shared" si="471"/>
        <v>35.496595262656385</v>
      </c>
    </row>
    <row r="1770" spans="1:45">
      <c r="A1770" s="20">
        <v>62.796066670000002</v>
      </c>
      <c r="B1770" s="20">
        <v>1874.553406</v>
      </c>
      <c r="C1770" s="20">
        <v>-478.32885219999997</v>
      </c>
      <c r="E1770" s="9">
        <f t="shared" si="460"/>
        <v>914.553406</v>
      </c>
      <c r="F1770" s="9">
        <f t="shared" si="475"/>
        <v>61.671147800000028</v>
      </c>
      <c r="I1770">
        <v>1</v>
      </c>
      <c r="J1770">
        <f t="shared" si="461"/>
        <v>0.54864612309084493</v>
      </c>
      <c r="K1770">
        <f t="shared" si="462"/>
        <v>6.7331141289741311E-2</v>
      </c>
      <c r="O1770">
        <f t="shared" si="463"/>
        <v>0.52035080419084212</v>
      </c>
      <c r="P1770">
        <f t="shared" si="464"/>
        <v>3.508885445351706E-2</v>
      </c>
      <c r="Q1770">
        <f t="shared" si="465"/>
        <v>0.85323139468205444</v>
      </c>
      <c r="R1770">
        <f t="shared" si="466"/>
        <v>1</v>
      </c>
      <c r="AG1770" s="8">
        <f t="shared" si="472"/>
        <v>0.77329609971876478</v>
      </c>
      <c r="AH1770" s="8">
        <f t="shared" si="473"/>
        <v>0.25496617656656906</v>
      </c>
      <c r="AI1770" s="8">
        <f t="shared" si="474"/>
        <v>0.58052165417559687</v>
      </c>
      <c r="AJ1770" s="8"/>
      <c r="AK1770" s="8"/>
      <c r="AL1770" s="8"/>
      <c r="AN1770" s="8">
        <f t="shared" si="467"/>
        <v>1</v>
      </c>
      <c r="AO1770" s="8">
        <f t="shared" si="468"/>
        <v>0.31848918940509646</v>
      </c>
      <c r="AP1770" s="8">
        <f t="shared" si="469"/>
        <v>0.95142712220885739</v>
      </c>
      <c r="AQ1770" s="8"/>
      <c r="AR1770" s="8">
        <f t="shared" si="470"/>
        <v>18.248086373454722</v>
      </c>
      <c r="AS1770" s="8">
        <f t="shared" si="471"/>
        <v>35.487241383154874</v>
      </c>
    </row>
    <row r="1771" spans="1:45">
      <c r="A1771" s="20">
        <v>62.829433330000001</v>
      </c>
      <c r="B1771" s="20">
        <v>1875.9095540000001</v>
      </c>
      <c r="C1771" s="20">
        <v>-478.41073949999998</v>
      </c>
      <c r="E1771" s="9">
        <f t="shared" si="460"/>
        <v>915.90955400000007</v>
      </c>
      <c r="F1771" s="9">
        <f t="shared" si="475"/>
        <v>61.589260500000023</v>
      </c>
      <c r="I1771">
        <v>1</v>
      </c>
      <c r="J1771">
        <f t="shared" si="461"/>
        <v>0.5493059468878787</v>
      </c>
      <c r="K1771">
        <f t="shared" si="462"/>
        <v>6.7142744862547107E-2</v>
      </c>
      <c r="O1771">
        <f t="shared" si="463"/>
        <v>0.52091900610832331</v>
      </c>
      <c r="P1771">
        <f t="shared" si="464"/>
        <v>3.5028585766457267E-2</v>
      </c>
      <c r="Q1771">
        <f t="shared" si="465"/>
        <v>0.85288708939361868</v>
      </c>
      <c r="R1771">
        <f t="shared" si="466"/>
        <v>1</v>
      </c>
      <c r="AG1771" s="8">
        <f t="shared" si="472"/>
        <v>0.77326588218538483</v>
      </c>
      <c r="AH1771" s="8">
        <f t="shared" si="473"/>
        <v>0.25559010518810715</v>
      </c>
      <c r="AI1771" s="8">
        <f t="shared" si="474"/>
        <v>0.58028749217779185</v>
      </c>
      <c r="AJ1771" s="8"/>
      <c r="AK1771" s="8"/>
      <c r="AL1771" s="8"/>
      <c r="AN1771" s="8">
        <f t="shared" si="467"/>
        <v>1</v>
      </c>
      <c r="AO1771" s="8">
        <f t="shared" si="468"/>
        <v>0.31922838939713605</v>
      </c>
      <c r="AP1771" s="8">
        <f t="shared" si="469"/>
        <v>0.9517146745491698</v>
      </c>
      <c r="AQ1771" s="8"/>
      <c r="AR1771" s="8">
        <f t="shared" si="470"/>
        <v>18.290439413214695</v>
      </c>
      <c r="AS1771" s="8">
        <f t="shared" si="471"/>
        <v>35.470765847665866</v>
      </c>
    </row>
    <row r="1772" spans="1:45">
      <c r="A1772" s="20">
        <v>62.8628</v>
      </c>
      <c r="B1772" s="20">
        <v>1876.2451140000001</v>
      </c>
      <c r="C1772" s="20">
        <v>-478.39858149999998</v>
      </c>
      <c r="E1772" s="9">
        <f t="shared" si="460"/>
        <v>916.24511400000006</v>
      </c>
      <c r="F1772" s="9">
        <f t="shared" si="475"/>
        <v>61.601418500000023</v>
      </c>
      <c r="I1772">
        <v>1</v>
      </c>
      <c r="J1772">
        <f t="shared" si="461"/>
        <v>0.54947019665924701</v>
      </c>
      <c r="K1772">
        <f t="shared" si="462"/>
        <v>6.7131438387549619E-2</v>
      </c>
      <c r="O1772">
        <f t="shared" si="463"/>
        <v>0.52105916606647951</v>
      </c>
      <c r="P1772">
        <f t="shared" si="464"/>
        <v>3.5032092680957215E-2</v>
      </c>
      <c r="Q1772">
        <f t="shared" si="465"/>
        <v>0.85280132383838247</v>
      </c>
      <c r="R1772">
        <f t="shared" si="466"/>
        <v>1</v>
      </c>
      <c r="AG1772" s="8">
        <f t="shared" si="472"/>
        <v>0.77324682529809574</v>
      </c>
      <c r="AH1772" s="8">
        <f t="shared" si="473"/>
        <v>0.25574734316552677</v>
      </c>
      <c r="AI1772" s="8">
        <f t="shared" si="474"/>
        <v>0.58024360714288836</v>
      </c>
      <c r="AJ1772" s="8"/>
      <c r="AK1772" s="8"/>
      <c r="AL1772" s="8"/>
      <c r="AN1772" s="8">
        <f t="shared" si="467"/>
        <v>1</v>
      </c>
      <c r="AO1772" s="8">
        <f t="shared" si="468"/>
        <v>0.31941904077950456</v>
      </c>
      <c r="AP1772" s="8">
        <f t="shared" si="469"/>
        <v>0.95176855907977198</v>
      </c>
      <c r="AQ1772" s="8"/>
      <c r="AR1772" s="8">
        <f t="shared" si="470"/>
        <v>18.301362932782745</v>
      </c>
      <c r="AS1772" s="8">
        <f t="shared" si="471"/>
        <v>35.467678491481315</v>
      </c>
    </row>
    <row r="1773" spans="1:45">
      <c r="A1773" s="20">
        <v>62.896166669999999</v>
      </c>
      <c r="B1773" s="20">
        <v>1876.265676</v>
      </c>
      <c r="C1773" s="20">
        <v>-478.72043200000002</v>
      </c>
      <c r="E1773" s="9">
        <f t="shared" si="460"/>
        <v>916.26567599999998</v>
      </c>
      <c r="F1773" s="9">
        <f t="shared" si="475"/>
        <v>61.279567999999983</v>
      </c>
      <c r="I1773">
        <v>1</v>
      </c>
      <c r="J1773">
        <f t="shared" si="461"/>
        <v>0.54946969863073836</v>
      </c>
      <c r="K1773">
        <f t="shared" si="462"/>
        <v>6.6780245472048458E-2</v>
      </c>
      <c r="O1773">
        <f t="shared" si="463"/>
        <v>0.52107101318344562</v>
      </c>
      <c r="P1773">
        <f t="shared" si="464"/>
        <v>3.4849069894880402E-2</v>
      </c>
      <c r="Q1773">
        <f t="shared" si="465"/>
        <v>0.85280158392643668</v>
      </c>
      <c r="R1773">
        <f t="shared" si="466"/>
        <v>1</v>
      </c>
      <c r="AG1773" s="8">
        <f t="shared" si="472"/>
        <v>0.77336038226931425</v>
      </c>
      <c r="AH1773" s="8">
        <f t="shared" si="473"/>
        <v>0.25572762436273833</v>
      </c>
      <c r="AI1773" s="8">
        <f t="shared" si="474"/>
        <v>0.58010094059055817</v>
      </c>
      <c r="AJ1773" s="8"/>
      <c r="AK1773" s="8"/>
      <c r="AL1773" s="8"/>
      <c r="AN1773" s="8">
        <f t="shared" si="467"/>
        <v>0.99999999999999989</v>
      </c>
      <c r="AO1773" s="8">
        <f t="shared" si="468"/>
        <v>0.3193522795687655</v>
      </c>
      <c r="AP1773" s="8">
        <f t="shared" si="469"/>
        <v>0.95194371885960438</v>
      </c>
      <c r="AQ1773" s="8"/>
      <c r="AR1773" s="8">
        <f t="shared" si="470"/>
        <v>18.297537797172211</v>
      </c>
      <c r="AS1773" s="8">
        <f t="shared" si="471"/>
        <v>35.457642575356481</v>
      </c>
    </row>
    <row r="1774" spans="1:45">
      <c r="A1774" s="20">
        <v>62.929533329999998</v>
      </c>
      <c r="B1774" s="20">
        <v>1876.529393</v>
      </c>
      <c r="C1774" s="20">
        <v>-479.36117849999999</v>
      </c>
      <c r="E1774" s="9">
        <f t="shared" si="460"/>
        <v>916.52939300000003</v>
      </c>
      <c r="F1774" s="9">
        <f t="shared" si="475"/>
        <v>60.638821500000006</v>
      </c>
      <c r="I1774">
        <v>1</v>
      </c>
      <c r="J1774">
        <f t="shared" si="461"/>
        <v>0.54957764426248412</v>
      </c>
      <c r="K1774">
        <f t="shared" si="462"/>
        <v>6.6065065697925182E-2</v>
      </c>
      <c r="O1774">
        <f t="shared" si="463"/>
        <v>0.52118765562071911</v>
      </c>
      <c r="P1774">
        <f t="shared" si="464"/>
        <v>3.448247864014576E-2</v>
      </c>
      <c r="Q1774">
        <f t="shared" si="465"/>
        <v>0.85274520596448422</v>
      </c>
      <c r="R1774">
        <f t="shared" si="466"/>
        <v>1</v>
      </c>
      <c r="AG1774" s="8">
        <f t="shared" si="472"/>
        <v>0.7735765601810265</v>
      </c>
      <c r="AH1774" s="8">
        <f t="shared" si="473"/>
        <v>0.25579198299002326</v>
      </c>
      <c r="AI1774" s="8">
        <f t="shared" si="474"/>
        <v>0.57978424174560184</v>
      </c>
      <c r="AJ1774" s="8"/>
      <c r="AK1774" s="8"/>
      <c r="AL1774" s="8"/>
      <c r="AN1774" s="8">
        <f t="shared" si="467"/>
        <v>1.0000000000000002</v>
      </c>
      <c r="AO1774" s="8">
        <f t="shared" si="468"/>
        <v>0.31934397682805676</v>
      </c>
      <c r="AP1774" s="8">
        <f t="shared" si="469"/>
        <v>0.9523324698499972</v>
      </c>
      <c r="AQ1774" s="8"/>
      <c r="AR1774" s="8">
        <f t="shared" si="470"/>
        <v>18.297062085171209</v>
      </c>
      <c r="AS1774" s="8">
        <f t="shared" si="471"/>
        <v>35.435368784325441</v>
      </c>
    </row>
    <row r="1775" spans="1:45">
      <c r="A1775" s="20">
        <v>62.962899999999998</v>
      </c>
      <c r="B1775" s="20">
        <v>1877.4552329999999</v>
      </c>
      <c r="C1775" s="20">
        <v>-479.42289099999999</v>
      </c>
      <c r="E1775" s="9">
        <f t="shared" si="460"/>
        <v>917.45523299999991</v>
      </c>
      <c r="F1775" s="9">
        <f t="shared" si="475"/>
        <v>60.577109000000007</v>
      </c>
      <c r="I1775">
        <v>1</v>
      </c>
      <c r="J1775">
        <f t="shared" si="461"/>
        <v>0.55002754041203827</v>
      </c>
      <c r="K1775">
        <f t="shared" si="462"/>
        <v>6.5931617789278363E-2</v>
      </c>
      <c r="O1775">
        <f t="shared" si="463"/>
        <v>0.5215750130699679</v>
      </c>
      <c r="P1775">
        <f t="shared" si="464"/>
        <v>3.4438199578524696E-2</v>
      </c>
      <c r="Q1775">
        <f t="shared" si="465"/>
        <v>0.85251012671454673</v>
      </c>
      <c r="R1775">
        <f t="shared" si="466"/>
        <v>1</v>
      </c>
      <c r="AG1775" s="8">
        <f t="shared" si="472"/>
        <v>0.77355760828893361</v>
      </c>
      <c r="AH1775" s="8">
        <f t="shared" si="473"/>
        <v>0.25621689452115337</v>
      </c>
      <c r="AI1775" s="8">
        <f t="shared" si="474"/>
        <v>0.57962188504251699</v>
      </c>
      <c r="AJ1775" s="8"/>
      <c r="AK1775" s="8"/>
      <c r="AL1775" s="8"/>
      <c r="AN1775" s="8">
        <f t="shared" si="467"/>
        <v>0.99999999999999978</v>
      </c>
      <c r="AO1775" s="8">
        <f t="shared" si="468"/>
        <v>0.31984635230458497</v>
      </c>
      <c r="AP1775" s="8">
        <f t="shared" si="469"/>
        <v>0.95253172262705166</v>
      </c>
      <c r="AQ1775" s="8"/>
      <c r="AR1775" s="8">
        <f t="shared" si="470"/>
        <v>18.325846079707151</v>
      </c>
      <c r="AS1775" s="8">
        <f t="shared" si="471"/>
        <v>35.42395244114396</v>
      </c>
    </row>
    <row r="1776" spans="1:45">
      <c r="A1776" s="20">
        <v>62.996266669999997</v>
      </c>
      <c r="B1776" s="20">
        <v>1877.438815</v>
      </c>
      <c r="C1776" s="20">
        <v>-479.37542130000003</v>
      </c>
      <c r="E1776" s="9">
        <f t="shared" si="460"/>
        <v>917.43881499999998</v>
      </c>
      <c r="F1776" s="9">
        <f t="shared" si="475"/>
        <v>60.624578699999972</v>
      </c>
      <c r="I1776">
        <v>1</v>
      </c>
      <c r="J1776">
        <f t="shared" si="461"/>
        <v>0.55002105918822697</v>
      </c>
      <c r="K1776">
        <f t="shared" si="462"/>
        <v>6.5984311016447722E-2</v>
      </c>
      <c r="O1776">
        <f t="shared" si="463"/>
        <v>0.52156768439015</v>
      </c>
      <c r="P1776">
        <f t="shared" si="464"/>
        <v>3.4465318681428797E-2</v>
      </c>
      <c r="Q1776">
        <f t="shared" si="465"/>
        <v>0.85251351450172586</v>
      </c>
      <c r="R1776">
        <f t="shared" si="466"/>
        <v>1</v>
      </c>
      <c r="AG1776" s="8">
        <f t="shared" si="472"/>
        <v>0.77354146820834124</v>
      </c>
      <c r="AH1776" s="8">
        <f t="shared" si="473"/>
        <v>0.25621358293989926</v>
      </c>
      <c r="AI1776" s="8">
        <f t="shared" si="474"/>
        <v>0.5796448885992036</v>
      </c>
      <c r="AJ1776" s="8"/>
      <c r="AK1776" s="8"/>
      <c r="AL1776" s="8"/>
      <c r="AN1776" s="8">
        <f t="shared" si="467"/>
        <v>1</v>
      </c>
      <c r="AO1776" s="8">
        <f t="shared" si="468"/>
        <v>0.31984872218844229</v>
      </c>
      <c r="AP1776" s="8">
        <f t="shared" si="469"/>
        <v>0.95250349315672422</v>
      </c>
      <c r="AQ1776" s="8"/>
      <c r="AR1776" s="8">
        <f t="shared" si="470"/>
        <v>18.32598186405011</v>
      </c>
      <c r="AS1776" s="8">
        <f t="shared" si="471"/>
        <v>35.425569870651614</v>
      </c>
    </row>
    <row r="1777" spans="1:45">
      <c r="A1777" s="20">
        <v>63.029633330000003</v>
      </c>
      <c r="B1777" s="20">
        <v>1878.1326429999999</v>
      </c>
      <c r="C1777" s="20">
        <v>-479.40865600000001</v>
      </c>
      <c r="E1777" s="9">
        <f t="shared" si="460"/>
        <v>918.13264299999992</v>
      </c>
      <c r="F1777" s="9">
        <f t="shared" si="475"/>
        <v>60.591343999999992</v>
      </c>
      <c r="I1777">
        <v>1</v>
      </c>
      <c r="J1777">
        <f t="shared" si="461"/>
        <v>0.55035847744336031</v>
      </c>
      <c r="K1777">
        <f t="shared" si="462"/>
        <v>6.5898550373741538E-2</v>
      </c>
      <c r="O1777">
        <f t="shared" si="463"/>
        <v>0.52185763780735661</v>
      </c>
      <c r="P1777">
        <f t="shared" si="464"/>
        <v>3.4439528855105685E-2</v>
      </c>
      <c r="Q1777">
        <f t="shared" si="465"/>
        <v>0.85233709570472416</v>
      </c>
      <c r="R1777">
        <f t="shared" si="466"/>
        <v>1</v>
      </c>
      <c r="AG1777" s="8">
        <f t="shared" si="472"/>
        <v>0.77352255098251232</v>
      </c>
      <c r="AH1777" s="8">
        <f t="shared" si="473"/>
        <v>0.25653301432590681</v>
      </c>
      <c r="AI1777" s="8">
        <f t="shared" si="474"/>
        <v>0.57952883938797284</v>
      </c>
      <c r="AJ1777" s="8"/>
      <c r="AK1777" s="8"/>
      <c r="AL1777" s="8"/>
      <c r="AN1777" s="8">
        <f t="shared" si="467"/>
        <v>1</v>
      </c>
      <c r="AO1777" s="8">
        <f t="shared" si="468"/>
        <v>0.32022810514844402</v>
      </c>
      <c r="AP1777" s="8">
        <f t="shared" si="469"/>
        <v>0.95264590047183928</v>
      </c>
      <c r="AQ1777" s="8"/>
      <c r="AR1777" s="8">
        <f t="shared" si="470"/>
        <v>18.34771890647739</v>
      </c>
      <c r="AS1777" s="8">
        <f t="shared" si="471"/>
        <v>35.417410532523732</v>
      </c>
    </row>
    <row r="1778" spans="1:45">
      <c r="A1778" s="20">
        <v>63.063000000000002</v>
      </c>
      <c r="B1778" s="20">
        <v>1878.6100469999999</v>
      </c>
      <c r="C1778" s="20">
        <v>-480.06752390000003</v>
      </c>
      <c r="E1778" s="9">
        <f t="shared" si="460"/>
        <v>918.61004699999989</v>
      </c>
      <c r="F1778" s="9">
        <f t="shared" si="475"/>
        <v>59.932476099999974</v>
      </c>
      <c r="I1778">
        <v>1</v>
      </c>
      <c r="J1778">
        <f t="shared" si="461"/>
        <v>0.55057022612238082</v>
      </c>
      <c r="K1778">
        <f t="shared" si="462"/>
        <v>6.5150230803503892E-2</v>
      </c>
      <c r="O1778">
        <f t="shared" si="463"/>
        <v>0.52206335012005833</v>
      </c>
      <c r="P1778">
        <f t="shared" si="464"/>
        <v>3.4060752281056116E-2</v>
      </c>
      <c r="Q1778">
        <f t="shared" si="465"/>
        <v>0.85222633356137856</v>
      </c>
      <c r="R1778">
        <f t="shared" si="466"/>
        <v>1</v>
      </c>
      <c r="AG1778" s="8">
        <f t="shared" si="472"/>
        <v>0.77373532869590611</v>
      </c>
      <c r="AH1778" s="8">
        <f t="shared" si="473"/>
        <v>0.25669483411352756</v>
      </c>
      <c r="AI1778" s="8">
        <f t="shared" si="474"/>
        <v>0.57917303396072128</v>
      </c>
      <c r="AJ1778" s="8"/>
      <c r="AK1778" s="8"/>
      <c r="AL1778" s="8"/>
      <c r="AN1778" s="8">
        <f t="shared" si="467"/>
        <v>1</v>
      </c>
      <c r="AO1778" s="8">
        <f t="shared" si="468"/>
        <v>0.32033435409677546</v>
      </c>
      <c r="AP1778" s="8">
        <f t="shared" si="469"/>
        <v>0.95308242966497314</v>
      </c>
      <c r="AQ1778" s="8"/>
      <c r="AR1778" s="8">
        <f t="shared" si="470"/>
        <v>18.353806522794486</v>
      </c>
      <c r="AS1778" s="8">
        <f t="shared" si="471"/>
        <v>35.392399252122907</v>
      </c>
    </row>
    <row r="1779" spans="1:45">
      <c r="A1779" s="20">
        <v>63.096366670000002</v>
      </c>
      <c r="B1779" s="20">
        <v>1879.116276</v>
      </c>
      <c r="C1779" s="20">
        <v>-480.3088558</v>
      </c>
      <c r="E1779" s="9">
        <f t="shared" si="460"/>
        <v>919.11627599999997</v>
      </c>
      <c r="F1779" s="9">
        <f t="shared" si="475"/>
        <v>59.691144199999997</v>
      </c>
      <c r="I1779">
        <v>1</v>
      </c>
      <c r="J1779">
        <f t="shared" si="461"/>
        <v>0.55080940008217283</v>
      </c>
      <c r="K1779">
        <f t="shared" si="462"/>
        <v>6.4852986603945062E-2</v>
      </c>
      <c r="O1779">
        <f t="shared" si="463"/>
        <v>0.52227683833442229</v>
      </c>
      <c r="P1779">
        <f t="shared" si="464"/>
        <v>3.3918779248492043E-2</v>
      </c>
      <c r="Q1779">
        <f t="shared" si="465"/>
        <v>0.85210117976311461</v>
      </c>
      <c r="R1779">
        <f t="shared" si="466"/>
        <v>1</v>
      </c>
      <c r="AG1779" s="8">
        <f t="shared" si="472"/>
        <v>0.77379844595811953</v>
      </c>
      <c r="AH1779" s="8">
        <f t="shared" si="473"/>
        <v>0.25690796563607982</v>
      </c>
      <c r="AI1779" s="8">
        <f t="shared" si="474"/>
        <v>0.5789941815126729</v>
      </c>
      <c r="AJ1779" s="8"/>
      <c r="AK1779" s="8"/>
      <c r="AL1779" s="8"/>
      <c r="AN1779" s="8">
        <f t="shared" si="467"/>
        <v>1</v>
      </c>
      <c r="AO1779" s="8">
        <f t="shared" si="468"/>
        <v>0.32055808507452055</v>
      </c>
      <c r="AP1779" s="8">
        <f t="shared" si="469"/>
        <v>0.95330180833984735</v>
      </c>
      <c r="AQ1779" s="8"/>
      <c r="AR1779" s="8">
        <f t="shared" si="470"/>
        <v>18.366625363565614</v>
      </c>
      <c r="AS1779" s="8">
        <f t="shared" si="471"/>
        <v>35.379829779937445</v>
      </c>
    </row>
    <row r="1780" spans="1:45">
      <c r="A1780" s="20">
        <v>63.129733330000001</v>
      </c>
      <c r="B1780" s="20">
        <v>1879.5631149999999</v>
      </c>
      <c r="C1780" s="20">
        <v>-480.44175230000002</v>
      </c>
      <c r="E1780" s="9">
        <f t="shared" si="460"/>
        <v>919.56311499999993</v>
      </c>
      <c r="F1780" s="9">
        <f t="shared" si="475"/>
        <v>59.558247699999981</v>
      </c>
      <c r="I1780">
        <v>1</v>
      </c>
      <c r="J1780">
        <f t="shared" si="461"/>
        <v>0.55102301774758489</v>
      </c>
      <c r="K1780">
        <f t="shared" si="462"/>
        <v>6.4677644834210832E-2</v>
      </c>
      <c r="O1780">
        <f t="shared" si="463"/>
        <v>0.52246440904312985</v>
      </c>
      <c r="P1780">
        <f t="shared" si="464"/>
        <v>3.3838965679071242E-2</v>
      </c>
      <c r="Q1780">
        <f t="shared" si="465"/>
        <v>0.85198935772988604</v>
      </c>
      <c r="R1780">
        <f t="shared" si="466"/>
        <v>1</v>
      </c>
      <c r="AG1780" s="8">
        <f t="shared" si="472"/>
        <v>0.77382566209246528</v>
      </c>
      <c r="AH1780" s="8">
        <f t="shared" si="473"/>
        <v>0.25710331834747552</v>
      </c>
      <c r="AI1780" s="8">
        <f t="shared" si="474"/>
        <v>0.57887108096870288</v>
      </c>
      <c r="AJ1780" s="8"/>
      <c r="AK1780" s="8"/>
      <c r="AL1780" s="8"/>
      <c r="AN1780" s="8">
        <f t="shared" si="467"/>
        <v>1.0000000000000002</v>
      </c>
      <c r="AO1780" s="8">
        <f t="shared" si="468"/>
        <v>0.32077493760186832</v>
      </c>
      <c r="AP1780" s="8">
        <f t="shared" si="469"/>
        <v>0.95345278241565634</v>
      </c>
      <c r="AQ1780" s="8"/>
      <c r="AR1780" s="8">
        <f t="shared" si="470"/>
        <v>18.379050098159386</v>
      </c>
      <c r="AS1780" s="8">
        <f t="shared" si="471"/>
        <v>35.371179602577698</v>
      </c>
    </row>
    <row r="1781" spans="1:45">
      <c r="A1781" s="20">
        <v>63.1631</v>
      </c>
      <c r="B1781" s="20">
        <v>1879.742902</v>
      </c>
      <c r="C1781" s="20">
        <v>-480.58632089999998</v>
      </c>
      <c r="E1781" s="9">
        <f t="shared" si="460"/>
        <v>919.74290199999996</v>
      </c>
      <c r="F1781" s="9">
        <f t="shared" si="475"/>
        <v>59.413679100000024</v>
      </c>
      <c r="I1781">
        <v>1</v>
      </c>
      <c r="J1781">
        <f t="shared" si="461"/>
        <v>0.55110608561236596</v>
      </c>
      <c r="K1781">
        <f t="shared" si="462"/>
        <v>6.4508508237236417E-2</v>
      </c>
      <c r="O1781">
        <f t="shared" si="463"/>
        <v>0.52254074890723434</v>
      </c>
      <c r="P1781">
        <f t="shared" si="464"/>
        <v>3.3755159517662808E-2</v>
      </c>
      <c r="Q1781">
        <f t="shared" si="465"/>
        <v>0.85194586385368631</v>
      </c>
      <c r="R1781">
        <f t="shared" si="466"/>
        <v>1</v>
      </c>
      <c r="AG1781" s="8">
        <f t="shared" si="472"/>
        <v>0.77386891901589561</v>
      </c>
      <c r="AH1781" s="8">
        <f t="shared" si="473"/>
        <v>0.25717360826810159</v>
      </c>
      <c r="AI1781" s="8">
        <f t="shared" si="474"/>
        <v>0.57878202407429202</v>
      </c>
      <c r="AJ1781" s="8"/>
      <c r="AK1781" s="8"/>
      <c r="AL1781" s="8"/>
      <c r="AN1781" s="8">
        <f t="shared" si="467"/>
        <v>1</v>
      </c>
      <c r="AO1781" s="8">
        <f t="shared" si="468"/>
        <v>0.32084001017416997</v>
      </c>
      <c r="AP1781" s="8">
        <f t="shared" si="469"/>
        <v>0.95356199428584953</v>
      </c>
      <c r="AQ1781" s="8"/>
      <c r="AR1781" s="8">
        <f t="shared" si="470"/>
        <v>18.382778481914333</v>
      </c>
      <c r="AS1781" s="8">
        <f t="shared" si="471"/>
        <v>35.364922223342901</v>
      </c>
    </row>
    <row r="1782" spans="1:45">
      <c r="A1782" s="20">
        <v>63.19646667</v>
      </c>
      <c r="B1782" s="20">
        <v>1880.8627859999999</v>
      </c>
      <c r="C1782" s="20">
        <v>-481.34095630000002</v>
      </c>
      <c r="E1782" s="9">
        <f t="shared" si="460"/>
        <v>920.86278599999991</v>
      </c>
      <c r="F1782" s="9">
        <f t="shared" si="475"/>
        <v>58.659043699999984</v>
      </c>
      <c r="I1782">
        <v>1</v>
      </c>
      <c r="J1782">
        <f t="shared" si="461"/>
        <v>0.55162813308688152</v>
      </c>
      <c r="K1782">
        <f t="shared" si="462"/>
        <v>6.3614141972642826E-2</v>
      </c>
      <c r="O1782">
        <f t="shared" si="463"/>
        <v>0.52301451474165661</v>
      </c>
      <c r="P1782">
        <f t="shared" si="464"/>
        <v>3.3316072429454349E-2</v>
      </c>
      <c r="Q1782">
        <f t="shared" si="465"/>
        <v>0.85167238812082247</v>
      </c>
      <c r="R1782">
        <f t="shared" si="466"/>
        <v>1</v>
      </c>
      <c r="AG1782" s="8">
        <f t="shared" si="472"/>
        <v>0.77408630452172678</v>
      </c>
      <c r="AH1782" s="8">
        <f t="shared" si="473"/>
        <v>0.25762448236064239</v>
      </c>
      <c r="AI1782" s="8">
        <f t="shared" si="474"/>
        <v>0.57829060103057839</v>
      </c>
      <c r="AJ1782" s="8"/>
      <c r="AK1782" s="8"/>
      <c r="AL1782" s="8"/>
      <c r="AN1782" s="8">
        <f t="shared" si="467"/>
        <v>1</v>
      </c>
      <c r="AO1782" s="8">
        <f t="shared" si="468"/>
        <v>0.32128043340111107</v>
      </c>
      <c r="AP1782" s="8">
        <f t="shared" si="469"/>
        <v>0.9541644819570082</v>
      </c>
      <c r="AQ1782" s="8"/>
      <c r="AR1782" s="8">
        <f t="shared" si="470"/>
        <v>18.40801287401759</v>
      </c>
      <c r="AS1782" s="8">
        <f t="shared" si="471"/>
        <v>35.330402222576843</v>
      </c>
    </row>
    <row r="1783" spans="1:45">
      <c r="A1783" s="20">
        <v>63.229833329999998</v>
      </c>
      <c r="B1783" s="20">
        <v>1879.740125</v>
      </c>
      <c r="C1783" s="20">
        <v>-481.62162160000003</v>
      </c>
      <c r="E1783" s="9">
        <f t="shared" si="460"/>
        <v>919.74012500000003</v>
      </c>
      <c r="F1783" s="9">
        <f t="shared" si="475"/>
        <v>58.378378399999974</v>
      </c>
      <c r="I1783">
        <v>1</v>
      </c>
      <c r="J1783">
        <f t="shared" si="461"/>
        <v>0.55107242013294566</v>
      </c>
      <c r="K1783">
        <f t="shared" si="462"/>
        <v>6.3387654683172701E-2</v>
      </c>
      <c r="O1783">
        <f t="shared" si="463"/>
        <v>0.52254963139159272</v>
      </c>
      <c r="P1783">
        <f t="shared" si="464"/>
        <v>3.3167629947816954E-2</v>
      </c>
      <c r="Q1783">
        <f t="shared" si="465"/>
        <v>0.85196349162165119</v>
      </c>
      <c r="R1783">
        <f t="shared" si="466"/>
        <v>1</v>
      </c>
      <c r="AG1783" s="8">
        <f t="shared" si="472"/>
        <v>0.77423621668775588</v>
      </c>
      <c r="AH1783" s="8">
        <f t="shared" si="473"/>
        <v>0.2570780269209893</v>
      </c>
      <c r="AI1783" s="8">
        <f t="shared" si="474"/>
        <v>0.57833309506152364</v>
      </c>
      <c r="AJ1783" s="8"/>
      <c r="AK1783" s="8"/>
      <c r="AL1783" s="8"/>
      <c r="AN1783" s="8">
        <f t="shared" si="467"/>
        <v>0.99999999999999989</v>
      </c>
      <c r="AO1783" s="8">
        <f t="shared" si="468"/>
        <v>0.32058684012663047</v>
      </c>
      <c r="AP1783" s="8">
        <f t="shared" si="469"/>
        <v>0.95411239418011518</v>
      </c>
      <c r="AQ1783" s="8"/>
      <c r="AR1783" s="8">
        <f t="shared" si="470"/>
        <v>18.368272906691193</v>
      </c>
      <c r="AS1783" s="8">
        <f t="shared" si="471"/>
        <v>35.333386632357033</v>
      </c>
    </row>
    <row r="1784" spans="1:45">
      <c r="A1784" s="20">
        <v>63.263199999999998</v>
      </c>
      <c r="B1784" s="20">
        <v>1879.4594589999999</v>
      </c>
      <c r="C1784" s="20">
        <v>-481.62162160000003</v>
      </c>
      <c r="E1784" s="9">
        <f t="shared" si="460"/>
        <v>919.45945899999992</v>
      </c>
      <c r="F1784" s="9">
        <f t="shared" si="475"/>
        <v>58.378378399999974</v>
      </c>
      <c r="I1784">
        <v>1</v>
      </c>
      <c r="J1784">
        <f t="shared" si="461"/>
        <v>0.55093560726739954</v>
      </c>
      <c r="K1784">
        <f t="shared" si="462"/>
        <v>6.3406952021853105E-2</v>
      </c>
      <c r="O1784">
        <f t="shared" si="463"/>
        <v>0.52243266102254027</v>
      </c>
      <c r="P1784">
        <f t="shared" si="464"/>
        <v>3.3170327712831522E-2</v>
      </c>
      <c r="Q1784">
        <f t="shared" si="465"/>
        <v>0.85203511902757323</v>
      </c>
      <c r="R1784">
        <f t="shared" si="466"/>
        <v>1</v>
      </c>
      <c r="AG1784" s="8">
        <f t="shared" si="472"/>
        <v>0.77424879361198962</v>
      </c>
      <c r="AH1784" s="8">
        <f t="shared" si="473"/>
        <v>0.25694773677887833</v>
      </c>
      <c r="AI1784" s="8">
        <f t="shared" si="474"/>
        <v>0.578374157578458</v>
      </c>
      <c r="AJ1784" s="8"/>
      <c r="AK1784" s="8"/>
      <c r="AL1784" s="8"/>
      <c r="AN1784" s="8">
        <f t="shared" si="467"/>
        <v>1</v>
      </c>
      <c r="AO1784" s="8">
        <f t="shared" si="468"/>
        <v>0.32043040513022719</v>
      </c>
      <c r="AP1784" s="8">
        <f t="shared" si="469"/>
        <v>0.95406205927837762</v>
      </c>
      <c r="AQ1784" s="8"/>
      <c r="AR1784" s="8">
        <f t="shared" si="470"/>
        <v>18.359309841629141</v>
      </c>
      <c r="AS1784" s="8">
        <f t="shared" si="471"/>
        <v>35.336270609788798</v>
      </c>
    </row>
    <row r="1785" spans="1:45">
      <c r="A1785" s="20">
        <v>63.296566669999997</v>
      </c>
      <c r="B1785" s="20">
        <v>1881.6196210000001</v>
      </c>
      <c r="C1785" s="20">
        <v>-481.8047444</v>
      </c>
      <c r="E1785" s="9">
        <f t="shared" ref="E1785:E1848" si="476">(B1785-($B$15/2))</f>
        <v>921.61962100000005</v>
      </c>
      <c r="F1785" s="9">
        <f t="shared" si="475"/>
        <v>58.195255599999996</v>
      </c>
      <c r="I1785">
        <v>1</v>
      </c>
      <c r="J1785">
        <f t="shared" ref="J1785:J1848" si="477">ATAN((SQRT(E1785^2+F1785^2)^$B$16)/($F$24))</f>
        <v>0.55198237768540226</v>
      </c>
      <c r="K1785">
        <f t="shared" ref="K1785:K1848" si="478">ATAN2(E1785,F1785)</f>
        <v>6.3060825477681159E-2</v>
      </c>
      <c r="O1785">
        <f t="shared" ref="O1785:O1848" si="479">COS(K1785)*SIN(J1785)</f>
        <v>0.5233339368474702</v>
      </c>
      <c r="P1785">
        <f t="shared" ref="P1785:P1848" si="480">SIN(K1785)*SIN(J1785)</f>
        <v>3.3045685578988758E-2</v>
      </c>
      <c r="Q1785">
        <f t="shared" ref="Q1785:Q1848" si="481">COS(J1785)</f>
        <v>0.85148668410512607</v>
      </c>
      <c r="R1785">
        <f t="shared" ref="R1785:R1848" si="482">SQRT(O1785^2+P1785^2+Q1785^2)</f>
        <v>1</v>
      </c>
      <c r="AG1785" s="8">
        <f t="shared" si="472"/>
        <v>0.77421655526000543</v>
      </c>
      <c r="AH1785" s="8">
        <f t="shared" si="473"/>
        <v>0.25793316660092247</v>
      </c>
      <c r="AI1785" s="8">
        <f t="shared" si="474"/>
        <v>0.57797855248144958</v>
      </c>
      <c r="AJ1785" s="8"/>
      <c r="AK1785" s="8"/>
      <c r="AL1785" s="8"/>
      <c r="AN1785" s="8">
        <f t="shared" ref="AN1785:AN1848" si="483">AG1785^2+AH1785^2+AI1785^2</f>
        <v>1</v>
      </c>
      <c r="AO1785" s="8">
        <f t="shared" ref="AO1785:AO1848" si="484">IF(ATAN2(AG1785,AH1785)&gt;=0,ATAN2(AG1785,AH1785),ATAN2(AG1785,AH1785)+2*PI())</f>
        <v>0.32158894150502176</v>
      </c>
      <c r="AP1785" s="8">
        <f t="shared" ref="AP1785:AP1848" si="485">ACOS(AI1785/AN1785)</f>
        <v>0.95454692185261214</v>
      </c>
      <c r="AQ1785" s="8"/>
      <c r="AR1785" s="8">
        <f t="shared" ref="AR1785:AR1848" si="486">DEGREES(AO1785)</f>
        <v>18.425689086317256</v>
      </c>
      <c r="AS1785" s="8">
        <f t="shared" ref="AS1785:AS1848" si="487">90-DEGREES(AP1785)</f>
        <v>35.308490030641309</v>
      </c>
    </row>
    <row r="1786" spans="1:45">
      <c r="A1786" s="20">
        <v>63.329933330000003</v>
      </c>
      <c r="B1786" s="20">
        <v>1881.94229</v>
      </c>
      <c r="C1786" s="20">
        <v>-482.06218719999998</v>
      </c>
      <c r="E1786" s="9">
        <f t="shared" si="476"/>
        <v>921.94228999999996</v>
      </c>
      <c r="F1786" s="9">
        <f t="shared" si="475"/>
        <v>57.937812800000017</v>
      </c>
      <c r="I1786">
        <v>1</v>
      </c>
      <c r="J1786">
        <f t="shared" si="477"/>
        <v>0.55213157430329318</v>
      </c>
      <c r="K1786">
        <f t="shared" si="478"/>
        <v>6.2760677080961877E-2</v>
      </c>
      <c r="O1786">
        <f t="shared" si="479"/>
        <v>0.52347061487691482</v>
      </c>
      <c r="P1786">
        <f t="shared" si="480"/>
        <v>3.2896573700984685E-2</v>
      </c>
      <c r="Q1786">
        <f t="shared" si="481"/>
        <v>0.85140843946904854</v>
      </c>
      <c r="R1786">
        <f t="shared" si="482"/>
        <v>1</v>
      </c>
      <c r="AG1786" s="8">
        <f t="shared" si="472"/>
        <v>0.77429316993423314</v>
      </c>
      <c r="AH1786" s="8">
        <f t="shared" si="473"/>
        <v>0.25805927620849917</v>
      </c>
      <c r="AI1786" s="8">
        <f t="shared" si="474"/>
        <v>0.57781960589438486</v>
      </c>
      <c r="AJ1786" s="8"/>
      <c r="AK1786" s="8"/>
      <c r="AL1786" s="8"/>
      <c r="AN1786" s="8">
        <f t="shared" si="483"/>
        <v>1</v>
      </c>
      <c r="AO1786" s="8">
        <f t="shared" si="484"/>
        <v>0.32170586472430901</v>
      </c>
      <c r="AP1786" s="8">
        <f t="shared" si="485"/>
        <v>0.9547416835037198</v>
      </c>
      <c r="AQ1786" s="8"/>
      <c r="AR1786" s="8">
        <f t="shared" si="486"/>
        <v>18.432388293309497</v>
      </c>
      <c r="AS1786" s="8">
        <f t="shared" si="487"/>
        <v>35.297331010021843</v>
      </c>
    </row>
    <row r="1787" spans="1:45">
      <c r="A1787" s="20">
        <v>63.363300000000002</v>
      </c>
      <c r="B1787" s="20">
        <v>1882.676649</v>
      </c>
      <c r="C1787" s="20">
        <v>-482.13659689999997</v>
      </c>
      <c r="E1787" s="9">
        <f t="shared" si="476"/>
        <v>922.676649</v>
      </c>
      <c r="F1787" s="9">
        <f t="shared" si="475"/>
        <v>57.863403100000028</v>
      </c>
      <c r="I1787">
        <v>1</v>
      </c>
      <c r="J1787">
        <f t="shared" si="477"/>
        <v>0.55248672045253389</v>
      </c>
      <c r="K1787">
        <f t="shared" si="478"/>
        <v>6.2630527574436615E-2</v>
      </c>
      <c r="O1787">
        <f t="shared" si="479"/>
        <v>0.52377664047540351</v>
      </c>
      <c r="P1787">
        <f t="shared" si="480"/>
        <v>3.2847367401179425E-2</v>
      </c>
      <c r="Q1787">
        <f t="shared" si="481"/>
        <v>0.85122211046654084</v>
      </c>
      <c r="R1787">
        <f t="shared" si="482"/>
        <v>1</v>
      </c>
      <c r="AG1787" s="8">
        <f t="shared" si="472"/>
        <v>0.77428626207431805</v>
      </c>
      <c r="AH1787" s="8">
        <f t="shared" si="473"/>
        <v>0.25839274751904689</v>
      </c>
      <c r="AI1787" s="8">
        <f t="shared" si="474"/>
        <v>0.57767981823198455</v>
      </c>
      <c r="AJ1787" s="8"/>
      <c r="AK1787" s="8"/>
      <c r="AL1787" s="8"/>
      <c r="AN1787" s="8">
        <f t="shared" si="483"/>
        <v>1</v>
      </c>
      <c r="AO1787" s="8">
        <f t="shared" si="484"/>
        <v>0.32209611562368967</v>
      </c>
      <c r="AP1787" s="8">
        <f t="shared" si="485"/>
        <v>0.95491294700238849</v>
      </c>
      <c r="AQ1787" s="8"/>
      <c r="AR1787" s="8">
        <f t="shared" si="486"/>
        <v>18.454748022795194</v>
      </c>
      <c r="AS1787" s="8">
        <f t="shared" si="487"/>
        <v>35.287518334363483</v>
      </c>
    </row>
    <row r="1788" spans="1:45">
      <c r="A1788" s="20">
        <v>63.396666670000002</v>
      </c>
      <c r="B1788" s="20">
        <v>1882.3782169999999</v>
      </c>
      <c r="C1788" s="20">
        <v>-482.12317810000002</v>
      </c>
      <c r="E1788" s="9">
        <f t="shared" si="476"/>
        <v>922.37821699999995</v>
      </c>
      <c r="F1788" s="9">
        <f t="shared" si="475"/>
        <v>57.876821899999982</v>
      </c>
      <c r="I1788">
        <v>1</v>
      </c>
      <c r="J1788">
        <f t="shared" si="477"/>
        <v>0.55234189840718195</v>
      </c>
      <c r="K1788">
        <f t="shared" si="478"/>
        <v>6.2665229474621054E-2</v>
      </c>
      <c r="O1788">
        <f t="shared" si="479"/>
        <v>0.52365246104306562</v>
      </c>
      <c r="P1788">
        <f t="shared" si="480"/>
        <v>3.2857823034741267E-2</v>
      </c>
      <c r="Q1788">
        <f t="shared" si="481"/>
        <v>0.85129810496027669</v>
      </c>
      <c r="R1788">
        <f t="shared" si="482"/>
        <v>1</v>
      </c>
      <c r="AG1788" s="8">
        <f t="shared" si="472"/>
        <v>0.77429503765484275</v>
      </c>
      <c r="AH1788" s="8">
        <f t="shared" si="473"/>
        <v>0.25825571958277993</v>
      </c>
      <c r="AI1788" s="8">
        <f t="shared" si="474"/>
        <v>0.57772932932807419</v>
      </c>
      <c r="AJ1788" s="8"/>
      <c r="AK1788" s="8"/>
      <c r="AL1788" s="8"/>
      <c r="AN1788" s="8">
        <f t="shared" si="483"/>
        <v>1.0000000000000002</v>
      </c>
      <c r="AO1788" s="8">
        <f t="shared" si="484"/>
        <v>0.32193346618598689</v>
      </c>
      <c r="AP1788" s="8">
        <f t="shared" si="485"/>
        <v>0.9548522899209605</v>
      </c>
      <c r="AQ1788" s="8"/>
      <c r="AR1788" s="8">
        <f t="shared" si="486"/>
        <v>18.445428896474649</v>
      </c>
      <c r="AS1788" s="8">
        <f t="shared" si="487"/>
        <v>35.290993729126889</v>
      </c>
    </row>
    <row r="1789" spans="1:45">
      <c r="A1789" s="20">
        <v>63.430033330000001</v>
      </c>
      <c r="B1789" s="20">
        <v>1883.3131229999999</v>
      </c>
      <c r="C1789" s="20">
        <v>-482.4379381</v>
      </c>
      <c r="E1789" s="9">
        <f t="shared" si="476"/>
        <v>923.31312299999991</v>
      </c>
      <c r="F1789" s="9">
        <f t="shared" si="475"/>
        <v>57.562061900000003</v>
      </c>
      <c r="I1789">
        <v>1</v>
      </c>
      <c r="J1789">
        <f t="shared" si="477"/>
        <v>0.55278721307783796</v>
      </c>
      <c r="K1789">
        <f t="shared" si="478"/>
        <v>6.2262367440916691E-2</v>
      </c>
      <c r="O1789">
        <f t="shared" si="479"/>
        <v>0.52404396475424575</v>
      </c>
      <c r="P1789">
        <f t="shared" si="480"/>
        <v>3.2670445579170343E-2</v>
      </c>
      <c r="Q1789">
        <f t="shared" si="481"/>
        <v>0.85106437182525108</v>
      </c>
      <c r="R1789">
        <f t="shared" si="482"/>
        <v>1</v>
      </c>
      <c r="AG1789" s="8">
        <f t="shared" si="472"/>
        <v>0.77436403599035408</v>
      </c>
      <c r="AH1789" s="8">
        <f t="shared" si="473"/>
        <v>0.25866005955645932</v>
      </c>
      <c r="AI1789" s="8">
        <f t="shared" si="474"/>
        <v>0.57745589732461688</v>
      </c>
      <c r="AJ1789" s="8"/>
      <c r="AK1789" s="8"/>
      <c r="AL1789" s="8"/>
      <c r="AN1789" s="8">
        <f t="shared" si="483"/>
        <v>0.99999999999999989</v>
      </c>
      <c r="AO1789" s="8">
        <f t="shared" si="484"/>
        <v>0.32237654107663843</v>
      </c>
      <c r="AP1789" s="8">
        <f t="shared" si="485"/>
        <v>0.95518724468994831</v>
      </c>
      <c r="AQ1789" s="8"/>
      <c r="AR1789" s="8">
        <f t="shared" si="486"/>
        <v>18.470815217717202</v>
      </c>
      <c r="AS1789" s="8">
        <f t="shared" si="487"/>
        <v>35.271802234536111</v>
      </c>
    </row>
    <row r="1790" spans="1:45">
      <c r="A1790" s="20">
        <v>63.4634</v>
      </c>
      <c r="B1790" s="20">
        <v>1883.30681</v>
      </c>
      <c r="C1790" s="20">
        <v>-482.29464339999998</v>
      </c>
      <c r="E1790" s="9">
        <f t="shared" si="476"/>
        <v>923.30681000000004</v>
      </c>
      <c r="F1790" s="9">
        <f t="shared" si="475"/>
        <v>57.705356600000016</v>
      </c>
      <c r="I1790">
        <v>1</v>
      </c>
      <c r="J1790">
        <f t="shared" si="477"/>
        <v>0.55278849317062362</v>
      </c>
      <c r="K1790">
        <f t="shared" si="478"/>
        <v>6.241738696657035E-2</v>
      </c>
      <c r="O1790">
        <f t="shared" si="479"/>
        <v>0.52403998122005357</v>
      </c>
      <c r="P1790">
        <f t="shared" si="480"/>
        <v>3.2751750189041175E-2</v>
      </c>
      <c r="Q1790">
        <f t="shared" si="481"/>
        <v>0.8510636996972909</v>
      </c>
      <c r="R1790">
        <f t="shared" si="482"/>
        <v>1</v>
      </c>
      <c r="AG1790" s="8">
        <f t="shared" si="472"/>
        <v>0.77431360107681901</v>
      </c>
      <c r="AH1790" s="8">
        <f t="shared" si="473"/>
        <v>0.25867018490117211</v>
      </c>
      <c r="AI1790" s="8">
        <f t="shared" si="474"/>
        <v>0.5775189889784077</v>
      </c>
      <c r="AJ1790" s="8"/>
      <c r="AK1790" s="8"/>
      <c r="AL1790" s="8"/>
      <c r="AN1790" s="8">
        <f t="shared" si="483"/>
        <v>1</v>
      </c>
      <c r="AO1790" s="8">
        <f t="shared" si="484"/>
        <v>0.32240787782379504</v>
      </c>
      <c r="AP1790" s="8">
        <f t="shared" si="485"/>
        <v>0.95510996432824802</v>
      </c>
      <c r="AQ1790" s="8"/>
      <c r="AR1790" s="8">
        <f t="shared" si="486"/>
        <v>18.472610681072943</v>
      </c>
      <c r="AS1790" s="8">
        <f t="shared" si="487"/>
        <v>35.276230073100777</v>
      </c>
    </row>
    <row r="1791" spans="1:45">
      <c r="A1791" s="20">
        <v>63.49676667</v>
      </c>
      <c r="B1791" s="20">
        <v>1883.978676</v>
      </c>
      <c r="C1791" s="20">
        <v>-482.78513600000002</v>
      </c>
      <c r="E1791" s="9">
        <f t="shared" si="476"/>
        <v>923.97867599999995</v>
      </c>
      <c r="F1791" s="9">
        <f t="shared" si="475"/>
        <v>57.214863999999977</v>
      </c>
      <c r="I1791">
        <v>1</v>
      </c>
      <c r="J1791">
        <f t="shared" si="477"/>
        <v>0.55310041605910587</v>
      </c>
      <c r="K1791">
        <f t="shared" si="478"/>
        <v>6.1843314830290971E-2</v>
      </c>
      <c r="O1791">
        <f t="shared" si="479"/>
        <v>0.52432362999529647</v>
      </c>
      <c r="P1791">
        <f t="shared" si="480"/>
        <v>3.2467313328091559E-2</v>
      </c>
      <c r="Q1791">
        <f t="shared" si="481"/>
        <v>0.85089987930062083</v>
      </c>
      <c r="R1791">
        <f t="shared" si="482"/>
        <v>1</v>
      </c>
      <c r="AG1791" s="8">
        <f t="shared" si="472"/>
        <v>0.77445658110951876</v>
      </c>
      <c r="AH1791" s="8">
        <f t="shared" si="473"/>
        <v>0.25893652298043635</v>
      </c>
      <c r="AI1791" s="8">
        <f t="shared" si="474"/>
        <v>0.57720783175816093</v>
      </c>
      <c r="AJ1791" s="8"/>
      <c r="AK1791" s="8"/>
      <c r="AL1791" s="8"/>
      <c r="AN1791" s="8">
        <f t="shared" si="483"/>
        <v>1</v>
      </c>
      <c r="AO1791" s="8">
        <f t="shared" si="484"/>
        <v>0.32266175041211015</v>
      </c>
      <c r="AP1791" s="8">
        <f t="shared" si="485"/>
        <v>0.95549105688084102</v>
      </c>
      <c r="AQ1791" s="8"/>
      <c r="AR1791" s="8">
        <f t="shared" si="486"/>
        <v>18.487156508917462</v>
      </c>
      <c r="AS1791" s="8">
        <f t="shared" si="487"/>
        <v>35.25439507823333</v>
      </c>
    </row>
    <row r="1792" spans="1:45">
      <c r="A1792" s="20">
        <v>63.530133329999998</v>
      </c>
      <c r="B1792" s="20">
        <v>1884.5289049999999</v>
      </c>
      <c r="C1792" s="20">
        <v>-483.2778295</v>
      </c>
      <c r="E1792" s="9">
        <f t="shared" si="476"/>
        <v>924.5289049999999</v>
      </c>
      <c r="F1792" s="9">
        <f t="shared" si="475"/>
        <v>56.722170500000004</v>
      </c>
      <c r="I1792">
        <v>1</v>
      </c>
      <c r="J1792">
        <f t="shared" si="477"/>
        <v>0.55335317351501645</v>
      </c>
      <c r="K1792">
        <f t="shared" si="478"/>
        <v>6.1275705508660759E-2</v>
      </c>
      <c r="O1792">
        <f t="shared" si="479"/>
        <v>0.52455662517885349</v>
      </c>
      <c r="P1792">
        <f t="shared" si="480"/>
        <v>3.2182866505725452E-2</v>
      </c>
      <c r="Q1792">
        <f t="shared" si="481"/>
        <v>0.85076707157978704</v>
      </c>
      <c r="R1792">
        <f t="shared" si="482"/>
        <v>1</v>
      </c>
      <c r="AG1792" s="8">
        <f t="shared" si="472"/>
        <v>0.77460570853366517</v>
      </c>
      <c r="AH1792" s="8">
        <f t="shared" si="473"/>
        <v>0.25914624243686507</v>
      </c>
      <c r="AI1792" s="8">
        <f t="shared" si="474"/>
        <v>0.57691353020874125</v>
      </c>
      <c r="AJ1792" s="8"/>
      <c r="AK1792" s="8"/>
      <c r="AL1792" s="8"/>
      <c r="AN1792" s="8">
        <f t="shared" si="483"/>
        <v>1</v>
      </c>
      <c r="AO1792" s="8">
        <f t="shared" si="484"/>
        <v>0.32284736346329607</v>
      </c>
      <c r="AP1792" s="8">
        <f t="shared" si="485"/>
        <v>0.95585141085955316</v>
      </c>
      <c r="AQ1792" s="8"/>
      <c r="AR1792" s="8">
        <f t="shared" si="486"/>
        <v>18.497791353372961</v>
      </c>
      <c r="AS1792" s="8">
        <f t="shared" si="487"/>
        <v>35.23374831612238</v>
      </c>
    </row>
    <row r="1793" spans="1:45">
      <c r="A1793" s="20">
        <v>63.563499999999998</v>
      </c>
      <c r="B1793" s="20">
        <v>1885.3017199999999</v>
      </c>
      <c r="C1793" s="20">
        <v>-483.09914909999998</v>
      </c>
      <c r="E1793" s="9">
        <f t="shared" si="476"/>
        <v>925.30171999999993</v>
      </c>
      <c r="F1793" s="9">
        <f t="shared" si="475"/>
        <v>56.900850900000023</v>
      </c>
      <c r="I1793">
        <v>1</v>
      </c>
      <c r="J1793">
        <f t="shared" si="477"/>
        <v>0.55373411233550518</v>
      </c>
      <c r="K1793">
        <f t="shared" si="478"/>
        <v>6.1417035488436363E-2</v>
      </c>
      <c r="O1793">
        <f t="shared" si="479"/>
        <v>0.52487551262263565</v>
      </c>
      <c r="P1793">
        <f t="shared" si="480"/>
        <v>3.2276891568732501E-2</v>
      </c>
      <c r="Q1793">
        <f t="shared" si="481"/>
        <v>0.85056681014473268</v>
      </c>
      <c r="R1793">
        <f t="shared" si="482"/>
        <v>1</v>
      </c>
      <c r="AG1793" s="8">
        <f t="shared" si="472"/>
        <v>0.77450711878665601</v>
      </c>
      <c r="AH1793" s="8">
        <f t="shared" si="473"/>
        <v>0.25951993485565605</v>
      </c>
      <c r="AI1793" s="8">
        <f t="shared" si="474"/>
        <v>0.57687791287352019</v>
      </c>
      <c r="AJ1793" s="8"/>
      <c r="AK1793" s="8"/>
      <c r="AL1793" s="8"/>
      <c r="AN1793" s="8">
        <f t="shared" si="483"/>
        <v>1</v>
      </c>
      <c r="AO1793" s="8">
        <f t="shared" si="484"/>
        <v>0.3233195120701769</v>
      </c>
      <c r="AP1793" s="8">
        <f t="shared" si="485"/>
        <v>0.95589501585324044</v>
      </c>
      <c r="AQ1793" s="8"/>
      <c r="AR1793" s="8">
        <f t="shared" si="486"/>
        <v>18.524843475850215</v>
      </c>
      <c r="AS1793" s="8">
        <f t="shared" si="487"/>
        <v>35.231249934018408</v>
      </c>
    </row>
    <row r="1794" spans="1:45">
      <c r="A1794" s="20">
        <v>63.596866669999997</v>
      </c>
      <c r="B1794" s="20">
        <v>1885.289156</v>
      </c>
      <c r="C1794" s="20">
        <v>-483.29650770000001</v>
      </c>
      <c r="E1794" s="9">
        <f t="shared" si="476"/>
        <v>925.28915600000005</v>
      </c>
      <c r="F1794" s="9">
        <f t="shared" si="475"/>
        <v>56.703492299999994</v>
      </c>
      <c r="I1794">
        <v>1</v>
      </c>
      <c r="J1794">
        <f t="shared" si="477"/>
        <v>0.55372212024482359</v>
      </c>
      <c r="K1794">
        <f t="shared" si="478"/>
        <v>6.1205374161930143E-2</v>
      </c>
      <c r="O1794">
        <f t="shared" si="479"/>
        <v>0.52487215162213763</v>
      </c>
      <c r="P1794">
        <f t="shared" si="480"/>
        <v>3.2165171087329067E-2</v>
      </c>
      <c r="Q1794">
        <f t="shared" si="481"/>
        <v>0.85057311632832044</v>
      </c>
      <c r="R1794">
        <f t="shared" si="482"/>
        <v>1</v>
      </c>
      <c r="AG1794" s="8">
        <f t="shared" si="472"/>
        <v>0.77457747307804881</v>
      </c>
      <c r="AH1794" s="8">
        <f t="shared" si="473"/>
        <v>0.2594961542889665</v>
      </c>
      <c r="AI1794" s="8">
        <f t="shared" si="474"/>
        <v>0.57679414361560688</v>
      </c>
      <c r="AJ1794" s="8"/>
      <c r="AK1794" s="8"/>
      <c r="AL1794" s="8"/>
      <c r="AN1794" s="8">
        <f t="shared" si="483"/>
        <v>0.99999999999999978</v>
      </c>
      <c r="AO1794" s="8">
        <f t="shared" si="484"/>
        <v>0.32326454616675376</v>
      </c>
      <c r="AP1794" s="8">
        <f t="shared" si="485"/>
        <v>0.95599756618250675</v>
      </c>
      <c r="AQ1794" s="8"/>
      <c r="AR1794" s="8">
        <f t="shared" si="486"/>
        <v>18.521694161566945</v>
      </c>
      <c r="AS1794" s="8">
        <f t="shared" si="487"/>
        <v>35.225374232963766</v>
      </c>
    </row>
    <row r="1795" spans="1:45">
      <c r="A1795" s="20">
        <v>63.630233330000003</v>
      </c>
      <c r="B1795" s="20">
        <v>1885.880375</v>
      </c>
      <c r="C1795" s="20">
        <v>-483.8983379</v>
      </c>
      <c r="E1795" s="9">
        <f t="shared" si="476"/>
        <v>925.88037499999996</v>
      </c>
      <c r="F1795" s="9">
        <f t="shared" si="475"/>
        <v>56.101662099999999</v>
      </c>
      <c r="I1795">
        <v>1</v>
      </c>
      <c r="J1795">
        <f t="shared" si="477"/>
        <v>0.55399154637170422</v>
      </c>
      <c r="K1795">
        <f t="shared" si="478"/>
        <v>6.0518783712338535E-2</v>
      </c>
      <c r="O1795">
        <f t="shared" si="479"/>
        <v>0.52512284023611522</v>
      </c>
      <c r="P1795">
        <f t="shared" si="480"/>
        <v>3.1818650593948297E-2</v>
      </c>
      <c r="Q1795">
        <f t="shared" si="481"/>
        <v>0.85043140589746313</v>
      </c>
      <c r="R1795">
        <f t="shared" si="482"/>
        <v>1</v>
      </c>
      <c r="AG1795" s="8">
        <f t="shared" si="472"/>
        <v>0.77476300393157338</v>
      </c>
      <c r="AH1795" s="8">
        <f t="shared" si="473"/>
        <v>0.25971464674545353</v>
      </c>
      <c r="AI1795" s="8">
        <f t="shared" si="474"/>
        <v>0.57644651963977467</v>
      </c>
      <c r="AJ1795" s="8"/>
      <c r="AK1795" s="8"/>
      <c r="AL1795" s="8"/>
      <c r="AN1795" s="8">
        <f t="shared" si="483"/>
        <v>1</v>
      </c>
      <c r="AO1795" s="8">
        <f t="shared" si="484"/>
        <v>0.32344595915846991</v>
      </c>
      <c r="AP1795" s="8">
        <f t="shared" si="485"/>
        <v>0.95642304816088719</v>
      </c>
      <c r="AQ1795" s="8"/>
      <c r="AR1795" s="8">
        <f t="shared" si="486"/>
        <v>18.53208836034112</v>
      </c>
      <c r="AS1795" s="8">
        <f t="shared" si="487"/>
        <v>35.200995911343689</v>
      </c>
    </row>
    <row r="1796" spans="1:45">
      <c r="A1796" s="20">
        <v>63.663600000000002</v>
      </c>
      <c r="B1796" s="20">
        <v>1886.4911400000001</v>
      </c>
      <c r="C1796" s="20">
        <v>-484.34631510000003</v>
      </c>
      <c r="E1796" s="9">
        <f t="shared" si="476"/>
        <v>926.49114000000009</v>
      </c>
      <c r="F1796" s="9">
        <f t="shared" si="475"/>
        <v>55.653684899999973</v>
      </c>
      <c r="I1796">
        <v>1</v>
      </c>
      <c r="J1796">
        <f t="shared" si="477"/>
        <v>0.55427507088319017</v>
      </c>
      <c r="K1796">
        <f t="shared" si="478"/>
        <v>5.9997217718628683E-2</v>
      </c>
      <c r="O1796">
        <f t="shared" si="479"/>
        <v>0.52538002753307778</v>
      </c>
      <c r="P1796">
        <f t="shared" si="480"/>
        <v>3.1559216535064993E-2</v>
      </c>
      <c r="Q1796">
        <f t="shared" si="481"/>
        <v>0.85028221345682364</v>
      </c>
      <c r="R1796">
        <f t="shared" si="482"/>
        <v>1</v>
      </c>
      <c r="AG1796" s="8">
        <f t="shared" si="472"/>
        <v>0.7748930829925037</v>
      </c>
      <c r="AH1796" s="8">
        <f t="shared" si="473"/>
        <v>0.25995606599432342</v>
      </c>
      <c r="AI1796" s="8">
        <f t="shared" si="474"/>
        <v>0.57616278401431653</v>
      </c>
      <c r="AJ1796" s="8"/>
      <c r="AK1796" s="8"/>
      <c r="AL1796" s="8"/>
      <c r="AN1796" s="8">
        <f t="shared" si="483"/>
        <v>1.0000000000000002</v>
      </c>
      <c r="AO1796" s="8">
        <f t="shared" si="484"/>
        <v>0.32367543285710371</v>
      </c>
      <c r="AP1796" s="8">
        <f t="shared" si="485"/>
        <v>0.95677023795280947</v>
      </c>
      <c r="AQ1796" s="8"/>
      <c r="AR1796" s="8">
        <f t="shared" si="486"/>
        <v>18.545236234782095</v>
      </c>
      <c r="AS1796" s="8">
        <f t="shared" si="487"/>
        <v>35.181103401576522</v>
      </c>
    </row>
    <row r="1797" spans="1:45">
      <c r="A1797" s="20">
        <v>63.696966670000002</v>
      </c>
      <c r="B1797" s="20">
        <v>1886.7949719999999</v>
      </c>
      <c r="C1797" s="20">
        <v>-484.3606676</v>
      </c>
      <c r="E1797" s="9">
        <f t="shared" si="476"/>
        <v>926.79497199999992</v>
      </c>
      <c r="F1797" s="9">
        <f t="shared" si="475"/>
        <v>55.639332400000001</v>
      </c>
      <c r="I1797">
        <v>1</v>
      </c>
      <c r="J1797">
        <f t="shared" si="477"/>
        <v>0.55442218885962946</v>
      </c>
      <c r="K1797">
        <f t="shared" si="478"/>
        <v>5.9962165385007045E-2</v>
      </c>
      <c r="O1797">
        <f t="shared" si="479"/>
        <v>0.52550599473311832</v>
      </c>
      <c r="P1797">
        <f t="shared" si="480"/>
        <v>3.1548296659456437E-2</v>
      </c>
      <c r="Q1797">
        <f t="shared" si="481"/>
        <v>0.85020477208578571</v>
      </c>
      <c r="R1797">
        <f t="shared" si="482"/>
        <v>1</v>
      </c>
      <c r="AG1797" s="8">
        <f t="shared" si="472"/>
        <v>0.77488411061819906</v>
      </c>
      <c r="AH1797" s="8">
        <f t="shared" si="473"/>
        <v>0.26009511395721591</v>
      </c>
      <c r="AI1797" s="8">
        <f t="shared" si="474"/>
        <v>0.57611209569581634</v>
      </c>
      <c r="AJ1797" s="8"/>
      <c r="AK1797" s="8"/>
      <c r="AL1797" s="8"/>
      <c r="AN1797" s="8">
        <f t="shared" si="483"/>
        <v>0.99999999999999989</v>
      </c>
      <c r="AO1797" s="8">
        <f t="shared" si="484"/>
        <v>0.32384020667599428</v>
      </c>
      <c r="AP1797" s="8">
        <f t="shared" si="485"/>
        <v>0.95683225317634057</v>
      </c>
      <c r="AQ1797" s="8"/>
      <c r="AR1797" s="8">
        <f t="shared" si="486"/>
        <v>18.554677079178777</v>
      </c>
      <c r="AS1797" s="8">
        <f t="shared" si="487"/>
        <v>35.177550191002631</v>
      </c>
    </row>
    <row r="1798" spans="1:45">
      <c r="A1798" s="20">
        <v>63.730333330000001</v>
      </c>
      <c r="B1798" s="20">
        <v>1887.0607950000001</v>
      </c>
      <c r="C1798" s="20">
        <v>-484.48655020000001</v>
      </c>
      <c r="E1798" s="9">
        <f t="shared" si="476"/>
        <v>927.0607950000001</v>
      </c>
      <c r="F1798" s="9">
        <f t="shared" si="475"/>
        <v>55.513449799999989</v>
      </c>
      <c r="I1798">
        <v>1</v>
      </c>
      <c r="J1798">
        <f t="shared" si="477"/>
        <v>0.55454758359627843</v>
      </c>
      <c r="K1798">
        <f t="shared" si="478"/>
        <v>5.9809712629627726E-2</v>
      </c>
      <c r="O1798">
        <f t="shared" si="479"/>
        <v>0.52561721469462575</v>
      </c>
      <c r="P1798">
        <f t="shared" si="480"/>
        <v>3.1474553793385165E-2</v>
      </c>
      <c r="Q1798">
        <f t="shared" si="481"/>
        <v>0.85013875107547654</v>
      </c>
      <c r="R1798">
        <f t="shared" si="482"/>
        <v>1</v>
      </c>
      <c r="AG1798" s="8">
        <f t="shared" si="472"/>
        <v>0.774916260682595</v>
      </c>
      <c r="AH1798" s="8">
        <f t="shared" si="473"/>
        <v>0.26020641795251254</v>
      </c>
      <c r="AI1798" s="8">
        <f t="shared" si="474"/>
        <v>0.57601858388946703</v>
      </c>
      <c r="AJ1798" s="8"/>
      <c r="AK1798" s="8"/>
      <c r="AL1798" s="8"/>
      <c r="AN1798" s="8">
        <f t="shared" si="483"/>
        <v>1</v>
      </c>
      <c r="AO1798" s="8">
        <f t="shared" si="484"/>
        <v>0.32395677596752154</v>
      </c>
      <c r="AP1798" s="8">
        <f t="shared" si="485"/>
        <v>0.95694665419065994</v>
      </c>
      <c r="AQ1798" s="8"/>
      <c r="AR1798" s="8">
        <f t="shared" si="486"/>
        <v>18.561356007604122</v>
      </c>
      <c r="AS1798" s="8">
        <f t="shared" si="487"/>
        <v>35.170995495710109</v>
      </c>
    </row>
    <row r="1799" spans="1:45">
      <c r="A1799" s="20">
        <v>63.7637</v>
      </c>
      <c r="B1799" s="20">
        <v>1887.92444</v>
      </c>
      <c r="C1799" s="20">
        <v>-484.5366942</v>
      </c>
      <c r="E1799" s="9">
        <f t="shared" si="476"/>
        <v>927.92444</v>
      </c>
      <c r="F1799" s="9">
        <f t="shared" si="475"/>
        <v>55.463305800000001</v>
      </c>
      <c r="I1799">
        <v>1</v>
      </c>
      <c r="J1799">
        <f t="shared" si="477"/>
        <v>0.55496529854254373</v>
      </c>
      <c r="K1799">
        <f t="shared" si="478"/>
        <v>5.970033220965628E-2</v>
      </c>
      <c r="O1799">
        <f t="shared" si="479"/>
        <v>0.52597509139482401</v>
      </c>
      <c r="P1799">
        <f t="shared" si="480"/>
        <v>3.1438246563711664E-2</v>
      </c>
      <c r="Q1799">
        <f t="shared" si="481"/>
        <v>0.84991872545862046</v>
      </c>
      <c r="R1799">
        <f t="shared" si="482"/>
        <v>1</v>
      </c>
      <c r="AG1799" s="8">
        <f t="shared" si="472"/>
        <v>0.77489392184095662</v>
      </c>
      <c r="AH1799" s="8">
        <f t="shared" si="473"/>
        <v>0.26060057103460144</v>
      </c>
      <c r="AI1799" s="8">
        <f t="shared" si="474"/>
        <v>0.57587043010592331</v>
      </c>
      <c r="AJ1799" s="8"/>
      <c r="AK1799" s="8"/>
      <c r="AL1799" s="8"/>
      <c r="AN1799" s="8">
        <f t="shared" si="483"/>
        <v>1</v>
      </c>
      <c r="AO1799" s="8">
        <f t="shared" si="484"/>
        <v>0.32442251587877835</v>
      </c>
      <c r="AP1799" s="8">
        <f t="shared" si="485"/>
        <v>0.95712788454576558</v>
      </c>
      <c r="AQ1799" s="8"/>
      <c r="AR1799" s="8">
        <f t="shared" si="486"/>
        <v>18.588040938869934</v>
      </c>
      <c r="AS1799" s="8">
        <f t="shared" si="487"/>
        <v>35.160611761242905</v>
      </c>
    </row>
    <row r="1800" spans="1:45">
      <c r="A1800" s="20">
        <v>63.79706667</v>
      </c>
      <c r="B1800" s="20">
        <v>1888.164215</v>
      </c>
      <c r="C1800" s="20">
        <v>-485.09248689999998</v>
      </c>
      <c r="E1800" s="9">
        <f t="shared" si="476"/>
        <v>928.16421500000001</v>
      </c>
      <c r="F1800" s="9">
        <f t="shared" si="475"/>
        <v>54.907513100000017</v>
      </c>
      <c r="I1800">
        <v>1</v>
      </c>
      <c r="J1800">
        <f t="shared" si="477"/>
        <v>0.55506560330395227</v>
      </c>
      <c r="K1800">
        <f t="shared" si="478"/>
        <v>5.9088247087957929E-2</v>
      </c>
      <c r="O1800">
        <f t="shared" si="479"/>
        <v>0.52607933521751038</v>
      </c>
      <c r="P1800">
        <f t="shared" si="480"/>
        <v>3.1121333405527543E-2</v>
      </c>
      <c r="Q1800">
        <f t="shared" si="481"/>
        <v>0.84986586921946949</v>
      </c>
      <c r="R1800">
        <f t="shared" si="482"/>
        <v>1</v>
      </c>
      <c r="AG1800" s="8">
        <f t="shared" si="472"/>
        <v>0.77507890498489207</v>
      </c>
      <c r="AH1800" s="8">
        <f t="shared" si="473"/>
        <v>0.2606605940178181</v>
      </c>
      <c r="AI1800" s="8">
        <f t="shared" si="474"/>
        <v>0.57559425446550361</v>
      </c>
      <c r="AJ1800" s="8"/>
      <c r="AK1800" s="8"/>
      <c r="AL1800" s="8"/>
      <c r="AN1800" s="8">
        <f t="shared" si="483"/>
        <v>1</v>
      </c>
      <c r="AO1800" s="8">
        <f t="shared" si="484"/>
        <v>0.32441998007273237</v>
      </c>
      <c r="AP1800" s="8">
        <f t="shared" si="485"/>
        <v>0.95746565696712271</v>
      </c>
      <c r="AQ1800" s="8"/>
      <c r="AR1800" s="8">
        <f t="shared" si="486"/>
        <v>18.587895647885833</v>
      </c>
      <c r="AS1800" s="8">
        <f t="shared" si="487"/>
        <v>35.141258827063226</v>
      </c>
    </row>
    <row r="1801" spans="1:45">
      <c r="A1801" s="20">
        <v>63.830433329999998</v>
      </c>
      <c r="B1801" s="20">
        <v>1888.6682880000001</v>
      </c>
      <c r="C1801" s="20">
        <v>-485.26598739999997</v>
      </c>
      <c r="E1801" s="9">
        <f t="shared" si="476"/>
        <v>928.66828800000008</v>
      </c>
      <c r="F1801" s="9">
        <f t="shared" si="475"/>
        <v>54.734012600000028</v>
      </c>
      <c r="I1801">
        <v>1</v>
      </c>
      <c r="J1801">
        <f t="shared" si="477"/>
        <v>0.55530516897377413</v>
      </c>
      <c r="K1801">
        <f t="shared" si="478"/>
        <v>5.8870070623121808E-2</v>
      </c>
      <c r="O1801">
        <f t="shared" si="479"/>
        <v>0.52628934352420242</v>
      </c>
      <c r="P1801">
        <f t="shared" si="480"/>
        <v>3.1018532593307894E-2</v>
      </c>
      <c r="Q1801">
        <f t="shared" si="481"/>
        <v>0.8497395939513599</v>
      </c>
      <c r="R1801">
        <f t="shared" si="482"/>
        <v>1</v>
      </c>
      <c r="AG1801" s="8">
        <f t="shared" si="472"/>
        <v>0.77511662941412851</v>
      </c>
      <c r="AH1801" s="8">
        <f t="shared" si="473"/>
        <v>0.26087735703356496</v>
      </c>
      <c r="AI1801" s="8">
        <f t="shared" si="474"/>
        <v>0.57544523231395572</v>
      </c>
      <c r="AJ1801" s="8"/>
      <c r="AK1801" s="8"/>
      <c r="AL1801" s="8"/>
      <c r="AN1801" s="8">
        <f t="shared" si="483"/>
        <v>1</v>
      </c>
      <c r="AO1801" s="8">
        <f t="shared" si="484"/>
        <v>0.32465649413786257</v>
      </c>
      <c r="AP1801" s="8">
        <f t="shared" si="485"/>
        <v>0.95764788288998226</v>
      </c>
      <c r="AQ1801" s="8"/>
      <c r="AR1801" s="8">
        <f t="shared" si="486"/>
        <v>18.601446905613276</v>
      </c>
      <c r="AS1801" s="8">
        <f t="shared" si="487"/>
        <v>35.130818050765498</v>
      </c>
    </row>
    <row r="1802" spans="1:45">
      <c r="A1802" s="20">
        <v>63.863799999999998</v>
      </c>
      <c r="B1802" s="20">
        <v>1889.367675</v>
      </c>
      <c r="C1802" s="20">
        <v>-485.54145779999999</v>
      </c>
      <c r="E1802" s="9">
        <f t="shared" si="476"/>
        <v>929.36767499999996</v>
      </c>
      <c r="F1802" s="9">
        <f t="shared" si="475"/>
        <v>54.458542200000011</v>
      </c>
      <c r="I1802">
        <v>1</v>
      </c>
      <c r="J1802">
        <f t="shared" si="477"/>
        <v>0.55563649166736473</v>
      </c>
      <c r="K1802">
        <f t="shared" si="478"/>
        <v>5.8530483803821573E-2</v>
      </c>
      <c r="O1802">
        <f t="shared" si="479"/>
        <v>0.52658087367068496</v>
      </c>
      <c r="P1802">
        <f t="shared" si="480"/>
        <v>3.0856277339867531E-2</v>
      </c>
      <c r="Q1802">
        <f t="shared" si="481"/>
        <v>0.84956487311619899</v>
      </c>
      <c r="R1802">
        <f t="shared" si="482"/>
        <v>1</v>
      </c>
      <c r="AG1802" s="8">
        <f t="shared" si="472"/>
        <v>0.77518111206845908</v>
      </c>
      <c r="AH1802" s="8">
        <f t="shared" si="473"/>
        <v>0.26117480869298076</v>
      </c>
      <c r="AI1802" s="8">
        <f t="shared" si="474"/>
        <v>0.57522340251113913</v>
      </c>
      <c r="AJ1802" s="8"/>
      <c r="AK1802" s="8"/>
      <c r="AL1802" s="8"/>
      <c r="AN1802" s="8">
        <f t="shared" si="483"/>
        <v>1</v>
      </c>
      <c r="AO1802" s="8">
        <f t="shared" si="484"/>
        <v>0.32497598701439007</v>
      </c>
      <c r="AP1802" s="8">
        <f t="shared" si="485"/>
        <v>0.95791909554241705</v>
      </c>
      <c r="AQ1802" s="8"/>
      <c r="AR1802" s="8">
        <f t="shared" si="486"/>
        <v>18.619752499022798</v>
      </c>
      <c r="AS1802" s="8">
        <f t="shared" si="487"/>
        <v>35.115278710430431</v>
      </c>
    </row>
    <row r="1803" spans="1:45">
      <c r="A1803" s="20">
        <v>63.897166669999997</v>
      </c>
      <c r="B1803" s="20">
        <v>1889.504271</v>
      </c>
      <c r="C1803" s="20">
        <v>-485.53310590000001</v>
      </c>
      <c r="E1803" s="9">
        <f t="shared" si="476"/>
        <v>929.50427100000002</v>
      </c>
      <c r="F1803" s="9">
        <f t="shared" si="475"/>
        <v>54.46689409999999</v>
      </c>
      <c r="I1803">
        <v>1</v>
      </c>
      <c r="J1803">
        <f t="shared" si="477"/>
        <v>0.55570295689041127</v>
      </c>
      <c r="K1803">
        <f t="shared" si="478"/>
        <v>5.8530856623806957E-2</v>
      </c>
      <c r="O1803">
        <f t="shared" si="479"/>
        <v>0.52663723082681857</v>
      </c>
      <c r="P1803">
        <f t="shared" si="480"/>
        <v>3.0859776738520844E-2</v>
      </c>
      <c r="Q1803">
        <f t="shared" si="481"/>
        <v>0.84952981188814614</v>
      </c>
      <c r="R1803">
        <f t="shared" si="482"/>
        <v>1</v>
      </c>
      <c r="AG1803" s="8">
        <f t="shared" si="472"/>
        <v>0.77517177834608919</v>
      </c>
      <c r="AH1803" s="8">
        <f t="shared" si="473"/>
        <v>0.26123854805527008</v>
      </c>
      <c r="AI1803" s="8">
        <f t="shared" si="474"/>
        <v>0.57520703669699325</v>
      </c>
      <c r="AJ1803" s="8"/>
      <c r="AK1803" s="8"/>
      <c r="AL1803" s="8"/>
      <c r="AN1803" s="8">
        <f t="shared" si="483"/>
        <v>1.0000000000000002</v>
      </c>
      <c r="AO1803" s="8">
        <f t="shared" si="484"/>
        <v>0.32505347192831868</v>
      </c>
      <c r="AP1803" s="8">
        <f t="shared" si="485"/>
        <v>0.95793910259858084</v>
      </c>
      <c r="AQ1803" s="8"/>
      <c r="AR1803" s="8">
        <f t="shared" si="486"/>
        <v>18.624192057566841</v>
      </c>
      <c r="AS1803" s="8">
        <f t="shared" si="487"/>
        <v>35.114132390551767</v>
      </c>
    </row>
    <row r="1804" spans="1:45">
      <c r="A1804" s="20">
        <v>63.930533330000003</v>
      </c>
      <c r="B1804" s="20">
        <v>1889.9846809999999</v>
      </c>
      <c r="C1804" s="20">
        <v>-485.81164840000002</v>
      </c>
      <c r="E1804" s="9">
        <f t="shared" si="476"/>
        <v>929.98468099999991</v>
      </c>
      <c r="F1804" s="9">
        <f t="shared" si="475"/>
        <v>54.188351599999976</v>
      </c>
      <c r="I1804">
        <v>1</v>
      </c>
      <c r="J1804">
        <f t="shared" si="477"/>
        <v>0.55592795217881508</v>
      </c>
      <c r="K1804">
        <f t="shared" si="478"/>
        <v>5.8202195458827641E-2</v>
      </c>
      <c r="O1804">
        <f t="shared" si="479"/>
        <v>0.52683814801492035</v>
      </c>
      <c r="P1804">
        <f t="shared" si="480"/>
        <v>3.0697807592085846E-2</v>
      </c>
      <c r="Q1804">
        <f t="shared" si="481"/>
        <v>0.84941109623388378</v>
      </c>
      <c r="R1804">
        <f t="shared" si="482"/>
        <v>1</v>
      </c>
      <c r="AG1804" s="8">
        <f t="shared" si="472"/>
        <v>0.77524746194817706</v>
      </c>
      <c r="AH1804" s="8">
        <f t="shared" si="473"/>
        <v>0.26143461758784903</v>
      </c>
      <c r="AI1804" s="8">
        <f t="shared" si="474"/>
        <v>0.57501592453566441</v>
      </c>
      <c r="AJ1804" s="8"/>
      <c r="AK1804" s="8"/>
      <c r="AL1804" s="8"/>
      <c r="AN1804" s="8">
        <f t="shared" si="483"/>
        <v>1</v>
      </c>
      <c r="AO1804" s="8">
        <f t="shared" si="484"/>
        <v>0.3252510314853686</v>
      </c>
      <c r="AP1804" s="8">
        <f t="shared" si="485"/>
        <v>0.95817271461593112</v>
      </c>
      <c r="AQ1804" s="8"/>
      <c r="AR1804" s="8">
        <f t="shared" si="486"/>
        <v>18.635511386388277</v>
      </c>
      <c r="AS1804" s="8">
        <f t="shared" si="487"/>
        <v>35.100747407914056</v>
      </c>
    </row>
    <row r="1805" spans="1:45">
      <c r="A1805" s="20">
        <v>63.963900000000002</v>
      </c>
      <c r="B1805" s="20">
        <v>1890.3666920000001</v>
      </c>
      <c r="C1805" s="20">
        <v>-486.12523700000003</v>
      </c>
      <c r="E1805" s="9">
        <f t="shared" si="476"/>
        <v>930.36669200000006</v>
      </c>
      <c r="F1805" s="9">
        <f t="shared" si="475"/>
        <v>53.874762999999973</v>
      </c>
      <c r="I1805">
        <v>1</v>
      </c>
      <c r="J1805">
        <f t="shared" si="477"/>
        <v>0.55610426726496387</v>
      </c>
      <c r="K1805">
        <f t="shared" si="478"/>
        <v>5.7842425246253409E-2</v>
      </c>
      <c r="O1805">
        <f t="shared" si="479"/>
        <v>0.52699866341034907</v>
      </c>
      <c r="P1805">
        <f t="shared" si="480"/>
        <v>3.0516922345441528E-2</v>
      </c>
      <c r="Q1805">
        <f t="shared" si="481"/>
        <v>0.84931803596430699</v>
      </c>
      <c r="R1805">
        <f t="shared" si="482"/>
        <v>1</v>
      </c>
      <c r="AG1805" s="8">
        <f t="shared" si="472"/>
        <v>0.77534003351852565</v>
      </c>
      <c r="AH1805" s="8">
        <f t="shared" si="473"/>
        <v>0.26158208175664466</v>
      </c>
      <c r="AI1805" s="8">
        <f t="shared" si="474"/>
        <v>0.57482401387498727</v>
      </c>
      <c r="AJ1805" s="8"/>
      <c r="AK1805" s="8"/>
      <c r="AL1805" s="8"/>
      <c r="AN1805" s="8">
        <f t="shared" si="483"/>
        <v>1</v>
      </c>
      <c r="AO1805" s="8">
        <f t="shared" si="484"/>
        <v>0.32538564575063345</v>
      </c>
      <c r="AP1805" s="8">
        <f t="shared" si="485"/>
        <v>0.95840726411324473</v>
      </c>
      <c r="AQ1805" s="8"/>
      <c r="AR1805" s="8">
        <f t="shared" si="486"/>
        <v>18.643224215650207</v>
      </c>
      <c r="AS1805" s="8">
        <f t="shared" si="487"/>
        <v>35.087308711631074</v>
      </c>
    </row>
    <row r="1806" spans="1:45">
      <c r="A1806" s="20">
        <v>63.997266670000002</v>
      </c>
      <c r="B1806" s="20">
        <v>1890.4726700000001</v>
      </c>
      <c r="C1806" s="20">
        <v>-486.10721580000001</v>
      </c>
      <c r="E1806" s="9">
        <f t="shared" si="476"/>
        <v>930.47267000000011</v>
      </c>
      <c r="F1806" s="9">
        <f t="shared" si="475"/>
        <v>53.892784199999994</v>
      </c>
      <c r="I1806">
        <v>1</v>
      </c>
      <c r="J1806">
        <f t="shared" si="477"/>
        <v>0.55615612908240097</v>
      </c>
      <c r="K1806">
        <f t="shared" si="478"/>
        <v>5.785515490916307E-2</v>
      </c>
      <c r="O1806">
        <f t="shared" si="479"/>
        <v>0.52704224766849106</v>
      </c>
      <c r="P1806">
        <f t="shared" si="480"/>
        <v>3.0526177752089094E-2</v>
      </c>
      <c r="Q1806">
        <f t="shared" si="481"/>
        <v>0.84929065792836356</v>
      </c>
      <c r="R1806">
        <f t="shared" si="482"/>
        <v>0.99999999999999989</v>
      </c>
      <c r="AG1806" s="8">
        <f t="shared" si="472"/>
        <v>0.77532870456466862</v>
      </c>
      <c r="AH1806" s="8">
        <f t="shared" si="473"/>
        <v>0.26163255291886345</v>
      </c>
      <c r="AI1806" s="8">
        <f t="shared" si="474"/>
        <v>0.57481632469096655</v>
      </c>
      <c r="AJ1806" s="8"/>
      <c r="AK1806" s="8"/>
      <c r="AL1806" s="8"/>
      <c r="AN1806" s="8">
        <f t="shared" si="483"/>
        <v>0.99999999999999978</v>
      </c>
      <c r="AO1806" s="8">
        <f t="shared" si="484"/>
        <v>0.3254485144929864</v>
      </c>
      <c r="AP1806" s="8">
        <f t="shared" si="485"/>
        <v>0.95841666087991828</v>
      </c>
      <c r="AQ1806" s="8"/>
      <c r="AR1806" s="8">
        <f t="shared" si="486"/>
        <v>18.646826329250324</v>
      </c>
      <c r="AS1806" s="8">
        <f t="shared" si="487"/>
        <v>35.086770316559608</v>
      </c>
    </row>
    <row r="1807" spans="1:45">
      <c r="A1807" s="20">
        <v>64.030633330000001</v>
      </c>
      <c r="B1807" s="20">
        <v>1891.011786</v>
      </c>
      <c r="C1807" s="20">
        <v>-486.35252489999999</v>
      </c>
      <c r="E1807" s="9">
        <f t="shared" si="476"/>
        <v>931.01178600000003</v>
      </c>
      <c r="F1807" s="9">
        <f t="shared" si="475"/>
        <v>53.647475100000008</v>
      </c>
      <c r="I1807">
        <v>1</v>
      </c>
      <c r="J1807">
        <f t="shared" si="477"/>
        <v>0.55641046713800713</v>
      </c>
      <c r="K1807">
        <f t="shared" si="478"/>
        <v>5.7559117072377965E-2</v>
      </c>
      <c r="O1807">
        <f t="shared" si="479"/>
        <v>0.52726689364044832</v>
      </c>
      <c r="P1807">
        <f t="shared" si="480"/>
        <v>3.0382577291701761E-2</v>
      </c>
      <c r="Q1807">
        <f t="shared" si="481"/>
        <v>0.84915635890445162</v>
      </c>
      <c r="R1807">
        <f t="shared" si="482"/>
        <v>1</v>
      </c>
      <c r="AG1807" s="8">
        <f t="shared" si="472"/>
        <v>0.77538974965980612</v>
      </c>
      <c r="AH1807" s="8">
        <f t="shared" si="473"/>
        <v>0.26185853832477124</v>
      </c>
      <c r="AI1807" s="8">
        <f t="shared" si="474"/>
        <v>0.5746310486119921</v>
      </c>
      <c r="AJ1807" s="8"/>
      <c r="AK1807" s="8"/>
      <c r="AL1807" s="8"/>
      <c r="AN1807" s="8">
        <f t="shared" si="483"/>
        <v>1</v>
      </c>
      <c r="AO1807" s="8">
        <f t="shared" si="484"/>
        <v>0.32568629757959805</v>
      </c>
      <c r="AP1807" s="8">
        <f t="shared" si="485"/>
        <v>0.95864306356654017</v>
      </c>
      <c r="AQ1807" s="8"/>
      <c r="AR1807" s="8">
        <f t="shared" si="486"/>
        <v>18.660450296552767</v>
      </c>
      <c r="AS1807" s="8">
        <f t="shared" si="487"/>
        <v>35.073798398145755</v>
      </c>
    </row>
    <row r="1808" spans="1:45">
      <c r="A1808" s="20">
        <v>64.063999999999993</v>
      </c>
      <c r="B1808" s="20">
        <v>1891.3598420000001</v>
      </c>
      <c r="C1808" s="20">
        <v>-486.50198499999999</v>
      </c>
      <c r="E1808" s="9">
        <f t="shared" si="476"/>
        <v>931.35984200000007</v>
      </c>
      <c r="F1808" s="9">
        <f t="shared" si="475"/>
        <v>53.498015000000009</v>
      </c>
      <c r="I1808">
        <v>1</v>
      </c>
      <c r="J1808">
        <f t="shared" si="477"/>
        <v>0.5565748959986373</v>
      </c>
      <c r="K1808">
        <f t="shared" si="478"/>
        <v>5.7377708329083135E-2</v>
      </c>
      <c r="O1808">
        <f t="shared" si="479"/>
        <v>0.52741178553860613</v>
      </c>
      <c r="P1808">
        <f t="shared" si="480"/>
        <v>3.0294932572281913E-2</v>
      </c>
      <c r="Q1808">
        <f t="shared" si="481"/>
        <v>0.84906950571518003</v>
      </c>
      <c r="R1808">
        <f t="shared" si="482"/>
        <v>1</v>
      </c>
      <c r="AG1808" s="8">
        <f t="shared" si="472"/>
        <v>0.77542597576971262</v>
      </c>
      <c r="AH1808" s="8">
        <f t="shared" si="473"/>
        <v>0.26200519821091534</v>
      </c>
      <c r="AI1808" s="8">
        <f t="shared" si="474"/>
        <v>0.57451530198250411</v>
      </c>
      <c r="AJ1808" s="8"/>
      <c r="AK1808" s="8"/>
      <c r="AL1808" s="8"/>
      <c r="AN1808" s="8">
        <f t="shared" si="483"/>
        <v>1</v>
      </c>
      <c r="AO1808" s="8">
        <f t="shared" si="484"/>
        <v>0.32584189960986087</v>
      </c>
      <c r="AP1808" s="8">
        <f t="shared" si="485"/>
        <v>0.95878448475899458</v>
      </c>
      <c r="AQ1808" s="8"/>
      <c r="AR1808" s="8">
        <f t="shared" si="486"/>
        <v>18.669365636170493</v>
      </c>
      <c r="AS1808" s="8">
        <f t="shared" si="487"/>
        <v>35.065695560684411</v>
      </c>
    </row>
    <row r="1809" spans="1:45">
      <c r="A1809" s="20">
        <v>64.09736667</v>
      </c>
      <c r="B1809" s="20">
        <v>1892.1291180000001</v>
      </c>
      <c r="C1809" s="20">
        <v>-486.83589810000001</v>
      </c>
      <c r="E1809" s="9">
        <f t="shared" si="476"/>
        <v>932.12911800000006</v>
      </c>
      <c r="F1809" s="9">
        <f t="shared" si="475"/>
        <v>53.164101899999991</v>
      </c>
      <c r="I1809">
        <v>1</v>
      </c>
      <c r="J1809">
        <f t="shared" si="477"/>
        <v>0.55693815451206374</v>
      </c>
      <c r="K1809">
        <f t="shared" si="478"/>
        <v>5.6973401456097077E-2</v>
      </c>
      <c r="O1809">
        <f t="shared" si="479"/>
        <v>0.52773188735794951</v>
      </c>
      <c r="P1809">
        <f t="shared" si="480"/>
        <v>3.0099254806647231E-2</v>
      </c>
      <c r="Q1809">
        <f t="shared" si="481"/>
        <v>0.8488775470736053</v>
      </c>
      <c r="R1809">
        <f t="shared" si="482"/>
        <v>1</v>
      </c>
      <c r="AG1809" s="8">
        <f t="shared" si="472"/>
        <v>0.77550717650995571</v>
      </c>
      <c r="AH1809" s="8">
        <f t="shared" si="473"/>
        <v>0.26232888311583197</v>
      </c>
      <c r="AI1809" s="8">
        <f t="shared" si="474"/>
        <v>0.57425793530847835</v>
      </c>
      <c r="AJ1809" s="8"/>
      <c r="AK1809" s="8"/>
      <c r="AL1809" s="8"/>
      <c r="AN1809" s="8">
        <f t="shared" si="483"/>
        <v>1</v>
      </c>
      <c r="AO1809" s="8">
        <f t="shared" si="484"/>
        <v>0.32618472237540758</v>
      </c>
      <c r="AP1809" s="8">
        <f t="shared" si="485"/>
        <v>0.95909888942505972</v>
      </c>
      <c r="AQ1809" s="8"/>
      <c r="AR1809" s="8">
        <f t="shared" si="486"/>
        <v>18.689007933757324</v>
      </c>
      <c r="AS1809" s="8">
        <f t="shared" si="487"/>
        <v>35.047681500259657</v>
      </c>
    </row>
    <row r="1810" spans="1:45">
      <c r="A1810" s="20">
        <v>64.130733329999998</v>
      </c>
      <c r="B1810" s="20">
        <v>1892.6732119999999</v>
      </c>
      <c r="C1810" s="20">
        <v>-487.09879510000002</v>
      </c>
      <c r="E1810" s="9">
        <f t="shared" si="476"/>
        <v>932.67321199999992</v>
      </c>
      <c r="F1810" s="9">
        <f t="shared" si="475"/>
        <v>52.901204899999982</v>
      </c>
      <c r="I1810">
        <v>1</v>
      </c>
      <c r="J1810">
        <f t="shared" si="477"/>
        <v>0.55719429333995374</v>
      </c>
      <c r="K1810">
        <f t="shared" si="478"/>
        <v>5.6659270363078523E-2</v>
      </c>
      <c r="O1810">
        <f t="shared" si="479"/>
        <v>0.52795838070525325</v>
      </c>
      <c r="P1810">
        <f t="shared" si="480"/>
        <v>2.9945788210716619E-2</v>
      </c>
      <c r="Q1810">
        <f t="shared" si="481"/>
        <v>0.84874212692167328</v>
      </c>
      <c r="R1810">
        <f t="shared" si="482"/>
        <v>1</v>
      </c>
      <c r="AG1810" s="8">
        <f t="shared" si="472"/>
        <v>0.77557390744301657</v>
      </c>
      <c r="AH1810" s="8">
        <f t="shared" si="473"/>
        <v>0.26255526871496992</v>
      </c>
      <c r="AI1810" s="8">
        <f t="shared" si="474"/>
        <v>0.57406432127731222</v>
      </c>
      <c r="AJ1810" s="8"/>
      <c r="AK1810" s="8"/>
      <c r="AL1810" s="8"/>
      <c r="AN1810" s="8">
        <f t="shared" si="483"/>
        <v>1</v>
      </c>
      <c r="AO1810" s="8">
        <f t="shared" si="484"/>
        <v>0.32642051085227008</v>
      </c>
      <c r="AP1810" s="8">
        <f t="shared" si="485"/>
        <v>0.95933536679503517</v>
      </c>
      <c r="AQ1810" s="8"/>
      <c r="AR1810" s="8">
        <f t="shared" si="486"/>
        <v>18.702517618339364</v>
      </c>
      <c r="AS1810" s="8">
        <f t="shared" si="487"/>
        <v>35.034132345009709</v>
      </c>
    </row>
    <row r="1811" spans="1:45">
      <c r="A1811" s="20">
        <v>64.164100000000005</v>
      </c>
      <c r="B1811" s="20">
        <v>1892.5573300000001</v>
      </c>
      <c r="C1811" s="20">
        <v>-487.55009699999999</v>
      </c>
      <c r="E1811" s="9">
        <f t="shared" si="476"/>
        <v>932.55733000000009</v>
      </c>
      <c r="F1811" s="9">
        <f t="shared" si="475"/>
        <v>52.449903000000006</v>
      </c>
      <c r="I1811">
        <v>1</v>
      </c>
      <c r="J1811">
        <f t="shared" si="477"/>
        <v>0.55712586629398031</v>
      </c>
      <c r="K1811">
        <f t="shared" si="478"/>
        <v>5.6183894956051465E-2</v>
      </c>
      <c r="O1811">
        <f t="shared" si="479"/>
        <v>0.52791457002850539</v>
      </c>
      <c r="P1811">
        <f t="shared" si="480"/>
        <v>2.9691545065955158E-2</v>
      </c>
      <c r="Q1811">
        <f t="shared" si="481"/>
        <v>0.84877830963285972</v>
      </c>
      <c r="R1811">
        <f t="shared" si="482"/>
        <v>1</v>
      </c>
      <c r="AG1811" s="8">
        <f t="shared" si="472"/>
        <v>0.77573817191714045</v>
      </c>
      <c r="AH1811" s="8">
        <f t="shared" si="473"/>
        <v>0.26246081934746945</v>
      </c>
      <c r="AI1811" s="8">
        <f t="shared" si="474"/>
        <v>0.57388553470017711</v>
      </c>
      <c r="AJ1811" s="8"/>
      <c r="AK1811" s="8"/>
      <c r="AL1811" s="8"/>
      <c r="AN1811" s="8">
        <f t="shared" si="483"/>
        <v>1</v>
      </c>
      <c r="AO1811" s="8">
        <f t="shared" si="484"/>
        <v>0.32624695110484536</v>
      </c>
      <c r="AP1811" s="8">
        <f t="shared" si="485"/>
        <v>0.95955369931516288</v>
      </c>
      <c r="AQ1811" s="8"/>
      <c r="AR1811" s="8">
        <f t="shared" si="486"/>
        <v>18.69257337731857</v>
      </c>
      <c r="AS1811" s="8">
        <f t="shared" si="487"/>
        <v>35.021622813075936</v>
      </c>
    </row>
    <row r="1812" spans="1:45">
      <c r="A1812" s="20">
        <v>64.197466669999997</v>
      </c>
      <c r="B1812" s="20">
        <v>1893.5398250000001</v>
      </c>
      <c r="C1812" s="20">
        <v>-487.85699319999998</v>
      </c>
      <c r="E1812" s="9">
        <f t="shared" si="476"/>
        <v>933.53982500000006</v>
      </c>
      <c r="F1812" s="9">
        <f t="shared" si="475"/>
        <v>52.143006800000023</v>
      </c>
      <c r="I1812">
        <v>1</v>
      </c>
      <c r="J1812">
        <f t="shared" si="477"/>
        <v>0.55759298529607504</v>
      </c>
      <c r="K1812">
        <f t="shared" si="478"/>
        <v>5.5797172729492764E-2</v>
      </c>
      <c r="O1812">
        <f t="shared" si="479"/>
        <v>0.52832181877249795</v>
      </c>
      <c r="P1812">
        <f t="shared" si="480"/>
        <v>2.9509494347327643E-2</v>
      </c>
      <c r="Q1812">
        <f t="shared" si="481"/>
        <v>0.84853122838955364</v>
      </c>
      <c r="R1812">
        <f t="shared" si="482"/>
        <v>1</v>
      </c>
      <c r="AG1812" s="8">
        <f t="shared" si="472"/>
        <v>0.77579936130096661</v>
      </c>
      <c r="AH1812" s="8">
        <f t="shared" si="473"/>
        <v>0.26288470759200322</v>
      </c>
      <c r="AI1812" s="8">
        <f t="shared" si="474"/>
        <v>0.57360873556744174</v>
      </c>
      <c r="AJ1812" s="8"/>
      <c r="AK1812" s="8"/>
      <c r="AL1812" s="8"/>
      <c r="AN1812" s="8">
        <f t="shared" si="483"/>
        <v>1</v>
      </c>
      <c r="AO1812" s="8">
        <f t="shared" si="484"/>
        <v>0.32671320016979299</v>
      </c>
      <c r="AP1812" s="8">
        <f t="shared" si="485"/>
        <v>0.95989165798992648</v>
      </c>
      <c r="AQ1812" s="8"/>
      <c r="AR1812" s="8">
        <f t="shared" si="486"/>
        <v>18.71928748094199</v>
      </c>
      <c r="AS1812" s="8">
        <f t="shared" si="487"/>
        <v>35.002259207362144</v>
      </c>
    </row>
    <row r="1813" spans="1:45">
      <c r="A1813" s="20">
        <v>64.230833329999996</v>
      </c>
      <c r="B1813" s="20">
        <v>1893.6923979999999</v>
      </c>
      <c r="C1813" s="20">
        <v>-488.29987349999999</v>
      </c>
      <c r="E1813" s="9">
        <f t="shared" si="476"/>
        <v>933.69239799999991</v>
      </c>
      <c r="F1813" s="9">
        <f t="shared" si="475"/>
        <v>51.70012650000001</v>
      </c>
      <c r="I1813">
        <v>1</v>
      </c>
      <c r="J1813">
        <f t="shared" si="477"/>
        <v>0.5576548800551433</v>
      </c>
      <c r="K1813">
        <f t="shared" si="478"/>
        <v>5.5315204081044143E-2</v>
      </c>
      <c r="O1813">
        <f t="shared" si="479"/>
        <v>0.52838841835544692</v>
      </c>
      <c r="P1813">
        <f t="shared" si="480"/>
        <v>2.9257759973870468E-2</v>
      </c>
      <c r="Q1813">
        <f t="shared" si="481"/>
        <v>0.8484984754430267</v>
      </c>
      <c r="R1813">
        <f t="shared" si="482"/>
        <v>1</v>
      </c>
      <c r="AG1813" s="8">
        <f t="shared" si="472"/>
        <v>0.77594776011504818</v>
      </c>
      <c r="AH1813" s="8">
        <f t="shared" si="473"/>
        <v>0.26291446887412184</v>
      </c>
      <c r="AI1813" s="8">
        <f t="shared" si="474"/>
        <v>0.57339432821495373</v>
      </c>
      <c r="AJ1813" s="8"/>
      <c r="AK1813" s="8"/>
      <c r="AL1813" s="8"/>
      <c r="AN1813" s="8">
        <f t="shared" si="483"/>
        <v>1</v>
      </c>
      <c r="AO1813" s="8">
        <f t="shared" si="484"/>
        <v>0.32668947331715614</v>
      </c>
      <c r="AP1813" s="8">
        <f t="shared" si="485"/>
        <v>0.96015338428315233</v>
      </c>
      <c r="AQ1813" s="8"/>
      <c r="AR1813" s="8">
        <f t="shared" si="486"/>
        <v>18.717928032424769</v>
      </c>
      <c r="AS1813" s="8">
        <f t="shared" si="487"/>
        <v>34.9872633953727</v>
      </c>
    </row>
    <row r="1814" spans="1:45">
      <c r="A1814" s="20">
        <v>64.264200000000002</v>
      </c>
      <c r="B1814" s="20">
        <v>1894.3900269999999</v>
      </c>
      <c r="C1814" s="20">
        <v>-487.95725759999999</v>
      </c>
      <c r="E1814" s="9">
        <f t="shared" si="476"/>
        <v>934.39002699999992</v>
      </c>
      <c r="F1814" s="9">
        <f t="shared" si="475"/>
        <v>52.042742400000009</v>
      </c>
      <c r="I1814">
        <v>1</v>
      </c>
      <c r="J1814">
        <f t="shared" si="477"/>
        <v>0.55800149025262669</v>
      </c>
      <c r="K1814">
        <f t="shared" si="478"/>
        <v>5.5639535846575487E-2</v>
      </c>
      <c r="O1814">
        <f t="shared" si="479"/>
        <v>0.52867251271165772</v>
      </c>
      <c r="P1814">
        <f t="shared" si="480"/>
        <v>2.9445484859625469E-2</v>
      </c>
      <c r="Q1814">
        <f t="shared" si="481"/>
        <v>0.8483149991156137</v>
      </c>
      <c r="R1814">
        <f t="shared" si="482"/>
        <v>1</v>
      </c>
      <c r="AG1814" s="8">
        <f t="shared" si="472"/>
        <v>0.77579402664226405</v>
      </c>
      <c r="AH1814" s="8">
        <f t="shared" si="473"/>
        <v>0.2632663367762702</v>
      </c>
      <c r="AI1814" s="8">
        <f t="shared" si="474"/>
        <v>0.57344089856460856</v>
      </c>
      <c r="AJ1814" s="8"/>
      <c r="AK1814" s="8"/>
      <c r="AL1814" s="8"/>
      <c r="AN1814" s="8">
        <f t="shared" si="483"/>
        <v>1</v>
      </c>
      <c r="AO1814" s="8">
        <f t="shared" si="484"/>
        <v>0.32715647793637354</v>
      </c>
      <c r="AP1814" s="8">
        <f t="shared" si="485"/>
        <v>0.96009654009932555</v>
      </c>
      <c r="AQ1814" s="8"/>
      <c r="AR1814" s="8">
        <f t="shared" si="486"/>
        <v>18.744685426119041</v>
      </c>
      <c r="AS1814" s="8">
        <f t="shared" si="487"/>
        <v>34.990520327195846</v>
      </c>
    </row>
    <row r="1815" spans="1:45">
      <c r="A1815" s="20">
        <v>64.297566669999995</v>
      </c>
      <c r="B1815" s="20">
        <v>1894.549188</v>
      </c>
      <c r="C1815" s="20">
        <v>-488.16244330000001</v>
      </c>
      <c r="E1815" s="9">
        <f t="shared" si="476"/>
        <v>934.54918799999996</v>
      </c>
      <c r="F1815" s="9">
        <f t="shared" si="475"/>
        <v>51.837556699999993</v>
      </c>
      <c r="I1815">
        <v>1</v>
      </c>
      <c r="J1815">
        <f t="shared" si="477"/>
        <v>0.55807293394209745</v>
      </c>
      <c r="K1815">
        <f t="shared" si="478"/>
        <v>5.5411199829986456E-2</v>
      </c>
      <c r="O1815">
        <f t="shared" si="479"/>
        <v>0.52873973477889091</v>
      </c>
      <c r="P1815">
        <f t="shared" si="480"/>
        <v>2.9328125617229382E-2</v>
      </c>
      <c r="Q1815">
        <f t="shared" si="481"/>
        <v>0.84827716809644715</v>
      </c>
      <c r="R1815">
        <f t="shared" si="482"/>
        <v>1</v>
      </c>
      <c r="AG1815" s="8">
        <f t="shared" si="472"/>
        <v>0.77585852153892798</v>
      </c>
      <c r="AH1815" s="8">
        <f t="shared" si="473"/>
        <v>0.26332076095438833</v>
      </c>
      <c r="AI1815" s="8">
        <f t="shared" si="474"/>
        <v>0.57332864171069509</v>
      </c>
      <c r="AJ1815" s="8"/>
      <c r="AK1815" s="8"/>
      <c r="AL1815" s="8"/>
      <c r="AN1815" s="8">
        <f t="shared" si="483"/>
        <v>0.99999999999999989</v>
      </c>
      <c r="AO1815" s="8">
        <f t="shared" si="484"/>
        <v>0.32719408445113379</v>
      </c>
      <c r="AP1815" s="8">
        <f t="shared" si="485"/>
        <v>0.9602335579714687</v>
      </c>
      <c r="AQ1815" s="8"/>
      <c r="AR1815" s="8">
        <f t="shared" si="486"/>
        <v>18.746840120696998</v>
      </c>
      <c r="AS1815" s="8">
        <f t="shared" si="487"/>
        <v>34.982669781404176</v>
      </c>
    </row>
    <row r="1816" spans="1:45">
      <c r="A1816" s="20">
        <v>64.330933329999993</v>
      </c>
      <c r="B1816" s="20">
        <v>1894.966318</v>
      </c>
      <c r="C1816" s="20">
        <v>-488.3476172</v>
      </c>
      <c r="E1816" s="9">
        <f t="shared" si="476"/>
        <v>934.966318</v>
      </c>
      <c r="F1816" s="9">
        <f t="shared" si="475"/>
        <v>51.652382799999998</v>
      </c>
      <c r="I1816">
        <v>1</v>
      </c>
      <c r="J1816">
        <f t="shared" si="477"/>
        <v>0.55826963991682166</v>
      </c>
      <c r="K1816">
        <f t="shared" si="478"/>
        <v>5.5189079668637717E-2</v>
      </c>
      <c r="O1816">
        <f t="shared" si="479"/>
        <v>0.52891283300888969</v>
      </c>
      <c r="P1816">
        <f t="shared" si="480"/>
        <v>2.921988481558075E-2</v>
      </c>
      <c r="Q1816">
        <f t="shared" si="481"/>
        <v>0.84817298554591714</v>
      </c>
      <c r="R1816">
        <f t="shared" si="482"/>
        <v>1</v>
      </c>
      <c r="AG1816" s="8">
        <f t="shared" si="472"/>
        <v>0.77590360578834683</v>
      </c>
      <c r="AH1816" s="8">
        <f t="shared" si="473"/>
        <v>0.26349549568090791</v>
      </c>
      <c r="AI1816" s="8">
        <f t="shared" si="474"/>
        <v>0.57318733262391131</v>
      </c>
      <c r="AJ1816" s="8"/>
      <c r="AK1816" s="8"/>
      <c r="AL1816" s="8"/>
      <c r="AN1816" s="8">
        <f t="shared" si="483"/>
        <v>1</v>
      </c>
      <c r="AO1816" s="8">
        <f t="shared" si="484"/>
        <v>0.32737832985589094</v>
      </c>
      <c r="AP1816" s="8">
        <f t="shared" si="485"/>
        <v>0.96040601758866773</v>
      </c>
      <c r="AQ1816" s="8"/>
      <c r="AR1816" s="8">
        <f t="shared" si="486"/>
        <v>18.757396604784262</v>
      </c>
      <c r="AS1816" s="8">
        <f t="shared" si="487"/>
        <v>34.97278857320223</v>
      </c>
    </row>
    <row r="1817" spans="1:45">
      <c r="A1817" s="20">
        <v>64.3643</v>
      </c>
      <c r="B1817" s="20">
        <v>1895.4737110000001</v>
      </c>
      <c r="C1817" s="20">
        <v>-488.64719550000001</v>
      </c>
      <c r="E1817" s="9">
        <f t="shared" si="476"/>
        <v>935.47371100000009</v>
      </c>
      <c r="F1817" s="9">
        <f t="shared" si="475"/>
        <v>51.352804499999991</v>
      </c>
      <c r="I1817">
        <v>1</v>
      </c>
      <c r="J1817">
        <f t="shared" si="477"/>
        <v>0.55850690380350154</v>
      </c>
      <c r="K1817">
        <f t="shared" si="478"/>
        <v>5.4839931670672852E-2</v>
      </c>
      <c r="O1817">
        <f t="shared" si="479"/>
        <v>0.52912392623238236</v>
      </c>
      <c r="P1817">
        <f t="shared" si="480"/>
        <v>2.9046243866156004E-2</v>
      </c>
      <c r="Q1817">
        <f t="shared" si="481"/>
        <v>0.84804727840238736</v>
      </c>
      <c r="R1817">
        <f t="shared" si="482"/>
        <v>1</v>
      </c>
      <c r="AG1817" s="8">
        <f t="shared" si="472"/>
        <v>0.77598448148234422</v>
      </c>
      <c r="AH1817" s="8">
        <f t="shared" si="473"/>
        <v>0.26370118928198083</v>
      </c>
      <c r="AI1817" s="8">
        <f t="shared" si="474"/>
        <v>0.57298321726717838</v>
      </c>
      <c r="AJ1817" s="8"/>
      <c r="AK1817" s="8"/>
      <c r="AL1817" s="8"/>
      <c r="AN1817" s="8">
        <f t="shared" si="483"/>
        <v>1.0000000000000002</v>
      </c>
      <c r="AO1817" s="8">
        <f t="shared" si="484"/>
        <v>0.32758424637693911</v>
      </c>
      <c r="AP1817" s="8">
        <f t="shared" si="485"/>
        <v>0.96065509192561405</v>
      </c>
      <c r="AQ1817" s="8"/>
      <c r="AR1817" s="8">
        <f t="shared" si="486"/>
        <v>18.769194752372339</v>
      </c>
      <c r="AS1817" s="8">
        <f t="shared" si="487"/>
        <v>34.95851766491019</v>
      </c>
    </row>
    <row r="1818" spans="1:45">
      <c r="A1818" s="20">
        <v>64.397666670000007</v>
      </c>
      <c r="B1818" s="20">
        <v>1896.2759820000001</v>
      </c>
      <c r="C1818" s="20">
        <v>-489.20483489999998</v>
      </c>
      <c r="E1818" s="9">
        <f t="shared" si="476"/>
        <v>936.27598200000011</v>
      </c>
      <c r="F1818" s="9">
        <f t="shared" si="475"/>
        <v>50.79516510000002</v>
      </c>
      <c r="I1818">
        <v>1</v>
      </c>
      <c r="J1818">
        <f t="shared" si="477"/>
        <v>0.55887982593432461</v>
      </c>
      <c r="K1818">
        <f t="shared" si="478"/>
        <v>5.4199208867309827E-2</v>
      </c>
      <c r="O1818">
        <f t="shared" si="479"/>
        <v>0.52945818261375421</v>
      </c>
      <c r="P1818">
        <f t="shared" si="480"/>
        <v>2.8724346577771773E-2</v>
      </c>
      <c r="Q1818">
        <f t="shared" si="481"/>
        <v>0.84784960032839585</v>
      </c>
      <c r="R1818">
        <f t="shared" si="482"/>
        <v>1</v>
      </c>
      <c r="AG1818" s="8">
        <f t="shared" si="472"/>
        <v>0.77614163470509245</v>
      </c>
      <c r="AH1818" s="8">
        <f t="shared" si="473"/>
        <v>0.26401859845512632</v>
      </c>
      <c r="AI1818" s="8">
        <f t="shared" si="474"/>
        <v>0.57262408484720384</v>
      </c>
      <c r="AJ1818" s="8"/>
      <c r="AK1818" s="8"/>
      <c r="AL1818" s="8"/>
      <c r="AN1818" s="8">
        <f t="shared" si="483"/>
        <v>1</v>
      </c>
      <c r="AO1818" s="8">
        <f t="shared" si="484"/>
        <v>0.32788914941315389</v>
      </c>
      <c r="AP1818" s="8">
        <f t="shared" si="485"/>
        <v>0.96109322253948037</v>
      </c>
      <c r="AQ1818" s="8"/>
      <c r="AR1818" s="8">
        <f t="shared" si="486"/>
        <v>18.786664409508173</v>
      </c>
      <c r="AS1818" s="8">
        <f t="shared" si="487"/>
        <v>34.933414629860174</v>
      </c>
    </row>
    <row r="1819" spans="1:45">
      <c r="A1819" s="20">
        <v>64.431033330000005</v>
      </c>
      <c r="B1819" s="20">
        <v>1896.6535980000001</v>
      </c>
      <c r="C1819" s="20">
        <v>-489.30005820000002</v>
      </c>
      <c r="E1819" s="9">
        <f t="shared" si="476"/>
        <v>936.6535980000001</v>
      </c>
      <c r="F1819" s="9">
        <f t="shared" si="475"/>
        <v>50.699941799999976</v>
      </c>
      <c r="I1819">
        <v>1</v>
      </c>
      <c r="J1819">
        <f t="shared" si="477"/>
        <v>0.55905972448585417</v>
      </c>
      <c r="K1819">
        <f t="shared" si="478"/>
        <v>5.4076035207532555E-2</v>
      </c>
      <c r="O1819">
        <f t="shared" si="479"/>
        <v>0.5296140120702082</v>
      </c>
      <c r="P1819">
        <f t="shared" si="480"/>
        <v>2.8667374625751488E-2</v>
      </c>
      <c r="Q1819">
        <f t="shared" si="481"/>
        <v>0.84775419777843875</v>
      </c>
      <c r="R1819">
        <f t="shared" si="482"/>
        <v>1</v>
      </c>
      <c r="AG1819" s="8">
        <f t="shared" si="472"/>
        <v>0.77615682862506974</v>
      </c>
      <c r="AH1819" s="8">
        <f t="shared" si="473"/>
        <v>0.26418317590631463</v>
      </c>
      <c r="AI1819" s="8">
        <f t="shared" si="474"/>
        <v>0.57252757745520655</v>
      </c>
      <c r="AJ1819" s="8"/>
      <c r="AK1819" s="8"/>
      <c r="AL1819" s="8"/>
      <c r="AN1819" s="8">
        <f t="shared" si="483"/>
        <v>1.0000000000000002</v>
      </c>
      <c r="AO1819" s="8">
        <f t="shared" si="484"/>
        <v>0.32807321943140794</v>
      </c>
      <c r="AP1819" s="8">
        <f t="shared" si="485"/>
        <v>0.9612109357605555</v>
      </c>
      <c r="AQ1819" s="8"/>
      <c r="AR1819" s="8">
        <f t="shared" si="486"/>
        <v>18.797210844689026</v>
      </c>
      <c r="AS1819" s="8">
        <f t="shared" si="487"/>
        <v>34.926670159099679</v>
      </c>
    </row>
    <row r="1820" spans="1:45">
      <c r="A1820" s="20">
        <v>64.464399999999998</v>
      </c>
      <c r="B1820" s="20">
        <v>1897.159128</v>
      </c>
      <c r="C1820" s="20">
        <v>-489.50595249999998</v>
      </c>
      <c r="E1820" s="9">
        <f t="shared" si="476"/>
        <v>937.15912800000001</v>
      </c>
      <c r="F1820" s="9">
        <f t="shared" si="475"/>
        <v>50.494047500000022</v>
      </c>
      <c r="I1820">
        <v>1</v>
      </c>
      <c r="J1820">
        <f t="shared" si="477"/>
        <v>0.55929846894533153</v>
      </c>
      <c r="K1820">
        <f t="shared" si="478"/>
        <v>5.3827859934282352E-2</v>
      </c>
      <c r="O1820">
        <f t="shared" si="479"/>
        <v>0.5298231986707449</v>
      </c>
      <c r="P1820">
        <f t="shared" si="480"/>
        <v>2.8546825145241015E-2</v>
      </c>
      <c r="Q1820">
        <f t="shared" si="481"/>
        <v>0.8476275461099807</v>
      </c>
      <c r="R1820">
        <f t="shared" si="482"/>
        <v>1</v>
      </c>
      <c r="AG1820" s="8">
        <f t="shared" si="472"/>
        <v>0.77620462758280706</v>
      </c>
      <c r="AH1820" s="8">
        <f t="shared" si="473"/>
        <v>0.26439628048526898</v>
      </c>
      <c r="AI1820" s="8">
        <f t="shared" si="474"/>
        <v>0.57236437955605768</v>
      </c>
      <c r="AJ1820" s="8"/>
      <c r="AK1820" s="8"/>
      <c r="AL1820" s="8"/>
      <c r="AN1820" s="8">
        <f t="shared" si="483"/>
        <v>1</v>
      </c>
      <c r="AO1820" s="8">
        <f t="shared" si="484"/>
        <v>0.32830045968885163</v>
      </c>
      <c r="AP1820" s="8">
        <f t="shared" si="485"/>
        <v>0.9614099715614135</v>
      </c>
      <c r="AQ1820" s="8"/>
      <c r="AR1820" s="8">
        <f t="shared" si="486"/>
        <v>18.810230752376015</v>
      </c>
      <c r="AS1820" s="8">
        <f t="shared" si="487"/>
        <v>34.915266247738508</v>
      </c>
    </row>
    <row r="1821" spans="1:45">
      <c r="A1821" s="20">
        <v>64.497766670000004</v>
      </c>
      <c r="B1821" s="20">
        <v>1897.4096159999999</v>
      </c>
      <c r="C1821" s="20">
        <v>-489.68848659999998</v>
      </c>
      <c r="E1821" s="9">
        <f t="shared" si="476"/>
        <v>937.40961599999991</v>
      </c>
      <c r="F1821" s="9">
        <f t="shared" si="475"/>
        <v>50.311513400000024</v>
      </c>
      <c r="I1821">
        <v>1</v>
      </c>
      <c r="J1821">
        <f t="shared" si="477"/>
        <v>0.55941466238230741</v>
      </c>
      <c r="K1821">
        <f t="shared" si="478"/>
        <v>5.3619343696976178E-2</v>
      </c>
      <c r="O1821">
        <f t="shared" si="479"/>
        <v>0.52992748326487116</v>
      </c>
      <c r="P1821">
        <f t="shared" si="480"/>
        <v>2.8441625966112192E-2</v>
      </c>
      <c r="Q1821">
        <f t="shared" si="481"/>
        <v>0.84756588911598096</v>
      </c>
      <c r="R1821">
        <f t="shared" si="482"/>
        <v>1</v>
      </c>
      <c r="AG1821" s="8">
        <f t="shared" si="472"/>
        <v>0.77625652392252265</v>
      </c>
      <c r="AH1821" s="8">
        <f t="shared" si="473"/>
        <v>0.26449450068028613</v>
      </c>
      <c r="AI1821" s="8">
        <f t="shared" si="474"/>
        <v>0.57224860696869151</v>
      </c>
      <c r="AJ1821" s="8"/>
      <c r="AK1821" s="8"/>
      <c r="AL1821" s="8"/>
      <c r="AN1821" s="8">
        <f t="shared" si="483"/>
        <v>0.99999999999999978</v>
      </c>
      <c r="AO1821" s="8">
        <f t="shared" si="484"/>
        <v>0.32839342771779612</v>
      </c>
      <c r="AP1821" s="8">
        <f t="shared" si="485"/>
        <v>0.9615511507910588</v>
      </c>
      <c r="AQ1821" s="8"/>
      <c r="AR1821" s="8">
        <f t="shared" si="486"/>
        <v>18.815557428064185</v>
      </c>
      <c r="AS1821" s="8">
        <f t="shared" si="487"/>
        <v>34.907177273724919</v>
      </c>
    </row>
    <row r="1822" spans="1:45">
      <c r="A1822" s="20">
        <v>64.531133330000003</v>
      </c>
      <c r="B1822" s="20">
        <v>1897.6740259999999</v>
      </c>
      <c r="C1822" s="20">
        <v>-489.87469629999998</v>
      </c>
      <c r="E1822" s="9">
        <f t="shared" si="476"/>
        <v>937.67402599999991</v>
      </c>
      <c r="F1822" s="9">
        <f t="shared" si="475"/>
        <v>50.125303700000018</v>
      </c>
      <c r="I1822">
        <v>1</v>
      </c>
      <c r="J1822">
        <f t="shared" si="477"/>
        <v>0.55953748406151238</v>
      </c>
      <c r="K1822">
        <f t="shared" si="478"/>
        <v>5.3406233956202094E-2</v>
      </c>
      <c r="O1822">
        <f t="shared" si="479"/>
        <v>0.53003747946493207</v>
      </c>
      <c r="P1822">
        <f t="shared" si="480"/>
        <v>2.8334249316790017E-2</v>
      </c>
      <c r="Q1822">
        <f t="shared" si="481"/>
        <v>0.84750070246467391</v>
      </c>
      <c r="R1822">
        <f t="shared" si="482"/>
        <v>1</v>
      </c>
      <c r="AG1822" s="8">
        <f t="shared" si="472"/>
        <v>0.77630900652460544</v>
      </c>
      <c r="AH1822" s="8">
        <f t="shared" si="473"/>
        <v>0.2645987474119017</v>
      </c>
      <c r="AI1822" s="8">
        <f t="shared" si="474"/>
        <v>0.57212920678534906</v>
      </c>
      <c r="AJ1822" s="8"/>
      <c r="AK1822" s="8"/>
      <c r="AL1822" s="8"/>
      <c r="AN1822" s="8">
        <f t="shared" si="483"/>
        <v>0.99999999999999989</v>
      </c>
      <c r="AO1822" s="8">
        <f t="shared" si="484"/>
        <v>0.32849310190923531</v>
      </c>
      <c r="AP1822" s="8">
        <f t="shared" si="485"/>
        <v>0.96169673913633869</v>
      </c>
      <c r="AQ1822" s="8"/>
      <c r="AR1822" s="8">
        <f t="shared" si="486"/>
        <v>18.821268338560028</v>
      </c>
      <c r="AS1822" s="8">
        <f t="shared" si="487"/>
        <v>34.898835675994093</v>
      </c>
    </row>
    <row r="1823" spans="1:45">
      <c r="A1823" s="20">
        <v>64.564499999999995</v>
      </c>
      <c r="B1823" s="20">
        <v>1897.958705</v>
      </c>
      <c r="C1823" s="20">
        <v>-490.08085419999998</v>
      </c>
      <c r="E1823" s="9">
        <f t="shared" si="476"/>
        <v>937.95870500000001</v>
      </c>
      <c r="F1823" s="9">
        <f t="shared" si="475"/>
        <v>49.919145800000024</v>
      </c>
      <c r="I1823">
        <v>1</v>
      </c>
      <c r="J1823">
        <f t="shared" si="477"/>
        <v>0.55966957743848544</v>
      </c>
      <c r="K1823">
        <f t="shared" si="478"/>
        <v>5.3170884614907037E-2</v>
      </c>
      <c r="O1823">
        <f t="shared" si="479"/>
        <v>0.5301559196267881</v>
      </c>
      <c r="P1823">
        <f t="shared" si="480"/>
        <v>2.8215453950696828E-2</v>
      </c>
      <c r="Q1823">
        <f t="shared" si="481"/>
        <v>0.84743058066311883</v>
      </c>
      <c r="R1823">
        <f t="shared" si="482"/>
        <v>1</v>
      </c>
      <c r="AG1823" s="8">
        <f t="shared" si="472"/>
        <v>0.77636746845790738</v>
      </c>
      <c r="AH1823" s="8">
        <f t="shared" si="473"/>
        <v>0.26471044223028861</v>
      </c>
      <c r="AI1823" s="8">
        <f t="shared" si="474"/>
        <v>0.57199819553430875</v>
      </c>
      <c r="AJ1823" s="8"/>
      <c r="AK1823" s="8"/>
      <c r="AL1823" s="8"/>
      <c r="AN1823" s="8">
        <f t="shared" si="483"/>
        <v>1</v>
      </c>
      <c r="AO1823" s="8">
        <f t="shared" si="484"/>
        <v>0.32859899781198393</v>
      </c>
      <c r="AP1823" s="8">
        <f t="shared" si="485"/>
        <v>0.96185646820588788</v>
      </c>
      <c r="AQ1823" s="8"/>
      <c r="AR1823" s="8">
        <f t="shared" si="486"/>
        <v>18.827335726855253</v>
      </c>
      <c r="AS1823" s="8">
        <f t="shared" si="487"/>
        <v>34.889683874443371</v>
      </c>
    </row>
    <row r="1824" spans="1:45">
      <c r="A1824" s="20">
        <v>64.597866670000002</v>
      </c>
      <c r="B1824" s="20">
        <v>1898.4191310000001</v>
      </c>
      <c r="C1824" s="20">
        <v>-490.20725929999998</v>
      </c>
      <c r="E1824" s="9">
        <f t="shared" si="476"/>
        <v>938.41913100000011</v>
      </c>
      <c r="F1824" s="9">
        <f t="shared" si="475"/>
        <v>49.792740700000024</v>
      </c>
      <c r="I1824">
        <v>1</v>
      </c>
      <c r="J1824">
        <f t="shared" si="477"/>
        <v>0.55988851555203822</v>
      </c>
      <c r="K1824">
        <f t="shared" si="478"/>
        <v>5.3010525035850492E-2</v>
      </c>
      <c r="O1824">
        <f t="shared" si="479"/>
        <v>0.5303456989472789</v>
      </c>
      <c r="P1824">
        <f t="shared" si="480"/>
        <v>2.8140268028105802E-2</v>
      </c>
      <c r="Q1824">
        <f t="shared" si="481"/>
        <v>0.84731432474815904</v>
      </c>
      <c r="R1824">
        <f t="shared" si="482"/>
        <v>1</v>
      </c>
      <c r="AG1824" s="8">
        <f t="shared" ref="AG1824:AG1858" si="488">$O1824*$Z$27+$P1824*$Z$31+$Q1824*$Z$35</f>
        <v>0.77638939351216385</v>
      </c>
      <c r="AH1824" s="8">
        <f t="shared" ref="AH1824:AH1858" si="489">$O1824*$AA$27+$P1824*$AA$31+$Q1824*$AA$35</f>
        <v>0.26490991760792137</v>
      </c>
      <c r="AI1824" s="8">
        <f t="shared" ref="AI1824:AI1858" si="490">$AB$27*$O1824+$P1824*$AB$31+$AB$35*$Q1824</f>
        <v>0.57187607503267601</v>
      </c>
      <c r="AJ1824" s="8"/>
      <c r="AK1824" s="8"/>
      <c r="AL1824" s="8"/>
      <c r="AN1824" s="8">
        <f t="shared" si="483"/>
        <v>1</v>
      </c>
      <c r="AO1824" s="8">
        <f t="shared" si="484"/>
        <v>0.32882052416585317</v>
      </c>
      <c r="AP1824" s="8">
        <f t="shared" si="485"/>
        <v>0.96200534164355644</v>
      </c>
      <c r="AQ1824" s="8"/>
      <c r="AR1824" s="8">
        <f t="shared" si="486"/>
        <v>18.840028251982879</v>
      </c>
      <c r="AS1824" s="8">
        <f t="shared" si="487"/>
        <v>34.881154054783359</v>
      </c>
    </row>
    <row r="1825" spans="1:45">
      <c r="A1825" s="20">
        <v>64.631233330000001</v>
      </c>
      <c r="B1825" s="20">
        <v>1899.083187</v>
      </c>
      <c r="C1825" s="20">
        <v>-490.55870399999998</v>
      </c>
      <c r="E1825" s="9">
        <f t="shared" si="476"/>
        <v>939.08318699999995</v>
      </c>
      <c r="F1825" s="9">
        <f t="shared" ref="F1825:F1858" si="491">(($C$15/2)+C1825)</f>
        <v>49.441296000000023</v>
      </c>
      <c r="I1825">
        <v>1</v>
      </c>
      <c r="J1825">
        <f t="shared" si="477"/>
        <v>0.56019989641023349</v>
      </c>
      <c r="K1825">
        <f t="shared" si="478"/>
        <v>5.2599909175879651E-2</v>
      </c>
      <c r="O1825">
        <f t="shared" si="479"/>
        <v>0.53062065592182428</v>
      </c>
      <c r="P1825">
        <f t="shared" si="480"/>
        <v>2.7936367380779311E-2</v>
      </c>
      <c r="Q1825">
        <f t="shared" si="481"/>
        <v>0.84714891187244001</v>
      </c>
      <c r="R1825">
        <f t="shared" si="482"/>
        <v>1</v>
      </c>
      <c r="AG1825" s="8">
        <f t="shared" si="488"/>
        <v>0.77648018666703522</v>
      </c>
      <c r="AH1825" s="8">
        <f t="shared" si="489"/>
        <v>0.26518206830813068</v>
      </c>
      <c r="AI1825" s="8">
        <f t="shared" si="490"/>
        <v>0.5716266179608398</v>
      </c>
      <c r="AJ1825" s="8"/>
      <c r="AK1825" s="8"/>
      <c r="AL1825" s="8"/>
      <c r="AN1825" s="8">
        <f t="shared" si="483"/>
        <v>0.99999999999999978</v>
      </c>
      <c r="AO1825" s="8">
        <f t="shared" si="484"/>
        <v>0.32909870394626495</v>
      </c>
      <c r="AP1825" s="8">
        <f t="shared" si="485"/>
        <v>0.96230939926983949</v>
      </c>
      <c r="AQ1825" s="8"/>
      <c r="AR1825" s="8">
        <f t="shared" si="486"/>
        <v>18.855966779346353</v>
      </c>
      <c r="AS1825" s="8">
        <f t="shared" si="487"/>
        <v>34.863732836068571</v>
      </c>
    </row>
    <row r="1826" spans="1:45">
      <c r="A1826" s="20">
        <v>64.664599999999993</v>
      </c>
      <c r="B1826" s="20">
        <v>1899.300792</v>
      </c>
      <c r="C1826" s="20">
        <v>-490.80348290000001</v>
      </c>
      <c r="E1826" s="9">
        <f t="shared" si="476"/>
        <v>939.300792</v>
      </c>
      <c r="F1826" s="9">
        <f t="shared" si="491"/>
        <v>49.196517099999994</v>
      </c>
      <c r="I1826">
        <v>1</v>
      </c>
      <c r="J1826">
        <f t="shared" si="477"/>
        <v>0.5602986454606993</v>
      </c>
      <c r="K1826">
        <f t="shared" si="478"/>
        <v>5.2327865501805536E-2</v>
      </c>
      <c r="O1826">
        <f t="shared" si="479"/>
        <v>0.53071177425570226</v>
      </c>
      <c r="P1826">
        <f t="shared" si="480"/>
        <v>2.7796389718515214E-2</v>
      </c>
      <c r="Q1826">
        <f t="shared" si="481"/>
        <v>0.84709643688601421</v>
      </c>
      <c r="R1826">
        <f t="shared" si="482"/>
        <v>1</v>
      </c>
      <c r="AG1826" s="8">
        <f t="shared" si="488"/>
        <v>0.77655530622708602</v>
      </c>
      <c r="AH1826" s="8">
        <f t="shared" si="489"/>
        <v>0.26525939599059412</v>
      </c>
      <c r="AI1826" s="8">
        <f t="shared" si="490"/>
        <v>0.57148867811117832</v>
      </c>
      <c r="AJ1826" s="8"/>
      <c r="AK1826" s="8"/>
      <c r="AL1826" s="8"/>
      <c r="AN1826" s="8">
        <f t="shared" si="483"/>
        <v>1.0000000000000002</v>
      </c>
      <c r="AO1826" s="8">
        <f t="shared" si="484"/>
        <v>0.3291582936555475</v>
      </c>
      <c r="AP1826" s="8">
        <f t="shared" si="485"/>
        <v>0.96247750340394567</v>
      </c>
      <c r="AQ1826" s="8"/>
      <c r="AR1826" s="8">
        <f t="shared" si="486"/>
        <v>18.859381018190653</v>
      </c>
      <c r="AS1826" s="8">
        <f t="shared" si="487"/>
        <v>34.854101178665587</v>
      </c>
    </row>
    <row r="1827" spans="1:45">
      <c r="A1827" s="20">
        <v>64.69796667</v>
      </c>
      <c r="B1827" s="20">
        <v>1899.886432</v>
      </c>
      <c r="C1827" s="20">
        <v>-491.1873746</v>
      </c>
      <c r="E1827" s="9">
        <f t="shared" si="476"/>
        <v>939.88643200000001</v>
      </c>
      <c r="F1827" s="9">
        <f t="shared" si="491"/>
        <v>48.812625400000002</v>
      </c>
      <c r="I1827">
        <v>1</v>
      </c>
      <c r="J1827">
        <f t="shared" si="477"/>
        <v>0.56057137885663255</v>
      </c>
      <c r="K1827">
        <f t="shared" si="478"/>
        <v>5.1887982183134354E-2</v>
      </c>
      <c r="O1827">
        <f t="shared" si="479"/>
        <v>0.53095465088380278</v>
      </c>
      <c r="P1827">
        <f t="shared" si="480"/>
        <v>2.7574917134221215E-2</v>
      </c>
      <c r="Q1827">
        <f t="shared" si="481"/>
        <v>0.84695146416421052</v>
      </c>
      <c r="R1827">
        <f t="shared" si="482"/>
        <v>1</v>
      </c>
      <c r="AG1827" s="8">
        <f t="shared" si="488"/>
        <v>0.7766610861525669</v>
      </c>
      <c r="AH1827" s="8">
        <f t="shared" si="489"/>
        <v>0.26549250302798194</v>
      </c>
      <c r="AI1827" s="8">
        <f t="shared" si="490"/>
        <v>0.57123663055887108</v>
      </c>
      <c r="AJ1827" s="8"/>
      <c r="AK1827" s="8"/>
      <c r="AL1827" s="8"/>
      <c r="AN1827" s="8">
        <f t="shared" si="483"/>
        <v>1</v>
      </c>
      <c r="AO1827" s="8">
        <f t="shared" si="484"/>
        <v>0.32938539275107309</v>
      </c>
      <c r="AP1827" s="8">
        <f t="shared" si="485"/>
        <v>0.96278461716127706</v>
      </c>
      <c r="AQ1827" s="8"/>
      <c r="AR1827" s="8">
        <f t="shared" si="486"/>
        <v>18.872392837895507</v>
      </c>
      <c r="AS1827" s="8">
        <f t="shared" si="487"/>
        <v>34.836504856540095</v>
      </c>
    </row>
    <row r="1828" spans="1:45">
      <c r="A1828" s="20">
        <v>64.731333329999998</v>
      </c>
      <c r="B1828" s="20">
        <v>1900.1995649999999</v>
      </c>
      <c r="C1828" s="20">
        <v>-491.32826979999999</v>
      </c>
      <c r="E1828" s="9">
        <f t="shared" si="476"/>
        <v>940.19956499999989</v>
      </c>
      <c r="F1828" s="9">
        <f t="shared" si="491"/>
        <v>48.671730200000013</v>
      </c>
      <c r="I1828">
        <v>1</v>
      </c>
      <c r="J1828">
        <f t="shared" si="477"/>
        <v>0.56071880876709057</v>
      </c>
      <c r="K1828">
        <f t="shared" si="478"/>
        <v>5.1721276887220231E-2</v>
      </c>
      <c r="O1828">
        <f t="shared" si="479"/>
        <v>0.53108393362176498</v>
      </c>
      <c r="P1828">
        <f t="shared" si="480"/>
        <v>2.7492858849379777E-2</v>
      </c>
      <c r="Q1828">
        <f t="shared" si="481"/>
        <v>0.84687307086783714</v>
      </c>
      <c r="R1828">
        <f t="shared" si="482"/>
        <v>1</v>
      </c>
      <c r="AG1828" s="8">
        <f t="shared" si="488"/>
        <v>0.77669506010593858</v>
      </c>
      <c r="AH1828" s="8">
        <f t="shared" si="489"/>
        <v>0.26562296836733301</v>
      </c>
      <c r="AI1828" s="8">
        <f t="shared" si="490"/>
        <v>0.57112977709340218</v>
      </c>
      <c r="AJ1828" s="8"/>
      <c r="AK1828" s="8"/>
      <c r="AL1828" s="8"/>
      <c r="AN1828" s="8">
        <f t="shared" si="483"/>
        <v>1</v>
      </c>
      <c r="AO1828" s="8">
        <f t="shared" si="484"/>
        <v>0.32952239840283848</v>
      </c>
      <c r="AP1828" s="8">
        <f t="shared" si="485"/>
        <v>0.96291479567378291</v>
      </c>
      <c r="AQ1828" s="8"/>
      <c r="AR1828" s="8">
        <f t="shared" si="486"/>
        <v>18.880242683511103</v>
      </c>
      <c r="AS1828" s="8">
        <f t="shared" si="487"/>
        <v>34.829046177190222</v>
      </c>
    </row>
    <row r="1829" spans="1:45">
      <c r="A1829" s="20">
        <v>64.764700000000005</v>
      </c>
      <c r="B1829" s="20">
        <v>1901.024979</v>
      </c>
      <c r="C1829" s="20">
        <v>-491.8402337</v>
      </c>
      <c r="E1829" s="9">
        <f t="shared" si="476"/>
        <v>941.02497900000003</v>
      </c>
      <c r="F1829" s="9">
        <f t="shared" si="491"/>
        <v>48.159766300000001</v>
      </c>
      <c r="I1829">
        <v>1</v>
      </c>
      <c r="J1829">
        <f t="shared" si="477"/>
        <v>0.56110389239647207</v>
      </c>
      <c r="K1829">
        <f t="shared" si="478"/>
        <v>5.1133377812108013E-2</v>
      </c>
      <c r="O1829">
        <f t="shared" si="479"/>
        <v>0.53142565619510129</v>
      </c>
      <c r="P1829">
        <f t="shared" si="480"/>
        <v>2.7197296542943547E-2</v>
      </c>
      <c r="Q1829">
        <f t="shared" si="481"/>
        <v>0.8466682225041644</v>
      </c>
      <c r="R1829">
        <f t="shared" si="482"/>
        <v>1</v>
      </c>
      <c r="AG1829" s="8">
        <f t="shared" si="488"/>
        <v>0.77683365113933123</v>
      </c>
      <c r="AH1829" s="8">
        <f t="shared" si="489"/>
        <v>0.26595389619315402</v>
      </c>
      <c r="AI1829" s="8">
        <f t="shared" si="490"/>
        <v>0.57078717886548302</v>
      </c>
      <c r="AJ1829" s="8"/>
      <c r="AK1829" s="8"/>
      <c r="AL1829" s="8"/>
      <c r="AN1829" s="8">
        <f t="shared" si="483"/>
        <v>1</v>
      </c>
      <c r="AO1829" s="8">
        <f t="shared" si="484"/>
        <v>0.32984912684829754</v>
      </c>
      <c r="AP1829" s="8">
        <f t="shared" si="485"/>
        <v>0.96333210020890492</v>
      </c>
      <c r="AQ1829" s="8"/>
      <c r="AR1829" s="8">
        <f t="shared" si="486"/>
        <v>18.898962844482778</v>
      </c>
      <c r="AS1829" s="8">
        <f t="shared" si="487"/>
        <v>34.805136388556058</v>
      </c>
    </row>
    <row r="1830" spans="1:45">
      <c r="A1830" s="20">
        <v>64.798066669999997</v>
      </c>
      <c r="B1830" s="20">
        <v>1901.268955</v>
      </c>
      <c r="C1830" s="20">
        <v>-491.88559170000002</v>
      </c>
      <c r="E1830" s="9">
        <f t="shared" si="476"/>
        <v>941.26895500000001</v>
      </c>
      <c r="F1830" s="9">
        <f t="shared" si="491"/>
        <v>48.11440829999998</v>
      </c>
      <c r="I1830">
        <v>1</v>
      </c>
      <c r="J1830">
        <f t="shared" si="477"/>
        <v>0.56122031703058661</v>
      </c>
      <c r="K1830">
        <f t="shared" si="478"/>
        <v>5.107208473244261E-2</v>
      </c>
      <c r="O1830">
        <f t="shared" si="479"/>
        <v>0.53152576311011712</v>
      </c>
      <c r="P1830">
        <f t="shared" si="480"/>
        <v>2.7169755734958074E-2</v>
      </c>
      <c r="Q1830">
        <f t="shared" si="481"/>
        <v>0.84660626475564804</v>
      </c>
      <c r="R1830">
        <f t="shared" si="482"/>
        <v>1</v>
      </c>
      <c r="AG1830" s="8">
        <f t="shared" si="488"/>
        <v>0.77683750227037596</v>
      </c>
      <c r="AH1830" s="8">
        <f t="shared" si="489"/>
        <v>0.26606133889849687</v>
      </c>
      <c r="AI1830" s="8">
        <f t="shared" si="490"/>
        <v>0.57073186262014763</v>
      </c>
      <c r="AJ1830" s="8"/>
      <c r="AK1830" s="8"/>
      <c r="AL1830" s="8"/>
      <c r="AN1830" s="8">
        <f t="shared" si="483"/>
        <v>1.0000000000000002</v>
      </c>
      <c r="AO1830" s="8">
        <f t="shared" si="484"/>
        <v>0.32997140033021038</v>
      </c>
      <c r="AP1830" s="8">
        <f t="shared" si="485"/>
        <v>0.96339946725554759</v>
      </c>
      <c r="AQ1830" s="8"/>
      <c r="AR1830" s="8">
        <f t="shared" si="486"/>
        <v>18.905968598942753</v>
      </c>
      <c r="AS1830" s="8">
        <f t="shared" si="487"/>
        <v>34.801276541105175</v>
      </c>
    </row>
    <row r="1831" spans="1:45">
      <c r="A1831" s="20">
        <v>64.831433329999996</v>
      </c>
      <c r="B1831" s="20">
        <v>1901.6121049999999</v>
      </c>
      <c r="C1831" s="20">
        <v>-491.98465090000002</v>
      </c>
      <c r="E1831" s="9">
        <f t="shared" si="476"/>
        <v>941.61210499999993</v>
      </c>
      <c r="F1831" s="9">
        <f t="shared" si="491"/>
        <v>48.01534909999998</v>
      </c>
      <c r="I1831">
        <v>1</v>
      </c>
      <c r="J1831">
        <f t="shared" si="477"/>
        <v>0.5613831752990166</v>
      </c>
      <c r="K1831">
        <f t="shared" si="478"/>
        <v>5.0948576652502131E-2</v>
      </c>
      <c r="O1831">
        <f t="shared" si="479"/>
        <v>0.53166680561264623</v>
      </c>
      <c r="P1831">
        <f t="shared" si="480"/>
        <v>2.711112903160165E-2</v>
      </c>
      <c r="Q1831">
        <f t="shared" si="481"/>
        <v>0.84651957714649251</v>
      </c>
      <c r="R1831">
        <f t="shared" si="482"/>
        <v>1</v>
      </c>
      <c r="AG1831" s="8">
        <f t="shared" si="488"/>
        <v>0.77685523141682988</v>
      </c>
      <c r="AH1831" s="8">
        <f t="shared" si="489"/>
        <v>0.26620920585789565</v>
      </c>
      <c r="AI1831" s="8">
        <f t="shared" si="490"/>
        <v>0.57063877202378388</v>
      </c>
      <c r="AJ1831" s="8"/>
      <c r="AK1831" s="8"/>
      <c r="AL1831" s="8"/>
      <c r="AN1831" s="8">
        <f t="shared" si="483"/>
        <v>0.99999999999999978</v>
      </c>
      <c r="AO1831" s="8">
        <f t="shared" si="484"/>
        <v>0.33013475280823246</v>
      </c>
      <c r="AP1831" s="8">
        <f t="shared" si="485"/>
        <v>0.96351283078277761</v>
      </c>
      <c r="AQ1831" s="8"/>
      <c r="AR1831" s="8">
        <f t="shared" si="486"/>
        <v>18.915328006506421</v>
      </c>
      <c r="AS1831" s="8">
        <f t="shared" si="487"/>
        <v>34.794781289444174</v>
      </c>
    </row>
    <row r="1832" spans="1:45">
      <c r="A1832" s="20">
        <v>64.864800000000002</v>
      </c>
      <c r="B1832" s="20">
        <v>1902.1529230000001</v>
      </c>
      <c r="C1832" s="20">
        <v>-492.12425000000002</v>
      </c>
      <c r="E1832" s="9">
        <f t="shared" si="476"/>
        <v>942.1529230000001</v>
      </c>
      <c r="F1832" s="9">
        <f t="shared" si="491"/>
        <v>47.875749999999982</v>
      </c>
      <c r="I1832">
        <v>1</v>
      </c>
      <c r="J1832">
        <f t="shared" si="477"/>
        <v>0.56164019799626408</v>
      </c>
      <c r="K1832">
        <f t="shared" si="478"/>
        <v>5.0771593917593567E-2</v>
      </c>
      <c r="O1832">
        <f t="shared" si="479"/>
        <v>0.53188887230209048</v>
      </c>
      <c r="P1832">
        <f t="shared" si="480"/>
        <v>2.7028073740972509E-2</v>
      </c>
      <c r="Q1832">
        <f t="shared" si="481"/>
        <v>0.84638272120304014</v>
      </c>
      <c r="R1832">
        <f t="shared" si="482"/>
        <v>1</v>
      </c>
      <c r="AG1832" s="8">
        <f t="shared" si="488"/>
        <v>0.77687734098830397</v>
      </c>
      <c r="AH1832" s="8">
        <f t="shared" si="489"/>
        <v>0.2664436803584801</v>
      </c>
      <c r="AI1832" s="8">
        <f t="shared" si="490"/>
        <v>0.57049922195912839</v>
      </c>
      <c r="AJ1832" s="8"/>
      <c r="AK1832" s="8"/>
      <c r="AL1832" s="8"/>
      <c r="AN1832" s="8">
        <f t="shared" si="483"/>
        <v>1.0000000000000002</v>
      </c>
      <c r="AO1832" s="8">
        <f t="shared" si="484"/>
        <v>0.33039610162425453</v>
      </c>
      <c r="AP1832" s="8">
        <f t="shared" si="485"/>
        <v>0.96368275482688692</v>
      </c>
      <c r="AQ1832" s="8"/>
      <c r="AR1832" s="8">
        <f t="shared" si="486"/>
        <v>18.930302190645229</v>
      </c>
      <c r="AS1832" s="8">
        <f t="shared" si="487"/>
        <v>34.785045358878918</v>
      </c>
    </row>
    <row r="1833" spans="1:45">
      <c r="A1833" s="20">
        <v>64.898166669999995</v>
      </c>
      <c r="B1833" s="20">
        <v>1902.3475390000001</v>
      </c>
      <c r="C1833" s="20">
        <v>-492.2802681</v>
      </c>
      <c r="E1833" s="9">
        <f t="shared" si="476"/>
        <v>942.3475390000001</v>
      </c>
      <c r="F1833" s="9">
        <f t="shared" si="491"/>
        <v>47.719731899999999</v>
      </c>
      <c r="I1833">
        <v>1</v>
      </c>
      <c r="J1833">
        <f t="shared" si="477"/>
        <v>0.56173009047174605</v>
      </c>
      <c r="K1833">
        <f t="shared" si="478"/>
        <v>5.0595988071591526E-2</v>
      </c>
      <c r="O1833">
        <f t="shared" si="479"/>
        <v>0.53196959431339175</v>
      </c>
      <c r="P1833">
        <f t="shared" si="480"/>
        <v>2.6938518294986304E-2</v>
      </c>
      <c r="Q1833">
        <f t="shared" si="481"/>
        <v>0.84633484328492359</v>
      </c>
      <c r="R1833">
        <f t="shared" si="482"/>
        <v>1</v>
      </c>
      <c r="AG1833" s="8">
        <f t="shared" si="488"/>
        <v>0.77692226158009836</v>
      </c>
      <c r="AH1833" s="8">
        <f t="shared" si="489"/>
        <v>0.26651838267286937</v>
      </c>
      <c r="AI1833" s="8">
        <f t="shared" si="490"/>
        <v>0.57040314792145308</v>
      </c>
      <c r="AJ1833" s="8"/>
      <c r="AK1833" s="8"/>
      <c r="AL1833" s="8"/>
      <c r="AN1833" s="8">
        <f t="shared" si="483"/>
        <v>0.99999999999999989</v>
      </c>
      <c r="AO1833" s="8">
        <f t="shared" si="484"/>
        <v>0.33046438908615083</v>
      </c>
      <c r="AP1833" s="8">
        <f t="shared" si="485"/>
        <v>0.96379972834720629</v>
      </c>
      <c r="AQ1833" s="8"/>
      <c r="AR1833" s="8">
        <f t="shared" si="486"/>
        <v>18.934214774005547</v>
      </c>
      <c r="AS1833" s="8">
        <f t="shared" si="487"/>
        <v>34.778343269849827</v>
      </c>
    </row>
    <row r="1834" spans="1:45">
      <c r="A1834" s="20">
        <v>64.931533329999993</v>
      </c>
      <c r="B1834" s="20">
        <v>1902.948056</v>
      </c>
      <c r="C1834" s="20">
        <v>-492.5084564</v>
      </c>
      <c r="E1834" s="9">
        <f t="shared" si="476"/>
        <v>942.94805599999995</v>
      </c>
      <c r="F1834" s="9">
        <f t="shared" si="491"/>
        <v>47.4915436</v>
      </c>
      <c r="I1834">
        <v>1</v>
      </c>
      <c r="J1834">
        <f t="shared" si="477"/>
        <v>0.56201361447306075</v>
      </c>
      <c r="K1834">
        <f t="shared" si="478"/>
        <v>5.0322441575409119E-2</v>
      </c>
      <c r="O1834">
        <f t="shared" si="479"/>
        <v>0.53221657444160475</v>
      </c>
      <c r="P1834">
        <f t="shared" si="480"/>
        <v>2.6805067881423277E-2</v>
      </c>
      <c r="Q1834">
        <f t="shared" si="481"/>
        <v>0.84618378986217657</v>
      </c>
      <c r="R1834">
        <f t="shared" si="482"/>
        <v>1</v>
      </c>
      <c r="AG1834" s="8">
        <f t="shared" si="488"/>
        <v>0.77697227263381174</v>
      </c>
      <c r="AH1834" s="8">
        <f t="shared" si="489"/>
        <v>0.26677191544191581</v>
      </c>
      <c r="AI1834" s="8">
        <f t="shared" si="490"/>
        <v>0.57021647879529147</v>
      </c>
      <c r="AJ1834" s="8"/>
      <c r="AK1834" s="8"/>
      <c r="AL1834" s="8"/>
      <c r="AN1834" s="8">
        <f t="shared" si="483"/>
        <v>1</v>
      </c>
      <c r="AO1834" s="8">
        <f t="shared" si="484"/>
        <v>0.33073655994599488</v>
      </c>
      <c r="AP1834" s="8">
        <f t="shared" si="485"/>
        <v>0.96402697741309817</v>
      </c>
      <c r="AQ1834" s="8"/>
      <c r="AR1834" s="8">
        <f t="shared" si="486"/>
        <v>18.949809015581057</v>
      </c>
      <c r="AS1834" s="8">
        <f t="shared" si="487"/>
        <v>34.765322857475937</v>
      </c>
    </row>
    <row r="1835" spans="1:45">
      <c r="A1835" s="20">
        <v>64.9649</v>
      </c>
      <c r="B1835" s="20">
        <v>1903.4313420000001</v>
      </c>
      <c r="C1835" s="20">
        <v>-492.72612789999999</v>
      </c>
      <c r="E1835" s="9">
        <f t="shared" si="476"/>
        <v>943.43134200000009</v>
      </c>
      <c r="F1835" s="9">
        <f t="shared" si="491"/>
        <v>47.273872100000006</v>
      </c>
      <c r="I1835">
        <v>1</v>
      </c>
      <c r="J1835">
        <f t="shared" si="477"/>
        <v>0.56224092142180415</v>
      </c>
      <c r="K1835">
        <f t="shared" si="478"/>
        <v>5.00665639780127E-2</v>
      </c>
      <c r="O1835">
        <f t="shared" si="479"/>
        <v>0.53241550451946407</v>
      </c>
      <c r="P1835">
        <f t="shared" si="480"/>
        <v>2.6678509971221752E-2</v>
      </c>
      <c r="Q1835">
        <f t="shared" si="481"/>
        <v>0.84606263813798088</v>
      </c>
      <c r="R1835">
        <f t="shared" si="482"/>
        <v>1</v>
      </c>
      <c r="AG1835" s="8">
        <f t="shared" si="488"/>
        <v>0.77702433934258908</v>
      </c>
      <c r="AH1835" s="8">
        <f t="shared" si="489"/>
        <v>0.26697276520674135</v>
      </c>
      <c r="AI1835" s="8">
        <f t="shared" si="490"/>
        <v>0.57005150531077386</v>
      </c>
      <c r="AJ1835" s="8"/>
      <c r="AK1835" s="8"/>
      <c r="AL1835" s="8"/>
      <c r="AN1835" s="8">
        <f t="shared" si="483"/>
        <v>1.0000000000000002</v>
      </c>
      <c r="AO1835" s="8">
        <f t="shared" si="484"/>
        <v>0.33094719088114966</v>
      </c>
      <c r="AP1835" s="8">
        <f t="shared" si="485"/>
        <v>0.96422778459404279</v>
      </c>
      <c r="AQ1835" s="8"/>
      <c r="AR1835" s="8">
        <f t="shared" si="486"/>
        <v>18.961877279200319</v>
      </c>
      <c r="AS1835" s="8">
        <f t="shared" si="487"/>
        <v>34.753817453511886</v>
      </c>
    </row>
    <row r="1836" spans="1:45">
      <c r="A1836" s="20">
        <v>64.998266670000007</v>
      </c>
      <c r="B1836" s="20">
        <v>1904.0450960000001</v>
      </c>
      <c r="C1836" s="20">
        <v>-493.08572980000002</v>
      </c>
      <c r="E1836" s="9">
        <f t="shared" si="476"/>
        <v>944.04509600000006</v>
      </c>
      <c r="F1836" s="9">
        <f t="shared" si="491"/>
        <v>46.914270199999976</v>
      </c>
      <c r="I1836">
        <v>1</v>
      </c>
      <c r="J1836">
        <f t="shared" si="477"/>
        <v>0.5625275530090873</v>
      </c>
      <c r="K1836">
        <f t="shared" si="478"/>
        <v>4.9654097974947221E-2</v>
      </c>
      <c r="O1836">
        <f t="shared" si="479"/>
        <v>0.53266865071598746</v>
      </c>
      <c r="P1836">
        <f t="shared" si="480"/>
        <v>2.6470939908107147E-2</v>
      </c>
      <c r="Q1836">
        <f t="shared" si="481"/>
        <v>0.84590980481656008</v>
      </c>
      <c r="R1836">
        <f t="shared" si="482"/>
        <v>1</v>
      </c>
      <c r="AG1836" s="8">
        <f t="shared" si="488"/>
        <v>0.77711940581570582</v>
      </c>
      <c r="AH1836" s="8">
        <f t="shared" si="489"/>
        <v>0.26722013899532493</v>
      </c>
      <c r="AI1836" s="8">
        <f t="shared" si="490"/>
        <v>0.56980595505835463</v>
      </c>
      <c r="AJ1836" s="8"/>
      <c r="AK1836" s="8"/>
      <c r="AL1836" s="8"/>
      <c r="AN1836" s="8">
        <f t="shared" si="483"/>
        <v>1.0000000000000002</v>
      </c>
      <c r="AO1836" s="8">
        <f t="shared" si="484"/>
        <v>0.33119428794774514</v>
      </c>
      <c r="AP1836" s="8">
        <f t="shared" si="485"/>
        <v>0.96452661872930789</v>
      </c>
      <c r="AQ1836" s="8"/>
      <c r="AR1836" s="8">
        <f t="shared" si="486"/>
        <v>18.976034898246304</v>
      </c>
      <c r="AS1836" s="8">
        <f t="shared" si="487"/>
        <v>34.736695518786753</v>
      </c>
    </row>
    <row r="1837" spans="1:45">
      <c r="A1837" s="20">
        <v>65.031633330000005</v>
      </c>
      <c r="B1837" s="20">
        <v>1904.647005</v>
      </c>
      <c r="C1837" s="20">
        <v>-493.4456399</v>
      </c>
      <c r="E1837" s="9">
        <f t="shared" si="476"/>
        <v>944.64700500000004</v>
      </c>
      <c r="F1837" s="9">
        <f t="shared" si="491"/>
        <v>46.554360099999997</v>
      </c>
      <c r="I1837">
        <v>1</v>
      </c>
      <c r="J1837">
        <f t="shared" si="477"/>
        <v>0.5628084571348303</v>
      </c>
      <c r="K1837">
        <f t="shared" si="478"/>
        <v>4.9242442045792909E-2</v>
      </c>
      <c r="O1837">
        <f t="shared" si="479"/>
        <v>0.53291681300293348</v>
      </c>
      <c r="P1837">
        <f t="shared" si="480"/>
        <v>2.6263356666105055E-2</v>
      </c>
      <c r="Q1837">
        <f t="shared" si="481"/>
        <v>0.8457599579759173</v>
      </c>
      <c r="R1837">
        <f t="shared" si="482"/>
        <v>1</v>
      </c>
      <c r="AG1837" s="8">
        <f t="shared" si="488"/>
        <v>0.77721503694201177</v>
      </c>
      <c r="AH1837" s="8">
        <f t="shared" si="489"/>
        <v>0.26746195833178893</v>
      </c>
      <c r="AI1837" s="8">
        <f t="shared" si="490"/>
        <v>0.56956201347750668</v>
      </c>
      <c r="AJ1837" s="8"/>
      <c r="AK1837" s="8"/>
      <c r="AL1837" s="8"/>
      <c r="AN1837" s="8">
        <f t="shared" si="483"/>
        <v>0.99999999999999978</v>
      </c>
      <c r="AO1837" s="8">
        <f t="shared" si="484"/>
        <v>0.33143466917947384</v>
      </c>
      <c r="AP1837" s="8">
        <f t="shared" si="485"/>
        <v>0.9648234338142242</v>
      </c>
      <c r="AQ1837" s="8"/>
      <c r="AR1837" s="8">
        <f t="shared" si="486"/>
        <v>18.989807728298516</v>
      </c>
      <c r="AS1837" s="8">
        <f t="shared" si="487"/>
        <v>34.719689267125233</v>
      </c>
    </row>
    <row r="1838" spans="1:45">
      <c r="A1838" s="20">
        <v>65.064999999999998</v>
      </c>
      <c r="B1838" s="20">
        <v>1904.9948220000001</v>
      </c>
      <c r="C1838" s="20">
        <v>-493.60170419999997</v>
      </c>
      <c r="E1838" s="9">
        <f t="shared" si="476"/>
        <v>944.99482200000011</v>
      </c>
      <c r="F1838" s="9">
        <f t="shared" si="491"/>
        <v>46.398295800000028</v>
      </c>
      <c r="I1838">
        <v>1</v>
      </c>
      <c r="J1838">
        <f t="shared" si="477"/>
        <v>0.56297199453095448</v>
      </c>
      <c r="K1838">
        <f t="shared" si="478"/>
        <v>4.9059597215325768E-2</v>
      </c>
      <c r="O1838">
        <f t="shared" si="479"/>
        <v>0.53305974605191742</v>
      </c>
      <c r="P1838">
        <f t="shared" si="480"/>
        <v>2.6172697670495557E-2</v>
      </c>
      <c r="Q1838">
        <f t="shared" si="481"/>
        <v>0.84567268906812532</v>
      </c>
      <c r="R1838">
        <f t="shared" si="482"/>
        <v>1</v>
      </c>
      <c r="AG1838" s="8">
        <f t="shared" si="488"/>
        <v>0.77725212222597984</v>
      </c>
      <c r="AH1838" s="8">
        <f t="shared" si="489"/>
        <v>0.26760637936709564</v>
      </c>
      <c r="AI1838" s="8">
        <f t="shared" si="490"/>
        <v>0.56944355665618396</v>
      </c>
      <c r="AJ1838" s="8"/>
      <c r="AK1838" s="8"/>
      <c r="AL1838" s="8"/>
      <c r="AN1838" s="8">
        <f t="shared" si="483"/>
        <v>1</v>
      </c>
      <c r="AO1838" s="8">
        <f t="shared" si="484"/>
        <v>0.33158611562126944</v>
      </c>
      <c r="AP1838" s="8">
        <f t="shared" si="485"/>
        <v>0.96496754372758131</v>
      </c>
      <c r="AQ1838" s="8"/>
      <c r="AR1838" s="8">
        <f t="shared" si="486"/>
        <v>18.998484970235676</v>
      </c>
      <c r="AS1838" s="8">
        <f t="shared" si="487"/>
        <v>34.711432377303879</v>
      </c>
    </row>
    <row r="1839" spans="1:45">
      <c r="A1839" s="20">
        <v>65.098366670000004</v>
      </c>
      <c r="B1839" s="20">
        <v>1904.9552639999999</v>
      </c>
      <c r="C1839" s="20">
        <v>-494.18268399999999</v>
      </c>
      <c r="E1839" s="9">
        <f t="shared" si="476"/>
        <v>944.95526399999994</v>
      </c>
      <c r="F1839" s="9">
        <f t="shared" si="491"/>
        <v>45.817316000000005</v>
      </c>
      <c r="I1839">
        <v>1</v>
      </c>
      <c r="J1839">
        <f t="shared" si="477"/>
        <v>0.56293934796702583</v>
      </c>
      <c r="K1839">
        <f t="shared" si="478"/>
        <v>4.8448285447905019E-2</v>
      </c>
      <c r="O1839">
        <f t="shared" si="479"/>
        <v>0.53304806992992526</v>
      </c>
      <c r="P1839">
        <f t="shared" si="480"/>
        <v>2.5845490039166016E-2</v>
      </c>
      <c r="Q1839">
        <f t="shared" si="481"/>
        <v>0.8456901121501994</v>
      </c>
      <c r="R1839">
        <f t="shared" si="482"/>
        <v>1</v>
      </c>
      <c r="AG1839" s="8">
        <f t="shared" si="488"/>
        <v>0.77745681193240268</v>
      </c>
      <c r="AH1839" s="8">
        <f t="shared" si="489"/>
        <v>0.26753529794775754</v>
      </c>
      <c r="AI1839" s="8">
        <f t="shared" si="490"/>
        <v>0.56919747885238314</v>
      </c>
      <c r="AJ1839" s="8"/>
      <c r="AK1839" s="8"/>
      <c r="AL1839" s="8"/>
      <c r="AN1839" s="8">
        <f t="shared" si="483"/>
        <v>1</v>
      </c>
      <c r="AO1839" s="8">
        <f t="shared" si="484"/>
        <v>0.33142332723693774</v>
      </c>
      <c r="AP1839" s="8">
        <f t="shared" si="485"/>
        <v>0.9652668663410513</v>
      </c>
      <c r="AQ1839" s="8"/>
      <c r="AR1839" s="8">
        <f t="shared" si="486"/>
        <v>18.989157882859715</v>
      </c>
      <c r="AS1839" s="8">
        <f t="shared" si="487"/>
        <v>34.694282454839218</v>
      </c>
    </row>
    <row r="1840" spans="1:45">
      <c r="A1840" s="20">
        <v>65.131733330000003</v>
      </c>
      <c r="B1840" s="20">
        <v>1905.266216</v>
      </c>
      <c r="C1840" s="20">
        <v>-494.26224689999998</v>
      </c>
      <c r="E1840" s="9">
        <f t="shared" si="476"/>
        <v>945.26621599999999</v>
      </c>
      <c r="F1840" s="9">
        <f t="shared" si="491"/>
        <v>45.73775310000002</v>
      </c>
      <c r="I1840">
        <v>1</v>
      </c>
      <c r="J1840">
        <f t="shared" si="477"/>
        <v>0.56308698192080586</v>
      </c>
      <c r="K1840">
        <f t="shared" si="478"/>
        <v>4.8348400064718244E-2</v>
      </c>
      <c r="O1840">
        <f t="shared" si="479"/>
        <v>0.53317534972555591</v>
      </c>
      <c r="P1840">
        <f t="shared" si="480"/>
        <v>2.5798279989257159E-2</v>
      </c>
      <c r="Q1840">
        <f t="shared" si="481"/>
        <v>0.84561131449066307</v>
      </c>
      <c r="R1840">
        <f t="shared" si="482"/>
        <v>1</v>
      </c>
      <c r="AG1840" s="8">
        <f t="shared" si="488"/>
        <v>0.77746898717353385</v>
      </c>
      <c r="AH1840" s="8">
        <f t="shared" si="489"/>
        <v>0.2676698571552365</v>
      </c>
      <c r="AI1840" s="8">
        <f t="shared" si="490"/>
        <v>0.56911758148369918</v>
      </c>
      <c r="AJ1840" s="8"/>
      <c r="AK1840" s="8"/>
      <c r="AL1840" s="8"/>
      <c r="AN1840" s="8">
        <f t="shared" si="483"/>
        <v>1.0000000000000002</v>
      </c>
      <c r="AO1840" s="8">
        <f t="shared" si="484"/>
        <v>0.33157324989268822</v>
      </c>
      <c r="AP1840" s="8">
        <f t="shared" si="485"/>
        <v>0.96536403807467763</v>
      </c>
      <c r="AQ1840" s="8"/>
      <c r="AR1840" s="8">
        <f t="shared" si="486"/>
        <v>18.99774781828761</v>
      </c>
      <c r="AS1840" s="8">
        <f t="shared" si="487"/>
        <v>34.688714924614459</v>
      </c>
    </row>
    <row r="1841" spans="1:45">
      <c r="A1841" s="20">
        <v>65.165099999999995</v>
      </c>
      <c r="B1841" s="20">
        <v>1905.9557540000001</v>
      </c>
      <c r="C1841" s="20">
        <v>-494.36715349999997</v>
      </c>
      <c r="E1841" s="9">
        <f t="shared" si="476"/>
        <v>945.95575400000007</v>
      </c>
      <c r="F1841" s="9">
        <f t="shared" si="491"/>
        <v>45.632846500000028</v>
      </c>
      <c r="I1841">
        <v>1</v>
      </c>
      <c r="J1841">
        <f t="shared" si="477"/>
        <v>0.56341593731401152</v>
      </c>
      <c r="K1841">
        <f t="shared" si="478"/>
        <v>4.8202570128594344E-2</v>
      </c>
      <c r="O1841">
        <f t="shared" si="479"/>
        <v>0.53345692266919098</v>
      </c>
      <c r="P1841">
        <f t="shared" si="480"/>
        <v>2.5733928636291772E-2</v>
      </c>
      <c r="Q1841">
        <f t="shared" si="481"/>
        <v>0.84543567264059716</v>
      </c>
      <c r="R1841">
        <f t="shared" si="482"/>
        <v>1</v>
      </c>
      <c r="AG1841" s="8">
        <f t="shared" si="488"/>
        <v>0.77747097033973378</v>
      </c>
      <c r="AH1841" s="8">
        <f t="shared" si="489"/>
        <v>0.26797466178447193</v>
      </c>
      <c r="AI1841" s="8">
        <f t="shared" si="490"/>
        <v>0.56897141485358538</v>
      </c>
      <c r="AJ1841" s="8"/>
      <c r="AK1841" s="8"/>
      <c r="AL1841" s="8"/>
      <c r="AN1841" s="8">
        <f t="shared" si="483"/>
        <v>1</v>
      </c>
      <c r="AO1841" s="8">
        <f t="shared" si="484"/>
        <v>0.33192292364535708</v>
      </c>
      <c r="AP1841" s="8">
        <f t="shared" si="485"/>
        <v>0.96554179003164531</v>
      </c>
      <c r="AQ1841" s="8"/>
      <c r="AR1841" s="8">
        <f t="shared" si="486"/>
        <v>19.01778264852204</v>
      </c>
      <c r="AS1841" s="8">
        <f t="shared" si="487"/>
        <v>34.678530487680021</v>
      </c>
    </row>
    <row r="1842" spans="1:45">
      <c r="A1842" s="20">
        <v>65.198466670000002</v>
      </c>
      <c r="B1842" s="20">
        <v>1906.397432</v>
      </c>
      <c r="C1842" s="20">
        <v>-494.4374019</v>
      </c>
      <c r="E1842" s="9">
        <f t="shared" si="476"/>
        <v>946.39743199999998</v>
      </c>
      <c r="F1842" s="9">
        <f t="shared" si="491"/>
        <v>45.562598100000002</v>
      </c>
      <c r="I1842">
        <v>1</v>
      </c>
      <c r="J1842">
        <f t="shared" si="477"/>
        <v>0.56362651086596871</v>
      </c>
      <c r="K1842">
        <f t="shared" si="478"/>
        <v>4.8106053824744713E-2</v>
      </c>
      <c r="O1842">
        <f t="shared" si="479"/>
        <v>0.53363721253834484</v>
      </c>
      <c r="P1842">
        <f t="shared" si="480"/>
        <v>2.5691001501036287E-2</v>
      </c>
      <c r="Q1842">
        <f t="shared" si="481"/>
        <v>0.84532319135120104</v>
      </c>
      <c r="R1842">
        <f t="shared" si="482"/>
        <v>1</v>
      </c>
      <c r="AG1842" s="8">
        <f t="shared" si="488"/>
        <v>0.77747325749547902</v>
      </c>
      <c r="AH1842" s="8">
        <f t="shared" si="489"/>
        <v>0.26816954181298824</v>
      </c>
      <c r="AI1842" s="8">
        <f t="shared" si="490"/>
        <v>0.5688764634990453</v>
      </c>
      <c r="AJ1842" s="8"/>
      <c r="AK1842" s="8"/>
      <c r="AL1842" s="8"/>
      <c r="AN1842" s="8">
        <f t="shared" si="483"/>
        <v>1.0000000000000002</v>
      </c>
      <c r="AO1842" s="8">
        <f t="shared" si="484"/>
        <v>0.3321460420341269</v>
      </c>
      <c r="AP1842" s="8">
        <f t="shared" si="485"/>
        <v>0.96565724782888074</v>
      </c>
      <c r="AQ1842" s="8"/>
      <c r="AR1842" s="8">
        <f t="shared" si="486"/>
        <v>19.030566390530307</v>
      </c>
      <c r="AS1842" s="8">
        <f t="shared" si="487"/>
        <v>34.671915243186554</v>
      </c>
    </row>
    <row r="1843" spans="1:45">
      <c r="A1843" s="20">
        <v>65.231833330000001</v>
      </c>
      <c r="B1843" s="20">
        <v>1907.096818</v>
      </c>
      <c r="C1843" s="20">
        <v>-494.67350540000001</v>
      </c>
      <c r="E1843" s="9">
        <f t="shared" si="476"/>
        <v>947.09681799999998</v>
      </c>
      <c r="F1843" s="9">
        <f t="shared" si="491"/>
        <v>45.32649459999999</v>
      </c>
      <c r="I1843">
        <v>1</v>
      </c>
      <c r="J1843">
        <f t="shared" si="477"/>
        <v>0.56395697112983756</v>
      </c>
      <c r="K1843">
        <f t="shared" si="478"/>
        <v>4.7821865323406106E-2</v>
      </c>
      <c r="O1843">
        <f t="shared" si="479"/>
        <v>0.53392348929679823</v>
      </c>
      <c r="P1843">
        <f t="shared" si="480"/>
        <v>2.5552699253630552E-2</v>
      </c>
      <c r="Q1843">
        <f t="shared" si="481"/>
        <v>0.84514659505791379</v>
      </c>
      <c r="R1843">
        <f t="shared" si="482"/>
        <v>1</v>
      </c>
      <c r="AG1843" s="8">
        <f t="shared" si="488"/>
        <v>0.77752032133270121</v>
      </c>
      <c r="AH1843" s="8">
        <f t="shared" si="489"/>
        <v>0.26846660129659827</v>
      </c>
      <c r="AI1843" s="8">
        <f t="shared" si="490"/>
        <v>0.56867199148801628</v>
      </c>
      <c r="AJ1843" s="8"/>
      <c r="AK1843" s="8"/>
      <c r="AL1843" s="8"/>
      <c r="AN1843" s="8">
        <f t="shared" si="483"/>
        <v>1</v>
      </c>
      <c r="AO1843" s="8">
        <f t="shared" si="484"/>
        <v>0.33246878565189897</v>
      </c>
      <c r="AP1843" s="8">
        <f t="shared" si="485"/>
        <v>0.96590584792585454</v>
      </c>
      <c r="AQ1843" s="8"/>
      <c r="AR1843" s="8">
        <f t="shared" si="486"/>
        <v>19.04905823769343</v>
      </c>
      <c r="AS1843" s="8">
        <f t="shared" si="487"/>
        <v>34.657671506843414</v>
      </c>
    </row>
    <row r="1844" spans="1:45">
      <c r="A1844" s="20">
        <v>65.265199999999993</v>
      </c>
      <c r="B1844" s="20">
        <v>1907.4064499999999</v>
      </c>
      <c r="C1844" s="20">
        <v>-494.76540779999999</v>
      </c>
      <c r="E1844" s="9">
        <f t="shared" si="476"/>
        <v>947.40644999999995</v>
      </c>
      <c r="F1844" s="9">
        <f t="shared" si="491"/>
        <v>45.234592200000009</v>
      </c>
      <c r="I1844">
        <v>1</v>
      </c>
      <c r="J1844">
        <f t="shared" si="477"/>
        <v>0.56410353011736003</v>
      </c>
      <c r="K1844">
        <f t="shared" si="478"/>
        <v>4.7709476841356901E-2</v>
      </c>
      <c r="O1844">
        <f t="shared" si="479"/>
        <v>0.53405007490609924</v>
      </c>
      <c r="P1844">
        <f t="shared" si="480"/>
        <v>2.5498599204973594E-2</v>
      </c>
      <c r="Q1844">
        <f t="shared" si="481"/>
        <v>0.84506824513253009</v>
      </c>
      <c r="R1844">
        <f t="shared" si="482"/>
        <v>1</v>
      </c>
      <c r="AG1844" s="8">
        <f t="shared" si="488"/>
        <v>0.77753671940210012</v>
      </c>
      <c r="AH1844" s="8">
        <f t="shared" si="489"/>
        <v>0.26859921759319449</v>
      </c>
      <c r="AI1844" s="8">
        <f t="shared" si="490"/>
        <v>0.56858694171581503</v>
      </c>
      <c r="AJ1844" s="8"/>
      <c r="AK1844" s="8"/>
      <c r="AL1844" s="8"/>
      <c r="AN1844" s="8">
        <f t="shared" si="483"/>
        <v>1</v>
      </c>
      <c r="AO1844" s="8">
        <f t="shared" si="484"/>
        <v>0.3326146631312491</v>
      </c>
      <c r="AP1844" s="8">
        <f t="shared" si="485"/>
        <v>0.96600924011551625</v>
      </c>
      <c r="AQ1844" s="8"/>
      <c r="AR1844" s="8">
        <f t="shared" si="486"/>
        <v>19.057416401586199</v>
      </c>
      <c r="AS1844" s="8">
        <f t="shared" si="487"/>
        <v>34.651747570741179</v>
      </c>
    </row>
    <row r="1845" spans="1:45">
      <c r="A1845" s="20">
        <v>65.29856667</v>
      </c>
      <c r="B1845" s="20">
        <v>1907.5225499999999</v>
      </c>
      <c r="C1845" s="20">
        <v>-494.89924550000001</v>
      </c>
      <c r="E1845" s="9">
        <f t="shared" si="476"/>
        <v>947.52254999999991</v>
      </c>
      <c r="F1845" s="9">
        <f t="shared" si="491"/>
        <v>45.100754499999994</v>
      </c>
      <c r="I1845">
        <v>1</v>
      </c>
      <c r="J1845">
        <f t="shared" si="477"/>
        <v>0.56415620528098653</v>
      </c>
      <c r="K1845">
        <f t="shared" si="478"/>
        <v>4.7562709956789427E-2</v>
      </c>
      <c r="O1845">
        <f t="shared" si="479"/>
        <v>0.53409827453067948</v>
      </c>
      <c r="P1845">
        <f t="shared" si="480"/>
        <v>2.542233444310299E-2</v>
      </c>
      <c r="Q1845">
        <f t="shared" si="481"/>
        <v>0.84504008073866765</v>
      </c>
      <c r="R1845">
        <f t="shared" si="482"/>
        <v>1</v>
      </c>
      <c r="AG1845" s="8">
        <f t="shared" si="488"/>
        <v>0.77757748668738091</v>
      </c>
      <c r="AH1845" s="8">
        <f t="shared" si="489"/>
        <v>0.26863986368561721</v>
      </c>
      <c r="AI1845" s="8">
        <f t="shared" si="490"/>
        <v>0.56851198389823676</v>
      </c>
      <c r="AJ1845" s="8"/>
      <c r="AK1845" s="8"/>
      <c r="AL1845" s="8"/>
      <c r="AN1845" s="8">
        <f t="shared" si="483"/>
        <v>1</v>
      </c>
      <c r="AO1845" s="8">
        <f t="shared" si="484"/>
        <v>0.33264518211533922</v>
      </c>
      <c r="AP1845" s="8">
        <f t="shared" si="485"/>
        <v>0.96610035772506619</v>
      </c>
      <c r="AQ1845" s="8"/>
      <c r="AR1845" s="8">
        <f t="shared" si="486"/>
        <v>19.05916501056959</v>
      </c>
      <c r="AS1845" s="8">
        <f t="shared" si="487"/>
        <v>34.646526916274652</v>
      </c>
    </row>
    <row r="1846" spans="1:45">
      <c r="A1846" s="20">
        <v>65.331933329999998</v>
      </c>
      <c r="B1846" s="20">
        <v>1908.111128</v>
      </c>
      <c r="C1846" s="20">
        <v>-495.4657947</v>
      </c>
      <c r="E1846" s="9">
        <f t="shared" si="476"/>
        <v>948.11112800000001</v>
      </c>
      <c r="F1846" s="9">
        <f t="shared" si="491"/>
        <v>44.534205299999996</v>
      </c>
      <c r="I1846">
        <v>1</v>
      </c>
      <c r="J1846">
        <f t="shared" si="477"/>
        <v>0.56442586443850362</v>
      </c>
      <c r="K1846">
        <f t="shared" si="478"/>
        <v>4.6937004541831105E-2</v>
      </c>
      <c r="O1846">
        <f t="shared" si="479"/>
        <v>0.53434167927924181</v>
      </c>
      <c r="P1846">
        <f t="shared" si="480"/>
        <v>2.5098832133281859E-2</v>
      </c>
      <c r="Q1846">
        <f t="shared" si="481"/>
        <v>0.84489586246506454</v>
      </c>
      <c r="R1846">
        <f t="shared" si="482"/>
        <v>1</v>
      </c>
      <c r="AG1846" s="8">
        <f t="shared" si="488"/>
        <v>0.77774503190551392</v>
      </c>
      <c r="AH1846" s="8">
        <f t="shared" si="489"/>
        <v>0.26885606925220273</v>
      </c>
      <c r="AI1846" s="8">
        <f t="shared" si="490"/>
        <v>0.56818049893721811</v>
      </c>
      <c r="AJ1846" s="8"/>
      <c r="AK1846" s="8"/>
      <c r="AL1846" s="8"/>
      <c r="AN1846" s="8">
        <f t="shared" si="483"/>
        <v>1.0000000000000002</v>
      </c>
      <c r="AO1846" s="8">
        <f t="shared" si="484"/>
        <v>0.33282702914666712</v>
      </c>
      <c r="AP1846" s="8">
        <f t="shared" si="485"/>
        <v>0.9665032371605371</v>
      </c>
      <c r="AQ1846" s="8"/>
      <c r="AR1846" s="8">
        <f t="shared" si="486"/>
        <v>19.069584077981663</v>
      </c>
      <c r="AS1846" s="8">
        <f t="shared" si="487"/>
        <v>34.623443624969553</v>
      </c>
    </row>
    <row r="1847" spans="1:45">
      <c r="A1847" s="20">
        <v>65.365300000000005</v>
      </c>
      <c r="B1847" s="20">
        <v>1908.305576</v>
      </c>
      <c r="C1847" s="20">
        <v>-495.89980759999997</v>
      </c>
      <c r="E1847" s="9">
        <f t="shared" si="476"/>
        <v>948.30557599999997</v>
      </c>
      <c r="F1847" s="9">
        <f t="shared" si="491"/>
        <v>44.100192400000026</v>
      </c>
      <c r="I1847">
        <v>1</v>
      </c>
      <c r="J1847">
        <f t="shared" si="477"/>
        <v>0.56450944668500469</v>
      </c>
      <c r="K1847">
        <f t="shared" si="478"/>
        <v>4.647071972053906E-2</v>
      </c>
      <c r="O1847">
        <f t="shared" si="479"/>
        <v>0.53442386458488556</v>
      </c>
      <c r="P1847">
        <f t="shared" si="480"/>
        <v>2.4852954414500899E-2</v>
      </c>
      <c r="Q1847">
        <f t="shared" si="481"/>
        <v>0.84485114879428702</v>
      </c>
      <c r="R1847">
        <f t="shared" si="482"/>
        <v>0.99999999999999989</v>
      </c>
      <c r="AG1847" s="8">
        <f t="shared" si="488"/>
        <v>0.77788626778873771</v>
      </c>
      <c r="AH1847" s="8">
        <f t="shared" si="489"/>
        <v>0.26890492394796117</v>
      </c>
      <c r="AI1847" s="8">
        <f t="shared" si="490"/>
        <v>0.56796399204725057</v>
      </c>
      <c r="AJ1847" s="8"/>
      <c r="AK1847" s="8"/>
      <c r="AL1847" s="8"/>
      <c r="AN1847" s="8">
        <f t="shared" si="483"/>
        <v>0.99999999999999978</v>
      </c>
      <c r="AO1847" s="8">
        <f t="shared" si="484"/>
        <v>0.33282706513179922</v>
      </c>
      <c r="AP1847" s="8">
        <f t="shared" si="485"/>
        <v>0.96676631431449234</v>
      </c>
      <c r="AQ1847" s="8"/>
      <c r="AR1847" s="8">
        <f t="shared" si="486"/>
        <v>19.069586139777858</v>
      </c>
      <c r="AS1847" s="8">
        <f t="shared" si="487"/>
        <v>34.608370414361602</v>
      </c>
    </row>
    <row r="1848" spans="1:45">
      <c r="A1848" s="20">
        <v>65.398666669999997</v>
      </c>
      <c r="B1848" s="20">
        <v>1908.6343039999999</v>
      </c>
      <c r="C1848" s="20">
        <v>-495.5393416</v>
      </c>
      <c r="E1848" s="9">
        <f t="shared" si="476"/>
        <v>948.63430399999993</v>
      </c>
      <c r="F1848" s="9">
        <f t="shared" si="491"/>
        <v>44.4606584</v>
      </c>
      <c r="I1848">
        <v>1</v>
      </c>
      <c r="J1848">
        <f t="shared" si="477"/>
        <v>0.5646752566528197</v>
      </c>
      <c r="K1848">
        <f t="shared" si="478"/>
        <v>4.6833797513871477E-2</v>
      </c>
      <c r="O1848">
        <f t="shared" si="479"/>
        <v>0.53455472959554717</v>
      </c>
      <c r="P1848">
        <f t="shared" si="480"/>
        <v>2.5053548167547599E-2</v>
      </c>
      <c r="Q1848">
        <f t="shared" si="481"/>
        <v>0.84476242861010797</v>
      </c>
      <c r="R1848">
        <f t="shared" si="482"/>
        <v>1</v>
      </c>
      <c r="AG1848" s="8">
        <f t="shared" si="488"/>
        <v>0.77774410224832213</v>
      </c>
      <c r="AH1848" s="8">
        <f t="shared" si="489"/>
        <v>0.26908742355794679</v>
      </c>
      <c r="AI1848" s="8">
        <f t="shared" si="490"/>
        <v>0.56807224003721357</v>
      </c>
      <c r="AJ1848" s="8"/>
      <c r="AK1848" s="8"/>
      <c r="AL1848" s="8"/>
      <c r="AN1848" s="8">
        <f t="shared" si="483"/>
        <v>1</v>
      </c>
      <c r="AO1848" s="8">
        <f t="shared" si="484"/>
        <v>0.33309308936765103</v>
      </c>
      <c r="AP1848" s="8">
        <f t="shared" si="485"/>
        <v>0.96663478833750882</v>
      </c>
      <c r="AQ1848" s="8"/>
      <c r="AR1848" s="8">
        <f t="shared" si="486"/>
        <v>19.084828205740358</v>
      </c>
      <c r="AS1848" s="8">
        <f t="shared" si="487"/>
        <v>34.615906297739095</v>
      </c>
    </row>
    <row r="1849" spans="1:45">
      <c r="A1849" s="20">
        <v>65.432033329999996</v>
      </c>
      <c r="B1849" s="20">
        <v>1909.3297689999999</v>
      </c>
      <c r="C1849" s="20">
        <v>-496.08232020000003</v>
      </c>
      <c r="E1849" s="9">
        <f t="shared" ref="E1849:E1858" si="492">(B1849-($B$15/2))</f>
        <v>949.32976899999994</v>
      </c>
      <c r="F1849" s="9">
        <f t="shared" si="491"/>
        <v>43.917679799999974</v>
      </c>
      <c r="I1849">
        <v>1</v>
      </c>
      <c r="J1849">
        <f t="shared" ref="J1849:J1858" si="493">ATAN((SQRT(E1849^2+F1849^2)^$B$16)/($F$24))</f>
        <v>0.56499673666620209</v>
      </c>
      <c r="K1849">
        <f t="shared" ref="K1849:K1858" si="494">ATAN2(E1849,F1849)</f>
        <v>4.6228814512591733E-2</v>
      </c>
      <c r="O1849">
        <f t="shared" ref="O1849:O1858" si="495">COS(K1849)*SIN(J1849)</f>
        <v>0.53484104520971665</v>
      </c>
      <c r="P1849">
        <f t="shared" ref="P1849:P1858" si="496">SIN(K1849)*SIN(J1849)</f>
        <v>2.4742695883391862E-2</v>
      </c>
      <c r="Q1849">
        <f t="shared" ref="Q1849:Q1858" si="497">COS(J1849)</f>
        <v>0.84459034765938445</v>
      </c>
      <c r="R1849">
        <f t="shared" ref="R1849:R1858" si="498">SQRT(O1849^2+P1849^2+Q1849^2)</f>
        <v>1</v>
      </c>
      <c r="AG1849" s="8">
        <f t="shared" si="488"/>
        <v>0.77789771302794253</v>
      </c>
      <c r="AH1849" s="8">
        <f t="shared" si="489"/>
        <v>0.26935417394943856</v>
      </c>
      <c r="AI1849" s="8">
        <f t="shared" si="490"/>
        <v>0.56773539350820157</v>
      </c>
      <c r="AJ1849" s="8"/>
      <c r="AK1849" s="8"/>
      <c r="AL1849" s="8"/>
      <c r="AN1849" s="8">
        <f t="shared" ref="AN1849:AN1858" si="499">AG1849^2+AH1849^2+AI1849^2</f>
        <v>1.0000000000000002</v>
      </c>
      <c r="AO1849" s="8">
        <f t="shared" ref="AO1849:AO1858" si="500">IF(ATAN2(AG1849,AH1849)&gt;=0,ATAN2(AG1849,AH1849),ATAN2(AG1849,AH1849)+2*PI())</f>
        <v>0.33333830330976916</v>
      </c>
      <c r="AP1849" s="8">
        <f t="shared" ref="AP1849:AP1858" si="501">ACOS(AI1849/AN1849)</f>
        <v>0.96704403218612722</v>
      </c>
      <c r="AQ1849" s="8"/>
      <c r="AR1849" s="8">
        <f t="shared" ref="AR1849:AR1858" si="502">DEGREES(AO1849)</f>
        <v>19.098877929701494</v>
      </c>
      <c r="AS1849" s="8">
        <f t="shared" ref="AS1849:AS1858" si="503">90-DEGREES(AP1849)</f>
        <v>34.592458352421566</v>
      </c>
    </row>
    <row r="1850" spans="1:45">
      <c r="A1850" s="20">
        <v>65.465400000000002</v>
      </c>
      <c r="B1850" s="20">
        <v>1909.9478570000001</v>
      </c>
      <c r="C1850" s="20">
        <v>-496.12596020000001</v>
      </c>
      <c r="E1850" s="9">
        <f t="shared" si="492"/>
        <v>949.94785700000011</v>
      </c>
      <c r="F1850" s="9">
        <f t="shared" si="491"/>
        <v>43.874039799999991</v>
      </c>
      <c r="I1850">
        <v>1</v>
      </c>
      <c r="J1850">
        <f t="shared" si="493"/>
        <v>0.56529215127975641</v>
      </c>
      <c r="K1850">
        <f t="shared" si="494"/>
        <v>4.615293683274501E-2</v>
      </c>
      <c r="O1850">
        <f t="shared" si="495"/>
        <v>0.5350921363915232</v>
      </c>
      <c r="P1850">
        <f t="shared" si="496"/>
        <v>2.4713623506504426E-2</v>
      </c>
      <c r="Q1850">
        <f t="shared" si="497"/>
        <v>0.84443214196590977</v>
      </c>
      <c r="R1850">
        <f t="shared" si="498"/>
        <v>1</v>
      </c>
      <c r="AG1850" s="8">
        <f t="shared" si="488"/>
        <v>0.77788138851628119</v>
      </c>
      <c r="AH1850" s="8">
        <f t="shared" si="489"/>
        <v>0.26963119866932533</v>
      </c>
      <c r="AI1850" s="8">
        <f t="shared" si="490"/>
        <v>0.56762625212733542</v>
      </c>
      <c r="AJ1850" s="8"/>
      <c r="AK1850" s="8"/>
      <c r="AL1850" s="8"/>
      <c r="AN1850" s="8">
        <f t="shared" si="499"/>
        <v>1</v>
      </c>
      <c r="AO1850" s="8">
        <f t="shared" si="500"/>
        <v>0.33366275585678129</v>
      </c>
      <c r="AP1850" s="8">
        <f t="shared" si="501"/>
        <v>0.96717660618973011</v>
      </c>
      <c r="AQ1850" s="8"/>
      <c r="AR1850" s="8">
        <f t="shared" si="502"/>
        <v>19.117467691297559</v>
      </c>
      <c r="AS1850" s="8">
        <f t="shared" si="503"/>
        <v>34.58486242154197</v>
      </c>
    </row>
    <row r="1851" spans="1:45">
      <c r="A1851" s="20">
        <v>65.498766669999995</v>
      </c>
      <c r="B1851" s="20">
        <v>1910.5930370000001</v>
      </c>
      <c r="C1851" s="20">
        <v>-496.40286989999998</v>
      </c>
      <c r="E1851" s="9">
        <f t="shared" si="492"/>
        <v>950.59303700000009</v>
      </c>
      <c r="F1851" s="9">
        <f t="shared" si="491"/>
        <v>43.597130100000015</v>
      </c>
      <c r="I1851">
        <v>1</v>
      </c>
      <c r="J1851">
        <f t="shared" si="493"/>
        <v>0.56559530239637401</v>
      </c>
      <c r="K1851">
        <f t="shared" si="494"/>
        <v>4.5830969925334648E-2</v>
      </c>
      <c r="O1851">
        <f t="shared" si="495"/>
        <v>0.53535576277641761</v>
      </c>
      <c r="P1851">
        <f t="shared" si="496"/>
        <v>2.455306732858829E-2</v>
      </c>
      <c r="Q1851">
        <f t="shared" si="497"/>
        <v>0.84426971646911386</v>
      </c>
      <c r="R1851">
        <f t="shared" si="498"/>
        <v>1</v>
      </c>
      <c r="AG1851" s="8">
        <f t="shared" si="488"/>
        <v>0.7779447340690655</v>
      </c>
      <c r="AH1851" s="8">
        <f t="shared" si="489"/>
        <v>0.26989910672138051</v>
      </c>
      <c r="AI1851" s="8">
        <f t="shared" si="490"/>
        <v>0.56741207506116043</v>
      </c>
      <c r="AJ1851" s="8"/>
      <c r="AK1851" s="8"/>
      <c r="AL1851" s="8"/>
      <c r="AN1851" s="8">
        <f t="shared" si="499"/>
        <v>1</v>
      </c>
      <c r="AO1851" s="8">
        <f t="shared" si="500"/>
        <v>0.33394497233499931</v>
      </c>
      <c r="AP1851" s="8">
        <f t="shared" si="501"/>
        <v>0.96743673179550671</v>
      </c>
      <c r="AQ1851" s="8"/>
      <c r="AR1851" s="8">
        <f t="shared" si="502"/>
        <v>19.133637504408497</v>
      </c>
      <c r="AS1851" s="8">
        <f t="shared" si="503"/>
        <v>34.569958322187688</v>
      </c>
    </row>
    <row r="1852" spans="1:45">
      <c r="A1852" s="20">
        <v>65.532133329999994</v>
      </c>
      <c r="B1852" s="20">
        <v>1911.2180519999999</v>
      </c>
      <c r="C1852" s="20">
        <v>-496.87699759999998</v>
      </c>
      <c r="E1852" s="9">
        <f t="shared" si="492"/>
        <v>951.21805199999994</v>
      </c>
      <c r="F1852" s="9">
        <f t="shared" si="491"/>
        <v>43.123002400000018</v>
      </c>
      <c r="I1852">
        <v>1</v>
      </c>
      <c r="J1852">
        <f t="shared" si="493"/>
        <v>0.56588443208013783</v>
      </c>
      <c r="K1852">
        <f t="shared" si="494"/>
        <v>4.5303488827695554E-2</v>
      </c>
      <c r="O1852">
        <f t="shared" si="495"/>
        <v>0.53561247017557367</v>
      </c>
      <c r="P1852">
        <f t="shared" si="496"/>
        <v>2.4281727820753343E-2</v>
      </c>
      <c r="Q1852">
        <f t="shared" si="497"/>
        <v>0.84411473123412495</v>
      </c>
      <c r="R1852">
        <f t="shared" si="498"/>
        <v>1</v>
      </c>
      <c r="AG1852" s="8">
        <f t="shared" si="488"/>
        <v>0.77807754055454548</v>
      </c>
      <c r="AH1852" s="8">
        <f t="shared" si="489"/>
        <v>0.27013971156668182</v>
      </c>
      <c r="AI1852" s="8">
        <f t="shared" si="490"/>
        <v>0.56711540017818207</v>
      </c>
      <c r="AJ1852" s="8"/>
      <c r="AK1852" s="8"/>
      <c r="AL1852" s="8"/>
      <c r="AN1852" s="8">
        <f t="shared" si="499"/>
        <v>1</v>
      </c>
      <c r="AO1852" s="8">
        <f t="shared" si="500"/>
        <v>0.33416810752642712</v>
      </c>
      <c r="AP1852" s="8">
        <f t="shared" si="501"/>
        <v>0.96779697690847177</v>
      </c>
      <c r="AQ1852" s="8"/>
      <c r="AR1852" s="8">
        <f t="shared" si="502"/>
        <v>19.146422209138155</v>
      </c>
      <c r="AS1852" s="8">
        <f t="shared" si="503"/>
        <v>34.549317797624575</v>
      </c>
    </row>
    <row r="1853" spans="1:45">
      <c r="A1853" s="20">
        <v>65.5655</v>
      </c>
      <c r="B1853" s="20">
        <v>1911.35562</v>
      </c>
      <c r="C1853" s="20">
        <v>-496.93304000000001</v>
      </c>
      <c r="E1853" s="9">
        <f t="shared" si="492"/>
        <v>951.35562000000004</v>
      </c>
      <c r="F1853" s="9">
        <f t="shared" si="491"/>
        <v>43.066959999999995</v>
      </c>
      <c r="I1853">
        <v>1</v>
      </c>
      <c r="J1853">
        <f t="shared" si="493"/>
        <v>0.56594912073474757</v>
      </c>
      <c r="K1853">
        <f t="shared" si="494"/>
        <v>4.5238159495587897E-2</v>
      </c>
      <c r="O1853">
        <f t="shared" si="495"/>
        <v>0.5356686030028156</v>
      </c>
      <c r="P1853">
        <f t="shared" si="496"/>
        <v>2.4249205884523114E-2</v>
      </c>
      <c r="Q1853">
        <f t="shared" si="497"/>
        <v>0.84408004583154439</v>
      </c>
      <c r="R1853">
        <f t="shared" si="498"/>
        <v>1</v>
      </c>
      <c r="AG1853" s="8">
        <f t="shared" si="488"/>
        <v>0.77808995879687903</v>
      </c>
      <c r="AH1853" s="8">
        <f t="shared" si="489"/>
        <v>0.27019706507443475</v>
      </c>
      <c r="AI1853" s="8">
        <f t="shared" si="490"/>
        <v>0.56707103791732572</v>
      </c>
      <c r="AJ1853" s="8"/>
      <c r="AK1853" s="8"/>
      <c r="AL1853" s="8"/>
      <c r="AN1853" s="8">
        <f t="shared" si="499"/>
        <v>1.0000000000000002</v>
      </c>
      <c r="AO1853" s="8">
        <f t="shared" si="500"/>
        <v>0.3342289425716391</v>
      </c>
      <c r="AP1853" s="8">
        <f t="shared" si="501"/>
        <v>0.96785083724484389</v>
      </c>
      <c r="AQ1853" s="8"/>
      <c r="AR1853" s="8">
        <f t="shared" si="502"/>
        <v>19.149907800475287</v>
      </c>
      <c r="AS1853" s="8">
        <f t="shared" si="503"/>
        <v>34.546231827667299</v>
      </c>
    </row>
    <row r="1854" spans="1:45">
      <c r="A1854" s="20">
        <v>65.598866670000007</v>
      </c>
      <c r="B1854" s="20">
        <v>1911.6679140000001</v>
      </c>
      <c r="C1854" s="20">
        <v>-496.9703614</v>
      </c>
      <c r="E1854" s="9">
        <f t="shared" si="492"/>
        <v>951.66791400000011</v>
      </c>
      <c r="F1854" s="9">
        <f t="shared" si="491"/>
        <v>43.029638599999998</v>
      </c>
      <c r="I1854">
        <v>1</v>
      </c>
      <c r="J1854">
        <f t="shared" si="493"/>
        <v>0.5660979035679351</v>
      </c>
      <c r="K1854">
        <f t="shared" si="494"/>
        <v>4.5184197879559851E-2</v>
      </c>
      <c r="O1854">
        <f t="shared" si="495"/>
        <v>0.53579536126485805</v>
      </c>
      <c r="P1854">
        <f t="shared" si="496"/>
        <v>2.4225972547376726E-2</v>
      </c>
      <c r="Q1854">
        <f t="shared" si="497"/>
        <v>0.84400025657649769</v>
      </c>
      <c r="R1854">
        <f t="shared" si="498"/>
        <v>0.99999999999999989</v>
      </c>
      <c r="AG1854" s="8">
        <f t="shared" si="488"/>
        <v>0.77808689371560402</v>
      </c>
      <c r="AH1854" s="8">
        <f t="shared" si="489"/>
        <v>0.2703354520159581</v>
      </c>
      <c r="AI1854" s="8">
        <f t="shared" si="490"/>
        <v>0.56700928494278646</v>
      </c>
      <c r="AJ1854" s="8"/>
      <c r="AK1854" s="8"/>
      <c r="AL1854" s="8"/>
      <c r="AN1854" s="8">
        <f t="shared" si="499"/>
        <v>1</v>
      </c>
      <c r="AO1854" s="8">
        <f t="shared" si="500"/>
        <v>0.33438887063503642</v>
      </c>
      <c r="AP1854" s="8">
        <f t="shared" si="501"/>
        <v>0.96792580836709519</v>
      </c>
      <c r="AQ1854" s="8"/>
      <c r="AR1854" s="8">
        <f t="shared" si="502"/>
        <v>19.159071003533654</v>
      </c>
      <c r="AS1854" s="8">
        <f t="shared" si="503"/>
        <v>34.541936298776939</v>
      </c>
    </row>
    <row r="1855" spans="1:45">
      <c r="A1855" s="20">
        <v>65.632233330000005</v>
      </c>
      <c r="B1855" s="20">
        <v>1912.194375</v>
      </c>
      <c r="C1855" s="20">
        <v>-497.43164230000002</v>
      </c>
      <c r="E1855" s="9">
        <f t="shared" si="492"/>
        <v>952.19437500000004</v>
      </c>
      <c r="F1855" s="9">
        <f t="shared" si="491"/>
        <v>42.568357699999979</v>
      </c>
      <c r="I1855">
        <v>1</v>
      </c>
      <c r="J1855">
        <f t="shared" si="493"/>
        <v>0.56634009264095853</v>
      </c>
      <c r="K1855">
        <f t="shared" si="494"/>
        <v>4.4675786742225151E-2</v>
      </c>
      <c r="O1855">
        <f t="shared" si="495"/>
        <v>0.53601179673829258</v>
      </c>
      <c r="P1855">
        <f t="shared" si="496"/>
        <v>2.3962693431134077E-2</v>
      </c>
      <c r="Q1855">
        <f t="shared" si="497"/>
        <v>0.84387033546683754</v>
      </c>
      <c r="R1855">
        <f t="shared" si="498"/>
        <v>1</v>
      </c>
      <c r="AG1855" s="8">
        <f t="shared" si="488"/>
        <v>0.77822005892325097</v>
      </c>
      <c r="AH1855" s="8">
        <f t="shared" si="489"/>
        <v>0.27053228580715388</v>
      </c>
      <c r="AI1855" s="8">
        <f t="shared" si="490"/>
        <v>0.5667325844041865</v>
      </c>
      <c r="AJ1855" s="8"/>
      <c r="AK1855" s="8"/>
      <c r="AL1855" s="8"/>
      <c r="AN1855" s="8">
        <f t="shared" si="499"/>
        <v>1.0000000000000002</v>
      </c>
      <c r="AO1855" s="8">
        <f t="shared" si="500"/>
        <v>0.33456149755010395</v>
      </c>
      <c r="AP1855" s="8">
        <f t="shared" si="501"/>
        <v>0.96826168882227948</v>
      </c>
      <c r="AQ1855" s="8"/>
      <c r="AR1855" s="8">
        <f t="shared" si="502"/>
        <v>19.168961797197387</v>
      </c>
      <c r="AS1855" s="8">
        <f t="shared" si="503"/>
        <v>34.522691766273951</v>
      </c>
    </row>
    <row r="1856" spans="1:45">
      <c r="A1856" s="20">
        <v>65.665599999999998</v>
      </c>
      <c r="B1856" s="20">
        <v>1912.530831</v>
      </c>
      <c r="C1856" s="20">
        <v>-497.67804699999999</v>
      </c>
      <c r="E1856" s="9">
        <f t="shared" si="492"/>
        <v>952.53083100000003</v>
      </c>
      <c r="F1856" s="9">
        <f t="shared" si="491"/>
        <v>42.321953000000008</v>
      </c>
      <c r="I1856">
        <v>1</v>
      </c>
      <c r="J1856">
        <f t="shared" si="493"/>
        <v>0.56649592544198335</v>
      </c>
      <c r="K1856">
        <f t="shared" si="494"/>
        <v>4.440185560497234E-2</v>
      </c>
      <c r="O1856">
        <f t="shared" si="495"/>
        <v>0.53614970731552525</v>
      </c>
      <c r="P1856">
        <f t="shared" si="496"/>
        <v>2.3821698968158039E-2</v>
      </c>
      <c r="Q1856">
        <f t="shared" si="497"/>
        <v>0.84378671357384327</v>
      </c>
      <c r="R1856">
        <f t="shared" si="498"/>
        <v>1</v>
      </c>
      <c r="AG1856" s="8">
        <f t="shared" si="488"/>
        <v>0.77828828557999619</v>
      </c>
      <c r="AH1856" s="8">
        <f t="shared" si="489"/>
        <v>0.27066245224247093</v>
      </c>
      <c r="AI1856" s="8">
        <f t="shared" si="490"/>
        <v>0.56657672161415384</v>
      </c>
      <c r="AJ1856" s="8"/>
      <c r="AK1856" s="8"/>
      <c r="AL1856" s="8"/>
      <c r="AN1856" s="8">
        <f t="shared" si="499"/>
        <v>1</v>
      </c>
      <c r="AO1856" s="8">
        <f t="shared" si="500"/>
        <v>0.33468351892827292</v>
      </c>
      <c r="AP1856" s="8">
        <f t="shared" si="501"/>
        <v>0.96845085293267485</v>
      </c>
      <c r="AQ1856" s="8"/>
      <c r="AR1856" s="8">
        <f t="shared" si="502"/>
        <v>19.175953107176838</v>
      </c>
      <c r="AS1856" s="8">
        <f t="shared" si="503"/>
        <v>34.511853461112949</v>
      </c>
    </row>
    <row r="1857" spans="1:45">
      <c r="A1857" s="20">
        <v>65.698966670000004</v>
      </c>
      <c r="B1857" s="20">
        <v>1912.757188</v>
      </c>
      <c r="C1857" s="20">
        <v>-497.72053560000001</v>
      </c>
      <c r="E1857" s="9">
        <f t="shared" si="492"/>
        <v>952.75718800000004</v>
      </c>
      <c r="F1857" s="9">
        <f t="shared" si="491"/>
        <v>42.279464399999995</v>
      </c>
      <c r="I1857">
        <v>1</v>
      </c>
      <c r="J1857">
        <f t="shared" si="493"/>
        <v>0.56660338200206706</v>
      </c>
      <c r="K1857">
        <f t="shared" si="494"/>
        <v>4.4346812743571752E-2</v>
      </c>
      <c r="O1857">
        <f t="shared" si="495"/>
        <v>0.53624159589645948</v>
      </c>
      <c r="P1857">
        <f t="shared" si="496"/>
        <v>2.3796207206891778E-2</v>
      </c>
      <c r="Q1857">
        <f t="shared" si="497"/>
        <v>0.84372903905992525</v>
      </c>
      <c r="R1857">
        <f t="shared" si="498"/>
        <v>1</v>
      </c>
      <c r="AG1857" s="8">
        <f t="shared" si="488"/>
        <v>0.7782913596513753</v>
      </c>
      <c r="AH1857" s="8">
        <f t="shared" si="489"/>
        <v>0.27076126662999989</v>
      </c>
      <c r="AI1857" s="8">
        <f t="shared" si="490"/>
        <v>0.56652528274114267</v>
      </c>
      <c r="AJ1857" s="8"/>
      <c r="AK1857" s="8"/>
      <c r="AL1857" s="8"/>
      <c r="AN1857" s="8">
        <f t="shared" si="499"/>
        <v>0.99999999999999989</v>
      </c>
      <c r="AO1857" s="8">
        <f t="shared" si="500"/>
        <v>0.33479555399223426</v>
      </c>
      <c r="AP1857" s="8">
        <f t="shared" si="501"/>
        <v>0.96851327672860377</v>
      </c>
      <c r="AQ1857" s="8"/>
      <c r="AR1857" s="8">
        <f t="shared" si="502"/>
        <v>19.182372243499302</v>
      </c>
      <c r="AS1857" s="8">
        <f t="shared" si="503"/>
        <v>34.508276841065033</v>
      </c>
    </row>
    <row r="1858" spans="1:45">
      <c r="A1858" s="20">
        <v>65.732333330000003</v>
      </c>
      <c r="B1858" s="20">
        <v>1909.7424719999999</v>
      </c>
      <c r="C1858" s="20">
        <v>-497.54809590000002</v>
      </c>
      <c r="E1858" s="9">
        <f t="shared" si="492"/>
        <v>949.74247199999991</v>
      </c>
      <c r="F1858" s="9">
        <f t="shared" si="491"/>
        <v>42.451904099999979</v>
      </c>
      <c r="I1858">
        <v>1</v>
      </c>
      <c r="J1858">
        <f t="shared" si="493"/>
        <v>0.56516268657672331</v>
      </c>
      <c r="K1858">
        <f t="shared" si="494"/>
        <v>4.4668599186373899E-2</v>
      </c>
      <c r="O1858">
        <f t="shared" si="495"/>
        <v>0.53501901067419377</v>
      </c>
      <c r="P1858">
        <f t="shared" si="496"/>
        <v>2.3914457237011653E-2</v>
      </c>
      <c r="Q1858">
        <f t="shared" si="497"/>
        <v>0.84450148428067673</v>
      </c>
      <c r="R1858">
        <f t="shared" si="498"/>
        <v>1</v>
      </c>
      <c r="AG1858" s="8">
        <f t="shared" si="488"/>
        <v>0.77838634501038162</v>
      </c>
      <c r="AH1858" s="8">
        <f t="shared" si="489"/>
        <v>0.26940787923355242</v>
      </c>
      <c r="AI1858" s="8">
        <f t="shared" si="490"/>
        <v>0.5670397627223851</v>
      </c>
      <c r="AJ1858" s="8"/>
      <c r="AK1858" s="8"/>
      <c r="AL1858" s="8"/>
      <c r="AN1858" s="8">
        <f t="shared" si="499"/>
        <v>1</v>
      </c>
      <c r="AO1858" s="8">
        <f t="shared" si="500"/>
        <v>0.33320581300525465</v>
      </c>
      <c r="AP1858" s="8">
        <f t="shared" si="501"/>
        <v>0.9678888073401114</v>
      </c>
      <c r="AQ1858" s="8"/>
      <c r="AR1858" s="8">
        <f t="shared" si="502"/>
        <v>19.091286794426409</v>
      </c>
      <c r="AS1858" s="8">
        <f t="shared" si="503"/>
        <v>34.544056301460763</v>
      </c>
    </row>
  </sheetData>
  <conditionalFormatting sqref="AX32:AY38 N32 AQ11:AR11 AT3:AU8 BI11:BI13 AH9:AI18 T9:T18 W11 W3:W8 BJ7:BJ13 AQ3:AR8">
    <cfRule type="colorScale" priority="8">
      <colorScale>
        <cfvo type="num" val="-0.5"/>
        <cfvo type="num" val="0"/>
        <cfvo type="num" val="0.5"/>
        <color rgb="FFFF0000"/>
        <color rgb="FFFFFFFF"/>
        <color rgb="FF00FFFF"/>
      </colorScale>
    </cfRule>
  </conditionalFormatting>
  <pageMargins left="0.7" right="0.7" top="0.75" bottom="0.75" header="0.3" footer="0.3"/>
  <pageSetup paperSize="9" orientation="portrait" horizontalDpi="0" verticalDpi="0" r:id="rId1"/>
  <legacyDrawing r:id="rId2"/>
  <controls>
    <control shapeId="1034" r:id="rId3" name="SpinButton4"/>
    <control shapeId="1033" r:id="rId4" name="SpinButton5"/>
    <control shapeId="1031" r:id="rId5" name="SpinButton3"/>
    <control shapeId="1030" r:id="rId6" name="SpinButton2"/>
    <control shapeId="1029" r:id="rId7" name="Spin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2019-12-29T23:07:40Z</dcterms:modified>
</cp:coreProperties>
</file>