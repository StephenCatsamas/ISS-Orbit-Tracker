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E33" i="1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32"/>
  <c r="F77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K682"/>
  <c r="F682"/>
  <c r="F683"/>
  <c r="K684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32"/>
  <c r="AI4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N4"/>
  <c r="O4"/>
  <c r="N5"/>
  <c r="O5"/>
  <c r="N6"/>
  <c r="O6"/>
  <c r="N7"/>
  <c r="O7"/>
  <c r="N8"/>
  <c r="O8"/>
  <c r="O3"/>
  <c r="N3"/>
  <c r="S4"/>
  <c r="S5"/>
  <c r="S6"/>
  <c r="S7"/>
  <c r="S8"/>
  <c r="S3"/>
  <c r="G8"/>
  <c r="B8" s="1"/>
  <c r="V22" s="1"/>
  <c r="AB35" s="1"/>
  <c r="K262"/>
  <c r="K294"/>
  <c r="K326"/>
  <c r="K358"/>
  <c r="K390"/>
  <c r="K422"/>
  <c r="K454"/>
  <c r="K486"/>
  <c r="K518"/>
  <c r="K550"/>
  <c r="K610"/>
  <c r="K770"/>
  <c r="F22"/>
  <c r="K772" l="1"/>
  <c r="K764"/>
  <c r="K758"/>
  <c r="K754"/>
  <c r="K748"/>
  <c r="K742"/>
  <c r="K738"/>
  <c r="K732"/>
  <c r="K726"/>
  <c r="K724"/>
  <c r="K722"/>
  <c r="K716"/>
  <c r="K714"/>
  <c r="K710"/>
  <c r="K708"/>
  <c r="K706"/>
  <c r="K702"/>
  <c r="K700"/>
  <c r="K694"/>
  <c r="K692"/>
  <c r="K690"/>
  <c r="K686"/>
  <c r="K678"/>
  <c r="K674"/>
  <c r="K668"/>
  <c r="K662"/>
  <c r="K658"/>
  <c r="K652"/>
  <c r="K646"/>
  <c r="K642"/>
  <c r="K636"/>
  <c r="K630"/>
  <c r="K628"/>
  <c r="K626"/>
  <c r="K622"/>
  <c r="K620"/>
  <c r="K618"/>
  <c r="K614"/>
  <c r="K612"/>
  <c r="K606"/>
  <c r="K604"/>
  <c r="K602"/>
  <c r="K598"/>
  <c r="K596"/>
  <c r="K594"/>
  <c r="K590"/>
  <c r="K588"/>
  <c r="K586"/>
  <c r="K582"/>
  <c r="K580"/>
  <c r="K578"/>
  <c r="K574"/>
  <c r="K572"/>
  <c r="K570"/>
  <c r="K566"/>
  <c r="K562"/>
  <c r="K558"/>
  <c r="K556"/>
  <c r="K554"/>
  <c r="K548"/>
  <c r="K546"/>
  <c r="K544"/>
  <c r="K542"/>
  <c r="K540"/>
  <c r="K538"/>
  <c r="K536"/>
  <c r="K534"/>
  <c r="K532"/>
  <c r="K530"/>
  <c r="K528"/>
  <c r="K526"/>
  <c r="K524"/>
  <c r="K522"/>
  <c r="K520"/>
  <c r="K516"/>
  <c r="K514"/>
  <c r="K512"/>
  <c r="K510"/>
  <c r="K508"/>
  <c r="K506"/>
  <c r="K504"/>
  <c r="K502"/>
  <c r="K500"/>
  <c r="K498"/>
  <c r="K496"/>
  <c r="K494"/>
  <c r="K492"/>
  <c r="K490"/>
  <c r="K488"/>
  <c r="K484"/>
  <c r="K482"/>
  <c r="K480"/>
  <c r="K478"/>
  <c r="K476"/>
  <c r="K474"/>
  <c r="K472"/>
  <c r="K470"/>
  <c r="K468"/>
  <c r="K466"/>
  <c r="K464"/>
  <c r="K462"/>
  <c r="K460"/>
  <c r="K458"/>
  <c r="K456"/>
  <c r="K452"/>
  <c r="K450"/>
  <c r="K448"/>
  <c r="K446"/>
  <c r="K444"/>
  <c r="K442"/>
  <c r="K440"/>
  <c r="K438"/>
  <c r="K436"/>
  <c r="K434"/>
  <c r="K432"/>
  <c r="K430"/>
  <c r="K428"/>
  <c r="K426"/>
  <c r="K424"/>
  <c r="K420"/>
  <c r="K418"/>
  <c r="K416"/>
  <c r="K414"/>
  <c r="K412"/>
  <c r="K410"/>
  <c r="K408"/>
  <c r="K406"/>
  <c r="K404"/>
  <c r="K402"/>
  <c r="K400"/>
  <c r="K398"/>
  <c r="K396"/>
  <c r="K394"/>
  <c r="K392"/>
  <c r="K388"/>
  <c r="K386"/>
  <c r="K384"/>
  <c r="K382"/>
  <c r="K380"/>
  <c r="K378"/>
  <c r="K376"/>
  <c r="K374"/>
  <c r="K372"/>
  <c r="K370"/>
  <c r="K368"/>
  <c r="K366"/>
  <c r="K364"/>
  <c r="K362"/>
  <c r="K360"/>
  <c r="K356"/>
  <c r="K354"/>
  <c r="K352"/>
  <c r="K350"/>
  <c r="K348"/>
  <c r="K346"/>
  <c r="K344"/>
  <c r="K342"/>
  <c r="K340"/>
  <c r="K338"/>
  <c r="K336"/>
  <c r="K334"/>
  <c r="K332"/>
  <c r="K330"/>
  <c r="K328"/>
  <c r="K324"/>
  <c r="K322"/>
  <c r="K320"/>
  <c r="K318"/>
  <c r="K316"/>
  <c r="K314"/>
  <c r="K312"/>
  <c r="K310"/>
  <c r="K308"/>
  <c r="K306"/>
  <c r="K304"/>
  <c r="K302"/>
  <c r="K300"/>
  <c r="K298"/>
  <c r="K296"/>
  <c r="K292"/>
  <c r="K290"/>
  <c r="K288"/>
  <c r="K286"/>
  <c r="K284"/>
  <c r="K282"/>
  <c r="K280"/>
  <c r="K278"/>
  <c r="K276"/>
  <c r="K274"/>
  <c r="K272"/>
  <c r="K270"/>
  <c r="K268"/>
  <c r="K266"/>
  <c r="K264"/>
  <c r="K260"/>
  <c r="K258"/>
  <c r="K256"/>
  <c r="K254"/>
  <c r="K252"/>
  <c r="K250"/>
  <c r="K248"/>
  <c r="K246"/>
  <c r="K244"/>
  <c r="K242"/>
  <c r="Q6"/>
  <c r="Q8"/>
  <c r="K718"/>
  <c r="K698"/>
  <c r="Q4"/>
  <c r="Q5"/>
  <c r="Q7"/>
  <c r="Q3"/>
  <c r="K760"/>
  <c r="K744"/>
  <c r="K720"/>
  <c r="K704"/>
  <c r="K688"/>
  <c r="K672"/>
  <c r="K664"/>
  <c r="K648"/>
  <c r="K624"/>
  <c r="K608"/>
  <c r="K592"/>
  <c r="K576"/>
  <c r="K552"/>
  <c r="K766"/>
  <c r="K756"/>
  <c r="K746"/>
  <c r="K734"/>
  <c r="K670"/>
  <c r="K660"/>
  <c r="K650"/>
  <c r="K638"/>
  <c r="K564"/>
  <c r="K762"/>
  <c r="K750"/>
  <c r="K740"/>
  <c r="K730"/>
  <c r="K676"/>
  <c r="K666"/>
  <c r="K654"/>
  <c r="K644"/>
  <c r="K634"/>
  <c r="K768"/>
  <c r="K752"/>
  <c r="K736"/>
  <c r="K728"/>
  <c r="K712"/>
  <c r="K696"/>
  <c r="K680"/>
  <c r="K656"/>
  <c r="K640"/>
  <c r="K632"/>
  <c r="K616"/>
  <c r="K600"/>
  <c r="K584"/>
  <c r="K568"/>
  <c r="K560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P7" l="1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Q195" s="1"/>
  <c r="J213"/>
  <c r="O213" s="1"/>
  <c r="J221"/>
  <c r="Q221" s="1"/>
  <c r="J229"/>
  <c r="P229" s="1"/>
  <c r="J237"/>
  <c r="Q237" s="1"/>
  <c r="J245"/>
  <c r="P245" s="1"/>
  <c r="J38"/>
  <c r="P38" s="1"/>
  <c r="J46"/>
  <c r="P46" s="1"/>
  <c r="J54"/>
  <c r="P54" s="1"/>
  <c r="J62"/>
  <c r="Q62" s="1"/>
  <c r="J70"/>
  <c r="Q70" s="1"/>
  <c r="J78"/>
  <c r="O78" s="1"/>
  <c r="J86"/>
  <c r="Q86" s="1"/>
  <c r="J94"/>
  <c r="O94" s="1"/>
  <c r="J102"/>
  <c r="Q102" s="1"/>
  <c r="J110"/>
  <c r="P110" s="1"/>
  <c r="J118"/>
  <c r="P118" s="1"/>
  <c r="J126"/>
  <c r="P126" s="1"/>
  <c r="J134"/>
  <c r="P134" s="1"/>
  <c r="J142"/>
  <c r="O142" s="1"/>
  <c r="J150"/>
  <c r="Q150" s="1"/>
  <c r="J158"/>
  <c r="P158" s="1"/>
  <c r="J166"/>
  <c r="O166" s="1"/>
  <c r="J174"/>
  <c r="P174" s="1"/>
  <c r="J182"/>
  <c r="P182" s="1"/>
  <c r="J190"/>
  <c r="O190" s="1"/>
  <c r="J198"/>
  <c r="P198" s="1"/>
  <c r="J206"/>
  <c r="O206" s="1"/>
  <c r="J214"/>
  <c r="O214" s="1"/>
  <c r="J222"/>
  <c r="P222" s="1"/>
  <c r="J230"/>
  <c r="P230" s="1"/>
  <c r="J238"/>
  <c r="P238" s="1"/>
  <c r="J246"/>
  <c r="P246" s="1"/>
  <c r="J254"/>
  <c r="Q254" s="1"/>
  <c r="J262"/>
  <c r="O262" s="1"/>
  <c r="J270"/>
  <c r="O270" s="1"/>
  <c r="J278"/>
  <c r="Q278" s="1"/>
  <c r="J286"/>
  <c r="Q286" s="1"/>
  <c r="J294"/>
  <c r="Q294" s="1"/>
  <c r="J302"/>
  <c r="P302" s="1"/>
  <c r="J310"/>
  <c r="P310" s="1"/>
  <c r="J318"/>
  <c r="Q318" s="1"/>
  <c r="J326"/>
  <c r="P326" s="1"/>
  <c r="J334"/>
  <c r="O334" s="1"/>
  <c r="J342"/>
  <c r="Q342" s="1"/>
  <c r="J350"/>
  <c r="O350" s="1"/>
  <c r="J358"/>
  <c r="O358" s="1"/>
  <c r="J366"/>
  <c r="P366" s="1"/>
  <c r="J374"/>
  <c r="P374" s="1"/>
  <c r="J382"/>
  <c r="P382" s="1"/>
  <c r="J390"/>
  <c r="Q390" s="1"/>
  <c r="J398"/>
  <c r="O398" s="1"/>
  <c r="J406"/>
  <c r="O406" s="1"/>
  <c r="J414"/>
  <c r="P414" s="1"/>
  <c r="J422"/>
  <c r="Q422" s="1"/>
  <c r="J430"/>
  <c r="P430" s="1"/>
  <c r="J438"/>
  <c r="P438" s="1"/>
  <c r="J446"/>
  <c r="P446" s="1"/>
  <c r="J454"/>
  <c r="O454" s="1"/>
  <c r="J462"/>
  <c r="O462" s="1"/>
  <c r="J470"/>
  <c r="Q470" s="1"/>
  <c r="J478"/>
  <c r="P478" s="1"/>
  <c r="J486"/>
  <c r="P486" s="1"/>
  <c r="J494"/>
  <c r="O494" s="1"/>
  <c r="J502"/>
  <c r="O502" s="1"/>
  <c r="J510"/>
  <c r="P510" s="1"/>
  <c r="J518"/>
  <c r="Q518" s="1"/>
  <c r="J526"/>
  <c r="O526" s="1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P293" s="1"/>
  <c r="J297"/>
  <c r="Q297" s="1"/>
  <c r="J301"/>
  <c r="Q301" s="1"/>
  <c r="J305"/>
  <c r="Q305" s="1"/>
  <c r="J309"/>
  <c r="P309" s="1"/>
  <c r="J313"/>
  <c r="Q313" s="1"/>
  <c r="J317"/>
  <c r="Q317" s="1"/>
  <c r="J321"/>
  <c r="Q321" s="1"/>
  <c r="J325"/>
  <c r="Q325" s="1"/>
  <c r="J329"/>
  <c r="Q329" s="1"/>
  <c r="J333"/>
  <c r="Q333" s="1"/>
  <c r="J337"/>
  <c r="Q337" s="1"/>
  <c r="J341"/>
  <c r="Q341" s="1"/>
  <c r="J345"/>
  <c r="Q345" s="1"/>
  <c r="J349"/>
  <c r="Q349" s="1"/>
  <c r="J353"/>
  <c r="Q353" s="1"/>
  <c r="J357"/>
  <c r="Q357" s="1"/>
  <c r="J361"/>
  <c r="Q361" s="1"/>
  <c r="J365"/>
  <c r="Q365" s="1"/>
  <c r="J369"/>
  <c r="Q369" s="1"/>
  <c r="J373"/>
  <c r="O373" s="1"/>
  <c r="J377"/>
  <c r="Q377" s="1"/>
  <c r="J381"/>
  <c r="Q381" s="1"/>
  <c r="J385"/>
  <c r="Q385" s="1"/>
  <c r="J389"/>
  <c r="O389" s="1"/>
  <c r="J393"/>
  <c r="Q393" s="1"/>
  <c r="J397"/>
  <c r="Q397" s="1"/>
  <c r="J401"/>
  <c r="Q401" s="1"/>
  <c r="J405"/>
  <c r="O405" s="1"/>
  <c r="J409"/>
  <c r="Q409" s="1"/>
  <c r="J413"/>
  <c r="P413" s="1"/>
  <c r="J417"/>
  <c r="Q417" s="1"/>
  <c r="J421"/>
  <c r="P421" s="1"/>
  <c r="J425"/>
  <c r="Q425" s="1"/>
  <c r="J429"/>
  <c r="O429" s="1"/>
  <c r="J433"/>
  <c r="Q433" s="1"/>
  <c r="J437"/>
  <c r="P437" s="1"/>
  <c r="J441"/>
  <c r="Q441" s="1"/>
  <c r="J445"/>
  <c r="P445" s="1"/>
  <c r="J449"/>
  <c r="Q449" s="1"/>
  <c r="J453"/>
  <c r="P453" s="1"/>
  <c r="J457"/>
  <c r="Q457" s="1"/>
  <c r="J461"/>
  <c r="P461" s="1"/>
  <c r="J465"/>
  <c r="Q465" s="1"/>
  <c r="J469"/>
  <c r="P469" s="1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O501" s="1"/>
  <c r="J505"/>
  <c r="P505" s="1"/>
  <c r="J509"/>
  <c r="Q509" s="1"/>
  <c r="J513"/>
  <c r="Q513" s="1"/>
  <c r="J517"/>
  <c r="Q517" s="1"/>
  <c r="J521"/>
  <c r="P521" s="1"/>
  <c r="J525"/>
  <c r="O525" s="1"/>
  <c r="J529"/>
  <c r="Q529" s="1"/>
  <c r="J533"/>
  <c r="P533" s="1"/>
  <c r="J537"/>
  <c r="Q537" s="1"/>
  <c r="J541"/>
  <c r="P541" s="1"/>
  <c r="J545"/>
  <c r="Q545" s="1"/>
  <c r="J549"/>
  <c r="O549" s="1"/>
  <c r="J553"/>
  <c r="P553" s="1"/>
  <c r="J557"/>
  <c r="P557" s="1"/>
  <c r="J561"/>
  <c r="Q561" s="1"/>
  <c r="J565"/>
  <c r="O565" s="1"/>
  <c r="J569"/>
  <c r="P569" s="1"/>
  <c r="J573"/>
  <c r="Q573" s="1"/>
  <c r="J577"/>
  <c r="Q577" s="1"/>
  <c r="J581"/>
  <c r="Q581" s="1"/>
  <c r="J585"/>
  <c r="P585" s="1"/>
  <c r="J589"/>
  <c r="O589" s="1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P629" s="1"/>
  <c r="J633"/>
  <c r="P633" s="1"/>
  <c r="J637"/>
  <c r="Q637" s="1"/>
  <c r="J641"/>
  <c r="Q641" s="1"/>
  <c r="J645"/>
  <c r="Q645" s="1"/>
  <c r="J649"/>
  <c r="P649" s="1"/>
  <c r="J653"/>
  <c r="P653" s="1"/>
  <c r="J657"/>
  <c r="Q657" s="1"/>
  <c r="J661"/>
  <c r="Q661" s="1"/>
  <c r="J665"/>
  <c r="Q665" s="1"/>
  <c r="J669"/>
  <c r="P669" s="1"/>
  <c r="J673"/>
  <c r="Q673" s="1"/>
  <c r="J677"/>
  <c r="O677" s="1"/>
  <c r="J681"/>
  <c r="P681" s="1"/>
  <c r="J685"/>
  <c r="P685" s="1"/>
  <c r="J689"/>
  <c r="Q689" s="1"/>
  <c r="J693"/>
  <c r="O693" s="1"/>
  <c r="J697"/>
  <c r="P697" s="1"/>
  <c r="J701"/>
  <c r="Q701" s="1"/>
  <c r="J705"/>
  <c r="Q705" s="1"/>
  <c r="J709"/>
  <c r="P709" s="1"/>
  <c r="J713"/>
  <c r="P713" s="1"/>
  <c r="J717"/>
  <c r="O717" s="1"/>
  <c r="J721"/>
  <c r="Q721" s="1"/>
  <c r="J725"/>
  <c r="O725" s="1"/>
  <c r="J729"/>
  <c r="Q729" s="1"/>
  <c r="J733"/>
  <c r="P733" s="1"/>
  <c r="J737"/>
  <c r="Q737" s="1"/>
  <c r="J741"/>
  <c r="O741" s="1"/>
  <c r="J745"/>
  <c r="P745" s="1"/>
  <c r="J749"/>
  <c r="P749" s="1"/>
  <c r="J753"/>
  <c r="Q753" s="1"/>
  <c r="J757"/>
  <c r="P757" s="1"/>
  <c r="J761"/>
  <c r="P761" s="1"/>
  <c r="J765"/>
  <c r="Q765" s="1"/>
  <c r="J769"/>
  <c r="Q769" s="1"/>
  <c r="J556"/>
  <c r="Q556" s="1"/>
  <c r="J570"/>
  <c r="O570" s="1"/>
  <c r="J590"/>
  <c r="P590" s="1"/>
  <c r="J612"/>
  <c r="P612" s="1"/>
  <c r="J636"/>
  <c r="P636" s="1"/>
  <c r="J658"/>
  <c r="P658" s="1"/>
  <c r="J682"/>
  <c r="O682" s="1"/>
  <c r="J702"/>
  <c r="O702" s="1"/>
  <c r="J724"/>
  <c r="O724" s="1"/>
  <c r="J748"/>
  <c r="O748" s="1"/>
  <c r="J772"/>
  <c r="P772" s="1"/>
  <c r="J568"/>
  <c r="P568" s="1"/>
  <c r="J600"/>
  <c r="P600" s="1"/>
  <c r="J632"/>
  <c r="O632" s="1"/>
  <c r="J656"/>
  <c r="P656" s="1"/>
  <c r="J696"/>
  <c r="Q696" s="1"/>
  <c r="J728"/>
  <c r="P728" s="1"/>
  <c r="J752"/>
  <c r="P752" s="1"/>
  <c r="J564"/>
  <c r="P564" s="1"/>
  <c r="J588"/>
  <c r="P588" s="1"/>
  <c r="J610"/>
  <c r="P610" s="1"/>
  <c r="J630"/>
  <c r="P630" s="1"/>
  <c r="J650"/>
  <c r="O650" s="1"/>
  <c r="J670"/>
  <c r="P670" s="1"/>
  <c r="J690"/>
  <c r="O690" s="1"/>
  <c r="J710"/>
  <c r="O710" s="1"/>
  <c r="J730"/>
  <c r="P730" s="1"/>
  <c r="J750"/>
  <c r="Q750" s="1"/>
  <c r="J770"/>
  <c r="Q770" s="1"/>
  <c r="J576"/>
  <c r="O576" s="1"/>
  <c r="J608"/>
  <c r="O608" s="1"/>
  <c r="J648"/>
  <c r="O648" s="1"/>
  <c r="J672"/>
  <c r="Q672" s="1"/>
  <c r="J704"/>
  <c r="Q704" s="1"/>
  <c r="J744"/>
  <c r="P744" s="1"/>
  <c r="P3"/>
  <c r="X3" s="1"/>
  <c r="J35"/>
  <c r="O35" s="1"/>
  <c r="J51"/>
  <c r="O51" s="1"/>
  <c r="J67"/>
  <c r="P67" s="1"/>
  <c r="J83"/>
  <c r="P83" s="1"/>
  <c r="J99"/>
  <c r="O99" s="1"/>
  <c r="J115"/>
  <c r="O115" s="1"/>
  <c r="J131"/>
  <c r="O131" s="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P52" s="1"/>
  <c r="J60"/>
  <c r="O60" s="1"/>
  <c r="J68"/>
  <c r="O68" s="1"/>
  <c r="J76"/>
  <c r="Q76" s="1"/>
  <c r="J84"/>
  <c r="Q84" s="1"/>
  <c r="J92"/>
  <c r="Q92" s="1"/>
  <c r="J100"/>
  <c r="Q100" s="1"/>
  <c r="J108"/>
  <c r="P108" s="1"/>
  <c r="J116"/>
  <c r="P116" s="1"/>
  <c r="J124"/>
  <c r="P124" s="1"/>
  <c r="J132"/>
  <c r="O132" s="1"/>
  <c r="J140"/>
  <c r="Q140" s="1"/>
  <c r="J148"/>
  <c r="O148" s="1"/>
  <c r="J156"/>
  <c r="P156" s="1"/>
  <c r="J164"/>
  <c r="P164" s="1"/>
  <c r="J172"/>
  <c r="P172" s="1"/>
  <c r="J180"/>
  <c r="Q180" s="1"/>
  <c r="J188"/>
  <c r="O188" s="1"/>
  <c r="J196"/>
  <c r="O196" s="1"/>
  <c r="J204"/>
  <c r="Q204" s="1"/>
  <c r="J212"/>
  <c r="P212" s="1"/>
  <c r="J220"/>
  <c r="P220" s="1"/>
  <c r="J228"/>
  <c r="P228" s="1"/>
  <c r="J236"/>
  <c r="P236" s="1"/>
  <c r="J244"/>
  <c r="P244" s="1"/>
  <c r="J252"/>
  <c r="P252" s="1"/>
  <c r="J260"/>
  <c r="O260" s="1"/>
  <c r="J268"/>
  <c r="Q268" s="1"/>
  <c r="J276"/>
  <c r="O276" s="1"/>
  <c r="J284"/>
  <c r="Q284" s="1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O263" s="1"/>
  <c r="J271"/>
  <c r="P271" s="1"/>
  <c r="J279"/>
  <c r="O279" s="1"/>
  <c r="J554"/>
  <c r="Q554" s="1"/>
  <c r="J566"/>
  <c r="Q566" s="1"/>
  <c r="J586"/>
  <c r="O586" s="1"/>
  <c r="J606"/>
  <c r="O606" s="1"/>
  <c r="J628"/>
  <c r="P628" s="1"/>
  <c r="J652"/>
  <c r="O652" s="1"/>
  <c r="J674"/>
  <c r="O674" s="1"/>
  <c r="J698"/>
  <c r="Q698" s="1"/>
  <c r="J718"/>
  <c r="O718" s="1"/>
  <c r="J742"/>
  <c r="Q742" s="1"/>
  <c r="J764"/>
  <c r="Q764" s="1"/>
  <c r="J582"/>
  <c r="O582" s="1"/>
  <c r="J604"/>
  <c r="O604" s="1"/>
  <c r="J626"/>
  <c r="O626" s="1"/>
  <c r="J644"/>
  <c r="Q644" s="1"/>
  <c r="J666"/>
  <c r="Q666" s="1"/>
  <c r="J684"/>
  <c r="Q684" s="1"/>
  <c r="J706"/>
  <c r="Q706" s="1"/>
  <c r="J726"/>
  <c r="O726" s="1"/>
  <c r="J746"/>
  <c r="O746" s="1"/>
  <c r="J766"/>
  <c r="O766" s="1"/>
  <c r="J39"/>
  <c r="O39" s="1"/>
  <c r="J55"/>
  <c r="O55" s="1"/>
  <c r="J71"/>
  <c r="Q71" s="1"/>
  <c r="J87"/>
  <c r="P87" s="1"/>
  <c r="J103"/>
  <c r="O103" s="1"/>
  <c r="J119"/>
  <c r="O119" s="1"/>
  <c r="J135"/>
  <c r="O135" s="1"/>
  <c r="J151"/>
  <c r="O151" s="1"/>
  <c r="J167"/>
  <c r="Q167" s="1"/>
  <c r="J183"/>
  <c r="O183" s="1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O146" s="1"/>
  <c r="J154"/>
  <c r="O154" s="1"/>
  <c r="J162"/>
  <c r="P162" s="1"/>
  <c r="J170"/>
  <c r="P170" s="1"/>
  <c r="J178"/>
  <c r="Q178" s="1"/>
  <c r="J186"/>
  <c r="O186" s="1"/>
  <c r="J194"/>
  <c r="P194" s="1"/>
  <c r="J202"/>
  <c r="O202" s="1"/>
  <c r="J210"/>
  <c r="O210" s="1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P538" s="1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O323" s="1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Q387" s="1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P451" s="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P499" s="1"/>
  <c r="J503"/>
  <c r="O503" s="1"/>
  <c r="J507"/>
  <c r="Q507" s="1"/>
  <c r="J511"/>
  <c r="O511" s="1"/>
  <c r="J515"/>
  <c r="P515" s="1"/>
  <c r="J519"/>
  <c r="O519" s="1"/>
  <c r="J523"/>
  <c r="P523" s="1"/>
  <c r="J527"/>
  <c r="O527" s="1"/>
  <c r="J531"/>
  <c r="P531" s="1"/>
  <c r="J535"/>
  <c r="Q535" s="1"/>
  <c r="J539"/>
  <c r="P539" s="1"/>
  <c r="J543"/>
  <c r="P543" s="1"/>
  <c r="J547"/>
  <c r="Q547" s="1"/>
  <c r="J551"/>
  <c r="O551" s="1"/>
  <c r="J555"/>
  <c r="O555" s="1"/>
  <c r="J559"/>
  <c r="O559" s="1"/>
  <c r="J563"/>
  <c r="P563" s="1"/>
  <c r="J567"/>
  <c r="Q567" s="1"/>
  <c r="J571"/>
  <c r="O571" s="1"/>
  <c r="J575"/>
  <c r="P575" s="1"/>
  <c r="J579"/>
  <c r="P579" s="1"/>
  <c r="J583"/>
  <c r="O583" s="1"/>
  <c r="J587"/>
  <c r="Q587" s="1"/>
  <c r="J591"/>
  <c r="P591" s="1"/>
  <c r="J595"/>
  <c r="O595" s="1"/>
  <c r="J599"/>
  <c r="Q599" s="1"/>
  <c r="J603"/>
  <c r="O603" s="1"/>
  <c r="J607"/>
  <c r="Q607" s="1"/>
  <c r="J611"/>
  <c r="Q611" s="1"/>
  <c r="J615"/>
  <c r="P615" s="1"/>
  <c r="J619"/>
  <c r="P619" s="1"/>
  <c r="J623"/>
  <c r="P623" s="1"/>
  <c r="J627"/>
  <c r="Q627" s="1"/>
  <c r="J631"/>
  <c r="Q631" s="1"/>
  <c r="J635"/>
  <c r="P635" s="1"/>
  <c r="J639"/>
  <c r="O639" s="1"/>
  <c r="J643"/>
  <c r="P643" s="1"/>
  <c r="J647"/>
  <c r="P647" s="1"/>
  <c r="J651"/>
  <c r="O651" s="1"/>
  <c r="J655"/>
  <c r="O655" s="1"/>
  <c r="J659"/>
  <c r="O659" s="1"/>
  <c r="J663"/>
  <c r="P663" s="1"/>
  <c r="J667"/>
  <c r="P667" s="1"/>
  <c r="J671"/>
  <c r="P671" s="1"/>
  <c r="J675"/>
  <c r="O675" s="1"/>
  <c r="J679"/>
  <c r="O679" s="1"/>
  <c r="J683"/>
  <c r="Q683" s="1"/>
  <c r="J687"/>
  <c r="P687" s="1"/>
  <c r="J691"/>
  <c r="P691" s="1"/>
  <c r="J695"/>
  <c r="P695" s="1"/>
  <c r="J699"/>
  <c r="O699" s="1"/>
  <c r="J703"/>
  <c r="P703" s="1"/>
  <c r="J707"/>
  <c r="P707" s="1"/>
  <c r="J711"/>
  <c r="O711" s="1"/>
  <c r="J715"/>
  <c r="P715" s="1"/>
  <c r="J719"/>
  <c r="P719" s="1"/>
  <c r="J723"/>
  <c r="P723" s="1"/>
  <c r="J727"/>
  <c r="P727" s="1"/>
  <c r="J731"/>
  <c r="Q731" s="1"/>
  <c r="J735"/>
  <c r="Q735" s="1"/>
  <c r="J739"/>
  <c r="Q739" s="1"/>
  <c r="J743"/>
  <c r="O743" s="1"/>
  <c r="J747"/>
  <c r="P747" s="1"/>
  <c r="J751"/>
  <c r="O751" s="1"/>
  <c r="J755"/>
  <c r="P755" s="1"/>
  <c r="J759"/>
  <c r="O759" s="1"/>
  <c r="J763"/>
  <c r="P763" s="1"/>
  <c r="J767"/>
  <c r="O767" s="1"/>
  <c r="J771"/>
  <c r="P771" s="1"/>
  <c r="J550"/>
  <c r="P550" s="1"/>
  <c r="J562"/>
  <c r="Q562" s="1"/>
  <c r="J580"/>
  <c r="O580" s="1"/>
  <c r="J602"/>
  <c r="O602" s="1"/>
  <c r="J622"/>
  <c r="O622" s="1"/>
  <c r="J646"/>
  <c r="O646" s="1"/>
  <c r="J668"/>
  <c r="O668" s="1"/>
  <c r="J692"/>
  <c r="Q692" s="1"/>
  <c r="J714"/>
  <c r="O714" s="1"/>
  <c r="J738"/>
  <c r="Q738" s="1"/>
  <c r="J758"/>
  <c r="P758" s="1"/>
  <c r="J560"/>
  <c r="O560" s="1"/>
  <c r="J584"/>
  <c r="O584" s="1"/>
  <c r="J616"/>
  <c r="P616" s="1"/>
  <c r="J640"/>
  <c r="Q640" s="1"/>
  <c r="J680"/>
  <c r="P680" s="1"/>
  <c r="J712"/>
  <c r="P712" s="1"/>
  <c r="J736"/>
  <c r="P736" s="1"/>
  <c r="J768"/>
  <c r="P768" s="1"/>
  <c r="J578"/>
  <c r="P578" s="1"/>
  <c r="J598"/>
  <c r="O598" s="1"/>
  <c r="J620"/>
  <c r="O620" s="1"/>
  <c r="J638"/>
  <c r="O638" s="1"/>
  <c r="J660"/>
  <c r="Q660" s="1"/>
  <c r="J678"/>
  <c r="Q678" s="1"/>
  <c r="J700"/>
  <c r="P700" s="1"/>
  <c r="J722"/>
  <c r="P722" s="1"/>
  <c r="J740"/>
  <c r="P740" s="1"/>
  <c r="J762"/>
  <c r="O762" s="1"/>
  <c r="J552"/>
  <c r="P552" s="1"/>
  <c r="J592"/>
  <c r="Q592" s="1"/>
  <c r="J624"/>
  <c r="P624" s="1"/>
  <c r="J664"/>
  <c r="P664" s="1"/>
  <c r="J688"/>
  <c r="Q688" s="1"/>
  <c r="J720"/>
  <c r="O720" s="1"/>
  <c r="J760"/>
  <c r="P760" s="1"/>
  <c r="P5"/>
  <c r="R5" s="1"/>
  <c r="W5" s="1"/>
  <c r="J47"/>
  <c r="O47" s="1"/>
  <c r="J63"/>
  <c r="O63" s="1"/>
  <c r="J79"/>
  <c r="Q79" s="1"/>
  <c r="J95"/>
  <c r="O95" s="1"/>
  <c r="J111"/>
  <c r="O111" s="1"/>
  <c r="J127"/>
  <c r="O127" s="1"/>
  <c r="J143"/>
  <c r="Q143" s="1"/>
  <c r="J159"/>
  <c r="O159" s="1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O558" s="1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O734" s="1"/>
  <c r="J756"/>
  <c r="P756" s="1"/>
  <c r="AA22"/>
  <c r="Z35"/>
  <c r="W22"/>
  <c r="O107"/>
  <c r="P273"/>
  <c r="O33"/>
  <c r="P187"/>
  <c r="P129"/>
  <c r="P257"/>
  <c r="O67"/>
  <c r="Q515"/>
  <c r="O563"/>
  <c r="O309"/>
  <c r="P357"/>
  <c r="Q453"/>
  <c r="O485"/>
  <c r="Q565"/>
  <c r="P661"/>
  <c r="P627"/>
  <c r="P675"/>
  <c r="Q682"/>
  <c r="O293"/>
  <c r="P341"/>
  <c r="Q421"/>
  <c r="O469"/>
  <c r="O517"/>
  <c r="Q549"/>
  <c r="P597"/>
  <c r="O645"/>
  <c r="Q741"/>
  <c r="Q691"/>
  <c r="Q229"/>
  <c r="P325"/>
  <c r="Q437"/>
  <c r="P501"/>
  <c r="P724"/>
  <c r="O533"/>
  <c r="O581"/>
  <c r="Q677"/>
  <c r="P725"/>
  <c r="Q403"/>
  <c r="P403"/>
  <c r="O566"/>
  <c r="O630"/>
  <c r="Q726"/>
  <c r="Q576"/>
  <c r="P704"/>
  <c r="Q752"/>
  <c r="O752"/>
  <c r="P33"/>
  <c r="O145"/>
  <c r="O161"/>
  <c r="O257"/>
  <c r="Q119"/>
  <c r="Q227"/>
  <c r="P227"/>
  <c r="Q483"/>
  <c r="O483"/>
  <c r="Q46"/>
  <c r="O46"/>
  <c r="P62"/>
  <c r="P78"/>
  <c r="P94"/>
  <c r="Q110"/>
  <c r="O110"/>
  <c r="O126"/>
  <c r="P142"/>
  <c r="O158"/>
  <c r="Q174"/>
  <c r="O174"/>
  <c r="Q190"/>
  <c r="P206"/>
  <c r="Q222"/>
  <c r="Q238"/>
  <c r="O238"/>
  <c r="P270"/>
  <c r="Q302"/>
  <c r="O302"/>
  <c r="P318"/>
  <c r="P334"/>
  <c r="P350"/>
  <c r="Q366"/>
  <c r="O366"/>
  <c r="O382"/>
  <c r="P398"/>
  <c r="O414"/>
  <c r="Q430"/>
  <c r="O430"/>
  <c r="Q446"/>
  <c r="P462"/>
  <c r="Q478"/>
  <c r="Q494"/>
  <c r="P494"/>
  <c r="O413"/>
  <c r="Q429"/>
  <c r="O445"/>
  <c r="Q461"/>
  <c r="P477"/>
  <c r="Q493"/>
  <c r="O509"/>
  <c r="Q525"/>
  <c r="Q444"/>
  <c r="Q588"/>
  <c r="Q652"/>
  <c r="P652"/>
  <c r="O541"/>
  <c r="Q557"/>
  <c r="O573"/>
  <c r="Q589"/>
  <c r="O605"/>
  <c r="Q621"/>
  <c r="O637"/>
  <c r="Q653"/>
  <c r="O669"/>
  <c r="Q685"/>
  <c r="O701"/>
  <c r="Q717"/>
  <c r="O733"/>
  <c r="Q749"/>
  <c r="O765"/>
  <c r="P317"/>
  <c r="P333"/>
  <c r="P381"/>
  <c r="P397"/>
  <c r="P509"/>
  <c r="P701"/>
  <c r="O588"/>
  <c r="P178"/>
  <c r="P210"/>
  <c r="O76"/>
  <c r="Q124"/>
  <c r="O156"/>
  <c r="O284"/>
  <c r="Q263"/>
  <c r="Q371"/>
  <c r="Q346"/>
  <c r="P378"/>
  <c r="Q442"/>
  <c r="P442"/>
  <c r="Q542"/>
  <c r="O590"/>
  <c r="Q670"/>
  <c r="O750"/>
  <c r="P632"/>
  <c r="Q680"/>
  <c r="O285"/>
  <c r="O301"/>
  <c r="O349"/>
  <c r="O365"/>
  <c r="P589"/>
  <c r="P717"/>
  <c r="O556"/>
  <c r="O704"/>
  <c r="O266" l="1"/>
  <c r="P188"/>
  <c r="P211"/>
  <c r="P490"/>
  <c r="Q252"/>
  <c r="Q316"/>
  <c r="O298"/>
  <c r="Q648"/>
  <c r="Q568"/>
  <c r="Q606"/>
  <c r="P426"/>
  <c r="P284"/>
  <c r="Q220"/>
  <c r="O124"/>
  <c r="O222"/>
  <c r="O330"/>
  <c r="O696"/>
  <c r="O568"/>
  <c r="P606"/>
  <c r="Q590"/>
  <c r="R590" s="1"/>
  <c r="P266"/>
  <c r="Q243"/>
  <c r="O220"/>
  <c r="Q188"/>
  <c r="O92"/>
  <c r="Q540"/>
  <c r="P380"/>
  <c r="O478"/>
  <c r="R478" s="1"/>
  <c r="Q350"/>
  <c r="O286"/>
  <c r="O254"/>
  <c r="P190"/>
  <c r="R190" s="1"/>
  <c r="Q94"/>
  <c r="Q99"/>
  <c r="P81"/>
  <c r="O458"/>
  <c r="P508"/>
  <c r="P696"/>
  <c r="P648"/>
  <c r="P750"/>
  <c r="P243"/>
  <c r="Q156"/>
  <c r="P92"/>
  <c r="P60"/>
  <c r="Q211"/>
  <c r="O540"/>
  <c r="P412"/>
  <c r="O510"/>
  <c r="Q414"/>
  <c r="R414" s="1"/>
  <c r="Q382"/>
  <c r="O318"/>
  <c r="P286"/>
  <c r="P254"/>
  <c r="R254" s="1"/>
  <c r="Q158"/>
  <c r="Q126"/>
  <c r="O62"/>
  <c r="O273"/>
  <c r="O113"/>
  <c r="Q725"/>
  <c r="O629"/>
  <c r="P581"/>
  <c r="Q533"/>
  <c r="R533" s="1"/>
  <c r="Q501"/>
  <c r="P389"/>
  <c r="O325"/>
  <c r="P693"/>
  <c r="P645"/>
  <c r="Q597"/>
  <c r="R597" s="1"/>
  <c r="P517"/>
  <c r="Q469"/>
  <c r="P373"/>
  <c r="O341"/>
  <c r="R341" s="1"/>
  <c r="Q293"/>
  <c r="Q757"/>
  <c r="O613"/>
  <c r="P485"/>
  <c r="P405"/>
  <c r="O357"/>
  <c r="Q309"/>
  <c r="R309" s="1"/>
  <c r="P171"/>
  <c r="R8"/>
  <c r="W8" s="1"/>
  <c r="O684"/>
  <c r="O670"/>
  <c r="O542"/>
  <c r="O252"/>
  <c r="Q60"/>
  <c r="Q476"/>
  <c r="O316"/>
  <c r="Q510"/>
  <c r="O446"/>
  <c r="P35"/>
  <c r="P49"/>
  <c r="P677"/>
  <c r="Q629"/>
  <c r="O437"/>
  <c r="Q389"/>
  <c r="P741"/>
  <c r="R741" s="1"/>
  <c r="Q693"/>
  <c r="P549"/>
  <c r="Q772"/>
  <c r="O421"/>
  <c r="R421" s="1"/>
  <c r="Q373"/>
  <c r="P682"/>
  <c r="Q709"/>
  <c r="P565"/>
  <c r="O453"/>
  <c r="Q405"/>
  <c r="O772"/>
  <c r="R772" s="1"/>
  <c r="Q245"/>
  <c r="O709"/>
  <c r="P613"/>
  <c r="P213"/>
  <c r="P75"/>
  <c r="O680"/>
  <c r="R680" s="1"/>
  <c r="P435"/>
  <c r="Q467"/>
  <c r="P726"/>
  <c r="O178"/>
  <c r="R178" s="1"/>
  <c r="P644"/>
  <c r="O547"/>
  <c r="P323"/>
  <c r="R323" s="1"/>
  <c r="Q643"/>
  <c r="Q531"/>
  <c r="P387"/>
  <c r="Q744"/>
  <c r="Q122"/>
  <c r="Q52"/>
  <c r="P148"/>
  <c r="Q54"/>
  <c r="O641"/>
  <c r="Q564"/>
  <c r="Q410"/>
  <c r="P263"/>
  <c r="R263" s="1"/>
  <c r="P668"/>
  <c r="P119"/>
  <c r="R119" s="1"/>
  <c r="P742"/>
  <c r="P547"/>
  <c r="O538"/>
  <c r="Q579"/>
  <c r="O611"/>
  <c r="O387"/>
  <c r="Q131"/>
  <c r="O249"/>
  <c r="Q506"/>
  <c r="Q282"/>
  <c r="Q499"/>
  <c r="P492"/>
  <c r="Q355"/>
  <c r="Q55"/>
  <c r="P98"/>
  <c r="O506"/>
  <c r="R506" s="1"/>
  <c r="P314"/>
  <c r="P307"/>
  <c r="O140"/>
  <c r="P269"/>
  <c r="P524"/>
  <c r="O428"/>
  <c r="P355"/>
  <c r="R355" s="1"/>
  <c r="Q183"/>
  <c r="P55"/>
  <c r="R55" s="1"/>
  <c r="P339"/>
  <c r="P249"/>
  <c r="P97"/>
  <c r="O742"/>
  <c r="Q710"/>
  <c r="O644"/>
  <c r="P595"/>
  <c r="O627"/>
  <c r="R627" s="1"/>
  <c r="Q707"/>
  <c r="O451"/>
  <c r="Q323"/>
  <c r="O97"/>
  <c r="P304"/>
  <c r="P592"/>
  <c r="P611"/>
  <c r="P400"/>
  <c r="O173"/>
  <c r="O205"/>
  <c r="Q734"/>
  <c r="Q720"/>
  <c r="O771"/>
  <c r="O481"/>
  <c r="O180"/>
  <c r="O721"/>
  <c r="Q674"/>
  <c r="Q308"/>
  <c r="O342"/>
  <c r="P666"/>
  <c r="P195"/>
  <c r="P401"/>
  <c r="Q186"/>
  <c r="P276"/>
  <c r="O764"/>
  <c r="Q116"/>
  <c r="P123"/>
  <c r="O123"/>
  <c r="P513"/>
  <c r="P625"/>
  <c r="P135"/>
  <c r="Q163"/>
  <c r="O353"/>
  <c r="Q310"/>
  <c r="O545"/>
  <c r="P186"/>
  <c r="P199"/>
  <c r="P71"/>
  <c r="P180"/>
  <c r="R180" s="1"/>
  <c r="O52"/>
  <c r="P114"/>
  <c r="P674"/>
  <c r="P163"/>
  <c r="Q212"/>
  <c r="O769"/>
  <c r="O385"/>
  <c r="Q582"/>
  <c r="Q290"/>
  <c r="Q244"/>
  <c r="Q404"/>
  <c r="P406"/>
  <c r="P436"/>
  <c r="O666"/>
  <c r="O86"/>
  <c r="O195"/>
  <c r="R195" s="1"/>
  <c r="P641"/>
  <c r="R641" s="1"/>
  <c r="O689"/>
  <c r="P59"/>
  <c r="P599"/>
  <c r="O737"/>
  <c r="P561"/>
  <c r="O237"/>
  <c r="P764"/>
  <c r="Q154"/>
  <c r="O199"/>
  <c r="O71"/>
  <c r="Q276"/>
  <c r="P545"/>
  <c r="P748"/>
  <c r="O212"/>
  <c r="O433"/>
  <c r="O289"/>
  <c r="O656"/>
  <c r="O482"/>
  <c r="O114"/>
  <c r="R114" s="1"/>
  <c r="P500"/>
  <c r="Q502"/>
  <c r="Q118"/>
  <c r="Q532"/>
  <c r="O278"/>
  <c r="P385"/>
  <c r="O235"/>
  <c r="O203"/>
  <c r="O535"/>
  <c r="O417"/>
  <c r="O712"/>
  <c r="P154"/>
  <c r="Q551"/>
  <c r="Q135"/>
  <c r="P237"/>
  <c r="O658"/>
  <c r="P295"/>
  <c r="O513"/>
  <c r="R513" s="1"/>
  <c r="O321"/>
  <c r="O534"/>
  <c r="O84"/>
  <c r="P214"/>
  <c r="P468"/>
  <c r="O150"/>
  <c r="O471"/>
  <c r="O470"/>
  <c r="O59"/>
  <c r="R59" s="1"/>
  <c r="P705"/>
  <c r="P638"/>
  <c r="P122"/>
  <c r="P95"/>
  <c r="P48"/>
  <c r="P109"/>
  <c r="O592"/>
  <c r="O739"/>
  <c r="Q755"/>
  <c r="P144"/>
  <c r="P141"/>
  <c r="O758"/>
  <c r="P739"/>
  <c r="Q771"/>
  <c r="P580"/>
  <c r="O755"/>
  <c r="R755" s="1"/>
  <c r="P45"/>
  <c r="Q654"/>
  <c r="P432"/>
  <c r="P176"/>
  <c r="Q722"/>
  <c r="P560"/>
  <c r="O691"/>
  <c r="R691" s="1"/>
  <c r="Q723"/>
  <c r="O579"/>
  <c r="P659"/>
  <c r="Q563"/>
  <c r="R563" s="1"/>
  <c r="P77"/>
  <c r="Q159"/>
  <c r="Q95"/>
  <c r="P272"/>
  <c r="O732"/>
  <c r="Q528"/>
  <c r="P225"/>
  <c r="P526"/>
  <c r="P525"/>
  <c r="R525" s="1"/>
  <c r="O381"/>
  <c r="R381" s="1"/>
  <c r="O317"/>
  <c r="R317" s="1"/>
  <c r="O109"/>
  <c r="Q632"/>
  <c r="R632" s="1"/>
  <c r="P734"/>
  <c r="O654"/>
  <c r="Q638"/>
  <c r="Q558"/>
  <c r="Q526"/>
  <c r="Q474"/>
  <c r="P410"/>
  <c r="R410" s="1"/>
  <c r="P346"/>
  <c r="R346" s="1"/>
  <c r="P282"/>
  <c r="Q250"/>
  <c r="Q58"/>
  <c r="O499"/>
  <c r="R499" s="1"/>
  <c r="P371"/>
  <c r="R371" s="1"/>
  <c r="P159"/>
  <c r="O268"/>
  <c r="P566"/>
  <c r="R566" s="1"/>
  <c r="P464"/>
  <c r="P336"/>
  <c r="P208"/>
  <c r="P80"/>
  <c r="P765"/>
  <c r="R765" s="1"/>
  <c r="P573"/>
  <c r="R573" s="1"/>
  <c r="P429"/>
  <c r="R429" s="1"/>
  <c r="P349"/>
  <c r="R349" s="1"/>
  <c r="P285"/>
  <c r="R285" s="1"/>
  <c r="P173"/>
  <c r="O45"/>
  <c r="R45" s="1"/>
  <c r="P572"/>
  <c r="O749"/>
  <c r="R749" s="1"/>
  <c r="O685"/>
  <c r="R685" s="1"/>
  <c r="O653"/>
  <c r="R653" s="1"/>
  <c r="O621"/>
  <c r="R621" s="1"/>
  <c r="O557"/>
  <c r="R557" s="1"/>
  <c r="Q668"/>
  <c r="R668" s="1"/>
  <c r="Q636"/>
  <c r="O364"/>
  <c r="O493"/>
  <c r="R493" s="1"/>
  <c r="O461"/>
  <c r="R461" s="1"/>
  <c r="O722"/>
  <c r="Q462"/>
  <c r="R462" s="1"/>
  <c r="Q398"/>
  <c r="R398" s="1"/>
  <c r="Q334"/>
  <c r="R334" s="1"/>
  <c r="Q270"/>
  <c r="R270" s="1"/>
  <c r="Q206"/>
  <c r="R206" s="1"/>
  <c r="Q142"/>
  <c r="R142" s="1"/>
  <c r="Q78"/>
  <c r="R78" s="1"/>
  <c r="Q419"/>
  <c r="Q291"/>
  <c r="P183"/>
  <c r="R183" s="1"/>
  <c r="P467"/>
  <c r="O193"/>
  <c r="P720"/>
  <c r="P576"/>
  <c r="R576" s="1"/>
  <c r="Q560"/>
  <c r="Q758"/>
  <c r="P710"/>
  <c r="Q630"/>
  <c r="R630" s="1"/>
  <c r="Q210"/>
  <c r="R210" s="1"/>
  <c r="Q146"/>
  <c r="Q724"/>
  <c r="R724" s="1"/>
  <c r="O229"/>
  <c r="R229" s="1"/>
  <c r="O643"/>
  <c r="R643" s="1"/>
  <c r="Q595"/>
  <c r="Q538"/>
  <c r="O723"/>
  <c r="Q675"/>
  <c r="R675" s="1"/>
  <c r="O531"/>
  <c r="Q580"/>
  <c r="R580" s="1"/>
  <c r="O707"/>
  <c r="R707" s="1"/>
  <c r="Q659"/>
  <c r="O515"/>
  <c r="R515" s="1"/>
  <c r="Q451"/>
  <c r="P131"/>
  <c r="R131" s="1"/>
  <c r="Q67"/>
  <c r="R67" s="1"/>
  <c r="P161"/>
  <c r="R161" s="1"/>
  <c r="O187"/>
  <c r="R187" s="1"/>
  <c r="O155"/>
  <c r="P107"/>
  <c r="R107" s="1"/>
  <c r="P558"/>
  <c r="O397"/>
  <c r="R397" s="1"/>
  <c r="O333"/>
  <c r="R333" s="1"/>
  <c r="O269"/>
  <c r="R269" s="1"/>
  <c r="O141"/>
  <c r="P474"/>
  <c r="Q378"/>
  <c r="R378" s="1"/>
  <c r="Q314"/>
  <c r="P250"/>
  <c r="R250" s="1"/>
  <c r="P58"/>
  <c r="R58" s="1"/>
  <c r="Q435"/>
  <c r="R435" s="1"/>
  <c r="Q307"/>
  <c r="R307" s="1"/>
  <c r="O204"/>
  <c r="P146"/>
  <c r="P368"/>
  <c r="P240"/>
  <c r="P112"/>
  <c r="P556"/>
  <c r="R556" s="1"/>
  <c r="P637"/>
  <c r="R637" s="1"/>
  <c r="P365"/>
  <c r="R365" s="1"/>
  <c r="P301"/>
  <c r="R301" s="1"/>
  <c r="P205"/>
  <c r="O77"/>
  <c r="Q733"/>
  <c r="R733" s="1"/>
  <c r="Q669"/>
  <c r="R669" s="1"/>
  <c r="Q605"/>
  <c r="R605" s="1"/>
  <c r="Q541"/>
  <c r="R541" s="1"/>
  <c r="O636"/>
  <c r="O300"/>
  <c r="Q477"/>
  <c r="R477" s="1"/>
  <c r="Q445"/>
  <c r="R445" s="1"/>
  <c r="Q413"/>
  <c r="R413" s="1"/>
  <c r="P419"/>
  <c r="P291"/>
  <c r="Q339"/>
  <c r="O225"/>
  <c r="R225" s="1"/>
  <c r="O129"/>
  <c r="R129" s="1"/>
  <c r="P65"/>
  <c r="Q98"/>
  <c r="O259"/>
  <c r="P193"/>
  <c r="O65"/>
  <c r="P43"/>
  <c r="P155"/>
  <c r="O43"/>
  <c r="R43" s="1"/>
  <c r="O81"/>
  <c r="R81" s="1"/>
  <c r="Z7"/>
  <c r="Z5"/>
  <c r="P602"/>
  <c r="P679"/>
  <c r="O362"/>
  <c r="O234"/>
  <c r="P298"/>
  <c r="R298" s="1"/>
  <c r="Q508"/>
  <c r="R508" s="1"/>
  <c r="P348"/>
  <c r="Q35"/>
  <c r="O757"/>
  <c r="R757" s="1"/>
  <c r="O661"/>
  <c r="R661" s="1"/>
  <c r="Q616"/>
  <c r="Q664"/>
  <c r="P583"/>
  <c r="O615"/>
  <c r="Q663"/>
  <c r="O391"/>
  <c r="Q711"/>
  <c r="Q615"/>
  <c r="Q439"/>
  <c r="O514"/>
  <c r="P759"/>
  <c r="O631"/>
  <c r="P519"/>
  <c r="P455"/>
  <c r="Q375"/>
  <c r="Q423"/>
  <c r="O226"/>
  <c r="Q604"/>
  <c r="P234"/>
  <c r="P444"/>
  <c r="R444" s="1"/>
  <c r="Q412"/>
  <c r="R412" s="1"/>
  <c r="O348"/>
  <c r="R348" s="1"/>
  <c r="P217"/>
  <c r="O443"/>
  <c r="P699"/>
  <c r="Q522"/>
  <c r="Q539"/>
  <c r="P394"/>
  <c r="O476"/>
  <c r="O380"/>
  <c r="R380" s="1"/>
  <c r="O698"/>
  <c r="P279"/>
  <c r="O692"/>
  <c r="O667"/>
  <c r="Q151"/>
  <c r="O616"/>
  <c r="R616" s="1"/>
  <c r="P61"/>
  <c r="P555"/>
  <c r="Q66"/>
  <c r="P762"/>
  <c r="O125"/>
  <c r="Q622"/>
  <c r="O635"/>
  <c r="Q766"/>
  <c r="P694"/>
  <c r="P311"/>
  <c r="P423"/>
  <c r="O295"/>
  <c r="O354"/>
  <c r="Q343"/>
  <c r="O340"/>
  <c r="O760"/>
  <c r="Q218"/>
  <c r="O74"/>
  <c r="Q712"/>
  <c r="P584"/>
  <c r="P711"/>
  <c r="R711" s="1"/>
  <c r="O647"/>
  <c r="O567"/>
  <c r="O327"/>
  <c r="P503"/>
  <c r="O271"/>
  <c r="Q418"/>
  <c r="P84"/>
  <c r="O404"/>
  <c r="R404" s="1"/>
  <c r="P41"/>
  <c r="O468"/>
  <c r="P471"/>
  <c r="P340"/>
  <c r="O394"/>
  <c r="P603"/>
  <c r="O253"/>
  <c r="P622"/>
  <c r="O490"/>
  <c r="R490" s="1"/>
  <c r="P362"/>
  <c r="P223"/>
  <c r="Q715"/>
  <c r="O587"/>
  <c r="P175"/>
  <c r="O426"/>
  <c r="P731"/>
  <c r="O189"/>
  <c r="O32"/>
  <c r="P458"/>
  <c r="R458" s="1"/>
  <c r="P330"/>
  <c r="R330" s="1"/>
  <c r="P253"/>
  <c r="P157"/>
  <c r="O736"/>
  <c r="Q747"/>
  <c r="Q619"/>
  <c r="Q74"/>
  <c r="Q743"/>
  <c r="O546"/>
  <c r="P375"/>
  <c r="O311"/>
  <c r="P582"/>
  <c r="P418"/>
  <c r="O290"/>
  <c r="R290" s="1"/>
  <c r="Q487"/>
  <c r="Q359"/>
  <c r="Q372"/>
  <c r="P149"/>
  <c r="P586"/>
  <c r="Q407"/>
  <c r="P692"/>
  <c r="Q760"/>
  <c r="P574"/>
  <c r="P743"/>
  <c r="Q695"/>
  <c r="P631"/>
  <c r="P567"/>
  <c r="Q455"/>
  <c r="P391"/>
  <c r="Q578"/>
  <c r="Q482"/>
  <c r="Q354"/>
  <c r="Q226"/>
  <c r="P50"/>
  <c r="P359"/>
  <c r="O500"/>
  <c r="P277"/>
  <c r="P746"/>
  <c r="O660"/>
  <c r="O372"/>
  <c r="P407"/>
  <c r="Q756"/>
  <c r="O88"/>
  <c r="O85"/>
  <c r="P660"/>
  <c r="Q584"/>
  <c r="O504"/>
  <c r="P218"/>
  <c r="Q759"/>
  <c r="Q727"/>
  <c r="O695"/>
  <c r="O663"/>
  <c r="R663" s="1"/>
  <c r="Q647"/>
  <c r="Q583"/>
  <c r="P551"/>
  <c r="Q519"/>
  <c r="Q327"/>
  <c r="O578"/>
  <c r="Q546"/>
  <c r="Q503"/>
  <c r="P439"/>
  <c r="Q271"/>
  <c r="O116"/>
  <c r="O599"/>
  <c r="R599" s="1"/>
  <c r="O487"/>
  <c r="Q762"/>
  <c r="O624"/>
  <c r="Q514"/>
  <c r="Q450"/>
  <c r="Q386"/>
  <c r="Q322"/>
  <c r="Q258"/>
  <c r="O244"/>
  <c r="Q148"/>
  <c r="R148" s="1"/>
  <c r="O308"/>
  <c r="Q277"/>
  <c r="Q181"/>
  <c r="Q746"/>
  <c r="Q602"/>
  <c r="R602" s="1"/>
  <c r="Q586"/>
  <c r="P343"/>
  <c r="Q111"/>
  <c r="Q740"/>
  <c r="O532"/>
  <c r="Q436"/>
  <c r="P714"/>
  <c r="P535"/>
  <c r="P247"/>
  <c r="Q624"/>
  <c r="O727"/>
  <c r="Q679"/>
  <c r="O50"/>
  <c r="Q594"/>
  <c r="O241"/>
  <c r="O662"/>
  <c r="Q598"/>
  <c r="P450"/>
  <c r="P386"/>
  <c r="O322"/>
  <c r="O258"/>
  <c r="P111"/>
  <c r="O740"/>
  <c r="R740" s="1"/>
  <c r="P235"/>
  <c r="O105"/>
  <c r="P241"/>
  <c r="O248"/>
  <c r="Q184"/>
  <c r="O518"/>
  <c r="P93"/>
  <c r="O664"/>
  <c r="Q686"/>
  <c r="P90"/>
  <c r="O93"/>
  <c r="P522"/>
  <c r="P604"/>
  <c r="O747"/>
  <c r="O715"/>
  <c r="O683"/>
  <c r="Q651"/>
  <c r="O619"/>
  <c r="P587"/>
  <c r="Q571"/>
  <c r="O539"/>
  <c r="Q523"/>
  <c r="Q96"/>
  <c r="O177"/>
  <c r="O678"/>
  <c r="Q194"/>
  <c r="Q162"/>
  <c r="Q130"/>
  <c r="P151"/>
  <c r="P766"/>
  <c r="P113"/>
  <c r="R113" s="1"/>
  <c r="O363"/>
  <c r="O157"/>
  <c r="Q32"/>
  <c r="P571"/>
  <c r="Q763"/>
  <c r="P683"/>
  <c r="P651"/>
  <c r="Q603"/>
  <c r="Q555"/>
  <c r="O523"/>
  <c r="R523" s="1"/>
  <c r="P99"/>
  <c r="R99" s="1"/>
  <c r="Q160"/>
  <c r="O194"/>
  <c r="O162"/>
  <c r="O130"/>
  <c r="O215"/>
  <c r="Q87"/>
  <c r="O175"/>
  <c r="P47"/>
  <c r="P379"/>
  <c r="P145"/>
  <c r="R145" s="1"/>
  <c r="O459"/>
  <c r="P459"/>
  <c r="Q223"/>
  <c r="Q275"/>
  <c r="O763"/>
  <c r="O731"/>
  <c r="Q699"/>
  <c r="Q667"/>
  <c r="Q635"/>
  <c r="Q224"/>
  <c r="P698"/>
  <c r="Q279"/>
  <c r="R279" s="1"/>
  <c r="O87"/>
  <c r="P491"/>
  <c r="P315"/>
  <c r="P283"/>
  <c r="X8"/>
  <c r="Z8"/>
  <c r="O224"/>
  <c r="O160"/>
  <c r="R160" s="1"/>
  <c r="O96"/>
  <c r="Q320"/>
  <c r="P598"/>
  <c r="Q550"/>
  <c r="Q596"/>
  <c r="O427"/>
  <c r="P299"/>
  <c r="O507"/>
  <c r="O217"/>
  <c r="P507"/>
  <c r="O331"/>
  <c r="P347"/>
  <c r="O299"/>
  <c r="O395"/>
  <c r="P189"/>
  <c r="P125"/>
  <c r="O61"/>
  <c r="Q256"/>
  <c r="Q192"/>
  <c r="Q128"/>
  <c r="Q64"/>
  <c r="Q736"/>
  <c r="Q384"/>
  <c r="O550"/>
  <c r="P66"/>
  <c r="Q127"/>
  <c r="Q714"/>
  <c r="O491"/>
  <c r="O379"/>
  <c r="P177"/>
  <c r="O49"/>
  <c r="R49" s="1"/>
  <c r="O411"/>
  <c r="P411"/>
  <c r="P331"/>
  <c r="O283"/>
  <c r="P363"/>
  <c r="O256"/>
  <c r="O192"/>
  <c r="O128"/>
  <c r="O64"/>
  <c r="P678"/>
  <c r="Q448"/>
  <c r="P191"/>
  <c r="O315"/>
  <c r="P443"/>
  <c r="P684"/>
  <c r="R684" s="1"/>
  <c r="P475"/>
  <c r="O475"/>
  <c r="P395"/>
  <c r="P427"/>
  <c r="O347"/>
  <c r="Q694"/>
  <c r="P614"/>
  <c r="O239"/>
  <c r="P496"/>
  <c r="R6"/>
  <c r="W6" s="1"/>
  <c r="Y6"/>
  <c r="Z6"/>
  <c r="O686"/>
  <c r="P275"/>
  <c r="Q544"/>
  <c r="Q512"/>
  <c r="O448"/>
  <c r="R448" s="1"/>
  <c r="O384"/>
  <c r="R384" s="1"/>
  <c r="O320"/>
  <c r="O614"/>
  <c r="R614" s="1"/>
  <c r="O596"/>
  <c r="O480"/>
  <c r="P544"/>
  <c r="O512"/>
  <c r="Q480"/>
  <c r="Q416"/>
  <c r="Q352"/>
  <c r="Q288"/>
  <c r="O416"/>
  <c r="O352"/>
  <c r="O288"/>
  <c r="P166"/>
  <c r="P361"/>
  <c r="P281"/>
  <c r="O649"/>
  <c r="P520"/>
  <c r="O100"/>
  <c r="P498"/>
  <c r="O716"/>
  <c r="O441"/>
  <c r="P69"/>
  <c r="P770"/>
  <c r="Q115"/>
  <c r="P548"/>
  <c r="Q452"/>
  <c r="P356"/>
  <c r="Q392"/>
  <c r="P143"/>
  <c r="P196"/>
  <c r="P358"/>
  <c r="O697"/>
  <c r="Q728"/>
  <c r="Q456"/>
  <c r="Q489"/>
  <c r="Q51"/>
  <c r="Q228"/>
  <c r="P132"/>
  <c r="P716"/>
  <c r="O601"/>
  <c r="Q768"/>
  <c r="Q687"/>
  <c r="O708"/>
  <c r="O420"/>
  <c r="O390"/>
  <c r="Q326"/>
  <c r="P40"/>
  <c r="O251"/>
  <c r="O457"/>
  <c r="O91"/>
  <c r="R4"/>
  <c r="W4" s="1"/>
  <c r="P392"/>
  <c r="O745"/>
  <c r="O569"/>
  <c r="P488"/>
  <c r="Q521"/>
  <c r="Q702"/>
  <c r="Q690"/>
  <c r="P207"/>
  <c r="P79"/>
  <c r="P639"/>
  <c r="P260"/>
  <c r="Q164"/>
  <c r="P68"/>
  <c r="P751"/>
  <c r="P409"/>
  <c r="P153"/>
  <c r="P672"/>
  <c r="P454"/>
  <c r="P262"/>
  <c r="Q38"/>
  <c r="P72"/>
  <c r="O197"/>
  <c r="O486"/>
  <c r="Q198"/>
  <c r="O422"/>
  <c r="O361"/>
  <c r="P601"/>
  <c r="P729"/>
  <c r="P457"/>
  <c r="O617"/>
  <c r="Q600"/>
  <c r="Q328"/>
  <c r="Q179"/>
  <c r="O537"/>
  <c r="P231"/>
  <c r="O102"/>
  <c r="Q264"/>
  <c r="O294"/>
  <c r="O70"/>
  <c r="O104"/>
  <c r="O388"/>
  <c r="P165"/>
  <c r="Q230"/>
  <c r="P702"/>
  <c r="P626"/>
  <c r="O106"/>
  <c r="P424"/>
  <c r="P296"/>
  <c r="Q761"/>
  <c r="Q713"/>
  <c r="Q681"/>
  <c r="Q633"/>
  <c r="Q585"/>
  <c r="Q553"/>
  <c r="O770"/>
  <c r="R770" s="1"/>
  <c r="O728"/>
  <c r="O600"/>
  <c r="R600" s="1"/>
  <c r="Q552"/>
  <c r="O456"/>
  <c r="O328"/>
  <c r="O521"/>
  <c r="O489"/>
  <c r="Q106"/>
  <c r="O415"/>
  <c r="O287"/>
  <c r="P179"/>
  <c r="R179" s="1"/>
  <c r="P115"/>
  <c r="P51"/>
  <c r="O228"/>
  <c r="P100"/>
  <c r="P690"/>
  <c r="Q610"/>
  <c r="P562"/>
  <c r="O463"/>
  <c r="O335"/>
  <c r="O207"/>
  <c r="O143"/>
  <c r="R143" s="1"/>
  <c r="O79"/>
  <c r="Q703"/>
  <c r="P511"/>
  <c r="O231"/>
  <c r="Q103"/>
  <c r="O164"/>
  <c r="R164" s="1"/>
  <c r="O377"/>
  <c r="P329"/>
  <c r="O209"/>
  <c r="P121"/>
  <c r="O688"/>
  <c r="O640"/>
  <c r="Q751"/>
  <c r="Q36"/>
  <c r="O452"/>
  <c r="Q133"/>
  <c r="P102"/>
  <c r="O38"/>
  <c r="Q367"/>
  <c r="O264"/>
  <c r="Q168"/>
  <c r="P708"/>
  <c r="Q612"/>
  <c r="Q516"/>
  <c r="P420"/>
  <c r="Q324"/>
  <c r="P197"/>
  <c r="O69"/>
  <c r="P390"/>
  <c r="P294"/>
  <c r="O198"/>
  <c r="P70"/>
  <c r="O200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O221"/>
  <c r="P37"/>
  <c r="O672"/>
  <c r="O761"/>
  <c r="O713"/>
  <c r="O681"/>
  <c r="O633"/>
  <c r="O585"/>
  <c r="O553"/>
  <c r="Q520"/>
  <c r="Q488"/>
  <c r="Q424"/>
  <c r="Q360"/>
  <c r="Q296"/>
  <c r="Q505"/>
  <c r="Q42"/>
  <c r="Q147"/>
  <c r="Q132"/>
  <c r="P738"/>
  <c r="P242"/>
  <c r="O473"/>
  <c r="O409"/>
  <c r="P221"/>
  <c r="O37"/>
  <c r="R37" s="1"/>
  <c r="O738"/>
  <c r="R738" s="1"/>
  <c r="O610"/>
  <c r="O735"/>
  <c r="Q575"/>
  <c r="P167"/>
  <c r="Q260"/>
  <c r="Q68"/>
  <c r="P441"/>
  <c r="P345"/>
  <c r="P297"/>
  <c r="P89"/>
  <c r="Q559"/>
  <c r="O255"/>
  <c r="Q196"/>
  <c r="R196" s="1"/>
  <c r="O36"/>
  <c r="Q548"/>
  <c r="Q356"/>
  <c r="O133"/>
  <c r="P554"/>
  <c r="Q454"/>
  <c r="Q358"/>
  <c r="Q262"/>
  <c r="R262" s="1"/>
  <c r="Q166"/>
  <c r="P431"/>
  <c r="O168"/>
  <c r="R168" s="1"/>
  <c r="Q72"/>
  <c r="O612"/>
  <c r="O516"/>
  <c r="O324"/>
  <c r="Q486"/>
  <c r="O303"/>
  <c r="P200"/>
  <c r="Q628"/>
  <c r="O484"/>
  <c r="O292"/>
  <c r="R292" s="1"/>
  <c r="O101"/>
  <c r="R101" s="1"/>
  <c r="P618"/>
  <c r="O134"/>
  <c r="Q136"/>
  <c r="O665"/>
  <c r="O297"/>
  <c r="P665"/>
  <c r="O185"/>
  <c r="P91"/>
  <c r="X7"/>
  <c r="O42"/>
  <c r="P360"/>
  <c r="P425"/>
  <c r="O729"/>
  <c r="Q745"/>
  <c r="Q697"/>
  <c r="Q649"/>
  <c r="Q617"/>
  <c r="Q569"/>
  <c r="O505"/>
  <c r="P479"/>
  <c r="O351"/>
  <c r="P147"/>
  <c r="R147" s="1"/>
  <c r="P370"/>
  <c r="P655"/>
  <c r="O706"/>
  <c r="Q626"/>
  <c r="O399"/>
  <c r="P767"/>
  <c r="O607"/>
  <c r="O383"/>
  <c r="P473"/>
  <c r="O393"/>
  <c r="P313"/>
  <c r="P185"/>
  <c r="P57"/>
  <c r="Q623"/>
  <c r="P495"/>
  <c r="Q634"/>
  <c r="Q104"/>
  <c r="Q165"/>
  <c r="O136"/>
  <c r="R136" s="1"/>
  <c r="O40"/>
  <c r="O425"/>
  <c r="O329"/>
  <c r="R329" s="1"/>
  <c r="O313"/>
  <c r="O345"/>
  <c r="R345" s="1"/>
  <c r="O121"/>
  <c r="P219"/>
  <c r="P216"/>
  <c r="Q120"/>
  <c r="O117"/>
  <c r="Q47"/>
  <c r="P152"/>
  <c r="P53"/>
  <c r="Q280"/>
  <c r="O676"/>
  <c r="O267"/>
  <c r="R257"/>
  <c r="P662"/>
  <c r="O138"/>
  <c r="O673"/>
  <c r="O744"/>
  <c r="R744" s="1"/>
  <c r="O552"/>
  <c r="P504"/>
  <c r="Q138"/>
  <c r="P268"/>
  <c r="Q236"/>
  <c r="P204"/>
  <c r="Q172"/>
  <c r="P140"/>
  <c r="Q108"/>
  <c r="P76"/>
  <c r="R76" s="1"/>
  <c r="Q44"/>
  <c r="Q83"/>
  <c r="P534"/>
  <c r="O402"/>
  <c r="P274"/>
  <c r="P737"/>
  <c r="O657"/>
  <c r="P481"/>
  <c r="Q620"/>
  <c r="Q460"/>
  <c r="P428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P646"/>
  <c r="P657"/>
  <c r="P529"/>
  <c r="P265"/>
  <c r="P233"/>
  <c r="P201"/>
  <c r="P169"/>
  <c r="P137"/>
  <c r="P105"/>
  <c r="P73"/>
  <c r="O768"/>
  <c r="P688"/>
  <c r="P640"/>
  <c r="Q646"/>
  <c r="O687"/>
  <c r="O623"/>
  <c r="Q447"/>
  <c r="Q319"/>
  <c r="O191"/>
  <c r="P127"/>
  <c r="Q39"/>
  <c r="O756"/>
  <c r="O181"/>
  <c r="Q650"/>
  <c r="O554"/>
  <c r="P502"/>
  <c r="O310"/>
  <c r="O431"/>
  <c r="P367"/>
  <c r="O120"/>
  <c r="O564"/>
  <c r="O245"/>
  <c r="R245" s="1"/>
  <c r="P117"/>
  <c r="Q730"/>
  <c r="Q438"/>
  <c r="P342"/>
  <c r="Q246"/>
  <c r="P150"/>
  <c r="O118"/>
  <c r="P248"/>
  <c r="Q56"/>
  <c r="P676"/>
  <c r="O628"/>
  <c r="Q261"/>
  <c r="O53"/>
  <c r="Q570"/>
  <c r="P470"/>
  <c r="Q374"/>
  <c r="P278"/>
  <c r="Q182"/>
  <c r="P86"/>
  <c r="O54"/>
  <c r="O280"/>
  <c r="O184"/>
  <c r="P88"/>
  <c r="P289"/>
  <c r="O265"/>
  <c r="O137"/>
  <c r="O497"/>
  <c r="P305"/>
  <c r="P769"/>
  <c r="O139"/>
  <c r="P203"/>
  <c r="O83"/>
  <c r="P753"/>
  <c r="P497"/>
  <c r="Q536"/>
  <c r="Q718"/>
  <c r="Q202"/>
  <c r="Q170"/>
  <c r="O170"/>
  <c r="P689"/>
  <c r="O609"/>
  <c r="O449"/>
  <c r="O536"/>
  <c r="R536" s="1"/>
  <c r="Q472"/>
  <c r="Q440"/>
  <c r="Q408"/>
  <c r="Q376"/>
  <c r="Q344"/>
  <c r="Q312"/>
  <c r="P718"/>
  <c r="P202"/>
  <c r="Q479"/>
  <c r="Q415"/>
  <c r="Q351"/>
  <c r="Q287"/>
  <c r="O236"/>
  <c r="O172"/>
  <c r="O108"/>
  <c r="O44"/>
  <c r="O434"/>
  <c r="P306"/>
  <c r="P527"/>
  <c r="P673"/>
  <c r="O593"/>
  <c r="P449"/>
  <c r="Q700"/>
  <c r="P620"/>
  <c r="O460"/>
  <c r="O396"/>
  <c r="O332"/>
  <c r="O754"/>
  <c r="Q658"/>
  <c r="P530"/>
  <c r="Q463"/>
  <c r="Q399"/>
  <c r="Q335"/>
  <c r="P34"/>
  <c r="Q767"/>
  <c r="O671"/>
  <c r="Q639"/>
  <c r="O543"/>
  <c r="Q511"/>
  <c r="Q383"/>
  <c r="P63"/>
  <c r="O705"/>
  <c r="O577"/>
  <c r="O465"/>
  <c r="O401"/>
  <c r="O369"/>
  <c r="O337"/>
  <c r="O305"/>
  <c r="Q656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85"/>
  <c r="P650"/>
  <c r="Q406"/>
  <c r="R406" s="1"/>
  <c r="Q214"/>
  <c r="Q495"/>
  <c r="Q215"/>
  <c r="Q216"/>
  <c r="Q41"/>
  <c r="Q149"/>
  <c r="O730"/>
  <c r="O438"/>
  <c r="O246"/>
  <c r="Q303"/>
  <c r="Q152"/>
  <c r="O56"/>
  <c r="O261"/>
  <c r="Q213"/>
  <c r="R213" s="1"/>
  <c r="P570"/>
  <c r="O374"/>
  <c r="O182"/>
  <c r="P465"/>
  <c r="P321"/>
  <c r="R321" s="1"/>
  <c r="P433"/>
  <c r="O169"/>
  <c r="P577"/>
  <c r="P337"/>
  <c r="P209"/>
  <c r="P267"/>
  <c r="O472"/>
  <c r="O440"/>
  <c r="O408"/>
  <c r="O376"/>
  <c r="O344"/>
  <c r="O312"/>
  <c r="Q574"/>
  <c r="Q90"/>
  <c r="P706"/>
  <c r="O466"/>
  <c r="P338"/>
  <c r="O82"/>
  <c r="R82" s="1"/>
  <c r="P609"/>
  <c r="O529"/>
  <c r="P417"/>
  <c r="R417" s="1"/>
  <c r="Q748"/>
  <c r="O700"/>
  <c r="R700" s="1"/>
  <c r="Q524"/>
  <c r="Q492"/>
  <c r="P721"/>
  <c r="R721" s="1"/>
  <c r="P593"/>
  <c r="P608"/>
  <c r="O719"/>
  <c r="O591"/>
  <c r="R591" s="1"/>
  <c r="O171"/>
  <c r="R171" s="1"/>
  <c r="O625"/>
  <c r="P353"/>
  <c r="R353" s="1"/>
  <c r="O561"/>
  <c r="R561" s="1"/>
  <c r="O201"/>
  <c r="O73"/>
  <c r="O753"/>
  <c r="P369"/>
  <c r="O75"/>
  <c r="P139"/>
  <c r="O634"/>
  <c r="Q618"/>
  <c r="Q232"/>
  <c r="Y3"/>
  <c r="Z3"/>
  <c r="R3"/>
  <c r="W3" s="1"/>
  <c r="Q642"/>
  <c r="P528"/>
  <c r="Q732"/>
  <c r="Q572"/>
  <c r="P642"/>
  <c r="R642" s="1"/>
  <c r="Q272"/>
  <c r="Q240"/>
  <c r="Q208"/>
  <c r="Q176"/>
  <c r="Q144"/>
  <c r="Q112"/>
  <c r="Q80"/>
  <c r="Q48"/>
  <c r="Q496"/>
  <c r="Q464"/>
  <c r="Q432"/>
  <c r="Q400"/>
  <c r="R400" s="1"/>
  <c r="Q368"/>
  <c r="Q336"/>
  <c r="Q304"/>
  <c r="Q239"/>
  <c r="Q259"/>
  <c r="Y5"/>
  <c r="X5"/>
  <c r="Y4"/>
  <c r="X4"/>
  <c r="AA27"/>
  <c r="AB27"/>
  <c r="Z27"/>
  <c r="R704"/>
  <c r="R588"/>
  <c r="R652"/>
  <c r="R243"/>
  <c r="R211"/>
  <c r="R483"/>
  <c r="R227"/>
  <c r="R568"/>
  <c r="R670"/>
  <c r="R442"/>
  <c r="R717"/>
  <c r="R589"/>
  <c r="R510"/>
  <c r="R430"/>
  <c r="R366"/>
  <c r="R302"/>
  <c r="R238"/>
  <c r="R174"/>
  <c r="R110"/>
  <c r="R46"/>
  <c r="R758"/>
  <c r="R403"/>
  <c r="R677"/>
  <c r="R389"/>
  <c r="R373"/>
  <c r="R485"/>
  <c r="R453"/>
  <c r="R696"/>
  <c r="R542"/>
  <c r="R273"/>
  <c r="R701"/>
  <c r="R316"/>
  <c r="R469"/>
  <c r="R293"/>
  <c r="R579"/>
  <c r="R357"/>
  <c r="R611"/>
  <c r="R750"/>
  <c r="R124"/>
  <c r="R60"/>
  <c r="R540"/>
  <c r="R494"/>
  <c r="R350"/>
  <c r="R286"/>
  <c r="R222"/>
  <c r="R158"/>
  <c r="R94"/>
  <c r="R752"/>
  <c r="R629"/>
  <c r="R325"/>
  <c r="R547"/>
  <c r="R693"/>
  <c r="R549"/>
  <c r="R613"/>
  <c r="R405"/>
  <c r="R33"/>
  <c r="R606"/>
  <c r="R726"/>
  <c r="R581"/>
  <c r="R517"/>
  <c r="R682"/>
  <c r="R565"/>
  <c r="R284"/>
  <c r="R220"/>
  <c r="R156"/>
  <c r="R509"/>
  <c r="R446"/>
  <c r="R382"/>
  <c r="R318"/>
  <c r="R126"/>
  <c r="R62"/>
  <c r="R725"/>
  <c r="R501"/>
  <c r="R437"/>
  <c r="R645"/>
  <c r="R709"/>
  <c r="R666"/>
  <c r="AC35"/>
  <c r="R538" l="1"/>
  <c r="R252"/>
  <c r="R387"/>
  <c r="R92"/>
  <c r="R648"/>
  <c r="R188"/>
  <c r="R739"/>
  <c r="R266"/>
  <c r="R595"/>
  <c r="R173"/>
  <c r="R432"/>
  <c r="R86"/>
  <c r="R150"/>
  <c r="R140"/>
  <c r="R48"/>
  <c r="R524"/>
  <c r="R656"/>
  <c r="R54"/>
  <c r="R118"/>
  <c r="R564"/>
  <c r="R235"/>
  <c r="R712"/>
  <c r="R35"/>
  <c r="R659"/>
  <c r="R467"/>
  <c r="R722"/>
  <c r="R771"/>
  <c r="R122"/>
  <c r="R75"/>
  <c r="R144"/>
  <c r="R492"/>
  <c r="R658"/>
  <c r="R769"/>
  <c r="R582"/>
  <c r="R426"/>
  <c r="R476"/>
  <c r="R531"/>
  <c r="R186"/>
  <c r="R95"/>
  <c r="R71"/>
  <c r="R644"/>
  <c r="R97"/>
  <c r="R212"/>
  <c r="R249"/>
  <c r="R239"/>
  <c r="R278"/>
  <c r="R342"/>
  <c r="R193"/>
  <c r="R98"/>
  <c r="R742"/>
  <c r="R734"/>
  <c r="R592"/>
  <c r="R428"/>
  <c r="R339"/>
  <c r="R710"/>
  <c r="R622"/>
  <c r="R674"/>
  <c r="R314"/>
  <c r="R52"/>
  <c r="R112"/>
  <c r="R436"/>
  <c r="R116"/>
  <c r="R84"/>
  <c r="R636"/>
  <c r="R558"/>
  <c r="R282"/>
  <c r="R304"/>
  <c r="R208"/>
  <c r="R90"/>
  <c r="R214"/>
  <c r="R88"/>
  <c r="R310"/>
  <c r="R481"/>
  <c r="R551"/>
  <c r="R500"/>
  <c r="R631"/>
  <c r="R692"/>
  <c r="R418"/>
  <c r="R205"/>
  <c r="R451"/>
  <c r="R720"/>
  <c r="R401"/>
  <c r="R289"/>
  <c r="R535"/>
  <c r="R244"/>
  <c r="R77"/>
  <c r="R146"/>
  <c r="R154"/>
  <c r="R199"/>
  <c r="R163"/>
  <c r="R123"/>
  <c r="R141"/>
  <c r="R237"/>
  <c r="R545"/>
  <c r="R764"/>
  <c r="R176"/>
  <c r="R203"/>
  <c r="R532"/>
  <c r="R308"/>
  <c r="R471"/>
  <c r="R419"/>
  <c r="R135"/>
  <c r="R276"/>
  <c r="R433"/>
  <c r="R534"/>
  <c r="R482"/>
  <c r="R295"/>
  <c r="R560"/>
  <c r="R385"/>
  <c r="R272"/>
  <c r="R737"/>
  <c r="R748"/>
  <c r="R502"/>
  <c r="R689"/>
  <c r="R470"/>
  <c r="R468"/>
  <c r="R654"/>
  <c r="R723"/>
  <c r="R109"/>
  <c r="R638"/>
  <c r="R336"/>
  <c r="R240"/>
  <c r="R732"/>
  <c r="R756"/>
  <c r="R268"/>
  <c r="R159"/>
  <c r="R528"/>
  <c r="R65"/>
  <c r="R300"/>
  <c r="R204"/>
  <c r="R464"/>
  <c r="R291"/>
  <c r="R347"/>
  <c r="R379"/>
  <c r="R218"/>
  <c r="R372"/>
  <c r="R155"/>
  <c r="R177"/>
  <c r="R74"/>
  <c r="R474"/>
  <c r="R526"/>
  <c r="R80"/>
  <c r="R572"/>
  <c r="R450"/>
  <c r="R259"/>
  <c r="R660"/>
  <c r="R699"/>
  <c r="R368"/>
  <c r="R364"/>
  <c r="R125"/>
  <c r="R679"/>
  <c r="R41"/>
  <c r="R311"/>
  <c r="R234"/>
  <c r="R762"/>
  <c r="R359"/>
  <c r="R743"/>
  <c r="R277"/>
  <c r="R175"/>
  <c r="R715"/>
  <c r="R555"/>
  <c r="R615"/>
  <c r="R181"/>
  <c r="R149"/>
  <c r="R248"/>
  <c r="R662"/>
  <c r="R714"/>
  <c r="R61"/>
  <c r="R522"/>
  <c r="R759"/>
  <c r="R698"/>
  <c r="R731"/>
  <c r="R151"/>
  <c r="R603"/>
  <c r="R514"/>
  <c r="R550"/>
  <c r="R258"/>
  <c r="R694"/>
  <c r="R362"/>
  <c r="R647"/>
  <c r="R375"/>
  <c r="R162"/>
  <c r="R44"/>
  <c r="R544"/>
  <c r="R256"/>
  <c r="R507"/>
  <c r="R283"/>
  <c r="R763"/>
  <c r="R194"/>
  <c r="R651"/>
  <c r="R130"/>
  <c r="R96"/>
  <c r="R111"/>
  <c r="R322"/>
  <c r="R746"/>
  <c r="R226"/>
  <c r="R455"/>
  <c r="R586"/>
  <c r="R253"/>
  <c r="R32"/>
  <c r="R189"/>
  <c r="R587"/>
  <c r="R503"/>
  <c r="R567"/>
  <c r="R343"/>
  <c r="R354"/>
  <c r="R66"/>
  <c r="R217"/>
  <c r="R664"/>
  <c r="R275"/>
  <c r="R475"/>
  <c r="R299"/>
  <c r="R224"/>
  <c r="R459"/>
  <c r="R604"/>
  <c r="R624"/>
  <c r="R546"/>
  <c r="R391"/>
  <c r="R760"/>
  <c r="R394"/>
  <c r="R191"/>
  <c r="R184"/>
  <c r="R247"/>
  <c r="R438"/>
  <c r="R683"/>
  <c r="R331"/>
  <c r="R678"/>
  <c r="R105"/>
  <c r="R727"/>
  <c r="R50"/>
  <c r="R578"/>
  <c r="R695"/>
  <c r="R407"/>
  <c r="R487"/>
  <c r="R271"/>
  <c r="R327"/>
  <c r="R584"/>
  <c r="R340"/>
  <c r="R423"/>
  <c r="R635"/>
  <c r="R539"/>
  <c r="R443"/>
  <c r="R519"/>
  <c r="R439"/>
  <c r="R583"/>
  <c r="R496"/>
  <c r="R85"/>
  <c r="R504"/>
  <c r="R594"/>
  <c r="R688"/>
  <c r="R352"/>
  <c r="R395"/>
  <c r="R128"/>
  <c r="R157"/>
  <c r="R386"/>
  <c r="R241"/>
  <c r="R667"/>
  <c r="R215"/>
  <c r="R574"/>
  <c r="R736"/>
  <c r="R569"/>
  <c r="R223"/>
  <c r="R766"/>
  <c r="R747"/>
  <c r="R399"/>
  <c r="R619"/>
  <c r="R167"/>
  <c r="R363"/>
  <c r="R598"/>
  <c r="R596"/>
  <c r="R320"/>
  <c r="R480"/>
  <c r="R427"/>
  <c r="R64"/>
  <c r="R411"/>
  <c r="R491"/>
  <c r="R192"/>
  <c r="R315"/>
  <c r="R87"/>
  <c r="R571"/>
  <c r="R93"/>
  <c r="R686"/>
  <c r="R127"/>
  <c r="R47"/>
  <c r="R255"/>
  <c r="R370"/>
  <c r="R562"/>
  <c r="R518"/>
  <c r="R575"/>
  <c r="R303"/>
  <c r="R201"/>
  <c r="R671"/>
  <c r="R754"/>
  <c r="R280"/>
  <c r="R351"/>
  <c r="R185"/>
  <c r="R416"/>
  <c r="R288"/>
  <c r="R512"/>
  <c r="R628"/>
  <c r="R570"/>
  <c r="R246"/>
  <c r="R609"/>
  <c r="R261"/>
  <c r="R753"/>
  <c r="R530"/>
  <c r="R409"/>
  <c r="R768"/>
  <c r="R716"/>
  <c r="R166"/>
  <c r="R313"/>
  <c r="R486"/>
  <c r="R260"/>
  <c r="R672"/>
  <c r="R69"/>
  <c r="R452"/>
  <c r="R690"/>
  <c r="R392"/>
  <c r="R681"/>
  <c r="R554"/>
  <c r="R36"/>
  <c r="R38"/>
  <c r="R488"/>
  <c r="R251"/>
  <c r="R687"/>
  <c r="R361"/>
  <c r="R601"/>
  <c r="R390"/>
  <c r="R441"/>
  <c r="R706"/>
  <c r="R56"/>
  <c r="R623"/>
  <c r="R634"/>
  <c r="R267"/>
  <c r="R335"/>
  <c r="R640"/>
  <c r="R607"/>
  <c r="R620"/>
  <c r="R626"/>
  <c r="R425"/>
  <c r="R548"/>
  <c r="R520"/>
  <c r="R537"/>
  <c r="R207"/>
  <c r="R51"/>
  <c r="R165"/>
  <c r="R328"/>
  <c r="R521"/>
  <c r="R457"/>
  <c r="R326"/>
  <c r="R100"/>
  <c r="R209"/>
  <c r="R152"/>
  <c r="R216"/>
  <c r="R242"/>
  <c r="R360"/>
  <c r="R516"/>
  <c r="R358"/>
  <c r="R388"/>
  <c r="R294"/>
  <c r="R228"/>
  <c r="R367"/>
  <c r="R233"/>
  <c r="R703"/>
  <c r="R219"/>
  <c r="R473"/>
  <c r="R633"/>
  <c r="R153"/>
  <c r="R198"/>
  <c r="R34"/>
  <c r="R221"/>
  <c r="R281"/>
  <c r="R102"/>
  <c r="R231"/>
  <c r="R230"/>
  <c r="R104"/>
  <c r="R422"/>
  <c r="R745"/>
  <c r="R40"/>
  <c r="R356"/>
  <c r="R115"/>
  <c r="R498"/>
  <c r="R649"/>
  <c r="R305"/>
  <c r="R332"/>
  <c r="R108"/>
  <c r="R265"/>
  <c r="R676"/>
  <c r="R324"/>
  <c r="R89"/>
  <c r="R42"/>
  <c r="R424"/>
  <c r="R197"/>
  <c r="R728"/>
  <c r="R702"/>
  <c r="R232"/>
  <c r="R495"/>
  <c r="R434"/>
  <c r="R287"/>
  <c r="R117"/>
  <c r="R646"/>
  <c r="R274"/>
  <c r="R63"/>
  <c r="R639"/>
  <c r="R460"/>
  <c r="R236"/>
  <c r="R139"/>
  <c r="R402"/>
  <c r="R120"/>
  <c r="R505"/>
  <c r="R91"/>
  <c r="R297"/>
  <c r="R431"/>
  <c r="R454"/>
  <c r="R559"/>
  <c r="R735"/>
  <c r="R553"/>
  <c r="R713"/>
  <c r="R377"/>
  <c r="R134"/>
  <c r="R484"/>
  <c r="R200"/>
  <c r="R420"/>
  <c r="R264"/>
  <c r="R751"/>
  <c r="R121"/>
  <c r="R610"/>
  <c r="R415"/>
  <c r="R489"/>
  <c r="R585"/>
  <c r="R761"/>
  <c r="R106"/>
  <c r="R70"/>
  <c r="R617"/>
  <c r="R729"/>
  <c r="R68"/>
  <c r="R708"/>
  <c r="R132"/>
  <c r="R456"/>
  <c r="R665"/>
  <c r="R511"/>
  <c r="R718"/>
  <c r="R552"/>
  <c r="R767"/>
  <c r="R697"/>
  <c r="R72"/>
  <c r="R133"/>
  <c r="R57"/>
  <c r="R393"/>
  <c r="R612"/>
  <c r="R79"/>
  <c r="R463"/>
  <c r="R296"/>
  <c r="W12"/>
  <c r="R618"/>
  <c r="R344"/>
  <c r="R472"/>
  <c r="R306"/>
  <c r="R383"/>
  <c r="R396"/>
  <c r="R657"/>
  <c r="R172"/>
  <c r="R73"/>
  <c r="R719"/>
  <c r="R655"/>
  <c r="R479"/>
  <c r="R103"/>
  <c r="R182"/>
  <c r="R202"/>
  <c r="R376"/>
  <c r="R527"/>
  <c r="R170"/>
  <c r="R53"/>
  <c r="R447"/>
  <c r="R138"/>
  <c r="R338"/>
  <c r="R408"/>
  <c r="R543"/>
  <c r="R137"/>
  <c r="R312"/>
  <c r="R650"/>
  <c r="R319"/>
  <c r="R730"/>
  <c r="R39"/>
  <c r="R169"/>
  <c r="R529"/>
  <c r="R83"/>
  <c r="R440"/>
  <c r="R625"/>
  <c r="R374"/>
  <c r="R705"/>
  <c r="R497"/>
  <c r="W11"/>
  <c r="R466"/>
  <c r="R608"/>
  <c r="R369"/>
  <c r="R449"/>
  <c r="R337"/>
  <c r="R577"/>
  <c r="R673"/>
  <c r="R465"/>
  <c r="R593"/>
  <c r="Z31"/>
  <c r="AB31"/>
  <c r="AA31"/>
  <c r="AC27"/>
  <c r="AG343" l="1"/>
  <c r="AH649"/>
  <c r="AH259"/>
  <c r="AH595"/>
  <c r="AH380"/>
  <c r="AG206"/>
  <c r="AG254"/>
  <c r="AG558"/>
  <c r="AG377"/>
  <c r="AG656"/>
  <c r="AG740"/>
  <c r="AG706"/>
  <c r="AG148"/>
  <c r="AG213"/>
  <c r="AG671"/>
  <c r="AG246"/>
  <c r="AG617"/>
  <c r="AG499"/>
  <c r="AG52"/>
  <c r="AG207"/>
  <c r="AG277"/>
  <c r="AG121"/>
  <c r="AG635"/>
  <c r="AH474"/>
  <c r="AH187"/>
  <c r="AG386"/>
  <c r="AG102"/>
  <c r="AG714"/>
  <c r="AG138"/>
  <c r="AG120"/>
  <c r="AG44"/>
  <c r="AG344"/>
  <c r="AG521"/>
  <c r="AG537"/>
  <c r="AG302"/>
  <c r="AG451"/>
  <c r="AG414"/>
  <c r="AG400"/>
  <c r="AG130"/>
  <c r="AH218"/>
  <c r="AG62"/>
  <c r="AG698"/>
  <c r="AG471"/>
  <c r="AG90"/>
  <c r="AG623"/>
  <c r="AG472"/>
  <c r="AG75"/>
  <c r="AG170"/>
  <c r="AG171"/>
  <c r="AG636"/>
  <c r="AG72"/>
  <c r="AH515"/>
  <c r="AH455"/>
  <c r="AH525"/>
  <c r="AH225"/>
  <c r="AH372"/>
  <c r="AH743"/>
  <c r="AH382"/>
  <c r="AH241"/>
  <c r="AH694"/>
  <c r="AH538"/>
  <c r="AH411"/>
  <c r="AH120"/>
  <c r="AH573"/>
  <c r="AH240"/>
  <c r="AG737"/>
  <c r="AH556"/>
  <c r="AG124"/>
  <c r="AH164"/>
  <c r="AG322"/>
  <c r="AG676"/>
  <c r="AH93"/>
  <c r="AG501"/>
  <c r="AH457"/>
  <c r="AH188"/>
  <c r="AH389"/>
  <c r="AH281"/>
  <c r="AG748"/>
  <c r="AG509"/>
  <c r="AH295"/>
  <c r="AG581"/>
  <c r="AH233"/>
  <c r="AG127"/>
  <c r="AG657"/>
  <c r="AG247"/>
  <c r="AG756"/>
  <c r="AG137"/>
  <c r="AH449"/>
  <c r="AG754"/>
  <c r="AG401"/>
  <c r="AH201"/>
  <c r="AH446"/>
  <c r="AH105"/>
  <c r="AH130"/>
  <c r="AH371"/>
  <c r="AH755"/>
  <c r="AH244"/>
  <c r="AH738"/>
  <c r="AH623"/>
  <c r="AO623" s="1"/>
  <c r="AR623" s="1"/>
  <c r="AH184"/>
  <c r="AH62"/>
  <c r="AH149"/>
  <c r="AH117"/>
  <c r="AH314"/>
  <c r="AH379"/>
  <c r="AH404"/>
  <c r="AH487"/>
  <c r="AH317"/>
  <c r="AH338"/>
  <c r="AH605"/>
  <c r="AH51"/>
  <c r="AH35"/>
  <c r="AH138"/>
  <c r="AH170"/>
  <c r="AH671"/>
  <c r="AO671" s="1"/>
  <c r="AR671" s="1"/>
  <c r="AH171"/>
  <c r="AH75"/>
  <c r="AH513"/>
  <c r="AH203"/>
  <c r="AH469"/>
  <c r="AH632"/>
  <c r="AH566"/>
  <c r="AH646"/>
  <c r="AH167"/>
  <c r="AH532"/>
  <c r="AH720"/>
  <c r="AH519"/>
  <c r="AH495"/>
  <c r="AH435"/>
  <c r="AH747"/>
  <c r="AH741"/>
  <c r="AH363"/>
  <c r="AH608"/>
  <c r="AH701"/>
  <c r="AH523"/>
  <c r="AH113"/>
  <c r="AH612"/>
  <c r="AH44"/>
  <c r="AH246"/>
  <c r="AH193"/>
  <c r="AH190"/>
  <c r="AH765"/>
  <c r="AH643"/>
  <c r="AH78"/>
  <c r="AH76"/>
  <c r="AH378"/>
  <c r="AH304"/>
  <c r="AH425"/>
  <c r="AH239"/>
  <c r="AH677"/>
  <c r="AH177"/>
  <c r="AH461"/>
  <c r="AH498"/>
  <c r="AH121"/>
  <c r="AH452"/>
  <c r="AH258"/>
  <c r="AH202"/>
  <c r="AH459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68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69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2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71"/>
  <c r="AB5"/>
  <c r="AH712"/>
  <c r="AH713"/>
  <c r="AH174"/>
  <c r="AH274"/>
  <c r="AH736"/>
  <c r="AH286"/>
  <c r="AH403"/>
  <c r="AH358"/>
  <c r="AH549"/>
  <c r="AH651"/>
  <c r="AH662"/>
  <c r="AH102"/>
  <c r="AH471"/>
  <c r="AH714"/>
  <c r="AH59"/>
  <c r="AH253"/>
  <c r="AH100"/>
  <c r="AH683"/>
  <c r="AH210"/>
  <c r="AH739"/>
  <c r="AH443"/>
  <c r="AH447"/>
  <c r="AH375"/>
  <c r="AH229"/>
  <c r="AH123"/>
  <c r="AH410"/>
  <c r="AH132"/>
  <c r="AH578"/>
  <c r="AH57"/>
  <c r="AH679"/>
  <c r="AH41"/>
  <c r="AH214"/>
  <c r="AH669"/>
  <c r="AH546"/>
  <c r="AH212"/>
  <c r="AH320"/>
  <c r="AH127"/>
  <c r="AO127" s="1"/>
  <c r="AR127" s="1"/>
  <c r="AH284"/>
  <c r="AH729"/>
  <c r="AH654"/>
  <c r="AH263"/>
  <c r="AH428"/>
  <c r="AH751"/>
  <c r="AH769"/>
  <c r="AH524"/>
  <c r="AH544"/>
  <c r="AH219"/>
  <c r="AH570"/>
  <c r="AH445"/>
  <c r="AH148"/>
  <c r="AH533"/>
  <c r="AH698"/>
  <c r="AH151"/>
  <c r="AH49"/>
  <c r="AH90"/>
  <c r="AH66"/>
  <c r="AH213"/>
  <c r="AH625"/>
  <c r="AH440"/>
  <c r="AH577"/>
  <c r="AH396"/>
  <c r="AH434"/>
  <c r="AH431"/>
  <c r="AH562"/>
  <c r="AH744"/>
  <c r="AH601"/>
  <c r="AH413"/>
  <c r="AH331"/>
  <c r="AH342"/>
  <c r="AH528"/>
  <c r="AH453"/>
  <c r="AH770"/>
  <c r="AH82"/>
  <c r="AH147"/>
  <c r="AH659"/>
  <c r="AH627"/>
  <c r="AH126"/>
  <c r="AH509"/>
  <c r="AH637"/>
  <c r="AH89"/>
  <c r="AH412"/>
  <c r="AH691"/>
  <c r="AH735"/>
  <c r="AH621"/>
  <c r="AH39"/>
  <c r="AH598"/>
  <c r="AH268"/>
  <c r="AH296"/>
  <c r="AH753"/>
  <c r="AH172"/>
  <c r="AH575"/>
  <c r="AH63"/>
  <c r="AH292"/>
  <c r="AH279"/>
  <c r="AH500"/>
  <c r="AH448"/>
  <c r="AH571"/>
  <c r="AH418"/>
  <c r="AH152"/>
  <c r="AH347"/>
  <c r="AH483"/>
  <c r="AH491"/>
  <c r="AH639"/>
  <c r="AH192"/>
  <c r="AH490"/>
  <c r="AH553"/>
  <c r="AH584"/>
  <c r="AH504"/>
  <c r="AH719"/>
  <c r="AH628"/>
  <c r="AH594"/>
  <c r="AH402"/>
  <c r="AH700"/>
  <c r="AH56"/>
  <c r="AH465"/>
  <c r="AH593"/>
  <c r="AH265"/>
  <c r="AH53"/>
  <c r="AH245"/>
  <c r="AH687"/>
  <c r="AH131"/>
  <c r="AH200"/>
  <c r="AH516"/>
  <c r="AH308"/>
  <c r="AH384"/>
  <c r="AH541"/>
  <c r="AH551"/>
  <c r="AH574"/>
  <c r="AH97"/>
  <c r="AH334"/>
  <c r="AH45"/>
  <c r="AH476"/>
  <c r="AH313"/>
  <c r="AH468"/>
  <c r="AH463"/>
  <c r="AH695"/>
  <c r="AH301"/>
  <c r="AH349"/>
  <c r="AH607"/>
  <c r="AH374"/>
  <c r="AH705"/>
  <c r="AH408"/>
  <c r="AH261"/>
  <c r="AH337"/>
  <c r="AH543"/>
  <c r="AH564"/>
  <c r="AH673"/>
  <c r="AH101"/>
  <c r="AH373"/>
  <c r="AH85"/>
  <c r="AH758"/>
  <c r="AH311"/>
  <c r="AH318"/>
  <c r="AH733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386"/>
  <c r="AH548"/>
  <c r="AH723"/>
  <c r="AH129"/>
  <c r="AH473"/>
  <c r="AH527"/>
  <c r="AH211"/>
  <c r="AH407"/>
  <c r="AH106"/>
  <c r="AH634"/>
  <c r="AH591"/>
  <c r="AH182"/>
  <c r="AH730"/>
  <c r="AH54"/>
  <c r="AH118"/>
  <c r="AH99"/>
  <c r="AH275"/>
  <c r="AH217"/>
  <c r="AH278"/>
  <c r="AH661"/>
  <c r="AH602"/>
  <c r="AH348"/>
  <c r="AH502"/>
  <c r="AH40"/>
  <c r="AH290"/>
  <c r="AH462"/>
  <c r="AH620"/>
  <c r="AH146"/>
  <c r="AH46"/>
  <c r="AH545"/>
  <c r="AH711"/>
  <c r="AH125"/>
  <c r="AH312"/>
  <c r="AH369"/>
  <c r="AH497"/>
  <c r="AH561"/>
  <c r="AH529"/>
  <c r="AH376"/>
  <c r="AH438"/>
  <c r="AH305"/>
  <c r="AH332"/>
  <c r="AH609"/>
  <c r="AH83"/>
  <c r="AH280"/>
  <c r="AH554"/>
  <c r="AH703"/>
  <c r="AH552"/>
  <c r="AH34"/>
  <c r="AH155"/>
  <c r="AH150"/>
  <c r="AH581"/>
  <c r="AH614"/>
  <c r="AH254"/>
  <c r="AO254" s="1"/>
  <c r="AR254" s="1"/>
  <c r="AH764"/>
  <c r="AH748"/>
  <c r="AH154"/>
  <c r="AH710"/>
  <c r="AH271"/>
  <c r="AH115"/>
  <c r="AH596"/>
  <c r="AH763"/>
  <c r="AH232"/>
  <c r="AH727"/>
  <c r="AH506"/>
  <c r="AH141"/>
  <c r="AH460"/>
  <c r="AH74"/>
  <c r="AH734"/>
  <c r="AH664"/>
  <c r="AH590"/>
  <c r="AH716"/>
  <c r="AH204"/>
  <c r="AH636"/>
  <c r="AH207"/>
  <c r="AH209"/>
  <c r="AH277"/>
  <c r="AH645"/>
  <c r="AH771"/>
  <c r="AH309"/>
  <c r="AH508"/>
  <c r="AH715"/>
  <c r="AH752"/>
  <c r="AH582"/>
  <c r="AH746"/>
  <c r="AH293"/>
  <c r="AH326"/>
  <c r="AH33"/>
  <c r="AH272"/>
  <c r="AH355"/>
  <c r="AH227"/>
  <c r="AH223"/>
  <c r="AH478"/>
  <c r="AH667"/>
  <c r="AH682"/>
  <c r="AH189"/>
  <c r="AH221"/>
  <c r="AH681"/>
  <c r="AH266"/>
  <c r="AH505"/>
  <c r="AH663"/>
  <c r="AH759"/>
  <c r="AH276"/>
  <c r="AH731"/>
  <c r="AH70"/>
  <c r="AH611"/>
  <c r="AH81"/>
  <c r="AH395"/>
  <c r="AH511"/>
  <c r="AH718"/>
  <c r="AH493"/>
  <c r="AH133"/>
  <c r="AH642"/>
  <c r="AH383"/>
  <c r="AH709"/>
  <c r="AH328"/>
  <c r="AH362"/>
  <c r="AH173"/>
  <c r="AH124"/>
  <c r="AO124" s="1"/>
  <c r="AR124" s="1"/>
  <c r="AH510"/>
  <c r="AH742"/>
  <c r="AH87"/>
  <c r="AH427"/>
  <c r="AH610"/>
  <c r="AH437"/>
  <c r="AH387"/>
  <c r="AH43"/>
  <c r="AH250"/>
  <c r="AH393"/>
  <c r="AH73"/>
  <c r="AH680"/>
  <c r="AH458"/>
  <c r="AH269"/>
  <c r="AH760"/>
  <c r="AH702"/>
  <c r="AH234"/>
  <c r="AH109"/>
  <c r="AH745"/>
  <c r="AH415"/>
  <c r="AH732"/>
  <c r="AH555"/>
  <c r="AH377"/>
  <c r="AH359"/>
  <c r="AH644"/>
  <c r="AH72"/>
  <c r="AH294"/>
  <c r="AH676"/>
  <c r="AH88"/>
  <c r="AH165"/>
  <c r="AH103"/>
  <c r="AH94"/>
  <c r="AH385"/>
  <c r="AH726"/>
  <c r="AH501"/>
  <c r="AH517"/>
  <c r="AH248"/>
  <c r="AH388"/>
  <c r="AH65"/>
  <c r="AH336"/>
  <c r="AH282"/>
  <c r="AH477"/>
  <c r="AH674"/>
  <c r="AH196"/>
  <c r="AH421"/>
  <c r="AH136"/>
  <c r="AH542"/>
  <c r="AH672"/>
  <c r="AH365"/>
  <c r="AH360"/>
  <c r="AH569"/>
  <c r="AH71"/>
  <c r="AH50"/>
  <c r="AH599"/>
  <c r="AH114"/>
  <c r="AH772"/>
  <c r="AH86"/>
  <c r="AH299"/>
  <c r="AH559"/>
  <c r="AH370"/>
  <c r="AH37"/>
  <c r="AH364"/>
  <c r="AH350"/>
  <c r="AH257"/>
  <c r="AH597"/>
  <c r="AH485"/>
  <c r="AH572"/>
  <c r="AH176"/>
  <c r="AH492"/>
  <c r="AH444"/>
  <c r="AH96"/>
  <c r="AH534"/>
  <c r="AH629"/>
  <c r="AH262"/>
  <c r="AH340"/>
  <c r="AH684"/>
  <c r="AH697"/>
  <c r="AH638"/>
  <c r="AH535"/>
  <c r="AH205"/>
  <c r="AH456"/>
  <c r="AH647"/>
  <c r="AH761"/>
  <c r="AH157"/>
  <c r="AH520"/>
  <c r="AH135"/>
  <c r="AH721"/>
  <c r="AH92"/>
  <c r="AH316"/>
  <c r="AH603"/>
  <c r="AH231"/>
  <c r="AH289"/>
  <c r="AH236"/>
  <c r="AH310"/>
  <c r="AH617"/>
  <c r="AH704"/>
  <c r="AH397"/>
  <c r="AH521"/>
  <c r="AO521" s="1"/>
  <c r="AR521" s="1"/>
  <c r="AH499"/>
  <c r="AH180"/>
  <c r="AH237"/>
  <c r="AH156"/>
  <c r="AH537"/>
  <c r="AH52"/>
  <c r="AH77"/>
  <c r="AH302"/>
  <c r="AH64"/>
  <c r="AH641"/>
  <c r="AH322"/>
  <c r="AH725"/>
  <c r="AH264"/>
  <c r="AH486"/>
  <c r="AH613"/>
  <c r="AH451"/>
  <c r="AH618"/>
  <c r="AH530"/>
  <c r="AH589"/>
  <c r="AH222"/>
  <c r="AH352"/>
  <c r="AH36"/>
  <c r="AH708"/>
  <c r="AH343"/>
  <c r="AH740"/>
  <c r="AH283"/>
  <c r="AH400"/>
  <c r="AH80"/>
  <c r="AH346"/>
  <c r="AH145"/>
  <c r="AH162"/>
  <c r="AH707"/>
  <c r="AH648"/>
  <c r="AH252"/>
  <c r="AH285"/>
  <c r="AH622"/>
  <c r="AH568"/>
  <c r="AH606"/>
  <c r="AH391"/>
  <c r="AH128"/>
  <c r="AH178"/>
  <c r="AH168"/>
  <c r="AH757"/>
  <c r="AH297"/>
  <c r="AH475"/>
  <c r="AH655"/>
  <c r="AH367"/>
  <c r="AH409"/>
  <c r="AH494"/>
  <c r="AH423"/>
  <c r="AH104"/>
  <c r="AH432"/>
  <c r="AH442"/>
  <c r="AH588"/>
  <c r="AH480"/>
  <c r="AH270"/>
  <c r="AH224"/>
  <c r="AH630"/>
  <c r="AH356"/>
  <c r="AH692"/>
  <c r="AH315"/>
  <c r="AH616"/>
  <c r="AH333"/>
  <c r="AH600"/>
  <c r="AH670"/>
  <c r="AH417"/>
  <c r="AH42"/>
  <c r="AH287"/>
  <c r="AH540"/>
  <c r="AH238"/>
  <c r="AH256"/>
  <c r="AH433"/>
  <c r="AH466"/>
  <c r="AH139"/>
  <c r="AH381"/>
  <c r="AH558"/>
  <c r="AH737"/>
  <c r="AO737" s="1"/>
  <c r="AR737" s="1"/>
  <c r="AH392"/>
  <c r="AH631"/>
  <c r="AH488"/>
  <c r="AH199"/>
  <c r="AH441"/>
  <c r="AH60"/>
  <c r="AH430"/>
  <c r="AH79"/>
  <c r="AH640"/>
  <c r="AH215"/>
  <c r="AH422"/>
  <c r="AH767"/>
  <c r="AH626"/>
  <c r="AH690"/>
  <c r="AH183"/>
  <c r="AH656"/>
  <c r="AH255"/>
  <c r="AH69"/>
  <c r="AH565"/>
  <c r="AH563"/>
  <c r="AH91"/>
  <c r="AH464"/>
  <c r="AH208"/>
  <c r="AH307"/>
  <c r="AH576"/>
  <c r="AH95"/>
  <c r="AH142"/>
  <c r="AH353"/>
  <c r="AH226"/>
  <c r="AH454"/>
  <c r="AH327"/>
  <c r="AH696"/>
  <c r="AH686"/>
  <c r="AH298"/>
  <c r="AH583"/>
  <c r="AH110"/>
  <c r="AH143"/>
  <c r="AH161"/>
  <c r="AH38"/>
  <c r="AH175"/>
  <c r="AH345"/>
  <c r="AH243"/>
  <c r="AH479"/>
  <c r="AH242"/>
  <c r="AH653"/>
  <c r="AH429"/>
  <c r="AH55"/>
  <c r="AH507"/>
  <c r="AH496"/>
  <c r="AH58"/>
  <c r="AH159"/>
  <c r="AH398"/>
  <c r="AH399"/>
  <c r="AH68"/>
  <c r="AH560"/>
  <c r="AH693"/>
  <c r="AH303"/>
  <c r="AH766"/>
  <c r="AH323"/>
  <c r="AH330"/>
  <c r="AH481"/>
  <c r="AH728"/>
  <c r="AH489"/>
  <c r="AH426"/>
  <c r="AH668"/>
  <c r="AH366"/>
  <c r="AH335"/>
  <c r="AH550"/>
  <c r="AH579"/>
  <c r="AH436"/>
  <c r="AH749"/>
  <c r="AH414"/>
  <c r="AH116"/>
  <c r="AH762"/>
  <c r="AH288"/>
  <c r="AH531"/>
  <c r="AH580"/>
  <c r="AH368"/>
  <c r="AH467"/>
  <c r="AH291"/>
  <c r="AH652"/>
  <c r="AH220"/>
  <c r="AH206"/>
  <c r="AH619"/>
  <c r="AH273"/>
  <c r="AH482"/>
  <c r="AH166"/>
  <c r="AH111"/>
  <c r="AH134"/>
  <c r="AH163"/>
  <c r="AH658"/>
  <c r="AH699"/>
  <c r="AH472"/>
  <c r="AO472" s="1"/>
  <c r="AR472" s="1"/>
  <c r="AH754"/>
  <c r="AH756"/>
  <c r="AH657"/>
  <c r="AH185"/>
  <c r="AH357"/>
  <c r="AH324"/>
  <c r="AH325"/>
  <c r="AH321"/>
  <c r="AH650"/>
  <c r="AH450"/>
  <c r="AH216"/>
  <c r="AH153"/>
  <c r="AH361"/>
  <c r="AH522"/>
  <c r="AH144"/>
  <c r="AH557"/>
  <c r="AH665"/>
  <c r="AH633"/>
  <c r="AH306"/>
  <c r="AH717"/>
  <c r="AH587"/>
  <c r="AH514"/>
  <c r="AH197"/>
  <c r="AH666"/>
  <c r="AH112"/>
  <c r="AH300"/>
  <c r="AH539"/>
  <c r="AH354"/>
  <c r="AH660"/>
  <c r="AH470"/>
  <c r="AH526"/>
  <c r="AH615"/>
  <c r="AH567"/>
  <c r="AH140"/>
  <c r="AH61"/>
  <c r="AH228"/>
  <c r="AH503"/>
  <c r="AH390"/>
  <c r="AH107"/>
  <c r="AH119"/>
  <c r="AH416"/>
  <c r="AH586"/>
  <c r="AH329"/>
  <c r="AH48"/>
  <c r="AH339"/>
  <c r="AH351"/>
  <c r="AH706"/>
  <c r="AO706" s="1"/>
  <c r="AR706" s="1"/>
  <c r="AH585"/>
  <c r="AH750"/>
  <c r="AH98"/>
  <c r="AH689"/>
  <c r="AH406"/>
  <c r="AH724"/>
  <c r="AH484"/>
  <c r="AH235"/>
  <c r="AH267"/>
  <c r="AH247"/>
  <c r="AH137"/>
  <c r="AH536"/>
  <c r="AH401"/>
  <c r="AH344"/>
  <c r="AH439"/>
  <c r="AH186"/>
  <c r="AH195"/>
  <c r="AH675"/>
  <c r="AH194"/>
  <c r="AH160"/>
  <c r="AH419"/>
  <c r="AH249"/>
  <c r="AH230"/>
  <c r="AH420"/>
  <c r="AH678"/>
  <c r="AH158"/>
  <c r="AH518"/>
  <c r="AH688"/>
  <c r="AH635"/>
  <c r="AH67"/>
  <c r="AH341"/>
  <c r="AH592"/>
  <c r="AG520"/>
  <c r="AG415"/>
  <c r="AG645"/>
  <c r="AG309"/>
  <c r="AG459"/>
  <c r="AG177"/>
  <c r="AG36"/>
  <c r="AG388"/>
  <c r="AG91"/>
  <c r="AG477"/>
  <c r="AG78"/>
  <c r="AG482"/>
  <c r="AG532"/>
  <c r="AG361"/>
  <c r="AG281"/>
  <c r="AG218"/>
  <c r="AG450"/>
  <c r="AG608"/>
  <c r="AG605"/>
  <c r="AG380"/>
  <c r="AG382"/>
  <c r="AG500"/>
  <c r="AG324"/>
  <c r="AG411"/>
  <c r="AG352"/>
  <c r="AG248"/>
  <c r="AG336"/>
  <c r="AG179"/>
  <c r="AG152"/>
  <c r="AG193"/>
  <c r="AG325"/>
  <c r="AG595"/>
  <c r="AG612"/>
  <c r="AG357"/>
  <c r="AG259"/>
  <c r="AG217"/>
  <c r="AG51"/>
  <c r="AO51" s="1"/>
  <c r="AR51" s="1"/>
  <c r="AG35"/>
  <c r="AG704"/>
  <c r="AG397"/>
  <c r="AG664"/>
  <c r="AG702"/>
  <c r="AN702" s="1"/>
  <c r="AP702" s="1"/>
  <c r="AS702" s="1"/>
  <c r="AG77"/>
  <c r="AG79"/>
  <c r="AG209"/>
  <c r="AG725"/>
  <c r="AG294"/>
  <c r="AG749"/>
  <c r="AG461"/>
  <c r="AG69"/>
  <c r="AG563"/>
  <c r="AG80"/>
  <c r="AG619"/>
  <c r="AG117"/>
  <c r="AG195"/>
  <c r="AG186"/>
  <c r="AG765"/>
  <c r="AG190"/>
  <c r="AG439"/>
  <c r="AG321"/>
  <c r="AG538"/>
  <c r="AG484"/>
  <c r="AG125"/>
  <c r="AG327"/>
  <c r="AG696"/>
  <c r="AG686"/>
  <c r="AG298"/>
  <c r="AG583"/>
  <c r="AG428"/>
  <c r="AG192"/>
  <c r="AG146"/>
  <c r="AG299"/>
  <c r="AG559"/>
  <c r="AG370"/>
  <c r="AG37"/>
  <c r="AG364"/>
  <c r="AG350"/>
  <c r="AG257"/>
  <c r="AG691"/>
  <c r="AG453"/>
  <c r="AG144"/>
  <c r="AG474"/>
  <c r="AG188"/>
  <c r="AG480"/>
  <c r="AG270"/>
  <c r="AG224"/>
  <c r="AG630"/>
  <c r="AG356"/>
  <c r="AG692"/>
  <c r="AG74"/>
  <c r="AG616"/>
  <c r="AG333"/>
  <c r="AG600"/>
  <c r="AG670"/>
  <c r="AG180"/>
  <c r="AG237"/>
  <c r="AG156"/>
  <c r="AG61"/>
  <c r="AG228"/>
  <c r="AG510"/>
  <c r="AG503"/>
  <c r="AG742"/>
  <c r="AG87"/>
  <c r="AG390"/>
  <c r="AG427"/>
  <c r="AG94"/>
  <c r="AG487"/>
  <c r="AG720"/>
  <c r="AG244"/>
  <c r="AG404"/>
  <c r="AG469"/>
  <c r="AG755"/>
  <c r="AG379"/>
  <c r="AG203"/>
  <c r="AG240"/>
  <c r="AG371"/>
  <c r="AG314"/>
  <c r="AG478"/>
  <c r="AG667"/>
  <c r="AG145"/>
  <c r="AG162"/>
  <c r="AG707"/>
  <c r="AG506"/>
  <c r="AG317"/>
  <c r="AG301"/>
  <c r="AG296"/>
  <c r="AG253"/>
  <c r="AG490"/>
  <c r="AG268"/>
  <c r="AG50"/>
  <c r="AG599"/>
  <c r="AG178"/>
  <c r="AG168"/>
  <c r="AG757"/>
  <c r="AG665"/>
  <c r="AG620"/>
  <c r="AG751"/>
  <c r="AG447"/>
  <c r="AG39"/>
  <c r="AG93"/>
  <c r="AG685"/>
  <c r="AG763"/>
  <c r="AG514"/>
  <c r="AG133"/>
  <c r="AG197"/>
  <c r="AG666"/>
  <c r="AG642"/>
  <c r="AG112"/>
  <c r="AG45"/>
  <c r="AG604"/>
  <c r="AG334"/>
  <c r="AG607"/>
  <c r="AG290"/>
  <c r="AG358"/>
  <c r="AG331"/>
  <c r="AG743"/>
  <c r="AG701"/>
  <c r="AG348"/>
  <c r="AG295"/>
  <c r="AG320"/>
  <c r="AG724"/>
  <c r="AG634"/>
  <c r="AG591"/>
  <c r="AG182"/>
  <c r="AG730"/>
  <c r="AG54"/>
  <c r="AO54" s="1"/>
  <c r="AR54" s="1"/>
  <c r="AG118"/>
  <c r="AG267"/>
  <c r="AG34"/>
  <c r="AG155"/>
  <c r="AG659"/>
  <c r="AG627"/>
  <c r="AG573"/>
  <c r="AG214"/>
  <c r="AG679"/>
  <c r="AG574"/>
  <c r="AG346"/>
  <c r="AG746"/>
  <c r="AG738"/>
  <c r="AG771"/>
  <c r="AG555"/>
  <c r="AG716"/>
  <c r="AG458"/>
  <c r="AG719"/>
  <c r="AN719" s="1"/>
  <c r="AP719" s="1"/>
  <c r="AS719" s="1"/>
  <c r="AG628"/>
  <c r="AG594"/>
  <c r="AG402"/>
  <c r="AG700"/>
  <c r="AG56"/>
  <c r="AG465"/>
  <c r="AG593"/>
  <c r="AN593" s="1"/>
  <c r="AP593" s="1"/>
  <c r="AS593" s="1"/>
  <c r="AG265"/>
  <c r="AG53"/>
  <c r="AG245"/>
  <c r="AG687"/>
  <c r="AG63"/>
  <c r="AG233"/>
  <c r="AG601"/>
  <c r="AG502"/>
  <c r="AG315"/>
  <c r="AG194"/>
  <c r="AG282"/>
  <c r="AG464"/>
  <c r="AG326"/>
  <c r="AG752"/>
  <c r="AG264"/>
  <c r="AG641"/>
  <c r="AG42"/>
  <c r="AG381"/>
  <c r="AG374"/>
  <c r="AG705"/>
  <c r="AG106"/>
  <c r="AG504"/>
  <c r="AG221"/>
  <c r="AG681"/>
  <c r="AG633"/>
  <c r="AG266"/>
  <c r="AG505"/>
  <c r="AG663"/>
  <c r="AG759"/>
  <c r="AG276"/>
  <c r="AG46"/>
  <c r="AG463"/>
  <c r="AG210"/>
  <c r="AG407"/>
  <c r="AG297"/>
  <c r="AG475"/>
  <c r="AG655"/>
  <c r="AG367"/>
  <c r="AG409"/>
  <c r="AG494"/>
  <c r="AG423"/>
  <c r="AG229"/>
  <c r="AG723"/>
  <c r="AG123"/>
  <c r="AG528"/>
  <c r="AG403"/>
  <c r="AG524"/>
  <c r="AG398"/>
  <c r="AG399"/>
  <c r="AG68"/>
  <c r="AG560"/>
  <c r="AG693"/>
  <c r="AG303"/>
  <c r="AG766"/>
  <c r="AG323"/>
  <c r="AG330"/>
  <c r="AG481"/>
  <c r="AG728"/>
  <c r="AG489"/>
  <c r="AG426"/>
  <c r="AG488"/>
  <c r="AG199"/>
  <c r="AG721"/>
  <c r="AG92"/>
  <c r="AG316"/>
  <c r="AG603"/>
  <c r="AG231"/>
  <c r="AG289"/>
  <c r="AG592"/>
  <c r="AG84"/>
  <c r="AO84" s="1"/>
  <c r="AR84" s="1"/>
  <c r="AG547"/>
  <c r="AG341"/>
  <c r="AG67"/>
  <c r="AO67" s="1"/>
  <c r="AR67" s="1"/>
  <c r="AG165"/>
  <c r="AG103"/>
  <c r="AG589"/>
  <c r="AG222"/>
  <c r="AG678"/>
  <c r="AG677"/>
  <c r="AG420"/>
  <c r="AG239"/>
  <c r="AG230"/>
  <c r="AG425"/>
  <c r="AG249"/>
  <c r="AG304"/>
  <c r="AN304" s="1"/>
  <c r="AP304" s="1"/>
  <c r="AS304" s="1"/>
  <c r="AG419"/>
  <c r="AG378"/>
  <c r="AG76"/>
  <c r="AG674"/>
  <c r="AG273"/>
  <c r="AG226"/>
  <c r="AG454"/>
  <c r="AG189"/>
  <c r="AG584"/>
  <c r="AG545"/>
  <c r="AG424"/>
  <c r="AG695"/>
  <c r="AG649"/>
  <c r="AG263"/>
  <c r="AG128"/>
  <c r="AG161"/>
  <c r="AG38"/>
  <c r="AG175"/>
  <c r="AG211"/>
  <c r="AG646"/>
  <c r="AN646" s="1"/>
  <c r="AP646" s="1"/>
  <c r="AS646" s="1"/>
  <c r="AG495"/>
  <c r="AG274"/>
  <c r="AN274" s="1"/>
  <c r="AP274" s="1"/>
  <c r="AS274" s="1"/>
  <c r="AG473"/>
  <c r="AG286"/>
  <c r="AG769"/>
  <c r="AG597"/>
  <c r="AG485"/>
  <c r="AG572"/>
  <c r="AG176"/>
  <c r="AG492"/>
  <c r="AG462"/>
  <c r="AG271"/>
  <c r="AG544"/>
  <c r="AG566"/>
  <c r="AG389"/>
  <c r="AG40"/>
  <c r="AG89"/>
  <c r="AG764"/>
  <c r="AG571"/>
  <c r="AG448"/>
  <c r="AG533"/>
  <c r="AG408"/>
  <c r="AG261"/>
  <c r="AG337"/>
  <c r="AG543"/>
  <c r="AG564"/>
  <c r="AG673"/>
  <c r="AG640"/>
  <c r="AG147"/>
  <c r="AG131"/>
  <c r="AG200"/>
  <c r="AG516"/>
  <c r="AG546"/>
  <c r="AG105"/>
  <c r="AG227"/>
  <c r="AG272"/>
  <c r="AG708"/>
  <c r="AG726"/>
  <c r="AG158"/>
  <c r="AG107"/>
  <c r="AG613"/>
  <c r="AG204"/>
  <c r="AG82"/>
  <c r="AG292"/>
  <c r="AG279"/>
  <c r="AG513"/>
  <c r="AG699"/>
  <c r="AG413"/>
  <c r="AG163"/>
  <c r="AG650"/>
  <c r="AG153"/>
  <c r="AG675"/>
  <c r="AG576"/>
  <c r="AG208"/>
  <c r="AG517"/>
  <c r="AG582"/>
  <c r="AG385"/>
  <c r="AG359"/>
  <c r="AG441"/>
  <c r="AG417"/>
  <c r="AG542"/>
  <c r="AG672"/>
  <c r="AG365"/>
  <c r="AG360"/>
  <c r="AG569"/>
  <c r="AG71"/>
  <c r="AG174"/>
  <c r="AG683"/>
  <c r="AG598"/>
  <c r="AG468"/>
  <c r="AG345"/>
  <c r="AG243"/>
  <c r="AG479"/>
  <c r="AG242"/>
  <c r="AG653"/>
  <c r="AG429"/>
  <c r="AG55"/>
  <c r="AG596"/>
  <c r="AG198"/>
  <c r="AG491"/>
  <c r="AG115"/>
  <c r="AG435"/>
  <c r="AG98"/>
  <c r="AG300"/>
  <c r="AG539"/>
  <c r="AG383"/>
  <c r="AG354"/>
  <c r="AG660"/>
  <c r="AG709"/>
  <c r="AG470"/>
  <c r="AG526"/>
  <c r="AG615"/>
  <c r="AG328"/>
  <c r="AG567"/>
  <c r="AG362"/>
  <c r="AG590"/>
  <c r="AG287"/>
  <c r="AG540"/>
  <c r="AG238"/>
  <c r="AG256"/>
  <c r="AG433"/>
  <c r="AG688"/>
  <c r="AG258"/>
  <c r="AG452"/>
  <c r="AG518"/>
  <c r="AG618"/>
  <c r="AG530"/>
  <c r="AG690"/>
  <c r="AG183"/>
  <c r="AG762"/>
  <c r="AG288"/>
  <c r="AG531"/>
  <c r="AG580"/>
  <c r="AG368"/>
  <c r="AG467"/>
  <c r="AG291"/>
  <c r="AG652"/>
  <c r="AG220"/>
  <c r="AG393"/>
  <c r="AG682"/>
  <c r="AG349"/>
  <c r="AG712"/>
  <c r="AG284"/>
  <c r="AG553"/>
  <c r="AG556"/>
  <c r="AG632"/>
  <c r="AG654"/>
  <c r="AG519"/>
  <c r="AG110"/>
  <c r="AG143"/>
  <c r="AG70"/>
  <c r="AG611"/>
  <c r="AG313"/>
  <c r="AG232"/>
  <c r="AG527"/>
  <c r="AG338"/>
  <c r="AG557"/>
  <c r="AG525"/>
  <c r="AG735"/>
  <c r="AG104"/>
  <c r="AG432"/>
  <c r="AG442"/>
  <c r="AG588"/>
  <c r="AG522"/>
  <c r="AG578"/>
  <c r="AG483"/>
  <c r="AG225"/>
  <c r="AG710"/>
  <c r="AG548"/>
  <c r="AG549"/>
  <c r="AG342"/>
  <c r="AG515"/>
  <c r="AG689"/>
  <c r="AG363"/>
  <c r="AG47"/>
  <c r="AG418"/>
  <c r="AG406"/>
  <c r="AG318"/>
  <c r="AG614"/>
  <c r="AG753"/>
  <c r="AG172"/>
  <c r="AG575"/>
  <c r="AN575" s="1"/>
  <c r="AP575" s="1"/>
  <c r="AS575" s="1"/>
  <c r="AG88"/>
  <c r="AG49"/>
  <c r="AG59"/>
  <c r="AG154"/>
  <c r="AG166"/>
  <c r="AG223"/>
  <c r="AG33"/>
  <c r="AG119"/>
  <c r="AG422"/>
  <c r="AG215"/>
  <c r="AG135"/>
  <c r="AG140"/>
  <c r="AN140" s="1"/>
  <c r="AP140" s="1"/>
  <c r="AS140" s="1"/>
  <c r="AG269"/>
  <c r="AG312"/>
  <c r="AG369"/>
  <c r="AG497"/>
  <c r="AG561"/>
  <c r="AG529"/>
  <c r="AG376"/>
  <c r="AG438"/>
  <c r="AG305"/>
  <c r="AN305" s="1"/>
  <c r="AP305" s="1"/>
  <c r="AS305" s="1"/>
  <c r="AG332"/>
  <c r="AG609"/>
  <c r="AG83"/>
  <c r="AG280"/>
  <c r="AN280" s="1"/>
  <c r="AP280" s="1"/>
  <c r="AS280" s="1"/>
  <c r="AG554"/>
  <c r="AG703"/>
  <c r="AG552"/>
  <c r="AG99"/>
  <c r="AG275"/>
  <c r="AG185"/>
  <c r="AG101"/>
  <c r="AG373"/>
  <c r="AG85"/>
  <c r="AG758"/>
  <c r="AG241"/>
  <c r="AG523"/>
  <c r="AG446"/>
  <c r="AG149"/>
  <c r="AG347"/>
  <c r="AG187"/>
  <c r="AG95"/>
  <c r="AG610"/>
  <c r="AG64"/>
  <c r="AG732"/>
  <c r="AG60"/>
  <c r="AG761"/>
  <c r="AG392"/>
  <c r="AG734"/>
  <c r="AG625"/>
  <c r="AG440"/>
  <c r="AG141"/>
  <c r="AG770"/>
  <c r="AG648"/>
  <c r="AG252"/>
  <c r="AG285"/>
  <c r="AG622"/>
  <c r="AG568"/>
  <c r="AG606"/>
  <c r="AG391"/>
  <c r="AG722"/>
  <c r="AG164"/>
  <c r="AG512"/>
  <c r="AG739"/>
  <c r="AG81"/>
  <c r="AG395"/>
  <c r="AG511"/>
  <c r="AG306"/>
  <c r="AG718"/>
  <c r="AG717"/>
  <c r="AG493"/>
  <c r="AG587"/>
  <c r="AG129"/>
  <c r="AG457"/>
  <c r="AG122"/>
  <c r="AG410"/>
  <c r="AG132"/>
  <c r="AG444"/>
  <c r="AG96"/>
  <c r="AG534"/>
  <c r="AG629"/>
  <c r="AG262"/>
  <c r="AG340"/>
  <c r="AG684"/>
  <c r="AG697"/>
  <c r="AG638"/>
  <c r="AG535"/>
  <c r="AG205"/>
  <c r="AG456"/>
  <c r="AG647"/>
  <c r="AG234"/>
  <c r="AG109"/>
  <c r="AG745"/>
  <c r="AG668"/>
  <c r="AG366"/>
  <c r="AG335"/>
  <c r="AG550"/>
  <c r="AG579"/>
  <c r="AG436"/>
  <c r="AG767"/>
  <c r="AG626"/>
  <c r="AG508"/>
  <c r="AG715"/>
  <c r="AG416"/>
  <c r="AG437"/>
  <c r="AG586"/>
  <c r="AG387"/>
  <c r="AG329"/>
  <c r="AG43"/>
  <c r="AG48"/>
  <c r="AG339"/>
  <c r="AG250"/>
  <c r="AG351"/>
  <c r="AG142"/>
  <c r="AG196"/>
  <c r="AG421"/>
  <c r="AG136"/>
  <c r="AG585"/>
  <c r="AG455"/>
  <c r="AG711"/>
  <c r="AG713"/>
  <c r="AG394"/>
  <c r="AG729"/>
  <c r="AN729" s="1"/>
  <c r="AP729" s="1"/>
  <c r="AS729" s="1"/>
  <c r="AG750"/>
  <c r="AG727"/>
  <c r="AG100"/>
  <c r="AG731"/>
  <c r="AG114"/>
  <c r="AG772"/>
  <c r="AG86"/>
  <c r="AG443"/>
  <c r="AG639"/>
  <c r="AG319"/>
  <c r="AG736"/>
  <c r="AG621"/>
  <c r="AG476"/>
  <c r="AG375"/>
  <c r="AG507"/>
  <c r="AG496"/>
  <c r="AG58"/>
  <c r="AG159"/>
  <c r="AG412"/>
  <c r="AG747"/>
  <c r="AG260"/>
  <c r="AG624"/>
  <c r="AG741"/>
  <c r="AG372"/>
  <c r="AG405"/>
  <c r="AG97"/>
  <c r="AG219"/>
  <c r="AG216"/>
  <c r="AG551"/>
  <c r="AG570"/>
  <c r="AG637"/>
  <c r="AG445"/>
  <c r="AG694"/>
  <c r="AG308"/>
  <c r="AG577"/>
  <c r="AG396"/>
  <c r="AN396" s="1"/>
  <c r="AP396" s="1"/>
  <c r="AS396" s="1"/>
  <c r="AG434"/>
  <c r="AG431"/>
  <c r="AG562"/>
  <c r="AG744"/>
  <c r="AG150"/>
  <c r="AG662"/>
  <c r="AG212"/>
  <c r="AG126"/>
  <c r="AG669"/>
  <c r="AG41"/>
  <c r="AO41" s="1"/>
  <c r="AR41" s="1"/>
  <c r="AG57"/>
  <c r="AG353"/>
  <c r="AG355"/>
  <c r="AG283"/>
  <c r="AG202"/>
  <c r="AG680"/>
  <c r="AG181"/>
  <c r="AG169"/>
  <c r="AG108"/>
  <c r="AG191"/>
  <c r="AG768"/>
  <c r="AG235"/>
  <c r="AG278"/>
  <c r="AG661"/>
  <c r="AG602"/>
  <c r="AG113"/>
  <c r="AG311"/>
  <c r="AG733"/>
  <c r="AG251"/>
  <c r="AG134"/>
  <c r="AG643"/>
  <c r="AG307"/>
  <c r="AG565"/>
  <c r="AG498"/>
  <c r="AG644"/>
  <c r="AG430"/>
  <c r="AG631"/>
  <c r="AG760"/>
  <c r="AG157"/>
  <c r="AG173"/>
  <c r="AG486"/>
  <c r="AG116"/>
  <c r="AG255"/>
  <c r="AG293"/>
  <c r="AG65"/>
  <c r="AG160"/>
  <c r="AG111"/>
  <c r="AG541"/>
  <c r="AG658"/>
  <c r="AG651"/>
  <c r="AG384"/>
  <c r="AG151"/>
  <c r="AG66"/>
  <c r="AG167"/>
  <c r="AG184"/>
  <c r="AG449"/>
  <c r="AG536"/>
  <c r="AG201"/>
  <c r="AG460"/>
  <c r="AG310"/>
  <c r="AG236"/>
  <c r="AG1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N167" l="1"/>
  <c r="AP167" s="1"/>
  <c r="AS167" s="1"/>
  <c r="AN251"/>
  <c r="AP251" s="1"/>
  <c r="AS251" s="1"/>
  <c r="AN637"/>
  <c r="AP637" s="1"/>
  <c r="AS637" s="1"/>
  <c r="AN551"/>
  <c r="AP551" s="1"/>
  <c r="AS551" s="1"/>
  <c r="AN375"/>
  <c r="AP375" s="1"/>
  <c r="AS375" s="1"/>
  <c r="AN554"/>
  <c r="AP554" s="1"/>
  <c r="AS554" s="1"/>
  <c r="AN549"/>
  <c r="AP549" s="1"/>
  <c r="AS549" s="1"/>
  <c r="AN284"/>
  <c r="AP284" s="1"/>
  <c r="AS284" s="1"/>
  <c r="AO635"/>
  <c r="AR635" s="1"/>
  <c r="AN676"/>
  <c r="AP676" s="1"/>
  <c r="AS676" s="1"/>
  <c r="AN495"/>
  <c r="AP495" s="1"/>
  <c r="AS495" s="1"/>
  <c r="AN134"/>
  <c r="AP134" s="1"/>
  <c r="AS134" s="1"/>
  <c r="AN311"/>
  <c r="AP311" s="1"/>
  <c r="AS311" s="1"/>
  <c r="AN680"/>
  <c r="AP680" s="1"/>
  <c r="AS680" s="1"/>
  <c r="AN669"/>
  <c r="AP669" s="1"/>
  <c r="AS669" s="1"/>
  <c r="AO97"/>
  <c r="AR97" s="1"/>
  <c r="AN585"/>
  <c r="AP585" s="1"/>
  <c r="AS585" s="1"/>
  <c r="AN668"/>
  <c r="AP668" s="1"/>
  <c r="AS668" s="1"/>
  <c r="AO95"/>
  <c r="AR95" s="1"/>
  <c r="AO47"/>
  <c r="AR47" s="1"/>
  <c r="AN368"/>
  <c r="AP368" s="1"/>
  <c r="AS368" s="1"/>
  <c r="AN256"/>
  <c r="AP256" s="1"/>
  <c r="AS256" s="1"/>
  <c r="AN598"/>
  <c r="AP598" s="1"/>
  <c r="AS598" s="1"/>
  <c r="AN564"/>
  <c r="AP564" s="1"/>
  <c r="AS564" s="1"/>
  <c r="AN155"/>
  <c r="AP155" s="1"/>
  <c r="AS155" s="1"/>
  <c r="AN624"/>
  <c r="AP624" s="1"/>
  <c r="AS624" s="1"/>
  <c r="AO81"/>
  <c r="AR81" s="1"/>
  <c r="AO59"/>
  <c r="AR59" s="1"/>
  <c r="AN678"/>
  <c r="AP678" s="1"/>
  <c r="AS678" s="1"/>
  <c r="AN723"/>
  <c r="AP723" s="1"/>
  <c r="AS723" s="1"/>
  <c r="AO302"/>
  <c r="AR302" s="1"/>
  <c r="AO377"/>
  <c r="AR377" s="1"/>
  <c r="AN541"/>
  <c r="AP541" s="1"/>
  <c r="AS541" s="1"/>
  <c r="AN196"/>
  <c r="AP196" s="1"/>
  <c r="AS196" s="1"/>
  <c r="AO48"/>
  <c r="AR48" s="1"/>
  <c r="AN648"/>
  <c r="AP648" s="1"/>
  <c r="AS648" s="1"/>
  <c r="AN141"/>
  <c r="AP141" s="1"/>
  <c r="AS141" s="1"/>
  <c r="AO85"/>
  <c r="AR85" s="1"/>
  <c r="AO101"/>
  <c r="AR101" s="1"/>
  <c r="AN393"/>
  <c r="AP393" s="1"/>
  <c r="AS393" s="1"/>
  <c r="AN383"/>
  <c r="AP383" s="1"/>
  <c r="AS383" s="1"/>
  <c r="AO71"/>
  <c r="AR71" s="1"/>
  <c r="AN359"/>
  <c r="AP359" s="1"/>
  <c r="AS359" s="1"/>
  <c r="AN279"/>
  <c r="AP279" s="1"/>
  <c r="AS279" s="1"/>
  <c r="AN627"/>
  <c r="AP627" s="1"/>
  <c r="AS627" s="1"/>
  <c r="AN117"/>
  <c r="AP117" s="1"/>
  <c r="AS117" s="1"/>
  <c r="AO322"/>
  <c r="AR322" s="1"/>
  <c r="AO617"/>
  <c r="AR617" s="1"/>
  <c r="AO277"/>
  <c r="AR277" s="1"/>
  <c r="AN629"/>
  <c r="AP629" s="1"/>
  <c r="AS629" s="1"/>
  <c r="AN618"/>
  <c r="AP618" s="1"/>
  <c r="AS618" s="1"/>
  <c r="AN595"/>
  <c r="AP595" s="1"/>
  <c r="AS595" s="1"/>
  <c r="AN151"/>
  <c r="AP151" s="1"/>
  <c r="AS151" s="1"/>
  <c r="AN736"/>
  <c r="AP736" s="1"/>
  <c r="AS736" s="1"/>
  <c r="AN342"/>
  <c r="AP342" s="1"/>
  <c r="AS342" s="1"/>
  <c r="AN588"/>
  <c r="AP588" s="1"/>
  <c r="AS588" s="1"/>
  <c r="AN516"/>
  <c r="AP516" s="1"/>
  <c r="AS516" s="1"/>
  <c r="AN173"/>
  <c r="AP173" s="1"/>
  <c r="AS173" s="1"/>
  <c r="AN496"/>
  <c r="AP496" s="1"/>
  <c r="AS496" s="1"/>
  <c r="AN105"/>
  <c r="AP105" s="1"/>
  <c r="AS105" s="1"/>
  <c r="AN528"/>
  <c r="AP528" s="1"/>
  <c r="AS528" s="1"/>
  <c r="AN662"/>
  <c r="AP662" s="1"/>
  <c r="AS662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O76"/>
  <c r="AR76" s="1"/>
  <c r="AN338"/>
  <c r="AP338" s="1"/>
  <c r="AS338" s="1"/>
  <c r="AO57"/>
  <c r="AR57" s="1"/>
  <c r="AN319"/>
  <c r="AP319" s="1"/>
  <c r="AS319" s="1"/>
  <c r="AO100"/>
  <c r="AR100" s="1"/>
  <c r="AO102"/>
  <c r="AR102" s="1"/>
  <c r="AN121"/>
  <c r="AP121" s="1"/>
  <c r="AS121" s="1"/>
  <c r="AN718"/>
  <c r="AP718" s="1"/>
  <c r="AS718" s="1"/>
  <c r="AN590"/>
  <c r="AP590" s="1"/>
  <c r="AS590" s="1"/>
  <c r="AN644"/>
  <c r="AP644" s="1"/>
  <c r="AS644" s="1"/>
  <c r="AN675"/>
  <c r="AP675" s="1"/>
  <c r="AS675" s="1"/>
  <c r="AN273"/>
  <c r="AP273" s="1"/>
  <c r="AS273" s="1"/>
  <c r="AN488"/>
  <c r="AP488" s="1"/>
  <c r="AS488" s="1"/>
  <c r="AN330"/>
  <c r="AP330" s="1"/>
  <c r="AS330" s="1"/>
  <c r="AO68"/>
  <c r="AR68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699"/>
  <c r="AP699" s="1"/>
  <c r="AS699" s="1"/>
  <c r="AN316"/>
  <c r="AP316" s="1"/>
  <c r="AS316" s="1"/>
  <c r="AO92"/>
  <c r="AR92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191"/>
  <c r="AP191" s="1"/>
  <c r="AS191" s="1"/>
  <c r="AN731"/>
  <c r="AP731" s="1"/>
  <c r="AS731" s="1"/>
  <c r="AN132"/>
  <c r="AP132" s="1"/>
  <c r="AS132" s="1"/>
  <c r="AN347"/>
  <c r="AP347" s="1"/>
  <c r="AS347" s="1"/>
  <c r="AN275"/>
  <c r="AP275" s="1"/>
  <c r="AS275" s="1"/>
  <c r="AE5"/>
  <c r="AG5" s="1"/>
  <c r="AQ5" s="1"/>
  <c r="AN697"/>
  <c r="AP697" s="1"/>
  <c r="AS697" s="1"/>
  <c r="AO64"/>
  <c r="AR64" s="1"/>
  <c r="AN135"/>
  <c r="AP135" s="1"/>
  <c r="AS135" s="1"/>
  <c r="AN116"/>
  <c r="AP116" s="1"/>
  <c r="AS116" s="1"/>
  <c r="AO89"/>
  <c r="AR89" s="1"/>
  <c r="AN165"/>
  <c r="AP165" s="1"/>
  <c r="AS165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O87"/>
  <c r="AR87" s="1"/>
  <c r="AN596"/>
  <c r="AP596" s="1"/>
  <c r="AS596" s="1"/>
  <c r="AN385"/>
  <c r="AP385" s="1"/>
  <c r="AS385" s="1"/>
  <c r="AN263"/>
  <c r="AP263" s="1"/>
  <c r="AS263" s="1"/>
  <c r="AN655"/>
  <c r="AP655" s="1"/>
  <c r="AS655" s="1"/>
  <c r="AN297"/>
  <c r="AP297" s="1"/>
  <c r="AS297" s="1"/>
  <c r="AN276"/>
  <c r="AP276" s="1"/>
  <c r="AS276" s="1"/>
  <c r="AN268"/>
  <c r="AP268" s="1"/>
  <c r="AS268" s="1"/>
  <c r="AN664"/>
  <c r="AP664" s="1"/>
  <c r="AS664" s="1"/>
  <c r="AO509"/>
  <c r="AR509" s="1"/>
  <c r="AN670"/>
  <c r="AP670" s="1"/>
  <c r="AS670" s="1"/>
  <c r="AN692"/>
  <c r="AP692" s="1"/>
  <c r="AS692" s="1"/>
  <c r="AN306"/>
  <c r="AP306" s="1"/>
  <c r="AS306" s="1"/>
  <c r="AN107"/>
  <c r="AP107" s="1"/>
  <c r="AS107" s="1"/>
  <c r="AN197"/>
  <c r="AP197" s="1"/>
  <c r="AS197" s="1"/>
  <c r="AN144"/>
  <c r="AP144" s="1"/>
  <c r="AS144" s="1"/>
  <c r="AN194"/>
  <c r="AP194" s="1"/>
  <c r="AS194" s="1"/>
  <c r="AN171"/>
  <c r="AP171" s="1"/>
  <c r="AS171" s="1"/>
  <c r="AN170"/>
  <c r="AP170" s="1"/>
  <c r="AS170" s="1"/>
  <c r="AO69"/>
  <c r="AR69" s="1"/>
  <c r="AN186"/>
  <c r="AP186" s="1"/>
  <c r="AS186" s="1"/>
  <c r="AN597"/>
  <c r="AP597" s="1"/>
  <c r="AS597" s="1"/>
  <c r="AN603"/>
  <c r="AP603" s="1"/>
  <c r="AS603" s="1"/>
  <c r="AN665"/>
  <c r="AP665" s="1"/>
  <c r="AS665" s="1"/>
  <c r="AO73"/>
  <c r="AR73" s="1"/>
  <c r="AN733"/>
  <c r="AP733" s="1"/>
  <c r="AS733" s="1"/>
  <c r="AN250"/>
  <c r="AP250" s="1"/>
  <c r="AS250" s="1"/>
  <c r="AN391"/>
  <c r="AP391" s="1"/>
  <c r="AS391" s="1"/>
  <c r="AN732"/>
  <c r="AP732" s="1"/>
  <c r="AS732" s="1"/>
  <c r="AO98"/>
  <c r="AR98" s="1"/>
  <c r="AN243"/>
  <c r="AP243" s="1"/>
  <c r="AS243" s="1"/>
  <c r="AN542"/>
  <c r="AP542" s="1"/>
  <c r="AS542" s="1"/>
  <c r="AN613"/>
  <c r="AP613" s="1"/>
  <c r="AS61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O45"/>
  <c r="AR45" s="1"/>
  <c r="AN162"/>
  <c r="AP162" s="1"/>
  <c r="AS162" s="1"/>
  <c r="AN686"/>
  <c r="AP686" s="1"/>
  <c r="AS686" s="1"/>
  <c r="AN605"/>
  <c r="AP605" s="1"/>
  <c r="AS605" s="1"/>
  <c r="AO740"/>
  <c r="AR740" s="1"/>
  <c r="AN451"/>
  <c r="AP451" s="1"/>
  <c r="AS451" s="1"/>
  <c r="AO636"/>
  <c r="AR636" s="1"/>
  <c r="AN492"/>
  <c r="AP492" s="1"/>
  <c r="AS492" s="1"/>
  <c r="AN536"/>
  <c r="AP536" s="1"/>
  <c r="AS536" s="1"/>
  <c r="AO65"/>
  <c r="AR65" s="1"/>
  <c r="AN159"/>
  <c r="AP159" s="1"/>
  <c r="AS159" s="1"/>
  <c r="AN711"/>
  <c r="AP711" s="1"/>
  <c r="AS711" s="1"/>
  <c r="AN351"/>
  <c r="AP351" s="1"/>
  <c r="AS351" s="1"/>
  <c r="AN335"/>
  <c r="AP335" s="1"/>
  <c r="AS335" s="1"/>
  <c r="AO70"/>
  <c r="AR70" s="1"/>
  <c r="AN682"/>
  <c r="AP682" s="1"/>
  <c r="AS682" s="1"/>
  <c r="AN183"/>
  <c r="AP183" s="1"/>
  <c r="AS183" s="1"/>
  <c r="AN287"/>
  <c r="AP287" s="1"/>
  <c r="AS287" s="1"/>
  <c r="AN673"/>
  <c r="AP673" s="1"/>
  <c r="AS673" s="1"/>
  <c r="AN543"/>
  <c r="AP543" s="1"/>
  <c r="AS543" s="1"/>
  <c r="AO38"/>
  <c r="AR38" s="1"/>
  <c r="AO42"/>
  <c r="AR42" s="1"/>
  <c r="AN716"/>
  <c r="AP716" s="1"/>
  <c r="AS716" s="1"/>
  <c r="AN348"/>
  <c r="AP348" s="1"/>
  <c r="AS348" s="1"/>
  <c r="AN180"/>
  <c r="AP180" s="1"/>
  <c r="AS180" s="1"/>
  <c r="AN270"/>
  <c r="AP270" s="1"/>
  <c r="AS270" s="1"/>
  <c r="AO77"/>
  <c r="AR77" s="1"/>
  <c r="AN352"/>
  <c r="AP352" s="1"/>
  <c r="AS352" s="1"/>
  <c r="AN380"/>
  <c r="AP380" s="1"/>
  <c r="AS380" s="1"/>
  <c r="AN127"/>
  <c r="AP127" s="1"/>
  <c r="AS127" s="1"/>
  <c r="AO657"/>
  <c r="AR657" s="1"/>
  <c r="AO698"/>
  <c r="AR698" s="1"/>
  <c r="AN671"/>
  <c r="AP671" s="1"/>
  <c r="AS671" s="1"/>
  <c r="AO120"/>
  <c r="AR120" s="1"/>
  <c r="AN345"/>
  <c r="AP345" s="1"/>
  <c r="AS345" s="1"/>
  <c r="AN708"/>
  <c r="AP708" s="1"/>
  <c r="AS708" s="1"/>
  <c r="AN696"/>
  <c r="AP696" s="1"/>
  <c r="AS696" s="1"/>
  <c r="AN583"/>
  <c r="AP583" s="1"/>
  <c r="AS583" s="1"/>
  <c r="AO79"/>
  <c r="AR79" s="1"/>
  <c r="AN521"/>
  <c r="AP521" s="1"/>
  <c r="AS521" s="1"/>
  <c r="AN341"/>
  <c r="AP341" s="1"/>
  <c r="AS341" s="1"/>
  <c r="AN130"/>
  <c r="AP130" s="1"/>
  <c r="AS130" s="1"/>
  <c r="AN160"/>
  <c r="AP160" s="1"/>
  <c r="AS160" s="1"/>
  <c r="AN307"/>
  <c r="AP307" s="1"/>
  <c r="AS307" s="1"/>
  <c r="AN661"/>
  <c r="AP661" s="1"/>
  <c r="AS661" s="1"/>
  <c r="AN562"/>
  <c r="AP562" s="1"/>
  <c r="AS562" s="1"/>
  <c r="AN577"/>
  <c r="AP577" s="1"/>
  <c r="AS577" s="1"/>
  <c r="AN387"/>
  <c r="AP387" s="1"/>
  <c r="AS387" s="1"/>
  <c r="AN587"/>
  <c r="AP587" s="1"/>
  <c r="AS587" s="1"/>
  <c r="AN252"/>
  <c r="AP252" s="1"/>
  <c r="AS252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258"/>
  <c r="AP258" s="1"/>
  <c r="AS258" s="1"/>
  <c r="AN567"/>
  <c r="AP567" s="1"/>
  <c r="AS567" s="1"/>
  <c r="AN653"/>
  <c r="AP653" s="1"/>
  <c r="AS653" s="1"/>
  <c r="AN360"/>
  <c r="AP360" s="1"/>
  <c r="AS360" s="1"/>
  <c r="AN147"/>
  <c r="AP147" s="1"/>
  <c r="AS147" s="1"/>
  <c r="AN261"/>
  <c r="AP261" s="1"/>
  <c r="AS261" s="1"/>
  <c r="AN161"/>
  <c r="AP161" s="1"/>
  <c r="AS161" s="1"/>
  <c r="AN592"/>
  <c r="AP592" s="1"/>
  <c r="AS592" s="1"/>
  <c r="AN489"/>
  <c r="AP489" s="1"/>
  <c r="AS489" s="1"/>
  <c r="AN334"/>
  <c r="AP334" s="1"/>
  <c r="AS334" s="1"/>
  <c r="AN317"/>
  <c r="AP317" s="1"/>
  <c r="AS317" s="1"/>
  <c r="AN145"/>
  <c r="AP145" s="1"/>
  <c r="AS145" s="1"/>
  <c r="AN179"/>
  <c r="AP179" s="1"/>
  <c r="AS179" s="1"/>
  <c r="AN281"/>
  <c r="AP281" s="1"/>
  <c r="AS281" s="1"/>
  <c r="AN184"/>
  <c r="AP184" s="1"/>
  <c r="AS184" s="1"/>
  <c r="AN658"/>
  <c r="AP658" s="1"/>
  <c r="AS658" s="1"/>
  <c r="AN255"/>
  <c r="AP255" s="1"/>
  <c r="AS255" s="1"/>
  <c r="AN142"/>
  <c r="AP142" s="1"/>
  <c r="AS142" s="1"/>
  <c r="AN339"/>
  <c r="AP339" s="1"/>
  <c r="AS339" s="1"/>
  <c r="AO83"/>
  <c r="AR83" s="1"/>
  <c r="AO33"/>
  <c r="AR33" s="1"/>
  <c r="AN172"/>
  <c r="AP172" s="1"/>
  <c r="AS172" s="1"/>
  <c r="AO343"/>
  <c r="AR343" s="1"/>
  <c r="AN189"/>
  <c r="AP189" s="1"/>
  <c r="AS189" s="1"/>
  <c r="AN249"/>
  <c r="AP249" s="1"/>
  <c r="AS249" s="1"/>
  <c r="AN103"/>
  <c r="AP103" s="1"/>
  <c r="AS103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634"/>
  <c r="AP634" s="1"/>
  <c r="AS634" s="1"/>
  <c r="AN742"/>
  <c r="AP742" s="1"/>
  <c r="AS742" s="1"/>
  <c r="AN537"/>
  <c r="AP537" s="1"/>
  <c r="AS537" s="1"/>
  <c r="AN246"/>
  <c r="AP246" s="1"/>
  <c r="AS246" s="1"/>
  <c r="AN643"/>
  <c r="AP643" s="1"/>
  <c r="AS643" s="1"/>
  <c r="AN181"/>
  <c r="AP181" s="1"/>
  <c r="AS181" s="1"/>
  <c r="AN355"/>
  <c r="AP355" s="1"/>
  <c r="AS355" s="1"/>
  <c r="AN639"/>
  <c r="AP639" s="1"/>
  <c r="AS639" s="1"/>
  <c r="AO86"/>
  <c r="AR86" s="1"/>
  <c r="AN136"/>
  <c r="AP136" s="1"/>
  <c r="AS136" s="1"/>
  <c r="AN329"/>
  <c r="AP329" s="1"/>
  <c r="AS329" s="1"/>
  <c r="AN109"/>
  <c r="AP109" s="1"/>
  <c r="AS109" s="1"/>
  <c r="AN534"/>
  <c r="AP534" s="1"/>
  <c r="AS534" s="1"/>
  <c r="AO96"/>
  <c r="AR96" s="1"/>
  <c r="AN164"/>
  <c r="AP164" s="1"/>
  <c r="AS164" s="1"/>
  <c r="AN285"/>
  <c r="AP285" s="1"/>
  <c r="AS285" s="1"/>
  <c r="AN392"/>
  <c r="AP392" s="1"/>
  <c r="AS392" s="1"/>
  <c r="AN614"/>
  <c r="AP614" s="1"/>
  <c r="AS614" s="1"/>
  <c r="AN515"/>
  <c r="AP515" s="1"/>
  <c r="AS515" s="1"/>
  <c r="AN110"/>
  <c r="AP110" s="1"/>
  <c r="AS110" s="1"/>
  <c r="AN349"/>
  <c r="AP349" s="1"/>
  <c r="AS349" s="1"/>
  <c r="AN518"/>
  <c r="AP518" s="1"/>
  <c r="AS518" s="1"/>
  <c r="AN300"/>
  <c r="AP300" s="1"/>
  <c r="AS300" s="1"/>
  <c r="AN174"/>
  <c r="AP174" s="1"/>
  <c r="AS174" s="1"/>
  <c r="AN163"/>
  <c r="AP163" s="1"/>
  <c r="AS163" s="1"/>
  <c r="AN546"/>
  <c r="AP546" s="1"/>
  <c r="AS546" s="1"/>
  <c r="AN566"/>
  <c r="AP566" s="1"/>
  <c r="AS566" s="1"/>
  <c r="AN589"/>
  <c r="AP589" s="1"/>
  <c r="AS589" s="1"/>
  <c r="AN245"/>
  <c r="AP245" s="1"/>
  <c r="AS245" s="1"/>
  <c r="AN574"/>
  <c r="AP574" s="1"/>
  <c r="AS574" s="1"/>
  <c r="AN296"/>
  <c r="AP296" s="1"/>
  <c r="AS296" s="1"/>
  <c r="AN720"/>
  <c r="AP720" s="1"/>
  <c r="AS720" s="1"/>
  <c r="AN691"/>
  <c r="AP691" s="1"/>
  <c r="AS691" s="1"/>
  <c r="AN190"/>
  <c r="AP190" s="1"/>
  <c r="AS190" s="1"/>
  <c r="AO344"/>
  <c r="AR344" s="1"/>
  <c r="AO754"/>
  <c r="AR754" s="1"/>
  <c r="AO537"/>
  <c r="AR537" s="1"/>
  <c r="AO207"/>
  <c r="AR207" s="1"/>
  <c r="AO213"/>
  <c r="AR213" s="1"/>
  <c r="AN310"/>
  <c r="AP310" s="1"/>
  <c r="AS310" s="1"/>
  <c r="AO66"/>
  <c r="AR66" s="1"/>
  <c r="AN384"/>
  <c r="AP384" s="1"/>
  <c r="AS384" s="1"/>
  <c r="AN111"/>
  <c r="AP111" s="1"/>
  <c r="AS111" s="1"/>
  <c r="AN602"/>
  <c r="AP602" s="1"/>
  <c r="AS602" s="1"/>
  <c r="AN570"/>
  <c r="AP570" s="1"/>
  <c r="AS570" s="1"/>
  <c r="AN579"/>
  <c r="AP579" s="1"/>
  <c r="AS579" s="1"/>
  <c r="AN535"/>
  <c r="AP535" s="1"/>
  <c r="AS535" s="1"/>
  <c r="AN122"/>
  <c r="AP122" s="1"/>
  <c r="AS122" s="1"/>
  <c r="AN717"/>
  <c r="AP717" s="1"/>
  <c r="AS717" s="1"/>
  <c r="AN568"/>
  <c r="AP568" s="1"/>
  <c r="AS568" s="1"/>
  <c r="AO60"/>
  <c r="AR60" s="1"/>
  <c r="AN143"/>
  <c r="AP143" s="1"/>
  <c r="AS143" s="1"/>
  <c r="AN556"/>
  <c r="AP556" s="1"/>
  <c r="AS556" s="1"/>
  <c r="AN712"/>
  <c r="AP712" s="1"/>
  <c r="AS712" s="1"/>
  <c r="AN291"/>
  <c r="AP291" s="1"/>
  <c r="AS291" s="1"/>
  <c r="AN540"/>
  <c r="AP540" s="1"/>
  <c r="AS540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31"/>
  <c r="AP131" s="1"/>
  <c r="AS131" s="1"/>
  <c r="AO40"/>
  <c r="AR40" s="1"/>
  <c r="AN572"/>
  <c r="AP572" s="1"/>
  <c r="AS572" s="1"/>
  <c r="AN289"/>
  <c r="AP289" s="1"/>
  <c r="AS289" s="1"/>
  <c r="AN721"/>
  <c r="AP721" s="1"/>
  <c r="AS721" s="1"/>
  <c r="AN398"/>
  <c r="AP398" s="1"/>
  <c r="AS398" s="1"/>
  <c r="AO46"/>
  <c r="AR46" s="1"/>
  <c r="AN502"/>
  <c r="AP502" s="1"/>
  <c r="AS502" s="1"/>
  <c r="AO93"/>
  <c r="AR93" s="1"/>
  <c r="AN168"/>
  <c r="AP168" s="1"/>
  <c r="AS168" s="1"/>
  <c r="AN188"/>
  <c r="AP188" s="1"/>
  <c r="AS188" s="1"/>
  <c r="AN532"/>
  <c r="AP532" s="1"/>
  <c r="AS532" s="1"/>
  <c r="AN414"/>
  <c r="AP414" s="1"/>
  <c r="AS414" s="1"/>
  <c r="AO246"/>
  <c r="AR246" s="1"/>
  <c r="AN157"/>
  <c r="AP157" s="1"/>
  <c r="AS157" s="1"/>
  <c r="AN498"/>
  <c r="AP498" s="1"/>
  <c r="AS498" s="1"/>
  <c r="AN113"/>
  <c r="AP113" s="1"/>
  <c r="AS113" s="1"/>
  <c r="AN353"/>
  <c r="AP353" s="1"/>
  <c r="AS353" s="1"/>
  <c r="AN126"/>
  <c r="AP126" s="1"/>
  <c r="AS126" s="1"/>
  <c r="AN694"/>
  <c r="AP694" s="1"/>
  <c r="AS694" s="1"/>
  <c r="AN493"/>
  <c r="AP493" s="1"/>
  <c r="AS493" s="1"/>
  <c r="AN722"/>
  <c r="AP722" s="1"/>
  <c r="AS722" s="1"/>
  <c r="AN622"/>
  <c r="AP622" s="1"/>
  <c r="AS622" s="1"/>
  <c r="AN561"/>
  <c r="AP561" s="1"/>
  <c r="AS561" s="1"/>
  <c r="AN557"/>
  <c r="AP557" s="1"/>
  <c r="AS557" s="1"/>
  <c r="AN527"/>
  <c r="AP527" s="1"/>
  <c r="AS527" s="1"/>
  <c r="AN611"/>
  <c r="AP611" s="1"/>
  <c r="AS611" s="1"/>
  <c r="AN519"/>
  <c r="AP519" s="1"/>
  <c r="AS519" s="1"/>
  <c r="AN652"/>
  <c r="AP652" s="1"/>
  <c r="AS652" s="1"/>
  <c r="AN688"/>
  <c r="AP688" s="1"/>
  <c r="AS688" s="1"/>
  <c r="AN328"/>
  <c r="AP328" s="1"/>
  <c r="AS328" s="1"/>
  <c r="AN709"/>
  <c r="AP709" s="1"/>
  <c r="AS709" s="1"/>
  <c r="AN354"/>
  <c r="AP354" s="1"/>
  <c r="AS354" s="1"/>
  <c r="AN576"/>
  <c r="AP576" s="1"/>
  <c r="AS576" s="1"/>
  <c r="AN200"/>
  <c r="AP200" s="1"/>
  <c r="AS200" s="1"/>
  <c r="AN640"/>
  <c r="AP640" s="1"/>
  <c r="AS640" s="1"/>
  <c r="AN533"/>
  <c r="AP533" s="1"/>
  <c r="AS533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303"/>
  <c r="AP303" s="1"/>
  <c r="AS303" s="1"/>
  <c r="AN560"/>
  <c r="AP560" s="1"/>
  <c r="AS560" s="1"/>
  <c r="AN399"/>
  <c r="AP399" s="1"/>
  <c r="AS399" s="1"/>
  <c r="AN264"/>
  <c r="AP264" s="1"/>
  <c r="AS264" s="1"/>
  <c r="AN346"/>
  <c r="AP346" s="1"/>
  <c r="AS346" s="1"/>
  <c r="AO34"/>
  <c r="AR34" s="1"/>
  <c r="AN295"/>
  <c r="AP295" s="1"/>
  <c r="AS295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5"/>
  <c r="AP125" s="1"/>
  <c r="AS125" s="1"/>
  <c r="AN397"/>
  <c r="AP397" s="1"/>
  <c r="AS397" s="1"/>
  <c r="AN193"/>
  <c r="AP193" s="1"/>
  <c r="AS193" s="1"/>
  <c r="AN608"/>
  <c r="AP608" s="1"/>
  <c r="AS608" s="1"/>
  <c r="AN401"/>
  <c r="AP401" s="1"/>
  <c r="AS401" s="1"/>
  <c r="AO247"/>
  <c r="AR247" s="1"/>
  <c r="AO206"/>
  <c r="AR206" s="1"/>
  <c r="AN90"/>
  <c r="AP90" s="1"/>
  <c r="AS90" s="1"/>
  <c r="AN471"/>
  <c r="AP471" s="1"/>
  <c r="AS471" s="1"/>
  <c r="AN138"/>
  <c r="AP138" s="1"/>
  <c r="AS138" s="1"/>
  <c r="AO138"/>
  <c r="AR138" s="1"/>
  <c r="AN367"/>
  <c r="AP367" s="1"/>
  <c r="AS367" s="1"/>
  <c r="AN381"/>
  <c r="AP381" s="1"/>
  <c r="AS381" s="1"/>
  <c r="AN267"/>
  <c r="AP267" s="1"/>
  <c r="AS267" s="1"/>
  <c r="AO74"/>
  <c r="AR74" s="1"/>
  <c r="AO61"/>
  <c r="AR61" s="1"/>
  <c r="AN327"/>
  <c r="AP327" s="1"/>
  <c r="AS327" s="1"/>
  <c r="AN619"/>
  <c r="AP619" s="1"/>
  <c r="AS619" s="1"/>
  <c r="AN294"/>
  <c r="AP294" s="1"/>
  <c r="AS294" s="1"/>
  <c r="AN704"/>
  <c r="AP704" s="1"/>
  <c r="AS704" s="1"/>
  <c r="AO36"/>
  <c r="AR36" s="1"/>
  <c r="AN510"/>
  <c r="AP510" s="1"/>
  <c r="AS510" s="1"/>
  <c r="AN257"/>
  <c r="AP257" s="1"/>
  <c r="AS257" s="1"/>
  <c r="AO37"/>
  <c r="AR37" s="1"/>
  <c r="AN361"/>
  <c r="AP361" s="1"/>
  <c r="AS361" s="1"/>
  <c r="AN740"/>
  <c r="AP740" s="1"/>
  <c r="AS740" s="1"/>
  <c r="AN503"/>
  <c r="AP503" s="1"/>
  <c r="AS503" s="1"/>
  <c r="AN195"/>
  <c r="AP195" s="1"/>
  <c r="AS195" s="1"/>
  <c r="AO91"/>
  <c r="AR91" s="1"/>
  <c r="AN706"/>
  <c r="AP706" s="1"/>
  <c r="AS706" s="1"/>
  <c r="AN178"/>
  <c r="AP178" s="1"/>
  <c r="AS178" s="1"/>
  <c r="AN156"/>
  <c r="AP156" s="1"/>
  <c r="AS156" s="1"/>
  <c r="AN333"/>
  <c r="AP333" s="1"/>
  <c r="AS333" s="1"/>
  <c r="AN356"/>
  <c r="AP356" s="1"/>
  <c r="AS356" s="1"/>
  <c r="AO80"/>
  <c r="AR80" s="1"/>
  <c r="AN725"/>
  <c r="AP725" s="1"/>
  <c r="AS725" s="1"/>
  <c r="AN645"/>
  <c r="AP645" s="1"/>
  <c r="AS645" s="1"/>
  <c r="AO170"/>
  <c r="AR170" s="1"/>
  <c r="AN247"/>
  <c r="AP247" s="1"/>
  <c r="AS247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293"/>
  <c r="AP293" s="1"/>
  <c r="AS293" s="1"/>
  <c r="AN308"/>
  <c r="AP308" s="1"/>
  <c r="AS308" s="1"/>
  <c r="AO58"/>
  <c r="AR58" s="1"/>
  <c r="AN638"/>
  <c r="AP638" s="1"/>
  <c r="AS638" s="1"/>
  <c r="AN129"/>
  <c r="AP129" s="1"/>
  <c r="AS129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54"/>
  <c r="AP154" s="1"/>
  <c r="AS154" s="1"/>
  <c r="AO49"/>
  <c r="AR49" s="1"/>
  <c r="AN735"/>
  <c r="AP735" s="1"/>
  <c r="AS735" s="1"/>
  <c r="AN654"/>
  <c r="AP654" s="1"/>
  <c r="AS654" s="1"/>
  <c r="AN553"/>
  <c r="AP553" s="1"/>
  <c r="AS553" s="1"/>
  <c r="AN580"/>
  <c r="AP580" s="1"/>
  <c r="AS580" s="1"/>
  <c r="AN288"/>
  <c r="AP288" s="1"/>
  <c r="AS288" s="1"/>
  <c r="AN690"/>
  <c r="AP690" s="1"/>
  <c r="AS690" s="1"/>
  <c r="AN362"/>
  <c r="AP362" s="1"/>
  <c r="AS362" s="1"/>
  <c r="AN615"/>
  <c r="AP615" s="1"/>
  <c r="AS615" s="1"/>
  <c r="AN198"/>
  <c r="AP198" s="1"/>
  <c r="AS198" s="1"/>
  <c r="AN726"/>
  <c r="AP726" s="1"/>
  <c r="AS726" s="1"/>
  <c r="AN337"/>
  <c r="AP337" s="1"/>
  <c r="AS337" s="1"/>
  <c r="AN271"/>
  <c r="AP271" s="1"/>
  <c r="AS271" s="1"/>
  <c r="AN286"/>
  <c r="AP286" s="1"/>
  <c r="AS286" s="1"/>
  <c r="AN199"/>
  <c r="AP199" s="1"/>
  <c r="AS199" s="1"/>
  <c r="AN323"/>
  <c r="AP323" s="1"/>
  <c r="AS323" s="1"/>
  <c r="AN505"/>
  <c r="AP505" s="1"/>
  <c r="AS505" s="1"/>
  <c r="AN633"/>
  <c r="AP633" s="1"/>
  <c r="AS633" s="1"/>
  <c r="AN681"/>
  <c r="AP681" s="1"/>
  <c r="AS681" s="1"/>
  <c r="AN601"/>
  <c r="AP601" s="1"/>
  <c r="AS6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O50"/>
  <c r="AR50" s="1"/>
  <c r="AN364"/>
  <c r="AP364" s="1"/>
  <c r="AS364" s="1"/>
  <c r="AN370"/>
  <c r="AP370" s="1"/>
  <c r="AS370" s="1"/>
  <c r="AN299"/>
  <c r="AP299" s="1"/>
  <c r="AS299" s="1"/>
  <c r="AN146"/>
  <c r="AP146" s="1"/>
  <c r="AS146" s="1"/>
  <c r="AO35"/>
  <c r="AR35" s="1"/>
  <c r="AN357"/>
  <c r="AP357" s="1"/>
  <c r="AS357" s="1"/>
  <c r="AN152"/>
  <c r="AP152" s="1"/>
  <c r="AS152" s="1"/>
  <c r="AN324"/>
  <c r="AP324" s="1"/>
  <c r="AS324" s="1"/>
  <c r="AN177"/>
  <c r="AP177" s="1"/>
  <c r="AS177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39"/>
  <c r="AP139" s="1"/>
  <c r="AS139" s="1"/>
  <c r="AN169"/>
  <c r="AP169" s="1"/>
  <c r="AS169" s="1"/>
  <c r="AN283"/>
  <c r="AP283" s="1"/>
  <c r="AS283" s="1"/>
  <c r="AN372"/>
  <c r="AP372" s="1"/>
  <c r="AS372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332"/>
  <c r="AP332" s="1"/>
  <c r="AS332" s="1"/>
  <c r="AN376"/>
  <c r="AP376" s="1"/>
  <c r="AS376" s="1"/>
  <c r="AN369"/>
  <c r="AP369" s="1"/>
  <c r="AS369" s="1"/>
  <c r="AN119"/>
  <c r="AP119" s="1"/>
  <c r="AS119" s="1"/>
  <c r="AN166"/>
  <c r="AP166" s="1"/>
  <c r="AS166" s="1"/>
  <c r="AN318"/>
  <c r="AP318" s="1"/>
  <c r="AS318" s="1"/>
  <c r="AN689"/>
  <c r="AP689" s="1"/>
  <c r="AS689" s="1"/>
  <c r="AN548"/>
  <c r="AP548" s="1"/>
  <c r="AS548" s="1"/>
  <c r="AN522"/>
  <c r="AP522" s="1"/>
  <c r="AS522" s="1"/>
  <c r="AN660"/>
  <c r="AP660" s="1"/>
  <c r="AS660" s="1"/>
  <c r="AN158"/>
  <c r="AP158" s="1"/>
  <c r="AS158" s="1"/>
  <c r="AN695"/>
  <c r="AP695" s="1"/>
  <c r="AS695" s="1"/>
  <c r="AN674"/>
  <c r="AP674" s="1"/>
  <c r="AS674" s="1"/>
  <c r="AN693"/>
  <c r="AP693" s="1"/>
  <c r="AS693" s="1"/>
  <c r="AN524"/>
  <c r="AP524" s="1"/>
  <c r="AS524" s="1"/>
  <c r="AN663"/>
  <c r="AP663" s="1"/>
  <c r="AS663" s="1"/>
  <c r="AN266"/>
  <c r="AP266" s="1"/>
  <c r="AS266" s="1"/>
  <c r="AN687"/>
  <c r="AP687" s="1"/>
  <c r="AS687" s="1"/>
  <c r="AN738"/>
  <c r="AP738" s="1"/>
  <c r="AS738" s="1"/>
  <c r="AN659"/>
  <c r="AP659" s="1"/>
  <c r="AS659" s="1"/>
  <c r="AN118"/>
  <c r="AP118" s="1"/>
  <c r="AS118" s="1"/>
  <c r="AN182"/>
  <c r="AP182" s="1"/>
  <c r="AS182" s="1"/>
  <c r="AN642"/>
  <c r="AP642" s="1"/>
  <c r="AS642" s="1"/>
  <c r="AN514"/>
  <c r="AP514" s="1"/>
  <c r="AS514" s="1"/>
  <c r="AN620"/>
  <c r="AP620" s="1"/>
  <c r="AS620" s="1"/>
  <c r="AN253"/>
  <c r="AP253" s="1"/>
  <c r="AS253" s="1"/>
  <c r="AN371"/>
  <c r="AP371" s="1"/>
  <c r="AS371" s="1"/>
  <c r="AN244"/>
  <c r="AP244" s="1"/>
  <c r="AS244" s="1"/>
  <c r="AO94"/>
  <c r="AR94" s="1"/>
  <c r="AN350"/>
  <c r="AP350" s="1"/>
  <c r="AS350" s="1"/>
  <c r="AN298"/>
  <c r="AP298" s="1"/>
  <c r="AS298" s="1"/>
  <c r="AN538"/>
  <c r="AP538" s="1"/>
  <c r="AS538" s="1"/>
  <c r="AN259"/>
  <c r="AP259" s="1"/>
  <c r="AS259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499"/>
  <c r="AR499" s="1"/>
  <c r="AN748"/>
  <c r="AP748" s="1"/>
  <c r="AS748" s="1"/>
  <c r="AO386"/>
  <c r="AR386" s="1"/>
  <c r="AO714"/>
  <c r="AR714" s="1"/>
  <c r="AN120"/>
  <c r="AP120" s="1"/>
  <c r="AS120" s="1"/>
  <c r="AO130"/>
  <c r="AR130" s="1"/>
  <c r="AN201"/>
  <c r="AP201" s="1"/>
  <c r="AS201" s="1"/>
  <c r="AN621"/>
  <c r="AP621" s="1"/>
  <c r="AS621" s="1"/>
  <c r="AN727"/>
  <c r="AP727" s="1"/>
  <c r="AS727" s="1"/>
  <c r="AN366"/>
  <c r="AP366" s="1"/>
  <c r="AS366" s="1"/>
  <c r="AN278"/>
  <c r="AP278" s="1"/>
  <c r="AS278" s="1"/>
  <c r="AN108"/>
  <c r="AP108" s="1"/>
  <c r="AS108" s="1"/>
  <c r="AN150"/>
  <c r="AP150" s="1"/>
  <c r="AS150" s="1"/>
  <c r="AN260"/>
  <c r="AP260" s="1"/>
  <c r="AS260" s="1"/>
  <c r="AN507"/>
  <c r="AP507" s="1"/>
  <c r="AS507" s="1"/>
  <c r="AN114"/>
  <c r="AP114" s="1"/>
  <c r="AS114" s="1"/>
  <c r="AN713"/>
  <c r="AP713" s="1"/>
  <c r="AS713" s="1"/>
  <c r="AN508"/>
  <c r="AP508" s="1"/>
  <c r="AS508" s="1"/>
  <c r="AN684"/>
  <c r="AP684" s="1"/>
  <c r="AS684" s="1"/>
  <c r="AN262"/>
  <c r="AP262" s="1"/>
  <c r="AS262" s="1"/>
  <c r="AN395"/>
  <c r="AP395" s="1"/>
  <c r="AS395" s="1"/>
  <c r="AN606"/>
  <c r="AP606" s="1"/>
  <c r="AS606" s="1"/>
  <c r="AN625"/>
  <c r="AP625" s="1"/>
  <c r="AS625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O88"/>
  <c r="AR88" s="1"/>
  <c r="AN363"/>
  <c r="AP363" s="1"/>
  <c r="AS363" s="1"/>
  <c r="AN578"/>
  <c r="AP578" s="1"/>
  <c r="AS578" s="1"/>
  <c r="AN530"/>
  <c r="AP530" s="1"/>
  <c r="AS530" s="1"/>
  <c r="AN526"/>
  <c r="AP526" s="1"/>
  <c r="AS526" s="1"/>
  <c r="AN115"/>
  <c r="AP115" s="1"/>
  <c r="AS115" s="1"/>
  <c r="AN672"/>
  <c r="AP672" s="1"/>
  <c r="AS672" s="1"/>
  <c r="AN582"/>
  <c r="AP582" s="1"/>
  <c r="AS582" s="1"/>
  <c r="AN153"/>
  <c r="AP153" s="1"/>
  <c r="AS153" s="1"/>
  <c r="AO82"/>
  <c r="AR82" s="1"/>
  <c r="AN272"/>
  <c r="AP272" s="1"/>
  <c r="AS272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28"/>
  <c r="AP728" s="1"/>
  <c r="AS728" s="1"/>
  <c r="AN123"/>
  <c r="AP123" s="1"/>
  <c r="AS12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600"/>
  <c r="AP600" s="1"/>
  <c r="AS600" s="1"/>
  <c r="AN616"/>
  <c r="AP616" s="1"/>
  <c r="AS616" s="1"/>
  <c r="AN630"/>
  <c r="AP630" s="1"/>
  <c r="AS630" s="1"/>
  <c r="AN192"/>
  <c r="AP192" s="1"/>
  <c r="AS192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N62"/>
  <c r="AP62" s="1"/>
  <c r="AS62" s="1"/>
  <c r="AO121"/>
  <c r="AR121" s="1"/>
  <c r="AO171"/>
  <c r="AR171" s="1"/>
  <c r="AO62"/>
  <c r="AR62" s="1"/>
  <c r="AO117"/>
  <c r="AR117" s="1"/>
  <c r="AO321"/>
  <c r="AR321" s="1"/>
  <c r="AO325"/>
  <c r="AR325" s="1"/>
  <c r="AO563"/>
  <c r="AR563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O449"/>
  <c r="AR449" s="1"/>
  <c r="AN449"/>
  <c r="AP449" s="1"/>
  <c r="AS449" s="1"/>
  <c r="AN486"/>
  <c r="AP486" s="1"/>
  <c r="AS486" s="1"/>
  <c r="AO486"/>
  <c r="AR486" s="1"/>
  <c r="AO768"/>
  <c r="AR768" s="1"/>
  <c r="AN768"/>
  <c r="AP768" s="1"/>
  <c r="AS768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O441"/>
  <c r="AR441" s="1"/>
  <c r="AN441"/>
  <c r="AP441" s="1"/>
  <c r="AS441" s="1"/>
  <c r="AO448"/>
  <c r="AR448" s="1"/>
  <c r="AN448"/>
  <c r="AP448" s="1"/>
  <c r="AS448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244"/>
  <c r="AR244" s="1"/>
  <c r="AO187"/>
  <c r="AR187" s="1"/>
  <c r="AO675"/>
  <c r="AR675" s="1"/>
  <c r="AO536"/>
  <c r="AR536" s="1"/>
  <c r="AN343"/>
  <c r="AP343" s="1"/>
  <c r="AS343" s="1"/>
  <c r="AO149"/>
  <c r="AR149" s="1"/>
  <c r="AO389"/>
  <c r="AR389" s="1"/>
  <c r="AO329"/>
  <c r="AR329" s="1"/>
  <c r="AO503"/>
  <c r="AR503" s="1"/>
  <c r="AN61"/>
  <c r="AP61" s="1"/>
  <c r="AS61" s="1"/>
  <c r="AO567"/>
  <c r="AR567" s="1"/>
  <c r="AO354"/>
  <c r="AR354" s="1"/>
  <c r="AO300"/>
  <c r="AR300" s="1"/>
  <c r="AO666"/>
  <c r="AR666" s="1"/>
  <c r="AO717"/>
  <c r="AR717" s="1"/>
  <c r="AO557"/>
  <c r="AR557" s="1"/>
  <c r="AO361"/>
  <c r="AR361" s="1"/>
  <c r="AO650"/>
  <c r="AR650" s="1"/>
  <c r="AO658"/>
  <c r="AR658" s="1"/>
  <c r="AO111"/>
  <c r="AR111" s="1"/>
  <c r="AO619"/>
  <c r="AR619" s="1"/>
  <c r="AO652"/>
  <c r="AR652" s="1"/>
  <c r="AO728"/>
  <c r="AR728" s="1"/>
  <c r="AO303"/>
  <c r="AR303" s="1"/>
  <c r="AO560"/>
  <c r="AR560" s="1"/>
  <c r="AO399"/>
  <c r="AR399" s="1"/>
  <c r="AO507"/>
  <c r="AR507" s="1"/>
  <c r="AN55"/>
  <c r="AP55" s="1"/>
  <c r="AS55" s="1"/>
  <c r="AO175"/>
  <c r="AR175" s="1"/>
  <c r="AO143"/>
  <c r="AR143" s="1"/>
  <c r="AO298"/>
  <c r="AR298" s="1"/>
  <c r="AO327"/>
  <c r="AR327" s="1"/>
  <c r="AO353"/>
  <c r="AR353" s="1"/>
  <c r="AO576"/>
  <c r="AR576" s="1"/>
  <c r="AN91"/>
  <c r="AP91" s="1"/>
  <c r="AS91" s="1"/>
  <c r="AN60"/>
  <c r="AP60" s="1"/>
  <c r="AS60" s="1"/>
  <c r="AO381"/>
  <c r="AR381" s="1"/>
  <c r="AO333"/>
  <c r="AR333" s="1"/>
  <c r="AO315"/>
  <c r="AR315" s="1"/>
  <c r="AO356"/>
  <c r="AR356" s="1"/>
  <c r="AO367"/>
  <c r="AR367" s="1"/>
  <c r="AO178"/>
  <c r="AR178" s="1"/>
  <c r="AO568"/>
  <c r="AR568" s="1"/>
  <c r="AN80"/>
  <c r="AP80" s="1"/>
  <c r="AS80" s="1"/>
  <c r="AN36"/>
  <c r="AP36" s="1"/>
  <c r="AS36" s="1"/>
  <c r="AO725"/>
  <c r="AR725" s="1"/>
  <c r="AO641"/>
  <c r="AR641" s="1"/>
  <c r="AO156"/>
  <c r="AR156" s="1"/>
  <c r="AO704"/>
  <c r="AR704" s="1"/>
  <c r="AO310"/>
  <c r="AR310" s="1"/>
  <c r="AO289"/>
  <c r="AR289" s="1"/>
  <c r="AO721"/>
  <c r="AR721" s="1"/>
  <c r="AO157"/>
  <c r="AR157" s="1"/>
  <c r="AO638"/>
  <c r="AR638" s="1"/>
  <c r="AO534"/>
  <c r="AR534" s="1"/>
  <c r="AN96"/>
  <c r="AP96" s="1"/>
  <c r="AS96" s="1"/>
  <c r="AO572"/>
  <c r="AR572" s="1"/>
  <c r="AO257"/>
  <c r="AR257" s="1"/>
  <c r="AN37"/>
  <c r="AP37" s="1"/>
  <c r="AS37" s="1"/>
  <c r="AN86"/>
  <c r="AP86" s="1"/>
  <c r="AS86" s="1"/>
  <c r="AO599"/>
  <c r="AR599" s="1"/>
  <c r="AO569"/>
  <c r="AR569" s="1"/>
  <c r="AO365"/>
  <c r="AR365" s="1"/>
  <c r="AO517"/>
  <c r="AR517" s="1"/>
  <c r="AO103"/>
  <c r="AR103" s="1"/>
  <c r="AO294"/>
  <c r="AR294" s="1"/>
  <c r="AO555"/>
  <c r="AR555" s="1"/>
  <c r="AO109"/>
  <c r="AR109" s="1"/>
  <c r="AO510"/>
  <c r="AR510" s="1"/>
  <c r="AO362"/>
  <c r="AR362" s="1"/>
  <c r="AO709"/>
  <c r="AR709" s="1"/>
  <c r="AO493"/>
  <c r="AR493" s="1"/>
  <c r="AO611"/>
  <c r="AR611" s="1"/>
  <c r="AO189"/>
  <c r="AR189" s="1"/>
  <c r="AO667"/>
  <c r="AR667" s="1"/>
  <c r="AN33"/>
  <c r="AP33" s="1"/>
  <c r="AS33" s="1"/>
  <c r="AO645"/>
  <c r="AR645" s="1"/>
  <c r="AN74"/>
  <c r="AP74" s="1"/>
  <c r="AS74" s="1"/>
  <c r="AO506"/>
  <c r="AR506" s="1"/>
  <c r="AO710"/>
  <c r="AR710" s="1"/>
  <c r="AO614"/>
  <c r="AR614" s="1"/>
  <c r="AN34"/>
  <c r="AP34" s="1"/>
  <c r="AS34" s="1"/>
  <c r="AO703"/>
  <c r="AR703" s="1"/>
  <c r="AN83"/>
  <c r="AP83" s="1"/>
  <c r="AS83" s="1"/>
  <c r="AO497"/>
  <c r="AR497" s="1"/>
  <c r="AO125"/>
  <c r="AR125" s="1"/>
  <c r="AN46"/>
  <c r="AP46" s="1"/>
  <c r="AS46" s="1"/>
  <c r="AN40"/>
  <c r="AP40" s="1"/>
  <c r="AS40" s="1"/>
  <c r="AO502"/>
  <c r="AR502" s="1"/>
  <c r="AO634"/>
  <c r="AR634" s="1"/>
  <c r="AO527"/>
  <c r="AR527" s="1"/>
  <c r="AO181"/>
  <c r="AR181" s="1"/>
  <c r="AO512"/>
  <c r="AR512" s="1"/>
  <c r="AO122"/>
  <c r="AR122" s="1"/>
  <c r="AO705"/>
  <c r="AR705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490"/>
  <c r="AR490" s="1"/>
  <c r="AO491"/>
  <c r="AR491" s="1"/>
  <c r="AO292"/>
  <c r="AR292" s="1"/>
  <c r="AO172"/>
  <c r="AR172" s="1"/>
  <c r="AO296"/>
  <c r="AR296" s="1"/>
  <c r="AO735"/>
  <c r="AR735" s="1"/>
  <c r="AO659"/>
  <c r="AR659" s="1"/>
  <c r="AO331"/>
  <c r="AR331" s="1"/>
  <c r="AO601"/>
  <c r="AR601" s="1"/>
  <c r="AO562"/>
  <c r="AR562" s="1"/>
  <c r="AO577"/>
  <c r="AR577" s="1"/>
  <c r="AN66"/>
  <c r="AP66" s="1"/>
  <c r="AS66" s="1"/>
  <c r="AO533"/>
  <c r="AR533" s="1"/>
  <c r="AO679"/>
  <c r="AR679" s="1"/>
  <c r="AO683"/>
  <c r="AR683" s="1"/>
  <c r="AO286"/>
  <c r="AR286" s="1"/>
  <c r="AN206"/>
  <c r="AP206" s="1"/>
  <c r="AS206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93"/>
  <c r="AR193" s="1"/>
  <c r="AN509"/>
  <c r="AP509" s="1"/>
  <c r="AS509" s="1"/>
  <c r="AO495"/>
  <c r="AR495" s="1"/>
  <c r="AN499"/>
  <c r="AP499" s="1"/>
  <c r="AS499" s="1"/>
  <c r="AO513"/>
  <c r="AR513" s="1"/>
  <c r="AN657"/>
  <c r="AP657" s="1"/>
  <c r="AS657" s="1"/>
  <c r="AO694"/>
  <c r="AR694" s="1"/>
  <c r="AO372"/>
  <c r="AR372" s="1"/>
  <c r="AN213"/>
  <c r="AP213" s="1"/>
  <c r="AS213" s="1"/>
  <c r="AN737"/>
  <c r="AP737" s="1"/>
  <c r="AS737" s="1"/>
  <c r="AN754"/>
  <c r="AP754" s="1"/>
  <c r="AS75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225"/>
  <c r="AP225" s="1"/>
  <c r="AS225" s="1"/>
  <c r="AO225"/>
  <c r="AR225" s="1"/>
  <c r="AO432"/>
  <c r="AR432" s="1"/>
  <c r="AN432"/>
  <c r="AP432" s="1"/>
  <c r="AS432" s="1"/>
  <c r="AO452"/>
  <c r="AR452" s="1"/>
  <c r="AN452"/>
  <c r="AP452" s="1"/>
  <c r="AS452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O764"/>
  <c r="AR764" s="1"/>
  <c r="AN764"/>
  <c r="AP764" s="1"/>
  <c r="AS764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450"/>
  <c r="AP450" s="1"/>
  <c r="AS450" s="1"/>
  <c r="AO450"/>
  <c r="AR450" s="1"/>
  <c r="AN67"/>
  <c r="AP67" s="1"/>
  <c r="AS67" s="1"/>
  <c r="AO525"/>
  <c r="AR525" s="1"/>
  <c r="AO688"/>
  <c r="AR688" s="1"/>
  <c r="AO678"/>
  <c r="AR678" s="1"/>
  <c r="AO194"/>
  <c r="AR194" s="1"/>
  <c r="AO724"/>
  <c r="AR724" s="1"/>
  <c r="AO585"/>
  <c r="AR585" s="1"/>
  <c r="AN51"/>
  <c r="AP51" s="1"/>
  <c r="AS51" s="1"/>
  <c r="AO281"/>
  <c r="AR281" s="1"/>
  <c r="AO646"/>
  <c r="AR646" s="1"/>
  <c r="AO756"/>
  <c r="AR756" s="1"/>
  <c r="AN48"/>
  <c r="AP48" s="1"/>
  <c r="AS48" s="1"/>
  <c r="AO390"/>
  <c r="AR390" s="1"/>
  <c r="AO140"/>
  <c r="AR140" s="1"/>
  <c r="AO526"/>
  <c r="AR526" s="1"/>
  <c r="AO539"/>
  <c r="AR539" s="1"/>
  <c r="AO112"/>
  <c r="AR112" s="1"/>
  <c r="AO587"/>
  <c r="AR587" s="1"/>
  <c r="AO357"/>
  <c r="AR357" s="1"/>
  <c r="AO699"/>
  <c r="AR699" s="1"/>
  <c r="AO134"/>
  <c r="AR134" s="1"/>
  <c r="AO273"/>
  <c r="AR273" s="1"/>
  <c r="AO368"/>
  <c r="AR368" s="1"/>
  <c r="AO531"/>
  <c r="AR531" s="1"/>
  <c r="AO668"/>
  <c r="AR668" s="1"/>
  <c r="AO489"/>
  <c r="AR489" s="1"/>
  <c r="AO330"/>
  <c r="AR330" s="1"/>
  <c r="AN68"/>
  <c r="AP68" s="1"/>
  <c r="AS68" s="1"/>
  <c r="AO496"/>
  <c r="AR496" s="1"/>
  <c r="AO161"/>
  <c r="AR161" s="1"/>
  <c r="AO583"/>
  <c r="AR583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256"/>
  <c r="AR256" s="1"/>
  <c r="AO270"/>
  <c r="AR270" s="1"/>
  <c r="AO588"/>
  <c r="AR588" s="1"/>
  <c r="AO104"/>
  <c r="AR104" s="1"/>
  <c r="AO494"/>
  <c r="AR494" s="1"/>
  <c r="AO168"/>
  <c r="AR168" s="1"/>
  <c r="AO606"/>
  <c r="AR606" s="1"/>
  <c r="AO622"/>
  <c r="AR622" s="1"/>
  <c r="AO648"/>
  <c r="AR648" s="1"/>
  <c r="AO707"/>
  <c r="AR707" s="1"/>
  <c r="AO346"/>
  <c r="AR346" s="1"/>
  <c r="AO618"/>
  <c r="AR618" s="1"/>
  <c r="AO264"/>
  <c r="AR264" s="1"/>
  <c r="AO180"/>
  <c r="AR180" s="1"/>
  <c r="AO397"/>
  <c r="AR397" s="1"/>
  <c r="AO316"/>
  <c r="AR316" s="1"/>
  <c r="AN92"/>
  <c r="AP92" s="1"/>
  <c r="AS92" s="1"/>
  <c r="AO647"/>
  <c r="AR647" s="1"/>
  <c r="AO535"/>
  <c r="AR535" s="1"/>
  <c r="AO340"/>
  <c r="AR340" s="1"/>
  <c r="AO629"/>
  <c r="AR629" s="1"/>
  <c r="AO176"/>
  <c r="AR176" s="1"/>
  <c r="AO559"/>
  <c r="AR559" s="1"/>
  <c r="AN71"/>
  <c r="AP71" s="1"/>
  <c r="AS71" s="1"/>
  <c r="AO672"/>
  <c r="AR672" s="1"/>
  <c r="AO196"/>
  <c r="AR196" s="1"/>
  <c r="AO336"/>
  <c r="AR336" s="1"/>
  <c r="AO248"/>
  <c r="AR248" s="1"/>
  <c r="AO726"/>
  <c r="AR726" s="1"/>
  <c r="AO359"/>
  <c r="AR359" s="1"/>
  <c r="AO702"/>
  <c r="AR702" s="1"/>
  <c r="AO680"/>
  <c r="AR680" s="1"/>
  <c r="AO393"/>
  <c r="AR393" s="1"/>
  <c r="AO387"/>
  <c r="AR387" s="1"/>
  <c r="AO173"/>
  <c r="AR173" s="1"/>
  <c r="AO383"/>
  <c r="AR383" s="1"/>
  <c r="AO133"/>
  <c r="AR133" s="1"/>
  <c r="AO511"/>
  <c r="AR511" s="1"/>
  <c r="AN81"/>
  <c r="AP81" s="1"/>
  <c r="AS81" s="1"/>
  <c r="AO276"/>
  <c r="AR276" s="1"/>
  <c r="AO293"/>
  <c r="AR293" s="1"/>
  <c r="AO664"/>
  <c r="AR664" s="1"/>
  <c r="AO141"/>
  <c r="AR141" s="1"/>
  <c r="AO271"/>
  <c r="AR271" s="1"/>
  <c r="AO155"/>
  <c r="AR155" s="1"/>
  <c r="AO280"/>
  <c r="AR280" s="1"/>
  <c r="AO305"/>
  <c r="AR305" s="1"/>
  <c r="AO529"/>
  <c r="AR529" s="1"/>
  <c r="AO312"/>
  <c r="AR312" s="1"/>
  <c r="AO620"/>
  <c r="AR620" s="1"/>
  <c r="AO602"/>
  <c r="AR602" s="1"/>
  <c r="AN54"/>
  <c r="AP54" s="1"/>
  <c r="AS54" s="1"/>
  <c r="AO591"/>
  <c r="AR591" s="1"/>
  <c r="AO723"/>
  <c r="AR723" s="1"/>
  <c r="AO548"/>
  <c r="AR548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245"/>
  <c r="AR245" s="1"/>
  <c r="AO593"/>
  <c r="AR593" s="1"/>
  <c r="AO594"/>
  <c r="AR594" s="1"/>
  <c r="AO719"/>
  <c r="AR719" s="1"/>
  <c r="AO553"/>
  <c r="AR553" s="1"/>
  <c r="AO639"/>
  <c r="AR639" s="1"/>
  <c r="AO279"/>
  <c r="AR279" s="1"/>
  <c r="AO575"/>
  <c r="AR575" s="1"/>
  <c r="AO598"/>
  <c r="AR598" s="1"/>
  <c r="AO621"/>
  <c r="AR621" s="1"/>
  <c r="AO126"/>
  <c r="AR126" s="1"/>
  <c r="AO627"/>
  <c r="AR627" s="1"/>
  <c r="AO396"/>
  <c r="AR396" s="1"/>
  <c r="AO570"/>
  <c r="AR570" s="1"/>
  <c r="AO524"/>
  <c r="AR524" s="1"/>
  <c r="AO729"/>
  <c r="AR729" s="1"/>
  <c r="AO669"/>
  <c r="AR669" s="1"/>
  <c r="AN41"/>
  <c r="AP41" s="1"/>
  <c r="AS41" s="1"/>
  <c r="AO578"/>
  <c r="AR578" s="1"/>
  <c r="AO123"/>
  <c r="AR123" s="1"/>
  <c r="AN59"/>
  <c r="AP59" s="1"/>
  <c r="AS59" s="1"/>
  <c r="AO662"/>
  <c r="AR662" s="1"/>
  <c r="AO274"/>
  <c r="AR274" s="1"/>
  <c r="AO712"/>
  <c r="AR712" s="1"/>
  <c r="AN400"/>
  <c r="AP400" s="1"/>
  <c r="AS400" s="1"/>
  <c r="AO720"/>
  <c r="AR720" s="1"/>
  <c r="AN137"/>
  <c r="AP137" s="1"/>
  <c r="AS137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N102"/>
  <c r="AP102" s="1"/>
  <c r="AS102" s="1"/>
  <c r="AO523"/>
  <c r="AR523" s="1"/>
  <c r="AO608"/>
  <c r="AR608" s="1"/>
  <c r="AO317"/>
  <c r="AR317" s="1"/>
  <c r="AO105"/>
  <c r="AR105" s="1"/>
  <c r="AO184"/>
  <c r="AR184" s="1"/>
  <c r="AO595"/>
  <c r="AR595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238"/>
  <c r="AP238" s="1"/>
  <c r="AS238" s="1"/>
  <c r="AO238"/>
  <c r="AR238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O341"/>
  <c r="AR341" s="1"/>
  <c r="AO382"/>
  <c r="AR382" s="1"/>
  <c r="AO518"/>
  <c r="AR518" s="1"/>
  <c r="AO249"/>
  <c r="AR249" s="1"/>
  <c r="AO160"/>
  <c r="AR160" s="1"/>
  <c r="AO186"/>
  <c r="AR186" s="1"/>
  <c r="AO267"/>
  <c r="AR267" s="1"/>
  <c r="AN98"/>
  <c r="AP98" s="1"/>
  <c r="AS98" s="1"/>
  <c r="AN635"/>
  <c r="AP635" s="1"/>
  <c r="AS635" s="1"/>
  <c r="AO649"/>
  <c r="AR649" s="1"/>
  <c r="AO339"/>
  <c r="AR339" s="1"/>
  <c r="AO586"/>
  <c r="AR586" s="1"/>
  <c r="AO119"/>
  <c r="AR119" s="1"/>
  <c r="AO615"/>
  <c r="AR615" s="1"/>
  <c r="AO660"/>
  <c r="AR660" s="1"/>
  <c r="AO514"/>
  <c r="AR514" s="1"/>
  <c r="AO633"/>
  <c r="AR633" s="1"/>
  <c r="AO665"/>
  <c r="AR665" s="1"/>
  <c r="AO522"/>
  <c r="AR522" s="1"/>
  <c r="AO324"/>
  <c r="AR324" s="1"/>
  <c r="AO580"/>
  <c r="AR580" s="1"/>
  <c r="AO288"/>
  <c r="AR288" s="1"/>
  <c r="AO366"/>
  <c r="AR366" s="1"/>
  <c r="AO323"/>
  <c r="AR323" s="1"/>
  <c r="AN58"/>
  <c r="AP58" s="1"/>
  <c r="AS58" s="1"/>
  <c r="AO653"/>
  <c r="AR653" s="1"/>
  <c r="AO345"/>
  <c r="AR345" s="1"/>
  <c r="AO696"/>
  <c r="AR696" s="1"/>
  <c r="AO565"/>
  <c r="AR565" s="1"/>
  <c r="AO255"/>
  <c r="AR255" s="1"/>
  <c r="AO690"/>
  <c r="AR690" s="1"/>
  <c r="AO199"/>
  <c r="AR199" s="1"/>
  <c r="AO631"/>
  <c r="AR631" s="1"/>
  <c r="AO600"/>
  <c r="AR600" s="1"/>
  <c r="AO616"/>
  <c r="AR616" s="1"/>
  <c r="AO630"/>
  <c r="AR630" s="1"/>
  <c r="AO128"/>
  <c r="AR128" s="1"/>
  <c r="AO252"/>
  <c r="AR252" s="1"/>
  <c r="AO145"/>
  <c r="AR145" s="1"/>
  <c r="AO283"/>
  <c r="AR283" s="1"/>
  <c r="AO708"/>
  <c r="AR708" s="1"/>
  <c r="AO530"/>
  <c r="AR530" s="1"/>
  <c r="AO603"/>
  <c r="AR603" s="1"/>
  <c r="AO520"/>
  <c r="AR520" s="1"/>
  <c r="AO684"/>
  <c r="AR684" s="1"/>
  <c r="AO262"/>
  <c r="AR26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674"/>
  <c r="AR674" s="1"/>
  <c r="AO388"/>
  <c r="AR388" s="1"/>
  <c r="AN94"/>
  <c r="AP94" s="1"/>
  <c r="AS94" s="1"/>
  <c r="AN88"/>
  <c r="AP88" s="1"/>
  <c r="AS88" s="1"/>
  <c r="AO644"/>
  <c r="AR644" s="1"/>
  <c r="AN43"/>
  <c r="AP43" s="1"/>
  <c r="AS43" s="1"/>
  <c r="AO610"/>
  <c r="AR610" s="1"/>
  <c r="AO742"/>
  <c r="AR742" s="1"/>
  <c r="AO642"/>
  <c r="AR642" s="1"/>
  <c r="AO718"/>
  <c r="AR718" s="1"/>
  <c r="AO395"/>
  <c r="AR395" s="1"/>
  <c r="AO505"/>
  <c r="AR505" s="1"/>
  <c r="AO272"/>
  <c r="AR272" s="1"/>
  <c r="AO582"/>
  <c r="AR582" s="1"/>
  <c r="AO508"/>
  <c r="AR508" s="1"/>
  <c r="AO309"/>
  <c r="AR309" s="1"/>
  <c r="AO590"/>
  <c r="AR590" s="1"/>
  <c r="AO734"/>
  <c r="AR734" s="1"/>
  <c r="AO727"/>
  <c r="AR727" s="1"/>
  <c r="AO115"/>
  <c r="AR115" s="1"/>
  <c r="AO154"/>
  <c r="AR154" s="1"/>
  <c r="AO150"/>
  <c r="AR150" s="1"/>
  <c r="AO552"/>
  <c r="AR552" s="1"/>
  <c r="AO332"/>
  <c r="AR332" s="1"/>
  <c r="AO376"/>
  <c r="AR376" s="1"/>
  <c r="AO369"/>
  <c r="AR369" s="1"/>
  <c r="AO545"/>
  <c r="AR545" s="1"/>
  <c r="AO146"/>
  <c r="AR146" s="1"/>
  <c r="AO290"/>
  <c r="AR290" s="1"/>
  <c r="AO278"/>
  <c r="AR278" s="1"/>
  <c r="AN99"/>
  <c r="AP99" s="1"/>
  <c r="AS99" s="1"/>
  <c r="AO118"/>
  <c r="AR118" s="1"/>
  <c r="AO182"/>
  <c r="AR182" s="1"/>
  <c r="AO129"/>
  <c r="AR129" s="1"/>
  <c r="AO108"/>
  <c r="AR108" s="1"/>
  <c r="AO685"/>
  <c r="AR685" s="1"/>
  <c r="AO260"/>
  <c r="AR260" s="1"/>
  <c r="AO179"/>
  <c r="AR179" s="1"/>
  <c r="AO318"/>
  <c r="AR318" s="1"/>
  <c r="AO337"/>
  <c r="AR337" s="1"/>
  <c r="AO301"/>
  <c r="AR301" s="1"/>
  <c r="AO334"/>
  <c r="AR334" s="1"/>
  <c r="AO516"/>
  <c r="AR516" s="1"/>
  <c r="AO687"/>
  <c r="AR687" s="1"/>
  <c r="AO584"/>
  <c r="AR584" s="1"/>
  <c r="AO152"/>
  <c r="AR152" s="1"/>
  <c r="AO571"/>
  <c r="AR571" s="1"/>
  <c r="AO500"/>
  <c r="AR500" s="1"/>
  <c r="AN39"/>
  <c r="AP39" s="1"/>
  <c r="AS39" s="1"/>
  <c r="AN82"/>
  <c r="AP82" s="1"/>
  <c r="AS82" s="1"/>
  <c r="AO528"/>
  <c r="AR528" s="1"/>
  <c r="AO342"/>
  <c r="AR342" s="1"/>
  <c r="AO625"/>
  <c r="AR625" s="1"/>
  <c r="AN49"/>
  <c r="AP49" s="1"/>
  <c r="AS49" s="1"/>
  <c r="AO151"/>
  <c r="AR151" s="1"/>
  <c r="AO544"/>
  <c r="AR544" s="1"/>
  <c r="AO654"/>
  <c r="AR654" s="1"/>
  <c r="AO320"/>
  <c r="AR320" s="1"/>
  <c r="AO253"/>
  <c r="AR253" s="1"/>
  <c r="AO358"/>
  <c r="AR358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N93"/>
  <c r="AP93" s="1"/>
  <c r="AS93" s="1"/>
  <c r="AN558"/>
  <c r="AP558" s="1"/>
  <c r="AS558" s="1"/>
  <c r="AO451"/>
  <c r="AR451" s="1"/>
  <c r="AO304"/>
  <c r="AR304" s="1"/>
  <c r="AO90"/>
  <c r="AR90" s="1"/>
  <c r="AO612"/>
  <c r="AR612" s="1"/>
  <c r="AO113"/>
  <c r="AR113" s="1"/>
  <c r="AO72"/>
  <c r="AR72" s="1"/>
  <c r="AO201"/>
  <c r="AR201" s="1"/>
  <c r="AO538"/>
  <c r="AR538" s="1"/>
  <c r="AO605"/>
  <c r="AR605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O461"/>
  <c r="AR461" s="1"/>
  <c r="AN461"/>
  <c r="AP461" s="1"/>
  <c r="AS461" s="1"/>
  <c r="AO209"/>
  <c r="AR209" s="1"/>
  <c r="AN209"/>
  <c r="AP209" s="1"/>
  <c r="AS209" s="1"/>
  <c r="AO371"/>
  <c r="AR371" s="1"/>
  <c r="AO566"/>
  <c r="AR566" s="1"/>
  <c r="AO164"/>
  <c r="AR164" s="1"/>
  <c r="AO158"/>
  <c r="AR158" s="1"/>
  <c r="AO195"/>
  <c r="AR195" s="1"/>
  <c r="AO689"/>
  <c r="AR689" s="1"/>
  <c r="AO573"/>
  <c r="AR573" s="1"/>
  <c r="AO351"/>
  <c r="AR351" s="1"/>
  <c r="AO107"/>
  <c r="AR107" s="1"/>
  <c r="AO197"/>
  <c r="AR197" s="1"/>
  <c r="AO306"/>
  <c r="AR306" s="1"/>
  <c r="AO144"/>
  <c r="AR144" s="1"/>
  <c r="AO153"/>
  <c r="AR153" s="1"/>
  <c r="AO185"/>
  <c r="AR185" s="1"/>
  <c r="AO163"/>
  <c r="AR163" s="1"/>
  <c r="AO166"/>
  <c r="AR166" s="1"/>
  <c r="AO291"/>
  <c r="AR291" s="1"/>
  <c r="AO116"/>
  <c r="AR116" s="1"/>
  <c r="AO579"/>
  <c r="AR579" s="1"/>
  <c r="AO550"/>
  <c r="AR550" s="1"/>
  <c r="AO335"/>
  <c r="AR335" s="1"/>
  <c r="AO693"/>
  <c r="AR693" s="1"/>
  <c r="AO398"/>
  <c r="AR398" s="1"/>
  <c r="AO159"/>
  <c r="AR159" s="1"/>
  <c r="AO243"/>
  <c r="AR243" s="1"/>
  <c r="AN38"/>
  <c r="AP38" s="1"/>
  <c r="AS38" s="1"/>
  <c r="AO110"/>
  <c r="AR110" s="1"/>
  <c r="AO686"/>
  <c r="AR686" s="1"/>
  <c r="AO142"/>
  <c r="AR142" s="1"/>
  <c r="AO307"/>
  <c r="AR307" s="1"/>
  <c r="AO183"/>
  <c r="AR183" s="1"/>
  <c r="AO139"/>
  <c r="AR139" s="1"/>
  <c r="AO540"/>
  <c r="AR540" s="1"/>
  <c r="AO287"/>
  <c r="AR287" s="1"/>
  <c r="AN42"/>
  <c r="AP42" s="1"/>
  <c r="AS42" s="1"/>
  <c r="AO670"/>
  <c r="AR670" s="1"/>
  <c r="AO692"/>
  <c r="AR692" s="1"/>
  <c r="AO655"/>
  <c r="AR655" s="1"/>
  <c r="AO297"/>
  <c r="AR297" s="1"/>
  <c r="AO391"/>
  <c r="AR391" s="1"/>
  <c r="AO285"/>
  <c r="AR285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35"/>
  <c r="AR135" s="1"/>
  <c r="AO697"/>
  <c r="AR697" s="1"/>
  <c r="AO350"/>
  <c r="AR350" s="1"/>
  <c r="AO542"/>
  <c r="AR542" s="1"/>
  <c r="AO136"/>
  <c r="AR136" s="1"/>
  <c r="AO282"/>
  <c r="AR282" s="1"/>
  <c r="AN65"/>
  <c r="AP65" s="1"/>
  <c r="AS65" s="1"/>
  <c r="AO385"/>
  <c r="AR385" s="1"/>
  <c r="AO165"/>
  <c r="AR165" s="1"/>
  <c r="AO732"/>
  <c r="AR732" s="1"/>
  <c r="AO269"/>
  <c r="AR269" s="1"/>
  <c r="AN73"/>
  <c r="AP73" s="1"/>
  <c r="AS73" s="1"/>
  <c r="AO250"/>
  <c r="AR250" s="1"/>
  <c r="AN87"/>
  <c r="AP87" s="1"/>
  <c r="AS87" s="1"/>
  <c r="AO328"/>
  <c r="AR328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715"/>
  <c r="AR715" s="1"/>
  <c r="AO716"/>
  <c r="AR716" s="1"/>
  <c r="AO596"/>
  <c r="AR596" s="1"/>
  <c r="AO554"/>
  <c r="AR554" s="1"/>
  <c r="AO609"/>
  <c r="AR609" s="1"/>
  <c r="AO561"/>
  <c r="AR561" s="1"/>
  <c r="AO711"/>
  <c r="AR711" s="1"/>
  <c r="AO348"/>
  <c r="AR348" s="1"/>
  <c r="AO661"/>
  <c r="AR661" s="1"/>
  <c r="AO275"/>
  <c r="AR275" s="1"/>
  <c r="AO730"/>
  <c r="AR730" s="1"/>
  <c r="AO106"/>
  <c r="AR106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265"/>
  <c r="AR265" s="1"/>
  <c r="AN56"/>
  <c r="AP56" s="1"/>
  <c r="AS56" s="1"/>
  <c r="AO504"/>
  <c r="AR504" s="1"/>
  <c r="AO192"/>
  <c r="AR192" s="1"/>
  <c r="AO347"/>
  <c r="AR347" s="1"/>
  <c r="AN63"/>
  <c r="AP63" s="1"/>
  <c r="AS63" s="1"/>
  <c r="AO268"/>
  <c r="AR268" s="1"/>
  <c r="AO691"/>
  <c r="AR691" s="1"/>
  <c r="AN89"/>
  <c r="AP89" s="1"/>
  <c r="AS89" s="1"/>
  <c r="AO637"/>
  <c r="AR637" s="1"/>
  <c r="AO147"/>
  <c r="AR147" s="1"/>
  <c r="AO263"/>
  <c r="AR263" s="1"/>
  <c r="AO284"/>
  <c r="AR284" s="1"/>
  <c r="AO546"/>
  <c r="AR54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74"/>
  <c r="AR174" s="1"/>
  <c r="AN84"/>
  <c r="AP84" s="1"/>
  <c r="AS84" s="1"/>
  <c r="AO379"/>
  <c r="AR379" s="1"/>
  <c r="AN35"/>
  <c r="AP35" s="1"/>
  <c r="AS35" s="1"/>
  <c r="AO556"/>
  <c r="AR556" s="1"/>
  <c r="AO177"/>
  <c r="AR177" s="1"/>
  <c r="AN78"/>
  <c r="AP78" s="1"/>
  <c r="AS78" s="1"/>
  <c r="AO701"/>
  <c r="AR701" s="1"/>
  <c r="AO363"/>
  <c r="AR363" s="1"/>
  <c r="AN501"/>
  <c r="AP501" s="1"/>
  <c r="AS501" s="1"/>
  <c r="AO519"/>
  <c r="AR519" s="1"/>
  <c r="AO259"/>
  <c r="AR259" s="1"/>
  <c r="AO295"/>
  <c r="AR295" s="1"/>
  <c r="AN322"/>
  <c r="AP322" s="1"/>
  <c r="AS322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<sst xmlns="http://schemas.openxmlformats.org/spreadsheetml/2006/main" count="139" uniqueCount="78">
  <si>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</si>
  <si>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</si>
  <si>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</si>
  <si>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</si>
  <si>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</si>
  <si>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</si>
  <si>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</si>
  <si>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</si>
  <si>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</si>
  <si>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</si>
  <si>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</si>
  <si>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</si>
  <si>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</si>
  <si>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</si>
  <si>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</si>
  <si>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</si>
  <si>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</si>
  <si>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</si>
  <si>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</si>
  <si>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</si>
  <si>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</si>
  <si>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</si>
  <si>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</si>
  <si>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</si>
  <si>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</si>
  <si>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</si>
  <si>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</si>
  <si>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</si>
  <si>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</si>
  <si>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</si>
  <si>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</si>
  <si>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</si>
  <si>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</si>
  <si>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</si>
  <si>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</si>
  <si>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</si>
  <si>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</si>
  <si>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</si>
  <si>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</si>
  <si>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</si>
  <si>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</si>
  <si>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</si>
  <si>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</si>
  <si>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</si>
  <si>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</si>
  <si>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</si>
  <si>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</si>
  <si>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</si>
  <si>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</si>
  <si>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</si>
  <si>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</si>
  <si>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</si>
  <si>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</si>
  <si>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</si>
  <si>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</si>
  <si>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</si>
  <si>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</si>
  <si>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</si>
  <si>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</si>
  <si>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</si>
  <si>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</si>
  <si>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</si>
  <si>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</si>
  <si>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</si>
  <si>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</si>
  <si>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</si>
  <si>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</si>
  <si>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</si>
  <si>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</si>
  <si>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</si>
  <si>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</si>
  <si>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</si>
  <si>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>Acamar</t>
  </si>
  <si>
    <t>α - Hyi</t>
  </si>
  <si>
    <t xml:space="preserve">α - Hor </t>
  </si>
  <si>
    <t>ζ - Dor</t>
  </si>
  <si>
    <t>δ - Vol</t>
  </si>
  <si>
    <t>γ - Hyi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</si>
</sst>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0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272"/>
  <sheetViews>
    <sheetView tabSelected="1" zoomScaleNormal="100" workbookViewId="0">
      <pane xSplit="9" topLeftCell="J1" activePane="topRight" state="frozen"/>
      <selection pane="topRight" activeCell="D3" sqref="D3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67</v>
      </c>
      <c r="E1" t="s">
        <v>62</v>
      </c>
      <c r="J1" t="s">
        <v>69</v>
      </c>
      <c r="K1" s="8"/>
      <c r="L1" s="8"/>
      <c r="M1" s="8"/>
      <c r="N1" s="8"/>
      <c r="O1" s="8"/>
      <c r="P1" s="8"/>
      <c r="Q1" s="8"/>
      <c r="R1" s="8"/>
      <c r="S1" s="8" t="s">
        <v>50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58</v>
      </c>
      <c r="AJ1" s="8"/>
      <c r="AK1" s="8"/>
      <c r="AL1" s="8"/>
      <c r="AM1" s="8" t="s">
        <v>59</v>
      </c>
      <c r="AN1" s="8"/>
      <c r="AO1" s="8"/>
      <c r="AP1" s="8"/>
      <c r="AQ1" t="s">
        <v>49</v>
      </c>
    </row>
    <row r="2" spans="1:62">
      <c r="A2" t="s">
        <v>65</v>
      </c>
      <c r="B2" s="17">
        <v>43048</v>
      </c>
      <c r="C2" s="18">
        <v>0.87008101851851849</v>
      </c>
      <c r="D2" s="3" t="s">
        <v>0</v>
      </c>
      <c r="K2" s="8" t="s">
        <v>48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57</v>
      </c>
      <c r="S2" s="8" t="s">
        <v>53</v>
      </c>
      <c r="T2" s="8" t="s">
        <v>51</v>
      </c>
      <c r="U2" s="8" t="s">
        <v>54</v>
      </c>
      <c r="V2" s="8" t="s">
        <v>52</v>
      </c>
      <c r="W2" s="8" t="s">
        <v>49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53</v>
      </c>
      <c r="AJ2" s="8" t="s">
        <v>51</v>
      </c>
      <c r="AK2" s="8" t="s">
        <v>54</v>
      </c>
      <c r="AL2" s="8" t="s">
        <v>52</v>
      </c>
      <c r="AM2" s="8" t="s">
        <v>53</v>
      </c>
      <c r="AN2" s="8" t="s">
        <v>51</v>
      </c>
      <c r="AO2" s="8" t="s">
        <v>54</v>
      </c>
      <c r="AP2" s="8" t="s">
        <v>52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64</v>
      </c>
      <c r="B3" s="17">
        <v>43048</v>
      </c>
      <c r="C3" s="18">
        <v>0.86736111111111114</v>
      </c>
      <c r="D3" s="3" t="s">
        <v>0</v>
      </c>
      <c r="K3" s="15" t="s">
        <v>72</v>
      </c>
      <c r="L3" s="15">
        <v>559</v>
      </c>
      <c r="M3" s="15">
        <v>185</v>
      </c>
      <c r="N3" s="9">
        <f t="shared" ref="N3:N8" si="0">(L3-($B$15/2))</f>
        <v>-401</v>
      </c>
      <c r="O3" s="9">
        <f t="shared" ref="O3:O8" si="1">(($C$15/2)-M3)</f>
        <v>355</v>
      </c>
      <c r="P3" s="8">
        <f t="shared" ref="P3:P8" si="2">ATAN((SQRT(N3^2+O3^2)^$B$16)/($F$24))</f>
        <v>0.34189649758533913</v>
      </c>
      <c r="Q3" s="8">
        <f t="shared" ref="Q3:Q8" si="3">ATAN2(N3,O3)</f>
        <v>2.4169661265832847</v>
      </c>
      <c r="R3" s="8">
        <f>DEGREES(P3)</f>
        <v>19.589226341944673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6.6225596752780067</v>
      </c>
      <c r="X3" s="8">
        <f t="shared" ref="X3:X8" si="4">COS(Q3)*SIN(P3)</f>
        <v>-0.25103572965763471</v>
      </c>
      <c r="Y3" s="8">
        <f t="shared" ref="Y3:Y8" si="5">SIN(Q3)*SIN(P3)</f>
        <v>0.22223861353730753</v>
      </c>
      <c r="Z3" s="8">
        <f t="shared" ref="Z3:Z8" si="6">COS(P3)</f>
        <v>0.9421205130386846</v>
      </c>
      <c r="AA3" s="8">
        <f t="shared" ref="AA3:AA8" si="7">$X3*$Z$27+$Y3*$Z$31+$Z3*$Z$35</f>
        <v>-0.29499688725519324</v>
      </c>
      <c r="AB3" s="8">
        <f t="shared" ref="AB3:AB8" si="8">$X3*$AA$27+$Y3*$AA$31+$Z3*$AA$35</f>
        <v>0.67645476951454808</v>
      </c>
      <c r="AC3" s="8">
        <f t="shared" ref="AC3:AC8" si="9">$AB$27*$X3+$Y3*$AB$31+$AB$35*$Z3</f>
        <v>0.67482277770594445</v>
      </c>
      <c r="AD3" s="8">
        <f t="shared" ref="AD3:AD8" si="10">AA3^2+AB3^2+AC3^2</f>
        <v>1</v>
      </c>
      <c r="AE3" s="8">
        <f t="shared" ref="AE3:AE8" si="11">IF(ATAN2(AA3,AB3)&gt;=0,ATAN2(AA3,AB3),ATAN2(AA3,AB3)+2*PI())</f>
        <v>1.982024825298438</v>
      </c>
      <c r="AF3" s="8">
        <f t="shared" ref="AF3:AF8" si="12">ACOS(AC3/AD3)</f>
        <v>0.83007179614264404</v>
      </c>
      <c r="AG3" s="8">
        <f t="shared" ref="AG3:AG8" si="13">DEGREES(AE3)</f>
        <v>113.56165737975482</v>
      </c>
      <c r="AH3" s="8">
        <f t="shared" ref="AH3:AH8" si="14">90-DEGREES(AF3)</f>
        <v>42.440389388182851</v>
      </c>
      <c r="AI3" s="8">
        <f>AJ3+AK3/60+AL3/3600</f>
        <v>113.54527777777777</v>
      </c>
      <c r="AJ3" s="15">
        <v>113</v>
      </c>
      <c r="AK3" s="15">
        <v>32</v>
      </c>
      <c r="AL3" s="15">
        <v>43</v>
      </c>
      <c r="AM3" s="8">
        <f>AN3+AO3/60+AP3/3600</f>
        <v>42.366666666666667</v>
      </c>
      <c r="AN3" s="15">
        <v>42</v>
      </c>
      <c r="AO3" s="15">
        <v>22</v>
      </c>
      <c r="AP3" s="15">
        <v>0</v>
      </c>
      <c r="AQ3" s="10">
        <f>AG3-AI3</f>
        <v>1.6379601977050129E-2</v>
      </c>
      <c r="AR3" s="10">
        <f>AH3-AM3</f>
        <v>7.3722721516183753E-2</v>
      </c>
      <c r="AS3" s="8"/>
      <c r="AT3" s="10"/>
      <c r="AU3" s="10"/>
    </row>
    <row r="4" spans="1:62">
      <c r="A4" t="s">
        <v>68</v>
      </c>
      <c r="B4" s="14"/>
      <c r="C4" s="1" t="s">
        <v>5</v>
      </c>
      <c r="K4" s="15" t="s">
        <v>73</v>
      </c>
      <c r="L4" s="15">
        <v>1183</v>
      </c>
      <c r="M4" s="15">
        <v>46</v>
      </c>
      <c r="N4" s="9">
        <f t="shared" si="0"/>
        <v>223</v>
      </c>
      <c r="O4" s="9">
        <f t="shared" si="1"/>
        <v>494</v>
      </c>
      <c r="P4" s="8">
        <f t="shared" si="2"/>
        <v>0.34573886575884533</v>
      </c>
      <c r="Q4" s="8">
        <f t="shared" si="3"/>
        <v>1.146764643992753</v>
      </c>
      <c r="R4" s="8">
        <f t="shared" ref="R4:R8" si="15">DEGREES(P4)</f>
        <v>19.809377821621968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8.9093778216219679</v>
      </c>
      <c r="X4" s="8">
        <f t="shared" si="4"/>
        <v>0.13943315136028001</v>
      </c>
      <c r="Y4" s="8">
        <f t="shared" si="5"/>
        <v>0.30887881960528402</v>
      </c>
      <c r="Z4" s="8">
        <f t="shared" si="6"/>
        <v>0.94082531380750356</v>
      </c>
      <c r="AA4" s="8">
        <f t="shared" si="7"/>
        <v>-0.49787451653215975</v>
      </c>
      <c r="AB4" s="8">
        <f t="shared" si="8"/>
        <v>0.35243538885291154</v>
      </c>
      <c r="AC4" s="8">
        <f t="shared" si="9"/>
        <v>0.79240788895111647</v>
      </c>
      <c r="AD4" s="8">
        <f t="shared" si="10"/>
        <v>0.99999999999999967</v>
      </c>
      <c r="AE4" s="8">
        <f t="shared" si="11"/>
        <v>2.5255976855717552</v>
      </c>
      <c r="AF4" s="8">
        <f t="shared" si="12"/>
        <v>0.65604997523727582</v>
      </c>
      <c r="AG4" s="8">
        <f t="shared" si="13"/>
        <v>144.70608813127029</v>
      </c>
      <c r="AH4" s="8">
        <f t="shared" si="14"/>
        <v>52.411105269241929</v>
      </c>
      <c r="AI4" s="8">
        <f t="shared" ref="AI4:AI8" si="18">AJ4+AK4/60+AL4/3600</f>
        <v>144.66861111111109</v>
      </c>
      <c r="AJ4" s="15">
        <v>144</v>
      </c>
      <c r="AK4" s="15">
        <v>40</v>
      </c>
      <c r="AL4" s="15">
        <v>7</v>
      </c>
      <c r="AM4" s="8">
        <f t="shared" ref="AM4:AM8" si="19">AN4+AO4/60+AP4/3600</f>
        <v>52.413611111111109</v>
      </c>
      <c r="AN4" s="15">
        <v>52</v>
      </c>
      <c r="AO4" s="15">
        <v>24</v>
      </c>
      <c r="AP4" s="15">
        <v>49</v>
      </c>
      <c r="AQ4" s="10">
        <f t="shared" ref="AQ4:AQ8" si="20">AG4-AI4</f>
        <v>3.7477020159201402E-2</v>
      </c>
      <c r="AR4" s="10">
        <f t="shared" ref="AR4:AR8" si="21">AH4-AM4</f>
        <v>-2.5058418691799034E-3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74</v>
      </c>
      <c r="L5" s="15">
        <v>638</v>
      </c>
      <c r="M5" s="15">
        <v>572</v>
      </c>
      <c r="N5" s="9">
        <f t="shared" si="0"/>
        <v>-322</v>
      </c>
      <c r="O5" s="9">
        <f t="shared" si="1"/>
        <v>-32</v>
      </c>
      <c r="P5" s="8">
        <f t="shared" si="2"/>
        <v>0.21045114967377229</v>
      </c>
      <c r="Q5" s="8">
        <f t="shared" si="3"/>
        <v>-3.042539007171154</v>
      </c>
      <c r="R5" s="8">
        <f t="shared" si="15"/>
        <v>12.057962669983144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3.0079626699831437</v>
      </c>
      <c r="X5" s="8">
        <f t="shared" si="4"/>
        <v>-0.20787712491067098</v>
      </c>
      <c r="Y5" s="8">
        <f t="shared" si="5"/>
        <v>-2.0658596264414568E-2</v>
      </c>
      <c r="Z5" s="8">
        <f t="shared" si="6"/>
        <v>0.97793676857926615</v>
      </c>
      <c r="AA5" s="8">
        <f t="shared" si="7"/>
        <v>-0.46367083794023883</v>
      </c>
      <c r="AB5" s="8">
        <f t="shared" si="8"/>
        <v>0.73161510830010623</v>
      </c>
      <c r="AC5" s="8">
        <f t="shared" si="9"/>
        <v>0.49974862416100818</v>
      </c>
      <c r="AD5" s="8">
        <f t="shared" si="10"/>
        <v>1</v>
      </c>
      <c r="AE5" s="8">
        <f t="shared" si="11"/>
        <v>2.1356725680829367</v>
      </c>
      <c r="AF5" s="8">
        <f t="shared" si="12"/>
        <v>1.0474877906995963</v>
      </c>
      <c r="AG5" s="8">
        <f t="shared" si="13"/>
        <v>122.36502457301823</v>
      </c>
      <c r="AH5" s="8">
        <f t="shared" si="14"/>
        <v>29.983370501430208</v>
      </c>
      <c r="AI5" s="8">
        <f t="shared" si="18"/>
        <v>122.3913888888889</v>
      </c>
      <c r="AJ5" s="15">
        <v>122</v>
      </c>
      <c r="AK5" s="15">
        <v>23</v>
      </c>
      <c r="AL5" s="15">
        <v>29</v>
      </c>
      <c r="AM5" s="8">
        <f t="shared" si="19"/>
        <v>29.928611111111113</v>
      </c>
      <c r="AN5" s="15">
        <v>29</v>
      </c>
      <c r="AO5" s="15">
        <v>55</v>
      </c>
      <c r="AP5" s="15">
        <v>43</v>
      </c>
      <c r="AQ5" s="10">
        <f t="shared" si="20"/>
        <v>-2.6364315870665678E-2</v>
      </c>
      <c r="AR5" s="10">
        <f t="shared" si="21"/>
        <v>5.4759390319095047E-2</v>
      </c>
      <c r="AS5" s="8"/>
      <c r="AT5" s="10"/>
      <c r="AU5" s="10"/>
    </row>
    <row r="6" spans="1:62">
      <c r="K6" s="15" t="s">
        <v>75</v>
      </c>
      <c r="L6" s="15">
        <v>1089</v>
      </c>
      <c r="M6" s="15">
        <v>678</v>
      </c>
      <c r="N6" s="9">
        <f t="shared" si="0"/>
        <v>129</v>
      </c>
      <c r="O6" s="9">
        <f t="shared" si="1"/>
        <v>-138</v>
      </c>
      <c r="P6" s="8">
        <f t="shared" si="2"/>
        <v>0.12320797403004756</v>
      </c>
      <c r="Q6" s="8">
        <f t="shared" si="3"/>
        <v>-0.81909327074346461</v>
      </c>
      <c r="R6" s="8">
        <f t="shared" si="15"/>
        <v>7.0592969142791775</v>
      </c>
      <c r="S6" s="8">
        <f t="shared" si="16"/>
        <v>15.9</v>
      </c>
      <c r="T6" s="15">
        <v>15</v>
      </c>
      <c r="U6" s="15">
        <v>54</v>
      </c>
      <c r="V6" s="15">
        <v>0</v>
      </c>
      <c r="W6" s="10">
        <f t="shared" si="17"/>
        <v>-8.840703085720822</v>
      </c>
      <c r="X6" s="8">
        <f t="shared" si="4"/>
        <v>8.3924031802622825E-2</v>
      </c>
      <c r="Y6" s="8">
        <f t="shared" si="5"/>
        <v>-8.977919681210815E-2</v>
      </c>
      <c r="Z6" s="8">
        <f t="shared" si="6"/>
        <v>0.992419494319698</v>
      </c>
      <c r="AA6" s="8">
        <f t="shared" si="7"/>
        <v>-0.69066665724723175</v>
      </c>
      <c r="AB6" s="8">
        <f t="shared" si="8"/>
        <v>0.53561412328722613</v>
      </c>
      <c r="AC6" s="8">
        <f t="shared" si="9"/>
        <v>0.48589821928279497</v>
      </c>
      <c r="AD6" s="8">
        <f t="shared" si="10"/>
        <v>1</v>
      </c>
      <c r="AE6" s="8">
        <f t="shared" si="11"/>
        <v>2.481968356563395</v>
      </c>
      <c r="AF6" s="8">
        <f t="shared" si="12"/>
        <v>1.0634057596037909</v>
      </c>
      <c r="AG6" s="8">
        <f t="shared" si="13"/>
        <v>142.20631171610356</v>
      </c>
      <c r="AH6" s="8">
        <f t="shared" si="14"/>
        <v>29.07133806479937</v>
      </c>
      <c r="AI6" s="8">
        <f t="shared" si="18"/>
        <v>142.17222222222222</v>
      </c>
      <c r="AJ6" s="15">
        <v>142</v>
      </c>
      <c r="AK6" s="15">
        <v>10</v>
      </c>
      <c r="AL6" s="15">
        <v>20</v>
      </c>
      <c r="AM6" s="8">
        <f t="shared" si="19"/>
        <v>29.004444444444445</v>
      </c>
      <c r="AN6" s="15">
        <v>29</v>
      </c>
      <c r="AO6" s="15">
        <v>0</v>
      </c>
      <c r="AP6" s="15">
        <v>16</v>
      </c>
      <c r="AQ6" s="10">
        <f t="shared" si="20"/>
        <v>3.4089493881339195E-2</v>
      </c>
      <c r="AR6" s="10">
        <f t="shared" si="21"/>
        <v>6.6893620354925076E-2</v>
      </c>
      <c r="AS6" s="8"/>
      <c r="AT6" s="10"/>
      <c r="AU6" s="10"/>
    </row>
    <row r="7" spans="1:62">
      <c r="A7" t="s">
        <v>63</v>
      </c>
      <c r="K7" s="15" t="s">
        <v>76</v>
      </c>
      <c r="L7" s="15">
        <v>1566</v>
      </c>
      <c r="M7" s="15">
        <v>855</v>
      </c>
      <c r="N7" s="9">
        <f t="shared" si="0"/>
        <v>606</v>
      </c>
      <c r="O7" s="9">
        <f t="shared" si="1"/>
        <v>-315</v>
      </c>
      <c r="P7" s="8">
        <f t="shared" si="2"/>
        <v>0.42722444083983785</v>
      </c>
      <c r="Q7" s="8">
        <f t="shared" si="3"/>
        <v>-0.47936340734849642</v>
      </c>
      <c r="R7" s="8">
        <f t="shared" si="15"/>
        <v>24.478157364959234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-8.0385093017074318</v>
      </c>
      <c r="X7" s="8">
        <f t="shared" si="4"/>
        <v>0.36764480370524005</v>
      </c>
      <c r="Y7" s="8">
        <f t="shared" si="5"/>
        <v>-0.19110249697549608</v>
      </c>
      <c r="Z7" s="8">
        <f t="shared" si="6"/>
        <v>0.91011929655307611</v>
      </c>
      <c r="AA7" s="8">
        <f t="shared" si="7"/>
        <v>-0.87061088118809349</v>
      </c>
      <c r="AB7" s="8">
        <f t="shared" si="8"/>
        <v>0.29867783534828668</v>
      </c>
      <c r="AC7" s="8">
        <f t="shared" si="9"/>
        <v>0.39093253155570618</v>
      </c>
      <c r="AD7" s="8">
        <f t="shared" si="10"/>
        <v>1</v>
      </c>
      <c r="AE7" s="8">
        <f t="shared" si="11"/>
        <v>2.8111075563968431</v>
      </c>
      <c r="AF7" s="8">
        <f t="shared" si="12"/>
        <v>1.1691517923620587</v>
      </c>
      <c r="AG7" s="8">
        <f t="shared" si="13"/>
        <v>161.06459873887314</v>
      </c>
      <c r="AH7" s="8">
        <f t="shared" si="14"/>
        <v>23.012536687498482</v>
      </c>
      <c r="AI7" s="8">
        <f t="shared" si="18"/>
        <v>161.04805555555555</v>
      </c>
      <c r="AJ7" s="15">
        <v>161</v>
      </c>
      <c r="AK7" s="15">
        <v>2</v>
      </c>
      <c r="AL7" s="15">
        <v>53</v>
      </c>
      <c r="AM7" s="8">
        <f t="shared" si="19"/>
        <v>22.950833333333332</v>
      </c>
      <c r="AN7" s="15">
        <v>22</v>
      </c>
      <c r="AO7" s="15">
        <v>57</v>
      </c>
      <c r="AP7" s="15">
        <v>3</v>
      </c>
      <c r="AQ7" s="10">
        <f t="shared" si="20"/>
        <v>1.6543183317594412E-2</v>
      </c>
      <c r="AR7" s="10">
        <f t="shared" si="21"/>
        <v>6.1703354165150159E-2</v>
      </c>
      <c r="AS7" s="8"/>
      <c r="AT7" s="10"/>
      <c r="AU7" s="10"/>
      <c r="BJ7" s="6"/>
    </row>
    <row r="8" spans="1:62">
      <c r="A8" t="s">
        <v>9</v>
      </c>
      <c r="B8" s="15">
        <f>31.94+G8</f>
        <v>33.64</v>
      </c>
      <c r="C8" t="s">
        <v>5</v>
      </c>
      <c r="F8" t="s">
        <v>9</v>
      </c>
      <c r="G8" s="15">
        <f>(H8-50)/10</f>
        <v>1.7</v>
      </c>
      <c r="H8">
        <v>67</v>
      </c>
      <c r="K8" s="15" t="s">
        <v>77</v>
      </c>
      <c r="L8" s="15">
        <v>1487</v>
      </c>
      <c r="M8" s="15">
        <v>367</v>
      </c>
      <c r="N8" s="9">
        <f t="shared" si="0"/>
        <v>527</v>
      </c>
      <c r="O8" s="9">
        <f t="shared" si="1"/>
        <v>173</v>
      </c>
      <c r="P8" s="8">
        <f t="shared" si="2"/>
        <v>0.35326856005730245</v>
      </c>
      <c r="Q8" s="8">
        <f t="shared" si="3"/>
        <v>0.31718958260263619</v>
      </c>
      <c r="R8" s="8">
        <f t="shared" si="15"/>
        <v>20.240797525947283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-9.3092024740527179</v>
      </c>
      <c r="X8" s="8">
        <f t="shared" si="4"/>
        <v>0.32870808733521506</v>
      </c>
      <c r="Y8" s="8">
        <f t="shared" si="5"/>
        <v>0.10790607041554498</v>
      </c>
      <c r="Z8" s="8">
        <f t="shared" si="6"/>
        <v>0.93824691488323053</v>
      </c>
      <c r="AA8" s="8">
        <f t="shared" si="7"/>
        <v>-0.715106114255318</v>
      </c>
      <c r="AB8" s="8">
        <f t="shared" si="8"/>
        <v>0.26174125263696402</v>
      </c>
      <c r="AC8" s="8">
        <f t="shared" si="9"/>
        <v>0.64816260461607389</v>
      </c>
      <c r="AD8" s="8">
        <f t="shared" si="10"/>
        <v>0.99999999999999989</v>
      </c>
      <c r="AE8" s="8">
        <f t="shared" si="11"/>
        <v>2.7907203354671872</v>
      </c>
      <c r="AF8" s="8">
        <f t="shared" si="12"/>
        <v>0.86562723226713501</v>
      </c>
      <c r="AG8" s="8">
        <f t="shared" si="13"/>
        <v>159.8964970236031</v>
      </c>
      <c r="AH8" s="8">
        <f t="shared" si="14"/>
        <v>40.403212959502532</v>
      </c>
      <c r="AI8" s="8">
        <f t="shared" si="18"/>
        <v>159.85805555555555</v>
      </c>
      <c r="AJ8" s="15">
        <v>159</v>
      </c>
      <c r="AK8" s="15">
        <v>51</v>
      </c>
      <c r="AL8" s="15">
        <v>29</v>
      </c>
      <c r="AM8" s="8">
        <f t="shared" si="19"/>
        <v>40.298888888888889</v>
      </c>
      <c r="AN8" s="15">
        <v>40</v>
      </c>
      <c r="AO8" s="15">
        <v>17</v>
      </c>
      <c r="AP8" s="15">
        <v>56</v>
      </c>
      <c r="AQ8" s="10">
        <f t="shared" si="20"/>
        <v>3.8441468047551552E-2</v>
      </c>
      <c r="AR8" s="10">
        <f t="shared" si="21"/>
        <v>0.10432407061364302</v>
      </c>
      <c r="AS8" s="8"/>
      <c r="AT8" s="10"/>
      <c r="AU8" s="10"/>
      <c r="BJ8" s="6"/>
    </row>
    <row r="9" spans="1:62">
      <c r="A9" t="s">
        <v>10</v>
      </c>
      <c r="B9" s="15">
        <f>135+G9</f>
        <v>135.9</v>
      </c>
      <c r="C9" t="s">
        <v>5</v>
      </c>
      <c r="F9" t="s">
        <v>10</v>
      </c>
      <c r="G9" s="15">
        <f>(H9-50)/10</f>
        <v>0.9</v>
      </c>
      <c r="H9">
        <v>59</v>
      </c>
      <c r="K9" s="15"/>
      <c r="L9" s="15"/>
      <c r="M9" s="15"/>
      <c r="N9" s="9"/>
      <c r="O9" s="9"/>
      <c r="P9" s="8"/>
      <c r="Q9" s="8"/>
      <c r="R9" s="8"/>
      <c r="S9" s="8"/>
      <c r="T9" s="15"/>
      <c r="U9" s="15"/>
      <c r="V9" s="15"/>
      <c r="W9" s="10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15"/>
      <c r="AK9" s="15"/>
      <c r="AL9" s="15"/>
      <c r="AM9" s="8"/>
      <c r="AN9" s="15"/>
      <c r="AO9" s="15"/>
      <c r="AP9" s="15"/>
      <c r="AQ9" s="10"/>
      <c r="AR9" s="10"/>
      <c r="AS9" s="8"/>
      <c r="AT9" s="8"/>
      <c r="AU9" s="8"/>
      <c r="BJ9" s="6"/>
    </row>
    <row r="10" spans="1:62">
      <c r="A10" t="s">
        <v>11</v>
      </c>
      <c r="B10" s="15">
        <f>9+G10</f>
        <v>8.3000000000000007</v>
      </c>
      <c r="C10" t="s">
        <v>5</v>
      </c>
      <c r="F10" t="s">
        <v>11</v>
      </c>
      <c r="G10" s="15">
        <f>(H10-50)/10</f>
        <v>-0.7</v>
      </c>
      <c r="H10">
        <v>43</v>
      </c>
      <c r="K10" s="15"/>
      <c r="L10" s="15"/>
      <c r="M10" s="15"/>
      <c r="N10" s="9"/>
      <c r="O10" s="9"/>
      <c r="P10" s="8"/>
      <c r="Q10" s="8"/>
      <c r="R10" s="8"/>
      <c r="S10" s="8"/>
      <c r="T10" s="15"/>
      <c r="U10" s="15"/>
      <c r="V10" s="15"/>
      <c r="W10" s="10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15"/>
      <c r="AK10" s="15"/>
      <c r="AL10" s="15"/>
      <c r="AM10" s="8"/>
      <c r="AN10" s="15"/>
      <c r="AO10" s="15"/>
      <c r="AP10" s="15"/>
      <c r="AQ10" s="10"/>
      <c r="AR10" s="10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46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55</v>
      </c>
      <c r="W11" s="13">
        <f>AVERAGE(W3:W8)</f>
        <v>-1.2747524490996422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55</v>
      </c>
      <c r="AQ11" s="13">
        <f>AVERAGE(AQ3:AQ8)</f>
        <v>1.9427741918678503E-2</v>
      </c>
      <c r="AR11" s="13">
        <f>AVERAGE(AR3:AR8)</f>
        <v>5.9816219183302856E-2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56</v>
      </c>
      <c r="W12" s="13">
        <f>STDEV(W3:W8)</f>
        <v>8.3901144205850553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56</v>
      </c>
      <c r="AQ12" s="13">
        <f>STDEV(AQ3:AQ8)</f>
        <v>2.4563345004016305E-2</v>
      </c>
      <c r="AR12" s="13">
        <f>STDEV(AR3:AR8)</f>
        <v>3.5035985340374595E-2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61+G14</f>
        <v>60.9</v>
      </c>
      <c r="C14" s="15">
        <v>46.9</v>
      </c>
      <c r="D14" s="3" t="s">
        <v>5</v>
      </c>
      <c r="F14" t="s">
        <v>4</v>
      </c>
      <c r="G14" s="15">
        <f>(H14-50)/10</f>
        <v>-0.1</v>
      </c>
      <c r="H14">
        <v>49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66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47</v>
      </c>
      <c r="B16" s="16">
        <f>1+G16</f>
        <v>1.0129999999999999</v>
      </c>
      <c r="F16" t="s">
        <v>47</v>
      </c>
      <c r="G16" s="16">
        <f>(H16-50)/1000</f>
        <v>1.2999999999999999E-2</v>
      </c>
      <c r="H16">
        <v>63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61</v>
      </c>
      <c r="C19" s="11" t="s">
        <v>60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0.53145275723227337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-0.59786506013263285</v>
      </c>
      <c r="U22">
        <f>SIN(RADIANS($B$9))*SIN(RADIANS(90-$B$8))</f>
        <v>0.57937154965314208</v>
      </c>
      <c r="V22">
        <f>COS(RADIANS(90-$B$8))</f>
        <v>0.55397290306035729</v>
      </c>
      <c r="W22">
        <f>SQRT(T22^2+U22^2+V22^2)</f>
        <v>1</v>
      </c>
      <c r="Z22" t="s">
        <v>38</v>
      </c>
      <c r="AA22">
        <f>COS(RADIANS($B$10))*SQRT($T$22^2 + $U$22^2)</f>
        <v>0.82381455355029864</v>
      </c>
    </row>
    <row r="24" spans="1:51">
      <c r="E24" t="s">
        <v>19</v>
      </c>
      <c r="F24">
        <f>F22/TAN(F21)</f>
        <v>1633.0136477096912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60</v>
      </c>
      <c r="Z27" s="2">
        <f>(-1*$B$11*$Z$35*$AB$35*SQRT($Z$35^2 + $AA$35^2 - $AA$22^2))/($Z$35^2 + $AA$35^2) - ($AA$35*$AA$22)/(Z35^2+AA35^2)</f>
        <v>-0.63119551296419008</v>
      </c>
      <c r="AA27">
        <f>((-1*$B$11*$AA$35*$AB$35*SQRT($Z$35^2 + $AA$35^2 - $AA$22^2))/($Z$35^2+$AA$35^2)) + ( ($Z$35 * $AA$22)/($Z$35^2 + $AA$35^2))</f>
        <v>-0.76625623676435461</v>
      </c>
      <c r="AB27">
        <f>$B$11*1*SQRT($Z$35^2 + $AA$35^2 - $AA$22^2)</f>
        <v>0.12018154614416525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70</v>
      </c>
      <c r="E30" s="8"/>
      <c r="Z30" t="s">
        <v>35</v>
      </c>
      <c r="AA30" t="s">
        <v>36</v>
      </c>
      <c r="AB30" t="s">
        <v>37</v>
      </c>
    </row>
    <row r="31" spans="1:51">
      <c r="A31" t="s">
        <v>71</v>
      </c>
      <c r="B31" t="s">
        <v>23</v>
      </c>
      <c r="C31" t="s">
        <v>24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0.49411496059770965</v>
      </c>
      <c r="AA31">
        <f>AB35*Z27-Z35*AB27</f>
        <v>-0.27781286340312961</v>
      </c>
      <c r="AB31">
        <f>Z35*AA27-AA35*Z27</f>
        <v>0.82381455355029853</v>
      </c>
      <c r="AC31">
        <f>SQRT(Z31^2+AA31^2+AB31^2)</f>
        <v>0.99999999999999989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1.3680333330000001</v>
      </c>
      <c r="B32" s="19">
        <v>1684.9584199999999</v>
      </c>
      <c r="C32" s="19">
        <v>-813.08731809999995</v>
      </c>
      <c r="E32" s="9">
        <f>(B32-($B$15/2))</f>
        <v>724.95841999999993</v>
      </c>
      <c r="F32" s="9">
        <f>(($C$15/2)+C32)</f>
        <v>-273.08731809999995</v>
      </c>
      <c r="G32" s="8"/>
      <c r="H32" s="8"/>
      <c r="I32" s="8">
        <v>1</v>
      </c>
      <c r="J32">
        <f t="shared" ref="J32:J95" si="22">ATAN((SQRT(E32^2+F32^2)^$B$16)/($F$24))</f>
        <v>0.477347603792456</v>
      </c>
      <c r="K32" s="8">
        <f>ATAN2(E32,F32)</f>
        <v>-0.36025478909421516</v>
      </c>
      <c r="L32" s="8"/>
      <c r="M32" s="8"/>
      <c r="N32" s="7"/>
      <c r="O32" s="8">
        <f>COS(K32)*SIN(J32)</f>
        <v>0.42993304719102049</v>
      </c>
      <c r="P32" s="8">
        <f>SIN(K32)*SIN(J32)</f>
        <v>-0.16195309907560837</v>
      </c>
      <c r="Q32" s="8">
        <f>COS(J32)</f>
        <v>0.88821662258305545</v>
      </c>
      <c r="R32" s="8">
        <f t="shared" ref="R32:R63" si="23">SQRT(O32^2+P32^2+Q32^2)</f>
        <v>1</v>
      </c>
      <c r="AG32" s="8">
        <f t="shared" ref="AG32:AG95" si="24">$O32*$Z$27+$P32*$Z$31+$Q32*$Z$35</f>
        <v>-0.88242894390183724</v>
      </c>
      <c r="AH32" s="8">
        <f t="shared" ref="AH32:AH95" si="25">$O32*$AA$27+$P32*$AA$31+$Q32*$AA$35</f>
        <v>0.23016121644360737</v>
      </c>
      <c r="AI32" s="8">
        <f t="shared" ref="AI32:AI95" si="26">$AB$27*$O32+$P32*$AB$31+$AB$35*$Q32</f>
        <v>0.41029863929763055</v>
      </c>
      <c r="AJ32" s="8"/>
      <c r="AK32" s="8"/>
      <c r="AL32" s="8"/>
      <c r="AN32" s="8">
        <f t="shared" ref="AN32" si="27">AG32^2+AH32^2+AI32^2</f>
        <v>1</v>
      </c>
      <c r="AO32" s="8">
        <f t="shared" ref="AO32" si="28">IF(ATAN2(AG32,AH32)&gt;=0,ATAN2(AG32,AH32),ATAN2(AG32,AH32)+2*PI())</f>
        <v>2.8864501989322799</v>
      </c>
      <c r="AP32" s="8">
        <f t="shared" ref="AP32" si="29">ACOS(AI32/AN32)</f>
        <v>1.1480148158368177</v>
      </c>
      <c r="AQ32" s="8"/>
      <c r="AR32" s="8">
        <f t="shared" ref="AR32" si="30">DEGREES(AO32)</f>
        <v>165.38141417351653</v>
      </c>
      <c r="AS32" s="8">
        <f t="shared" ref="AS32" si="31">90-DEGREES(AP32)</f>
        <v>24.223596234061887</v>
      </c>
      <c r="AX32" s="6"/>
      <c r="AY32" s="6"/>
    </row>
    <row r="33" spans="1:53">
      <c r="A33" s="19">
        <v>1.4014</v>
      </c>
      <c r="B33" s="19">
        <v>1684.957999</v>
      </c>
      <c r="C33" s="19">
        <v>-813.08785479999995</v>
      </c>
      <c r="E33" s="9">
        <f t="shared" ref="E33:E96" si="32">(B33-($B$15/2))</f>
        <v>724.95799899999997</v>
      </c>
      <c r="F33" s="9">
        <f t="shared" ref="F33:F96" si="33">(($C$15/2)+C33)</f>
        <v>-273.08785479999995</v>
      </c>
      <c r="I33">
        <v>1</v>
      </c>
      <c r="J33">
        <f t="shared" si="22"/>
        <v>0.47734749452127917</v>
      </c>
      <c r="K33">
        <f t="shared" ref="K33:K96" si="34">ATAN2(E33,F33)</f>
        <v>-0.36025562898808544</v>
      </c>
      <c r="N33" s="7"/>
      <c r="O33">
        <f t="shared" ref="O33:O96" si="35">COS(K33)*SIN(J33)</f>
        <v>0.42993282034134683</v>
      </c>
      <c r="P33">
        <f t="shared" ref="P33:P96" si="36">SIN(K33)*SIN(J33)</f>
        <v>-0.16195342595996681</v>
      </c>
      <c r="Q33">
        <f t="shared" ref="Q33:Q96" si="37">COS(J33)</f>
        <v>0.88821667278494876</v>
      </c>
      <c r="R33">
        <f t="shared" si="23"/>
        <v>1</v>
      </c>
      <c r="Z33" t="s">
        <v>34</v>
      </c>
      <c r="AG33" s="8">
        <f t="shared" si="24"/>
        <v>-0.88242899224775095</v>
      </c>
      <c r="AH33" s="8">
        <f t="shared" si="25"/>
        <v>0.23016151016681297</v>
      </c>
      <c r="AI33" s="8">
        <f t="shared" si="26"/>
        <v>0.41029837055288282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2.8864499006565971</v>
      </c>
      <c r="AP33" s="8">
        <f t="shared" ref="AP33:AP96" si="40">ACOS(AI33/AN33)</f>
        <v>1.148015110528819</v>
      </c>
      <c r="AQ33" s="8"/>
      <c r="AR33" s="8">
        <f t="shared" ref="AR33:AR96" si="41">DEGREES(AO33)</f>
        <v>165.38139708357878</v>
      </c>
      <c r="AS33" s="8">
        <f t="shared" ref="AS33:AS96" si="42">90-DEGREES(AP33)</f>
        <v>24.223579349453956</v>
      </c>
      <c r="AX33" s="6"/>
      <c r="AY33" s="6"/>
    </row>
    <row r="34" spans="1:53">
      <c r="A34" s="19">
        <v>1.4347666670000001</v>
      </c>
      <c r="B34" s="19">
        <v>1684.956187</v>
      </c>
      <c r="C34" s="19">
        <v>-813.12040430000002</v>
      </c>
      <c r="E34" s="9">
        <f t="shared" si="32"/>
        <v>724.956187</v>
      </c>
      <c r="F34" s="9">
        <f t="shared" si="33"/>
        <v>-273.12040430000002</v>
      </c>
      <c r="I34">
        <v>1</v>
      </c>
      <c r="J34">
        <f t="shared" si="22"/>
        <v>0.47735271262797807</v>
      </c>
      <c r="K34">
        <f t="shared" si="34"/>
        <v>-0.36029577213510089</v>
      </c>
      <c r="O34">
        <f t="shared" si="35"/>
        <v>0.42993065588915907</v>
      </c>
      <c r="P34">
        <f t="shared" si="36"/>
        <v>-0.16197231869049669</v>
      </c>
      <c r="Q34">
        <f t="shared" si="37"/>
        <v>0.88821427544525633</v>
      </c>
      <c r="R34">
        <f t="shared" si="23"/>
        <v>1</v>
      </c>
      <c r="Z34" t="s">
        <v>35</v>
      </c>
      <c r="AA34" t="s">
        <v>36</v>
      </c>
      <c r="AB34" t="s">
        <v>37</v>
      </c>
      <c r="AG34" s="8">
        <f t="shared" si="24"/>
        <v>-0.88243552795040403</v>
      </c>
      <c r="AH34" s="8">
        <f t="shared" si="25"/>
        <v>0.23016702838495429</v>
      </c>
      <c r="AI34" s="8">
        <f t="shared" si="26"/>
        <v>0.41028121825807651</v>
      </c>
      <c r="AJ34" s="8"/>
      <c r="AK34" s="8"/>
      <c r="AL34" s="8"/>
      <c r="AN34" s="8">
        <f t="shared" si="38"/>
        <v>1</v>
      </c>
      <c r="AO34" s="8">
        <f t="shared" si="39"/>
        <v>2.88644585434051</v>
      </c>
      <c r="AP34" s="8">
        <f t="shared" si="40"/>
        <v>1.1480339187935555</v>
      </c>
      <c r="AQ34" s="8"/>
      <c r="AR34" s="8">
        <f t="shared" si="41"/>
        <v>165.38116524674439</v>
      </c>
      <c r="AS34" s="8">
        <f t="shared" si="42"/>
        <v>24.222501715264585</v>
      </c>
      <c r="AX34" s="6"/>
      <c r="AY34" s="6"/>
    </row>
    <row r="35" spans="1:53">
      <c r="A35" s="19">
        <v>1.4681333329999999</v>
      </c>
      <c r="B35" s="19">
        <v>1684.788863</v>
      </c>
      <c r="C35" s="19">
        <v>-812.51972160000003</v>
      </c>
      <c r="E35" s="9">
        <f t="shared" si="32"/>
        <v>724.78886299999999</v>
      </c>
      <c r="F35" s="9">
        <f t="shared" si="33"/>
        <v>-272.51972160000003</v>
      </c>
      <c r="I35">
        <v>1</v>
      </c>
      <c r="J35">
        <f t="shared" si="22"/>
        <v>0.47715622882791509</v>
      </c>
      <c r="K35">
        <f t="shared" si="34"/>
        <v>-0.35964601731648538</v>
      </c>
      <c r="O35">
        <f t="shared" si="35"/>
        <v>0.4298724449218837</v>
      </c>
      <c r="P35">
        <f t="shared" si="36"/>
        <v>-0.16163151090474617</v>
      </c>
      <c r="Q35">
        <f t="shared" si="37"/>
        <v>0.88830452873973964</v>
      </c>
      <c r="R35">
        <f t="shared" si="23"/>
        <v>1</v>
      </c>
      <c r="Z35">
        <f>$T$22</f>
        <v>-0.59786506013263285</v>
      </c>
      <c r="AA35">
        <f>$U$22</f>
        <v>0.57937154965314208</v>
      </c>
      <c r="AB35">
        <f>$V$22</f>
        <v>0.55397290306035729</v>
      </c>
      <c r="AC35">
        <f>SQRT(Z35^2+AA35^2+AB35^2)</f>
        <v>1</v>
      </c>
      <c r="AG35" s="8">
        <f t="shared" si="24"/>
        <v>-0.8822843465147604</v>
      </c>
      <c r="AH35" s="8">
        <f t="shared" si="25"/>
        <v>0.23016924230593383</v>
      </c>
      <c r="AI35" s="8">
        <f t="shared" si="26"/>
        <v>0.41060498266744694</v>
      </c>
      <c r="AJ35" s="8"/>
      <c r="AK35" s="8"/>
      <c r="AL35" s="8"/>
      <c r="AN35" s="8">
        <f t="shared" si="38"/>
        <v>0.99999999999999989</v>
      </c>
      <c r="AO35" s="8">
        <f t="shared" si="39"/>
        <v>2.886401658291788</v>
      </c>
      <c r="AP35" s="8">
        <f t="shared" si="40"/>
        <v>1.1476788696566103</v>
      </c>
      <c r="AQ35" s="8"/>
      <c r="AR35" s="8">
        <f t="shared" si="41"/>
        <v>165.37863299968146</v>
      </c>
      <c r="AS35" s="8">
        <f t="shared" si="42"/>
        <v>24.242844532331318</v>
      </c>
      <c r="AX35" s="6"/>
      <c r="AY35" s="6"/>
    </row>
    <row r="36" spans="1:53">
      <c r="A36" s="19">
        <v>1.9352666670000001</v>
      </c>
      <c r="B36" s="19">
        <v>1676.1020880000001</v>
      </c>
      <c r="C36" s="19">
        <v>-813.85614850000002</v>
      </c>
      <c r="E36" s="9">
        <f t="shared" si="32"/>
        <v>716.10208800000009</v>
      </c>
      <c r="F36" s="9">
        <f t="shared" si="33"/>
        <v>-273.85614850000002</v>
      </c>
      <c r="I36">
        <v>1</v>
      </c>
      <c r="J36">
        <f t="shared" si="22"/>
        <v>0.47306582667626795</v>
      </c>
      <c r="K36">
        <f t="shared" si="34"/>
        <v>-0.36526529995582185</v>
      </c>
      <c r="O36">
        <f t="shared" si="35"/>
        <v>0.42556001488608114</v>
      </c>
      <c r="P36">
        <f t="shared" si="36"/>
        <v>-0.1627452685660998</v>
      </c>
      <c r="Q36">
        <f t="shared" si="37"/>
        <v>0.89017562946280804</v>
      </c>
      <c r="R36">
        <f t="shared" si="23"/>
        <v>1</v>
      </c>
      <c r="AG36" s="8">
        <f t="shared" si="24"/>
        <v>-0.8812313500954565</v>
      </c>
      <c r="AH36" s="8">
        <f t="shared" si="25"/>
        <v>0.23486714744699655</v>
      </c>
      <c r="AI36" s="8">
        <f t="shared" si="26"/>
        <v>0.41020571748703094</v>
      </c>
      <c r="AJ36" s="8"/>
      <c r="AK36" s="8"/>
      <c r="AL36" s="8"/>
      <c r="AN36" s="8">
        <f t="shared" si="38"/>
        <v>1</v>
      </c>
      <c r="AO36" s="8">
        <f t="shared" si="39"/>
        <v>2.8811257468651417</v>
      </c>
      <c r="AP36" s="8">
        <f t="shared" si="40"/>
        <v>1.1481167069017841</v>
      </c>
      <c r="AQ36" s="8"/>
      <c r="AR36" s="8">
        <f t="shared" si="41"/>
        <v>165.0763455418498</v>
      </c>
      <c r="AS36" s="8">
        <f t="shared" si="42"/>
        <v>24.217758306069214</v>
      </c>
      <c r="AX36" s="10"/>
      <c r="AY36" s="10"/>
      <c r="AZ36" s="8"/>
      <c r="BA36" s="8"/>
    </row>
    <row r="37" spans="1:53">
      <c r="A37" s="19">
        <v>1.9686333330000001</v>
      </c>
      <c r="B37" s="19">
        <v>1676.089964</v>
      </c>
      <c r="C37" s="19">
        <v>-813.72284569999999</v>
      </c>
      <c r="E37" s="9">
        <f t="shared" si="32"/>
        <v>716.08996400000001</v>
      </c>
      <c r="F37" s="9">
        <f t="shared" si="33"/>
        <v>-273.72284569999999</v>
      </c>
      <c r="I37">
        <v>1</v>
      </c>
      <c r="J37">
        <f t="shared" si="22"/>
        <v>0.47303424645510206</v>
      </c>
      <c r="K37">
        <f t="shared" si="34"/>
        <v>-0.36510853683903866</v>
      </c>
      <c r="O37">
        <f t="shared" si="35"/>
        <v>0.42555926295540802</v>
      </c>
      <c r="P37">
        <f t="shared" si="36"/>
        <v>-0.16266851698280313</v>
      </c>
      <c r="Q37">
        <f t="shared" si="37"/>
        <v>0.8901900175218016</v>
      </c>
      <c r="R37">
        <f t="shared" si="23"/>
        <v>1</v>
      </c>
      <c r="AG37" s="8">
        <f t="shared" si="24"/>
        <v>-0.88120155349238838</v>
      </c>
      <c r="AH37" s="8">
        <f t="shared" si="25"/>
        <v>0.23485473707347371</v>
      </c>
      <c r="AI37" s="8">
        <f t="shared" si="26"/>
        <v>0.41027682678497795</v>
      </c>
      <c r="AJ37" s="8"/>
      <c r="AK37" s="8"/>
      <c r="AL37" s="8"/>
      <c r="AN37" s="8">
        <f t="shared" si="38"/>
        <v>0.99999999999999978</v>
      </c>
      <c r="AO37" s="8">
        <f t="shared" si="39"/>
        <v>2.881130481934421</v>
      </c>
      <c r="AP37" s="8">
        <f t="shared" si="40"/>
        <v>1.1480387342162515</v>
      </c>
      <c r="AQ37" s="8"/>
      <c r="AR37" s="8">
        <f t="shared" si="41"/>
        <v>165.07661684133521</v>
      </c>
      <c r="AS37" s="8">
        <f t="shared" si="42"/>
        <v>24.222225811867531</v>
      </c>
      <c r="AX37" s="10"/>
      <c r="AY37" s="10"/>
      <c r="AZ37" s="8"/>
      <c r="BA37" s="8"/>
    </row>
    <row r="38" spans="1:53" s="8" customFormat="1">
      <c r="A38" s="19">
        <v>2.068733333</v>
      </c>
      <c r="B38" s="19">
        <v>1673.2288940000001</v>
      </c>
      <c r="C38" s="19">
        <v>-813.78089169999998</v>
      </c>
      <c r="D38" s="3"/>
      <c r="E38" s="9">
        <f t="shared" si="32"/>
        <v>713.22889400000008</v>
      </c>
      <c r="F38" s="9">
        <f t="shared" si="33"/>
        <v>-273.78089169999998</v>
      </c>
      <c r="G38"/>
      <c r="H38"/>
      <c r="I38">
        <v>1</v>
      </c>
      <c r="J38">
        <f t="shared" si="22"/>
        <v>0.47161257207015983</v>
      </c>
      <c r="K38">
        <f t="shared" si="34"/>
        <v>-0.36651666290374424</v>
      </c>
      <c r="L38"/>
      <c r="M38"/>
      <c r="N38" s="3"/>
      <c r="O38">
        <f t="shared" si="35"/>
        <v>0.42414785042570324</v>
      </c>
      <c r="P38">
        <f t="shared" si="36"/>
        <v>-0.16281389842597607</v>
      </c>
      <c r="Q38">
        <f t="shared" si="37"/>
        <v>0.89083681752529242</v>
      </c>
      <c r="R38">
        <f t="shared" si="23"/>
        <v>1</v>
      </c>
      <c r="S38" s="3"/>
      <c r="Y38" s="3"/>
      <c r="AF38" s="3"/>
      <c r="AG38" s="8">
        <f t="shared" si="24"/>
        <v>-0.88076921050574319</v>
      </c>
      <c r="AH38" s="8">
        <f t="shared" si="25"/>
        <v>0.23635136708235899</v>
      </c>
      <c r="AI38" s="8">
        <f t="shared" si="26"/>
        <v>0.41034574337184204</v>
      </c>
      <c r="AM38" s="3"/>
      <c r="AN38" s="8">
        <f t="shared" si="38"/>
        <v>0.99999999999999989</v>
      </c>
      <c r="AO38" s="8">
        <f t="shared" si="39"/>
        <v>2.8794225755806777</v>
      </c>
      <c r="AP38" s="8">
        <f t="shared" si="40"/>
        <v>1.1479631632697007</v>
      </c>
      <c r="AR38" s="8">
        <f t="shared" si="41"/>
        <v>164.97876101546214</v>
      </c>
      <c r="AS38" s="8">
        <f t="shared" si="42"/>
        <v>24.226555708158699</v>
      </c>
      <c r="AX38" s="10"/>
      <c r="AY38" s="10"/>
    </row>
    <row r="39" spans="1:53">
      <c r="A39" s="19">
        <v>2.1021000000000001</v>
      </c>
      <c r="B39" s="19">
        <v>1673.162065</v>
      </c>
      <c r="C39" s="19">
        <v>-813.81646799999999</v>
      </c>
      <c r="E39" s="9">
        <f t="shared" si="32"/>
        <v>713.16206499999998</v>
      </c>
      <c r="F39" s="9">
        <f t="shared" si="33"/>
        <v>-273.81646799999999</v>
      </c>
      <c r="I39">
        <v>1</v>
      </c>
      <c r="J39">
        <f t="shared" si="22"/>
        <v>0.47158593273891958</v>
      </c>
      <c r="K39">
        <f t="shared" si="34"/>
        <v>-0.36659149076098252</v>
      </c>
      <c r="O39">
        <f t="shared" si="35"/>
        <v>0.424113511613538</v>
      </c>
      <c r="P39">
        <f t="shared" si="36"/>
        <v>-0.16283712984803245</v>
      </c>
      <c r="Q39">
        <f t="shared" si="37"/>
        <v>0.89084892008111483</v>
      </c>
      <c r="R39">
        <f t="shared" si="23"/>
        <v>1</v>
      </c>
      <c r="AG39" s="8">
        <f t="shared" si="24"/>
        <v>-0.88076625069004244</v>
      </c>
      <c r="AH39" s="8">
        <f t="shared" si="25"/>
        <v>0.23639114527574773</v>
      </c>
      <c r="AI39" s="8">
        <f t="shared" si="26"/>
        <v>0.41032918258469697</v>
      </c>
      <c r="AJ39" s="8"/>
      <c r="AK39" s="8"/>
      <c r="AL39" s="8"/>
      <c r="AN39" s="8">
        <f t="shared" si="38"/>
        <v>1</v>
      </c>
      <c r="AO39" s="8">
        <f t="shared" si="39"/>
        <v>2.8793796054399587</v>
      </c>
      <c r="AP39" s="8">
        <f t="shared" si="40"/>
        <v>1.1479813233467069</v>
      </c>
      <c r="AQ39" s="8"/>
      <c r="AR39" s="8">
        <f t="shared" si="41"/>
        <v>164.97629900775385</v>
      </c>
      <c r="AS39" s="8">
        <f t="shared" si="42"/>
        <v>24.225515212390619</v>
      </c>
      <c r="AX39" s="10"/>
      <c r="AY39" s="10"/>
      <c r="AZ39" s="8"/>
      <c r="BA39" s="8"/>
    </row>
    <row r="40" spans="1:53">
      <c r="A40" s="19">
        <v>2.2355666670000001</v>
      </c>
      <c r="B40" s="19">
        <v>1671.4245940000001</v>
      </c>
      <c r="C40" s="19">
        <v>-812.96519720000003</v>
      </c>
      <c r="E40" s="9">
        <f t="shared" si="32"/>
        <v>711.42459400000007</v>
      </c>
      <c r="F40" s="9">
        <f t="shared" si="33"/>
        <v>-272.96519720000003</v>
      </c>
      <c r="I40">
        <v>1</v>
      </c>
      <c r="J40">
        <f t="shared" si="22"/>
        <v>0.47055117126520696</v>
      </c>
      <c r="K40">
        <f t="shared" si="34"/>
        <v>-0.36636585066476157</v>
      </c>
      <c r="O40">
        <f t="shared" si="35"/>
        <v>0.4232893763441401</v>
      </c>
      <c r="P40">
        <f t="shared" si="36"/>
        <v>-0.16241112418787595</v>
      </c>
      <c r="Q40">
        <f t="shared" si="37"/>
        <v>0.89131853487640389</v>
      </c>
      <c r="R40">
        <f t="shared" si="23"/>
        <v>1</v>
      </c>
      <c r="AG40" s="8">
        <f t="shared" si="24"/>
        <v>-0.88031633071376514</v>
      </c>
      <c r="AH40" s="8">
        <f t="shared" si="25"/>
        <v>0.23717637566527405</v>
      </c>
      <c r="AI40" s="8">
        <f t="shared" si="26"/>
        <v>0.41084124026798685</v>
      </c>
      <c r="AJ40" s="8"/>
      <c r="AK40" s="8"/>
      <c r="AL40" s="8"/>
      <c r="AN40" s="8">
        <f t="shared" si="38"/>
        <v>1</v>
      </c>
      <c r="AO40" s="8">
        <f t="shared" si="39"/>
        <v>2.8784198475045324</v>
      </c>
      <c r="AP40" s="8">
        <f t="shared" si="40"/>
        <v>1.1474197471142864</v>
      </c>
      <c r="AQ40" s="8"/>
      <c r="AR40" s="8">
        <f t="shared" si="41"/>
        <v>164.92130892869974</v>
      </c>
      <c r="AS40" s="8">
        <f t="shared" si="42"/>
        <v>24.257691160383175</v>
      </c>
      <c r="AX40" s="8"/>
      <c r="AY40" s="8"/>
      <c r="AZ40" s="8"/>
      <c r="BA40" s="8"/>
    </row>
    <row r="41" spans="1:53">
      <c r="A41" s="19">
        <v>2.2689333330000001</v>
      </c>
      <c r="B41" s="19">
        <v>1670.7563809999999</v>
      </c>
      <c r="C41" s="19">
        <v>-812.51972160000003</v>
      </c>
      <c r="E41" s="9">
        <f t="shared" si="32"/>
        <v>710.75638099999992</v>
      </c>
      <c r="F41" s="9">
        <f t="shared" si="33"/>
        <v>-272.51972160000003</v>
      </c>
      <c r="I41">
        <v>1</v>
      </c>
      <c r="J41">
        <f t="shared" si="22"/>
        <v>0.47013021246420794</v>
      </c>
      <c r="K41">
        <f t="shared" si="34"/>
        <v>-0.36613392894713159</v>
      </c>
      <c r="O41">
        <f t="shared" si="35"/>
        <v>0.42297665515708233</v>
      </c>
      <c r="P41">
        <f t="shared" si="36"/>
        <v>-0.16217860773128578</v>
      </c>
      <c r="Q41">
        <f t="shared" si="37"/>
        <v>0.89150930919787286</v>
      </c>
      <c r="R41">
        <f t="shared" si="23"/>
        <v>1</v>
      </c>
      <c r="AG41" s="8">
        <f t="shared" si="24"/>
        <v>-0.88011810994507589</v>
      </c>
      <c r="AH41" s="8">
        <f t="shared" si="25"/>
        <v>0.2374619333768952</v>
      </c>
      <c r="AI41" s="8">
        <f t="shared" si="26"/>
        <v>0.4111008911977867</v>
      </c>
      <c r="AJ41" s="8"/>
      <c r="AK41" s="8"/>
      <c r="AL41" s="8"/>
      <c r="AN41" s="8">
        <f t="shared" si="38"/>
        <v>1.0000000000000002</v>
      </c>
      <c r="AO41" s="8">
        <f t="shared" si="39"/>
        <v>2.8780608131932786</v>
      </c>
      <c r="AP41" s="8">
        <f t="shared" si="40"/>
        <v>1.1471349323384765</v>
      </c>
      <c r="AQ41" s="8"/>
      <c r="AR41" s="8">
        <f t="shared" si="41"/>
        <v>164.90073777796451</v>
      </c>
      <c r="AS41" s="8">
        <f t="shared" si="42"/>
        <v>24.274009844980043</v>
      </c>
      <c r="AX41" s="10"/>
      <c r="AY41" s="10"/>
      <c r="AZ41" s="8"/>
      <c r="BA41" s="8"/>
    </row>
    <row r="42" spans="1:53">
      <c r="A42" s="19">
        <v>8.1081000000000003</v>
      </c>
      <c r="B42" s="19">
        <v>1588.3433869999999</v>
      </c>
      <c r="C42" s="19">
        <v>-809.40139209999995</v>
      </c>
      <c r="E42" s="9">
        <f t="shared" si="32"/>
        <v>628.34338699999989</v>
      </c>
      <c r="F42" s="9">
        <f t="shared" si="33"/>
        <v>-269.40139209999995</v>
      </c>
      <c r="I42">
        <v>1</v>
      </c>
      <c r="J42">
        <f t="shared" si="22"/>
        <v>0.42760562058371626</v>
      </c>
      <c r="K42">
        <f t="shared" si="34"/>
        <v>-0.40504151595771254</v>
      </c>
      <c r="O42">
        <f t="shared" si="35"/>
        <v>0.38113873090497186</v>
      </c>
      <c r="P42">
        <f t="shared" si="36"/>
        <v>-0.16341272433734821</v>
      </c>
      <c r="Q42">
        <f t="shared" si="37"/>
        <v>0.90996129001666515</v>
      </c>
      <c r="R42">
        <f t="shared" si="23"/>
        <v>1</v>
      </c>
      <c r="AG42" s="8">
        <f t="shared" si="24"/>
        <v>-0.86535178998537898</v>
      </c>
      <c r="AH42" s="8">
        <f t="shared" si="25"/>
        <v>0.28055390995760676</v>
      </c>
      <c r="AI42" s="8">
        <f t="shared" si="26"/>
        <v>0.41527795893425368</v>
      </c>
      <c r="AJ42" s="8"/>
      <c r="AK42" s="8"/>
      <c r="AL42" s="8"/>
      <c r="AN42" s="8">
        <f t="shared" si="38"/>
        <v>1</v>
      </c>
      <c r="AO42" s="8">
        <f t="shared" si="39"/>
        <v>2.8280773241612085</v>
      </c>
      <c r="AP42" s="8">
        <f t="shared" si="40"/>
        <v>1.1425479931918481</v>
      </c>
      <c r="AQ42" s="8"/>
      <c r="AR42" s="8">
        <f t="shared" si="41"/>
        <v>162.03689481108844</v>
      </c>
      <c r="AS42" s="8">
        <f t="shared" si="42"/>
        <v>24.536822098965189</v>
      </c>
      <c r="AX42" s="10"/>
      <c r="AY42" s="10"/>
      <c r="AZ42" s="8"/>
      <c r="BA42" s="8"/>
    </row>
    <row r="43" spans="1:53">
      <c r="A43" s="19">
        <v>8.1414666669999995</v>
      </c>
      <c r="B43" s="19">
        <v>1588.827992</v>
      </c>
      <c r="C43" s="19">
        <v>-809.37522890000002</v>
      </c>
      <c r="E43" s="9">
        <f t="shared" si="32"/>
        <v>628.82799199999999</v>
      </c>
      <c r="F43" s="9">
        <f t="shared" si="33"/>
        <v>-269.37522890000002</v>
      </c>
      <c r="I43">
        <v>1</v>
      </c>
      <c r="J43">
        <f t="shared" si="22"/>
        <v>0.42784888510490499</v>
      </c>
      <c r="K43">
        <f t="shared" si="34"/>
        <v>-0.40472722072094752</v>
      </c>
      <c r="O43">
        <f t="shared" si="35"/>
        <v>0.38139353812288013</v>
      </c>
      <c r="P43">
        <f t="shared" si="36"/>
        <v>-0.16338008635091378</v>
      </c>
      <c r="Q43">
        <f t="shared" si="37"/>
        <v>0.90986038295008709</v>
      </c>
      <c r="R43">
        <f t="shared" si="23"/>
        <v>1</v>
      </c>
      <c r="AG43" s="8">
        <f t="shared" si="24"/>
        <v>-0.86543616743118501</v>
      </c>
      <c r="AH43" s="8">
        <f t="shared" si="25"/>
        <v>0.28029113240171066</v>
      </c>
      <c r="AI43" s="8">
        <f t="shared" si="26"/>
        <v>0.41527956992728227</v>
      </c>
      <c r="AJ43" s="8"/>
      <c r="AK43" s="8"/>
      <c r="AL43" s="8"/>
      <c r="AN43" s="8">
        <f t="shared" si="38"/>
        <v>0.99999999999999978</v>
      </c>
      <c r="AO43" s="8">
        <f t="shared" si="39"/>
        <v>2.8283807129740528</v>
      </c>
      <c r="AP43" s="8">
        <f t="shared" si="40"/>
        <v>1.1425462222747436</v>
      </c>
      <c r="AQ43" s="8"/>
      <c r="AR43" s="8">
        <f t="shared" si="41"/>
        <v>162.05427770961592</v>
      </c>
      <c r="AS43" s="8">
        <f t="shared" si="42"/>
        <v>24.53692356504115</v>
      </c>
      <c r="AX43" s="8"/>
      <c r="AY43" s="8"/>
      <c r="AZ43" s="8"/>
      <c r="BA43" s="8"/>
    </row>
    <row r="44" spans="1:53">
      <c r="A44" s="19">
        <v>8.2415666670000007</v>
      </c>
      <c r="B44" s="19">
        <v>1585.875603</v>
      </c>
      <c r="C44" s="19">
        <v>-809.37123229999997</v>
      </c>
      <c r="E44" s="9">
        <f t="shared" si="32"/>
        <v>625.87560299999996</v>
      </c>
      <c r="F44" s="9">
        <f t="shared" si="33"/>
        <v>-269.37123229999997</v>
      </c>
      <c r="I44">
        <v>1</v>
      </c>
      <c r="J44">
        <f t="shared" si="22"/>
        <v>0.42633044697229477</v>
      </c>
      <c r="K44">
        <f t="shared" si="34"/>
        <v>-0.40642800475761343</v>
      </c>
      <c r="O44">
        <f t="shared" si="35"/>
        <v>0.37984565090104844</v>
      </c>
      <c r="P44">
        <f t="shared" si="36"/>
        <v>-0.16348215296548479</v>
      </c>
      <c r="Q44">
        <f t="shared" si="37"/>
        <v>0.91048935587041802</v>
      </c>
      <c r="R44">
        <f t="shared" si="23"/>
        <v>1</v>
      </c>
      <c r="AG44" s="8">
        <f t="shared" si="24"/>
        <v>-0.86488562153626281</v>
      </c>
      <c r="AH44" s="8">
        <f t="shared" si="25"/>
        <v>0.28186997507324085</v>
      </c>
      <c r="AI44" s="8">
        <f t="shared" si="26"/>
        <v>0.41535789243981258</v>
      </c>
      <c r="AJ44" s="8"/>
      <c r="AK44" s="8"/>
      <c r="AL44" s="8"/>
      <c r="AN44" s="8">
        <f t="shared" si="38"/>
        <v>1</v>
      </c>
      <c r="AO44" s="8">
        <f t="shared" si="39"/>
        <v>2.8265430301703764</v>
      </c>
      <c r="AP44" s="8">
        <f t="shared" si="40"/>
        <v>1.1424601229206379</v>
      </c>
      <c r="AQ44" s="8"/>
      <c r="AR44" s="8">
        <f t="shared" si="41"/>
        <v>161.94898624088148</v>
      </c>
      <c r="AS44" s="8">
        <f t="shared" si="42"/>
        <v>24.541856694650207</v>
      </c>
      <c r="AX44" s="8"/>
      <c r="AY44" s="8"/>
      <c r="AZ44" s="8"/>
      <c r="BA44" s="8"/>
    </row>
    <row r="45" spans="1:53">
      <c r="A45" s="19">
        <v>8.3082999999999991</v>
      </c>
      <c r="B45" s="19">
        <v>1585.3935469999999</v>
      </c>
      <c r="C45" s="19">
        <v>-808.83545179999999</v>
      </c>
      <c r="E45" s="9">
        <f t="shared" si="32"/>
        <v>625.3935469999999</v>
      </c>
      <c r="F45" s="9">
        <f t="shared" si="33"/>
        <v>-268.83545179999999</v>
      </c>
      <c r="I45">
        <v>1</v>
      </c>
      <c r="J45">
        <f t="shared" si="22"/>
        <v>0.42596400674013801</v>
      </c>
      <c r="K45">
        <f t="shared" si="34"/>
        <v>-0.40598500268383675</v>
      </c>
      <c r="O45">
        <f t="shared" si="35"/>
        <v>0.37961149143567435</v>
      </c>
      <c r="P45">
        <f t="shared" si="36"/>
        <v>-0.16318209117783136</v>
      </c>
      <c r="Q45">
        <f t="shared" si="37"/>
        <v>0.91064082968468574</v>
      </c>
      <c r="R45">
        <f t="shared" si="23"/>
        <v>1</v>
      </c>
      <c r="AG45" s="8">
        <f t="shared" si="24"/>
        <v>-0.86468011701509306</v>
      </c>
      <c r="AH45" s="8">
        <f t="shared" si="25"/>
        <v>0.28205379981805945</v>
      </c>
      <c r="AI45" s="8">
        <f t="shared" si="26"/>
        <v>0.41566085844948042</v>
      </c>
      <c r="AJ45" s="8"/>
      <c r="AK45" s="8"/>
      <c r="AL45" s="8"/>
      <c r="AN45" s="8">
        <f t="shared" si="38"/>
        <v>1</v>
      </c>
      <c r="AO45" s="8">
        <f t="shared" si="39"/>
        <v>2.8262808528205681</v>
      </c>
      <c r="AP45" s="8">
        <f t="shared" si="40"/>
        <v>1.1421270427638488</v>
      </c>
      <c r="AQ45" s="8"/>
      <c r="AR45" s="8">
        <f t="shared" si="41"/>
        <v>161.93396458525353</v>
      </c>
      <c r="AS45" s="8">
        <f t="shared" si="42"/>
        <v>24.560940781873768</v>
      </c>
      <c r="AX45" s="8"/>
      <c r="AY45" s="8"/>
      <c r="AZ45" s="8"/>
      <c r="BA45" s="8"/>
    </row>
    <row r="46" spans="1:53">
      <c r="A46" s="19">
        <v>8.4084000000000003</v>
      </c>
      <c r="B46" s="19">
        <v>1584.4384580000001</v>
      </c>
      <c r="C46" s="19">
        <v>-809.45007559999999</v>
      </c>
      <c r="E46" s="9">
        <f t="shared" si="32"/>
        <v>624.43845800000008</v>
      </c>
      <c r="F46" s="9">
        <f t="shared" si="33"/>
        <v>-269.45007559999999</v>
      </c>
      <c r="I46">
        <v>1</v>
      </c>
      <c r="J46">
        <f t="shared" si="22"/>
        <v>0.42560890876107704</v>
      </c>
      <c r="K46">
        <f t="shared" si="34"/>
        <v>-0.4073698881443753</v>
      </c>
      <c r="O46">
        <f t="shared" si="35"/>
        <v>0.37908821072150761</v>
      </c>
      <c r="P46">
        <f t="shared" si="36"/>
        <v>-0.16357952609955831</v>
      </c>
      <c r="Q46">
        <f t="shared" si="37"/>
        <v>0.91078749834031525</v>
      </c>
      <c r="R46">
        <f t="shared" si="23"/>
        <v>1</v>
      </c>
      <c r="AG46" s="8">
        <f t="shared" si="24"/>
        <v>-0.86463389118159706</v>
      </c>
      <c r="AH46" s="8">
        <f t="shared" si="25"/>
        <v>0.28265015510878722</v>
      </c>
      <c r="AI46" s="8">
        <f t="shared" si="26"/>
        <v>0.41535180755252366</v>
      </c>
      <c r="AJ46" s="8"/>
      <c r="AK46" s="8"/>
      <c r="AL46" s="8"/>
      <c r="AN46" s="8">
        <f t="shared" si="38"/>
        <v>0.99999999999999978</v>
      </c>
      <c r="AO46" s="8">
        <f t="shared" si="39"/>
        <v>2.8256418343583238</v>
      </c>
      <c r="AP46" s="8">
        <f t="shared" si="40"/>
        <v>1.1424668121131323</v>
      </c>
      <c r="AQ46" s="8"/>
      <c r="AR46" s="8">
        <f t="shared" si="41"/>
        <v>161.89735152433602</v>
      </c>
      <c r="AS46" s="8">
        <f t="shared" si="42"/>
        <v>24.541473432151918</v>
      </c>
    </row>
    <row r="47" spans="1:53">
      <c r="A47" s="19">
        <v>8.4417666669999996</v>
      </c>
      <c r="B47" s="19">
        <v>1582.987609</v>
      </c>
      <c r="C47" s="19">
        <v>-809.51940620000005</v>
      </c>
      <c r="E47" s="9">
        <f t="shared" si="32"/>
        <v>622.98760900000002</v>
      </c>
      <c r="F47" s="9">
        <f t="shared" si="33"/>
        <v>-269.51940620000005</v>
      </c>
      <c r="I47">
        <v>1</v>
      </c>
      <c r="J47">
        <f t="shared" si="22"/>
        <v>0.42487808923099507</v>
      </c>
      <c r="K47">
        <f t="shared" si="34"/>
        <v>-0.40831050086955883</v>
      </c>
      <c r="O47">
        <f t="shared" si="35"/>
        <v>0.37832317438348273</v>
      </c>
      <c r="P47">
        <f t="shared" si="36"/>
        <v>-0.16367169400882148</v>
      </c>
      <c r="Q47">
        <f t="shared" si="37"/>
        <v>0.91108899252745212</v>
      </c>
      <c r="R47">
        <f t="shared" si="23"/>
        <v>1</v>
      </c>
      <c r="AG47" s="8">
        <f t="shared" si="24"/>
        <v>-0.86437679806095735</v>
      </c>
      <c r="AH47" s="8">
        <f t="shared" si="25"/>
        <v>0.28343665155934933</v>
      </c>
      <c r="AI47" s="8">
        <f t="shared" si="26"/>
        <v>0.41535095464764604</v>
      </c>
      <c r="AJ47" s="8"/>
      <c r="AK47" s="8"/>
      <c r="AL47" s="8"/>
      <c r="AN47" s="8">
        <f t="shared" si="38"/>
        <v>1</v>
      </c>
      <c r="AO47" s="8">
        <f t="shared" si="39"/>
        <v>2.8247322098811276</v>
      </c>
      <c r="AP47" s="8">
        <f t="shared" si="40"/>
        <v>1.14246774972047</v>
      </c>
      <c r="AQ47" s="8"/>
      <c r="AR47" s="8">
        <f t="shared" si="41"/>
        <v>161.84523388085086</v>
      </c>
      <c r="AS47" s="8">
        <f t="shared" si="42"/>
        <v>24.541419711208633</v>
      </c>
    </row>
    <row r="48" spans="1:53">
      <c r="A48" s="19">
        <v>8.4751333330000005</v>
      </c>
      <c r="B48" s="19">
        <v>1584.0997560000001</v>
      </c>
      <c r="C48" s="19">
        <v>-809.42490229999999</v>
      </c>
      <c r="E48" s="9">
        <f t="shared" si="32"/>
        <v>624.09975600000007</v>
      </c>
      <c r="F48" s="9">
        <f t="shared" si="33"/>
        <v>-269.42490229999999</v>
      </c>
      <c r="I48">
        <v>1</v>
      </c>
      <c r="J48">
        <f t="shared" si="22"/>
        <v>0.42542912625387203</v>
      </c>
      <c r="K48">
        <f t="shared" si="34"/>
        <v>-0.40753329442057312</v>
      </c>
      <c r="O48">
        <f t="shared" si="35"/>
        <v>0.37891113634972107</v>
      </c>
      <c r="P48">
        <f t="shared" si="36"/>
        <v>-0.16357656754380392</v>
      </c>
      <c r="Q48">
        <f t="shared" si="37"/>
        <v>0.91086171140341077</v>
      </c>
      <c r="R48">
        <f t="shared" si="23"/>
        <v>1</v>
      </c>
      <c r="AG48" s="8">
        <f t="shared" si="24"/>
        <v>-0.86456503016343467</v>
      </c>
      <c r="AH48" s="8">
        <f t="shared" si="25"/>
        <v>0.28282801446306421</v>
      </c>
      <c r="AI48" s="8">
        <f t="shared" si="26"/>
        <v>0.41537407580803587</v>
      </c>
      <c r="AJ48" s="8"/>
      <c r="AK48" s="8"/>
      <c r="AL48" s="8"/>
      <c r="AN48" s="8">
        <f t="shared" si="38"/>
        <v>1</v>
      </c>
      <c r="AO48" s="8">
        <f t="shared" si="39"/>
        <v>2.8254324659884413</v>
      </c>
      <c r="AP48" s="8">
        <f t="shared" si="40"/>
        <v>1.1424423322426622</v>
      </c>
      <c r="AQ48" s="8"/>
      <c r="AR48" s="8">
        <f t="shared" si="41"/>
        <v>161.8853556003782</v>
      </c>
      <c r="AS48" s="8">
        <f t="shared" si="42"/>
        <v>24.54287602541288</v>
      </c>
    </row>
    <row r="49" spans="1:45">
      <c r="A49" s="19">
        <v>8.5084999999999997</v>
      </c>
      <c r="B49" s="19">
        <v>1583.458979</v>
      </c>
      <c r="C49" s="19">
        <v>-809.44966929999998</v>
      </c>
      <c r="E49" s="9">
        <f t="shared" si="32"/>
        <v>623.458979</v>
      </c>
      <c r="F49" s="9">
        <f t="shared" si="33"/>
        <v>-269.44966929999998</v>
      </c>
      <c r="I49">
        <v>1</v>
      </c>
      <c r="J49">
        <f t="shared" si="22"/>
        <v>0.42510504489897649</v>
      </c>
      <c r="K49">
        <f t="shared" si="34"/>
        <v>-0.407940700857091</v>
      </c>
      <c r="O49">
        <f t="shared" si="35"/>
        <v>0.37857347321233975</v>
      </c>
      <c r="P49">
        <f t="shared" si="36"/>
        <v>-0.16361380716086751</v>
      </c>
      <c r="Q49">
        <f t="shared" si="37"/>
        <v>0.91099541573285225</v>
      </c>
      <c r="R49">
        <f t="shared" si="23"/>
        <v>1</v>
      </c>
      <c r="AG49" s="8">
        <f t="shared" si="24"/>
        <v>-0.86445023650510577</v>
      </c>
      <c r="AH49" s="8">
        <f t="shared" si="25"/>
        <v>0.28317456107720046</v>
      </c>
      <c r="AI49" s="8">
        <f t="shared" si="26"/>
        <v>0.41537688496713626</v>
      </c>
      <c r="AJ49" s="8"/>
      <c r="AK49" s="8"/>
      <c r="AL49" s="8"/>
      <c r="AN49" s="8">
        <f t="shared" si="38"/>
        <v>1</v>
      </c>
      <c r="AO49" s="8">
        <f t="shared" si="39"/>
        <v>2.8250311442726885</v>
      </c>
      <c r="AP49" s="8">
        <f t="shared" si="40"/>
        <v>1.1424392440670439</v>
      </c>
      <c r="AQ49" s="8"/>
      <c r="AR49" s="8">
        <f t="shared" si="41"/>
        <v>161.86236155983863</v>
      </c>
      <c r="AS49" s="8">
        <f t="shared" si="42"/>
        <v>24.543052964842218</v>
      </c>
    </row>
    <row r="50" spans="1:45">
      <c r="A50" s="19">
        <v>11.27793333</v>
      </c>
      <c r="B50" s="19">
        <v>1544.6867749999999</v>
      </c>
      <c r="C50" s="19">
        <v>-807.39675169999998</v>
      </c>
      <c r="E50" s="9">
        <f t="shared" si="32"/>
        <v>584.6867749999999</v>
      </c>
      <c r="F50" s="9">
        <f t="shared" si="33"/>
        <v>-267.39675169999998</v>
      </c>
      <c r="I50">
        <v>1</v>
      </c>
      <c r="J50">
        <f t="shared" si="22"/>
        <v>0.40460602579950017</v>
      </c>
      <c r="K50">
        <f t="shared" si="34"/>
        <v>-0.4289355672079988</v>
      </c>
      <c r="O50">
        <f t="shared" si="35"/>
        <v>0.3579948661179494</v>
      </c>
      <c r="P50">
        <f t="shared" si="36"/>
        <v>-0.16372298539712321</v>
      </c>
      <c r="Q50">
        <f t="shared" si="37"/>
        <v>0.91925755905831141</v>
      </c>
      <c r="R50">
        <f t="shared" si="23"/>
        <v>1</v>
      </c>
      <c r="AG50" s="8">
        <f t="shared" si="24"/>
        <v>-0.85645470546007918</v>
      </c>
      <c r="AH50" s="8">
        <f t="shared" si="25"/>
        <v>0.30376022900756339</v>
      </c>
      <c r="AI50" s="8">
        <f t="shared" si="26"/>
        <v>0.41739077705258615</v>
      </c>
      <c r="AJ50" s="8"/>
      <c r="AK50" s="8"/>
      <c r="AL50" s="8"/>
      <c r="AN50" s="8">
        <f t="shared" si="38"/>
        <v>1</v>
      </c>
      <c r="AO50" s="8">
        <f t="shared" si="39"/>
        <v>2.800762058890002</v>
      </c>
      <c r="AP50" s="8">
        <f t="shared" si="40"/>
        <v>1.1402242008608987</v>
      </c>
      <c r="AQ50" s="8"/>
      <c r="AR50" s="8">
        <f t="shared" si="41"/>
        <v>160.47184539476805</v>
      </c>
      <c r="AS50" s="8">
        <f t="shared" si="42"/>
        <v>24.66996559199346</v>
      </c>
    </row>
    <row r="51" spans="1:45">
      <c r="A51" s="19">
        <v>11.311299999999999</v>
      </c>
      <c r="B51" s="19">
        <v>1543.803541</v>
      </c>
      <c r="C51" s="19">
        <v>-807.39596319999998</v>
      </c>
      <c r="E51" s="9">
        <f t="shared" si="32"/>
        <v>583.803541</v>
      </c>
      <c r="F51" s="9">
        <f t="shared" si="33"/>
        <v>-267.39596319999998</v>
      </c>
      <c r="I51">
        <v>1</v>
      </c>
      <c r="J51">
        <f t="shared" si="22"/>
        <v>0.40414784430404221</v>
      </c>
      <c r="K51">
        <f t="shared" si="34"/>
        <v>-0.42950651751870883</v>
      </c>
      <c r="O51">
        <f t="shared" si="35"/>
        <v>0.3575183615520135</v>
      </c>
      <c r="P51">
        <f t="shared" si="36"/>
        <v>-0.16375194724775829</v>
      </c>
      <c r="Q51">
        <f t="shared" si="37"/>
        <v>0.91943782874413593</v>
      </c>
      <c r="R51">
        <f t="shared" si="23"/>
        <v>1</v>
      </c>
      <c r="AG51" s="8">
        <f t="shared" si="24"/>
        <v>-0.85627602534639446</v>
      </c>
      <c r="AH51" s="8">
        <f t="shared" si="25"/>
        <v>0.30423784270494442</v>
      </c>
      <c r="AI51" s="8">
        <f t="shared" si="26"/>
        <v>0.41740951532424625</v>
      </c>
      <c r="AJ51" s="8"/>
      <c r="AK51" s="8"/>
      <c r="AL51" s="8"/>
      <c r="AN51" s="8">
        <f t="shared" si="38"/>
        <v>0.99999999999999978</v>
      </c>
      <c r="AO51" s="8">
        <f t="shared" si="39"/>
        <v>2.8002009747607999</v>
      </c>
      <c r="AP51" s="8">
        <f t="shared" si="40"/>
        <v>1.1402035804123241</v>
      </c>
      <c r="AQ51" s="8"/>
      <c r="AR51" s="8">
        <f t="shared" si="41"/>
        <v>160.43969764221299</v>
      </c>
      <c r="AS51" s="8">
        <f t="shared" si="42"/>
        <v>24.671147056668445</v>
      </c>
    </row>
    <row r="52" spans="1:45">
      <c r="A52" s="19">
        <v>14.44776667</v>
      </c>
      <c r="B52" s="19">
        <v>1499.6937350000001</v>
      </c>
      <c r="C52" s="19">
        <v>-806.06032479999999</v>
      </c>
      <c r="E52" s="9">
        <f t="shared" si="32"/>
        <v>539.69373500000006</v>
      </c>
      <c r="F52" s="9">
        <f t="shared" si="33"/>
        <v>-266.06032479999999</v>
      </c>
      <c r="I52">
        <v>1</v>
      </c>
      <c r="J52">
        <f t="shared" si="22"/>
        <v>0.3808804768000445</v>
      </c>
      <c r="K52">
        <f t="shared" si="34"/>
        <v>-0.45801899564689819</v>
      </c>
      <c r="O52">
        <f t="shared" si="35"/>
        <v>0.33342303327760997</v>
      </c>
      <c r="P52">
        <f t="shared" si="36"/>
        <v>-0.16437218884825872</v>
      </c>
      <c r="Q52">
        <f t="shared" si="37"/>
        <v>0.92833768878204559</v>
      </c>
      <c r="R52">
        <f t="shared" si="23"/>
        <v>1</v>
      </c>
      <c r="AG52" s="8">
        <f t="shared" si="24"/>
        <v>-0.84669454826692103</v>
      </c>
      <c r="AH52" s="8">
        <f t="shared" si="25"/>
        <v>0.32802967506898728</v>
      </c>
      <c r="AI52" s="8">
        <f t="shared" si="26"/>
        <v>0.41893301876219929</v>
      </c>
      <c r="AJ52" s="8"/>
      <c r="AK52" s="8"/>
      <c r="AL52" s="8"/>
      <c r="AN52" s="8">
        <f t="shared" si="38"/>
        <v>1</v>
      </c>
      <c r="AO52" s="8">
        <f t="shared" si="39"/>
        <v>2.7719745611223185</v>
      </c>
      <c r="AP52" s="8">
        <f t="shared" si="40"/>
        <v>1.1385263929835325</v>
      </c>
      <c r="AQ52" s="8"/>
      <c r="AR52" s="8">
        <f t="shared" si="41"/>
        <v>158.82244326993751</v>
      </c>
      <c r="AS52" s="8">
        <f t="shared" si="42"/>
        <v>24.767242817790603</v>
      </c>
    </row>
    <row r="53" spans="1:45">
      <c r="A53" s="19">
        <v>18.551866669999999</v>
      </c>
      <c r="B53" s="19">
        <v>1443.1183289999999</v>
      </c>
      <c r="C53" s="19">
        <v>-803.1647332</v>
      </c>
      <c r="E53" s="9">
        <f t="shared" si="32"/>
        <v>483.1183289999999</v>
      </c>
      <c r="F53" s="9">
        <f t="shared" si="33"/>
        <v>-263.1647332</v>
      </c>
      <c r="I53">
        <v>1</v>
      </c>
      <c r="J53">
        <f t="shared" si="22"/>
        <v>0.35058367114994643</v>
      </c>
      <c r="K53">
        <f t="shared" si="34"/>
        <v>-0.4987812575295929</v>
      </c>
      <c r="O53">
        <f t="shared" si="35"/>
        <v>0.30160270052904709</v>
      </c>
      <c r="P53">
        <f t="shared" si="36"/>
        <v>-0.16428934580357474</v>
      </c>
      <c r="Q53">
        <f t="shared" si="37"/>
        <v>0.93917241329215972</v>
      </c>
      <c r="R53">
        <f t="shared" si="23"/>
        <v>1</v>
      </c>
      <c r="AG53" s="8">
        <f t="shared" si="24"/>
        <v>-0.83304646624800072</v>
      </c>
      <c r="AH53" s="8">
        <f t="shared" si="25"/>
        <v>0.35866651975952363</v>
      </c>
      <c r="AI53" s="8">
        <f t="shared" si="26"/>
        <v>0.42117919307025342</v>
      </c>
      <c r="AJ53" s="8"/>
      <c r="AK53" s="8"/>
      <c r="AL53" s="8"/>
      <c r="AN53" s="8">
        <f t="shared" si="38"/>
        <v>1</v>
      </c>
      <c r="AO53" s="8">
        <f t="shared" si="39"/>
        <v>2.7350321707876732</v>
      </c>
      <c r="AP53" s="8">
        <f t="shared" si="40"/>
        <v>1.1360512636588278</v>
      </c>
      <c r="AQ53" s="8"/>
      <c r="AR53" s="8">
        <f t="shared" si="41"/>
        <v>156.70580021863745</v>
      </c>
      <c r="AS53" s="8">
        <f t="shared" si="42"/>
        <v>24.90905728184525</v>
      </c>
    </row>
    <row r="54" spans="1:45">
      <c r="A54" s="19">
        <v>18.585233330000001</v>
      </c>
      <c r="B54" s="19">
        <v>1442.6728539999999</v>
      </c>
      <c r="C54" s="19">
        <v>-803.38747100000001</v>
      </c>
      <c r="E54" s="9">
        <f t="shared" si="32"/>
        <v>482.67285399999992</v>
      </c>
      <c r="F54" s="9">
        <f t="shared" si="33"/>
        <v>-263.38747100000001</v>
      </c>
      <c r="I54">
        <v>1</v>
      </c>
      <c r="J54">
        <f t="shared" si="22"/>
        <v>0.3504146869321097</v>
      </c>
      <c r="K54">
        <f t="shared" si="34"/>
        <v>-0.49952453092072574</v>
      </c>
      <c r="O54">
        <f t="shared" si="35"/>
        <v>0.30134118784730907</v>
      </c>
      <c r="P54">
        <f t="shared" si="36"/>
        <v>-0.16443745016420314</v>
      </c>
      <c r="Q54">
        <f t="shared" si="37"/>
        <v>0.9392304368419222</v>
      </c>
      <c r="R54">
        <f t="shared" si="23"/>
        <v>1</v>
      </c>
      <c r="AG54" s="8">
        <f t="shared" si="24"/>
        <v>-0.83298927145008861</v>
      </c>
      <c r="AH54" s="8">
        <f t="shared" si="25"/>
        <v>0.35894166797334925</v>
      </c>
      <c r="AI54" s="8">
        <f t="shared" si="26"/>
        <v>0.42105789701840368</v>
      </c>
      <c r="AJ54" s="8"/>
      <c r="AK54" s="8"/>
      <c r="AL54" s="8"/>
      <c r="AN54" s="8">
        <f t="shared" si="38"/>
        <v>1</v>
      </c>
      <c r="AO54" s="8">
        <f t="shared" si="39"/>
        <v>2.7347286123754317</v>
      </c>
      <c r="AP54" s="8">
        <f t="shared" si="40"/>
        <v>1.1361849960757728</v>
      </c>
      <c r="AQ54" s="8"/>
      <c r="AR54" s="8">
        <f t="shared" si="41"/>
        <v>156.6884076027803</v>
      </c>
      <c r="AS54" s="8">
        <f t="shared" si="42"/>
        <v>24.901394978770213</v>
      </c>
    </row>
    <row r="55" spans="1:45">
      <c r="A55" s="19">
        <v>18.618600000000001</v>
      </c>
      <c r="B55" s="19">
        <v>1442.450116</v>
      </c>
      <c r="C55" s="19">
        <v>-803.1647332</v>
      </c>
      <c r="E55" s="9">
        <f t="shared" si="32"/>
        <v>482.45011599999998</v>
      </c>
      <c r="F55" s="9">
        <f t="shared" si="33"/>
        <v>-263.1647332</v>
      </c>
      <c r="I55">
        <v>1</v>
      </c>
      <c r="J55">
        <f t="shared" si="22"/>
        <v>0.35023516404444943</v>
      </c>
      <c r="K55">
        <f t="shared" si="34"/>
        <v>-0.49936289510093296</v>
      </c>
      <c r="O55">
        <f t="shared" si="35"/>
        <v>0.30121973442072042</v>
      </c>
      <c r="P55">
        <f t="shared" si="36"/>
        <v>-0.16430799457700565</v>
      </c>
      <c r="Q55">
        <f t="shared" si="37"/>
        <v>0.93929204963823332</v>
      </c>
      <c r="R55">
        <f t="shared" si="23"/>
        <v>1</v>
      </c>
      <c r="AG55" s="8">
        <f t="shared" si="24"/>
        <v>-0.83288548078799585</v>
      </c>
      <c r="AH55" s="8">
        <f t="shared" si="25"/>
        <v>0.35903446469286354</v>
      </c>
      <c r="AI55" s="8">
        <f t="shared" si="26"/>
        <v>0.42118407977422151</v>
      </c>
      <c r="AJ55" s="8"/>
      <c r="AK55" s="8"/>
      <c r="AL55" s="8"/>
      <c r="AN55" s="8">
        <f t="shared" si="38"/>
        <v>0.99999999999999978</v>
      </c>
      <c r="AO55" s="8">
        <f t="shared" si="39"/>
        <v>2.7345893642433876</v>
      </c>
      <c r="AP55" s="8">
        <f t="shared" si="40"/>
        <v>1.1360458757518808</v>
      </c>
      <c r="AQ55" s="8"/>
      <c r="AR55" s="8">
        <f t="shared" si="41"/>
        <v>156.68042927250912</v>
      </c>
      <c r="AS55" s="8">
        <f t="shared" si="42"/>
        <v>24.909365986173725</v>
      </c>
    </row>
    <row r="56" spans="1:45">
      <c r="A56" s="19">
        <v>18.65196667</v>
      </c>
      <c r="B56" s="19">
        <v>1440.8909510000001</v>
      </c>
      <c r="C56" s="19">
        <v>-802.49651970000002</v>
      </c>
      <c r="E56" s="9">
        <f t="shared" si="32"/>
        <v>480.89095100000009</v>
      </c>
      <c r="F56" s="9">
        <f t="shared" si="33"/>
        <v>-262.49651970000002</v>
      </c>
      <c r="I56">
        <v>1</v>
      </c>
      <c r="J56">
        <f t="shared" si="22"/>
        <v>0.34923158268557658</v>
      </c>
      <c r="K56">
        <f t="shared" si="34"/>
        <v>-0.49965496327894193</v>
      </c>
      <c r="O56">
        <f t="shared" si="35"/>
        <v>0.30034416656529295</v>
      </c>
      <c r="P56">
        <f t="shared" si="36"/>
        <v>-0.16394423365971486</v>
      </c>
      <c r="Q56">
        <f t="shared" si="37"/>
        <v>0.93963592410035512</v>
      </c>
      <c r="R56">
        <f t="shared" si="23"/>
        <v>1</v>
      </c>
      <c r="AG56" s="8">
        <f t="shared" si="24"/>
        <v>-0.83235867710101474</v>
      </c>
      <c r="AH56" s="8">
        <f t="shared" si="25"/>
        <v>0.35980354764077421</v>
      </c>
      <c r="AI56" s="8">
        <f t="shared" si="26"/>
        <v>0.42156902134734897</v>
      </c>
      <c r="AJ56" s="8"/>
      <c r="AK56" s="8"/>
      <c r="AL56" s="8"/>
      <c r="AN56" s="8">
        <f t="shared" si="38"/>
        <v>0.99999999999999978</v>
      </c>
      <c r="AO56" s="8">
        <f t="shared" si="39"/>
        <v>2.7335805404066473</v>
      </c>
      <c r="AP56" s="8">
        <f t="shared" si="40"/>
        <v>1.1356214104112992</v>
      </c>
      <c r="AQ56" s="8"/>
      <c r="AR56" s="8">
        <f t="shared" si="41"/>
        <v>156.62262792439168</v>
      </c>
      <c r="AS56" s="8">
        <f t="shared" si="42"/>
        <v>24.93368605873863</v>
      </c>
    </row>
    <row r="57" spans="1:45">
      <c r="A57" s="19">
        <v>18.685333329999999</v>
      </c>
      <c r="B57" s="19">
        <v>1441.113689</v>
      </c>
      <c r="C57" s="19">
        <v>-802.71925750000003</v>
      </c>
      <c r="E57" s="9">
        <f t="shared" si="32"/>
        <v>481.11368900000002</v>
      </c>
      <c r="F57" s="9">
        <f t="shared" si="33"/>
        <v>-262.71925750000003</v>
      </c>
      <c r="I57">
        <v>1</v>
      </c>
      <c r="J57">
        <f t="shared" si="22"/>
        <v>0.34941124531351098</v>
      </c>
      <c r="K57">
        <f t="shared" si="34"/>
        <v>-0.49981693601652333</v>
      </c>
      <c r="O57">
        <f t="shared" si="35"/>
        <v>0.30046576935396951</v>
      </c>
      <c r="P57">
        <f t="shared" si="36"/>
        <v>-0.16407378470754994</v>
      </c>
      <c r="Q57">
        <f t="shared" si="37"/>
        <v>0.93957443271848762</v>
      </c>
      <c r="R57">
        <f t="shared" si="23"/>
        <v>1</v>
      </c>
      <c r="AG57" s="8">
        <f t="shared" si="24"/>
        <v>-0.83246268179776994</v>
      </c>
      <c r="AH57" s="8">
        <f t="shared" si="25"/>
        <v>0.35971073333589587</v>
      </c>
      <c r="AI57" s="8">
        <f t="shared" si="26"/>
        <v>0.42144284516054709</v>
      </c>
      <c r="AJ57" s="8"/>
      <c r="AK57" s="8"/>
      <c r="AL57" s="8"/>
      <c r="AN57" s="8">
        <f t="shared" si="38"/>
        <v>1</v>
      </c>
      <c r="AO57" s="8">
        <f t="shared" si="39"/>
        <v>2.7337199925351214</v>
      </c>
      <c r="AP57" s="8">
        <f t="shared" si="40"/>
        <v>1.1357605509261646</v>
      </c>
      <c r="AQ57" s="8"/>
      <c r="AR57" s="8">
        <f t="shared" si="41"/>
        <v>156.63061794279736</v>
      </c>
      <c r="AS57" s="8">
        <f t="shared" si="42"/>
        <v>24.925713894477568</v>
      </c>
    </row>
    <row r="58" spans="1:45">
      <c r="A58" s="19">
        <v>18.718699999999998</v>
      </c>
      <c r="B58" s="19">
        <v>1440.8909510000001</v>
      </c>
      <c r="C58" s="19">
        <v>-802.9419954</v>
      </c>
      <c r="E58" s="9">
        <f t="shared" si="32"/>
        <v>480.89095100000009</v>
      </c>
      <c r="F58" s="9">
        <f t="shared" si="33"/>
        <v>-262.9419954</v>
      </c>
      <c r="I58">
        <v>1</v>
      </c>
      <c r="J58">
        <f t="shared" si="22"/>
        <v>0.34935854568240859</v>
      </c>
      <c r="K58">
        <f t="shared" si="34"/>
        <v>-0.50036838743272982</v>
      </c>
      <c r="O58">
        <f t="shared" si="35"/>
        <v>0.30033179958407286</v>
      </c>
      <c r="P58">
        <f t="shared" si="36"/>
        <v>-0.16421569692774068</v>
      </c>
      <c r="Q58">
        <f t="shared" si="37"/>
        <v>0.93959247285252812</v>
      </c>
      <c r="R58">
        <f t="shared" si="23"/>
        <v>1</v>
      </c>
      <c r="AG58" s="8">
        <f t="shared" si="24"/>
        <v>-0.83245902719704912</v>
      </c>
      <c r="AH58" s="8">
        <f t="shared" si="25"/>
        <v>0.35986326548827519</v>
      </c>
      <c r="AI58" s="8">
        <f t="shared" si="26"/>
        <v>0.42131982885957053</v>
      </c>
      <c r="AJ58" s="8"/>
      <c r="AK58" s="8"/>
      <c r="AL58" s="8"/>
      <c r="AN58" s="8">
        <f t="shared" si="38"/>
        <v>1</v>
      </c>
      <c r="AO58" s="8">
        <f t="shared" si="39"/>
        <v>2.7335640027083352</v>
      </c>
      <c r="AP58" s="8">
        <f t="shared" si="40"/>
        <v>1.1358961982222966</v>
      </c>
      <c r="AQ58" s="8"/>
      <c r="AR58" s="8">
        <f t="shared" si="41"/>
        <v>156.62168038407555</v>
      </c>
      <c r="AS58" s="8">
        <f t="shared" si="42"/>
        <v>24.917941876906838</v>
      </c>
    </row>
    <row r="59" spans="1:45">
      <c r="A59" s="19">
        <v>18.752066670000001</v>
      </c>
      <c r="B59" s="19">
        <v>1440.2227379999999</v>
      </c>
      <c r="C59" s="19">
        <v>-804.05568449999998</v>
      </c>
      <c r="E59" s="9">
        <f t="shared" si="32"/>
        <v>480.22273799999994</v>
      </c>
      <c r="F59" s="9">
        <f t="shared" si="33"/>
        <v>-264.05568449999998</v>
      </c>
      <c r="I59">
        <v>1</v>
      </c>
      <c r="J59">
        <f t="shared" si="22"/>
        <v>0.34932854636068023</v>
      </c>
      <c r="K59">
        <f t="shared" si="34"/>
        <v>-0.50273637418584116</v>
      </c>
      <c r="O59">
        <f t="shared" si="35"/>
        <v>0.29991739771460857</v>
      </c>
      <c r="P59">
        <f t="shared" si="36"/>
        <v>-0.1649128362326519</v>
      </c>
      <c r="Q59">
        <f t="shared" si="37"/>
        <v>0.93960274105272801</v>
      </c>
      <c r="R59">
        <f t="shared" si="23"/>
        <v>1</v>
      </c>
      <c r="AG59" s="8">
        <f t="shared" si="24"/>
        <v>-0.83254806455478658</v>
      </c>
      <c r="AH59" s="8">
        <f t="shared" si="25"/>
        <v>0.36038042687482924</v>
      </c>
      <c r="AI59" s="8">
        <f t="shared" si="26"/>
        <v>0.4207014002016094</v>
      </c>
      <c r="AJ59" s="8"/>
      <c r="AK59" s="8"/>
      <c r="AL59" s="8"/>
      <c r="AN59" s="8">
        <f t="shared" si="38"/>
        <v>1</v>
      </c>
      <c r="AO59" s="8">
        <f t="shared" si="39"/>
        <v>2.7330796825113857</v>
      </c>
      <c r="AP59" s="8">
        <f t="shared" si="40"/>
        <v>1.1365779961210731</v>
      </c>
      <c r="AQ59" s="8"/>
      <c r="AR59" s="8">
        <f t="shared" si="41"/>
        <v>156.59393088085739</v>
      </c>
      <c r="AS59" s="8">
        <f t="shared" si="42"/>
        <v>24.878877734826062</v>
      </c>
    </row>
    <row r="60" spans="1:45">
      <c r="A60" s="19">
        <v>18.78543333</v>
      </c>
      <c r="B60" s="19">
        <v>1440.2227379999999</v>
      </c>
      <c r="C60" s="19">
        <v>-804.05568449999998</v>
      </c>
      <c r="E60" s="9">
        <f t="shared" si="32"/>
        <v>480.22273799999994</v>
      </c>
      <c r="F60" s="9">
        <f t="shared" si="33"/>
        <v>-264.05568449999998</v>
      </c>
      <c r="I60">
        <v>1</v>
      </c>
      <c r="J60">
        <f t="shared" si="22"/>
        <v>0.34932854636068023</v>
      </c>
      <c r="K60">
        <f t="shared" si="34"/>
        <v>-0.50273637418584116</v>
      </c>
      <c r="O60">
        <f t="shared" si="35"/>
        <v>0.29991739771460857</v>
      </c>
      <c r="P60">
        <f t="shared" si="36"/>
        <v>-0.1649128362326519</v>
      </c>
      <c r="Q60">
        <f t="shared" si="37"/>
        <v>0.93960274105272801</v>
      </c>
      <c r="R60">
        <f t="shared" si="23"/>
        <v>1</v>
      </c>
      <c r="AG60" s="8">
        <f t="shared" si="24"/>
        <v>-0.83254806455478658</v>
      </c>
      <c r="AH60" s="8">
        <f t="shared" si="25"/>
        <v>0.36038042687482924</v>
      </c>
      <c r="AI60" s="8">
        <f t="shared" si="26"/>
        <v>0.4207014002016094</v>
      </c>
      <c r="AJ60" s="8"/>
      <c r="AK60" s="8"/>
      <c r="AL60" s="8"/>
      <c r="AN60" s="8">
        <f t="shared" si="38"/>
        <v>1</v>
      </c>
      <c r="AO60" s="8">
        <f t="shared" si="39"/>
        <v>2.7330796825113857</v>
      </c>
      <c r="AP60" s="8">
        <f t="shared" si="40"/>
        <v>1.1365779961210731</v>
      </c>
      <c r="AQ60" s="8"/>
      <c r="AR60" s="8">
        <f t="shared" si="41"/>
        <v>156.59393088085739</v>
      </c>
      <c r="AS60" s="8">
        <f t="shared" si="42"/>
        <v>24.878877734826062</v>
      </c>
    </row>
    <row r="61" spans="1:45">
      <c r="A61" s="19">
        <v>18.8188</v>
      </c>
      <c r="B61" s="19">
        <v>1440.2227379999999</v>
      </c>
      <c r="C61" s="19">
        <v>-804.05568449999998</v>
      </c>
      <c r="E61" s="9">
        <f t="shared" si="32"/>
        <v>480.22273799999994</v>
      </c>
      <c r="F61" s="9">
        <f t="shared" si="33"/>
        <v>-264.05568449999998</v>
      </c>
      <c r="I61">
        <v>1</v>
      </c>
      <c r="J61">
        <f t="shared" si="22"/>
        <v>0.34932854636068023</v>
      </c>
      <c r="K61">
        <f t="shared" si="34"/>
        <v>-0.50273637418584116</v>
      </c>
      <c r="O61">
        <f t="shared" si="35"/>
        <v>0.29991739771460857</v>
      </c>
      <c r="P61">
        <f t="shared" si="36"/>
        <v>-0.1649128362326519</v>
      </c>
      <c r="Q61">
        <f t="shared" si="37"/>
        <v>0.93960274105272801</v>
      </c>
      <c r="R61">
        <f t="shared" si="23"/>
        <v>1</v>
      </c>
      <c r="AG61" s="8">
        <f t="shared" si="24"/>
        <v>-0.83254806455478658</v>
      </c>
      <c r="AH61" s="8">
        <f t="shared" si="25"/>
        <v>0.36038042687482924</v>
      </c>
      <c r="AI61" s="8">
        <f t="shared" si="26"/>
        <v>0.4207014002016094</v>
      </c>
      <c r="AJ61" s="8"/>
      <c r="AK61" s="8"/>
      <c r="AL61" s="8"/>
      <c r="AN61" s="8">
        <f t="shared" si="38"/>
        <v>1</v>
      </c>
      <c r="AO61" s="8">
        <f t="shared" si="39"/>
        <v>2.7330796825113857</v>
      </c>
      <c r="AP61" s="8">
        <f t="shared" si="40"/>
        <v>1.1365779961210731</v>
      </c>
      <c r="AQ61" s="8"/>
      <c r="AR61" s="8">
        <f t="shared" si="41"/>
        <v>156.59393088085739</v>
      </c>
      <c r="AS61" s="8">
        <f t="shared" si="42"/>
        <v>24.878877734826062</v>
      </c>
    </row>
    <row r="62" spans="1:45">
      <c r="A62" s="19">
        <v>18.852166669999999</v>
      </c>
      <c r="B62" s="19">
        <v>1438.886311</v>
      </c>
      <c r="C62" s="19">
        <v>-803.1647332</v>
      </c>
      <c r="E62" s="9">
        <f t="shared" si="32"/>
        <v>478.88631099999998</v>
      </c>
      <c r="F62" s="9">
        <f t="shared" si="33"/>
        <v>-263.1647332</v>
      </c>
      <c r="I62">
        <v>1</v>
      </c>
      <c r="J62">
        <f t="shared" si="22"/>
        <v>0.34837692285422484</v>
      </c>
      <c r="K62">
        <f t="shared" si="34"/>
        <v>-0.50248604571347466</v>
      </c>
      <c r="O62">
        <f t="shared" si="35"/>
        <v>0.29917491438886606</v>
      </c>
      <c r="P62">
        <f t="shared" si="36"/>
        <v>-0.16440705177158171</v>
      </c>
      <c r="Q62">
        <f t="shared" si="37"/>
        <v>0.93992802486583571</v>
      </c>
      <c r="R62">
        <f t="shared" si="23"/>
        <v>1</v>
      </c>
      <c r="AG62" s="8">
        <f t="shared" si="24"/>
        <v>-0.83202397256855831</v>
      </c>
      <c r="AH62" s="8">
        <f t="shared" si="25"/>
        <v>0.3609973061113555</v>
      </c>
      <c r="AI62" s="8">
        <f t="shared" si="26"/>
        <v>0.42120903842579055</v>
      </c>
      <c r="AJ62" s="8"/>
      <c r="AK62" s="8"/>
      <c r="AL62" s="8"/>
      <c r="AN62" s="8">
        <f t="shared" si="38"/>
        <v>0.99999999999999978</v>
      </c>
      <c r="AO62" s="8">
        <f t="shared" si="39"/>
        <v>2.7322259427366236</v>
      </c>
      <c r="AP62" s="8">
        <f t="shared" si="40"/>
        <v>1.136018357015212</v>
      </c>
      <c r="AQ62" s="8"/>
      <c r="AR62" s="8">
        <f t="shared" si="41"/>
        <v>156.54501519496108</v>
      </c>
      <c r="AS62" s="8">
        <f t="shared" si="42"/>
        <v>24.910942693642369</v>
      </c>
    </row>
    <row r="63" spans="1:45">
      <c r="A63" s="19">
        <v>18.885533330000001</v>
      </c>
      <c r="B63" s="19">
        <v>1438.2180969999999</v>
      </c>
      <c r="C63" s="19">
        <v>-803.38747100000001</v>
      </c>
      <c r="E63" s="9">
        <f t="shared" si="32"/>
        <v>478.21809699999994</v>
      </c>
      <c r="F63" s="9">
        <f t="shared" si="33"/>
        <v>-263.38747100000001</v>
      </c>
      <c r="I63">
        <v>1</v>
      </c>
      <c r="J63">
        <f t="shared" si="22"/>
        <v>0.34809250543678155</v>
      </c>
      <c r="K63">
        <f t="shared" si="34"/>
        <v>-0.50343304994693328</v>
      </c>
      <c r="O63">
        <f t="shared" si="35"/>
        <v>0.29878490956049159</v>
      </c>
      <c r="P63">
        <f t="shared" si="36"/>
        <v>-0.16456132086130906</v>
      </c>
      <c r="Q63">
        <f t="shared" si="37"/>
        <v>0.94002507918422584</v>
      </c>
      <c r="R63">
        <f t="shared" si="23"/>
        <v>1</v>
      </c>
      <c r="AG63" s="8">
        <f t="shared" si="24"/>
        <v>-0.83191205532194656</v>
      </c>
      <c r="AH63" s="8">
        <f t="shared" si="25"/>
        <v>0.36139523819186364</v>
      </c>
      <c r="AI63" s="8">
        <f t="shared" si="26"/>
        <v>0.42108884338374558</v>
      </c>
      <c r="AJ63" s="8"/>
      <c r="AK63" s="8"/>
      <c r="AL63" s="8"/>
      <c r="AN63" s="8">
        <f t="shared" si="38"/>
        <v>0.99999999999999989</v>
      </c>
      <c r="AO63" s="8">
        <f t="shared" si="39"/>
        <v>2.731774355439835</v>
      </c>
      <c r="AP63" s="8">
        <f t="shared" si="40"/>
        <v>1.1361508775989551</v>
      </c>
      <c r="AQ63" s="8"/>
      <c r="AR63" s="8">
        <f t="shared" si="41"/>
        <v>156.51914114877337</v>
      </c>
      <c r="AS63" s="8">
        <f t="shared" si="42"/>
        <v>24.90334982349529</v>
      </c>
    </row>
    <row r="64" spans="1:45">
      <c r="A64" s="19">
        <v>21.454766670000001</v>
      </c>
      <c r="B64" s="19">
        <v>1403.0255219999999</v>
      </c>
      <c r="C64" s="19">
        <v>-801.82830630000001</v>
      </c>
      <c r="E64" s="9">
        <f t="shared" si="32"/>
        <v>443.02552199999991</v>
      </c>
      <c r="F64" s="9">
        <f t="shared" si="33"/>
        <v>-261.82830630000001</v>
      </c>
      <c r="I64">
        <v>1</v>
      </c>
      <c r="J64">
        <f t="shared" si="22"/>
        <v>0.32932813827322927</v>
      </c>
      <c r="K64">
        <f t="shared" si="34"/>
        <v>-0.5337759429911153</v>
      </c>
      <c r="O64">
        <f t="shared" si="35"/>
        <v>0.27841881574957217</v>
      </c>
      <c r="P64">
        <f t="shared" si="36"/>
        <v>-0.16454566012511182</v>
      </c>
      <c r="Q64">
        <f t="shared" si="37"/>
        <v>0.94625984209972525</v>
      </c>
      <c r="R64">
        <f t="shared" ref="R64:R90" si="43">SQRT(O64^2+P64^2+Q64^2)</f>
        <v>1</v>
      </c>
      <c r="AG64" s="8">
        <f t="shared" si="24"/>
        <v>-0.8227768769932251</v>
      </c>
      <c r="AH64" s="8">
        <f t="shared" si="25"/>
        <v>0.38060877809111548</v>
      </c>
      <c r="AI64" s="8">
        <f t="shared" si="26"/>
        <v>0.42210800599522297</v>
      </c>
      <c r="AJ64" s="8"/>
      <c r="AK64" s="8"/>
      <c r="AL64" s="8"/>
      <c r="AN64" s="8">
        <f t="shared" si="38"/>
        <v>0.99999999999999989</v>
      </c>
      <c r="AO64" s="8">
        <f t="shared" si="39"/>
        <v>2.7083179238320194</v>
      </c>
      <c r="AP64" s="8">
        <f t="shared" si="40"/>
        <v>1.1350269448641894</v>
      </c>
      <c r="AQ64" s="8"/>
      <c r="AR64" s="8">
        <f t="shared" si="41"/>
        <v>155.17518661520828</v>
      </c>
      <c r="AS64" s="8">
        <f t="shared" si="42"/>
        <v>24.967746425653957</v>
      </c>
    </row>
    <row r="65" spans="1:45">
      <c r="A65" s="19">
        <v>22.68933333</v>
      </c>
      <c r="B65" s="19">
        <v>1386.542923</v>
      </c>
      <c r="C65" s="19">
        <v>-801.16009280000003</v>
      </c>
      <c r="E65" s="9">
        <f t="shared" si="32"/>
        <v>426.54292299999997</v>
      </c>
      <c r="F65" s="9">
        <f t="shared" si="33"/>
        <v>-261.16009280000003</v>
      </c>
      <c r="I65">
        <v>1</v>
      </c>
      <c r="J65">
        <f t="shared" si="22"/>
        <v>0.32058788369681063</v>
      </c>
      <c r="K65">
        <f t="shared" si="34"/>
        <v>-0.54939386355463538</v>
      </c>
      <c r="O65">
        <f t="shared" si="35"/>
        <v>0.26875119151463178</v>
      </c>
      <c r="P65">
        <f t="shared" si="36"/>
        <v>-0.16454870619450368</v>
      </c>
      <c r="Q65">
        <f t="shared" si="37"/>
        <v>0.94905032550923274</v>
      </c>
      <c r="R65">
        <f t="shared" si="43"/>
        <v>1</v>
      </c>
      <c r="AG65" s="8">
        <f t="shared" si="24"/>
        <v>-0.81834455359498881</v>
      </c>
      <c r="AH65" s="8">
        <f t="shared" si="25"/>
        <v>0.3896342283903404</v>
      </c>
      <c r="AI65" s="8">
        <f t="shared" si="26"/>
        <v>0.42248947876613752</v>
      </c>
      <c r="AJ65" s="8"/>
      <c r="AK65" s="8"/>
      <c r="AL65" s="8"/>
      <c r="AN65" s="8">
        <f t="shared" si="38"/>
        <v>1</v>
      </c>
      <c r="AO65" s="8">
        <f t="shared" si="39"/>
        <v>2.6972268903403873</v>
      </c>
      <c r="AP65" s="8">
        <f t="shared" si="40"/>
        <v>1.1346061053798822</v>
      </c>
      <c r="AQ65" s="8"/>
      <c r="AR65" s="8">
        <f t="shared" si="41"/>
        <v>154.5397172056995</v>
      </c>
      <c r="AS65" s="8">
        <f t="shared" si="42"/>
        <v>24.991858751957224</v>
      </c>
    </row>
    <row r="66" spans="1:45">
      <c r="A66" s="19">
        <v>24.457766670000002</v>
      </c>
      <c r="B66" s="19">
        <v>1362.2645010000001</v>
      </c>
      <c r="C66" s="19">
        <v>-800.04640370000004</v>
      </c>
      <c r="E66" s="9">
        <f t="shared" si="32"/>
        <v>402.26450100000011</v>
      </c>
      <c r="F66" s="9">
        <f t="shared" si="33"/>
        <v>-260.04640370000004</v>
      </c>
      <c r="I66">
        <v>1</v>
      </c>
      <c r="J66">
        <f t="shared" si="22"/>
        <v>0.30772997669695357</v>
      </c>
      <c r="K66">
        <f t="shared" si="34"/>
        <v>-0.57387997762329668</v>
      </c>
      <c r="O66">
        <f t="shared" si="35"/>
        <v>0.25437235592335905</v>
      </c>
      <c r="P66">
        <f t="shared" si="36"/>
        <v>-0.16444060113215389</v>
      </c>
      <c r="Q66">
        <f t="shared" si="37"/>
        <v>0.95302360581535217</v>
      </c>
      <c r="R66">
        <f t="shared" si="43"/>
        <v>1</v>
      </c>
      <c r="AG66" s="8">
        <f t="shared" si="24"/>
        <v>-0.81159076622864623</v>
      </c>
      <c r="AH66" s="8">
        <f t="shared" si="25"/>
        <v>0.40292407343080527</v>
      </c>
      <c r="AI66" s="8">
        <f t="shared" si="26"/>
        <v>0.42305155622255541</v>
      </c>
      <c r="AJ66" s="8"/>
      <c r="AK66" s="8"/>
      <c r="AL66" s="8"/>
      <c r="AN66" s="8">
        <f t="shared" si="38"/>
        <v>1</v>
      </c>
      <c r="AO66" s="8">
        <f t="shared" si="39"/>
        <v>2.6807793509415081</v>
      </c>
      <c r="AP66" s="8">
        <f t="shared" si="40"/>
        <v>1.1339858729110817</v>
      </c>
      <c r="AQ66" s="8"/>
      <c r="AR66" s="8">
        <f t="shared" si="41"/>
        <v>153.59734261476859</v>
      </c>
      <c r="AS66" s="8">
        <f t="shared" si="42"/>
        <v>25.027395454736478</v>
      </c>
    </row>
    <row r="67" spans="1:45">
      <c r="A67" s="19">
        <v>24.49113333</v>
      </c>
      <c r="B67" s="19">
        <v>1361.596288</v>
      </c>
      <c r="C67" s="19">
        <v>-800.04640370000004</v>
      </c>
      <c r="E67" s="9">
        <f t="shared" si="32"/>
        <v>401.59628799999996</v>
      </c>
      <c r="F67" s="9">
        <f t="shared" si="33"/>
        <v>-260.04640370000004</v>
      </c>
      <c r="I67">
        <v>1</v>
      </c>
      <c r="J67">
        <f t="shared" si="22"/>
        <v>0.30738744556030911</v>
      </c>
      <c r="K67">
        <f t="shared" si="34"/>
        <v>-0.57463821295259376</v>
      </c>
      <c r="O67">
        <f t="shared" si="35"/>
        <v>0.25397357286773098</v>
      </c>
      <c r="P67">
        <f t="shared" si="36"/>
        <v>-0.16445598784790896</v>
      </c>
      <c r="Q67">
        <f t="shared" si="37"/>
        <v>0.95312730122778866</v>
      </c>
      <c r="R67">
        <f t="shared" si="43"/>
        <v>1</v>
      </c>
      <c r="AG67" s="8">
        <f t="shared" si="24"/>
        <v>-0.81140865482372848</v>
      </c>
      <c r="AH67" s="8">
        <f t="shared" si="25"/>
        <v>0.40329399623365381</v>
      </c>
      <c r="AI67" s="8">
        <f t="shared" si="26"/>
        <v>0.42304839850664505</v>
      </c>
      <c r="AJ67" s="8"/>
      <c r="AK67" s="8"/>
      <c r="AL67" s="8"/>
      <c r="AN67" s="8">
        <f t="shared" si="38"/>
        <v>1</v>
      </c>
      <c r="AO67" s="8">
        <f t="shared" si="39"/>
        <v>2.6803243083767176</v>
      </c>
      <c r="AP67" s="8">
        <f t="shared" si="40"/>
        <v>1.1339893578396576</v>
      </c>
      <c r="AQ67" s="8"/>
      <c r="AR67" s="8">
        <f t="shared" si="41"/>
        <v>153.57127059630727</v>
      </c>
      <c r="AS67" s="8">
        <f t="shared" si="42"/>
        <v>25.027195783037172</v>
      </c>
    </row>
    <row r="68" spans="1:45">
      <c r="A68" s="19">
        <v>24.5245</v>
      </c>
      <c r="B68" s="19">
        <v>1361.8190259999999</v>
      </c>
      <c r="C68" s="19">
        <v>-800.04640370000004</v>
      </c>
      <c r="E68" s="9">
        <f t="shared" si="32"/>
        <v>401.81902599999989</v>
      </c>
      <c r="F68" s="9">
        <f t="shared" si="33"/>
        <v>-260.04640370000004</v>
      </c>
      <c r="I68">
        <v>1</v>
      </c>
      <c r="J68">
        <f t="shared" si="22"/>
        <v>0.30750161180316382</v>
      </c>
      <c r="K68">
        <f t="shared" si="34"/>
        <v>-0.57438526996387607</v>
      </c>
      <c r="O68">
        <f t="shared" si="35"/>
        <v>0.25410651411626167</v>
      </c>
      <c r="P68">
        <f t="shared" si="36"/>
        <v>-0.16445086189790617</v>
      </c>
      <c r="Q68">
        <f t="shared" si="37"/>
        <v>0.95309275178479769</v>
      </c>
      <c r="R68">
        <f t="shared" si="43"/>
        <v>1</v>
      </c>
      <c r="AG68" s="8">
        <f t="shared" si="24"/>
        <v>-0.81146937802989383</v>
      </c>
      <c r="AH68" s="8">
        <f t="shared" si="25"/>
        <v>0.40317068815367069</v>
      </c>
      <c r="AI68" s="8">
        <f t="shared" si="26"/>
        <v>0.42304945896841994</v>
      </c>
      <c r="AJ68" s="8"/>
      <c r="AK68" s="8"/>
      <c r="AL68" s="8"/>
      <c r="AN68" s="8">
        <f t="shared" si="38"/>
        <v>0.99999999999999989</v>
      </c>
      <c r="AO68" s="8">
        <f t="shared" si="39"/>
        <v>2.6804759990681051</v>
      </c>
      <c r="AP68" s="8">
        <f t="shared" si="40"/>
        <v>1.1339881874900595</v>
      </c>
      <c r="AQ68" s="8"/>
      <c r="AR68" s="8">
        <f t="shared" si="41"/>
        <v>153.57996183271521</v>
      </c>
      <c r="AS68" s="8">
        <f t="shared" si="42"/>
        <v>25.027262839129691</v>
      </c>
    </row>
    <row r="69" spans="1:45">
      <c r="A69" s="19">
        <v>24.557866669999999</v>
      </c>
      <c r="B69" s="19">
        <v>1360.9280739999999</v>
      </c>
      <c r="C69" s="19">
        <v>-800.04640370000004</v>
      </c>
      <c r="E69" s="9">
        <f t="shared" si="32"/>
        <v>400.92807399999992</v>
      </c>
      <c r="F69" s="9">
        <f t="shared" si="33"/>
        <v>-260.04640370000004</v>
      </c>
      <c r="I69">
        <v>1</v>
      </c>
      <c r="J69">
        <f t="shared" si="22"/>
        <v>0.30704501301081022</v>
      </c>
      <c r="K69">
        <f t="shared" si="34"/>
        <v>-0.57539822931838336</v>
      </c>
      <c r="O69">
        <f t="shared" si="35"/>
        <v>0.25357466901149289</v>
      </c>
      <c r="P69">
        <f t="shared" si="36"/>
        <v>-0.16447134791029022</v>
      </c>
      <c r="Q69">
        <f t="shared" si="37"/>
        <v>0.95323085501481963</v>
      </c>
      <c r="R69">
        <f t="shared" si="43"/>
        <v>1</v>
      </c>
      <c r="AG69" s="8">
        <f t="shared" si="24"/>
        <v>-0.81122636932729542</v>
      </c>
      <c r="AH69" s="8">
        <f t="shared" si="25"/>
        <v>0.40366392214234242</v>
      </c>
      <c r="AI69" s="8">
        <f t="shared" si="26"/>
        <v>0.42304516977353079</v>
      </c>
      <c r="AJ69" s="8"/>
      <c r="AK69" s="8"/>
      <c r="AL69" s="8"/>
      <c r="AN69" s="8">
        <f t="shared" si="38"/>
        <v>1</v>
      </c>
      <c r="AO69" s="8">
        <f t="shared" si="39"/>
        <v>2.6798691787254274</v>
      </c>
      <c r="AP69" s="8">
        <f t="shared" si="40"/>
        <v>1.1339929211386055</v>
      </c>
      <c r="AQ69" s="8"/>
      <c r="AR69" s="8">
        <f t="shared" si="41"/>
        <v>153.5451935881571</v>
      </c>
      <c r="AS69" s="8">
        <f t="shared" si="42"/>
        <v>25.026991621046307</v>
      </c>
    </row>
    <row r="70" spans="1:45">
      <c r="A70" s="19">
        <v>24.591233330000001</v>
      </c>
      <c r="B70" s="19">
        <v>1361.1508120000001</v>
      </c>
      <c r="C70" s="19">
        <v>-799.82366590000004</v>
      </c>
      <c r="E70" s="9">
        <f t="shared" si="32"/>
        <v>401.15081200000009</v>
      </c>
      <c r="F70" s="9">
        <f t="shared" si="33"/>
        <v>-259.82366590000004</v>
      </c>
      <c r="I70">
        <v>1</v>
      </c>
      <c r="J70">
        <f t="shared" si="22"/>
        <v>0.30708517640650324</v>
      </c>
      <c r="K70">
        <f t="shared" si="34"/>
        <v>-0.57475363743881136</v>
      </c>
      <c r="O70">
        <f t="shared" si="35"/>
        <v>0.25371276661056208</v>
      </c>
      <c r="P70">
        <f t="shared" si="36"/>
        <v>-0.16432867424031877</v>
      </c>
      <c r="Q70">
        <f t="shared" si="37"/>
        <v>0.95321871513374812</v>
      </c>
      <c r="R70">
        <f t="shared" si="43"/>
        <v>1</v>
      </c>
      <c r="AG70" s="8">
        <f t="shared" si="24"/>
        <v>-0.81123578070663582</v>
      </c>
      <c r="AH70" s="8">
        <f t="shared" si="25"/>
        <v>0.40351143391327743</v>
      </c>
      <c r="AI70" s="8">
        <f t="shared" si="26"/>
        <v>0.42317257803707664</v>
      </c>
      <c r="AJ70" s="8"/>
      <c r="AK70" s="8"/>
      <c r="AL70" s="8"/>
      <c r="AN70" s="8">
        <f t="shared" si="38"/>
        <v>0.99999999999999989</v>
      </c>
      <c r="AO70" s="8">
        <f t="shared" si="39"/>
        <v>2.6800244829739563</v>
      </c>
      <c r="AP70" s="8">
        <f t="shared" si="40"/>
        <v>1.1338523061536696</v>
      </c>
      <c r="AQ70" s="8"/>
      <c r="AR70" s="8">
        <f t="shared" si="41"/>
        <v>153.55409186613826</v>
      </c>
      <c r="AS70" s="8">
        <f t="shared" si="42"/>
        <v>25.035048266219434</v>
      </c>
    </row>
    <row r="71" spans="1:45">
      <c r="A71" s="19">
        <v>26.259566670000002</v>
      </c>
      <c r="B71" s="19">
        <v>1337.317865</v>
      </c>
      <c r="C71" s="19">
        <v>-799.15545239999994</v>
      </c>
      <c r="E71" s="9">
        <f t="shared" si="32"/>
        <v>377.31786499999998</v>
      </c>
      <c r="F71" s="9">
        <f t="shared" si="33"/>
        <v>-259.15545239999994</v>
      </c>
      <c r="I71">
        <v>1</v>
      </c>
      <c r="J71">
        <f t="shared" si="22"/>
        <v>0.29470503913594814</v>
      </c>
      <c r="K71">
        <f t="shared" si="34"/>
        <v>-0.60183624707611172</v>
      </c>
      <c r="O71">
        <f t="shared" si="35"/>
        <v>0.2394234598505843</v>
      </c>
      <c r="P71">
        <f t="shared" si="36"/>
        <v>-0.16444462562818596</v>
      </c>
      <c r="Q71">
        <f t="shared" si="37"/>
        <v>0.95688785757536987</v>
      </c>
      <c r="R71">
        <f t="shared" si="43"/>
        <v>1</v>
      </c>
      <c r="AG71" s="8">
        <f t="shared" si="24"/>
        <v>-0.80446737977831173</v>
      </c>
      <c r="AH71" s="8">
        <f t="shared" si="25"/>
        <v>0.41661871386652888</v>
      </c>
      <c r="AI71" s="8">
        <f t="shared" si="26"/>
        <v>0.42339235010663212</v>
      </c>
      <c r="AJ71" s="8"/>
      <c r="AK71" s="8"/>
      <c r="AL71" s="8"/>
      <c r="AN71" s="8">
        <f t="shared" si="38"/>
        <v>1</v>
      </c>
      <c r="AO71" s="8">
        <f t="shared" si="39"/>
        <v>2.6637424506467249</v>
      </c>
      <c r="AP71" s="8">
        <f t="shared" si="40"/>
        <v>1.1336097315268758</v>
      </c>
      <c r="AQ71" s="8"/>
      <c r="AR71" s="8">
        <f t="shared" si="41"/>
        <v>152.62120013189232</v>
      </c>
      <c r="AS71" s="8">
        <f t="shared" si="42"/>
        <v>25.048946768551673</v>
      </c>
    </row>
    <row r="72" spans="1:45">
      <c r="A72" s="19">
        <v>26.29293333</v>
      </c>
      <c r="B72" s="19">
        <v>1337.1341480000001</v>
      </c>
      <c r="C72" s="19">
        <v>-799.12911799999995</v>
      </c>
      <c r="E72" s="9">
        <f t="shared" si="32"/>
        <v>377.1341480000001</v>
      </c>
      <c r="F72" s="9">
        <f t="shared" si="33"/>
        <v>-259.12911799999995</v>
      </c>
      <c r="I72">
        <v>1</v>
      </c>
      <c r="J72">
        <f t="shared" si="22"/>
        <v>0.29460272455194197</v>
      </c>
      <c r="K72">
        <f t="shared" si="34"/>
        <v>-0.60201611850715731</v>
      </c>
      <c r="O72">
        <f t="shared" si="35"/>
        <v>0.23931318413688196</v>
      </c>
      <c r="P72">
        <f t="shared" si="36"/>
        <v>-0.1644322442293446</v>
      </c>
      <c r="Q72">
        <f t="shared" si="37"/>
        <v>0.95691757061722305</v>
      </c>
      <c r="R72">
        <f t="shared" si="43"/>
        <v>1</v>
      </c>
      <c r="AG72" s="8">
        <f t="shared" si="24"/>
        <v>-0.80440942079778743</v>
      </c>
      <c r="AH72" s="8">
        <f t="shared" si="25"/>
        <v>0.41671698849915528</v>
      </c>
      <c r="AI72" s="8">
        <f t="shared" si="26"/>
        <v>0.42340575719747009</v>
      </c>
      <c r="AJ72" s="8"/>
      <c r="AK72" s="8"/>
      <c r="AL72" s="8"/>
      <c r="AN72" s="8">
        <f t="shared" si="38"/>
        <v>1</v>
      </c>
      <c r="AO72" s="8">
        <f t="shared" si="39"/>
        <v>2.6636167026847697</v>
      </c>
      <c r="AP72" s="8">
        <f t="shared" si="40"/>
        <v>1.1335949324870094</v>
      </c>
      <c r="AQ72" s="8"/>
      <c r="AR72" s="8">
        <f t="shared" si="41"/>
        <v>152.6139953043899</v>
      </c>
      <c r="AS72" s="8">
        <f t="shared" si="42"/>
        <v>25.049794691076869</v>
      </c>
    </row>
    <row r="73" spans="1:45">
      <c r="A73" s="19">
        <v>26.3263</v>
      </c>
      <c r="B73" s="19">
        <v>1337.2219190000001</v>
      </c>
      <c r="C73" s="19">
        <v>-799.16549410000005</v>
      </c>
      <c r="E73" s="9">
        <f t="shared" si="32"/>
        <v>377.22191900000007</v>
      </c>
      <c r="F73" s="9">
        <f t="shared" si="33"/>
        <v>-259.16549410000005</v>
      </c>
      <c r="I73">
        <v>1</v>
      </c>
      <c r="J73">
        <f t="shared" si="22"/>
        <v>0.29465989275208587</v>
      </c>
      <c r="K73">
        <f t="shared" si="34"/>
        <v>-0.60197302173141543</v>
      </c>
      <c r="O73">
        <f t="shared" si="35"/>
        <v>0.23936535918619872</v>
      </c>
      <c r="P73">
        <f t="shared" si="36"/>
        <v>-0.16445290811405677</v>
      </c>
      <c r="Q73">
        <f t="shared" si="37"/>
        <v>0.9569009697113342</v>
      </c>
      <c r="R73">
        <f t="shared" si="43"/>
        <v>1</v>
      </c>
      <c r="AG73" s="8">
        <f t="shared" si="24"/>
        <v>-0.80444263868778776</v>
      </c>
      <c r="AH73" s="8">
        <f t="shared" si="25"/>
        <v>0.41667313164262326</v>
      </c>
      <c r="AI73" s="8">
        <f t="shared" si="26"/>
        <v>0.4233858080145797</v>
      </c>
      <c r="AJ73" s="8"/>
      <c r="AK73" s="8"/>
      <c r="AL73" s="8"/>
      <c r="AN73" s="8">
        <f t="shared" si="38"/>
        <v>1</v>
      </c>
      <c r="AO73" s="8">
        <f t="shared" si="39"/>
        <v>2.6636765530227704</v>
      </c>
      <c r="AP73" s="8">
        <f t="shared" si="40"/>
        <v>1.1336169527938966</v>
      </c>
      <c r="AQ73" s="8"/>
      <c r="AR73" s="8">
        <f t="shared" si="41"/>
        <v>152.61742447615978</v>
      </c>
      <c r="AS73" s="8">
        <f t="shared" si="42"/>
        <v>25.04853302042865</v>
      </c>
    </row>
    <row r="74" spans="1:45">
      <c r="A74" s="19">
        <v>26.359666669999999</v>
      </c>
      <c r="B74" s="19">
        <v>1336.547957</v>
      </c>
      <c r="C74" s="19">
        <v>-799.17002070000001</v>
      </c>
      <c r="E74" s="9">
        <f t="shared" si="32"/>
        <v>376.547957</v>
      </c>
      <c r="F74" s="9">
        <f t="shared" si="33"/>
        <v>-259.17002070000001</v>
      </c>
      <c r="I74">
        <v>1</v>
      </c>
      <c r="J74">
        <f t="shared" si="22"/>
        <v>0.29431985707983011</v>
      </c>
      <c r="K74">
        <f t="shared" si="34"/>
        <v>-0.60281607477464916</v>
      </c>
      <c r="O74">
        <f t="shared" si="35"/>
        <v>0.23895858814772075</v>
      </c>
      <c r="P74">
        <f t="shared" si="36"/>
        <v>-0.16447015867539966</v>
      </c>
      <c r="Q74">
        <f t="shared" si="37"/>
        <v>0.95699966565079675</v>
      </c>
      <c r="R74">
        <f t="shared" si="43"/>
        <v>1</v>
      </c>
      <c r="AG74" s="8">
        <f t="shared" si="24"/>
        <v>-0.80425341724771648</v>
      </c>
      <c r="AH74" s="8">
        <f t="shared" si="25"/>
        <v>0.41704679653502508</v>
      </c>
      <c r="AI74" s="8">
        <f t="shared" si="26"/>
        <v>0.4233773852548619</v>
      </c>
      <c r="AJ74" s="8"/>
      <c r="AK74" s="8"/>
      <c r="AL74" s="8"/>
      <c r="AN74" s="8">
        <f t="shared" si="38"/>
        <v>0.99999999999999989</v>
      </c>
      <c r="AO74" s="8">
        <f t="shared" si="39"/>
        <v>2.6632142485582575</v>
      </c>
      <c r="AP74" s="8">
        <f t="shared" si="40"/>
        <v>1.1336262499364194</v>
      </c>
      <c r="AQ74" s="8"/>
      <c r="AR74" s="8">
        <f t="shared" si="41"/>
        <v>152.59093638149315</v>
      </c>
      <c r="AS74" s="8">
        <f t="shared" si="42"/>
        <v>25.048000333400566</v>
      </c>
    </row>
    <row r="75" spans="1:45">
      <c r="A75" s="19">
        <v>26.393033330000002</v>
      </c>
      <c r="B75" s="19">
        <v>1336.1997710000001</v>
      </c>
      <c r="C75" s="19">
        <v>-799.19383500000004</v>
      </c>
      <c r="E75" s="9">
        <f t="shared" si="32"/>
        <v>376.19977100000006</v>
      </c>
      <c r="F75" s="9">
        <f t="shared" si="33"/>
        <v>-259.19383500000004</v>
      </c>
      <c r="I75">
        <v>1</v>
      </c>
      <c r="J75">
        <f t="shared" si="22"/>
        <v>0.29415173550687773</v>
      </c>
      <c r="K75">
        <f t="shared" si="34"/>
        <v>-0.60329112812437624</v>
      </c>
      <c r="O75">
        <f t="shared" si="35"/>
        <v>0.23874793528206614</v>
      </c>
      <c r="P75">
        <f t="shared" si="36"/>
        <v>-0.16449237270825059</v>
      </c>
      <c r="Q75">
        <f t="shared" si="37"/>
        <v>0.9570484223482949</v>
      </c>
      <c r="R75">
        <f t="shared" si="43"/>
        <v>1</v>
      </c>
      <c r="AG75" s="8">
        <f t="shared" si="24"/>
        <v>-0.80416058031597082</v>
      </c>
      <c r="AH75" s="8">
        <f t="shared" si="25"/>
        <v>0.41724263019458463</v>
      </c>
      <c r="AI75" s="8">
        <f t="shared" si="26"/>
        <v>0.42336077831346891</v>
      </c>
      <c r="AJ75" s="8"/>
      <c r="AK75" s="8"/>
      <c r="AL75" s="8"/>
      <c r="AN75" s="8">
        <f t="shared" si="38"/>
        <v>1</v>
      </c>
      <c r="AO75" s="8">
        <f t="shared" si="39"/>
        <v>2.6629751804182855</v>
      </c>
      <c r="AP75" s="8">
        <f t="shared" si="40"/>
        <v>1.1336445807578419</v>
      </c>
      <c r="AQ75" s="8"/>
      <c r="AR75" s="8">
        <f t="shared" si="41"/>
        <v>152.57723878605671</v>
      </c>
      <c r="AS75" s="8">
        <f t="shared" si="42"/>
        <v>25.046950054698044</v>
      </c>
    </row>
    <row r="76" spans="1:45">
      <c r="A76" s="19">
        <v>26.426400000000001</v>
      </c>
      <c r="B76" s="19">
        <v>1335.122799</v>
      </c>
      <c r="C76" s="19">
        <v>-799.26288550000004</v>
      </c>
      <c r="E76" s="9">
        <f t="shared" si="32"/>
        <v>375.12279899999999</v>
      </c>
      <c r="F76" s="9">
        <f t="shared" si="33"/>
        <v>-259.26288550000004</v>
      </c>
      <c r="I76">
        <v>1</v>
      </c>
      <c r="J76">
        <f t="shared" si="22"/>
        <v>0.29363040931731238</v>
      </c>
      <c r="K76">
        <f t="shared" si="34"/>
        <v>-0.60475579980250571</v>
      </c>
      <c r="O76">
        <f t="shared" si="35"/>
        <v>0.2380962756856875</v>
      </c>
      <c r="P76">
        <f t="shared" si="36"/>
        <v>-0.16455818634759878</v>
      </c>
      <c r="Q76">
        <f t="shared" si="37"/>
        <v>0.95719943941197227</v>
      </c>
      <c r="R76">
        <f t="shared" si="43"/>
        <v>1</v>
      </c>
      <c r="AG76" s="8">
        <f t="shared" si="24"/>
        <v>-0.80387206303242631</v>
      </c>
      <c r="AH76" s="8">
        <f t="shared" si="25"/>
        <v>0.41784774729036223</v>
      </c>
      <c r="AI76" s="8">
        <f t="shared" si="26"/>
        <v>0.42331190198287627</v>
      </c>
      <c r="AJ76" s="8"/>
      <c r="AK76" s="8"/>
      <c r="AL76" s="8"/>
      <c r="AN76" s="8">
        <f t="shared" si="38"/>
        <v>0.99999999999999978</v>
      </c>
      <c r="AO76" s="8">
        <f t="shared" si="39"/>
        <v>2.6622356541259689</v>
      </c>
      <c r="AP76" s="8">
        <f t="shared" si="40"/>
        <v>1.1336985297744739</v>
      </c>
      <c r="AQ76" s="8"/>
      <c r="AR76" s="8">
        <f t="shared" si="41"/>
        <v>152.534867050668</v>
      </c>
      <c r="AS76" s="8">
        <f t="shared" si="42"/>
        <v>25.043859003736145</v>
      </c>
    </row>
    <row r="77" spans="1:45">
      <c r="A77" s="19">
        <v>26.45976667</v>
      </c>
      <c r="B77" s="19">
        <v>1334.883652</v>
      </c>
      <c r="C77" s="19">
        <v>-799.30282790000001</v>
      </c>
      <c r="E77" s="9">
        <f t="shared" si="32"/>
        <v>374.88365199999998</v>
      </c>
      <c r="F77" s="9">
        <f t="shared" si="33"/>
        <v>-259.30282790000001</v>
      </c>
      <c r="I77">
        <v>1</v>
      </c>
      <c r="J77">
        <f t="shared" si="22"/>
        <v>0.29352332369223394</v>
      </c>
      <c r="K77">
        <f t="shared" si="34"/>
        <v>-0.60512617935114843</v>
      </c>
      <c r="O77">
        <f t="shared" si="35"/>
        <v>0.23795100800434893</v>
      </c>
      <c r="P77">
        <f t="shared" si="36"/>
        <v>-0.16458805004701355</v>
      </c>
      <c r="Q77">
        <f t="shared" si="37"/>
        <v>0.95723042762515442</v>
      </c>
      <c r="R77">
        <f t="shared" si="43"/>
        <v>1</v>
      </c>
      <c r="AG77" s="8">
        <f t="shared" si="24"/>
        <v>-0.80381365359438384</v>
      </c>
      <c r="AH77" s="8">
        <f t="shared" si="25"/>
        <v>0.4179853097661268</v>
      </c>
      <c r="AI77" s="8">
        <f t="shared" si="26"/>
        <v>0.42328700796854463</v>
      </c>
      <c r="AJ77" s="8"/>
      <c r="AK77" s="8"/>
      <c r="AL77" s="8"/>
      <c r="AN77" s="8">
        <f t="shared" si="38"/>
        <v>0.99999999999999978</v>
      </c>
      <c r="AO77" s="8">
        <f t="shared" si="39"/>
        <v>2.6620711975053495</v>
      </c>
      <c r="AP77" s="8">
        <f t="shared" si="40"/>
        <v>1.1337260069199324</v>
      </c>
      <c r="AQ77" s="8"/>
      <c r="AR77" s="8">
        <f t="shared" si="41"/>
        <v>152.52544438039354</v>
      </c>
      <c r="AS77" s="8">
        <f t="shared" si="42"/>
        <v>25.042284679268306</v>
      </c>
    </row>
    <row r="78" spans="1:45">
      <c r="A78" s="19">
        <v>26.493133329999999</v>
      </c>
      <c r="B78" s="19">
        <v>1334.8852320000001</v>
      </c>
      <c r="C78" s="19">
        <v>-799.0817548</v>
      </c>
      <c r="E78" s="9">
        <f t="shared" si="32"/>
        <v>374.88523200000009</v>
      </c>
      <c r="F78" s="9">
        <f t="shared" si="33"/>
        <v>-259.0817548</v>
      </c>
      <c r="I78">
        <v>1</v>
      </c>
      <c r="J78">
        <f t="shared" si="22"/>
        <v>0.29344674050176534</v>
      </c>
      <c r="K78">
        <f t="shared" si="34"/>
        <v>-0.60472522231543036</v>
      </c>
      <c r="O78">
        <f t="shared" si="35"/>
        <v>0.23795667367304288</v>
      </c>
      <c r="P78">
        <f t="shared" si="36"/>
        <v>-0.16445095010193117</v>
      </c>
      <c r="Q78">
        <f t="shared" si="37"/>
        <v>0.9572525823757454</v>
      </c>
      <c r="R78">
        <f t="shared" si="43"/>
        <v>1</v>
      </c>
      <c r="AG78" s="8">
        <f t="shared" si="24"/>
        <v>-0.8037627321563735</v>
      </c>
      <c r="AH78" s="8">
        <f t="shared" si="25"/>
        <v>0.41795571611602095</v>
      </c>
      <c r="AI78" s="8">
        <f t="shared" si="26"/>
        <v>0.42341290693891953</v>
      </c>
      <c r="AJ78" s="8"/>
      <c r="AK78" s="8"/>
      <c r="AL78" s="8"/>
      <c r="AN78" s="8">
        <f t="shared" si="38"/>
        <v>1.0000000000000002</v>
      </c>
      <c r="AO78" s="8">
        <f t="shared" si="39"/>
        <v>2.6620742475099921</v>
      </c>
      <c r="AP78" s="8">
        <f t="shared" si="40"/>
        <v>1.1335870404042991</v>
      </c>
      <c r="AQ78" s="8"/>
      <c r="AR78" s="8">
        <f t="shared" si="41"/>
        <v>152.52561913278706</v>
      </c>
      <c r="AS78" s="8">
        <f t="shared" si="42"/>
        <v>25.050246874107728</v>
      </c>
    </row>
    <row r="79" spans="1:45">
      <c r="A79" s="19">
        <v>26.526499999999999</v>
      </c>
      <c r="B79" s="19">
        <v>1334.68622</v>
      </c>
      <c r="C79" s="19">
        <v>-799.14034400000003</v>
      </c>
      <c r="E79" s="9">
        <f t="shared" si="32"/>
        <v>374.68622000000005</v>
      </c>
      <c r="F79" s="9">
        <f t="shared" si="33"/>
        <v>-259.14034400000003</v>
      </c>
      <c r="I79">
        <v>1</v>
      </c>
      <c r="J79">
        <f t="shared" si="22"/>
        <v>0.29336648828288908</v>
      </c>
      <c r="K79">
        <f t="shared" si="34"/>
        <v>-0.60507938217128454</v>
      </c>
      <c r="O79">
        <f t="shared" si="35"/>
        <v>0.23783523356563091</v>
      </c>
      <c r="P79">
        <f t="shared" si="36"/>
        <v>-0.16449151570484211</v>
      </c>
      <c r="Q79">
        <f t="shared" si="37"/>
        <v>0.95727579251535733</v>
      </c>
      <c r="R79">
        <f t="shared" si="43"/>
        <v>1</v>
      </c>
      <c r="AG79" s="8">
        <f t="shared" si="24"/>
        <v>-0.80372000030827984</v>
      </c>
      <c r="AH79" s="8">
        <f t="shared" si="25"/>
        <v>0.41807348729657368</v>
      </c>
      <c r="AI79" s="8">
        <f t="shared" si="26"/>
        <v>0.42337775133341649</v>
      </c>
      <c r="AJ79" s="8"/>
      <c r="AK79" s="8"/>
      <c r="AL79" s="8"/>
      <c r="AN79" s="8">
        <f t="shared" si="38"/>
        <v>1</v>
      </c>
      <c r="AO79" s="8">
        <f t="shared" si="39"/>
        <v>2.6619371509865726</v>
      </c>
      <c r="AP79" s="8">
        <f t="shared" si="40"/>
        <v>1.1336258458553892</v>
      </c>
      <c r="AQ79" s="8"/>
      <c r="AR79" s="8">
        <f t="shared" si="41"/>
        <v>152.5177640806092</v>
      </c>
      <c r="AS79" s="8">
        <f t="shared" si="42"/>
        <v>25.048023485538181</v>
      </c>
    </row>
    <row r="80" spans="1:45">
      <c r="A80" s="19">
        <v>26.559866670000002</v>
      </c>
      <c r="B80" s="19">
        <v>1334.04874</v>
      </c>
      <c r="C80" s="19">
        <v>-799.22760879999998</v>
      </c>
      <c r="E80" s="9">
        <f t="shared" si="32"/>
        <v>374.04873999999995</v>
      </c>
      <c r="F80" s="9">
        <f t="shared" si="33"/>
        <v>-259.22760879999998</v>
      </c>
      <c r="I80">
        <v>1</v>
      </c>
      <c r="J80">
        <f t="shared" si="22"/>
        <v>0.29307441999180872</v>
      </c>
      <c r="K80">
        <f t="shared" si="34"/>
        <v>-0.60603388117609547</v>
      </c>
      <c r="O80">
        <f t="shared" si="35"/>
        <v>0.23744830937281086</v>
      </c>
      <c r="P80">
        <f t="shared" si="36"/>
        <v>-0.16455918940487912</v>
      </c>
      <c r="Q80">
        <f t="shared" si="37"/>
        <v>0.95736021097516011</v>
      </c>
      <c r="R80">
        <f t="shared" si="43"/>
        <v>1</v>
      </c>
      <c r="AG80" s="8">
        <f t="shared" si="24"/>
        <v>-0.80355968492908814</v>
      </c>
      <c r="AH80" s="8">
        <f t="shared" si="25"/>
        <v>0.41843768065073672</v>
      </c>
      <c r="AI80" s="8">
        <f t="shared" si="26"/>
        <v>0.42332226514594856</v>
      </c>
      <c r="AJ80" s="8"/>
      <c r="AK80" s="8"/>
      <c r="AL80" s="8"/>
      <c r="AN80" s="8">
        <f t="shared" si="38"/>
        <v>1</v>
      </c>
      <c r="AO80" s="8">
        <f t="shared" si="39"/>
        <v>2.6614988661887367</v>
      </c>
      <c r="AP80" s="8">
        <f t="shared" si="40"/>
        <v>1.133687091172241</v>
      </c>
      <c r="AQ80" s="8"/>
      <c r="AR80" s="8">
        <f t="shared" si="41"/>
        <v>152.49265221146845</v>
      </c>
      <c r="AS80" s="8">
        <f t="shared" si="42"/>
        <v>25.044514387367627</v>
      </c>
    </row>
    <row r="81" spans="1:45">
      <c r="A81" s="19">
        <v>26.59323333</v>
      </c>
      <c r="B81" s="19">
        <v>1334.1244569999999</v>
      </c>
      <c r="C81" s="19">
        <v>-799.21715419999998</v>
      </c>
      <c r="E81" s="9">
        <f t="shared" si="32"/>
        <v>374.12445699999989</v>
      </c>
      <c r="F81" s="9">
        <f t="shared" si="33"/>
        <v>-259.21715419999998</v>
      </c>
      <c r="I81">
        <v>1</v>
      </c>
      <c r="J81">
        <f t="shared" si="22"/>
        <v>0.29310906822128197</v>
      </c>
      <c r="K81">
        <f t="shared" si="34"/>
        <v>-0.60592024399927713</v>
      </c>
      <c r="O81">
        <f t="shared" si="35"/>
        <v>0.23749427344805299</v>
      </c>
      <c r="P81">
        <f t="shared" si="36"/>
        <v>-0.16455109670095941</v>
      </c>
      <c r="Q81">
        <f t="shared" si="37"/>
        <v>0.95735020063396492</v>
      </c>
      <c r="R81">
        <f t="shared" si="43"/>
        <v>1</v>
      </c>
      <c r="AG81" s="8">
        <f t="shared" si="24"/>
        <v>-0.80357871368781941</v>
      </c>
      <c r="AH81" s="8">
        <f t="shared" si="25"/>
        <v>0.41839441242727587</v>
      </c>
      <c r="AI81" s="8">
        <f t="shared" si="26"/>
        <v>0.42332891060907235</v>
      </c>
      <c r="AJ81" s="8"/>
      <c r="AK81" s="8"/>
      <c r="AL81" s="8"/>
      <c r="AN81" s="8">
        <f t="shared" si="38"/>
        <v>0.99999999999999978</v>
      </c>
      <c r="AO81" s="8">
        <f t="shared" si="39"/>
        <v>2.6615509266014441</v>
      </c>
      <c r="AP81" s="8">
        <f t="shared" si="40"/>
        <v>1.1336797560427825</v>
      </c>
      <c r="AQ81" s="8"/>
      <c r="AR81" s="8">
        <f t="shared" si="41"/>
        <v>152.49563505339628</v>
      </c>
      <c r="AS81" s="8">
        <f t="shared" si="42"/>
        <v>25.04493465932778</v>
      </c>
    </row>
    <row r="82" spans="1:45">
      <c r="A82" s="19">
        <v>26.6266</v>
      </c>
      <c r="B82" s="19">
        <v>1334.161507</v>
      </c>
      <c r="C82" s="19">
        <v>-799.21008870000003</v>
      </c>
      <c r="E82" s="9">
        <f t="shared" si="32"/>
        <v>374.16150700000003</v>
      </c>
      <c r="F82" s="9">
        <f t="shared" si="33"/>
        <v>-259.21008870000003</v>
      </c>
      <c r="I82">
        <v>1</v>
      </c>
      <c r="J82">
        <f t="shared" si="22"/>
        <v>0.29312533986970496</v>
      </c>
      <c r="K82">
        <f t="shared" si="34"/>
        <v>-0.6058611278352618</v>
      </c>
      <c r="O82">
        <f t="shared" si="35"/>
        <v>0.23751680565977323</v>
      </c>
      <c r="P82">
        <f t="shared" si="36"/>
        <v>-0.16454592765687809</v>
      </c>
      <c r="Q82">
        <f t="shared" si="37"/>
        <v>0.95734549913848499</v>
      </c>
      <c r="R82">
        <f t="shared" si="43"/>
        <v>1</v>
      </c>
      <c r="AG82" s="8">
        <f t="shared" si="24"/>
        <v>-0.80358757095686406</v>
      </c>
      <c r="AH82" s="8">
        <f t="shared" si="25"/>
        <v>0.41837298703985792</v>
      </c>
      <c r="AI82" s="8">
        <f t="shared" si="26"/>
        <v>0.42333327239775731</v>
      </c>
      <c r="AJ82" s="8"/>
      <c r="AK82" s="8"/>
      <c r="AL82" s="8"/>
      <c r="AN82" s="8">
        <f t="shared" si="38"/>
        <v>1</v>
      </c>
      <c r="AO82" s="8">
        <f t="shared" si="39"/>
        <v>2.6615764176491918</v>
      </c>
      <c r="AP82" s="8">
        <f t="shared" si="40"/>
        <v>1.1336749415738891</v>
      </c>
      <c r="AQ82" s="8"/>
      <c r="AR82" s="8">
        <f t="shared" si="41"/>
        <v>152.49709558284761</v>
      </c>
      <c r="AS82" s="8">
        <f t="shared" si="42"/>
        <v>25.045210508075968</v>
      </c>
    </row>
    <row r="83" spans="1:45">
      <c r="A83" s="19">
        <v>52.852800000000002</v>
      </c>
      <c r="B83" s="19">
        <v>988.75</v>
      </c>
      <c r="C83" s="19">
        <v>-790.5</v>
      </c>
      <c r="E83" s="9">
        <f t="shared" si="32"/>
        <v>28.75</v>
      </c>
      <c r="F83" s="9">
        <f t="shared" si="33"/>
        <v>-250.5</v>
      </c>
      <c r="I83">
        <v>1</v>
      </c>
      <c r="J83">
        <f t="shared" si="22"/>
        <v>0.1644155086674246</v>
      </c>
      <c r="K83">
        <f t="shared" si="34"/>
        <v>-1.4565258507881793</v>
      </c>
      <c r="O83">
        <f t="shared" si="35"/>
        <v>1.8662628605800573E-2</v>
      </c>
      <c r="P83">
        <f t="shared" si="36"/>
        <v>-0.16260829446097536</v>
      </c>
      <c r="Q83">
        <f t="shared" si="37"/>
        <v>0.98651419090959591</v>
      </c>
      <c r="R83">
        <f t="shared" si="43"/>
        <v>1</v>
      </c>
      <c r="AG83" s="8">
        <f t="shared" si="24"/>
        <v>-0.68192932451640531</v>
      </c>
      <c r="AH83" s="8">
        <f t="shared" si="25"/>
        <v>0.60243257587579957</v>
      </c>
      <c r="AI83" s="8">
        <f t="shared" si="26"/>
        <v>0.41478595430444398</v>
      </c>
      <c r="AJ83" s="8"/>
      <c r="AK83" s="8"/>
      <c r="AL83" s="8"/>
      <c r="AN83" s="8">
        <f t="shared" si="38"/>
        <v>1</v>
      </c>
      <c r="AO83" s="8">
        <f t="shared" si="39"/>
        <v>2.4180115382102532</v>
      </c>
      <c r="AP83" s="8">
        <f t="shared" si="40"/>
        <v>1.1430887724223648</v>
      </c>
      <c r="AQ83" s="8"/>
      <c r="AR83" s="8">
        <f t="shared" si="41"/>
        <v>138.5418559533837</v>
      </c>
      <c r="AS83" s="8">
        <f t="shared" si="42"/>
        <v>24.505837731408249</v>
      </c>
    </row>
    <row r="84" spans="1:45">
      <c r="A84" s="19">
        <v>54.654600000000002</v>
      </c>
      <c r="B84" s="19">
        <v>966</v>
      </c>
      <c r="C84" s="19">
        <v>-789.25</v>
      </c>
      <c r="E84" s="9">
        <f t="shared" si="32"/>
        <v>6</v>
      </c>
      <c r="F84" s="9">
        <f t="shared" si="33"/>
        <v>-249.25</v>
      </c>
      <c r="I84">
        <v>1</v>
      </c>
      <c r="J84">
        <f t="shared" si="22"/>
        <v>0.16258429678882841</v>
      </c>
      <c r="K84">
        <f t="shared" si="34"/>
        <v>-1.5467287582510683</v>
      </c>
      <c r="O84">
        <f t="shared" si="35"/>
        <v>3.8954161974266693E-3</v>
      </c>
      <c r="P84">
        <f t="shared" si="36"/>
        <v>-0.16182208120143321</v>
      </c>
      <c r="Q84">
        <f t="shared" si="37"/>
        <v>0.98681226166291913</v>
      </c>
      <c r="R84">
        <f t="shared" si="43"/>
        <v>1</v>
      </c>
      <c r="AG84" s="8">
        <f t="shared" si="24"/>
        <v>-0.67239805266034991</v>
      </c>
      <c r="AH84" s="8">
        <f t="shared" si="25"/>
        <v>0.61370231804072017</v>
      </c>
      <c r="AI84" s="8">
        <f t="shared" si="26"/>
        <v>0.4138240249309072</v>
      </c>
      <c r="AJ84" s="8"/>
      <c r="AK84" s="8"/>
      <c r="AL84" s="8"/>
      <c r="AN84" s="8">
        <f t="shared" si="38"/>
        <v>1</v>
      </c>
      <c r="AO84" s="8">
        <f t="shared" si="39"/>
        <v>2.40180137658739</v>
      </c>
      <c r="AP84" s="8">
        <f t="shared" si="40"/>
        <v>1.144145677344506</v>
      </c>
      <c r="AQ84" s="8"/>
      <c r="AR84" s="8">
        <f t="shared" si="41"/>
        <v>137.61308210716871</v>
      </c>
      <c r="AS84" s="8">
        <f t="shared" si="42"/>
        <v>24.445281540022961</v>
      </c>
    </row>
    <row r="85" spans="1:45">
      <c r="A85" s="19">
        <v>59.626233329999998</v>
      </c>
      <c r="B85" s="19">
        <v>902.75</v>
      </c>
      <c r="C85" s="19">
        <v>-788.5</v>
      </c>
      <c r="E85" s="9">
        <f t="shared" si="32"/>
        <v>-57.25</v>
      </c>
      <c r="F85" s="9">
        <f t="shared" si="33"/>
        <v>-248.5</v>
      </c>
      <c r="I85">
        <v>1</v>
      </c>
      <c r="J85">
        <f t="shared" si="22"/>
        <v>0.1662736175972741</v>
      </c>
      <c r="K85">
        <f t="shared" si="34"/>
        <v>-1.7972277709414399</v>
      </c>
      <c r="O85">
        <f t="shared" si="35"/>
        <v>-3.7156909780118423E-2</v>
      </c>
      <c r="P85">
        <f t="shared" si="36"/>
        <v>-0.16128370446042672</v>
      </c>
      <c r="Q85">
        <f t="shared" si="37"/>
        <v>0.98620836070838191</v>
      </c>
      <c r="R85">
        <f t="shared" si="43"/>
        <v>1</v>
      </c>
      <c r="AG85" s="8">
        <f t="shared" si="24"/>
        <v>-0.64585893742391243</v>
      </c>
      <c r="AH85" s="8">
        <f t="shared" si="25"/>
        <v>0.64465946783882155</v>
      </c>
      <c r="AI85" s="8">
        <f t="shared" si="26"/>
        <v>0.40899927075169962</v>
      </c>
      <c r="AJ85" s="8"/>
      <c r="AK85" s="8"/>
      <c r="AL85" s="8"/>
      <c r="AN85" s="8">
        <f t="shared" si="38"/>
        <v>0.99999999999999989</v>
      </c>
      <c r="AO85" s="8">
        <f t="shared" si="39"/>
        <v>2.3571239377963487</v>
      </c>
      <c r="AP85" s="8">
        <f t="shared" si="40"/>
        <v>1.1494391823451788</v>
      </c>
      <c r="AQ85" s="8"/>
      <c r="AR85" s="8">
        <f t="shared" si="41"/>
        <v>135.05325342498796</v>
      </c>
      <c r="AS85" s="8">
        <f t="shared" si="42"/>
        <v>24.141986044653009</v>
      </c>
    </row>
    <row r="86" spans="1:45">
      <c r="A86" s="19">
        <v>95.762333330000004</v>
      </c>
      <c r="B86" s="19">
        <v>479.37873710000002</v>
      </c>
      <c r="C86" s="19">
        <v>-787.35890329999995</v>
      </c>
      <c r="E86" s="9">
        <f t="shared" si="32"/>
        <v>-480.62126289999998</v>
      </c>
      <c r="F86" s="9">
        <f t="shared" si="33"/>
        <v>-247.35890329999995</v>
      </c>
      <c r="I86">
        <v>1</v>
      </c>
      <c r="J86">
        <f t="shared" si="22"/>
        <v>0.34486788512388039</v>
      </c>
      <c r="K86">
        <f t="shared" si="34"/>
        <v>-2.6662820561193268</v>
      </c>
      <c r="O86">
        <f t="shared" si="35"/>
        <v>-0.30059723804860228</v>
      </c>
      <c r="P86">
        <f t="shared" si="36"/>
        <v>-0.15470685314682381</v>
      </c>
      <c r="Q86">
        <f t="shared" si="37"/>
        <v>0.94112012520557597</v>
      </c>
      <c r="R86">
        <f t="shared" si="43"/>
        <v>1</v>
      </c>
      <c r="AG86" s="8">
        <f t="shared" si="24"/>
        <v>-0.4493701830291949</v>
      </c>
      <c r="AH86" s="8">
        <f t="shared" si="25"/>
        <v>0.81857228761980116</v>
      </c>
      <c r="AI86" s="8">
        <f t="shared" si="26"/>
        <v>0.35777904989699083</v>
      </c>
      <c r="AJ86" s="8"/>
      <c r="AK86" s="8"/>
      <c r="AL86" s="8"/>
      <c r="AN86" s="8">
        <f t="shared" si="38"/>
        <v>1</v>
      </c>
      <c r="AO86" s="8">
        <f t="shared" si="39"/>
        <v>2.0728470497160654</v>
      </c>
      <c r="AP86" s="8">
        <f t="shared" si="40"/>
        <v>1.2049079044757656</v>
      </c>
      <c r="AQ86" s="8"/>
      <c r="AR86" s="8">
        <f t="shared" si="41"/>
        <v>118.76538752487487</v>
      </c>
      <c r="AS86" s="8">
        <f t="shared" si="42"/>
        <v>20.963862371586472</v>
      </c>
    </row>
    <row r="87" spans="1:45">
      <c r="A87" s="19">
        <v>95.795699999999997</v>
      </c>
      <c r="B87" s="19">
        <v>479.1969982</v>
      </c>
      <c r="C87" s="19">
        <v>-787.3651787</v>
      </c>
      <c r="E87" s="9">
        <f t="shared" si="32"/>
        <v>-480.8030018</v>
      </c>
      <c r="F87" s="9">
        <f t="shared" si="33"/>
        <v>-247.3651787</v>
      </c>
      <c r="I87">
        <v>1</v>
      </c>
      <c r="J87">
        <f t="shared" si="22"/>
        <v>0.34496594925516783</v>
      </c>
      <c r="K87">
        <f t="shared" si="34"/>
        <v>-2.6664255478874663</v>
      </c>
      <c r="O87">
        <f t="shared" si="35"/>
        <v>-0.30070149855256295</v>
      </c>
      <c r="P87">
        <f t="shared" si="36"/>
        <v>-0.15470593911922731</v>
      </c>
      <c r="Q87">
        <f t="shared" si="37"/>
        <v>0.94108696790970436</v>
      </c>
      <c r="R87">
        <f t="shared" si="43"/>
        <v>1</v>
      </c>
      <c r="AG87" s="8">
        <f t="shared" si="24"/>
        <v>-0.44928409904351563</v>
      </c>
      <c r="AH87" s="8">
        <f t="shared" si="25"/>
        <v>0.81863271355869394</v>
      </c>
      <c r="AI87" s="8">
        <f t="shared" si="26"/>
        <v>0.35774890445420787</v>
      </c>
      <c r="AJ87" s="8"/>
      <c r="AK87" s="8"/>
      <c r="AL87" s="8"/>
      <c r="AN87" s="8">
        <f t="shared" si="38"/>
        <v>1.0000000000000002</v>
      </c>
      <c r="AO87" s="8">
        <f t="shared" si="39"/>
        <v>2.0727351012895827</v>
      </c>
      <c r="AP87" s="8">
        <f t="shared" si="40"/>
        <v>1.2049401866067626</v>
      </c>
      <c r="AQ87" s="8"/>
      <c r="AR87" s="8">
        <f t="shared" si="41"/>
        <v>118.75897335251429</v>
      </c>
      <c r="AS87" s="8">
        <f t="shared" si="42"/>
        <v>20.962012741726653</v>
      </c>
    </row>
    <row r="88" spans="1:45">
      <c r="A88" s="19">
        <v>95.829066670000003</v>
      </c>
      <c r="B88" s="19">
        <v>478.59534200000002</v>
      </c>
      <c r="C88" s="19">
        <v>-787.3516697</v>
      </c>
      <c r="E88" s="9">
        <f t="shared" si="32"/>
        <v>-481.40465799999998</v>
      </c>
      <c r="F88" s="9">
        <f t="shared" si="33"/>
        <v>-247.3516697</v>
      </c>
      <c r="I88">
        <v>1</v>
      </c>
      <c r="J88">
        <f t="shared" si="22"/>
        <v>0.34528125619204503</v>
      </c>
      <c r="K88">
        <f t="shared" si="34"/>
        <v>-2.666956303198297</v>
      </c>
      <c r="O88">
        <f t="shared" si="35"/>
        <v>-0.30104748250981955</v>
      </c>
      <c r="P88">
        <f t="shared" si="36"/>
        <v>-0.15468192137390041</v>
      </c>
      <c r="Q88">
        <f t="shared" si="37"/>
        <v>0.94098029547625406</v>
      </c>
      <c r="R88">
        <f t="shared" si="43"/>
        <v>1</v>
      </c>
      <c r="AG88" s="8">
        <f t="shared" si="24"/>
        <v>-0.44899007227401255</v>
      </c>
      <c r="AH88" s="8">
        <f t="shared" si="25"/>
        <v>0.81882935051208705</v>
      </c>
      <c r="AI88" s="8">
        <f t="shared" si="26"/>
        <v>0.35766801609779242</v>
      </c>
      <c r="AJ88" s="8"/>
      <c r="AK88" s="8"/>
      <c r="AL88" s="8"/>
      <c r="AN88" s="8">
        <f t="shared" si="38"/>
        <v>1</v>
      </c>
      <c r="AO88" s="8">
        <f t="shared" si="39"/>
        <v>2.0723577745157558</v>
      </c>
      <c r="AP88" s="8">
        <f t="shared" si="40"/>
        <v>1.2050268063013916</v>
      </c>
      <c r="AQ88" s="8"/>
      <c r="AR88" s="8">
        <f t="shared" si="41"/>
        <v>118.73735412087672</v>
      </c>
      <c r="AS88" s="8">
        <f t="shared" si="42"/>
        <v>20.957049798801705</v>
      </c>
    </row>
    <row r="89" spans="1:45">
      <c r="A89" s="19">
        <v>95.862433330000002</v>
      </c>
      <c r="B89" s="19">
        <v>478.30969529999999</v>
      </c>
      <c r="C89" s="19">
        <v>-787.35779119999995</v>
      </c>
      <c r="E89" s="9">
        <f t="shared" si="32"/>
        <v>-481.69030470000001</v>
      </c>
      <c r="F89" s="9">
        <f t="shared" si="33"/>
        <v>-247.35779119999995</v>
      </c>
      <c r="I89">
        <v>1</v>
      </c>
      <c r="J89">
        <f t="shared" si="22"/>
        <v>0.34543437467510046</v>
      </c>
      <c r="K89">
        <f t="shared" si="34"/>
        <v>-2.6671873324152058</v>
      </c>
      <c r="O89">
        <f t="shared" si="35"/>
        <v>-0.30121137675907411</v>
      </c>
      <c r="P89">
        <f t="shared" si="36"/>
        <v>-0.15467818245965956</v>
      </c>
      <c r="Q89">
        <f t="shared" si="37"/>
        <v>0.94092845975763717</v>
      </c>
      <c r="R89">
        <f t="shared" si="43"/>
        <v>1</v>
      </c>
      <c r="AG89" s="8">
        <f t="shared" si="24"/>
        <v>-0.44885378474079174</v>
      </c>
      <c r="AH89" s="8">
        <f t="shared" si="25"/>
        <v>0.81892386464365441</v>
      </c>
      <c r="AI89" s="8">
        <f t="shared" si="26"/>
        <v>0.3576226836219546</v>
      </c>
      <c r="AJ89" s="8"/>
      <c r="AK89" s="8"/>
      <c r="AL89" s="8"/>
      <c r="AN89" s="8">
        <f t="shared" si="38"/>
        <v>1.0000000000000002</v>
      </c>
      <c r="AO89" s="8">
        <f t="shared" si="39"/>
        <v>2.0721811503431828</v>
      </c>
      <c r="AP89" s="8">
        <f t="shared" si="40"/>
        <v>1.2050753495497302</v>
      </c>
      <c r="AQ89" s="8"/>
      <c r="AR89" s="8">
        <f t="shared" si="41"/>
        <v>118.72723430122829</v>
      </c>
      <c r="AS89" s="8">
        <f t="shared" si="42"/>
        <v>20.954268475548048</v>
      </c>
    </row>
    <row r="90" spans="1:45">
      <c r="A90" s="19">
        <v>95.895799999999994</v>
      </c>
      <c r="B90" s="19">
        <v>478.01607159999998</v>
      </c>
      <c r="C90" s="19">
        <v>-787.36503549999998</v>
      </c>
      <c r="E90" s="9">
        <f t="shared" si="32"/>
        <v>-481.98392840000002</v>
      </c>
      <c r="F90" s="9">
        <f t="shared" si="33"/>
        <v>-247.36503549999998</v>
      </c>
      <c r="I90">
        <v>1</v>
      </c>
      <c r="J90">
        <f t="shared" si="22"/>
        <v>0.34559202951112045</v>
      </c>
      <c r="K90">
        <f t="shared" si="34"/>
        <v>-2.6674230218735024</v>
      </c>
      <c r="O90">
        <f t="shared" si="35"/>
        <v>-0.30137979634570261</v>
      </c>
      <c r="P90">
        <f t="shared" si="36"/>
        <v>-0.1546749167954985</v>
      </c>
      <c r="Q90">
        <f t="shared" si="37"/>
        <v>0.94087506528174525</v>
      </c>
      <c r="R90">
        <f t="shared" si="43"/>
        <v>1</v>
      </c>
      <c r="AG90" s="8">
        <f t="shared" si="24"/>
        <v>-0.4487139427483583</v>
      </c>
      <c r="AH90" s="8">
        <f t="shared" si="25"/>
        <v>0.81902107471854979</v>
      </c>
      <c r="AI90" s="8">
        <f t="shared" si="26"/>
        <v>0.3575755539044782</v>
      </c>
      <c r="AJ90" s="8"/>
      <c r="AK90" s="8"/>
      <c r="AL90" s="8"/>
      <c r="AN90" s="8">
        <f t="shared" si="38"/>
        <v>0.99999999999999967</v>
      </c>
      <c r="AO90" s="8">
        <f t="shared" si="39"/>
        <v>2.0719998077121105</v>
      </c>
      <c r="AP90" s="8">
        <f t="shared" si="40"/>
        <v>1.205125816376555</v>
      </c>
      <c r="AQ90" s="8"/>
      <c r="AR90" s="8">
        <f t="shared" si="41"/>
        <v>118.71684413382205</v>
      </c>
      <c r="AS90" s="8">
        <f t="shared" si="42"/>
        <v>20.951376939365574</v>
      </c>
    </row>
    <row r="91" spans="1:45">
      <c r="A91" s="19">
        <v>95.929166670000001</v>
      </c>
      <c r="B91" s="19">
        <v>477.85324750000001</v>
      </c>
      <c r="C91" s="19">
        <v>-787.31181059999994</v>
      </c>
      <c r="E91" s="9">
        <f t="shared" si="32"/>
        <v>-482.14675249999999</v>
      </c>
      <c r="F91" s="9">
        <f t="shared" si="33"/>
        <v>-247.31181059999994</v>
      </c>
      <c r="I91">
        <v>1</v>
      </c>
      <c r="J91">
        <f t="shared" si="22"/>
        <v>0.34566388437289186</v>
      </c>
      <c r="K91">
        <f t="shared" si="34"/>
        <v>-2.6676476090031134</v>
      </c>
      <c r="O91">
        <f t="shared" si="35"/>
        <v>-0.30147468046878179</v>
      </c>
      <c r="P91">
        <f t="shared" si="36"/>
        <v>-0.15463808205737292</v>
      </c>
      <c r="Q91">
        <f t="shared" si="37"/>
        <v>0.94085072174806939</v>
      </c>
      <c r="R91">
        <f t="shared" ref="R91:R154" si="44">SQRT(O91^2+P91^2+Q91^2)</f>
        <v>1</v>
      </c>
      <c r="AG91" s="8">
        <f t="shared" si="24"/>
        <v>-0.44862129757221669</v>
      </c>
      <c r="AH91" s="8">
        <f t="shared" si="25"/>
        <v>0.81906944315472807</v>
      </c>
      <c r="AI91" s="8">
        <f t="shared" si="26"/>
        <v>0.3575810099191849</v>
      </c>
      <c r="AJ91" s="8"/>
      <c r="AK91" s="8"/>
      <c r="AL91" s="8"/>
      <c r="AN91" s="8">
        <f t="shared" si="38"/>
        <v>1</v>
      </c>
      <c r="AO91" s="8">
        <f t="shared" si="39"/>
        <v>2.0718879194913078</v>
      </c>
      <c r="AP91" s="8">
        <f t="shared" si="40"/>
        <v>1.2051199740882572</v>
      </c>
      <c r="AQ91" s="8"/>
      <c r="AR91" s="8">
        <f t="shared" si="41"/>
        <v>118.71043341099283</v>
      </c>
      <c r="AS91" s="8">
        <f t="shared" si="42"/>
        <v>20.951711677827731</v>
      </c>
    </row>
    <row r="92" spans="1:45">
      <c r="A92" s="19">
        <v>95.962533329999999</v>
      </c>
      <c r="B92" s="19">
        <v>477.39707559999999</v>
      </c>
      <c r="C92" s="19">
        <v>-787.32558859999995</v>
      </c>
      <c r="E92" s="9">
        <f t="shared" si="32"/>
        <v>-482.60292440000001</v>
      </c>
      <c r="F92" s="9">
        <f t="shared" si="33"/>
        <v>-247.32558859999995</v>
      </c>
      <c r="I92">
        <v>1</v>
      </c>
      <c r="J92">
        <f t="shared" si="22"/>
        <v>0.34590951816267607</v>
      </c>
      <c r="K92">
        <f t="shared" si="34"/>
        <v>-2.6680089258773259</v>
      </c>
      <c r="O92">
        <f t="shared" si="35"/>
        <v>-0.30173619427554293</v>
      </c>
      <c r="P92">
        <f t="shared" si="36"/>
        <v>-0.154634541313448</v>
      </c>
      <c r="Q92">
        <f t="shared" si="37"/>
        <v>0.94076746738866956</v>
      </c>
      <c r="R92">
        <f t="shared" si="44"/>
        <v>1</v>
      </c>
      <c r="AG92" s="8">
        <f t="shared" si="24"/>
        <v>-0.44840470682367711</v>
      </c>
      <c r="AH92" s="8">
        <f t="shared" si="25"/>
        <v>0.81922061086872955</v>
      </c>
      <c r="AI92" s="8">
        <f t="shared" si="26"/>
        <v>0.35750637704275695</v>
      </c>
      <c r="AJ92" s="8"/>
      <c r="AK92" s="8"/>
      <c r="AL92" s="8"/>
      <c r="AN92" s="8">
        <f t="shared" si="38"/>
        <v>1</v>
      </c>
      <c r="AO92" s="8">
        <f t="shared" si="39"/>
        <v>2.0716067563806453</v>
      </c>
      <c r="AP92" s="8">
        <f t="shared" si="40"/>
        <v>1.2051998896715537</v>
      </c>
      <c r="AQ92" s="8"/>
      <c r="AR92" s="8">
        <f t="shared" si="41"/>
        <v>118.6943239513971</v>
      </c>
      <c r="AS92" s="8">
        <f t="shared" si="42"/>
        <v>20.947132852187522</v>
      </c>
    </row>
    <row r="93" spans="1:45">
      <c r="A93" s="19">
        <v>95.995900000000006</v>
      </c>
      <c r="B93" s="19">
        <v>476.95495620000003</v>
      </c>
      <c r="C93" s="19">
        <v>-787.25421389999997</v>
      </c>
      <c r="E93" s="9">
        <f t="shared" si="32"/>
        <v>-483.04504379999997</v>
      </c>
      <c r="F93" s="9">
        <f t="shared" si="33"/>
        <v>-247.25421389999997</v>
      </c>
      <c r="I93">
        <v>1</v>
      </c>
      <c r="J93">
        <f t="shared" si="22"/>
        <v>0.34612458366134097</v>
      </c>
      <c r="K93">
        <f t="shared" si="34"/>
        <v>-2.6684975671255269</v>
      </c>
      <c r="O93">
        <f t="shared" si="35"/>
        <v>-0.30199181561671468</v>
      </c>
      <c r="P93">
        <f t="shared" si="36"/>
        <v>-0.15457926736426761</v>
      </c>
      <c r="Q93">
        <f t="shared" si="37"/>
        <v>0.94069452714558011</v>
      </c>
      <c r="R93">
        <f t="shared" si="44"/>
        <v>1</v>
      </c>
      <c r="AG93" s="8">
        <f t="shared" si="24"/>
        <v>-0.44817243967206943</v>
      </c>
      <c r="AH93" s="8">
        <f t="shared" si="25"/>
        <v>0.81935886699988825</v>
      </c>
      <c r="AI93" s="8">
        <f t="shared" si="26"/>
        <v>0.35748078464030031</v>
      </c>
      <c r="AJ93" s="8"/>
      <c r="AK93" s="8"/>
      <c r="AL93" s="8"/>
      <c r="AN93" s="8">
        <f t="shared" si="38"/>
        <v>1</v>
      </c>
      <c r="AO93" s="8">
        <f t="shared" si="39"/>
        <v>2.0713175185663868</v>
      </c>
      <c r="AP93" s="8">
        <f t="shared" si="40"/>
        <v>1.2052272930071217</v>
      </c>
      <c r="AQ93" s="8"/>
      <c r="AR93" s="8">
        <f t="shared" si="41"/>
        <v>118.6777518453645</v>
      </c>
      <c r="AS93" s="8">
        <f t="shared" si="42"/>
        <v>20.945562756714892</v>
      </c>
    </row>
    <row r="94" spans="1:45">
      <c r="A94" s="19">
        <v>96.029266669999998</v>
      </c>
      <c r="B94" s="19">
        <v>477.22417580000001</v>
      </c>
      <c r="C94" s="19">
        <v>-787.30776449999996</v>
      </c>
      <c r="E94" s="9">
        <f t="shared" si="32"/>
        <v>-482.77582419999999</v>
      </c>
      <c r="F94" s="9">
        <f t="shared" si="33"/>
        <v>-247.30776449999996</v>
      </c>
      <c r="I94">
        <v>1</v>
      </c>
      <c r="J94">
        <f t="shared" si="22"/>
        <v>0.34599635885664504</v>
      </c>
      <c r="K94">
        <f t="shared" si="34"/>
        <v>-2.6681835432843828</v>
      </c>
      <c r="O94">
        <f t="shared" si="35"/>
        <v>-0.3018359022269303</v>
      </c>
      <c r="P94">
        <f t="shared" si="36"/>
        <v>-0.15461909748541777</v>
      </c>
      <c r="Q94">
        <f t="shared" si="37"/>
        <v>0.94073802029026654</v>
      </c>
      <c r="R94">
        <f t="shared" si="44"/>
        <v>1</v>
      </c>
      <c r="AG94" s="8">
        <f t="shared" si="24"/>
        <v>-0.44831653519441844</v>
      </c>
      <c r="AH94" s="8">
        <f t="shared" si="25"/>
        <v>0.81927566140321362</v>
      </c>
      <c r="AI94" s="8">
        <f t="shared" si="26"/>
        <v>0.35749080394270116</v>
      </c>
      <c r="AJ94" s="8"/>
      <c r="AK94" s="8"/>
      <c r="AL94" s="8"/>
      <c r="AN94" s="8">
        <f t="shared" si="38"/>
        <v>1.0000000000000002</v>
      </c>
      <c r="AO94" s="8">
        <f t="shared" si="39"/>
        <v>2.0714956379244742</v>
      </c>
      <c r="AP94" s="8">
        <f t="shared" si="40"/>
        <v>1.2052165647673621</v>
      </c>
      <c r="AQ94" s="8"/>
      <c r="AR94" s="8">
        <f t="shared" si="41"/>
        <v>118.68795733283248</v>
      </c>
      <c r="AS94" s="8">
        <f t="shared" si="42"/>
        <v>20.946177439574726</v>
      </c>
    </row>
    <row r="95" spans="1:45">
      <c r="A95" s="19">
        <v>96.062633329999997</v>
      </c>
      <c r="B95" s="19">
        <v>476.45751300000001</v>
      </c>
      <c r="C95" s="19">
        <v>-787.36412069999994</v>
      </c>
      <c r="E95" s="9">
        <f t="shared" si="32"/>
        <v>-483.54248699999999</v>
      </c>
      <c r="F95" s="9">
        <f t="shared" si="33"/>
        <v>-247.36412069999994</v>
      </c>
      <c r="I95">
        <v>1</v>
      </c>
      <c r="J95">
        <f t="shared" si="22"/>
        <v>0.34641819979562288</v>
      </c>
      <c r="K95">
        <f t="shared" si="34"/>
        <v>-2.6687347465594469</v>
      </c>
      <c r="O95">
        <f t="shared" si="35"/>
        <v>-0.30227435254277485</v>
      </c>
      <c r="P95">
        <f t="shared" si="36"/>
        <v>-0.15463342195802815</v>
      </c>
      <c r="Q95">
        <f t="shared" si="37"/>
        <v>0.94059487592076363</v>
      </c>
      <c r="R95">
        <f t="shared" si="44"/>
        <v>1</v>
      </c>
      <c r="AG95" s="8">
        <f t="shared" si="24"/>
        <v>-0.44796128424153864</v>
      </c>
      <c r="AH95" s="8">
        <f t="shared" si="25"/>
        <v>0.81953267243981043</v>
      </c>
      <c r="AI95" s="8">
        <f t="shared" si="26"/>
        <v>0.35734701149489689</v>
      </c>
      <c r="AJ95" s="8"/>
      <c r="AK95" s="8"/>
      <c r="AL95" s="8"/>
      <c r="AN95" s="8">
        <f t="shared" si="38"/>
        <v>1.0000000000000002</v>
      </c>
      <c r="AO95" s="8">
        <f t="shared" si="39"/>
        <v>2.0710298655295869</v>
      </c>
      <c r="AP95" s="8">
        <f t="shared" si="40"/>
        <v>1.2053705273399236</v>
      </c>
      <c r="AQ95" s="8"/>
      <c r="AR95" s="8">
        <f t="shared" si="41"/>
        <v>118.66127054039174</v>
      </c>
      <c r="AS95" s="8">
        <f t="shared" si="42"/>
        <v>20.937356033963965</v>
      </c>
    </row>
    <row r="96" spans="1:45">
      <c r="A96" s="19">
        <v>96.096000000000004</v>
      </c>
      <c r="B96" s="19">
        <v>475.92558539999999</v>
      </c>
      <c r="C96" s="19">
        <v>-787.41918999999996</v>
      </c>
      <c r="E96" s="9">
        <f t="shared" si="32"/>
        <v>-484.07441460000001</v>
      </c>
      <c r="F96" s="9">
        <f t="shared" si="33"/>
        <v>-247.41918999999996</v>
      </c>
      <c r="I96">
        <v>1</v>
      </c>
      <c r="J96">
        <f t="shared" ref="J96:J159" si="45">ATAN((SQRT(E96^2+F96^2)^$B$16)/($F$24))</f>
        <v>0.34671519641194237</v>
      </c>
      <c r="K96">
        <f t="shared" si="34"/>
        <v>-2.6690901850504107</v>
      </c>
      <c r="O96">
        <f t="shared" si="35"/>
        <v>-0.30257802811770024</v>
      </c>
      <c r="P96">
        <f t="shared" si="36"/>
        <v>-0.15465310367733417</v>
      </c>
      <c r="Q96">
        <f t="shared" si="37"/>
        <v>0.94049399488958563</v>
      </c>
      <c r="R96">
        <f t="shared" si="44"/>
        <v>1</v>
      </c>
      <c r="AG96" s="8">
        <f t="shared" ref="AG96:AG159" si="46">$O96*$Z$27+$P96*$Z$31+$Q96*$Z$35</f>
        <v>-0.44771901736943676</v>
      </c>
      <c r="AH96" s="8">
        <f t="shared" ref="AH96:AH159" si="47">$O96*$AA$27+$P96*$AA$31+$Q96*$AA$35</f>
        <v>0.81971238597848295</v>
      </c>
      <c r="AI96" s="8">
        <f t="shared" ref="AI96:AI159" si="48">$AB$27*$O96+$P96*$AB$31+$AB$35*$Q96</f>
        <v>0.35723841585026755</v>
      </c>
      <c r="AJ96" s="8"/>
      <c r="AK96" s="8"/>
      <c r="AL96" s="8"/>
      <c r="AN96" s="8">
        <f t="shared" si="38"/>
        <v>1.0000000000000002</v>
      </c>
      <c r="AO96" s="8">
        <f t="shared" si="39"/>
        <v>2.0707099791119621</v>
      </c>
      <c r="AP96" s="8">
        <f t="shared" si="40"/>
        <v>1.2054867977053492</v>
      </c>
      <c r="AQ96" s="8"/>
      <c r="AR96" s="8">
        <f t="shared" si="41"/>
        <v>118.64294239873828</v>
      </c>
      <c r="AS96" s="8">
        <f t="shared" si="42"/>
        <v>20.930694232742638</v>
      </c>
    </row>
    <row r="97" spans="1:45">
      <c r="A97" s="19">
        <v>96.129366669999996</v>
      </c>
      <c r="B97" s="19">
        <v>475.77513010000001</v>
      </c>
      <c r="C97" s="19">
        <v>-787.38092959999994</v>
      </c>
      <c r="E97" s="9">
        <f t="shared" ref="E97:E160" si="49">(B97-($B$15/2))</f>
        <v>-484.22486989999999</v>
      </c>
      <c r="F97" s="9">
        <f t="shared" ref="F97:F160" si="50">(($C$15/2)+C97)</f>
        <v>-247.38092959999994</v>
      </c>
      <c r="I97">
        <v>1</v>
      </c>
      <c r="J97">
        <f t="shared" si="45"/>
        <v>0.34678461184171905</v>
      </c>
      <c r="K97">
        <f t="shared" ref="K97:K160" si="51">ATAN2(E97,F97)</f>
        <v>-2.6692787674727807</v>
      </c>
      <c r="O97">
        <f t="shared" ref="O97:O160" si="52">COS(K97)*SIN(J97)</f>
        <v>-0.30266532414832187</v>
      </c>
      <c r="P97">
        <f t="shared" ref="P97:P160" si="53">SIN(K97)*SIN(J97)</f>
        <v>-0.15462574084837846</v>
      </c>
      <c r="Q97">
        <f t="shared" ref="Q97:Q160" si="54">COS(J97)</f>
        <v>0.94047040454513042</v>
      </c>
      <c r="R97">
        <f t="shared" si="44"/>
        <v>1</v>
      </c>
      <c r="AG97" s="8">
        <f t="shared" si="46"/>
        <v>-0.44763629228075119</v>
      </c>
      <c r="AH97" s="8">
        <f t="shared" si="47"/>
        <v>0.81975800778610464</v>
      </c>
      <c r="AI97" s="8">
        <f t="shared" si="48"/>
        <v>0.35723739796345322</v>
      </c>
      <c r="AJ97" s="8"/>
      <c r="AK97" s="8"/>
      <c r="AL97" s="8"/>
      <c r="AN97" s="8">
        <f t="shared" ref="AN97:AN160" si="55">AG97^2+AH97^2+AI97^2</f>
        <v>1</v>
      </c>
      <c r="AO97" s="8">
        <f t="shared" ref="AO97:AO160" si="56">IF(ATAN2(AG97,AH97)&gt;=0,ATAN2(AG97,AH97),ATAN2(AG97,AH97)+2*PI())</f>
        <v>2.0706088346315346</v>
      </c>
      <c r="AP97" s="8">
        <f t="shared" ref="AP97:AP160" si="57">ACOS(AI97/AN97)</f>
        <v>1.2054878875042614</v>
      </c>
      <c r="AQ97" s="8"/>
      <c r="AR97" s="8">
        <f t="shared" ref="AR97:AR160" si="58">DEGREES(AO97)</f>
        <v>118.63714724688874</v>
      </c>
      <c r="AS97" s="8">
        <f t="shared" ref="AS97:AS160" si="59">90-DEGREES(AP97)</f>
        <v>20.930631791864457</v>
      </c>
    </row>
    <row r="98" spans="1:45">
      <c r="A98" s="19">
        <v>96.162733329999995</v>
      </c>
      <c r="B98" s="19">
        <v>475.39144640000001</v>
      </c>
      <c r="C98" s="19">
        <v>-787.36975610000002</v>
      </c>
      <c r="E98" s="9">
        <f t="shared" si="49"/>
        <v>-484.60855359999999</v>
      </c>
      <c r="F98" s="9">
        <f t="shared" si="50"/>
        <v>-247.36975610000002</v>
      </c>
      <c r="I98">
        <v>1</v>
      </c>
      <c r="J98">
        <f t="shared" si="45"/>
        <v>0.34698505304460697</v>
      </c>
      <c r="K98">
        <f t="shared" si="51"/>
        <v>-2.6696178755734299</v>
      </c>
      <c r="O98">
        <f t="shared" si="52"/>
        <v>-0.30288563524689976</v>
      </c>
      <c r="P98">
        <f t="shared" si="53"/>
        <v>-0.1546087974729862</v>
      </c>
      <c r="Q98">
        <f t="shared" si="54"/>
        <v>0.9404022605805662</v>
      </c>
      <c r="R98">
        <f t="shared" si="44"/>
        <v>1</v>
      </c>
      <c r="AG98" s="8">
        <f t="shared" si="46"/>
        <v>-0.4474481200331365</v>
      </c>
      <c r="AH98" s="8">
        <f t="shared" si="47"/>
        <v>0.81988263477743573</v>
      </c>
      <c r="AI98" s="8">
        <f t="shared" si="48"/>
        <v>0.35718712892435212</v>
      </c>
      <c r="AJ98" s="8"/>
      <c r="AK98" s="8"/>
      <c r="AL98" s="8"/>
      <c r="AN98" s="8">
        <f t="shared" si="55"/>
        <v>1</v>
      </c>
      <c r="AO98" s="8">
        <f t="shared" si="56"/>
        <v>2.0703680695947329</v>
      </c>
      <c r="AP98" s="8">
        <f t="shared" si="57"/>
        <v>1.2055417074065515</v>
      </c>
      <c r="AQ98" s="8"/>
      <c r="AR98" s="8">
        <f t="shared" si="58"/>
        <v>118.6233524264257</v>
      </c>
      <c r="AS98" s="8">
        <f t="shared" si="59"/>
        <v>20.927548138609424</v>
      </c>
    </row>
    <row r="99" spans="1:45">
      <c r="A99" s="19">
        <v>96.196100000000001</v>
      </c>
      <c r="B99" s="19">
        <v>475.01501990000003</v>
      </c>
      <c r="C99" s="19">
        <v>-787.35275479999996</v>
      </c>
      <c r="E99" s="9">
        <f t="shared" si="49"/>
        <v>-484.98498009999997</v>
      </c>
      <c r="F99" s="9">
        <f t="shared" si="50"/>
        <v>-247.35275479999996</v>
      </c>
      <c r="I99">
        <v>1</v>
      </c>
      <c r="J99">
        <f t="shared" si="45"/>
        <v>0.34718007899944647</v>
      </c>
      <c r="K99">
        <f t="shared" si="51"/>
        <v>-2.66996004374663</v>
      </c>
      <c r="O99">
        <f t="shared" si="52"/>
        <v>-0.3031018943031778</v>
      </c>
      <c r="P99">
        <f t="shared" si="53"/>
        <v>-0.15458847514314897</v>
      </c>
      <c r="Q99">
        <f t="shared" si="54"/>
        <v>0.9403359213721133</v>
      </c>
      <c r="R99">
        <f t="shared" si="44"/>
        <v>1</v>
      </c>
      <c r="AG99" s="8">
        <f t="shared" si="46"/>
        <v>-0.44726191482511835</v>
      </c>
      <c r="AH99" s="8">
        <f t="shared" si="47"/>
        <v>0.8200042637734184</v>
      </c>
      <c r="AI99" s="8">
        <f t="shared" si="48"/>
        <v>0.35714113028378958</v>
      </c>
      <c r="AJ99" s="8"/>
      <c r="AK99" s="8"/>
      <c r="AL99" s="8"/>
      <c r="AN99" s="8">
        <f t="shared" si="55"/>
        <v>1.0000000000000002</v>
      </c>
      <c r="AO99" s="8">
        <f t="shared" si="56"/>
        <v>2.0701307001944027</v>
      </c>
      <c r="AP99" s="8">
        <f t="shared" si="57"/>
        <v>1.2055909542908645</v>
      </c>
      <c r="AQ99" s="8"/>
      <c r="AR99" s="8">
        <f t="shared" si="58"/>
        <v>118.60975216160122</v>
      </c>
      <c r="AS99" s="8">
        <f t="shared" si="59"/>
        <v>20.924726499984118</v>
      </c>
    </row>
    <row r="100" spans="1:45">
      <c r="A100" s="19">
        <v>96.229466669999994</v>
      </c>
      <c r="B100" s="19">
        <v>474.66460260000002</v>
      </c>
      <c r="C100" s="19">
        <v>-787.30694979999998</v>
      </c>
      <c r="E100" s="9">
        <f t="shared" si="49"/>
        <v>-485.33539739999998</v>
      </c>
      <c r="F100" s="9">
        <f t="shared" si="50"/>
        <v>-247.30694979999998</v>
      </c>
      <c r="I100">
        <v>1</v>
      </c>
      <c r="J100">
        <f t="shared" si="45"/>
        <v>0.34735353820227055</v>
      </c>
      <c r="K100">
        <f t="shared" si="51"/>
        <v>-2.6703272348546876</v>
      </c>
      <c r="O100">
        <f t="shared" si="52"/>
        <v>-0.3033039628587571</v>
      </c>
      <c r="P100">
        <f t="shared" si="53"/>
        <v>-0.15455122028742366</v>
      </c>
      <c r="Q100">
        <f t="shared" si="54"/>
        <v>0.94027688816743871</v>
      </c>
      <c r="R100">
        <f t="shared" si="44"/>
        <v>1</v>
      </c>
      <c r="AG100" s="8">
        <f t="shared" si="46"/>
        <v>-0.44708066798749413</v>
      </c>
      <c r="AH100" s="8">
        <f t="shared" si="47"/>
        <v>0.82011454802696693</v>
      </c>
      <c r="AI100" s="8">
        <f t="shared" si="48"/>
        <v>0.35711483366891922</v>
      </c>
      <c r="AJ100" s="8"/>
      <c r="AK100" s="8"/>
      <c r="AL100" s="8"/>
      <c r="AN100" s="8">
        <f t="shared" si="55"/>
        <v>1</v>
      </c>
      <c r="AO100" s="8">
        <f t="shared" si="56"/>
        <v>2.0699038138986992</v>
      </c>
      <c r="AP100" s="8">
        <f t="shared" si="57"/>
        <v>1.2056191074530327</v>
      </c>
      <c r="AQ100" s="8"/>
      <c r="AR100" s="8">
        <f t="shared" si="58"/>
        <v>118.59675253442805</v>
      </c>
      <c r="AS100" s="8">
        <f t="shared" si="59"/>
        <v>20.923113442611935</v>
      </c>
    </row>
    <row r="101" spans="1:45">
      <c r="A101" s="19">
        <v>96.262833330000007</v>
      </c>
      <c r="B101" s="19">
        <v>474.30725289999998</v>
      </c>
      <c r="C101" s="19">
        <v>-787.34789479999995</v>
      </c>
      <c r="E101" s="9">
        <f t="shared" si="49"/>
        <v>-485.69274710000002</v>
      </c>
      <c r="F101" s="9">
        <f t="shared" si="50"/>
        <v>-247.34789479999995</v>
      </c>
      <c r="I101">
        <v>1</v>
      </c>
      <c r="J101">
        <f t="shared" si="45"/>
        <v>0.34755412500912453</v>
      </c>
      <c r="K101">
        <f t="shared" si="51"/>
        <v>-2.6705579664810504</v>
      </c>
      <c r="O101">
        <f t="shared" si="52"/>
        <v>-0.30350767620896502</v>
      </c>
      <c r="P101">
        <f t="shared" si="53"/>
        <v>-0.15456682277874509</v>
      </c>
      <c r="Q101">
        <f t="shared" si="54"/>
        <v>0.9402085873774596</v>
      </c>
      <c r="R101">
        <f t="shared" si="44"/>
        <v>1</v>
      </c>
      <c r="AG101" s="8">
        <f t="shared" si="46"/>
        <v>-0.44691895980338847</v>
      </c>
      <c r="AH101" s="8">
        <f t="shared" si="47"/>
        <v>0.82023540769033343</v>
      </c>
      <c r="AI101" s="8">
        <f t="shared" si="48"/>
        <v>0.35703966073719273</v>
      </c>
      <c r="AJ101" s="8"/>
      <c r="AK101" s="8"/>
      <c r="AL101" s="8"/>
      <c r="AN101" s="8">
        <f t="shared" si="55"/>
        <v>0.99999999999999989</v>
      </c>
      <c r="AO101" s="8">
        <f t="shared" si="56"/>
        <v>2.0696898836463031</v>
      </c>
      <c r="AP101" s="8">
        <f t="shared" si="57"/>
        <v>1.2056995859405402</v>
      </c>
      <c r="AQ101" s="8"/>
      <c r="AR101" s="8">
        <f t="shared" si="58"/>
        <v>118.58449523385559</v>
      </c>
      <c r="AS101" s="8">
        <f t="shared" si="59"/>
        <v>20.91850236493616</v>
      </c>
    </row>
    <row r="102" spans="1:45">
      <c r="A102" s="19">
        <v>96.296199999999999</v>
      </c>
      <c r="B102" s="19">
        <v>473.93105250000002</v>
      </c>
      <c r="C102" s="19">
        <v>-787.35965329999999</v>
      </c>
      <c r="E102" s="9">
        <f t="shared" si="49"/>
        <v>-486.06894749999998</v>
      </c>
      <c r="F102" s="9">
        <f t="shared" si="50"/>
        <v>-247.35965329999999</v>
      </c>
      <c r="I102">
        <v>1</v>
      </c>
      <c r="J102">
        <f t="shared" si="45"/>
        <v>0.3477568211270668</v>
      </c>
      <c r="K102">
        <f t="shared" si="51"/>
        <v>-2.6708517838993573</v>
      </c>
      <c r="O102">
        <f t="shared" si="52"/>
        <v>-0.30372291938508716</v>
      </c>
      <c r="P102">
        <f t="shared" si="53"/>
        <v>-0.15456407249376697</v>
      </c>
      <c r="Q102">
        <f t="shared" si="54"/>
        <v>0.94013952992858529</v>
      </c>
      <c r="R102">
        <f t="shared" si="44"/>
        <v>1</v>
      </c>
      <c r="AG102" s="8">
        <f t="shared" si="46"/>
        <v>-0.44674045328364659</v>
      </c>
      <c r="AH102" s="8">
        <f t="shared" si="47"/>
        <v>0.82035956513074371</v>
      </c>
      <c r="AI102" s="8">
        <f t="shared" si="48"/>
        <v>0.35697780224884995</v>
      </c>
      <c r="AJ102" s="8"/>
      <c r="AK102" s="8"/>
      <c r="AL102" s="8"/>
      <c r="AN102" s="8">
        <f t="shared" si="55"/>
        <v>1</v>
      </c>
      <c r="AO102" s="8">
        <f t="shared" si="56"/>
        <v>2.06945848499244</v>
      </c>
      <c r="AP102" s="8">
        <f t="shared" si="57"/>
        <v>1.2057658084210425</v>
      </c>
      <c r="AQ102" s="8"/>
      <c r="AR102" s="8">
        <f t="shared" si="58"/>
        <v>118.57123706760423</v>
      </c>
      <c r="AS102" s="8">
        <f t="shared" si="59"/>
        <v>20.91470809629449</v>
      </c>
    </row>
    <row r="103" spans="1:45">
      <c r="A103" s="19">
        <v>96.329566670000006</v>
      </c>
      <c r="B103" s="19">
        <v>473.66911679999998</v>
      </c>
      <c r="C103" s="19">
        <v>-787.36465940000005</v>
      </c>
      <c r="E103" s="9">
        <f t="shared" si="49"/>
        <v>-486.33088320000002</v>
      </c>
      <c r="F103" s="9">
        <f t="shared" si="50"/>
        <v>-247.36465940000005</v>
      </c>
      <c r="I103">
        <v>1</v>
      </c>
      <c r="J103">
        <f t="shared" si="45"/>
        <v>0.34789709342891167</v>
      </c>
      <c r="K103">
        <f t="shared" si="51"/>
        <v>-2.6710613388203601</v>
      </c>
      <c r="O103">
        <f t="shared" si="52"/>
        <v>-0.30387284368598638</v>
      </c>
      <c r="P103">
        <f t="shared" si="53"/>
        <v>-0.15456020803100318</v>
      </c>
      <c r="Q103">
        <f t="shared" si="54"/>
        <v>0.94009171731464858</v>
      </c>
      <c r="R103">
        <f t="shared" si="44"/>
        <v>1</v>
      </c>
      <c r="AG103" s="8">
        <f t="shared" si="46"/>
        <v>-0.44661532675746207</v>
      </c>
      <c r="AH103" s="8">
        <f t="shared" si="47"/>
        <v>0.82044567069565488</v>
      </c>
      <c r="AI103" s="8">
        <f t="shared" si="48"/>
        <v>0.35693648082268442</v>
      </c>
      <c r="AJ103" s="8"/>
      <c r="AK103" s="8"/>
      <c r="AL103" s="8"/>
      <c r="AN103" s="8">
        <f t="shared" si="55"/>
        <v>1.0000000000000002</v>
      </c>
      <c r="AO103" s="8">
        <f t="shared" si="56"/>
        <v>2.0692967630600108</v>
      </c>
      <c r="AP103" s="8">
        <f t="shared" si="57"/>
        <v>1.2058100440571886</v>
      </c>
      <c r="AQ103" s="8"/>
      <c r="AR103" s="8">
        <f t="shared" si="58"/>
        <v>118.56197108342133</v>
      </c>
      <c r="AS103" s="8">
        <f t="shared" si="59"/>
        <v>20.912173581039241</v>
      </c>
    </row>
    <row r="104" spans="1:45">
      <c r="A104" s="19">
        <v>96.362933330000004</v>
      </c>
      <c r="B104" s="19">
        <v>473.33250720000001</v>
      </c>
      <c r="C104" s="19">
        <v>-787.39084849999995</v>
      </c>
      <c r="E104" s="9">
        <f t="shared" si="49"/>
        <v>-486.66749279999999</v>
      </c>
      <c r="F104" s="9">
        <f t="shared" si="50"/>
        <v>-247.39084849999995</v>
      </c>
      <c r="I104">
        <v>1</v>
      </c>
      <c r="J104">
        <f t="shared" si="45"/>
        <v>0.34808268243477897</v>
      </c>
      <c r="K104">
        <f t="shared" si="51"/>
        <v>-2.6712981100578217</v>
      </c>
      <c r="O104">
        <f t="shared" si="52"/>
        <v>-0.30406495459674754</v>
      </c>
      <c r="P104">
        <f t="shared" si="53"/>
        <v>-0.15456731388409542</v>
      </c>
      <c r="Q104">
        <f t="shared" si="54"/>
        <v>0.94002842981727597</v>
      </c>
      <c r="R104">
        <f t="shared" si="44"/>
        <v>1</v>
      </c>
      <c r="AG104" s="8">
        <f t="shared" si="46"/>
        <v>-0.44645974093749652</v>
      </c>
      <c r="AH104" s="8">
        <f t="shared" si="47"/>
        <v>0.82055818400114411</v>
      </c>
      <c r="AI104" s="8">
        <f t="shared" si="48"/>
        <v>0.35687247917255827</v>
      </c>
      <c r="AJ104" s="8"/>
      <c r="AK104" s="8"/>
      <c r="AL104" s="8"/>
      <c r="AN104" s="8">
        <f t="shared" si="55"/>
        <v>1</v>
      </c>
      <c r="AO104" s="8">
        <f t="shared" si="56"/>
        <v>2.069092894199219</v>
      </c>
      <c r="AP104" s="8">
        <f t="shared" si="57"/>
        <v>1.2058785579732409</v>
      </c>
      <c r="AQ104" s="8"/>
      <c r="AR104" s="8">
        <f t="shared" si="58"/>
        <v>118.55029025812382</v>
      </c>
      <c r="AS104" s="8">
        <f t="shared" si="59"/>
        <v>20.90824802281152</v>
      </c>
    </row>
    <row r="105" spans="1:45">
      <c r="A105" s="19">
        <v>96.396299999999997</v>
      </c>
      <c r="B105" s="19">
        <v>473.07180990000001</v>
      </c>
      <c r="C105" s="19">
        <v>-787.3783942</v>
      </c>
      <c r="E105" s="9">
        <f t="shared" si="49"/>
        <v>-486.92819009999999</v>
      </c>
      <c r="F105" s="9">
        <f t="shared" si="50"/>
        <v>-247.3783942</v>
      </c>
      <c r="I105">
        <v>1</v>
      </c>
      <c r="J105">
        <f t="shared" si="45"/>
        <v>0.34821759204365071</v>
      </c>
      <c r="K105">
        <f t="shared" si="51"/>
        <v>-2.6715347365689714</v>
      </c>
      <c r="O105">
        <f t="shared" si="52"/>
        <v>-0.304214582394496</v>
      </c>
      <c r="P105">
        <f t="shared" si="53"/>
        <v>-0.15455279939639305</v>
      </c>
      <c r="Q105">
        <f t="shared" si="54"/>
        <v>0.93998240412109879</v>
      </c>
      <c r="R105">
        <f t="shared" si="44"/>
        <v>1</v>
      </c>
      <c r="AG105" s="8">
        <f t="shared" si="46"/>
        <v>-0.44633060756181131</v>
      </c>
      <c r="AH105" s="8">
        <f t="shared" si="47"/>
        <v>0.82064213894405458</v>
      </c>
      <c r="AI105" s="8">
        <f t="shared" si="48"/>
        <v>0.35684095693015855</v>
      </c>
      <c r="AJ105" s="8"/>
      <c r="AK105" s="8"/>
      <c r="AL105" s="8"/>
      <c r="AN105" s="8">
        <f t="shared" si="55"/>
        <v>0.99999999999999989</v>
      </c>
      <c r="AO105" s="8">
        <f t="shared" si="56"/>
        <v>2.0689285174028011</v>
      </c>
      <c r="AP105" s="8">
        <f t="shared" si="57"/>
        <v>1.2059123019482685</v>
      </c>
      <c r="AQ105" s="8"/>
      <c r="AR105" s="8">
        <f t="shared" si="58"/>
        <v>118.5408721614392</v>
      </c>
      <c r="AS105" s="8">
        <f t="shared" si="59"/>
        <v>20.906314635458457</v>
      </c>
    </row>
    <row r="106" spans="1:45">
      <c r="A106" s="19">
        <v>96.429666670000003</v>
      </c>
      <c r="B106" s="19">
        <v>472.56861079999999</v>
      </c>
      <c r="C106" s="19">
        <v>-787.34700580000003</v>
      </c>
      <c r="E106" s="9">
        <f t="shared" si="49"/>
        <v>-487.43138920000001</v>
      </c>
      <c r="F106" s="9">
        <f t="shared" si="50"/>
        <v>-247.34700580000003</v>
      </c>
      <c r="I106">
        <v>1</v>
      </c>
      <c r="J106">
        <f t="shared" si="45"/>
        <v>0.3484760331734551</v>
      </c>
      <c r="K106">
        <f t="shared" si="51"/>
        <v>-2.6720029084556622</v>
      </c>
      <c r="O106">
        <f t="shared" si="52"/>
        <v>-0.3045035300678145</v>
      </c>
      <c r="P106">
        <f t="shared" si="53"/>
        <v>-0.15452028344218949</v>
      </c>
      <c r="Q106">
        <f t="shared" si="54"/>
        <v>0.93989418669400493</v>
      </c>
      <c r="R106">
        <f t="shared" si="44"/>
        <v>1</v>
      </c>
      <c r="AG106" s="8">
        <f t="shared" si="46"/>
        <v>-0.44607941635014681</v>
      </c>
      <c r="AH106" s="8">
        <f t="shared" si="47"/>
        <v>0.82080340288304809</v>
      </c>
      <c r="AI106" s="8">
        <f t="shared" si="48"/>
        <v>0.35678414780413226</v>
      </c>
      <c r="AJ106" s="8"/>
      <c r="AK106" s="8"/>
      <c r="AL106" s="8"/>
      <c r="AN106" s="8">
        <f t="shared" si="55"/>
        <v>0.99999999999999989</v>
      </c>
      <c r="AO106" s="8">
        <f t="shared" si="56"/>
        <v>2.068609828307558</v>
      </c>
      <c r="AP106" s="8">
        <f t="shared" si="57"/>
        <v>1.2059731139643395</v>
      </c>
      <c r="AQ106" s="8"/>
      <c r="AR106" s="8">
        <f t="shared" si="58"/>
        <v>118.52261262130493</v>
      </c>
      <c r="AS106" s="8">
        <f t="shared" si="59"/>
        <v>20.902830363593907</v>
      </c>
    </row>
    <row r="107" spans="1:45">
      <c r="A107" s="19">
        <v>96.463033330000002</v>
      </c>
      <c r="B107" s="19">
        <v>472.09456970000002</v>
      </c>
      <c r="C107" s="19">
        <v>-787.34094249999998</v>
      </c>
      <c r="E107" s="9">
        <f t="shared" si="49"/>
        <v>-487.90543029999998</v>
      </c>
      <c r="F107" s="9">
        <f t="shared" si="50"/>
        <v>-247.34094249999998</v>
      </c>
      <c r="I107">
        <v>1</v>
      </c>
      <c r="J107">
        <f t="shared" si="45"/>
        <v>0.34872584255408734</v>
      </c>
      <c r="K107">
        <f t="shared" si="51"/>
        <v>-2.6724049428997336</v>
      </c>
      <c r="O107">
        <f t="shared" si="52"/>
        <v>-0.30477503996176636</v>
      </c>
      <c r="P107">
        <f t="shared" si="53"/>
        <v>-0.15450401031254626</v>
      </c>
      <c r="Q107">
        <f t="shared" si="54"/>
        <v>0.93980885599873143</v>
      </c>
      <c r="R107">
        <f t="shared" si="44"/>
        <v>1</v>
      </c>
      <c r="AG107" s="8">
        <f t="shared" si="46"/>
        <v>-0.44584898348528579</v>
      </c>
      <c r="AH107" s="8">
        <f t="shared" si="47"/>
        <v>0.8209574899707357</v>
      </c>
      <c r="AI107" s="8">
        <f t="shared" si="48"/>
        <v>0.3567176524733347</v>
      </c>
      <c r="AJ107" s="8"/>
      <c r="AK107" s="8"/>
      <c r="AL107" s="8"/>
      <c r="AN107" s="8">
        <f t="shared" si="55"/>
        <v>1</v>
      </c>
      <c r="AO107" s="8">
        <f t="shared" si="56"/>
        <v>2.0683143468666625</v>
      </c>
      <c r="AP107" s="8">
        <f t="shared" si="57"/>
        <v>1.2060442929013973</v>
      </c>
      <c r="AQ107" s="8"/>
      <c r="AR107" s="8">
        <f t="shared" si="58"/>
        <v>118.50568278181717</v>
      </c>
      <c r="AS107" s="8">
        <f t="shared" si="59"/>
        <v>20.898752110910266</v>
      </c>
    </row>
    <row r="108" spans="1:45">
      <c r="A108" s="19">
        <v>96.496399999999994</v>
      </c>
      <c r="B108" s="19">
        <v>472.26709419999997</v>
      </c>
      <c r="C108" s="19">
        <v>-787.34983810000006</v>
      </c>
      <c r="E108" s="9">
        <f t="shared" si="49"/>
        <v>-487.73290580000003</v>
      </c>
      <c r="F108" s="9">
        <f t="shared" si="50"/>
        <v>-247.34983810000006</v>
      </c>
      <c r="I108">
        <v>1</v>
      </c>
      <c r="J108">
        <f t="shared" si="45"/>
        <v>0.34863672403905566</v>
      </c>
      <c r="K108">
        <f t="shared" si="51"/>
        <v>-2.6722477875870645</v>
      </c>
      <c r="O108">
        <f t="shared" si="52"/>
        <v>-0.30467605628811617</v>
      </c>
      <c r="P108">
        <f t="shared" si="53"/>
        <v>-0.15451402253083762</v>
      </c>
      <c r="Q108">
        <f t="shared" si="54"/>
        <v>0.93983930411856076</v>
      </c>
      <c r="R108">
        <f t="shared" si="44"/>
        <v>1</v>
      </c>
      <c r="AG108" s="8">
        <f t="shared" si="46"/>
        <v>-0.44593461258978973</v>
      </c>
      <c r="AH108" s="8">
        <f t="shared" si="47"/>
        <v>0.82090206541086541</v>
      </c>
      <c r="AI108" s="8">
        <f t="shared" si="48"/>
        <v>0.35673816770646977</v>
      </c>
      <c r="AJ108" s="8"/>
      <c r="AK108" s="8"/>
      <c r="AL108" s="8"/>
      <c r="AN108" s="8">
        <f t="shared" si="55"/>
        <v>1</v>
      </c>
      <c r="AO108" s="8">
        <f t="shared" si="56"/>
        <v>2.0684232089248931</v>
      </c>
      <c r="AP108" s="8">
        <f t="shared" si="57"/>
        <v>1.2060223328818347</v>
      </c>
      <c r="AQ108" s="8"/>
      <c r="AR108" s="8">
        <f t="shared" si="58"/>
        <v>118.51192011830288</v>
      </c>
      <c r="AS108" s="8">
        <f t="shared" si="59"/>
        <v>20.900010327349221</v>
      </c>
    </row>
    <row r="109" spans="1:45">
      <c r="A109" s="19">
        <v>96.529766670000001</v>
      </c>
      <c r="B109" s="19">
        <v>471.4181236</v>
      </c>
      <c r="C109" s="19">
        <v>-787.35056410000004</v>
      </c>
      <c r="E109" s="9">
        <f t="shared" si="49"/>
        <v>-488.5818764</v>
      </c>
      <c r="F109" s="9">
        <f t="shared" si="50"/>
        <v>-247.35056410000004</v>
      </c>
      <c r="I109">
        <v>1</v>
      </c>
      <c r="J109">
        <f t="shared" si="45"/>
        <v>0.34908723874319814</v>
      </c>
      <c r="K109">
        <f t="shared" si="51"/>
        <v>-2.6729477972903402</v>
      </c>
      <c r="O109">
        <f t="shared" si="52"/>
        <v>-0.30516187171605047</v>
      </c>
      <c r="P109">
        <f t="shared" si="53"/>
        <v>-0.1544919383153299</v>
      </c>
      <c r="Q109">
        <f t="shared" si="54"/>
        <v>0.9396853053263784</v>
      </c>
      <c r="R109">
        <f t="shared" si="44"/>
        <v>1</v>
      </c>
      <c r="AG109" s="8">
        <f t="shared" si="46"/>
        <v>-0.4455249854331248</v>
      </c>
      <c r="AH109" s="8">
        <f t="shared" si="47"/>
        <v>0.82117896671441892</v>
      </c>
      <c r="AI109" s="8">
        <f t="shared" si="48"/>
        <v>0.356612663797366</v>
      </c>
      <c r="AJ109" s="8"/>
      <c r="AK109" s="8"/>
      <c r="AL109" s="8"/>
      <c r="AN109" s="8">
        <f t="shared" si="55"/>
        <v>1</v>
      </c>
      <c r="AO109" s="8">
        <f t="shared" si="56"/>
        <v>2.0678964527163686</v>
      </c>
      <c r="AP109" s="8">
        <f t="shared" si="57"/>
        <v>1.2061566725285793</v>
      </c>
      <c r="AQ109" s="8"/>
      <c r="AR109" s="8">
        <f t="shared" si="58"/>
        <v>118.48173921072213</v>
      </c>
      <c r="AS109" s="8">
        <f t="shared" si="59"/>
        <v>20.892313232569478</v>
      </c>
    </row>
    <row r="110" spans="1:45">
      <c r="A110" s="19">
        <v>96.563133329999999</v>
      </c>
      <c r="B110" s="19">
        <v>471.69606499999998</v>
      </c>
      <c r="C110" s="19">
        <v>-787.30894420000004</v>
      </c>
      <c r="E110" s="9">
        <f t="shared" si="49"/>
        <v>-488.30393500000002</v>
      </c>
      <c r="F110" s="9">
        <f t="shared" si="50"/>
        <v>-247.30894420000004</v>
      </c>
      <c r="I110">
        <v>1</v>
      </c>
      <c r="J110">
        <f t="shared" si="45"/>
        <v>0.34892862583456258</v>
      </c>
      <c r="K110">
        <f t="shared" si="51"/>
        <v>-2.6727862810881504</v>
      </c>
      <c r="O110">
        <f t="shared" si="52"/>
        <v>-0.30500394558767541</v>
      </c>
      <c r="P110">
        <f t="shared" si="53"/>
        <v>-0.15447388061724776</v>
      </c>
      <c r="Q110">
        <f t="shared" si="54"/>
        <v>0.93973954550343286</v>
      </c>
      <c r="R110">
        <f t="shared" si="44"/>
        <v>1</v>
      </c>
      <c r="AG110" s="8">
        <f t="shared" si="46"/>
        <v>-0.445648173424675</v>
      </c>
      <c r="AH110" s="8">
        <f t="shared" si="47"/>
        <v>0.82108436338822621</v>
      </c>
      <c r="AI110" s="8">
        <f t="shared" si="48"/>
        <v>0.35667656738647968</v>
      </c>
      <c r="AJ110" s="8"/>
      <c r="AK110" s="8"/>
      <c r="AL110" s="8"/>
      <c r="AN110" s="8">
        <f t="shared" si="55"/>
        <v>0.99999999999999978</v>
      </c>
      <c r="AO110" s="8">
        <f t="shared" si="56"/>
        <v>2.0680606447142269</v>
      </c>
      <c r="AP110" s="8">
        <f t="shared" si="57"/>
        <v>1.2060882708541434</v>
      </c>
      <c r="AQ110" s="8"/>
      <c r="AR110" s="8">
        <f t="shared" si="58"/>
        <v>118.49114671922922</v>
      </c>
      <c r="AS110" s="8">
        <f t="shared" si="59"/>
        <v>20.896232359826286</v>
      </c>
    </row>
    <row r="111" spans="1:45">
      <c r="A111" s="19">
        <v>96.596500000000006</v>
      </c>
      <c r="B111" s="19">
        <v>471.19305120000001</v>
      </c>
      <c r="C111" s="19">
        <v>-787.35961740000005</v>
      </c>
      <c r="E111" s="9">
        <f t="shared" si="49"/>
        <v>-488.80694879999999</v>
      </c>
      <c r="F111" s="9">
        <f t="shared" si="50"/>
        <v>-247.35961740000005</v>
      </c>
      <c r="I111">
        <v>1</v>
      </c>
      <c r="J111">
        <f t="shared" si="45"/>
        <v>0.34920905743003988</v>
      </c>
      <c r="K111">
        <f t="shared" si="51"/>
        <v>-2.6731186217970664</v>
      </c>
      <c r="O111">
        <f t="shared" si="52"/>
        <v>-0.30529039391749252</v>
      </c>
      <c r="P111">
        <f t="shared" si="53"/>
        <v>-0.15449149244035104</v>
      </c>
      <c r="Q111">
        <f t="shared" si="54"/>
        <v>0.93964363146102103</v>
      </c>
      <c r="R111">
        <f t="shared" si="44"/>
        <v>1</v>
      </c>
      <c r="AG111" s="8">
        <f t="shared" si="46"/>
        <v>-0.44541872713474295</v>
      </c>
      <c r="AH111" s="8">
        <f t="shared" si="47"/>
        <v>0.82125317913107976</v>
      </c>
      <c r="AI111" s="8">
        <f t="shared" si="48"/>
        <v>0.35657449892660564</v>
      </c>
      <c r="AJ111" s="8"/>
      <c r="AK111" s="8"/>
      <c r="AL111" s="8"/>
      <c r="AN111" s="8">
        <f t="shared" si="55"/>
        <v>0.99999999999999978</v>
      </c>
      <c r="AO111" s="8">
        <f t="shared" si="56"/>
        <v>2.0677586033674911</v>
      </c>
      <c r="AP111" s="8">
        <f t="shared" si="57"/>
        <v>1.2061975229200343</v>
      </c>
      <c r="AQ111" s="8"/>
      <c r="AR111" s="8">
        <f t="shared" si="58"/>
        <v>118.47384102482282</v>
      </c>
      <c r="AS111" s="8">
        <f t="shared" si="59"/>
        <v>20.889972677547647</v>
      </c>
    </row>
    <row r="112" spans="1:45">
      <c r="A112" s="19">
        <v>96.629866669999998</v>
      </c>
      <c r="B112" s="19">
        <v>470.41956950000002</v>
      </c>
      <c r="C112" s="19">
        <v>-787.500317</v>
      </c>
      <c r="E112" s="9">
        <f t="shared" si="49"/>
        <v>-489.58043049999998</v>
      </c>
      <c r="F112" s="9">
        <f t="shared" si="50"/>
        <v>-247.500317</v>
      </c>
      <c r="I112">
        <v>1</v>
      </c>
      <c r="J112">
        <f t="shared" si="45"/>
        <v>0.34965707158154702</v>
      </c>
      <c r="K112">
        <f t="shared" si="51"/>
        <v>-2.6735264094174571</v>
      </c>
      <c r="O112">
        <f t="shared" si="52"/>
        <v>-0.30572903231914422</v>
      </c>
      <c r="P112">
        <f t="shared" si="53"/>
        <v>-0.15455689750060678</v>
      </c>
      <c r="Q112">
        <f t="shared" si="54"/>
        <v>0.93949024701280781</v>
      </c>
      <c r="R112">
        <f t="shared" si="44"/>
        <v>1</v>
      </c>
      <c r="AG112" s="8">
        <f t="shared" si="46"/>
        <v>-0.44508247496022335</v>
      </c>
      <c r="AH112" s="8">
        <f t="shared" si="47"/>
        <v>0.82151859232364655</v>
      </c>
      <c r="AI112" s="8">
        <f t="shared" si="48"/>
        <v>0.35638293021672152</v>
      </c>
      <c r="AJ112" s="8"/>
      <c r="AK112" s="8"/>
      <c r="AL112" s="8"/>
      <c r="AN112" s="8">
        <f t="shared" si="55"/>
        <v>1.0000000000000002</v>
      </c>
      <c r="AO112" s="8">
        <f t="shared" si="56"/>
        <v>2.0673068244295036</v>
      </c>
      <c r="AP112" s="8">
        <f t="shared" si="57"/>
        <v>1.2064025619911543</v>
      </c>
      <c r="AQ112" s="8"/>
      <c r="AR112" s="8">
        <f t="shared" si="58"/>
        <v>118.44795599840323</v>
      </c>
      <c r="AS112" s="8">
        <f t="shared" si="59"/>
        <v>20.87822480413719</v>
      </c>
    </row>
    <row r="113" spans="1:45">
      <c r="A113" s="19">
        <v>96.663233329999997</v>
      </c>
      <c r="B113" s="19">
        <v>470.25193660000002</v>
      </c>
      <c r="C113" s="19">
        <v>-787.39975460000005</v>
      </c>
      <c r="E113" s="9">
        <f t="shared" si="49"/>
        <v>-489.74806339999998</v>
      </c>
      <c r="F113" s="9">
        <f t="shared" si="50"/>
        <v>-247.39975460000005</v>
      </c>
      <c r="I113">
        <v>1</v>
      </c>
      <c r="J113">
        <f t="shared" si="45"/>
        <v>0.34971903187445241</v>
      </c>
      <c r="K113">
        <f t="shared" si="51"/>
        <v>-2.6738278107363342</v>
      </c>
      <c r="O113">
        <f t="shared" si="52"/>
        <v>-0.3058275594559951</v>
      </c>
      <c r="P113">
        <f t="shared" si="53"/>
        <v>-0.15449098998791494</v>
      </c>
      <c r="Q113">
        <f t="shared" si="54"/>
        <v>0.93946901912183556</v>
      </c>
      <c r="R113">
        <f t="shared" si="44"/>
        <v>1</v>
      </c>
      <c r="AG113" s="8">
        <f t="shared" si="46"/>
        <v>-0.44497502777118836</v>
      </c>
      <c r="AH113" s="8">
        <f t="shared" si="47"/>
        <v>0.82156348056583983</v>
      </c>
      <c r="AI113" s="8">
        <f t="shared" si="48"/>
        <v>0.3564136249648337</v>
      </c>
      <c r="AJ113" s="8"/>
      <c r="AK113" s="8"/>
      <c r="AL113" s="8"/>
      <c r="AN113" s="8">
        <f t="shared" si="55"/>
        <v>1</v>
      </c>
      <c r="AO113" s="8">
        <f t="shared" si="56"/>
        <v>2.0671828252536537</v>
      </c>
      <c r="AP113" s="8">
        <f t="shared" si="57"/>
        <v>1.2063697099876722</v>
      </c>
      <c r="AQ113" s="8"/>
      <c r="AR113" s="8">
        <f t="shared" si="58"/>
        <v>118.44085136896393</v>
      </c>
      <c r="AS113" s="8">
        <f t="shared" si="59"/>
        <v>20.88010708528526</v>
      </c>
    </row>
    <row r="114" spans="1:45">
      <c r="A114" s="19">
        <v>96.696600000000004</v>
      </c>
      <c r="B114" s="19">
        <v>469.81172149999998</v>
      </c>
      <c r="C114" s="19">
        <v>-787.32420149999996</v>
      </c>
      <c r="E114" s="9">
        <f t="shared" si="49"/>
        <v>-490.18827850000002</v>
      </c>
      <c r="F114" s="9">
        <f t="shared" si="50"/>
        <v>-247.32420149999996</v>
      </c>
      <c r="I114">
        <v>1</v>
      </c>
      <c r="J114">
        <f t="shared" si="45"/>
        <v>0.34993232016441644</v>
      </c>
      <c r="K114">
        <f t="shared" si="51"/>
        <v>-2.6743121520883792</v>
      </c>
      <c r="O114">
        <f t="shared" si="52"/>
        <v>-0.30608123956530026</v>
      </c>
      <c r="P114">
        <f t="shared" si="53"/>
        <v>-0.15443310558397633</v>
      </c>
      <c r="Q114">
        <f t="shared" si="54"/>
        <v>0.93939591796316513</v>
      </c>
      <c r="R114">
        <f t="shared" si="44"/>
        <v>1</v>
      </c>
      <c r="AG114" s="8">
        <f t="shared" si="46"/>
        <v>-0.44474259984587106</v>
      </c>
      <c r="AH114" s="8">
        <f t="shared" si="47"/>
        <v>0.82169943076815311</v>
      </c>
      <c r="AI114" s="8">
        <f t="shared" si="48"/>
        <v>0.35639032725037378</v>
      </c>
      <c r="AJ114" s="8"/>
      <c r="AK114" s="8"/>
      <c r="AL114" s="8"/>
      <c r="AN114" s="8">
        <f t="shared" si="55"/>
        <v>0.99999999999999989</v>
      </c>
      <c r="AO114" s="8">
        <f t="shared" si="56"/>
        <v>2.0668947895299077</v>
      </c>
      <c r="AP114" s="8">
        <f t="shared" si="57"/>
        <v>1.2063946451247654</v>
      </c>
      <c r="AQ114" s="8"/>
      <c r="AR114" s="8">
        <f t="shared" si="58"/>
        <v>118.42434813764429</v>
      </c>
      <c r="AS114" s="8">
        <f t="shared" si="59"/>
        <v>20.878678407168252</v>
      </c>
    </row>
    <row r="115" spans="1:45">
      <c r="A115" s="19">
        <v>96.729966669999996</v>
      </c>
      <c r="B115" s="19">
        <v>469.39564239999999</v>
      </c>
      <c r="C115" s="19">
        <v>-787.32151729999998</v>
      </c>
      <c r="E115" s="9">
        <f t="shared" si="49"/>
        <v>-490.60435760000001</v>
      </c>
      <c r="F115" s="9">
        <f t="shared" si="50"/>
        <v>-247.32151729999998</v>
      </c>
      <c r="I115">
        <v>1</v>
      </c>
      <c r="J115">
        <f t="shared" si="45"/>
        <v>0.35015233396156814</v>
      </c>
      <c r="K115">
        <f t="shared" si="51"/>
        <v>-2.6746576509664726</v>
      </c>
      <c r="O115">
        <f t="shared" si="52"/>
        <v>-0.30631912576526277</v>
      </c>
      <c r="P115">
        <f t="shared" si="53"/>
        <v>-0.15442037924995858</v>
      </c>
      <c r="Q115">
        <f t="shared" si="54"/>
        <v>0.93932046696678773</v>
      </c>
      <c r="R115">
        <f t="shared" si="44"/>
        <v>1</v>
      </c>
      <c r="AG115" s="8">
        <f t="shared" si="46"/>
        <v>-0.44454104935734073</v>
      </c>
      <c r="AH115" s="8">
        <f t="shared" si="47"/>
        <v>0.82183446285252637</v>
      </c>
      <c r="AI115" s="8">
        <f t="shared" si="48"/>
        <v>0.35633042405073118</v>
      </c>
      <c r="AJ115" s="8"/>
      <c r="AK115" s="8"/>
      <c r="AL115" s="8"/>
      <c r="AN115" s="8">
        <f t="shared" si="55"/>
        <v>1</v>
      </c>
      <c r="AO115" s="8">
        <f t="shared" si="56"/>
        <v>2.0666362940405154</v>
      </c>
      <c r="AP115" s="8">
        <f t="shared" si="57"/>
        <v>1.2064587573848673</v>
      </c>
      <c r="AQ115" s="8"/>
      <c r="AR115" s="8">
        <f t="shared" si="58"/>
        <v>118.40953743707894</v>
      </c>
      <c r="AS115" s="8">
        <f t="shared" si="59"/>
        <v>20.875005045249367</v>
      </c>
    </row>
    <row r="116" spans="1:45">
      <c r="A116" s="19">
        <v>96.763333329999995</v>
      </c>
      <c r="B116" s="19">
        <v>469.27004690000001</v>
      </c>
      <c r="C116" s="19">
        <v>-787.30081340000004</v>
      </c>
      <c r="E116" s="9">
        <f t="shared" si="49"/>
        <v>-490.72995309999999</v>
      </c>
      <c r="F116" s="9">
        <f t="shared" si="50"/>
        <v>-247.30081340000004</v>
      </c>
      <c r="I116">
        <v>1</v>
      </c>
      <c r="J116">
        <f t="shared" si="45"/>
        <v>0.35021342844338532</v>
      </c>
      <c r="K116">
        <f t="shared" si="51"/>
        <v>-2.6747941781707913</v>
      </c>
      <c r="O116">
        <f t="shared" si="52"/>
        <v>-0.3063914525606084</v>
      </c>
      <c r="P116">
        <f t="shared" si="53"/>
        <v>-0.15440438261082789</v>
      </c>
      <c r="Q116">
        <f t="shared" si="54"/>
        <v>0.93929950730763689</v>
      </c>
      <c r="R116">
        <f t="shared" si="44"/>
        <v>1</v>
      </c>
      <c r="AG116" s="8">
        <f t="shared" si="46"/>
        <v>-0.44447496178205914</v>
      </c>
      <c r="AH116" s="8">
        <f t="shared" si="47"/>
        <v>0.82187329620822103</v>
      </c>
      <c r="AI116" s="8">
        <f t="shared" si="48"/>
        <v>0.3563232988855356</v>
      </c>
      <c r="AJ116" s="8"/>
      <c r="AK116" s="8"/>
      <c r="AL116" s="8"/>
      <c r="AN116" s="8">
        <f t="shared" si="55"/>
        <v>0.99999999999999989</v>
      </c>
      <c r="AO116" s="8">
        <f t="shared" si="56"/>
        <v>2.0665543083447639</v>
      </c>
      <c r="AP116" s="8">
        <f t="shared" si="57"/>
        <v>1.2064663830909721</v>
      </c>
      <c r="AQ116" s="8"/>
      <c r="AR116" s="8">
        <f t="shared" si="58"/>
        <v>118.40484000273193</v>
      </c>
      <c r="AS116" s="8">
        <f t="shared" si="59"/>
        <v>20.874568124473754</v>
      </c>
    </row>
    <row r="117" spans="1:45">
      <c r="A117" s="19">
        <v>96.796700000000001</v>
      </c>
      <c r="B117" s="19">
        <v>468.4317064</v>
      </c>
      <c r="C117" s="19">
        <v>-787.37673440000003</v>
      </c>
      <c r="E117" s="9">
        <f t="shared" si="49"/>
        <v>-491.5682936</v>
      </c>
      <c r="F117" s="9">
        <f t="shared" si="50"/>
        <v>-247.37673440000003</v>
      </c>
      <c r="I117">
        <v>1</v>
      </c>
      <c r="J117">
        <f t="shared" si="45"/>
        <v>0.35067846373279316</v>
      </c>
      <c r="K117">
        <f t="shared" si="51"/>
        <v>-2.6753565573046605</v>
      </c>
      <c r="O117">
        <f t="shared" si="52"/>
        <v>-0.3068683902270985</v>
      </c>
      <c r="P117">
        <f t="shared" si="53"/>
        <v>-0.15442839022228694</v>
      </c>
      <c r="Q117">
        <f t="shared" si="54"/>
        <v>0.9391398529360695</v>
      </c>
      <c r="R117">
        <f t="shared" si="44"/>
        <v>1</v>
      </c>
      <c r="AG117" s="8">
        <f t="shared" si="46"/>
        <v>-0.44409033161653955</v>
      </c>
      <c r="AH117" s="8">
        <f t="shared" si="47"/>
        <v>0.8221529230923359</v>
      </c>
      <c r="AI117" s="8">
        <f t="shared" si="48"/>
        <v>0.35615775776394309</v>
      </c>
      <c r="AJ117" s="8"/>
      <c r="AK117" s="8"/>
      <c r="AL117" s="8"/>
      <c r="AN117" s="8">
        <f t="shared" si="55"/>
        <v>1</v>
      </c>
      <c r="AO117" s="8">
        <f t="shared" si="56"/>
        <v>2.0660498894659947</v>
      </c>
      <c r="AP117" s="8">
        <f t="shared" si="57"/>
        <v>1.2066435471896606</v>
      </c>
      <c r="AQ117" s="8"/>
      <c r="AR117" s="8">
        <f t="shared" si="58"/>
        <v>118.37593892987174</v>
      </c>
      <c r="AS117" s="8">
        <f t="shared" si="59"/>
        <v>20.864417369337659</v>
      </c>
    </row>
    <row r="118" spans="1:45">
      <c r="A118" s="19">
        <v>96.830066669999994</v>
      </c>
      <c r="B118" s="19">
        <v>468.4061969</v>
      </c>
      <c r="C118" s="19">
        <v>-787.36809479999999</v>
      </c>
      <c r="E118" s="9">
        <f t="shared" si="49"/>
        <v>-491.5938031</v>
      </c>
      <c r="F118" s="9">
        <f t="shared" si="50"/>
        <v>-247.36809479999999</v>
      </c>
      <c r="I118">
        <v>1</v>
      </c>
      <c r="J118">
        <f t="shared" si="45"/>
        <v>0.35068969027050367</v>
      </c>
      <c r="K118">
        <f t="shared" si="51"/>
        <v>-2.6753914180713627</v>
      </c>
      <c r="O118">
        <f t="shared" si="52"/>
        <v>-0.30688319164637529</v>
      </c>
      <c r="P118">
        <f t="shared" si="53"/>
        <v>-0.1544224316193524</v>
      </c>
      <c r="Q118">
        <f t="shared" si="54"/>
        <v>0.9391359961675948</v>
      </c>
      <c r="R118">
        <f t="shared" si="44"/>
        <v>1</v>
      </c>
      <c r="AG118" s="8">
        <f t="shared" si="46"/>
        <v>-0.4440757389651363</v>
      </c>
      <c r="AH118" s="8">
        <f t="shared" si="47"/>
        <v>0.82216037489369875</v>
      </c>
      <c r="AI118" s="8">
        <f t="shared" si="48"/>
        <v>0.35615875114507722</v>
      </c>
      <c r="AJ118" s="8"/>
      <c r="AK118" s="8"/>
      <c r="AL118" s="8"/>
      <c r="AN118" s="8">
        <f t="shared" si="55"/>
        <v>1.0000000000000002</v>
      </c>
      <c r="AO118" s="8">
        <f t="shared" si="56"/>
        <v>2.0660323590975636</v>
      </c>
      <c r="AP118" s="8">
        <f t="shared" si="57"/>
        <v>1.2066424840969119</v>
      </c>
      <c r="AQ118" s="8"/>
      <c r="AR118" s="8">
        <f t="shared" si="58"/>
        <v>118.37493451374732</v>
      </c>
      <c r="AS118" s="8">
        <f t="shared" si="59"/>
        <v>20.864478280065399</v>
      </c>
    </row>
    <row r="119" spans="1:45">
      <c r="A119" s="19">
        <v>96.863433330000007</v>
      </c>
      <c r="B119" s="19">
        <v>468.07710759999998</v>
      </c>
      <c r="C119" s="19">
        <v>-787.37893999999994</v>
      </c>
      <c r="E119" s="9">
        <f t="shared" si="49"/>
        <v>-491.92289240000002</v>
      </c>
      <c r="F119" s="9">
        <f t="shared" si="50"/>
        <v>-247.37893999999994</v>
      </c>
      <c r="I119">
        <v>1</v>
      </c>
      <c r="J119">
        <f t="shared" si="45"/>
        <v>0.35086716987971228</v>
      </c>
      <c r="K119">
        <f t="shared" si="51"/>
        <v>-2.6756424733908273</v>
      </c>
      <c r="O119">
        <f t="shared" si="52"/>
        <v>-0.30707085456208638</v>
      </c>
      <c r="P119">
        <f t="shared" si="53"/>
        <v>-0.15442026317550386</v>
      </c>
      <c r="Q119">
        <f t="shared" si="54"/>
        <v>0.93907500903778618</v>
      </c>
      <c r="R119">
        <f t="shared" si="44"/>
        <v>1</v>
      </c>
      <c r="AG119" s="8">
        <f t="shared" si="46"/>
        <v>-0.44391975344021251</v>
      </c>
      <c r="AH119" s="8">
        <f t="shared" si="47"/>
        <v>0.82226823614377098</v>
      </c>
      <c r="AI119" s="8">
        <f t="shared" si="48"/>
        <v>0.35610419870396465</v>
      </c>
      <c r="AJ119" s="8"/>
      <c r="AK119" s="8"/>
      <c r="AL119" s="8"/>
      <c r="AN119" s="8">
        <f t="shared" si="55"/>
        <v>1</v>
      </c>
      <c r="AO119" s="8">
        <f t="shared" si="56"/>
        <v>2.0658306302152023</v>
      </c>
      <c r="AP119" s="8">
        <f t="shared" si="57"/>
        <v>1.2067008641779642</v>
      </c>
      <c r="AQ119" s="8"/>
      <c r="AR119" s="8">
        <f t="shared" si="58"/>
        <v>118.36337630018213</v>
      </c>
      <c r="AS119" s="8">
        <f t="shared" si="59"/>
        <v>20.861133347813464</v>
      </c>
    </row>
    <row r="120" spans="1:45">
      <c r="A120" s="19">
        <v>96.896799999999999</v>
      </c>
      <c r="B120" s="19">
        <v>467.48701240000003</v>
      </c>
      <c r="C120" s="19">
        <v>-787.3640911</v>
      </c>
      <c r="E120" s="9">
        <f t="shared" si="49"/>
        <v>-492.51298759999997</v>
      </c>
      <c r="F120" s="9">
        <f t="shared" si="50"/>
        <v>-247.3640911</v>
      </c>
      <c r="I120">
        <v>1</v>
      </c>
      <c r="J120">
        <f t="shared" si="45"/>
        <v>0.35117626941004981</v>
      </c>
      <c r="K120">
        <f t="shared" si="51"/>
        <v>-2.6761475680636013</v>
      </c>
      <c r="O120">
        <f t="shared" si="52"/>
        <v>-0.30740818708502338</v>
      </c>
      <c r="P120">
        <f t="shared" si="53"/>
        <v>-0.15439541435350693</v>
      </c>
      <c r="Q120">
        <f t="shared" si="54"/>
        <v>0.93896872287617128</v>
      </c>
      <c r="R120">
        <f t="shared" si="44"/>
        <v>1</v>
      </c>
      <c r="AG120" s="8">
        <f t="shared" si="46"/>
        <v>-0.4436310077082507</v>
      </c>
      <c r="AH120" s="8">
        <f t="shared" si="47"/>
        <v>0.82245823679278218</v>
      </c>
      <c r="AI120" s="8">
        <f t="shared" si="48"/>
        <v>0.35602524872748809</v>
      </c>
      <c r="AJ120" s="8"/>
      <c r="AK120" s="8"/>
      <c r="AL120" s="8"/>
      <c r="AN120" s="8">
        <f t="shared" si="55"/>
        <v>1</v>
      </c>
      <c r="AO120" s="8">
        <f t="shared" si="56"/>
        <v>2.0654621408743581</v>
      </c>
      <c r="AP120" s="8">
        <f t="shared" si="57"/>
        <v>1.2067853513331865</v>
      </c>
      <c r="AQ120" s="8"/>
      <c r="AR120" s="8">
        <f t="shared" si="58"/>
        <v>118.3422634161562</v>
      </c>
      <c r="AS120" s="8">
        <f t="shared" si="59"/>
        <v>20.856292590396151</v>
      </c>
    </row>
    <row r="121" spans="1:45">
      <c r="A121" s="19">
        <v>96.930166670000006</v>
      </c>
      <c r="B121" s="19">
        <v>467.28477400000003</v>
      </c>
      <c r="C121" s="19">
        <v>-787.36927609999998</v>
      </c>
      <c r="E121" s="9">
        <f t="shared" si="49"/>
        <v>-492.71522599999997</v>
      </c>
      <c r="F121" s="9">
        <f t="shared" si="50"/>
        <v>-247.36927609999998</v>
      </c>
      <c r="I121">
        <v>1</v>
      </c>
      <c r="J121">
        <f t="shared" si="45"/>
        <v>0.35128494497735868</v>
      </c>
      <c r="K121">
        <f t="shared" si="51"/>
        <v>-2.6763038012165641</v>
      </c>
      <c r="O121">
        <f t="shared" si="52"/>
        <v>-0.30752349817578506</v>
      </c>
      <c r="P121">
        <f t="shared" si="53"/>
        <v>-0.15439316894072128</v>
      </c>
      <c r="Q121">
        <f t="shared" si="54"/>
        <v>0.93893133266185647</v>
      </c>
      <c r="R121">
        <f t="shared" si="44"/>
        <v>1</v>
      </c>
      <c r="AG121" s="8">
        <f t="shared" si="46"/>
        <v>-0.44353476007038706</v>
      </c>
      <c r="AH121" s="8">
        <f t="shared" si="47"/>
        <v>0.82252430800428145</v>
      </c>
      <c r="AI121" s="8">
        <f t="shared" si="48"/>
        <v>0.35599252710047441</v>
      </c>
      <c r="AJ121" s="8"/>
      <c r="AK121" s="8"/>
      <c r="AL121" s="8"/>
      <c r="AN121" s="8">
        <f t="shared" si="55"/>
        <v>0.99999999999999989</v>
      </c>
      <c r="AO121" s="8">
        <f t="shared" si="56"/>
        <v>2.0653379267912708</v>
      </c>
      <c r="AP121" s="8">
        <f t="shared" si="57"/>
        <v>1.20682036710352</v>
      </c>
      <c r="AQ121" s="8"/>
      <c r="AR121" s="8">
        <f t="shared" si="58"/>
        <v>118.33514647343921</v>
      </c>
      <c r="AS121" s="8">
        <f t="shared" si="59"/>
        <v>20.854286334539651</v>
      </c>
    </row>
    <row r="122" spans="1:45">
      <c r="A122" s="19">
        <v>96.963533330000004</v>
      </c>
      <c r="B122" s="19">
        <v>466.83959549999997</v>
      </c>
      <c r="C122" s="19">
        <v>-787.3488744</v>
      </c>
      <c r="E122" s="9">
        <f t="shared" si="49"/>
        <v>-493.16040450000003</v>
      </c>
      <c r="F122" s="9">
        <f t="shared" si="50"/>
        <v>-247.3488744</v>
      </c>
      <c r="I122">
        <v>1</v>
      </c>
      <c r="J122">
        <f t="shared" si="45"/>
        <v>0.35151570041783686</v>
      </c>
      <c r="K122">
        <f t="shared" si="51"/>
        <v>-2.6766988897025499</v>
      </c>
      <c r="O122">
        <f t="shared" si="52"/>
        <v>-0.30777813378637076</v>
      </c>
      <c r="P122">
        <f t="shared" si="53"/>
        <v>-0.15436879007789733</v>
      </c>
      <c r="Q122">
        <f t="shared" si="54"/>
        <v>0.9388519036636529</v>
      </c>
      <c r="R122">
        <f t="shared" si="44"/>
        <v>1</v>
      </c>
      <c r="AG122" s="8">
        <f t="shared" si="46"/>
        <v>-0.44331450143191364</v>
      </c>
      <c r="AH122" s="8">
        <f t="shared" si="47"/>
        <v>0.82266663246553084</v>
      </c>
      <c r="AI122" s="8">
        <f t="shared" si="48"/>
        <v>0.35593800674836212</v>
      </c>
      <c r="AJ122" s="8"/>
      <c r="AK122" s="8"/>
      <c r="AL122" s="8"/>
      <c r="AN122" s="8">
        <f t="shared" si="55"/>
        <v>1</v>
      </c>
      <c r="AO122" s="8">
        <f t="shared" si="56"/>
        <v>2.0650581866258726</v>
      </c>
      <c r="AP122" s="8">
        <f t="shared" si="57"/>
        <v>1.2068787088901547</v>
      </c>
      <c r="AQ122" s="8"/>
      <c r="AR122" s="8">
        <f t="shared" si="58"/>
        <v>118.3191185426016</v>
      </c>
      <c r="AS122" s="8">
        <f t="shared" si="59"/>
        <v>20.850943596396235</v>
      </c>
    </row>
    <row r="123" spans="1:45">
      <c r="A123" s="19">
        <v>96.996899999999997</v>
      </c>
      <c r="B123" s="19">
        <v>466.27552830000002</v>
      </c>
      <c r="C123" s="19">
        <v>-787.36463890000005</v>
      </c>
      <c r="E123" s="9">
        <f t="shared" si="49"/>
        <v>-493.72447169999998</v>
      </c>
      <c r="F123" s="9">
        <f t="shared" si="50"/>
        <v>-247.36463890000005</v>
      </c>
      <c r="I123">
        <v>1</v>
      </c>
      <c r="J123">
        <f t="shared" si="45"/>
        <v>0.35181916254324119</v>
      </c>
      <c r="K123">
        <f t="shared" si="51"/>
        <v>-2.6771313137614166</v>
      </c>
      <c r="O123">
        <f t="shared" si="52"/>
        <v>-0.3080995675118462</v>
      </c>
      <c r="P123">
        <f t="shared" si="53"/>
        <v>-0.15436329902870011</v>
      </c>
      <c r="Q123">
        <f t="shared" si="54"/>
        <v>0.93874737198672864</v>
      </c>
      <c r="R123">
        <f t="shared" si="44"/>
        <v>1</v>
      </c>
      <c r="AG123" s="8">
        <f t="shared" si="46"/>
        <v>-0.44304640485981034</v>
      </c>
      <c r="AH123" s="8">
        <f t="shared" si="47"/>
        <v>0.8228508448986348</v>
      </c>
      <c r="AI123" s="8">
        <f t="shared" si="48"/>
        <v>0.35584599223596702</v>
      </c>
      <c r="AJ123" s="8"/>
      <c r="AK123" s="8"/>
      <c r="AL123" s="8"/>
      <c r="AN123" s="8">
        <f t="shared" si="55"/>
        <v>1</v>
      </c>
      <c r="AO123" s="8">
        <f t="shared" si="56"/>
        <v>2.0647121382965672</v>
      </c>
      <c r="AP123" s="8">
        <f t="shared" si="57"/>
        <v>1.2069771699334868</v>
      </c>
      <c r="AQ123" s="8"/>
      <c r="AR123" s="8">
        <f t="shared" si="58"/>
        <v>118.29929143382485</v>
      </c>
      <c r="AS123" s="8">
        <f t="shared" si="59"/>
        <v>20.845302194166848</v>
      </c>
    </row>
    <row r="124" spans="1:45">
      <c r="A124" s="19">
        <v>97.030266670000003</v>
      </c>
      <c r="B124" s="19">
        <v>466.14948299999998</v>
      </c>
      <c r="C124" s="19">
        <v>-787.3637076</v>
      </c>
      <c r="E124" s="9">
        <f t="shared" si="49"/>
        <v>-493.85051700000002</v>
      </c>
      <c r="F124" s="9">
        <f t="shared" si="50"/>
        <v>-247.3637076</v>
      </c>
      <c r="I124">
        <v>1</v>
      </c>
      <c r="J124">
        <f t="shared" si="45"/>
        <v>0.35188578952881983</v>
      </c>
      <c r="K124">
        <f t="shared" si="51"/>
        <v>-2.6772350428999134</v>
      </c>
      <c r="O124">
        <f t="shared" si="52"/>
        <v>-0.30817150002900967</v>
      </c>
      <c r="P124">
        <f t="shared" si="53"/>
        <v>-0.15435935004565232</v>
      </c>
      <c r="Q124">
        <f t="shared" si="54"/>
        <v>0.93872440983674965</v>
      </c>
      <c r="R124">
        <f t="shared" si="44"/>
        <v>1</v>
      </c>
      <c r="AG124" s="8">
        <f t="shared" si="46"/>
        <v>-0.44298532185895956</v>
      </c>
      <c r="AH124" s="8">
        <f t="shared" si="47"/>
        <v>0.8228915629438327</v>
      </c>
      <c r="AI124" s="8">
        <f t="shared" si="48"/>
        <v>0.35582788009565847</v>
      </c>
      <c r="AJ124" s="8"/>
      <c r="AK124" s="8"/>
      <c r="AL124" s="8"/>
      <c r="AN124" s="8">
        <f t="shared" si="55"/>
        <v>1</v>
      </c>
      <c r="AO124" s="8">
        <f t="shared" si="56"/>
        <v>2.0646339338762458</v>
      </c>
      <c r="AP124" s="8">
        <f t="shared" si="57"/>
        <v>1.2069965505743556</v>
      </c>
      <c r="AQ124" s="8"/>
      <c r="AR124" s="8">
        <f t="shared" si="58"/>
        <v>118.29481065060116</v>
      </c>
      <c r="AS124" s="8">
        <f t="shared" si="59"/>
        <v>20.844191765240808</v>
      </c>
    </row>
    <row r="125" spans="1:45">
      <c r="A125" s="19">
        <v>97.063633330000002</v>
      </c>
      <c r="B125" s="19">
        <v>465.62720940000003</v>
      </c>
      <c r="C125" s="19">
        <v>-787.35279030000004</v>
      </c>
      <c r="E125" s="9">
        <f t="shared" si="49"/>
        <v>-494.37279059999997</v>
      </c>
      <c r="F125" s="9">
        <f t="shared" si="50"/>
        <v>-247.35279030000004</v>
      </c>
      <c r="I125">
        <v>1</v>
      </c>
      <c r="J125">
        <f t="shared" si="45"/>
        <v>0.35215999190425329</v>
      </c>
      <c r="K125">
        <f t="shared" si="51"/>
        <v>-2.6776758184500062</v>
      </c>
      <c r="O125">
        <f t="shared" si="52"/>
        <v>-0.30846969130066659</v>
      </c>
      <c r="P125">
        <f t="shared" si="53"/>
        <v>-0.15433866975890059</v>
      </c>
      <c r="Q125">
        <f t="shared" si="54"/>
        <v>0.93862986558383299</v>
      </c>
      <c r="R125">
        <f t="shared" si="44"/>
        <v>1</v>
      </c>
      <c r="AG125" s="8">
        <f t="shared" si="46"/>
        <v>-0.44273036172175584</v>
      </c>
      <c r="AH125" s="8">
        <f t="shared" si="47"/>
        <v>0.82305953236548701</v>
      </c>
      <c r="AI125" s="8">
        <f t="shared" si="48"/>
        <v>0.35575670477452581</v>
      </c>
      <c r="AJ125" s="8"/>
      <c r="AK125" s="8"/>
      <c r="AL125" s="8"/>
      <c r="AN125" s="8">
        <f t="shared" si="55"/>
        <v>1</v>
      </c>
      <c r="AO125" s="8">
        <f t="shared" si="56"/>
        <v>2.0643085289239358</v>
      </c>
      <c r="AP125" s="8">
        <f t="shared" si="57"/>
        <v>1.2070727093400508</v>
      </c>
      <c r="AQ125" s="8"/>
      <c r="AR125" s="8">
        <f t="shared" si="58"/>
        <v>118.27616632020114</v>
      </c>
      <c r="AS125" s="8">
        <f t="shared" si="59"/>
        <v>20.839828189393543</v>
      </c>
    </row>
    <row r="126" spans="1:45">
      <c r="A126" s="19">
        <v>97.096999999999994</v>
      </c>
      <c r="B126" s="19">
        <v>465.47940199999999</v>
      </c>
      <c r="C126" s="19">
        <v>-787.35650989999999</v>
      </c>
      <c r="E126" s="9">
        <f t="shared" si="49"/>
        <v>-494.52059800000001</v>
      </c>
      <c r="F126" s="9">
        <f t="shared" si="50"/>
        <v>-247.35650989999999</v>
      </c>
      <c r="I126">
        <v>1</v>
      </c>
      <c r="J126">
        <f t="shared" si="45"/>
        <v>0.35223940243810681</v>
      </c>
      <c r="K126">
        <f t="shared" si="51"/>
        <v>-2.6777894135994371</v>
      </c>
      <c r="O126">
        <f t="shared" si="52"/>
        <v>-0.30855388328114247</v>
      </c>
      <c r="P126">
        <f t="shared" si="53"/>
        <v>-0.15433697199507831</v>
      </c>
      <c r="Q126">
        <f t="shared" si="54"/>
        <v>0.93860247186309798</v>
      </c>
      <c r="R126">
        <f t="shared" si="44"/>
        <v>1</v>
      </c>
      <c r="AG126" s="8">
        <f t="shared" si="46"/>
        <v>-0.44266000348245327</v>
      </c>
      <c r="AH126" s="8">
        <f t="shared" si="47"/>
        <v>0.82310770219255014</v>
      </c>
      <c r="AI126" s="8">
        <f t="shared" si="48"/>
        <v>0.35573280971568333</v>
      </c>
      <c r="AJ126" s="8"/>
      <c r="AK126" s="8"/>
      <c r="AL126" s="8"/>
      <c r="AN126" s="8">
        <f t="shared" si="55"/>
        <v>0.99999999999999989</v>
      </c>
      <c r="AO126" s="8">
        <f t="shared" si="56"/>
        <v>2.0642178131901998</v>
      </c>
      <c r="AP126" s="8">
        <f t="shared" si="57"/>
        <v>1.2070982769514469</v>
      </c>
      <c r="AQ126" s="8"/>
      <c r="AR126" s="8">
        <f t="shared" si="58"/>
        <v>118.27096869152264</v>
      </c>
      <c r="AS126" s="8">
        <f t="shared" si="59"/>
        <v>20.838363273168312</v>
      </c>
    </row>
    <row r="127" spans="1:45">
      <c r="A127" s="19">
        <v>97.130366670000001</v>
      </c>
      <c r="B127" s="19">
        <v>464.46962610000003</v>
      </c>
      <c r="C127" s="19">
        <v>-787.3569731</v>
      </c>
      <c r="E127" s="9">
        <f t="shared" si="49"/>
        <v>-495.53037389999997</v>
      </c>
      <c r="F127" s="9">
        <f t="shared" si="50"/>
        <v>-247.3569731</v>
      </c>
      <c r="I127">
        <v>1</v>
      </c>
      <c r="J127">
        <f t="shared" si="45"/>
        <v>0.35277529905006721</v>
      </c>
      <c r="K127">
        <f t="shared" si="51"/>
        <v>-2.6786042951535949</v>
      </c>
      <c r="O127">
        <f t="shared" si="52"/>
        <v>-0.30912954243352381</v>
      </c>
      <c r="P127">
        <f t="shared" si="53"/>
        <v>-0.15431011283997598</v>
      </c>
      <c r="Q127">
        <f t="shared" si="54"/>
        <v>0.93841745245394603</v>
      </c>
      <c r="R127">
        <f t="shared" si="44"/>
        <v>1</v>
      </c>
      <c r="AG127" s="8">
        <f t="shared" si="46"/>
        <v>-0.44217276185792997</v>
      </c>
      <c r="AH127" s="8">
        <f t="shared" si="47"/>
        <v>0.82343414780772906</v>
      </c>
      <c r="AI127" s="8">
        <f t="shared" si="48"/>
        <v>0.35558325733235707</v>
      </c>
      <c r="AJ127" s="8"/>
      <c r="AK127" s="8"/>
      <c r="AL127" s="8"/>
      <c r="AN127" s="8">
        <f t="shared" si="55"/>
        <v>0.99999999999999989</v>
      </c>
      <c r="AO127" s="8">
        <f t="shared" si="56"/>
        <v>2.0635932542979822</v>
      </c>
      <c r="AP127" s="8">
        <f t="shared" si="57"/>
        <v>1.207258291714985</v>
      </c>
      <c r="AQ127" s="8"/>
      <c r="AR127" s="8">
        <f t="shared" si="58"/>
        <v>118.2351841029412</v>
      </c>
      <c r="AS127" s="8">
        <f t="shared" si="59"/>
        <v>20.829195102557804</v>
      </c>
    </row>
    <row r="128" spans="1:45">
      <c r="A128" s="19">
        <v>97.163733329999999</v>
      </c>
      <c r="B128" s="19">
        <v>464.3554398</v>
      </c>
      <c r="C128" s="19">
        <v>-787.36075419999997</v>
      </c>
      <c r="E128" s="9">
        <f t="shared" si="49"/>
        <v>-495.6445602</v>
      </c>
      <c r="F128" s="9">
        <f t="shared" si="50"/>
        <v>-247.36075419999997</v>
      </c>
      <c r="I128">
        <v>1</v>
      </c>
      <c r="J128">
        <f t="shared" si="45"/>
        <v>0.35283688717484368</v>
      </c>
      <c r="K128">
        <f t="shared" si="51"/>
        <v>-2.6786902524544707</v>
      </c>
      <c r="O128">
        <f t="shared" si="52"/>
        <v>-0.30919451778435564</v>
      </c>
      <c r="P128">
        <f t="shared" si="53"/>
        <v>-0.15430934838219892</v>
      </c>
      <c r="Q128">
        <f t="shared" si="54"/>
        <v>0.93839617176007328</v>
      </c>
      <c r="R128">
        <f t="shared" si="44"/>
        <v>1</v>
      </c>
      <c r="AG128" s="8">
        <f t="shared" si="46"/>
        <v>-0.44211864899468539</v>
      </c>
      <c r="AH128" s="8">
        <f t="shared" si="47"/>
        <v>0.82347139377074918</v>
      </c>
      <c r="AI128" s="8">
        <f t="shared" si="48"/>
        <v>0.35556428933791129</v>
      </c>
      <c r="AJ128" s="8"/>
      <c r="AK128" s="8"/>
      <c r="AL128" s="8"/>
      <c r="AN128" s="8">
        <f t="shared" si="55"/>
        <v>1</v>
      </c>
      <c r="AO128" s="8">
        <f t="shared" si="56"/>
        <v>2.0635233941619582</v>
      </c>
      <c r="AP128" s="8">
        <f t="shared" si="57"/>
        <v>1.2072785859755182</v>
      </c>
      <c r="AQ128" s="8"/>
      <c r="AR128" s="8">
        <f t="shared" si="58"/>
        <v>118.23118141199082</v>
      </c>
      <c r="AS128" s="8">
        <f t="shared" si="59"/>
        <v>20.828032327080905</v>
      </c>
    </row>
    <row r="129" spans="1:45">
      <c r="A129" s="19">
        <v>97.197100000000006</v>
      </c>
      <c r="B129" s="19">
        <v>464.29655350000002</v>
      </c>
      <c r="C129" s="19">
        <v>-787.36442910000005</v>
      </c>
      <c r="E129" s="9">
        <f t="shared" si="49"/>
        <v>-495.70344649999998</v>
      </c>
      <c r="F129" s="9">
        <f t="shared" si="50"/>
        <v>-247.36442910000005</v>
      </c>
      <c r="I129">
        <v>1</v>
      </c>
      <c r="J129">
        <f t="shared" si="45"/>
        <v>0.35286910504513508</v>
      </c>
      <c r="K129">
        <f t="shared" si="51"/>
        <v>-2.678731782287493</v>
      </c>
      <c r="O129">
        <f t="shared" si="52"/>
        <v>-0.30922797775764826</v>
      </c>
      <c r="P129">
        <f t="shared" si="53"/>
        <v>-0.15431000675878531</v>
      </c>
      <c r="Q129">
        <f t="shared" si="54"/>
        <v>0.93838503802331541</v>
      </c>
      <c r="R129">
        <f t="shared" si="44"/>
        <v>1</v>
      </c>
      <c r="AG129" s="8">
        <f t="shared" si="46"/>
        <v>-0.442091198051204</v>
      </c>
      <c r="AH129" s="8">
        <f t="shared" si="47"/>
        <v>0.82349076501913232</v>
      </c>
      <c r="AI129" s="8">
        <f t="shared" si="48"/>
        <v>0.35555355789789983</v>
      </c>
      <c r="AJ129" s="8"/>
      <c r="AK129" s="8"/>
      <c r="AL129" s="8"/>
      <c r="AN129" s="8">
        <f t="shared" si="55"/>
        <v>0.99999999999999978</v>
      </c>
      <c r="AO129" s="8">
        <f t="shared" si="56"/>
        <v>2.0634877139340357</v>
      </c>
      <c r="AP129" s="8">
        <f t="shared" si="57"/>
        <v>1.2072900677019474</v>
      </c>
      <c r="AQ129" s="8"/>
      <c r="AR129" s="8">
        <f t="shared" si="58"/>
        <v>118.2291370855188</v>
      </c>
      <c r="AS129" s="8">
        <f t="shared" si="59"/>
        <v>20.827374472614991</v>
      </c>
    </row>
    <row r="130" spans="1:45">
      <c r="A130" s="19">
        <v>97.230466669999998</v>
      </c>
      <c r="B130" s="19">
        <v>463.4822719</v>
      </c>
      <c r="C130" s="19">
        <v>-787.35288449999996</v>
      </c>
      <c r="E130" s="9">
        <f t="shared" si="49"/>
        <v>-496.5177281</v>
      </c>
      <c r="F130" s="9">
        <f t="shared" si="50"/>
        <v>-247.35288449999996</v>
      </c>
      <c r="I130">
        <v>1</v>
      </c>
      <c r="J130">
        <f t="shared" si="45"/>
        <v>0.35329811248391646</v>
      </c>
      <c r="K130">
        <f t="shared" si="51"/>
        <v>-2.6794058433982624</v>
      </c>
      <c r="O130">
        <f t="shared" si="52"/>
        <v>-0.30969222928694656</v>
      </c>
      <c r="P130">
        <f t="shared" si="53"/>
        <v>-0.15428102942969535</v>
      </c>
      <c r="Q130">
        <f t="shared" si="54"/>
        <v>0.93823669032786972</v>
      </c>
      <c r="R130">
        <f t="shared" si="44"/>
        <v>1</v>
      </c>
      <c r="AG130" s="8">
        <f t="shared" si="46"/>
        <v>-0.44169515453334446</v>
      </c>
      <c r="AH130" s="8">
        <f t="shared" si="47"/>
        <v>0.82375250193991856</v>
      </c>
      <c r="AI130" s="8">
        <f t="shared" si="48"/>
        <v>0.35543945477322791</v>
      </c>
      <c r="AJ130" s="8"/>
      <c r="AK130" s="8"/>
      <c r="AL130" s="8"/>
      <c r="AN130" s="8">
        <f t="shared" si="55"/>
        <v>1.0000000000000002</v>
      </c>
      <c r="AO130" s="8">
        <f t="shared" si="56"/>
        <v>2.0629819463697956</v>
      </c>
      <c r="AP130" s="8">
        <f t="shared" si="57"/>
        <v>1.2074121452221485</v>
      </c>
      <c r="AQ130" s="8"/>
      <c r="AR130" s="8">
        <f t="shared" si="58"/>
        <v>118.20015873867322</v>
      </c>
      <c r="AS130" s="8">
        <f t="shared" si="59"/>
        <v>20.82037994593405</v>
      </c>
    </row>
    <row r="131" spans="1:45">
      <c r="A131" s="19">
        <v>97.263833329999997</v>
      </c>
      <c r="B131" s="19">
        <v>463.33213319999999</v>
      </c>
      <c r="C131" s="19">
        <v>-787.36298720000002</v>
      </c>
      <c r="E131" s="9">
        <f t="shared" si="49"/>
        <v>-496.66786680000001</v>
      </c>
      <c r="F131" s="9">
        <f t="shared" si="50"/>
        <v>-247.36298720000002</v>
      </c>
      <c r="I131">
        <v>1</v>
      </c>
      <c r="J131">
        <f t="shared" si="45"/>
        <v>0.35338044820229569</v>
      </c>
      <c r="K131">
        <f t="shared" si="51"/>
        <v>-2.6795102036253793</v>
      </c>
      <c r="O131">
        <f t="shared" si="52"/>
        <v>-0.30977747619248902</v>
      </c>
      <c r="P131">
        <f t="shared" si="53"/>
        <v>-0.15428314775416629</v>
      </c>
      <c r="Q131">
        <f t="shared" si="54"/>
        <v>0.93820819947540324</v>
      </c>
      <c r="R131">
        <f t="shared" si="44"/>
        <v>1</v>
      </c>
      <c r="AG131" s="8">
        <f t="shared" si="46"/>
        <v>-0.44162536007966136</v>
      </c>
      <c r="AH131" s="8">
        <f t="shared" si="47"/>
        <v>0.8238019046213978</v>
      </c>
      <c r="AI131" s="8">
        <f t="shared" si="48"/>
        <v>0.35541168140153601</v>
      </c>
      <c r="AJ131" s="8"/>
      <c r="AK131" s="8"/>
      <c r="AL131" s="8"/>
      <c r="AN131" s="8">
        <f t="shared" si="55"/>
        <v>1</v>
      </c>
      <c r="AO131" s="8">
        <f t="shared" si="56"/>
        <v>2.0628911637642133</v>
      </c>
      <c r="AP131" s="8">
        <f t="shared" si="57"/>
        <v>1.2074418587509683</v>
      </c>
      <c r="AQ131" s="8"/>
      <c r="AR131" s="8">
        <f t="shared" si="58"/>
        <v>118.19495727852016</v>
      </c>
      <c r="AS131" s="8">
        <f t="shared" si="59"/>
        <v>20.818677486138228</v>
      </c>
    </row>
    <row r="132" spans="1:45">
      <c r="A132" s="19">
        <v>97.297200000000004</v>
      </c>
      <c r="B132" s="19">
        <v>463.2132987</v>
      </c>
      <c r="C132" s="19">
        <v>-787.36780429999999</v>
      </c>
      <c r="E132" s="9">
        <f t="shared" si="49"/>
        <v>-496.7867013</v>
      </c>
      <c r="F132" s="9">
        <f t="shared" si="50"/>
        <v>-247.36780429999999</v>
      </c>
      <c r="I132">
        <v>1</v>
      </c>
      <c r="J132">
        <f t="shared" si="45"/>
        <v>0.3534447759799299</v>
      </c>
      <c r="K132">
        <f t="shared" si="51"/>
        <v>-2.6795978955224484</v>
      </c>
      <c r="O132">
        <f t="shared" si="52"/>
        <v>-0.30984502950870163</v>
      </c>
      <c r="P132">
        <f t="shared" si="53"/>
        <v>-0.15428288322185046</v>
      </c>
      <c r="Q132">
        <f t="shared" si="54"/>
        <v>0.938185935533839</v>
      </c>
      <c r="R132">
        <f t="shared" si="44"/>
        <v>1</v>
      </c>
      <c r="AG132" s="8">
        <f t="shared" si="46"/>
        <v>-0.44156927918744521</v>
      </c>
      <c r="AH132" s="8">
        <f t="shared" si="47"/>
        <v>0.8238406951864542</v>
      </c>
      <c r="AI132" s="8">
        <f t="shared" si="48"/>
        <v>0.3553914470447761</v>
      </c>
      <c r="AJ132" s="8"/>
      <c r="AK132" s="8"/>
      <c r="AL132" s="8"/>
      <c r="AN132" s="8">
        <f t="shared" si="55"/>
        <v>0.99999999999999989</v>
      </c>
      <c r="AO132" s="8">
        <f t="shared" si="56"/>
        <v>2.0628186775701947</v>
      </c>
      <c r="AP132" s="8">
        <f t="shared" si="57"/>
        <v>1.2074635064024852</v>
      </c>
      <c r="AQ132" s="8"/>
      <c r="AR132" s="8">
        <f t="shared" si="58"/>
        <v>118.19080412552992</v>
      </c>
      <c r="AS132" s="8">
        <f t="shared" si="59"/>
        <v>20.81743716706994</v>
      </c>
    </row>
    <row r="133" spans="1:45">
      <c r="A133" s="19">
        <v>97.330566669999996</v>
      </c>
      <c r="B133" s="19">
        <v>462.5499974</v>
      </c>
      <c r="C133" s="19">
        <v>-787.35156529999995</v>
      </c>
      <c r="E133" s="9">
        <f t="shared" si="49"/>
        <v>-497.4500026</v>
      </c>
      <c r="F133" s="9">
        <f t="shared" si="50"/>
        <v>-247.35156529999995</v>
      </c>
      <c r="I133">
        <v>1</v>
      </c>
      <c r="J133">
        <f t="shared" si="45"/>
        <v>0.35379244942213611</v>
      </c>
      <c r="K133">
        <f t="shared" si="51"/>
        <v>-2.6801562452735901</v>
      </c>
      <c r="O133">
        <f t="shared" si="52"/>
        <v>-0.31022317446806297</v>
      </c>
      <c r="P133">
        <f t="shared" si="53"/>
        <v>-0.15425507567785143</v>
      </c>
      <c r="Q133">
        <f t="shared" si="54"/>
        <v>0.93806553803589765</v>
      </c>
      <c r="R133">
        <f t="shared" si="44"/>
        <v>1</v>
      </c>
      <c r="AG133" s="8">
        <f t="shared" si="46"/>
        <v>-0.44124487420499237</v>
      </c>
      <c r="AH133" s="8">
        <f t="shared" si="47"/>
        <v>0.82405297094158669</v>
      </c>
      <c r="AI133" s="8">
        <f t="shared" si="48"/>
        <v>0.35530221230688253</v>
      </c>
      <c r="AJ133" s="8"/>
      <c r="AK133" s="8"/>
      <c r="AL133" s="8"/>
      <c r="AN133" s="8">
        <f t="shared" si="55"/>
        <v>1</v>
      </c>
      <c r="AO133" s="8">
        <f t="shared" si="56"/>
        <v>2.0624055144013109</v>
      </c>
      <c r="AP133" s="8">
        <f t="shared" si="57"/>
        <v>1.2075589717304864</v>
      </c>
      <c r="AQ133" s="8"/>
      <c r="AR133" s="8">
        <f t="shared" si="58"/>
        <v>118.16713161970264</v>
      </c>
      <c r="AS133" s="8">
        <f t="shared" si="59"/>
        <v>20.811967406685639</v>
      </c>
    </row>
    <row r="134" spans="1:45">
      <c r="A134" s="19">
        <v>97.363933329999995</v>
      </c>
      <c r="B134" s="19">
        <v>462.23194599999999</v>
      </c>
      <c r="C134" s="19">
        <v>-787.36582499999997</v>
      </c>
      <c r="E134" s="9">
        <f t="shared" si="49"/>
        <v>-497.76805400000001</v>
      </c>
      <c r="F134" s="9">
        <f t="shared" si="50"/>
        <v>-247.36582499999997</v>
      </c>
      <c r="I134">
        <v>1</v>
      </c>
      <c r="J134">
        <f t="shared" si="45"/>
        <v>0.35396497767986035</v>
      </c>
      <c r="K134">
        <f t="shared" si="51"/>
        <v>-2.6803880353662581</v>
      </c>
      <c r="O134">
        <f t="shared" si="52"/>
        <v>-0.31040384931402448</v>
      </c>
      <c r="P134">
        <f t="shared" si="53"/>
        <v>-0.15425518703283311</v>
      </c>
      <c r="Q134">
        <f t="shared" si="54"/>
        <v>0.93800575030460343</v>
      </c>
      <c r="R134">
        <f t="shared" si="44"/>
        <v>1</v>
      </c>
      <c r="AG134" s="8">
        <f t="shared" si="46"/>
        <v>-0.44109514307951297</v>
      </c>
      <c r="AH134" s="8">
        <f t="shared" si="47"/>
        <v>0.82415680579444728</v>
      </c>
      <c r="AI134" s="8">
        <f t="shared" si="48"/>
        <v>0.35524728600561861</v>
      </c>
      <c r="AJ134" s="8"/>
      <c r="AK134" s="8"/>
      <c r="AL134" s="8"/>
      <c r="AN134" s="8">
        <f t="shared" si="55"/>
        <v>1</v>
      </c>
      <c r="AO134" s="8">
        <f t="shared" si="56"/>
        <v>2.0622118695419998</v>
      </c>
      <c r="AP134" s="8">
        <f t="shared" si="57"/>
        <v>1.2076177313995813</v>
      </c>
      <c r="AQ134" s="8"/>
      <c r="AR134" s="8">
        <f t="shared" si="58"/>
        <v>118.1560365865397</v>
      </c>
      <c r="AS134" s="8">
        <f t="shared" si="59"/>
        <v>20.808600725640915</v>
      </c>
    </row>
    <row r="135" spans="1:45">
      <c r="A135" s="19">
        <v>97.397300000000001</v>
      </c>
      <c r="B135" s="19">
        <v>461.99115169999999</v>
      </c>
      <c r="C135" s="19">
        <v>-787.34904470000004</v>
      </c>
      <c r="E135" s="9">
        <f t="shared" si="49"/>
        <v>-498.00884830000001</v>
      </c>
      <c r="F135" s="9">
        <f t="shared" si="50"/>
        <v>-247.34904470000004</v>
      </c>
      <c r="I135">
        <v>1</v>
      </c>
      <c r="J135">
        <f t="shared" si="45"/>
        <v>0.35408832725607425</v>
      </c>
      <c r="K135">
        <f t="shared" si="51"/>
        <v>-2.6806077755157913</v>
      </c>
      <c r="O135">
        <f t="shared" si="52"/>
        <v>-0.31054136049042602</v>
      </c>
      <c r="P135">
        <f t="shared" si="53"/>
        <v>-0.15423844198622286</v>
      </c>
      <c r="Q135">
        <f t="shared" si="54"/>
        <v>0.93796298777639298</v>
      </c>
      <c r="R135">
        <f t="shared" si="44"/>
        <v>1</v>
      </c>
      <c r="AG135" s="8">
        <f t="shared" si="46"/>
        <v>-0.44097450644243991</v>
      </c>
      <c r="AH135" s="8">
        <f t="shared" si="47"/>
        <v>0.82423274720940665</v>
      </c>
      <c r="AI135" s="8">
        <f t="shared" si="48"/>
        <v>0.35522086523102903</v>
      </c>
      <c r="AJ135" s="8"/>
      <c r="AK135" s="8"/>
      <c r="AL135" s="8"/>
      <c r="AN135" s="8">
        <f t="shared" si="55"/>
        <v>0.99999999999999989</v>
      </c>
      <c r="AO135" s="8">
        <f t="shared" si="56"/>
        <v>2.0620597528516087</v>
      </c>
      <c r="AP135" s="8">
        <f t="shared" si="57"/>
        <v>1.2076459956421008</v>
      </c>
      <c r="AQ135" s="8"/>
      <c r="AR135" s="8">
        <f t="shared" si="58"/>
        <v>118.14732094218679</v>
      </c>
      <c r="AS135" s="8">
        <f t="shared" si="59"/>
        <v>20.80698130383341</v>
      </c>
    </row>
    <row r="136" spans="1:45">
      <c r="A136" s="19">
        <v>97.430666669999994</v>
      </c>
      <c r="B136" s="19">
        <v>461.61213850000001</v>
      </c>
      <c r="C136" s="19">
        <v>-787.26654480000002</v>
      </c>
      <c r="E136" s="9">
        <f t="shared" si="49"/>
        <v>-498.38786149999999</v>
      </c>
      <c r="F136" s="9">
        <f t="shared" si="50"/>
        <v>-247.26654480000002</v>
      </c>
      <c r="I136">
        <v>1</v>
      </c>
      <c r="J136">
        <f t="shared" si="45"/>
        <v>0.35426772302474496</v>
      </c>
      <c r="K136">
        <f t="shared" si="51"/>
        <v>-2.6810436206285546</v>
      </c>
      <c r="O136">
        <f t="shared" si="52"/>
        <v>-0.31075928472802056</v>
      </c>
      <c r="P136">
        <f t="shared" si="53"/>
        <v>-0.15417786133063163</v>
      </c>
      <c r="Q136">
        <f t="shared" si="54"/>
        <v>0.93790076982100912</v>
      </c>
      <c r="R136">
        <f t="shared" si="44"/>
        <v>1</v>
      </c>
      <c r="AG136" s="8">
        <f t="shared" si="46"/>
        <v>-0.44076982189161673</v>
      </c>
      <c r="AH136" s="8">
        <f t="shared" si="47"/>
        <v>0.82434685561698195</v>
      </c>
      <c r="AI136" s="8">
        <f t="shared" si="48"/>
        <v>0.35521011492358584</v>
      </c>
      <c r="AJ136" s="8"/>
      <c r="AK136" s="8"/>
      <c r="AL136" s="8"/>
      <c r="AN136" s="8">
        <f t="shared" si="55"/>
        <v>0.99999999999999989</v>
      </c>
      <c r="AO136" s="8">
        <f t="shared" si="56"/>
        <v>2.0618090992610867</v>
      </c>
      <c r="AP136" s="8">
        <f t="shared" si="57"/>
        <v>1.2076574959484221</v>
      </c>
      <c r="AQ136" s="8"/>
      <c r="AR136" s="8">
        <f t="shared" si="58"/>
        <v>118.13295954933008</v>
      </c>
      <c r="AS136" s="8">
        <f t="shared" si="59"/>
        <v>20.806322384818102</v>
      </c>
    </row>
    <row r="137" spans="1:45">
      <c r="A137" s="19">
        <v>97.464033330000007</v>
      </c>
      <c r="B137" s="19">
        <v>461.33951150000001</v>
      </c>
      <c r="C137" s="19">
        <v>-787.33225519999996</v>
      </c>
      <c r="E137" s="9">
        <f t="shared" si="49"/>
        <v>-498.66048849999999</v>
      </c>
      <c r="F137" s="9">
        <f t="shared" si="50"/>
        <v>-247.33225519999996</v>
      </c>
      <c r="I137">
        <v>1</v>
      </c>
      <c r="J137">
        <f t="shared" si="45"/>
        <v>0.35442969639611571</v>
      </c>
      <c r="K137">
        <f t="shared" si="51"/>
        <v>-2.6811555487417218</v>
      </c>
      <c r="O137">
        <f t="shared" si="52"/>
        <v>-0.3109126298189564</v>
      </c>
      <c r="P137">
        <f t="shared" si="53"/>
        <v>-0.15421057749051098</v>
      </c>
      <c r="Q137">
        <f t="shared" si="54"/>
        <v>0.93784456836359809</v>
      </c>
      <c r="R137">
        <f t="shared" si="44"/>
        <v>1</v>
      </c>
      <c r="AG137" s="8">
        <f t="shared" si="46"/>
        <v>-0.440655595814618</v>
      </c>
      <c r="AH137" s="8">
        <f t="shared" si="47"/>
        <v>0.82444088469387133</v>
      </c>
      <c r="AI137" s="8">
        <f t="shared" si="48"/>
        <v>0.35513359954030049</v>
      </c>
      <c r="AJ137" s="8"/>
      <c r="AK137" s="8"/>
      <c r="AL137" s="8"/>
      <c r="AN137" s="8">
        <f t="shared" si="55"/>
        <v>0.99999999999999978</v>
      </c>
      <c r="AO137" s="8">
        <f t="shared" si="56"/>
        <v>2.0616539163010366</v>
      </c>
      <c r="AP137" s="8">
        <f t="shared" si="57"/>
        <v>1.2077393480019256</v>
      </c>
      <c r="AQ137" s="8"/>
      <c r="AR137" s="8">
        <f t="shared" si="58"/>
        <v>118.12406822066687</v>
      </c>
      <c r="AS137" s="8">
        <f t="shared" si="59"/>
        <v>20.801632607607871</v>
      </c>
    </row>
    <row r="138" spans="1:45">
      <c r="A138" s="19">
        <v>97.497399999999999</v>
      </c>
      <c r="B138" s="19">
        <v>460.89896060000001</v>
      </c>
      <c r="C138" s="19">
        <v>-787.35881459999996</v>
      </c>
      <c r="E138" s="9">
        <f t="shared" si="49"/>
        <v>-499.10103939999999</v>
      </c>
      <c r="F138" s="9">
        <f t="shared" si="50"/>
        <v>-247.35881459999996</v>
      </c>
      <c r="I138">
        <v>1</v>
      </c>
      <c r="J138">
        <f t="shared" si="45"/>
        <v>0.35467046325850926</v>
      </c>
      <c r="K138">
        <f t="shared" si="51"/>
        <v>-2.6814642559958752</v>
      </c>
      <c r="O138">
        <f t="shared" si="52"/>
        <v>-0.31116252939058459</v>
      </c>
      <c r="P138">
        <f t="shared" si="53"/>
        <v>-0.15421485499313248</v>
      </c>
      <c r="Q138">
        <f t="shared" si="54"/>
        <v>0.93776098170200106</v>
      </c>
      <c r="R138">
        <f t="shared" si="44"/>
        <v>1</v>
      </c>
      <c r="AG138" s="8">
        <f t="shared" si="46"/>
        <v>-0.44045000035989201</v>
      </c>
      <c r="AH138" s="8">
        <f t="shared" si="47"/>
        <v>0.82458513241078801</v>
      </c>
      <c r="AI138" s="8">
        <f t="shared" si="48"/>
        <v>0.35505373760890691</v>
      </c>
      <c r="AJ138" s="8"/>
      <c r="AK138" s="8"/>
      <c r="AL138" s="8"/>
      <c r="AN138" s="8">
        <f t="shared" si="55"/>
        <v>1.0000000000000002</v>
      </c>
      <c r="AO138" s="8">
        <f t="shared" si="56"/>
        <v>2.0613872237707236</v>
      </c>
      <c r="AP138" s="8">
        <f t="shared" si="57"/>
        <v>1.2078247772985835</v>
      </c>
      <c r="AQ138" s="8"/>
      <c r="AR138" s="8">
        <f t="shared" si="58"/>
        <v>118.10878786425226</v>
      </c>
      <c r="AS138" s="8">
        <f t="shared" si="59"/>
        <v>20.796737869462603</v>
      </c>
    </row>
    <row r="139" spans="1:45">
      <c r="A139" s="19">
        <v>97.530766670000006</v>
      </c>
      <c r="B139" s="19">
        <v>460.48336369999998</v>
      </c>
      <c r="C139" s="19">
        <v>-787.33529299999998</v>
      </c>
      <c r="E139" s="9">
        <f t="shared" si="49"/>
        <v>-499.51663630000002</v>
      </c>
      <c r="F139" s="9">
        <f t="shared" si="50"/>
        <v>-247.33529299999998</v>
      </c>
      <c r="I139">
        <v>1</v>
      </c>
      <c r="J139">
        <f t="shared" si="45"/>
        <v>0.35488481909436936</v>
      </c>
      <c r="K139">
        <f t="shared" si="51"/>
        <v>-2.6818331608442869</v>
      </c>
      <c r="O139">
        <f t="shared" si="52"/>
        <v>-0.31139953270985765</v>
      </c>
      <c r="P139">
        <f t="shared" si="53"/>
        <v>-0.15418924829682545</v>
      </c>
      <c r="Q139">
        <f t="shared" si="54"/>
        <v>0.93768651837260741</v>
      </c>
      <c r="R139">
        <f t="shared" si="44"/>
        <v>1</v>
      </c>
      <c r="AG139" s="8">
        <f t="shared" si="46"/>
        <v>-0.44024323325356673</v>
      </c>
      <c r="AH139" s="8">
        <f t="shared" si="47"/>
        <v>0.82471648187814828</v>
      </c>
      <c r="AI139" s="8">
        <f t="shared" si="48"/>
        <v>0.3550050986858857</v>
      </c>
      <c r="AJ139" s="8"/>
      <c r="AK139" s="8"/>
      <c r="AL139" s="8"/>
      <c r="AN139" s="8">
        <f t="shared" si="55"/>
        <v>0.99999999999999989</v>
      </c>
      <c r="AO139" s="8">
        <f t="shared" si="56"/>
        <v>2.061125940078262</v>
      </c>
      <c r="AP139" s="8">
        <f t="shared" si="57"/>
        <v>1.2078768055984979</v>
      </c>
      <c r="AQ139" s="8"/>
      <c r="AR139" s="8">
        <f t="shared" si="58"/>
        <v>118.09381741141863</v>
      </c>
      <c r="AS139" s="8">
        <f t="shared" si="59"/>
        <v>20.793756867462264</v>
      </c>
    </row>
    <row r="140" spans="1:45">
      <c r="A140" s="19">
        <v>97.564133330000004</v>
      </c>
      <c r="B140" s="19">
        <v>460.30468180000003</v>
      </c>
      <c r="C140" s="19">
        <v>-787.35624480000001</v>
      </c>
      <c r="E140" s="9">
        <f t="shared" si="49"/>
        <v>-499.69531819999997</v>
      </c>
      <c r="F140" s="9">
        <f t="shared" si="50"/>
        <v>-247.35624480000001</v>
      </c>
      <c r="I140">
        <v>1</v>
      </c>
      <c r="J140">
        <f t="shared" si="45"/>
        <v>0.35498514296618044</v>
      </c>
      <c r="K140">
        <f t="shared" si="51"/>
        <v>-2.6819416874878876</v>
      </c>
      <c r="O140">
        <f t="shared" si="52"/>
        <v>-0.31150057127896918</v>
      </c>
      <c r="P140">
        <f t="shared" si="53"/>
        <v>-0.15419718528117404</v>
      </c>
      <c r="Q140">
        <f t="shared" si="54"/>
        <v>0.93765165287767671</v>
      </c>
      <c r="R140">
        <f t="shared" si="44"/>
        <v>1</v>
      </c>
      <c r="AG140" s="8">
        <f t="shared" si="46"/>
        <v>-0.44016253508359265</v>
      </c>
      <c r="AH140" s="8">
        <f t="shared" si="47"/>
        <v>0.82477590823240499</v>
      </c>
      <c r="AI140" s="8">
        <f t="shared" si="48"/>
        <v>0.35496710257176867</v>
      </c>
      <c r="AJ140" s="8"/>
      <c r="AK140" s="8"/>
      <c r="AL140" s="8"/>
      <c r="AN140" s="8">
        <f t="shared" si="55"/>
        <v>1</v>
      </c>
      <c r="AO140" s="8">
        <f t="shared" si="56"/>
        <v>2.0610198568212708</v>
      </c>
      <c r="AP140" s="8">
        <f t="shared" si="57"/>
        <v>1.2079174487360078</v>
      </c>
      <c r="AQ140" s="8"/>
      <c r="AR140" s="8">
        <f t="shared" si="58"/>
        <v>118.08773928851603</v>
      </c>
      <c r="AS140" s="8">
        <f t="shared" si="59"/>
        <v>20.791428187216781</v>
      </c>
    </row>
    <row r="141" spans="1:45">
      <c r="A141" s="19">
        <v>97.597499999999997</v>
      </c>
      <c r="B141" s="19">
        <v>460.1626723</v>
      </c>
      <c r="C141" s="19">
        <v>-787.41230389999998</v>
      </c>
      <c r="E141" s="9">
        <f t="shared" si="49"/>
        <v>-499.8373277</v>
      </c>
      <c r="F141" s="9">
        <f t="shared" si="50"/>
        <v>-247.41230389999998</v>
      </c>
      <c r="I141">
        <v>1</v>
      </c>
      <c r="J141">
        <f t="shared" si="45"/>
        <v>0.35507522412204073</v>
      </c>
      <c r="K141">
        <f t="shared" si="51"/>
        <v>-2.6819645661359788</v>
      </c>
      <c r="O141">
        <f t="shared" si="52"/>
        <v>-0.31157979654276929</v>
      </c>
      <c r="P141">
        <f t="shared" si="53"/>
        <v>-0.15422752771599335</v>
      </c>
      <c r="Q141">
        <f t="shared" si="54"/>
        <v>0.93762033898640396</v>
      </c>
      <c r="R141">
        <f t="shared" si="44"/>
        <v>1</v>
      </c>
      <c r="AG141" s="8">
        <f t="shared" si="46"/>
        <v>-0.44010879962206495</v>
      </c>
      <c r="AH141" s="8">
        <f t="shared" si="47"/>
        <v>0.8248269022258885</v>
      </c>
      <c r="AI141" s="8">
        <f t="shared" si="48"/>
        <v>0.35491523757042265</v>
      </c>
      <c r="AJ141" s="8"/>
      <c r="AK141" s="8"/>
      <c r="AL141" s="8"/>
      <c r="AN141" s="8">
        <f t="shared" si="55"/>
        <v>1</v>
      </c>
      <c r="AO141" s="8">
        <f t="shared" si="56"/>
        <v>2.060943467714933</v>
      </c>
      <c r="AP141" s="8">
        <f t="shared" si="57"/>
        <v>1.2079729259332244</v>
      </c>
      <c r="AQ141" s="8"/>
      <c r="AR141" s="8">
        <f t="shared" si="58"/>
        <v>118.08336251512209</v>
      </c>
      <c r="AS141" s="8">
        <f t="shared" si="59"/>
        <v>20.78824957795706</v>
      </c>
    </row>
    <row r="142" spans="1:45">
      <c r="A142" s="19">
        <v>97.630866670000003</v>
      </c>
      <c r="B142" s="19">
        <v>459.98719560000001</v>
      </c>
      <c r="C142" s="19">
        <v>-787.46273040000005</v>
      </c>
      <c r="E142" s="9">
        <f t="shared" si="49"/>
        <v>-500.01280439999999</v>
      </c>
      <c r="F142" s="9">
        <f t="shared" si="50"/>
        <v>-247.46273040000005</v>
      </c>
      <c r="I142">
        <v>1</v>
      </c>
      <c r="J142">
        <f t="shared" si="45"/>
        <v>0.35518157833499031</v>
      </c>
      <c r="K142">
        <f t="shared" si="51"/>
        <v>-2.6820230910431966</v>
      </c>
      <c r="O142">
        <f t="shared" si="52"/>
        <v>-0.31167819368732841</v>
      </c>
      <c r="P142">
        <f t="shared" si="53"/>
        <v>-0.15425352338438308</v>
      </c>
      <c r="Q142">
        <f t="shared" si="54"/>
        <v>0.9375833584824913</v>
      </c>
      <c r="R142">
        <f t="shared" si="44"/>
        <v>1</v>
      </c>
      <c r="AG142" s="8">
        <f t="shared" si="46"/>
        <v>-0.44003742728339745</v>
      </c>
      <c r="AH142" s="8">
        <f t="shared" si="47"/>
        <v>0.82488809613079939</v>
      </c>
      <c r="AI142" s="8">
        <f t="shared" si="48"/>
        <v>0.35486151024239559</v>
      </c>
      <c r="AJ142" s="8"/>
      <c r="AK142" s="8"/>
      <c r="AL142" s="8"/>
      <c r="AN142" s="8">
        <f t="shared" si="55"/>
        <v>1</v>
      </c>
      <c r="AO142" s="8">
        <f t="shared" si="56"/>
        <v>2.0608453024099189</v>
      </c>
      <c r="AP142" s="8">
        <f t="shared" si="57"/>
        <v>1.2080303939288926</v>
      </c>
      <c r="AQ142" s="8"/>
      <c r="AR142" s="8">
        <f t="shared" si="58"/>
        <v>118.07773805745018</v>
      </c>
      <c r="AS142" s="8">
        <f t="shared" si="59"/>
        <v>20.784956904348192</v>
      </c>
    </row>
    <row r="143" spans="1:45">
      <c r="A143" s="19">
        <v>97.664233330000002</v>
      </c>
      <c r="B143" s="19">
        <v>459.41791039999998</v>
      </c>
      <c r="C143" s="19">
        <v>-787.38273040000001</v>
      </c>
      <c r="E143" s="9">
        <f t="shared" si="49"/>
        <v>-500.58208960000002</v>
      </c>
      <c r="F143" s="9">
        <f t="shared" si="50"/>
        <v>-247.38273040000001</v>
      </c>
      <c r="I143">
        <v>1</v>
      </c>
      <c r="J143">
        <f t="shared" si="45"/>
        <v>0.3554626631714336</v>
      </c>
      <c r="K143">
        <f t="shared" si="51"/>
        <v>-2.6826037295571799</v>
      </c>
      <c r="O143">
        <f t="shared" si="52"/>
        <v>-0.31200395862511326</v>
      </c>
      <c r="P143">
        <f t="shared" si="53"/>
        <v>-0.15418927840979071</v>
      </c>
      <c r="Q143">
        <f t="shared" si="54"/>
        <v>0.93748557120935283</v>
      </c>
      <c r="R143">
        <f t="shared" si="44"/>
        <v>1</v>
      </c>
      <c r="AG143" s="8">
        <f t="shared" si="46"/>
        <v>-0.43974159791936213</v>
      </c>
      <c r="AH143" s="8">
        <f t="shared" si="47"/>
        <v>0.82506321230177082</v>
      </c>
      <c r="AI143" s="8">
        <f t="shared" si="48"/>
        <v>0.35482111375397185</v>
      </c>
      <c r="AJ143" s="8"/>
      <c r="AK143" s="8"/>
      <c r="AL143" s="8"/>
      <c r="AN143" s="8">
        <f t="shared" si="55"/>
        <v>0.99999999999999989</v>
      </c>
      <c r="AO143" s="8">
        <f t="shared" si="56"/>
        <v>2.0604779664795876</v>
      </c>
      <c r="AP143" s="8">
        <f t="shared" si="57"/>
        <v>1.2080736021238818</v>
      </c>
      <c r="AQ143" s="8"/>
      <c r="AR143" s="8">
        <f t="shared" si="58"/>
        <v>118.05669125897867</v>
      </c>
      <c r="AS143" s="8">
        <f t="shared" si="59"/>
        <v>20.782481257134933</v>
      </c>
    </row>
    <row r="144" spans="1:45">
      <c r="A144" s="19">
        <v>97.697599999999994</v>
      </c>
      <c r="B144" s="19">
        <v>458.75053270000001</v>
      </c>
      <c r="C144" s="19">
        <v>-787.3633423</v>
      </c>
      <c r="E144" s="9">
        <f t="shared" si="49"/>
        <v>-501.24946729999999</v>
      </c>
      <c r="F144" s="9">
        <f t="shared" si="50"/>
        <v>-247.3633423</v>
      </c>
      <c r="I144">
        <v>1</v>
      </c>
      <c r="J144">
        <f t="shared" si="45"/>
        <v>0.35581173293099516</v>
      </c>
      <c r="K144">
        <f t="shared" si="51"/>
        <v>-2.6831637983697836</v>
      </c>
      <c r="O144">
        <f t="shared" si="52"/>
        <v>-0.31238370643289087</v>
      </c>
      <c r="P144">
        <f t="shared" si="53"/>
        <v>-0.15415932134458327</v>
      </c>
      <c r="Q144">
        <f t="shared" si="54"/>
        <v>0.93736402939190433</v>
      </c>
      <c r="R144">
        <f t="shared" si="44"/>
        <v>1</v>
      </c>
      <c r="AG144" s="8">
        <f t="shared" si="46"/>
        <v>-0.43941443496694282</v>
      </c>
      <c r="AH144" s="8">
        <f t="shared" si="47"/>
        <v>0.8252754560986908</v>
      </c>
      <c r="AI144" s="8">
        <f t="shared" si="48"/>
        <v>0.3547328232681326</v>
      </c>
      <c r="AJ144" s="8"/>
      <c r="AK144" s="8"/>
      <c r="AL144" s="8"/>
      <c r="AN144" s="8">
        <f t="shared" si="55"/>
        <v>1</v>
      </c>
      <c r="AO144" s="8">
        <f t="shared" si="56"/>
        <v>2.0600623976489665</v>
      </c>
      <c r="AP144" s="8">
        <f t="shared" si="57"/>
        <v>1.2081680354037121</v>
      </c>
      <c r="AQ144" s="8"/>
      <c r="AR144" s="8">
        <f t="shared" si="58"/>
        <v>118.0328809188869</v>
      </c>
      <c r="AS144" s="8">
        <f t="shared" si="59"/>
        <v>20.777070628755069</v>
      </c>
    </row>
    <row r="145" spans="1:45">
      <c r="A145" s="19">
        <v>97.730966670000001</v>
      </c>
      <c r="B145" s="19">
        <v>458.43235950000002</v>
      </c>
      <c r="C145" s="19">
        <v>-787.36277299999995</v>
      </c>
      <c r="E145" s="9">
        <f t="shared" si="49"/>
        <v>-501.56764049999998</v>
      </c>
      <c r="F145" s="9">
        <f t="shared" si="50"/>
        <v>-247.36277299999995</v>
      </c>
      <c r="I145">
        <v>1</v>
      </c>
      <c r="J145">
        <f t="shared" si="45"/>
        <v>0.35598042877495856</v>
      </c>
      <c r="K145">
        <f t="shared" si="51"/>
        <v>-2.6834164855092504</v>
      </c>
      <c r="O145">
        <f t="shared" si="52"/>
        <v>-0.31256446614898908</v>
      </c>
      <c r="P145">
        <f t="shared" si="53"/>
        <v>-0.15415032160129666</v>
      </c>
      <c r="Q145">
        <f t="shared" si="54"/>
        <v>0.93730525062607761</v>
      </c>
      <c r="R145">
        <f t="shared" si="44"/>
        <v>1</v>
      </c>
      <c r="AG145" s="8">
        <f t="shared" si="46"/>
        <v>-0.43926075156705197</v>
      </c>
      <c r="AH145" s="8">
        <f t="shared" si="47"/>
        <v>0.82537740936941073</v>
      </c>
      <c r="AI145" s="8">
        <f t="shared" si="48"/>
        <v>0.35468595156192578</v>
      </c>
      <c r="AJ145" s="8"/>
      <c r="AK145" s="8"/>
      <c r="AL145" s="8"/>
      <c r="AN145" s="8">
        <f t="shared" si="55"/>
        <v>0.99999999999999989</v>
      </c>
      <c r="AO145" s="8">
        <f t="shared" si="56"/>
        <v>2.0598660643623239</v>
      </c>
      <c r="AP145" s="8">
        <f t="shared" si="57"/>
        <v>1.2082181668251841</v>
      </c>
      <c r="AQ145" s="8"/>
      <c r="AR145" s="8">
        <f t="shared" si="58"/>
        <v>118.02163185018435</v>
      </c>
      <c r="AS145" s="8">
        <f t="shared" si="59"/>
        <v>20.77419830988373</v>
      </c>
    </row>
    <row r="146" spans="1:45">
      <c r="A146" s="19">
        <v>97.764333329999999</v>
      </c>
      <c r="B146" s="19">
        <v>458.37116140000001</v>
      </c>
      <c r="C146" s="19">
        <v>-787.36509739999997</v>
      </c>
      <c r="E146" s="9">
        <f t="shared" si="49"/>
        <v>-501.62883859999999</v>
      </c>
      <c r="F146" s="9">
        <f t="shared" si="50"/>
        <v>-247.36509739999997</v>
      </c>
      <c r="I146">
        <v>1</v>
      </c>
      <c r="J146">
        <f t="shared" si="45"/>
        <v>0.35601351312626506</v>
      </c>
      <c r="K146">
        <f t="shared" si="51"/>
        <v>-2.6834611554183447</v>
      </c>
      <c r="O146">
        <f t="shared" si="52"/>
        <v>-0.31259916393184767</v>
      </c>
      <c r="P146">
        <f t="shared" si="53"/>
        <v>-0.15415007408459647</v>
      </c>
      <c r="Q146">
        <f t="shared" si="54"/>
        <v>0.93729371990258381</v>
      </c>
      <c r="R146">
        <f t="shared" si="44"/>
        <v>1</v>
      </c>
      <c r="AG146" s="8">
        <f t="shared" si="46"/>
        <v>-0.43923183436380231</v>
      </c>
      <c r="AH146" s="8">
        <f t="shared" si="47"/>
        <v>0.82539724742546561</v>
      </c>
      <c r="AI146" s="8">
        <f t="shared" si="48"/>
        <v>0.35467559772822566</v>
      </c>
      <c r="AJ146" s="8"/>
      <c r="AK146" s="8"/>
      <c r="AL146" s="8"/>
      <c r="AN146" s="8">
        <f t="shared" si="55"/>
        <v>1</v>
      </c>
      <c r="AO146" s="8">
        <f t="shared" si="56"/>
        <v>2.0598287941403752</v>
      </c>
      <c r="AP146" s="8">
        <f t="shared" si="57"/>
        <v>1.2082292405926478</v>
      </c>
      <c r="AQ146" s="8"/>
      <c r="AR146" s="8">
        <f t="shared" si="58"/>
        <v>118.01949642376518</v>
      </c>
      <c r="AS146" s="8">
        <f t="shared" si="59"/>
        <v>20.773563829744759</v>
      </c>
    </row>
    <row r="147" spans="1:45">
      <c r="A147" s="19">
        <v>97.797700000000006</v>
      </c>
      <c r="B147" s="19">
        <v>457.81786210000001</v>
      </c>
      <c r="C147" s="19">
        <v>-787.36059899999998</v>
      </c>
      <c r="E147" s="9">
        <f t="shared" si="49"/>
        <v>-502.18213789999999</v>
      </c>
      <c r="F147" s="9">
        <f t="shared" si="50"/>
        <v>-247.36059899999998</v>
      </c>
      <c r="I147">
        <v>1</v>
      </c>
      <c r="J147">
        <f t="shared" si="45"/>
        <v>0.35630595819129374</v>
      </c>
      <c r="K147">
        <f t="shared" si="51"/>
        <v>-2.6839055009919521</v>
      </c>
      <c r="O147">
        <f t="shared" si="52"/>
        <v>-0.31291351058292344</v>
      </c>
      <c r="P147">
        <f t="shared" si="53"/>
        <v>-0.15413227108527319</v>
      </c>
      <c r="Q147">
        <f t="shared" si="54"/>
        <v>0.93719175087319595</v>
      </c>
      <c r="R147">
        <f t="shared" si="44"/>
        <v>1</v>
      </c>
      <c r="AG147" s="8">
        <f t="shared" si="46"/>
        <v>-0.43896365971993218</v>
      </c>
      <c r="AH147" s="8">
        <f t="shared" si="47"/>
        <v>0.82557409365056622</v>
      </c>
      <c r="AI147" s="8">
        <f t="shared" si="48"/>
        <v>0.35459599735238118</v>
      </c>
      <c r="AJ147" s="8"/>
      <c r="AK147" s="8"/>
      <c r="AL147" s="8"/>
      <c r="AN147" s="8">
        <f t="shared" si="55"/>
        <v>1.0000000000000002</v>
      </c>
      <c r="AO147" s="8">
        <f t="shared" si="56"/>
        <v>2.0594867492199</v>
      </c>
      <c r="AP147" s="8">
        <f t="shared" si="57"/>
        <v>1.208314374273006</v>
      </c>
      <c r="AQ147" s="8"/>
      <c r="AR147" s="8">
        <f t="shared" si="58"/>
        <v>117.99989869341806</v>
      </c>
      <c r="AS147" s="8">
        <f t="shared" si="59"/>
        <v>20.768686029165821</v>
      </c>
    </row>
    <row r="148" spans="1:45">
      <c r="A148" s="19">
        <v>97.831066669999998</v>
      </c>
      <c r="B148" s="19">
        <v>457.30041119999999</v>
      </c>
      <c r="C148" s="19">
        <v>-787.36632020000002</v>
      </c>
      <c r="E148" s="9">
        <f t="shared" si="49"/>
        <v>-502.69958880000001</v>
      </c>
      <c r="F148" s="9">
        <f t="shared" si="50"/>
        <v>-247.36632020000002</v>
      </c>
      <c r="I148">
        <v>1</v>
      </c>
      <c r="J148">
        <f t="shared" si="45"/>
        <v>0.356582052700185</v>
      </c>
      <c r="K148">
        <f t="shared" si="51"/>
        <v>-2.6843044478563174</v>
      </c>
      <c r="O148">
        <f t="shared" si="52"/>
        <v>-0.31320713171028686</v>
      </c>
      <c r="P148">
        <f t="shared" si="53"/>
        <v>-0.15412166104316188</v>
      </c>
      <c r="Q148">
        <f t="shared" si="54"/>
        <v>0.937095409359747</v>
      </c>
      <c r="R148">
        <f t="shared" si="44"/>
        <v>1</v>
      </c>
      <c r="AG148" s="8">
        <f t="shared" si="46"/>
        <v>-0.43871548557655765</v>
      </c>
      <c r="AH148" s="8">
        <f t="shared" si="47"/>
        <v>0.82574031753253152</v>
      </c>
      <c r="AI148" s="8">
        <f t="shared" si="48"/>
        <v>0.35451607963052861</v>
      </c>
      <c r="AJ148" s="8"/>
      <c r="AK148" s="8"/>
      <c r="AL148" s="8"/>
      <c r="AN148" s="8">
        <f t="shared" si="55"/>
        <v>1</v>
      </c>
      <c r="AO148" s="8">
        <f t="shared" si="56"/>
        <v>2.0591689457594615</v>
      </c>
      <c r="AP148" s="8">
        <f t="shared" si="57"/>
        <v>1.2083998445942226</v>
      </c>
      <c r="AQ148" s="8"/>
      <c r="AR148" s="8">
        <f t="shared" si="58"/>
        <v>117.98168989642028</v>
      </c>
      <c r="AS148" s="8">
        <f t="shared" si="59"/>
        <v>20.763788940486478</v>
      </c>
    </row>
    <row r="149" spans="1:45">
      <c r="A149" s="19">
        <v>97.864433329999997</v>
      </c>
      <c r="B149" s="19">
        <v>456.69064090000001</v>
      </c>
      <c r="C149" s="19">
        <v>-787.33760389999998</v>
      </c>
      <c r="E149" s="9">
        <f t="shared" si="49"/>
        <v>-503.30935909999999</v>
      </c>
      <c r="F149" s="9">
        <f t="shared" si="50"/>
        <v>-247.33760389999998</v>
      </c>
      <c r="I149">
        <v>1</v>
      </c>
      <c r="J149">
        <f t="shared" si="45"/>
        <v>0.35689815637951083</v>
      </c>
      <c r="K149">
        <f t="shared" si="51"/>
        <v>-2.6848304637235434</v>
      </c>
      <c r="O149">
        <f t="shared" si="52"/>
        <v>-0.31355399560721042</v>
      </c>
      <c r="P149">
        <f t="shared" si="53"/>
        <v>-0.15408752602065132</v>
      </c>
      <c r="Q149">
        <f t="shared" si="54"/>
        <v>0.93698501917778199</v>
      </c>
      <c r="R149">
        <f t="shared" si="44"/>
        <v>1</v>
      </c>
      <c r="AG149" s="8">
        <f t="shared" si="46"/>
        <v>-0.43841368158312888</v>
      </c>
      <c r="AH149" s="8">
        <f t="shared" si="47"/>
        <v>0.82593266407772004</v>
      </c>
      <c r="AI149" s="8">
        <f t="shared" si="48"/>
        <v>0.35444136074985222</v>
      </c>
      <c r="AJ149" s="8"/>
      <c r="AK149" s="8"/>
      <c r="AL149" s="8"/>
      <c r="AN149" s="8">
        <f t="shared" si="55"/>
        <v>0.99999999999999989</v>
      </c>
      <c r="AO149" s="8">
        <f t="shared" si="56"/>
        <v>2.0587874062020397</v>
      </c>
      <c r="AP149" s="8">
        <f t="shared" si="57"/>
        <v>1.2084797523590112</v>
      </c>
      <c r="AQ149" s="8"/>
      <c r="AR149" s="8">
        <f t="shared" si="58"/>
        <v>117.95982929006271</v>
      </c>
      <c r="AS149" s="8">
        <f t="shared" si="59"/>
        <v>20.759210562813763</v>
      </c>
    </row>
    <row r="150" spans="1:45">
      <c r="A150" s="19">
        <v>97.897800000000004</v>
      </c>
      <c r="B150" s="19">
        <v>456.28793159999998</v>
      </c>
      <c r="C150" s="19">
        <v>-787.35979940000004</v>
      </c>
      <c r="E150" s="9">
        <f t="shared" si="49"/>
        <v>-503.71206840000002</v>
      </c>
      <c r="F150" s="9">
        <f t="shared" si="50"/>
        <v>-247.35979940000004</v>
      </c>
      <c r="I150">
        <v>1</v>
      </c>
      <c r="J150">
        <f t="shared" si="45"/>
        <v>0.35711765763082237</v>
      </c>
      <c r="K150">
        <f t="shared" si="51"/>
        <v>-2.6851114701352485</v>
      </c>
      <c r="O150">
        <f t="shared" si="52"/>
        <v>-0.31378188596809681</v>
      </c>
      <c r="P150">
        <f t="shared" si="53"/>
        <v>-0.15409006302939338</v>
      </c>
      <c r="Q150">
        <f t="shared" si="54"/>
        <v>0.93690830955537041</v>
      </c>
      <c r="R150">
        <f t="shared" si="44"/>
        <v>1</v>
      </c>
      <c r="AG150" s="8">
        <f t="shared" si="46"/>
        <v>-0.43822522978084838</v>
      </c>
      <c r="AH150" s="8">
        <f t="shared" si="47"/>
        <v>0.82606354792890091</v>
      </c>
      <c r="AI150" s="8">
        <f t="shared" si="48"/>
        <v>0.35436938745698537</v>
      </c>
      <c r="AJ150" s="8"/>
      <c r="AK150" s="8"/>
      <c r="AL150" s="8"/>
      <c r="AN150" s="8">
        <f t="shared" si="55"/>
        <v>1</v>
      </c>
      <c r="AO150" s="8">
        <f t="shared" si="56"/>
        <v>2.0585437756613381</v>
      </c>
      <c r="AP150" s="8">
        <f t="shared" si="57"/>
        <v>1.2085567215789919</v>
      </c>
      <c r="AQ150" s="8"/>
      <c r="AR150" s="8">
        <f t="shared" si="58"/>
        <v>117.94587028832002</v>
      </c>
      <c r="AS150" s="8">
        <f t="shared" si="59"/>
        <v>20.754800551356468</v>
      </c>
    </row>
    <row r="151" spans="1:45">
      <c r="A151" s="19">
        <v>97.931166669999996</v>
      </c>
      <c r="B151" s="19">
        <v>456.17361210000001</v>
      </c>
      <c r="C151" s="19">
        <v>-787.35814960000005</v>
      </c>
      <c r="E151" s="9">
        <f t="shared" si="49"/>
        <v>-503.82638789999999</v>
      </c>
      <c r="F151" s="9">
        <f t="shared" si="50"/>
        <v>-247.35814960000005</v>
      </c>
      <c r="I151">
        <v>1</v>
      </c>
      <c r="J151">
        <f t="shared" si="45"/>
        <v>0.35717789580767345</v>
      </c>
      <c r="K151">
        <f t="shared" si="51"/>
        <v>-2.6852038887225751</v>
      </c>
      <c r="O151">
        <f t="shared" si="52"/>
        <v>-0.31384678609142147</v>
      </c>
      <c r="P151">
        <f t="shared" si="53"/>
        <v>-0.15408593541331081</v>
      </c>
      <c r="Q151">
        <f t="shared" si="54"/>
        <v>0.93688725008289575</v>
      </c>
      <c r="R151">
        <f t="shared" si="44"/>
        <v>1</v>
      </c>
      <c r="AG151" s="8">
        <f t="shared" si="46"/>
        <v>-0.43816963487457961</v>
      </c>
      <c r="AH151" s="8">
        <f t="shared" si="47"/>
        <v>0.82609993008911975</v>
      </c>
      <c r="AI151" s="8">
        <f t="shared" si="48"/>
        <v>0.35435332167291589</v>
      </c>
      <c r="AJ151" s="8"/>
      <c r="AK151" s="8"/>
      <c r="AL151" s="8"/>
      <c r="AN151" s="8">
        <f t="shared" si="55"/>
        <v>0.99999999999999989</v>
      </c>
      <c r="AO151" s="8">
        <f t="shared" si="56"/>
        <v>2.0584730225473615</v>
      </c>
      <c r="AP151" s="8">
        <f t="shared" si="57"/>
        <v>1.2085739022408446</v>
      </c>
      <c r="AQ151" s="8"/>
      <c r="AR151" s="8">
        <f t="shared" si="58"/>
        <v>117.94181643350176</v>
      </c>
      <c r="AS151" s="8">
        <f t="shared" si="59"/>
        <v>20.753816171943058</v>
      </c>
    </row>
    <row r="152" spans="1:45">
      <c r="A152" s="19">
        <v>97.964533329999995</v>
      </c>
      <c r="B152" s="19">
        <v>456.06226529999998</v>
      </c>
      <c r="C152" s="19">
        <v>-787.35314229999994</v>
      </c>
      <c r="E152" s="9">
        <f t="shared" si="49"/>
        <v>-503.93773470000002</v>
      </c>
      <c r="F152" s="9">
        <f t="shared" si="50"/>
        <v>-247.35314229999994</v>
      </c>
      <c r="I152">
        <v>1</v>
      </c>
      <c r="J152">
        <f t="shared" si="45"/>
        <v>0.35723568208166573</v>
      </c>
      <c r="K152">
        <f t="shared" si="51"/>
        <v>-2.685299309449622</v>
      </c>
      <c r="O152">
        <f t="shared" si="52"/>
        <v>-0.31391008747283522</v>
      </c>
      <c r="P152">
        <f t="shared" si="53"/>
        <v>-0.15407984199138738</v>
      </c>
      <c r="Q152">
        <f t="shared" si="54"/>
        <v>0.93686704460916226</v>
      </c>
      <c r="R152">
        <f t="shared" si="44"/>
        <v>1</v>
      </c>
      <c r="AG152" s="8">
        <f t="shared" si="46"/>
        <v>-0.43811458832896449</v>
      </c>
      <c r="AH152" s="8">
        <f t="shared" si="47"/>
        <v>0.82613503585980297</v>
      </c>
      <c r="AI152" s="8">
        <f t="shared" si="48"/>
        <v>0.35433954057974404</v>
      </c>
      <c r="AJ152" s="8"/>
      <c r="AK152" s="8"/>
      <c r="AL152" s="8"/>
      <c r="AN152" s="8">
        <f t="shared" si="55"/>
        <v>1</v>
      </c>
      <c r="AO152" s="8">
        <f t="shared" si="56"/>
        <v>2.0584034279185444</v>
      </c>
      <c r="AP152" s="8">
        <f t="shared" si="57"/>
        <v>1.2085886395775882</v>
      </c>
      <c r="AQ152" s="8"/>
      <c r="AR152" s="8">
        <f t="shared" si="58"/>
        <v>117.93782895499376</v>
      </c>
      <c r="AS152" s="8">
        <f t="shared" si="59"/>
        <v>20.752971784746379</v>
      </c>
    </row>
    <row r="153" spans="1:45">
      <c r="A153" s="19">
        <v>97.997900000000001</v>
      </c>
      <c r="B153" s="19">
        <v>456.1406288</v>
      </c>
      <c r="C153" s="19">
        <v>-787.38793350000003</v>
      </c>
      <c r="E153" s="9">
        <f t="shared" si="49"/>
        <v>-503.8593712</v>
      </c>
      <c r="F153" s="9">
        <f t="shared" si="50"/>
        <v>-247.38793350000003</v>
      </c>
      <c r="I153">
        <v>1</v>
      </c>
      <c r="J153">
        <f t="shared" si="45"/>
        <v>0.35720315965342314</v>
      </c>
      <c r="K153">
        <f t="shared" si="51"/>
        <v>-2.6851821550184773</v>
      </c>
      <c r="O153">
        <f t="shared" si="52"/>
        <v>-0.31386468364324432</v>
      </c>
      <c r="P153">
        <f t="shared" si="53"/>
        <v>-0.15410318815785767</v>
      </c>
      <c r="Q153">
        <f t="shared" si="54"/>
        <v>0.93687841674419525</v>
      </c>
      <c r="R153">
        <f t="shared" si="44"/>
        <v>1</v>
      </c>
      <c r="AG153" s="8">
        <f t="shared" si="46"/>
        <v>-0.43816158171479458</v>
      </c>
      <c r="AH153" s="8">
        <f t="shared" si="47"/>
        <v>0.82611331944905941</v>
      </c>
      <c r="AI153" s="8">
        <f t="shared" si="48"/>
        <v>0.35433206422513552</v>
      </c>
      <c r="AJ153" s="8"/>
      <c r="AK153" s="8"/>
      <c r="AL153" s="8"/>
      <c r="AN153" s="8">
        <f t="shared" si="55"/>
        <v>0.99999999999999978</v>
      </c>
      <c r="AO153" s="8">
        <f t="shared" si="56"/>
        <v>2.0584587053755579</v>
      </c>
      <c r="AP153" s="8">
        <f t="shared" si="57"/>
        <v>1.2085966346676407</v>
      </c>
      <c r="AQ153" s="8"/>
      <c r="AR153" s="8">
        <f t="shared" si="58"/>
        <v>117.94099611998286</v>
      </c>
      <c r="AS153" s="8">
        <f t="shared" si="59"/>
        <v>20.752513699829549</v>
      </c>
    </row>
    <row r="154" spans="1:45">
      <c r="A154" s="19">
        <v>98.031266669999994</v>
      </c>
      <c r="B154" s="19">
        <v>455.38669909999999</v>
      </c>
      <c r="C154" s="19">
        <v>-787.36679719999995</v>
      </c>
      <c r="E154" s="9">
        <f t="shared" si="49"/>
        <v>-504.61330090000001</v>
      </c>
      <c r="F154" s="9">
        <f t="shared" si="50"/>
        <v>-247.36679719999995</v>
      </c>
      <c r="I154">
        <v>1</v>
      </c>
      <c r="J154">
        <f t="shared" si="45"/>
        <v>0.35759775349075057</v>
      </c>
      <c r="K154">
        <f t="shared" si="51"/>
        <v>-2.6858071763985869</v>
      </c>
      <c r="O154">
        <f t="shared" si="52"/>
        <v>-0.31429286288396086</v>
      </c>
      <c r="P154">
        <f t="shared" si="53"/>
        <v>-0.15406969799599307</v>
      </c>
      <c r="Q154">
        <f t="shared" si="54"/>
        <v>0.93674037198128024</v>
      </c>
      <c r="R154">
        <f t="shared" si="44"/>
        <v>1</v>
      </c>
      <c r="AG154" s="8">
        <f t="shared" si="46"/>
        <v>-0.43779223676881862</v>
      </c>
      <c r="AH154" s="8">
        <f t="shared" si="47"/>
        <v>0.82635213125673646</v>
      </c>
      <c r="AI154" s="8">
        <f t="shared" si="48"/>
        <v>0.35423172160663985</v>
      </c>
      <c r="AJ154" s="8"/>
      <c r="AK154" s="8"/>
      <c r="AL154" s="8"/>
      <c r="AN154" s="8">
        <f t="shared" si="55"/>
        <v>1</v>
      </c>
      <c r="AO154" s="8">
        <f t="shared" si="56"/>
        <v>2.0579901332853203</v>
      </c>
      <c r="AP154" s="8">
        <f t="shared" si="57"/>
        <v>1.2087039370617261</v>
      </c>
      <c r="AQ154" s="8"/>
      <c r="AR154" s="8">
        <f t="shared" si="58"/>
        <v>117.91414891681461</v>
      </c>
      <c r="AS154" s="8">
        <f t="shared" si="59"/>
        <v>20.74636572551681</v>
      </c>
    </row>
    <row r="155" spans="1:45">
      <c r="A155" s="19">
        <v>98.064633330000007</v>
      </c>
      <c r="B155" s="19">
        <v>454.91721949999999</v>
      </c>
      <c r="C155" s="19">
        <v>-787.38754730000005</v>
      </c>
      <c r="E155" s="9">
        <f t="shared" si="49"/>
        <v>-505.08278050000001</v>
      </c>
      <c r="F155" s="9">
        <f t="shared" si="50"/>
        <v>-247.38754730000005</v>
      </c>
      <c r="I155">
        <v>1</v>
      </c>
      <c r="J155">
        <f t="shared" si="45"/>
        <v>0.35785229485465947</v>
      </c>
      <c r="K155">
        <f t="shared" si="51"/>
        <v>-2.6861414817828133</v>
      </c>
      <c r="O155">
        <f t="shared" si="52"/>
        <v>-0.31455847478205734</v>
      </c>
      <c r="P155">
        <f t="shared" si="53"/>
        <v>-0.15406949625510363</v>
      </c>
      <c r="Q155">
        <f t="shared" si="54"/>
        <v>0.9366512458041597</v>
      </c>
      <c r="R155">
        <f t="shared" ref="R155:R218" si="60">SQRT(O155^2+P155^2+Q155^2)</f>
        <v>1</v>
      </c>
      <c r="AG155" s="8">
        <f t="shared" si="46"/>
        <v>-0.43757119862011495</v>
      </c>
      <c r="AH155" s="8">
        <f t="shared" si="47"/>
        <v>0.82650396481264465</v>
      </c>
      <c r="AI155" s="8">
        <f t="shared" si="48"/>
        <v>0.35415059266805504</v>
      </c>
      <c r="AJ155" s="8"/>
      <c r="AK155" s="8"/>
      <c r="AL155" s="8"/>
      <c r="AN155" s="8">
        <f t="shared" si="55"/>
        <v>1.0000000000000002</v>
      </c>
      <c r="AO155" s="8">
        <f t="shared" si="56"/>
        <v>2.057705269877609</v>
      </c>
      <c r="AP155" s="8">
        <f t="shared" si="57"/>
        <v>1.2087906899242578</v>
      </c>
      <c r="AQ155" s="8"/>
      <c r="AR155" s="8">
        <f t="shared" si="58"/>
        <v>117.89782744581504</v>
      </c>
      <c r="AS155" s="8">
        <f t="shared" si="59"/>
        <v>20.741395152633061</v>
      </c>
    </row>
    <row r="156" spans="1:45">
      <c r="A156" s="19">
        <v>98.097999999999999</v>
      </c>
      <c r="B156" s="19">
        <v>455.20706689999997</v>
      </c>
      <c r="C156" s="19">
        <v>-787.37348940000004</v>
      </c>
      <c r="E156" s="9">
        <f t="shared" si="49"/>
        <v>-504.79293310000003</v>
      </c>
      <c r="F156" s="9">
        <f t="shared" si="50"/>
        <v>-247.37348940000004</v>
      </c>
      <c r="I156">
        <v>1</v>
      </c>
      <c r="J156">
        <f t="shared" si="45"/>
        <v>0.35769482274666781</v>
      </c>
      <c r="K156">
        <f t="shared" si="51"/>
        <v>-2.6859371410429351</v>
      </c>
      <c r="O156">
        <f t="shared" si="52"/>
        <v>-0.31439453384987592</v>
      </c>
      <c r="P156">
        <f t="shared" si="53"/>
        <v>-0.15406886227411465</v>
      </c>
      <c r="Q156">
        <f t="shared" si="54"/>
        <v>0.93670639090532481</v>
      </c>
      <c r="R156">
        <f t="shared" si="60"/>
        <v>1</v>
      </c>
      <c r="AG156" s="8">
        <f t="shared" si="46"/>
        <v>-0.43770733347063179</v>
      </c>
      <c r="AH156" s="8">
        <f t="shared" si="47"/>
        <v>0.8264101174255436</v>
      </c>
      <c r="AI156" s="8">
        <f t="shared" si="48"/>
        <v>0.35420136651730827</v>
      </c>
      <c r="AJ156" s="8"/>
      <c r="AK156" s="8"/>
      <c r="AL156" s="8"/>
      <c r="AN156" s="8">
        <f t="shared" si="55"/>
        <v>1.0000000000000002</v>
      </c>
      <c r="AO156" s="8">
        <f t="shared" si="56"/>
        <v>2.0578808793474788</v>
      </c>
      <c r="AP156" s="8">
        <f t="shared" si="57"/>
        <v>1.208736396724257</v>
      </c>
      <c r="AQ156" s="8"/>
      <c r="AR156" s="8">
        <f t="shared" si="58"/>
        <v>117.90788912728111</v>
      </c>
      <c r="AS156" s="8">
        <f t="shared" si="59"/>
        <v>20.74450592384936</v>
      </c>
    </row>
    <row r="157" spans="1:45">
      <c r="A157" s="19">
        <v>98.131366670000006</v>
      </c>
      <c r="B157" s="19">
        <v>454.95562109999997</v>
      </c>
      <c r="C157" s="19">
        <v>-787.37381619999996</v>
      </c>
      <c r="E157" s="9">
        <f t="shared" si="49"/>
        <v>-505.04437890000003</v>
      </c>
      <c r="F157" s="9">
        <f t="shared" si="50"/>
        <v>-247.37381619999996</v>
      </c>
      <c r="I157">
        <v>1</v>
      </c>
      <c r="J157">
        <f t="shared" si="45"/>
        <v>0.35782834663956337</v>
      </c>
      <c r="K157">
        <f t="shared" si="51"/>
        <v>-2.6861333728811974</v>
      </c>
      <c r="O157">
        <f t="shared" si="52"/>
        <v>-0.31453708087081567</v>
      </c>
      <c r="P157">
        <f t="shared" si="53"/>
        <v>-0.154062180042257</v>
      </c>
      <c r="Q157">
        <f t="shared" si="54"/>
        <v>0.93665963371861671</v>
      </c>
      <c r="R157">
        <f t="shared" si="60"/>
        <v>1</v>
      </c>
      <c r="AG157" s="8">
        <f t="shared" si="46"/>
        <v>-0.43758610215165428</v>
      </c>
      <c r="AH157" s="8">
        <f t="shared" si="47"/>
        <v>0.82649039877568398</v>
      </c>
      <c r="AI157" s="8">
        <f t="shared" si="48"/>
        <v>0.35416383770132842</v>
      </c>
      <c r="AJ157" s="8"/>
      <c r="AK157" s="8"/>
      <c r="AL157" s="8"/>
      <c r="AN157" s="8">
        <f t="shared" si="55"/>
        <v>1</v>
      </c>
      <c r="AO157" s="8">
        <f t="shared" si="56"/>
        <v>2.0577261417109662</v>
      </c>
      <c r="AP157" s="8">
        <f t="shared" si="57"/>
        <v>1.2087765269292015</v>
      </c>
      <c r="AQ157" s="8"/>
      <c r="AR157" s="8">
        <f t="shared" si="58"/>
        <v>117.89902331377711</v>
      </c>
      <c r="AS157" s="8">
        <f t="shared" si="59"/>
        <v>20.74220663247506</v>
      </c>
    </row>
    <row r="158" spans="1:45">
      <c r="A158" s="19">
        <v>98.164733330000004</v>
      </c>
      <c r="B158" s="19">
        <v>454.76543129999999</v>
      </c>
      <c r="C158" s="19">
        <v>-787.34546339999997</v>
      </c>
      <c r="E158" s="9">
        <f t="shared" si="49"/>
        <v>-505.23456870000001</v>
      </c>
      <c r="F158" s="9">
        <f t="shared" si="50"/>
        <v>-247.34546339999997</v>
      </c>
      <c r="I158">
        <v>1</v>
      </c>
      <c r="J158">
        <f t="shared" si="45"/>
        <v>0.35792191120251049</v>
      </c>
      <c r="K158">
        <f t="shared" si="51"/>
        <v>-2.6863273570131971</v>
      </c>
      <c r="O158">
        <f t="shared" si="52"/>
        <v>-0.31464567090762902</v>
      </c>
      <c r="P158">
        <f t="shared" si="53"/>
        <v>-0.15403969581436791</v>
      </c>
      <c r="Q158">
        <f t="shared" si="54"/>
        <v>0.9366268594763365</v>
      </c>
      <c r="R158">
        <f t="shared" si="60"/>
        <v>1</v>
      </c>
      <c r="AG158" s="8">
        <f t="shared" si="46"/>
        <v>-0.43748685623995598</v>
      </c>
      <c r="AH158" s="8">
        <f t="shared" si="47"/>
        <v>0.82654837169737283</v>
      </c>
      <c r="AI158" s="8">
        <f t="shared" si="48"/>
        <v>0.35415115397482705</v>
      </c>
      <c r="AJ158" s="8"/>
      <c r="AK158" s="8"/>
      <c r="AL158" s="8"/>
      <c r="AN158" s="8">
        <f t="shared" si="55"/>
        <v>1</v>
      </c>
      <c r="AO158" s="8">
        <f t="shared" si="56"/>
        <v>2.0576033457824905</v>
      </c>
      <c r="AP158" s="8">
        <f t="shared" si="57"/>
        <v>1.2087900897170361</v>
      </c>
      <c r="AQ158" s="8"/>
      <c r="AR158" s="8">
        <f t="shared" si="58"/>
        <v>117.89198762533407</v>
      </c>
      <c r="AS158" s="8">
        <f t="shared" si="59"/>
        <v>20.741429541973702</v>
      </c>
    </row>
    <row r="159" spans="1:45">
      <c r="A159" s="19">
        <v>98.198099999999997</v>
      </c>
      <c r="B159" s="19">
        <v>453.59697089999997</v>
      </c>
      <c r="C159" s="19">
        <v>-787.34964690000004</v>
      </c>
      <c r="E159" s="9">
        <f t="shared" si="49"/>
        <v>-506.40302910000003</v>
      </c>
      <c r="F159" s="9">
        <f t="shared" si="50"/>
        <v>-247.34964690000004</v>
      </c>
      <c r="I159">
        <v>1</v>
      </c>
      <c r="J159">
        <f t="shared" si="45"/>
        <v>0.35854310215199381</v>
      </c>
      <c r="K159">
        <f t="shared" si="51"/>
        <v>-2.6872323086592425</v>
      </c>
      <c r="O159">
        <f t="shared" si="52"/>
        <v>-0.31530767314528813</v>
      </c>
      <c r="P159">
        <f t="shared" si="53"/>
        <v>-0.15401021940164317</v>
      </c>
      <c r="Q159">
        <f t="shared" si="54"/>
        <v>0.9364090578243901</v>
      </c>
      <c r="R159">
        <f t="shared" si="60"/>
        <v>1</v>
      </c>
      <c r="AG159" s="8">
        <f t="shared" si="46"/>
        <v>-0.43692422266372322</v>
      </c>
      <c r="AH159" s="8">
        <f t="shared" si="47"/>
        <v>0.82692125803350391</v>
      </c>
      <c r="AI159" s="8">
        <f t="shared" si="48"/>
        <v>0.35397522040672336</v>
      </c>
      <c r="AJ159" s="8"/>
      <c r="AK159" s="8"/>
      <c r="AL159" s="8"/>
      <c r="AN159" s="8">
        <f t="shared" si="55"/>
        <v>1</v>
      </c>
      <c r="AO159" s="8">
        <f t="shared" si="56"/>
        <v>2.0568851333405309</v>
      </c>
      <c r="AP159" s="8">
        <f t="shared" si="57"/>
        <v>1.2089782093955614</v>
      </c>
      <c r="AQ159" s="8"/>
      <c r="AR159" s="8">
        <f t="shared" si="58"/>
        <v>117.850837083616</v>
      </c>
      <c r="AS159" s="8">
        <f t="shared" si="59"/>
        <v>20.730651078350846</v>
      </c>
    </row>
    <row r="160" spans="1:45">
      <c r="A160" s="19">
        <v>98.231466670000003</v>
      </c>
      <c r="B160" s="19">
        <v>453.48968930000001</v>
      </c>
      <c r="C160" s="19">
        <v>-787.3544488</v>
      </c>
      <c r="E160" s="9">
        <f t="shared" si="49"/>
        <v>-506.51031069999999</v>
      </c>
      <c r="F160" s="9">
        <f t="shared" si="50"/>
        <v>-247.3544488</v>
      </c>
      <c r="I160">
        <v>1</v>
      </c>
      <c r="J160">
        <f t="shared" ref="J160:J223" si="61">ATAN((SQRT(E160^2+F160^2)^$B$16)/($F$24))</f>
        <v>0.35860128133258562</v>
      </c>
      <c r="K160">
        <f t="shared" si="51"/>
        <v>-2.6873081845833493</v>
      </c>
      <c r="O160">
        <f t="shared" si="52"/>
        <v>-0.31536831131235443</v>
      </c>
      <c r="P160">
        <f t="shared" si="53"/>
        <v>-0.15401020110695696</v>
      </c>
      <c r="Q160">
        <f t="shared" si="54"/>
        <v>0.93638864056276794</v>
      </c>
      <c r="R160">
        <f t="shared" si="60"/>
        <v>1</v>
      </c>
      <c r="AG160" s="8">
        <f t="shared" ref="AG160:AG223" si="62">$O160*$Z$27+$P160*$Z$31+$Q160*$Z$35</f>
        <v>-0.43687373231773097</v>
      </c>
      <c r="AH160" s="8">
        <f t="shared" ref="AH160:AH223" si="63">$O160*$AA$27+$P160*$AA$31+$Q160*$AA$35</f>
        <v>0.82695588814419962</v>
      </c>
      <c r="AI160" s="8">
        <f t="shared" ref="AI160:AI223" si="64">$AB$27*$O160+$P160*$AB$31+$AB$35*$Q160</f>
        <v>0.35395663727978532</v>
      </c>
      <c r="AJ160" s="8"/>
      <c r="AK160" s="8"/>
      <c r="AL160" s="8"/>
      <c r="AN160" s="8">
        <f t="shared" si="55"/>
        <v>0.99999999999999989</v>
      </c>
      <c r="AO160" s="8">
        <f t="shared" si="56"/>
        <v>2.0568201033341884</v>
      </c>
      <c r="AP160" s="8">
        <f t="shared" si="57"/>
        <v>1.2089980789081685</v>
      </c>
      <c r="AQ160" s="8"/>
      <c r="AR160" s="8">
        <f t="shared" si="58"/>
        <v>117.84711113871086</v>
      </c>
      <c r="AS160" s="8">
        <f t="shared" si="59"/>
        <v>20.729512639137482</v>
      </c>
    </row>
    <row r="161" spans="1:45">
      <c r="A161" s="19">
        <v>98.264833330000002</v>
      </c>
      <c r="B161" s="19">
        <v>453.03120239999998</v>
      </c>
      <c r="C161" s="19">
        <v>-787.37160500000005</v>
      </c>
      <c r="E161" s="9">
        <f t="shared" ref="E161:E224" si="65">(B161-($B$15/2))</f>
        <v>-506.96879760000002</v>
      </c>
      <c r="F161" s="9">
        <f t="shared" ref="F161:F224" si="66">(($C$15/2)+C161)</f>
        <v>-247.37160500000005</v>
      </c>
      <c r="I161">
        <v>1</v>
      </c>
      <c r="J161">
        <f t="shared" si="61"/>
        <v>0.35884904331392126</v>
      </c>
      <c r="K161">
        <f t="shared" ref="K161:K224" si="67">ATAN2(E161,F161)</f>
        <v>-2.6876375171051374</v>
      </c>
      <c r="O161">
        <f t="shared" ref="O161:O224" si="68">COS(K161)*SIN(J161)</f>
        <v>-0.31562750942021056</v>
      </c>
      <c r="P161">
        <f t="shared" ref="P161:P224" si="69">SIN(K161)*SIN(J161)</f>
        <v>-0.15400806510587925</v>
      </c>
      <c r="Q161">
        <f t="shared" ref="Q161:Q224" si="70">COS(J161)</f>
        <v>0.93630165608074101</v>
      </c>
      <c r="R161">
        <f t="shared" si="60"/>
        <v>1</v>
      </c>
      <c r="AG161" s="8">
        <f t="shared" si="62"/>
        <v>-0.43665706722241737</v>
      </c>
      <c r="AH161" s="8">
        <f t="shared" si="63"/>
        <v>0.82710351056817855</v>
      </c>
      <c r="AI161" s="8">
        <f t="shared" si="64"/>
        <v>0.35387905907317019</v>
      </c>
      <c r="AJ161" s="8"/>
      <c r="AK161" s="8"/>
      <c r="AL161" s="8"/>
      <c r="AN161" s="8">
        <f t="shared" ref="AN161:AN224" si="71">AG161^2+AH161^2+AI161^2</f>
        <v>1</v>
      </c>
      <c r="AO161" s="8">
        <f t="shared" ref="AO161:AO224" si="72">IF(ATAN2(AG161,AH161)&gt;=0,ATAN2(AG161,AH161),ATAN2(AG161,AH161)+2*PI())</f>
        <v>2.0565415471476891</v>
      </c>
      <c r="AP161" s="8">
        <f t="shared" ref="AP161:AP224" si="73">ACOS(AI161/AN161)</f>
        <v>1.2090810257217852</v>
      </c>
      <c r="AQ161" s="8"/>
      <c r="AR161" s="8">
        <f t="shared" ref="AR161:AR224" si="74">DEGREES(AO161)</f>
        <v>117.83115104486718</v>
      </c>
      <c r="AS161" s="8">
        <f t="shared" ref="AS161:AS224" si="75">90-DEGREES(AP161)</f>
        <v>20.724760136793179</v>
      </c>
    </row>
    <row r="162" spans="1:45">
      <c r="A162" s="19">
        <v>98.298199999999994</v>
      </c>
      <c r="B162" s="19">
        <v>452.53472979999998</v>
      </c>
      <c r="C162" s="19">
        <v>-787.35136799999998</v>
      </c>
      <c r="E162" s="9">
        <f t="shared" si="65"/>
        <v>-507.46527020000002</v>
      </c>
      <c r="F162" s="9">
        <f t="shared" si="66"/>
        <v>-247.35136799999998</v>
      </c>
      <c r="I162">
        <v>1</v>
      </c>
      <c r="J162">
        <f t="shared" si="61"/>
        <v>0.35910728276761145</v>
      </c>
      <c r="K162">
        <f t="shared" si="67"/>
        <v>-2.688055384644076</v>
      </c>
      <c r="O162">
        <f t="shared" si="68"/>
        <v>-0.31590917205750896</v>
      </c>
      <c r="P162">
        <f t="shared" si="69"/>
        <v>-0.15398209584150621</v>
      </c>
      <c r="Q162">
        <f t="shared" si="70"/>
        <v>0.93621093198605432</v>
      </c>
      <c r="R162">
        <f t="shared" si="60"/>
        <v>1</v>
      </c>
      <c r="AG162" s="8">
        <f t="shared" si="62"/>
        <v>-0.43641221046121725</v>
      </c>
      <c r="AH162" s="8">
        <f t="shared" si="63"/>
        <v>0.8272595587656465</v>
      </c>
      <c r="AI162" s="8">
        <f t="shared" si="64"/>
        <v>0.353816343589753</v>
      </c>
      <c r="AJ162" s="8"/>
      <c r="AK162" s="8"/>
      <c r="AL162" s="8"/>
      <c r="AN162" s="8">
        <f t="shared" si="71"/>
        <v>1</v>
      </c>
      <c r="AO162" s="8">
        <f t="shared" si="72"/>
        <v>2.0562321461697444</v>
      </c>
      <c r="AP162" s="8">
        <f t="shared" si="73"/>
        <v>1.2091480793715237</v>
      </c>
      <c r="AQ162" s="8"/>
      <c r="AR162" s="8">
        <f t="shared" si="74"/>
        <v>117.81342367465373</v>
      </c>
      <c r="AS162" s="8">
        <f t="shared" si="75"/>
        <v>20.720918245662219</v>
      </c>
    </row>
    <row r="163" spans="1:45">
      <c r="A163" s="19">
        <v>98.331566670000001</v>
      </c>
      <c r="B163" s="19">
        <v>452.30711869999999</v>
      </c>
      <c r="C163" s="19">
        <v>-787.37222559999998</v>
      </c>
      <c r="E163" s="9">
        <f t="shared" si="65"/>
        <v>-507.69288130000001</v>
      </c>
      <c r="F163" s="9">
        <f t="shared" si="66"/>
        <v>-247.37222559999998</v>
      </c>
      <c r="I163">
        <v>1</v>
      </c>
      <c r="J163">
        <f t="shared" si="61"/>
        <v>0.35923346990909188</v>
      </c>
      <c r="K163">
        <f t="shared" si="67"/>
        <v>-2.6881987720831928</v>
      </c>
      <c r="O163">
        <f t="shared" si="68"/>
        <v>-0.31603744720572169</v>
      </c>
      <c r="P163">
        <f t="shared" si="69"/>
        <v>-0.15398854222268557</v>
      </c>
      <c r="Q163">
        <f t="shared" si="70"/>
        <v>0.93616657749987142</v>
      </c>
      <c r="R163">
        <f t="shared" si="60"/>
        <v>1</v>
      </c>
      <c r="AG163" s="8">
        <f t="shared" si="62"/>
        <v>-0.43630791101907418</v>
      </c>
      <c r="AH163" s="8">
        <f t="shared" si="63"/>
        <v>0.82733394355820655</v>
      </c>
      <c r="AI163" s="8">
        <f t="shared" si="64"/>
        <v>0.35377104547800109</v>
      </c>
      <c r="AJ163" s="8"/>
      <c r="AK163" s="8"/>
      <c r="AL163" s="8"/>
      <c r="AN163" s="8">
        <f t="shared" si="71"/>
        <v>1</v>
      </c>
      <c r="AO163" s="8">
        <f t="shared" si="72"/>
        <v>2.0560964110672217</v>
      </c>
      <c r="AP163" s="8">
        <f t="shared" si="73"/>
        <v>1.2091965097942401</v>
      </c>
      <c r="AQ163" s="8"/>
      <c r="AR163" s="8">
        <f t="shared" si="74"/>
        <v>117.80564662614741</v>
      </c>
      <c r="AS163" s="8">
        <f t="shared" si="75"/>
        <v>20.718143386840524</v>
      </c>
    </row>
    <row r="164" spans="1:45">
      <c r="A164" s="19">
        <v>98.36493333</v>
      </c>
      <c r="B164" s="19">
        <v>452.01493670000002</v>
      </c>
      <c r="C164" s="19">
        <v>-787.39989270000001</v>
      </c>
      <c r="E164" s="9">
        <f t="shared" si="65"/>
        <v>-507.98506329999998</v>
      </c>
      <c r="F164" s="9">
        <f t="shared" si="66"/>
        <v>-247.39989270000001</v>
      </c>
      <c r="I164">
        <v>1</v>
      </c>
      <c r="J164">
        <f t="shared" si="61"/>
        <v>0.35939567909483394</v>
      </c>
      <c r="K164">
        <f t="shared" si="67"/>
        <v>-2.6883812580542128</v>
      </c>
      <c r="O164">
        <f t="shared" si="68"/>
        <v>-0.31620206294178804</v>
      </c>
      <c r="P164">
        <f t="shared" si="69"/>
        <v>-0.15399735562129674</v>
      </c>
      <c r="Q164">
        <f t="shared" si="70"/>
        <v>0.93610953945198394</v>
      </c>
      <c r="R164">
        <f t="shared" si="60"/>
        <v>1</v>
      </c>
      <c r="AG164" s="8">
        <f t="shared" si="62"/>
        <v>-0.43617426008128313</v>
      </c>
      <c r="AH164" s="8">
        <f t="shared" si="63"/>
        <v>0.82742948364594771</v>
      </c>
      <c r="AI164" s="8">
        <f t="shared" si="64"/>
        <v>0.35371240356530576</v>
      </c>
      <c r="AJ164" s="8"/>
      <c r="AK164" s="8"/>
      <c r="AL164" s="8"/>
      <c r="AN164" s="8">
        <f t="shared" si="71"/>
        <v>1.0000000000000002</v>
      </c>
      <c r="AO164" s="8">
        <f t="shared" si="72"/>
        <v>2.05592237445294</v>
      </c>
      <c r="AP164" s="8">
        <f t="shared" si="73"/>
        <v>1.2092592054084035</v>
      </c>
      <c r="AQ164" s="8"/>
      <c r="AR164" s="8">
        <f t="shared" si="74"/>
        <v>117.79567506266832</v>
      </c>
      <c r="AS164" s="8">
        <f t="shared" si="75"/>
        <v>20.714551192754982</v>
      </c>
    </row>
    <row r="165" spans="1:45">
      <c r="A165" s="19">
        <v>98.398300000000006</v>
      </c>
      <c r="B165" s="19">
        <v>451.53544169999998</v>
      </c>
      <c r="C165" s="19">
        <v>-787.37237649999997</v>
      </c>
      <c r="E165" s="9">
        <f t="shared" si="65"/>
        <v>-508.46455830000002</v>
      </c>
      <c r="F165" s="9">
        <f t="shared" si="66"/>
        <v>-247.37237649999997</v>
      </c>
      <c r="I165">
        <v>1</v>
      </c>
      <c r="J165">
        <f t="shared" si="61"/>
        <v>0.35964303216943128</v>
      </c>
      <c r="K165">
        <f t="shared" si="67"/>
        <v>-2.6887963066248242</v>
      </c>
      <c r="O165">
        <f t="shared" si="68"/>
        <v>-0.31647415809959795</v>
      </c>
      <c r="P165">
        <f t="shared" si="69"/>
        <v>-0.15396739716073587</v>
      </c>
      <c r="Q165">
        <f t="shared" si="70"/>
        <v>0.93602251461527297</v>
      </c>
      <c r="R165">
        <f t="shared" si="60"/>
        <v>1</v>
      </c>
      <c r="AG165" s="8">
        <f t="shared" si="62"/>
        <v>-0.43593568280578143</v>
      </c>
      <c r="AH165" s="8">
        <f t="shared" si="63"/>
        <v>0.82757923569739777</v>
      </c>
      <c r="AI165" s="8">
        <f t="shared" si="64"/>
        <v>0.35365617356292267</v>
      </c>
      <c r="AJ165" s="8"/>
      <c r="AK165" s="8"/>
      <c r="AL165" s="8"/>
      <c r="AN165" s="8">
        <f t="shared" si="71"/>
        <v>1</v>
      </c>
      <c r="AO165" s="8">
        <f t="shared" si="72"/>
        <v>2.0556220868348962</v>
      </c>
      <c r="AP165" s="8">
        <f t="shared" si="73"/>
        <v>1.2093193209897268</v>
      </c>
      <c r="AQ165" s="8"/>
      <c r="AR165" s="8">
        <f t="shared" si="74"/>
        <v>117.77846984951438</v>
      </c>
      <c r="AS165" s="8">
        <f t="shared" si="75"/>
        <v>20.711106823662178</v>
      </c>
    </row>
    <row r="166" spans="1:45">
      <c r="A166" s="19">
        <v>98.431666669999998</v>
      </c>
      <c r="B166" s="19">
        <v>451.34306379999998</v>
      </c>
      <c r="C166" s="19">
        <v>-787.38399140000001</v>
      </c>
      <c r="E166" s="9">
        <f t="shared" si="65"/>
        <v>-508.65693620000002</v>
      </c>
      <c r="F166" s="9">
        <f t="shared" si="66"/>
        <v>-247.38399140000001</v>
      </c>
      <c r="I166">
        <v>1</v>
      </c>
      <c r="J166">
        <f t="shared" si="61"/>
        <v>0.35974812334285317</v>
      </c>
      <c r="K166">
        <f t="shared" si="67"/>
        <v>-2.6889266359070843</v>
      </c>
      <c r="O166">
        <f t="shared" si="68"/>
        <v>-0.31658268065429351</v>
      </c>
      <c r="P166">
        <f t="shared" si="69"/>
        <v>-0.15396917170431917</v>
      </c>
      <c r="Q166">
        <f t="shared" si="70"/>
        <v>0.93598552364575993</v>
      </c>
      <c r="R166">
        <f t="shared" si="60"/>
        <v>1</v>
      </c>
      <c r="AG166" s="8">
        <f t="shared" si="62"/>
        <v>-0.43584594507652263</v>
      </c>
      <c r="AH166" s="8">
        <f t="shared" si="63"/>
        <v>0.82764145325746696</v>
      </c>
      <c r="AI166" s="8">
        <f t="shared" si="64"/>
        <v>0.35362117726490983</v>
      </c>
      <c r="AJ166" s="8"/>
      <c r="AK166" s="8"/>
      <c r="AL166" s="8"/>
      <c r="AN166" s="8">
        <f t="shared" si="71"/>
        <v>0.99999999999999978</v>
      </c>
      <c r="AO166" s="8">
        <f t="shared" si="72"/>
        <v>2.0555062069203442</v>
      </c>
      <c r="AP166" s="8">
        <f t="shared" si="73"/>
        <v>1.2093567348954779</v>
      </c>
      <c r="AQ166" s="8"/>
      <c r="AR166" s="8">
        <f t="shared" si="74"/>
        <v>117.77183041948021</v>
      </c>
      <c r="AS166" s="8">
        <f t="shared" si="75"/>
        <v>20.708963164767553</v>
      </c>
    </row>
    <row r="167" spans="1:45">
      <c r="A167" s="19">
        <v>98.465033329999997</v>
      </c>
      <c r="B167" s="19">
        <v>451.36939419999999</v>
      </c>
      <c r="C167" s="19">
        <v>-787.3705228</v>
      </c>
      <c r="E167" s="9">
        <f t="shared" si="65"/>
        <v>-508.63060580000001</v>
      </c>
      <c r="F167" s="9">
        <f t="shared" si="66"/>
        <v>-247.3705228</v>
      </c>
      <c r="I167">
        <v>1</v>
      </c>
      <c r="J167">
        <f t="shared" si="61"/>
        <v>0.35973067383901475</v>
      </c>
      <c r="K167">
        <f t="shared" si="67"/>
        <v>-2.6889276898696219</v>
      </c>
      <c r="O167">
        <f t="shared" si="68"/>
        <v>-0.31656815533096161</v>
      </c>
      <c r="P167">
        <f t="shared" si="69"/>
        <v>-0.15396169478020741</v>
      </c>
      <c r="Q167">
        <f t="shared" si="70"/>
        <v>0.9359916664002722</v>
      </c>
      <c r="R167">
        <f t="shared" si="60"/>
        <v>1</v>
      </c>
      <c r="AG167" s="8">
        <f t="shared" si="62"/>
        <v>-0.43585509147366697</v>
      </c>
      <c r="AH167" s="8">
        <f t="shared" si="63"/>
        <v>0.82763180488937693</v>
      </c>
      <c r="AI167" s="8">
        <f t="shared" si="64"/>
        <v>0.35363248545917514</v>
      </c>
      <c r="AJ167" s="8"/>
      <c r="AK167" s="8"/>
      <c r="AL167" s="8"/>
      <c r="AN167" s="8">
        <f t="shared" si="71"/>
        <v>1</v>
      </c>
      <c r="AO167" s="8">
        <f t="shared" si="72"/>
        <v>2.0555196650214782</v>
      </c>
      <c r="AP167" s="8">
        <f t="shared" si="73"/>
        <v>1.2093446455685175</v>
      </c>
      <c r="AQ167" s="8"/>
      <c r="AR167" s="8">
        <f t="shared" si="74"/>
        <v>117.77260151187545</v>
      </c>
      <c r="AS167" s="8">
        <f t="shared" si="75"/>
        <v>20.709655832179536</v>
      </c>
    </row>
    <row r="168" spans="1:45">
      <c r="A168" s="19">
        <v>98.498400000000004</v>
      </c>
      <c r="B168" s="19">
        <v>450.52375970000003</v>
      </c>
      <c r="C168" s="19">
        <v>-787.25139019999995</v>
      </c>
      <c r="E168" s="9">
        <f t="shared" si="65"/>
        <v>-509.47624029999997</v>
      </c>
      <c r="F168" s="9">
        <f t="shared" si="66"/>
        <v>-247.25139019999995</v>
      </c>
      <c r="I168">
        <v>1</v>
      </c>
      <c r="J168">
        <f t="shared" si="61"/>
        <v>0.36014875416719588</v>
      </c>
      <c r="K168">
        <f t="shared" si="67"/>
        <v>-2.6897699665718569</v>
      </c>
      <c r="O168">
        <f t="shared" si="68"/>
        <v>-0.31704974555142879</v>
      </c>
      <c r="P168">
        <f t="shared" si="69"/>
        <v>-0.15386584132753139</v>
      </c>
      <c r="Q168">
        <f t="shared" si="70"/>
        <v>0.93584441106326277</v>
      </c>
      <c r="R168">
        <f t="shared" si="60"/>
        <v>1</v>
      </c>
      <c r="AG168" s="8">
        <f t="shared" si="62"/>
        <v>-0.43541571244151261</v>
      </c>
      <c r="AH168" s="8">
        <f t="shared" si="63"/>
        <v>0.82788888152442186</v>
      </c>
      <c r="AI168" s="8">
        <f t="shared" si="64"/>
        <v>0.35357199720465982</v>
      </c>
      <c r="AJ168" s="8"/>
      <c r="AK168" s="8"/>
      <c r="AL168" s="8"/>
      <c r="AN168" s="8">
        <f t="shared" si="71"/>
        <v>1</v>
      </c>
      <c r="AO168" s="8">
        <f t="shared" si="72"/>
        <v>2.0549759952764708</v>
      </c>
      <c r="AP168" s="8">
        <f t="shared" si="73"/>
        <v>1.209409311509146</v>
      </c>
      <c r="AQ168" s="8"/>
      <c r="AR168" s="8">
        <f t="shared" si="74"/>
        <v>117.74145153003757</v>
      </c>
      <c r="AS168" s="8">
        <f t="shared" si="75"/>
        <v>20.70595074670328</v>
      </c>
    </row>
    <row r="169" spans="1:45">
      <c r="A169" s="19">
        <v>98.531766669999996</v>
      </c>
      <c r="B169" s="19">
        <v>450.37171119999999</v>
      </c>
      <c r="C169" s="19">
        <v>-787.29367969999998</v>
      </c>
      <c r="E169" s="9">
        <f t="shared" si="65"/>
        <v>-509.62828880000001</v>
      </c>
      <c r="F169" s="9">
        <f t="shared" si="66"/>
        <v>-247.29367969999998</v>
      </c>
      <c r="I169">
        <v>1</v>
      </c>
      <c r="J169">
        <f t="shared" si="61"/>
        <v>0.36024034439336999</v>
      </c>
      <c r="K169">
        <f t="shared" si="67"/>
        <v>-2.6898199957095339</v>
      </c>
      <c r="O169">
        <f t="shared" si="68"/>
        <v>-0.31713455649346661</v>
      </c>
      <c r="P169">
        <f t="shared" si="69"/>
        <v>-0.15388739824463396</v>
      </c>
      <c r="Q169">
        <f t="shared" si="70"/>
        <v>0.93581212951061377</v>
      </c>
      <c r="R169">
        <f t="shared" si="60"/>
        <v>1</v>
      </c>
      <c r="AG169" s="8">
        <f t="shared" si="62"/>
        <v>-0.43535353173827712</v>
      </c>
      <c r="AH169" s="8">
        <f t="shared" si="63"/>
        <v>0.82794115421338699</v>
      </c>
      <c r="AI169" s="8">
        <f t="shared" si="64"/>
        <v>0.35352616248704072</v>
      </c>
      <c r="AJ169" s="8"/>
      <c r="AK169" s="8"/>
      <c r="AL169" s="8"/>
      <c r="AN169" s="8">
        <f t="shared" si="71"/>
        <v>1</v>
      </c>
      <c r="AO169" s="8">
        <f t="shared" si="72"/>
        <v>2.0548911509284826</v>
      </c>
      <c r="AP169" s="8">
        <f t="shared" si="73"/>
        <v>1.2094583107980208</v>
      </c>
      <c r="AQ169" s="8"/>
      <c r="AR169" s="8">
        <f t="shared" si="74"/>
        <v>117.73659030698231</v>
      </c>
      <c r="AS169" s="8">
        <f t="shared" si="75"/>
        <v>20.703143294251603</v>
      </c>
    </row>
    <row r="170" spans="1:45">
      <c r="A170" s="19">
        <v>98.565133329999995</v>
      </c>
      <c r="B170" s="19">
        <v>449.43552399999999</v>
      </c>
      <c r="C170" s="19">
        <v>-787.33197819999998</v>
      </c>
      <c r="E170" s="9">
        <f t="shared" si="65"/>
        <v>-510.56447600000001</v>
      </c>
      <c r="F170" s="9">
        <f t="shared" si="66"/>
        <v>-247.33197819999998</v>
      </c>
      <c r="I170">
        <v>1</v>
      </c>
      <c r="J170">
        <f t="shared" si="61"/>
        <v>0.36074705119615064</v>
      </c>
      <c r="K170">
        <f t="shared" si="67"/>
        <v>-2.6904796733393521</v>
      </c>
      <c r="O170">
        <f t="shared" si="68"/>
        <v>-0.31766270913515421</v>
      </c>
      <c r="P170">
        <f t="shared" si="69"/>
        <v>-0.15388486654282799</v>
      </c>
      <c r="Q170">
        <f t="shared" si="70"/>
        <v>0.93563339565986547</v>
      </c>
      <c r="R170">
        <f t="shared" si="60"/>
        <v>1</v>
      </c>
      <c r="AG170" s="8">
        <f t="shared" si="62"/>
        <v>-0.43491205448452025</v>
      </c>
      <c r="AH170" s="8">
        <f t="shared" si="63"/>
        <v>0.8282415978216322</v>
      </c>
      <c r="AI170" s="8">
        <f t="shared" si="64"/>
        <v>0.3533657602285814</v>
      </c>
      <c r="AJ170" s="8"/>
      <c r="AK170" s="8"/>
      <c r="AL170" s="8"/>
      <c r="AN170" s="8">
        <f t="shared" si="71"/>
        <v>1</v>
      </c>
      <c r="AO170" s="8">
        <f t="shared" si="72"/>
        <v>2.0543239814126135</v>
      </c>
      <c r="AP170" s="8">
        <f t="shared" si="73"/>
        <v>1.2096297805836642</v>
      </c>
      <c r="AQ170" s="8"/>
      <c r="AR170" s="8">
        <f t="shared" si="74"/>
        <v>117.70409388745453</v>
      </c>
      <c r="AS170" s="8">
        <f t="shared" si="75"/>
        <v>20.693318799220222</v>
      </c>
    </row>
    <row r="171" spans="1:45">
      <c r="A171" s="19">
        <v>98.598500000000001</v>
      </c>
      <c r="B171" s="19">
        <v>449.38429020000001</v>
      </c>
      <c r="C171" s="19">
        <v>-787.34340950000001</v>
      </c>
      <c r="E171" s="9">
        <f t="shared" si="65"/>
        <v>-510.61570979999999</v>
      </c>
      <c r="F171" s="9">
        <f t="shared" si="66"/>
        <v>-247.34340950000001</v>
      </c>
      <c r="I171">
        <v>1</v>
      </c>
      <c r="J171">
        <f t="shared" si="61"/>
        <v>0.36077717997683978</v>
      </c>
      <c r="K171">
        <f t="shared" si="67"/>
        <v>-2.6905009091418886</v>
      </c>
      <c r="O171">
        <f t="shared" si="68"/>
        <v>-0.31769134653411379</v>
      </c>
      <c r="P171">
        <f t="shared" si="69"/>
        <v>-0.15389040977836699</v>
      </c>
      <c r="Q171">
        <f t="shared" si="70"/>
        <v>0.9356227605801325</v>
      </c>
      <c r="R171">
        <f t="shared" si="60"/>
        <v>1</v>
      </c>
      <c r="AG171" s="8">
        <f t="shared" si="62"/>
        <v>-0.43489035933981979</v>
      </c>
      <c r="AH171" s="8">
        <f t="shared" si="63"/>
        <v>0.82825891972670174</v>
      </c>
      <c r="AI171" s="8">
        <f t="shared" si="64"/>
        <v>0.35335186039759214</v>
      </c>
      <c r="AJ171" s="8"/>
      <c r="AK171" s="8"/>
      <c r="AL171" s="8"/>
      <c r="AN171" s="8">
        <f t="shared" si="71"/>
        <v>1</v>
      </c>
      <c r="AO171" s="8">
        <f t="shared" si="72"/>
        <v>2.0542948404774495</v>
      </c>
      <c r="AP171" s="8">
        <f t="shared" si="73"/>
        <v>1.2096446389602022</v>
      </c>
      <c r="AQ171" s="8"/>
      <c r="AR171" s="8">
        <f t="shared" si="74"/>
        <v>117.70242423485857</v>
      </c>
      <c r="AS171" s="8">
        <f t="shared" si="75"/>
        <v>20.692467476954178</v>
      </c>
    </row>
    <row r="172" spans="1:45">
      <c r="A172" s="19">
        <v>98.631866669999994</v>
      </c>
      <c r="B172" s="19">
        <v>449.35999809999998</v>
      </c>
      <c r="C172" s="19">
        <v>-787.34968960000003</v>
      </c>
      <c r="E172" s="9">
        <f t="shared" si="65"/>
        <v>-510.64000190000002</v>
      </c>
      <c r="F172" s="9">
        <f t="shared" si="66"/>
        <v>-247.34968960000003</v>
      </c>
      <c r="I172">
        <v>1</v>
      </c>
      <c r="J172">
        <f t="shared" si="61"/>
        <v>0.36079168621139884</v>
      </c>
      <c r="K172">
        <f t="shared" si="67"/>
        <v>-2.6905096124326082</v>
      </c>
      <c r="O172">
        <f t="shared" si="68"/>
        <v>-0.31770490063585632</v>
      </c>
      <c r="P172">
        <f t="shared" si="69"/>
        <v>-0.15389356153901021</v>
      </c>
      <c r="Q172">
        <f t="shared" si="70"/>
        <v>0.93561763975931933</v>
      </c>
      <c r="R172">
        <f t="shared" si="60"/>
        <v>1</v>
      </c>
      <c r="AG172" s="8">
        <f t="shared" si="62"/>
        <v>-0.43488029982386028</v>
      </c>
      <c r="AH172" s="8">
        <f t="shared" si="63"/>
        <v>0.82826721438345463</v>
      </c>
      <c r="AI172" s="8">
        <f t="shared" si="64"/>
        <v>0.35334479818242903</v>
      </c>
      <c r="AJ172" s="8"/>
      <c r="AK172" s="8"/>
      <c r="AL172" s="8"/>
      <c r="AN172" s="8">
        <f t="shared" si="71"/>
        <v>0.99999999999999967</v>
      </c>
      <c r="AO172" s="8">
        <f t="shared" si="72"/>
        <v>2.0542811979946056</v>
      </c>
      <c r="AP172" s="8">
        <f t="shared" si="73"/>
        <v>1.2096521881604838</v>
      </c>
      <c r="AQ172" s="8"/>
      <c r="AR172" s="8">
        <f t="shared" si="74"/>
        <v>117.70164257816954</v>
      </c>
      <c r="AS172" s="8">
        <f t="shared" si="75"/>
        <v>20.692034939639342</v>
      </c>
    </row>
    <row r="173" spans="1:45">
      <c r="A173" s="19">
        <v>98.665233330000007</v>
      </c>
      <c r="B173" s="19">
        <v>448.93403840000002</v>
      </c>
      <c r="C173" s="19">
        <v>-787.44858690000001</v>
      </c>
      <c r="E173" s="9">
        <f t="shared" si="65"/>
        <v>-511.06596159999998</v>
      </c>
      <c r="F173" s="9">
        <f t="shared" si="66"/>
        <v>-247.44858690000001</v>
      </c>
      <c r="I173">
        <v>1</v>
      </c>
      <c r="J173">
        <f t="shared" si="61"/>
        <v>0.36104314757570666</v>
      </c>
      <c r="K173">
        <f t="shared" si="67"/>
        <v>-2.6906798917271009</v>
      </c>
      <c r="O173">
        <f t="shared" si="68"/>
        <v>-0.31794284708321713</v>
      </c>
      <c r="P173">
        <f t="shared" si="69"/>
        <v>-0.15394198427811107</v>
      </c>
      <c r="Q173">
        <f t="shared" si="70"/>
        <v>0.93552884053092444</v>
      </c>
      <c r="R173">
        <f t="shared" si="60"/>
        <v>1</v>
      </c>
      <c r="AG173" s="8">
        <f t="shared" si="62"/>
        <v>-0.43470094553775929</v>
      </c>
      <c r="AH173" s="8">
        <f t="shared" si="63"/>
        <v>0.82841154704600117</v>
      </c>
      <c r="AI173" s="8">
        <f t="shared" si="64"/>
        <v>0.35322711768694814</v>
      </c>
      <c r="AJ173" s="8"/>
      <c r="AK173" s="8"/>
      <c r="AL173" s="8"/>
      <c r="AN173" s="8">
        <f t="shared" si="71"/>
        <v>1.0000000000000002</v>
      </c>
      <c r="AO173" s="8">
        <f t="shared" si="72"/>
        <v>2.0540397407757442</v>
      </c>
      <c r="AP173" s="8">
        <f t="shared" si="73"/>
        <v>1.2097779803149729</v>
      </c>
      <c r="AQ173" s="8"/>
      <c r="AR173" s="8">
        <f t="shared" si="74"/>
        <v>117.68780809859581</v>
      </c>
      <c r="AS173" s="8">
        <f t="shared" si="75"/>
        <v>20.684827580091266</v>
      </c>
    </row>
    <row r="174" spans="1:45">
      <c r="A174" s="19">
        <v>98.698599999999999</v>
      </c>
      <c r="B174" s="19">
        <v>448.6483973</v>
      </c>
      <c r="C174" s="19">
        <v>-787.55866519999995</v>
      </c>
      <c r="E174" s="9">
        <f t="shared" si="65"/>
        <v>-511.3516027</v>
      </c>
      <c r="F174" s="9">
        <f t="shared" si="66"/>
        <v>-247.55866519999995</v>
      </c>
      <c r="I174">
        <v>1</v>
      </c>
      <c r="J174">
        <f t="shared" si="61"/>
        <v>0.36122299305959749</v>
      </c>
      <c r="K174">
        <f t="shared" si="67"/>
        <v>-2.6907246051564857</v>
      </c>
      <c r="O174">
        <f t="shared" si="68"/>
        <v>-0.31810116211158118</v>
      </c>
      <c r="P174">
        <f t="shared" si="69"/>
        <v>-0.15400108003007906</v>
      </c>
      <c r="Q174">
        <f t="shared" si="70"/>
        <v>0.93546529492698482</v>
      </c>
      <c r="R174">
        <f t="shared" si="60"/>
        <v>1</v>
      </c>
      <c r="AG174" s="8">
        <f t="shared" si="62"/>
        <v>-0.4345922262010557</v>
      </c>
      <c r="AH174" s="8">
        <f t="shared" si="63"/>
        <v>0.82851245796889961</v>
      </c>
      <c r="AI174" s="8">
        <f t="shared" si="64"/>
        <v>0.35312420465884609</v>
      </c>
      <c r="AJ174" s="8"/>
      <c r="AK174" s="8"/>
      <c r="AL174" s="8"/>
      <c r="AN174" s="8">
        <f t="shared" si="71"/>
        <v>0.99999999999999978</v>
      </c>
      <c r="AO174" s="8">
        <f t="shared" si="72"/>
        <v>2.0538867241124343</v>
      </c>
      <c r="AP174" s="8">
        <f t="shared" si="73"/>
        <v>1.2098879821909811</v>
      </c>
      <c r="AQ174" s="8"/>
      <c r="AR174" s="8">
        <f t="shared" si="74"/>
        <v>117.67904088959298</v>
      </c>
      <c r="AS174" s="8">
        <f t="shared" si="75"/>
        <v>20.678524936857471</v>
      </c>
    </row>
    <row r="175" spans="1:45">
      <c r="A175" s="19">
        <v>98.731966670000006</v>
      </c>
      <c r="B175" s="19">
        <v>448.08532580000002</v>
      </c>
      <c r="C175" s="19">
        <v>-787.32805770000004</v>
      </c>
      <c r="E175" s="9">
        <f t="shared" si="65"/>
        <v>-511.91467419999998</v>
      </c>
      <c r="F175" s="9">
        <f t="shared" si="66"/>
        <v>-247.32805770000004</v>
      </c>
      <c r="I175">
        <v>1</v>
      </c>
      <c r="J175">
        <f t="shared" si="61"/>
        <v>0.3614626019923815</v>
      </c>
      <c r="K175">
        <f t="shared" si="67"/>
        <v>-2.6915212534644568</v>
      </c>
      <c r="O175">
        <f t="shared" si="68"/>
        <v>-0.31842556123158083</v>
      </c>
      <c r="P175">
        <f t="shared" si="69"/>
        <v>-0.15384512214758339</v>
      </c>
      <c r="Q175">
        <f t="shared" si="70"/>
        <v>0.93538058582897043</v>
      </c>
      <c r="R175">
        <f t="shared" si="60"/>
        <v>1</v>
      </c>
      <c r="AG175" s="8">
        <f t="shared" si="62"/>
        <v>-0.43425976119915999</v>
      </c>
      <c r="AH175" s="8">
        <f t="shared" si="63"/>
        <v>0.82866862567050759</v>
      </c>
      <c r="AI175" s="8">
        <f t="shared" si="64"/>
        <v>0.35316677169943489</v>
      </c>
      <c r="AJ175" s="8"/>
      <c r="AK175" s="8"/>
      <c r="AL175" s="8"/>
      <c r="AN175" s="8">
        <f t="shared" si="71"/>
        <v>1</v>
      </c>
      <c r="AO175" s="8">
        <f t="shared" si="72"/>
        <v>2.0534944868483307</v>
      </c>
      <c r="AP175" s="8">
        <f t="shared" si="73"/>
        <v>1.209842483604465</v>
      </c>
      <c r="AQ175" s="8"/>
      <c r="AR175" s="8">
        <f t="shared" si="74"/>
        <v>117.65656734979208</v>
      </c>
      <c r="AS175" s="8">
        <f t="shared" si="75"/>
        <v>20.681131813838661</v>
      </c>
    </row>
    <row r="176" spans="1:45">
      <c r="A176" s="19">
        <v>98.765333330000004</v>
      </c>
      <c r="B176" s="19">
        <v>447.45986809999999</v>
      </c>
      <c r="C176" s="19">
        <v>-787.53007279999997</v>
      </c>
      <c r="E176" s="9">
        <f t="shared" si="65"/>
        <v>-512.54013190000001</v>
      </c>
      <c r="F176" s="9">
        <f t="shared" si="66"/>
        <v>-247.53007279999997</v>
      </c>
      <c r="I176">
        <v>1</v>
      </c>
      <c r="J176">
        <f t="shared" si="61"/>
        <v>0.36184628328185953</v>
      </c>
      <c r="K176">
        <f t="shared" si="67"/>
        <v>-2.6916797178308047</v>
      </c>
      <c r="O176">
        <f t="shared" si="68"/>
        <v>-0.3187730860315604</v>
      </c>
      <c r="P176">
        <f t="shared" si="69"/>
        <v>-0.15395072557453482</v>
      </c>
      <c r="Q176">
        <f t="shared" si="70"/>
        <v>0.93524483089562682</v>
      </c>
      <c r="R176">
        <f t="shared" si="60"/>
        <v>1</v>
      </c>
      <c r="AG176" s="8">
        <f t="shared" si="62"/>
        <v>-0.43401142220652944</v>
      </c>
      <c r="AH176" s="8">
        <f t="shared" si="63"/>
        <v>0.82888560416024437</v>
      </c>
      <c r="AI176" s="8">
        <f t="shared" si="64"/>
        <v>0.35296280343709352</v>
      </c>
      <c r="AJ176" s="8"/>
      <c r="AK176" s="8"/>
      <c r="AL176" s="8"/>
      <c r="AN176" s="8">
        <f t="shared" si="71"/>
        <v>1</v>
      </c>
      <c r="AO176" s="8">
        <f t="shared" si="72"/>
        <v>2.0531517469210447</v>
      </c>
      <c r="AP176" s="8">
        <f t="shared" si="73"/>
        <v>1.2100604918431086</v>
      </c>
      <c r="AQ176" s="8"/>
      <c r="AR176" s="8">
        <f t="shared" si="74"/>
        <v>117.63692979848798</v>
      </c>
      <c r="AS176" s="8">
        <f t="shared" si="75"/>
        <v>20.668640861865299</v>
      </c>
    </row>
    <row r="177" spans="1:45">
      <c r="A177" s="19">
        <v>98.798699999999997</v>
      </c>
      <c r="B177" s="19">
        <v>447.365657</v>
      </c>
      <c r="C177" s="19">
        <v>-787.30789619999996</v>
      </c>
      <c r="E177" s="9">
        <f t="shared" si="65"/>
        <v>-512.63434299999994</v>
      </c>
      <c r="F177" s="9">
        <f t="shared" si="66"/>
        <v>-247.30789619999996</v>
      </c>
      <c r="I177">
        <v>1</v>
      </c>
      <c r="J177">
        <f t="shared" si="61"/>
        <v>0.36183936857598004</v>
      </c>
      <c r="K177">
        <f t="shared" si="67"/>
        <v>-2.6921032075435352</v>
      </c>
      <c r="O177">
        <f t="shared" si="68"/>
        <v>-0.31883242941019152</v>
      </c>
      <c r="P177">
        <f t="shared" si="69"/>
        <v>-0.15381290472333708</v>
      </c>
      <c r="Q177">
        <f t="shared" si="70"/>
        <v>0.93524727868995416</v>
      </c>
      <c r="R177">
        <f t="shared" si="60"/>
        <v>1</v>
      </c>
      <c r="AG177" s="8">
        <f t="shared" si="62"/>
        <v>-0.43390732903845686</v>
      </c>
      <c r="AH177" s="8">
        <f t="shared" si="63"/>
        <v>0.82889420617131593</v>
      </c>
      <c r="AI177" s="8">
        <f t="shared" si="64"/>
        <v>0.35307056629282518</v>
      </c>
      <c r="AJ177" s="8"/>
      <c r="AK177" s="8"/>
      <c r="AL177" s="8"/>
      <c r="AN177" s="8">
        <f t="shared" si="71"/>
        <v>0.99999999999999989</v>
      </c>
      <c r="AO177" s="8">
        <f t="shared" si="72"/>
        <v>2.053048917543753</v>
      </c>
      <c r="AP177" s="8">
        <f t="shared" si="73"/>
        <v>1.2099453134605345</v>
      </c>
      <c r="AQ177" s="8"/>
      <c r="AR177" s="8">
        <f t="shared" si="74"/>
        <v>117.63103810915921</v>
      </c>
      <c r="AS177" s="8">
        <f t="shared" si="75"/>
        <v>20.675240097077946</v>
      </c>
    </row>
    <row r="178" spans="1:45">
      <c r="A178" s="19">
        <v>99.199100000000001</v>
      </c>
      <c r="B178" s="19">
        <v>441.42044629999998</v>
      </c>
      <c r="C178" s="19">
        <v>-787.98891639999999</v>
      </c>
      <c r="E178" s="9">
        <f t="shared" si="65"/>
        <v>-518.57955370000002</v>
      </c>
      <c r="F178" s="9">
        <f t="shared" si="66"/>
        <v>-247.98891639999999</v>
      </c>
      <c r="I178">
        <v>1</v>
      </c>
      <c r="J178">
        <f t="shared" si="61"/>
        <v>0.36516689602991181</v>
      </c>
      <c r="K178">
        <f t="shared" si="67"/>
        <v>-2.6955300936989874</v>
      </c>
      <c r="O178">
        <f t="shared" si="68"/>
        <v>-0.32216343681232473</v>
      </c>
      <c r="P178">
        <f t="shared" si="69"/>
        <v>-0.15406114843665164</v>
      </c>
      <c r="Q178">
        <f t="shared" si="70"/>
        <v>0.93406417473514702</v>
      </c>
      <c r="R178">
        <f t="shared" si="60"/>
        <v>1</v>
      </c>
      <c r="AG178" s="8">
        <f t="shared" si="62"/>
        <v>-0.43122013652811902</v>
      </c>
      <c r="AH178" s="8">
        <f t="shared" si="63"/>
        <v>0.83083011989302902</v>
      </c>
      <c r="AI178" s="8">
        <f t="shared" si="64"/>
        <v>0.35181032635669651</v>
      </c>
      <c r="AJ178" s="8"/>
      <c r="AK178" s="8"/>
      <c r="AL178" s="8"/>
      <c r="AN178" s="8">
        <f t="shared" si="71"/>
        <v>0.99999999999999989</v>
      </c>
      <c r="AO178" s="8">
        <f t="shared" si="72"/>
        <v>2.0495464472474509</v>
      </c>
      <c r="AP178" s="8">
        <f t="shared" si="73"/>
        <v>1.2112919622717679</v>
      </c>
      <c r="AQ178" s="8"/>
      <c r="AR178" s="8">
        <f t="shared" si="74"/>
        <v>117.43036134331116</v>
      </c>
      <c r="AS178" s="8">
        <f t="shared" si="75"/>
        <v>20.598082803707953</v>
      </c>
    </row>
    <row r="179" spans="1:45">
      <c r="A179" s="19">
        <v>99.232466669999994</v>
      </c>
      <c r="B179" s="19">
        <v>441.07130690000002</v>
      </c>
      <c r="C179" s="19">
        <v>-787.8474933</v>
      </c>
      <c r="E179" s="9">
        <f t="shared" si="65"/>
        <v>-518.92869309999992</v>
      </c>
      <c r="F179" s="9">
        <f t="shared" si="66"/>
        <v>-247.8474933</v>
      </c>
      <c r="I179">
        <v>1</v>
      </c>
      <c r="J179">
        <f t="shared" si="61"/>
        <v>0.36531621398756975</v>
      </c>
      <c r="K179">
        <f t="shared" si="67"/>
        <v>-2.6960138707631285</v>
      </c>
      <c r="O179">
        <f t="shared" si="68"/>
        <v>-0.32236378141322247</v>
      </c>
      <c r="P179">
        <f t="shared" si="69"/>
        <v>-0.15396538332980522</v>
      </c>
      <c r="Q179">
        <f t="shared" si="70"/>
        <v>0.93401084210466967</v>
      </c>
      <c r="R179">
        <f t="shared" si="60"/>
        <v>1</v>
      </c>
      <c r="AG179" s="8">
        <f t="shared" si="62"/>
        <v>-0.43101447522666236</v>
      </c>
      <c r="AH179" s="8">
        <f t="shared" si="63"/>
        <v>0.83092613100565516</v>
      </c>
      <c r="AI179" s="8">
        <f t="shared" si="64"/>
        <v>0.35183559648940799</v>
      </c>
      <c r="AJ179" s="8"/>
      <c r="AK179" s="8"/>
      <c r="AL179" s="8"/>
      <c r="AN179" s="8">
        <f t="shared" si="71"/>
        <v>0.99999999999999978</v>
      </c>
      <c r="AO179" s="8">
        <f t="shared" si="72"/>
        <v>2.0493041891562318</v>
      </c>
      <c r="AP179" s="8">
        <f t="shared" si="73"/>
        <v>1.2112649661864405</v>
      </c>
      <c r="AQ179" s="8"/>
      <c r="AR179" s="8">
        <f t="shared" si="74"/>
        <v>117.41648097713141</v>
      </c>
      <c r="AS179" s="8">
        <f t="shared" si="75"/>
        <v>20.599629565460589</v>
      </c>
    </row>
    <row r="180" spans="1:45">
      <c r="A180" s="19">
        <v>99.265833330000007</v>
      </c>
      <c r="B180" s="19">
        <v>440.57703859999998</v>
      </c>
      <c r="C180" s="19">
        <v>-787.90102679999995</v>
      </c>
      <c r="E180" s="9">
        <f t="shared" si="65"/>
        <v>-519.42296140000008</v>
      </c>
      <c r="F180" s="9">
        <f t="shared" si="66"/>
        <v>-247.90102679999995</v>
      </c>
      <c r="I180">
        <v>1</v>
      </c>
      <c r="J180">
        <f t="shared" si="61"/>
        <v>0.36559190690827825</v>
      </c>
      <c r="K180">
        <f t="shared" si="67"/>
        <v>-2.6963000560922592</v>
      </c>
      <c r="O180">
        <f t="shared" si="68"/>
        <v>-0.32264020855369901</v>
      </c>
      <c r="P180">
        <f t="shared" si="69"/>
        <v>-0.15398402637390246</v>
      </c>
      <c r="Q180">
        <f t="shared" si="70"/>
        <v>0.93391231678680997</v>
      </c>
      <c r="R180">
        <f t="shared" si="60"/>
        <v>1</v>
      </c>
      <c r="AG180" s="8">
        <f t="shared" si="62"/>
        <v>-0.43079030261784479</v>
      </c>
      <c r="AH180" s="8">
        <f t="shared" si="63"/>
        <v>0.83108604153743104</v>
      </c>
      <c r="AI180" s="8">
        <f t="shared" si="64"/>
        <v>0.35173243628085993</v>
      </c>
      <c r="AJ180" s="8"/>
      <c r="AK180" s="8"/>
      <c r="AL180" s="8"/>
      <c r="AN180" s="8">
        <f t="shared" si="71"/>
        <v>1</v>
      </c>
      <c r="AO180" s="8">
        <f t="shared" si="72"/>
        <v>2.0490129535295982</v>
      </c>
      <c r="AP180" s="8">
        <f t="shared" si="73"/>
        <v>1.2113751705245308</v>
      </c>
      <c r="AQ180" s="8"/>
      <c r="AR180" s="8">
        <f t="shared" si="74"/>
        <v>117.39979440488146</v>
      </c>
      <c r="AS180" s="8">
        <f t="shared" si="75"/>
        <v>20.593315322003988</v>
      </c>
    </row>
    <row r="181" spans="1:45">
      <c r="A181" s="19">
        <v>99.299199999999999</v>
      </c>
      <c r="B181" s="19">
        <v>440.54402390000001</v>
      </c>
      <c r="C181" s="19">
        <v>-787.90833259999999</v>
      </c>
      <c r="E181" s="9">
        <f t="shared" si="65"/>
        <v>-519.45597610000004</v>
      </c>
      <c r="F181" s="9">
        <f t="shared" si="66"/>
        <v>-247.90833259999999</v>
      </c>
      <c r="I181">
        <v>1</v>
      </c>
      <c r="J181">
        <f t="shared" si="61"/>
        <v>0.36561126492467627</v>
      </c>
      <c r="K181">
        <f t="shared" si="67"/>
        <v>-2.6963133066840466</v>
      </c>
      <c r="O181">
        <f t="shared" si="68"/>
        <v>-0.32265856468820897</v>
      </c>
      <c r="P181">
        <f t="shared" si="69"/>
        <v>-0.15398753783047123</v>
      </c>
      <c r="Q181">
        <f t="shared" si="70"/>
        <v>0.93390539607941769</v>
      </c>
      <c r="R181">
        <f t="shared" si="60"/>
        <v>1</v>
      </c>
      <c r="AG181" s="8">
        <f t="shared" si="62"/>
        <v>-0.43077631372218955</v>
      </c>
      <c r="AH181" s="8">
        <f t="shared" si="63"/>
        <v>0.83109707290681967</v>
      </c>
      <c r="AI181" s="8">
        <f t="shared" si="64"/>
        <v>0.3517235035388423</v>
      </c>
      <c r="AJ181" s="8"/>
      <c r="AK181" s="8"/>
      <c r="AL181" s="8"/>
      <c r="AN181" s="8">
        <f t="shared" si="71"/>
        <v>0.99999999999999978</v>
      </c>
      <c r="AO181" s="8">
        <f t="shared" si="72"/>
        <v>2.0489942631065512</v>
      </c>
      <c r="AP181" s="8">
        <f t="shared" si="73"/>
        <v>1.2113847130098232</v>
      </c>
      <c r="AQ181" s="8"/>
      <c r="AR181" s="8">
        <f t="shared" si="74"/>
        <v>117.39872352252355</v>
      </c>
      <c r="AS181" s="8">
        <f t="shared" si="75"/>
        <v>20.592768577870658</v>
      </c>
    </row>
    <row r="182" spans="1:45">
      <c r="A182" s="19">
        <v>99.332566670000006</v>
      </c>
      <c r="B182" s="19">
        <v>440.2612062</v>
      </c>
      <c r="C182" s="19">
        <v>-787.91520390000005</v>
      </c>
      <c r="E182" s="9">
        <f t="shared" si="65"/>
        <v>-519.73879379999994</v>
      </c>
      <c r="F182" s="9">
        <f t="shared" si="66"/>
        <v>-247.91520390000005</v>
      </c>
      <c r="I182">
        <v>1</v>
      </c>
      <c r="J182">
        <f t="shared" si="61"/>
        <v>0.3657629903018646</v>
      </c>
      <c r="K182">
        <f t="shared" si="67"/>
        <v>-2.6965140766302063</v>
      </c>
      <c r="O182">
        <f t="shared" si="68"/>
        <v>-0.3228173631042896</v>
      </c>
      <c r="P182">
        <f t="shared" si="69"/>
        <v>-0.15398375751658269</v>
      </c>
      <c r="Q182">
        <f t="shared" si="70"/>
        <v>0.93385114043913198</v>
      </c>
      <c r="R182">
        <f t="shared" si="60"/>
        <v>1</v>
      </c>
      <c r="AG182" s="8">
        <f t="shared" si="62"/>
        <v>-0.43064177541320359</v>
      </c>
      <c r="AH182" s="8">
        <f t="shared" si="63"/>
        <v>0.83118626878931412</v>
      </c>
      <c r="AI182" s="8">
        <f t="shared" si="64"/>
        <v>0.35167747702271446</v>
      </c>
      <c r="AJ182" s="8"/>
      <c r="AK182" s="8"/>
      <c r="AL182" s="8"/>
      <c r="AN182" s="8">
        <f t="shared" si="71"/>
        <v>0.99999999999999989</v>
      </c>
      <c r="AO182" s="8">
        <f t="shared" si="72"/>
        <v>2.0488228187276172</v>
      </c>
      <c r="AP182" s="8">
        <f t="shared" si="73"/>
        <v>1.2114338807243128</v>
      </c>
      <c r="AQ182" s="8"/>
      <c r="AR182" s="8">
        <f t="shared" si="74"/>
        <v>117.38890048318939</v>
      </c>
      <c r="AS182" s="8">
        <f t="shared" si="75"/>
        <v>20.589951475342104</v>
      </c>
    </row>
    <row r="183" spans="1:45">
      <c r="A183" s="19">
        <v>99.365933330000004</v>
      </c>
      <c r="B183" s="19">
        <v>439.79379449999999</v>
      </c>
      <c r="C183" s="19">
        <v>-787.8515883</v>
      </c>
      <c r="E183" s="9">
        <f t="shared" si="65"/>
        <v>-520.20620550000001</v>
      </c>
      <c r="F183" s="9">
        <f t="shared" si="66"/>
        <v>-247.8515883</v>
      </c>
      <c r="I183">
        <v>1</v>
      </c>
      <c r="J183">
        <f t="shared" si="61"/>
        <v>0.36599479295693671</v>
      </c>
      <c r="K183">
        <f t="shared" si="67"/>
        <v>-2.6969629436787304</v>
      </c>
      <c r="O183">
        <f t="shared" si="68"/>
        <v>-0.32308186201490025</v>
      </c>
      <c r="P183">
        <f t="shared" si="69"/>
        <v>-0.15393194430341042</v>
      </c>
      <c r="Q183">
        <f t="shared" si="70"/>
        <v>0.93376820836862762</v>
      </c>
      <c r="R183">
        <f t="shared" si="60"/>
        <v>1</v>
      </c>
      <c r="AG183" s="8">
        <f t="shared" si="62"/>
        <v>-0.43039964101653821</v>
      </c>
      <c r="AH183" s="8">
        <f t="shared" si="63"/>
        <v>0.83132649986986928</v>
      </c>
      <c r="AI183" s="8">
        <f t="shared" si="64"/>
        <v>0.35164243149390728</v>
      </c>
      <c r="AJ183" s="8"/>
      <c r="AK183" s="8"/>
      <c r="AL183" s="8"/>
      <c r="AN183" s="8">
        <f t="shared" si="71"/>
        <v>1</v>
      </c>
      <c r="AO183" s="8">
        <f t="shared" si="72"/>
        <v>2.0485242478972419</v>
      </c>
      <c r="AP183" s="8">
        <f t="shared" si="73"/>
        <v>1.2114713174166507</v>
      </c>
      <c r="AQ183" s="8"/>
      <c r="AR183" s="8">
        <f t="shared" si="74"/>
        <v>117.37179363472316</v>
      </c>
      <c r="AS183" s="8">
        <f t="shared" si="75"/>
        <v>20.587806510872213</v>
      </c>
    </row>
    <row r="184" spans="1:45">
      <c r="A184" s="19">
        <v>99.399299999999997</v>
      </c>
      <c r="B184" s="19">
        <v>438.4542065</v>
      </c>
      <c r="C184" s="19">
        <v>-787.46410149999997</v>
      </c>
      <c r="E184" s="9">
        <f t="shared" si="65"/>
        <v>-521.54579349999995</v>
      </c>
      <c r="F184" s="9">
        <f t="shared" si="66"/>
        <v>-247.46410149999997</v>
      </c>
      <c r="I184">
        <v>1</v>
      </c>
      <c r="J184">
        <f t="shared" si="61"/>
        <v>0.36660763114900013</v>
      </c>
      <c r="K184">
        <f t="shared" si="67"/>
        <v>-2.6985670273853999</v>
      </c>
      <c r="O184">
        <f t="shared" si="68"/>
        <v>-0.32384530845299492</v>
      </c>
      <c r="P184">
        <f t="shared" si="69"/>
        <v>-0.15365877604630859</v>
      </c>
      <c r="Q184">
        <f t="shared" si="70"/>
        <v>0.93354871149658547</v>
      </c>
      <c r="R184">
        <f t="shared" si="60"/>
        <v>1</v>
      </c>
      <c r="AG184" s="8">
        <f t="shared" si="62"/>
        <v>-0.42965155101722752</v>
      </c>
      <c r="AH184" s="8">
        <f t="shared" si="63"/>
        <v>0.83170843556589957</v>
      </c>
      <c r="AI184" s="8">
        <f t="shared" si="64"/>
        <v>0.3516541239869293</v>
      </c>
      <c r="AJ184" s="8"/>
      <c r="AK184" s="8"/>
      <c r="AL184" s="8"/>
      <c r="AN184" s="8">
        <f t="shared" si="71"/>
        <v>1</v>
      </c>
      <c r="AO184" s="8">
        <f t="shared" si="72"/>
        <v>2.0476270059563824</v>
      </c>
      <c r="AP184" s="8">
        <f t="shared" si="73"/>
        <v>1.211458827200985</v>
      </c>
      <c r="AQ184" s="8"/>
      <c r="AR184" s="8">
        <f t="shared" si="74"/>
        <v>117.32038545830979</v>
      </c>
      <c r="AS184" s="8">
        <f t="shared" si="75"/>
        <v>20.588522147515064</v>
      </c>
    </row>
    <row r="185" spans="1:45">
      <c r="A185" s="19">
        <v>99.432666670000003</v>
      </c>
      <c r="B185" s="19">
        <v>438.43593970000001</v>
      </c>
      <c r="C185" s="19">
        <v>-787.17181019999998</v>
      </c>
      <c r="E185" s="9">
        <f t="shared" si="65"/>
        <v>-521.56406029999994</v>
      </c>
      <c r="F185" s="9">
        <f t="shared" si="66"/>
        <v>-247.17181019999998</v>
      </c>
      <c r="I185">
        <v>1</v>
      </c>
      <c r="J185">
        <f t="shared" si="61"/>
        <v>0.3665437822320054</v>
      </c>
      <c r="K185">
        <f t="shared" si="67"/>
        <v>-2.6990381270381705</v>
      </c>
      <c r="O185">
        <f t="shared" si="68"/>
        <v>-0.32386379678678084</v>
      </c>
      <c r="P185">
        <f t="shared" si="69"/>
        <v>-0.15348066901693599</v>
      </c>
      <c r="Q185">
        <f t="shared" si="70"/>
        <v>0.93357159627366793</v>
      </c>
      <c r="R185">
        <f t="shared" si="60"/>
        <v>1</v>
      </c>
      <c r="AG185" s="8">
        <f t="shared" si="62"/>
        <v>-0.42956555792472556</v>
      </c>
      <c r="AH185" s="8">
        <f t="shared" si="63"/>
        <v>0.83168638073190992</v>
      </c>
      <c r="AI185" s="8">
        <f t="shared" si="64"/>
        <v>0.35181130673967237</v>
      </c>
      <c r="AJ185" s="8"/>
      <c r="AK185" s="8"/>
      <c r="AL185" s="8"/>
      <c r="AN185" s="8">
        <f t="shared" si="71"/>
        <v>1</v>
      </c>
      <c r="AO185" s="8">
        <f t="shared" si="72"/>
        <v>2.0475562009655892</v>
      </c>
      <c r="AP185" s="8">
        <f t="shared" si="73"/>
        <v>1.2112909149336433</v>
      </c>
      <c r="AQ185" s="8"/>
      <c r="AR185" s="8">
        <f t="shared" si="74"/>
        <v>117.31632863116887</v>
      </c>
      <c r="AS185" s="8">
        <f t="shared" si="75"/>
        <v>20.598142811762216</v>
      </c>
    </row>
    <row r="186" spans="1:45">
      <c r="A186" s="19">
        <v>99.466033330000002</v>
      </c>
      <c r="B186" s="19">
        <v>437.7978708</v>
      </c>
      <c r="C186" s="19">
        <v>-787.35890329999995</v>
      </c>
      <c r="E186" s="9">
        <f t="shared" si="65"/>
        <v>-522.20212919999994</v>
      </c>
      <c r="F186" s="9">
        <f t="shared" si="66"/>
        <v>-247.35890329999995</v>
      </c>
      <c r="I186">
        <v>1</v>
      </c>
      <c r="J186">
        <f t="shared" si="61"/>
        <v>0.36692938249992574</v>
      </c>
      <c r="K186">
        <f t="shared" si="67"/>
        <v>-2.6992184306212801</v>
      </c>
      <c r="O186">
        <f t="shared" si="68"/>
        <v>-0.32421677302903529</v>
      </c>
      <c r="P186">
        <f t="shared" si="69"/>
        <v>-0.15357636616838061</v>
      </c>
      <c r="Q186">
        <f t="shared" si="70"/>
        <v>0.93343333122465388</v>
      </c>
      <c r="R186">
        <f t="shared" si="60"/>
        <v>1</v>
      </c>
      <c r="AG186" s="8">
        <f t="shared" si="62"/>
        <v>-0.429307382456804</v>
      </c>
      <c r="AH186" s="8">
        <f t="shared" si="63"/>
        <v>0.83190333004291916</v>
      </c>
      <c r="AI186" s="8">
        <f t="shared" si="64"/>
        <v>0.35161345371243857</v>
      </c>
      <c r="AJ186" s="8"/>
      <c r="AK186" s="8"/>
      <c r="AL186" s="8"/>
      <c r="AN186" s="8">
        <f t="shared" si="71"/>
        <v>0.99999999999999989</v>
      </c>
      <c r="AO186" s="8">
        <f t="shared" si="72"/>
        <v>2.0472048195383041</v>
      </c>
      <c r="AP186" s="8">
        <f t="shared" si="73"/>
        <v>1.2115022719604038</v>
      </c>
      <c r="AQ186" s="8"/>
      <c r="AR186" s="8">
        <f t="shared" si="74"/>
        <v>117.29619595838616</v>
      </c>
      <c r="AS186" s="8">
        <f t="shared" si="75"/>
        <v>20.586032946158412</v>
      </c>
    </row>
    <row r="187" spans="1:45">
      <c r="A187" s="19">
        <v>99.499399999999994</v>
      </c>
      <c r="B187" s="19">
        <v>437.90655370000002</v>
      </c>
      <c r="C187" s="19">
        <v>-787.32486659999995</v>
      </c>
      <c r="E187" s="9">
        <f t="shared" si="65"/>
        <v>-522.09344629999998</v>
      </c>
      <c r="F187" s="9">
        <f t="shared" si="66"/>
        <v>-247.32486659999995</v>
      </c>
      <c r="I187">
        <v>1</v>
      </c>
      <c r="J187">
        <f t="shared" si="61"/>
        <v>0.36686316456710466</v>
      </c>
      <c r="K187">
        <f t="shared" si="67"/>
        <v>-2.699191141225068</v>
      </c>
      <c r="O187">
        <f t="shared" si="68"/>
        <v>-0.32415672185436456</v>
      </c>
      <c r="P187">
        <f t="shared" si="69"/>
        <v>-0.15355875190215743</v>
      </c>
      <c r="Q187">
        <f t="shared" si="70"/>
        <v>0.93345708492189605</v>
      </c>
      <c r="R187">
        <f t="shared" si="60"/>
        <v>1</v>
      </c>
      <c r="AG187" s="8">
        <f t="shared" si="62"/>
        <v>-0.42935078452197362</v>
      </c>
      <c r="AH187" s="8">
        <f t="shared" si="63"/>
        <v>0.83186618420244773</v>
      </c>
      <c r="AI187" s="8">
        <f t="shared" si="64"/>
        <v>0.35164834054894267</v>
      </c>
      <c r="AJ187" s="8"/>
      <c r="AK187" s="8"/>
      <c r="AL187" s="8"/>
      <c r="AN187" s="8">
        <f t="shared" si="71"/>
        <v>1</v>
      </c>
      <c r="AO187" s="8">
        <f t="shared" si="72"/>
        <v>2.0472642170014774</v>
      </c>
      <c r="AP187" s="8">
        <f t="shared" si="73"/>
        <v>1.2114650052224938</v>
      </c>
      <c r="AQ187" s="8"/>
      <c r="AR187" s="8">
        <f t="shared" si="74"/>
        <v>117.29959918233978</v>
      </c>
      <c r="AS187" s="8">
        <f t="shared" si="75"/>
        <v>20.58816817295687</v>
      </c>
    </row>
    <row r="188" spans="1:45">
      <c r="A188" s="19">
        <v>99.56613333</v>
      </c>
      <c r="B188" s="19">
        <v>436.63493399999999</v>
      </c>
      <c r="C188" s="19">
        <v>-787.14723400000003</v>
      </c>
      <c r="E188" s="9">
        <f t="shared" si="65"/>
        <v>-523.36506600000007</v>
      </c>
      <c r="F188" s="9">
        <f t="shared" si="66"/>
        <v>-247.14723400000003</v>
      </c>
      <c r="I188">
        <v>1</v>
      </c>
      <c r="J188">
        <f t="shared" si="61"/>
        <v>0.36749331541787827</v>
      </c>
      <c r="K188">
        <f t="shared" si="67"/>
        <v>-2.7004090806759455</v>
      </c>
      <c r="O188">
        <f t="shared" si="68"/>
        <v>-0.32487533721935724</v>
      </c>
      <c r="P188">
        <f t="shared" si="69"/>
        <v>-0.15341497972388826</v>
      </c>
      <c r="Q188">
        <f t="shared" si="70"/>
        <v>0.93323087136191973</v>
      </c>
      <c r="R188">
        <f t="shared" si="60"/>
        <v>1</v>
      </c>
      <c r="AG188" s="8">
        <f t="shared" si="62"/>
        <v>-0.42869091256020453</v>
      </c>
      <c r="AH188" s="8">
        <f t="shared" si="63"/>
        <v>0.83224582424638927</v>
      </c>
      <c r="AI188" s="8">
        <f t="shared" si="64"/>
        <v>0.35155510167361703</v>
      </c>
      <c r="AJ188" s="8"/>
      <c r="AK188" s="8"/>
      <c r="AL188" s="8"/>
      <c r="AN188" s="8">
        <f t="shared" si="71"/>
        <v>1</v>
      </c>
      <c r="AO188" s="8">
        <f t="shared" si="72"/>
        <v>2.0464518672616854</v>
      </c>
      <c r="AP188" s="8">
        <f t="shared" si="73"/>
        <v>1.2115646034780236</v>
      </c>
      <c r="AQ188" s="8"/>
      <c r="AR188" s="8">
        <f t="shared" si="74"/>
        <v>117.25305497076114</v>
      </c>
      <c r="AS188" s="8">
        <f t="shared" si="75"/>
        <v>20.582461613268151</v>
      </c>
    </row>
    <row r="189" spans="1:45">
      <c r="A189" s="19">
        <v>99.599500000000006</v>
      </c>
      <c r="B189" s="19">
        <v>436.39638630000002</v>
      </c>
      <c r="C189" s="19">
        <v>-787.06761870000003</v>
      </c>
      <c r="E189" s="9">
        <f t="shared" si="65"/>
        <v>-523.60361369999998</v>
      </c>
      <c r="F189" s="9">
        <f t="shared" si="66"/>
        <v>-247.06761870000003</v>
      </c>
      <c r="I189">
        <v>1</v>
      </c>
      <c r="J189">
        <f t="shared" si="61"/>
        <v>0.36759995872305318</v>
      </c>
      <c r="K189">
        <f t="shared" si="67"/>
        <v>-2.7007093638541368</v>
      </c>
      <c r="O189">
        <f t="shared" si="68"/>
        <v>-0.32501139462426049</v>
      </c>
      <c r="P189">
        <f t="shared" si="69"/>
        <v>-0.15335988755453853</v>
      </c>
      <c r="Q189">
        <f t="shared" si="70"/>
        <v>0.93319255154209868</v>
      </c>
      <c r="R189">
        <f t="shared" si="60"/>
        <v>1</v>
      </c>
      <c r="AG189" s="8">
        <f t="shared" si="62"/>
        <v>-0.42855490179025502</v>
      </c>
      <c r="AH189" s="8">
        <f t="shared" si="63"/>
        <v>0.8323125723547441</v>
      </c>
      <c r="AI189" s="8">
        <f t="shared" si="64"/>
        <v>0.35156290767339737</v>
      </c>
      <c r="AJ189" s="8"/>
      <c r="AK189" s="8"/>
      <c r="AL189" s="8"/>
      <c r="AN189" s="8">
        <f t="shared" si="71"/>
        <v>1</v>
      </c>
      <c r="AO189" s="8">
        <f t="shared" si="72"/>
        <v>2.0462900602220611</v>
      </c>
      <c r="AP189" s="8">
        <f t="shared" si="73"/>
        <v>1.2115562652110214</v>
      </c>
      <c r="AQ189" s="8"/>
      <c r="AR189" s="8">
        <f t="shared" si="74"/>
        <v>117.24378411029515</v>
      </c>
      <c r="AS189" s="8">
        <f t="shared" si="75"/>
        <v>20.582939360775825</v>
      </c>
    </row>
    <row r="190" spans="1:45">
      <c r="A190" s="19">
        <v>99.632866669999999</v>
      </c>
      <c r="B190" s="19">
        <v>436.27219159999999</v>
      </c>
      <c r="C190" s="19">
        <v>-787.05645609999999</v>
      </c>
      <c r="E190" s="9">
        <f t="shared" si="65"/>
        <v>-523.72780839999996</v>
      </c>
      <c r="F190" s="9">
        <f t="shared" si="66"/>
        <v>-247.05645609999999</v>
      </c>
      <c r="I190">
        <v>1</v>
      </c>
      <c r="J190">
        <f t="shared" si="61"/>
        <v>0.36766307065015341</v>
      </c>
      <c r="K190">
        <f t="shared" si="67"/>
        <v>-2.7008183201132434</v>
      </c>
      <c r="O190">
        <f t="shared" si="68"/>
        <v>-0.32508136800069626</v>
      </c>
      <c r="P190">
        <f t="shared" si="69"/>
        <v>-0.15334960151868082</v>
      </c>
      <c r="Q190">
        <f t="shared" si="70"/>
        <v>0.93316986872319108</v>
      </c>
      <c r="R190">
        <f t="shared" si="60"/>
        <v>1</v>
      </c>
      <c r="AG190" s="8">
        <f t="shared" si="62"/>
        <v>-0.42849209115992909</v>
      </c>
      <c r="AH190" s="8">
        <f t="shared" si="63"/>
        <v>0.83235019051782988</v>
      </c>
      <c r="AI190" s="8">
        <f t="shared" si="64"/>
        <v>0.35155040628382639</v>
      </c>
      <c r="AJ190" s="8"/>
      <c r="AK190" s="8"/>
      <c r="AL190" s="8"/>
      <c r="AN190" s="8">
        <f t="shared" si="71"/>
        <v>1</v>
      </c>
      <c r="AO190" s="8">
        <f t="shared" si="72"/>
        <v>2.0462120149143495</v>
      </c>
      <c r="AP190" s="8">
        <f t="shared" si="73"/>
        <v>1.2115696190194902</v>
      </c>
      <c r="AQ190" s="8"/>
      <c r="AR190" s="8">
        <f t="shared" si="74"/>
        <v>117.23931244355248</v>
      </c>
      <c r="AS190" s="8">
        <f t="shared" si="75"/>
        <v>20.582174243910131</v>
      </c>
    </row>
    <row r="191" spans="1:45">
      <c r="A191" s="19">
        <v>99.699600000000004</v>
      </c>
      <c r="B191" s="19">
        <v>435.45501839999997</v>
      </c>
      <c r="C191" s="19">
        <v>-787.10272999999995</v>
      </c>
      <c r="E191" s="9">
        <f t="shared" si="65"/>
        <v>-524.54498160000003</v>
      </c>
      <c r="F191" s="9">
        <f t="shared" si="66"/>
        <v>-247.10272999999995</v>
      </c>
      <c r="I191">
        <v>1</v>
      </c>
      <c r="J191">
        <f t="shared" si="61"/>
        <v>0.36810828182762823</v>
      </c>
      <c r="K191">
        <f t="shared" si="67"/>
        <v>-2.7013474159069433</v>
      </c>
      <c r="O191">
        <f t="shared" si="68"/>
        <v>-0.32553826948267184</v>
      </c>
      <c r="P191">
        <f t="shared" si="69"/>
        <v>-0.15335461767888151</v>
      </c>
      <c r="Q191">
        <f t="shared" si="70"/>
        <v>0.93300975147036458</v>
      </c>
      <c r="R191">
        <f t="shared" si="60"/>
        <v>1</v>
      </c>
      <c r="AG191" s="8">
        <f t="shared" si="62"/>
        <v>-0.42811044704344997</v>
      </c>
      <c r="AH191" s="8">
        <f t="shared" si="63"/>
        <v>0.83260892030091282</v>
      </c>
      <c r="AI191" s="8">
        <f t="shared" si="64"/>
        <v>0.35140266215213234</v>
      </c>
      <c r="AJ191" s="8"/>
      <c r="AK191" s="8"/>
      <c r="AL191" s="8"/>
      <c r="AN191" s="8">
        <f t="shared" si="71"/>
        <v>1</v>
      </c>
      <c r="AO191" s="8">
        <f t="shared" si="72"/>
        <v>2.0457230899623502</v>
      </c>
      <c r="AP191" s="8">
        <f t="shared" si="73"/>
        <v>1.2117274321512745</v>
      </c>
      <c r="AQ191" s="8"/>
      <c r="AR191" s="8">
        <f t="shared" si="74"/>
        <v>117.21129910730428</v>
      </c>
      <c r="AS191" s="8">
        <f t="shared" si="75"/>
        <v>20.573132217507151</v>
      </c>
    </row>
    <row r="192" spans="1:45">
      <c r="A192" s="19">
        <v>99.732966669999996</v>
      </c>
      <c r="B192" s="19">
        <v>435.3642337</v>
      </c>
      <c r="C192" s="19">
        <v>-787.0365706</v>
      </c>
      <c r="E192" s="9">
        <f t="shared" si="65"/>
        <v>-524.6357663</v>
      </c>
      <c r="F192" s="9">
        <f t="shared" si="66"/>
        <v>-247.0365706</v>
      </c>
      <c r="I192">
        <v>1</v>
      </c>
      <c r="J192">
        <f t="shared" si="61"/>
        <v>0.36813992181366034</v>
      </c>
      <c r="K192">
        <f t="shared" si="67"/>
        <v>-2.7015173450885217</v>
      </c>
      <c r="O192">
        <f t="shared" si="68"/>
        <v>-0.32559103174217485</v>
      </c>
      <c r="P192">
        <f t="shared" si="69"/>
        <v>-0.15331187285791933</v>
      </c>
      <c r="Q192">
        <f t="shared" si="70"/>
        <v>0.9329983653200381</v>
      </c>
      <c r="R192">
        <f t="shared" si="60"/>
        <v>1</v>
      </c>
      <c r="AG192" s="8">
        <f t="shared" si="62"/>
        <v>-0.42804921550502267</v>
      </c>
      <c r="AH192" s="8">
        <f t="shared" si="63"/>
        <v>0.83263087783865641</v>
      </c>
      <c r="AI192" s="8">
        <f t="shared" si="64"/>
        <v>0.35142522728905379</v>
      </c>
      <c r="AJ192" s="8"/>
      <c r="AK192" s="8"/>
      <c r="AL192" s="8"/>
      <c r="AN192" s="8">
        <f t="shared" si="71"/>
        <v>1</v>
      </c>
      <c r="AO192" s="8">
        <f t="shared" si="72"/>
        <v>2.045654200505596</v>
      </c>
      <c r="AP192" s="8">
        <f t="shared" si="73"/>
        <v>1.211703329768925</v>
      </c>
      <c r="AQ192" s="8"/>
      <c r="AR192" s="8">
        <f t="shared" si="74"/>
        <v>117.20735203217933</v>
      </c>
      <c r="AS192" s="8">
        <f t="shared" si="75"/>
        <v>20.574513182291994</v>
      </c>
    </row>
    <row r="193" spans="1:45">
      <c r="A193" s="19">
        <v>99.766333329999995</v>
      </c>
      <c r="B193" s="19">
        <v>435.32780700000001</v>
      </c>
      <c r="C193" s="19">
        <v>-787.01020819999997</v>
      </c>
      <c r="E193" s="9">
        <f t="shared" si="65"/>
        <v>-524.67219299999999</v>
      </c>
      <c r="F193" s="9">
        <f t="shared" si="66"/>
        <v>-247.01020819999997</v>
      </c>
      <c r="I193">
        <v>1</v>
      </c>
      <c r="J193">
        <f t="shared" si="61"/>
        <v>0.3681526655464023</v>
      </c>
      <c r="K193">
        <f t="shared" si="67"/>
        <v>-2.7015852326382217</v>
      </c>
      <c r="O193">
        <f t="shared" si="68"/>
        <v>-0.32561219628560278</v>
      </c>
      <c r="P193">
        <f t="shared" si="69"/>
        <v>-0.15329483336458435</v>
      </c>
      <c r="Q193">
        <f t="shared" si="70"/>
        <v>0.9329937790220203</v>
      </c>
      <c r="R193">
        <f t="shared" si="60"/>
        <v>1</v>
      </c>
      <c r="AG193" s="8">
        <f t="shared" si="62"/>
        <v>-0.428024695084259</v>
      </c>
      <c r="AH193" s="8">
        <f t="shared" si="63"/>
        <v>0.83263970434103229</v>
      </c>
      <c r="AI193" s="8">
        <f t="shared" si="64"/>
        <v>0.35143418039926844</v>
      </c>
      <c r="AJ193" s="8"/>
      <c r="AK193" s="8"/>
      <c r="AL193" s="8"/>
      <c r="AN193" s="8">
        <f t="shared" si="71"/>
        <v>1</v>
      </c>
      <c r="AO193" s="8">
        <f t="shared" si="72"/>
        <v>2.0456265967232894</v>
      </c>
      <c r="AP193" s="8">
        <f t="shared" si="73"/>
        <v>1.2116937666694492</v>
      </c>
      <c r="AQ193" s="8"/>
      <c r="AR193" s="8">
        <f t="shared" si="74"/>
        <v>117.20577045195456</v>
      </c>
      <c r="AS193" s="8">
        <f t="shared" si="75"/>
        <v>20.575061107531027</v>
      </c>
    </row>
    <row r="194" spans="1:45">
      <c r="A194" s="19">
        <v>99.799700000000001</v>
      </c>
      <c r="B194" s="19">
        <v>434.23940590000001</v>
      </c>
      <c r="C194" s="19">
        <v>-787.00346960000002</v>
      </c>
      <c r="E194" s="9">
        <f t="shared" si="65"/>
        <v>-525.76059409999993</v>
      </c>
      <c r="F194" s="9">
        <f t="shared" si="66"/>
        <v>-247.00346960000002</v>
      </c>
      <c r="I194">
        <v>1</v>
      </c>
      <c r="J194">
        <f t="shared" si="61"/>
        <v>0.36872855901867058</v>
      </c>
      <c r="K194">
        <f t="shared" si="67"/>
        <v>-2.7023938123682498</v>
      </c>
      <c r="O194">
        <f t="shared" si="68"/>
        <v>-0.32622229769520339</v>
      </c>
      <c r="P194">
        <f t="shared" si="69"/>
        <v>-0.15325994434697665</v>
      </c>
      <c r="Q194">
        <f t="shared" si="70"/>
        <v>0.93278636457938413</v>
      </c>
      <c r="R194">
        <f t="shared" si="60"/>
        <v>1</v>
      </c>
      <c r="AG194" s="8">
        <f t="shared" si="62"/>
        <v>-0.4274983567782864</v>
      </c>
      <c r="AH194" s="8">
        <f t="shared" si="63"/>
        <v>0.83297733570626398</v>
      </c>
      <c r="AI194" s="8">
        <f t="shared" si="64"/>
        <v>0.35127469756809837</v>
      </c>
      <c r="AJ194" s="8"/>
      <c r="AK194" s="8"/>
      <c r="AL194" s="8"/>
      <c r="AN194" s="8">
        <f t="shared" si="71"/>
        <v>1</v>
      </c>
      <c r="AO194" s="8">
        <f t="shared" si="72"/>
        <v>2.044961757588871</v>
      </c>
      <c r="AP194" s="8">
        <f t="shared" si="73"/>
        <v>1.2118641101732528</v>
      </c>
      <c r="AQ194" s="8"/>
      <c r="AR194" s="8">
        <f t="shared" si="74"/>
        <v>117.16767797549726</v>
      </c>
      <c r="AS194" s="8">
        <f t="shared" si="75"/>
        <v>20.565301143695606</v>
      </c>
    </row>
    <row r="195" spans="1:45">
      <c r="A195" s="19">
        <v>99.833066669999994</v>
      </c>
      <c r="B195" s="19">
        <v>434.24402040000001</v>
      </c>
      <c r="C195" s="19">
        <v>-786.88493800000003</v>
      </c>
      <c r="E195" s="9">
        <f t="shared" si="65"/>
        <v>-525.75597960000005</v>
      </c>
      <c r="F195" s="9">
        <f t="shared" si="66"/>
        <v>-246.88493800000003</v>
      </c>
      <c r="I195">
        <v>1</v>
      </c>
      <c r="J195">
        <f t="shared" si="61"/>
        <v>0.36869656541206569</v>
      </c>
      <c r="K195">
        <f t="shared" si="67"/>
        <v>-2.7025751368014346</v>
      </c>
      <c r="O195">
        <f t="shared" si="68"/>
        <v>-0.32622306877723162</v>
      </c>
      <c r="P195">
        <f t="shared" si="69"/>
        <v>-0.15318810481339995</v>
      </c>
      <c r="Q195">
        <f t="shared" si="70"/>
        <v>0.93279789554932235</v>
      </c>
      <c r="R195">
        <f t="shared" si="60"/>
        <v>1</v>
      </c>
      <c r="AG195" s="8">
        <f t="shared" si="62"/>
        <v>-0.42746926705050303</v>
      </c>
      <c r="AH195" s="8">
        <f t="shared" si="63"/>
        <v>0.8329646493220707</v>
      </c>
      <c r="AI195" s="8">
        <f t="shared" si="64"/>
        <v>0.35134017519644056</v>
      </c>
      <c r="AJ195" s="8"/>
      <c r="AK195" s="8"/>
      <c r="AL195" s="8"/>
      <c r="AN195" s="8">
        <f t="shared" si="71"/>
        <v>1</v>
      </c>
      <c r="AO195" s="8">
        <f t="shared" si="72"/>
        <v>2.04494030192095</v>
      </c>
      <c r="AP195" s="8">
        <f t="shared" si="73"/>
        <v>1.2117941748804406</v>
      </c>
      <c r="AQ195" s="8"/>
      <c r="AR195" s="8">
        <f t="shared" si="74"/>
        <v>117.16644865627875</v>
      </c>
      <c r="AS195" s="8">
        <f t="shared" si="75"/>
        <v>20.569308140812751</v>
      </c>
    </row>
    <row r="196" spans="1:45">
      <c r="A196" s="19">
        <v>99.866433330000007</v>
      </c>
      <c r="B196" s="19">
        <v>433.7510868</v>
      </c>
      <c r="C196" s="19">
        <v>-787.06593959999998</v>
      </c>
      <c r="E196" s="9">
        <f t="shared" si="65"/>
        <v>-526.24891320000006</v>
      </c>
      <c r="F196" s="9">
        <f t="shared" si="66"/>
        <v>-247.06593959999998</v>
      </c>
      <c r="I196">
        <v>1</v>
      </c>
      <c r="J196">
        <f t="shared" si="61"/>
        <v>0.36900324446756116</v>
      </c>
      <c r="K196">
        <f t="shared" si="67"/>
        <v>-2.7026537188062192</v>
      </c>
      <c r="O196">
        <f t="shared" si="68"/>
        <v>-0.32649404132217341</v>
      </c>
      <c r="P196">
        <f t="shared" si="69"/>
        <v>-0.1532840355005298</v>
      </c>
      <c r="Q196">
        <f t="shared" si="70"/>
        <v>0.93268732458514048</v>
      </c>
      <c r="R196">
        <f t="shared" si="60"/>
        <v>1</v>
      </c>
      <c r="AG196" s="8">
        <f t="shared" si="62"/>
        <v>-0.42727952466754093</v>
      </c>
      <c r="AH196" s="8">
        <f t="shared" si="63"/>
        <v>0.83313487283263932</v>
      </c>
      <c r="AI196" s="8">
        <f t="shared" si="64"/>
        <v>0.35116732688281521</v>
      </c>
      <c r="AJ196" s="8"/>
      <c r="AK196" s="8"/>
      <c r="AL196" s="8"/>
      <c r="AN196" s="8">
        <f t="shared" si="71"/>
        <v>0.99999999999999978</v>
      </c>
      <c r="AO196" s="8">
        <f t="shared" si="72"/>
        <v>2.044677002189363</v>
      </c>
      <c r="AP196" s="8">
        <f t="shared" si="73"/>
        <v>1.211978786597419</v>
      </c>
      <c r="AQ196" s="8"/>
      <c r="AR196" s="8">
        <f t="shared" si="74"/>
        <v>117.15136269291189</v>
      </c>
      <c r="AS196" s="8">
        <f t="shared" si="75"/>
        <v>20.558730668581234</v>
      </c>
    </row>
    <row r="197" spans="1:45">
      <c r="A197" s="19">
        <v>99.899799999999999</v>
      </c>
      <c r="B197" s="19">
        <v>433.30329769999997</v>
      </c>
      <c r="C197" s="19">
        <v>-787.22003570000004</v>
      </c>
      <c r="E197" s="9">
        <f t="shared" si="65"/>
        <v>-526.69670229999997</v>
      </c>
      <c r="F197" s="9">
        <f t="shared" si="66"/>
        <v>-247.22003570000004</v>
      </c>
      <c r="I197">
        <v>1</v>
      </c>
      <c r="J197">
        <f t="shared" si="61"/>
        <v>0.36927920664730229</v>
      </c>
      <c r="K197">
        <f t="shared" si="67"/>
        <v>-2.7027410513960377</v>
      </c>
      <c r="O197">
        <f t="shared" si="68"/>
        <v>-0.32674041087778366</v>
      </c>
      <c r="P197">
        <f t="shared" si="69"/>
        <v>-0.15336487904537685</v>
      </c>
      <c r="Q197">
        <f t="shared" si="70"/>
        <v>0.93258775339096855</v>
      </c>
      <c r="R197">
        <f t="shared" si="60"/>
        <v>1</v>
      </c>
      <c r="AG197" s="8">
        <f t="shared" si="62"/>
        <v>-0.42710443317649438</v>
      </c>
      <c r="AH197" s="8">
        <f t="shared" si="63"/>
        <v>0.83328842570078798</v>
      </c>
      <c r="AI197" s="8">
        <f t="shared" si="64"/>
        <v>0.35101595797639684</v>
      </c>
      <c r="AJ197" s="8"/>
      <c r="AK197" s="8"/>
      <c r="AL197" s="8"/>
      <c r="AN197" s="8">
        <f t="shared" si="71"/>
        <v>0.99999999999999978</v>
      </c>
      <c r="AO197" s="8">
        <f t="shared" si="72"/>
        <v>2.0444357834518763</v>
      </c>
      <c r="AP197" s="8">
        <f t="shared" si="73"/>
        <v>1.2121404466018642</v>
      </c>
      <c r="AQ197" s="8"/>
      <c r="AR197" s="8">
        <f t="shared" si="74"/>
        <v>117.13754187731442</v>
      </c>
      <c r="AS197" s="8">
        <f t="shared" si="75"/>
        <v>20.549468232610451</v>
      </c>
    </row>
    <row r="198" spans="1:45">
      <c r="A198" s="19">
        <v>99.933166670000006</v>
      </c>
      <c r="B198" s="19">
        <v>433.18326619999999</v>
      </c>
      <c r="C198" s="19">
        <v>-787.04306059999999</v>
      </c>
      <c r="E198" s="9">
        <f t="shared" si="65"/>
        <v>-526.81673380000007</v>
      </c>
      <c r="F198" s="9">
        <f t="shared" si="66"/>
        <v>-247.04306059999999</v>
      </c>
      <c r="I198">
        <v>1</v>
      </c>
      <c r="J198">
        <f t="shared" si="61"/>
        <v>0.36929883885366682</v>
      </c>
      <c r="K198">
        <f t="shared" si="67"/>
        <v>-2.7031040335578576</v>
      </c>
      <c r="O198">
        <f t="shared" si="68"/>
        <v>-0.32681263464811094</v>
      </c>
      <c r="P198">
        <f t="shared" si="69"/>
        <v>-0.15325404135106635</v>
      </c>
      <c r="Q198">
        <f t="shared" si="70"/>
        <v>0.93258066709745058</v>
      </c>
      <c r="R198">
        <f t="shared" si="60"/>
        <v>1</v>
      </c>
      <c r="AG198" s="8">
        <f t="shared" si="62"/>
        <v>-0.42699984264647728</v>
      </c>
      <c r="AH198" s="8">
        <f t="shared" si="63"/>
        <v>0.83330886988115771</v>
      </c>
      <c r="AI198" s="8">
        <f t="shared" si="64"/>
        <v>0.35109466210307344</v>
      </c>
      <c r="AJ198" s="8"/>
      <c r="AK198" s="8"/>
      <c r="AL198" s="8"/>
      <c r="AN198" s="8">
        <f t="shared" si="71"/>
        <v>1</v>
      </c>
      <c r="AO198" s="8">
        <f t="shared" si="72"/>
        <v>2.0443264195894013</v>
      </c>
      <c r="AP198" s="8">
        <f t="shared" si="73"/>
        <v>1.2120563928509873</v>
      </c>
      <c r="AQ198" s="8"/>
      <c r="AR198" s="8">
        <f t="shared" si="74"/>
        <v>117.13127578956336</v>
      </c>
      <c r="AS198" s="8">
        <f t="shared" si="75"/>
        <v>20.554284157787947</v>
      </c>
    </row>
    <row r="199" spans="1:45">
      <c r="A199" s="19">
        <v>99.966533330000004</v>
      </c>
      <c r="B199" s="19">
        <v>432.99811030000001</v>
      </c>
      <c r="C199" s="19">
        <v>-786.95818459999998</v>
      </c>
      <c r="E199" s="9">
        <f t="shared" si="65"/>
        <v>-527.00188969999999</v>
      </c>
      <c r="F199" s="9">
        <f t="shared" si="66"/>
        <v>-246.95818459999998</v>
      </c>
      <c r="I199">
        <v>1</v>
      </c>
      <c r="J199">
        <f t="shared" si="61"/>
        <v>0.36937597495524971</v>
      </c>
      <c r="K199">
        <f t="shared" si="67"/>
        <v>-2.7033711456787684</v>
      </c>
      <c r="O199">
        <f t="shared" si="68"/>
        <v>-0.32691869630606479</v>
      </c>
      <c r="P199">
        <f t="shared" si="69"/>
        <v>-0.15319726424036872</v>
      </c>
      <c r="Q199">
        <f t="shared" si="70"/>
        <v>0.93255282114999238</v>
      </c>
      <c r="R199">
        <f t="shared" si="60"/>
        <v>1</v>
      </c>
      <c r="AG199" s="8">
        <f t="shared" si="62"/>
        <v>-0.42688819446501247</v>
      </c>
      <c r="AH199" s="8">
        <f t="shared" si="63"/>
        <v>0.83335823372661733</v>
      </c>
      <c r="AI199" s="8">
        <f t="shared" si="64"/>
        <v>0.35111326335878329</v>
      </c>
      <c r="AJ199" s="8"/>
      <c r="AK199" s="8"/>
      <c r="AL199" s="8"/>
      <c r="AN199" s="8">
        <f t="shared" si="71"/>
        <v>1</v>
      </c>
      <c r="AO199" s="8">
        <f t="shared" si="72"/>
        <v>2.0441962583149058</v>
      </c>
      <c r="AP199" s="8">
        <f t="shared" si="73"/>
        <v>1.2120365268561557</v>
      </c>
      <c r="AQ199" s="8"/>
      <c r="AR199" s="8">
        <f t="shared" si="74"/>
        <v>117.12381809787873</v>
      </c>
      <c r="AS199" s="8">
        <f t="shared" si="75"/>
        <v>20.555422395447621</v>
      </c>
    </row>
    <row r="200" spans="1:45">
      <c r="A200" s="19">
        <v>99.999899999999997</v>
      </c>
      <c r="B200" s="19">
        <v>432.87556669999998</v>
      </c>
      <c r="C200" s="19">
        <v>-786.96726999999998</v>
      </c>
      <c r="E200" s="9">
        <f t="shared" si="65"/>
        <v>-527.12443329999996</v>
      </c>
      <c r="F200" s="9">
        <f t="shared" si="66"/>
        <v>-246.96726999999998</v>
      </c>
      <c r="I200">
        <v>1</v>
      </c>
      <c r="J200">
        <f t="shared" si="61"/>
        <v>0.3694432604049705</v>
      </c>
      <c r="K200">
        <f t="shared" si="67"/>
        <v>-2.7034463409638714</v>
      </c>
      <c r="O200">
        <f t="shared" si="68"/>
        <v>-0.32698703446481098</v>
      </c>
      <c r="P200">
        <f t="shared" si="69"/>
        <v>-0.1531993019591458</v>
      </c>
      <c r="Q200">
        <f t="shared" si="70"/>
        <v>0.93252852673317133</v>
      </c>
      <c r="R200">
        <f t="shared" si="60"/>
        <v>1</v>
      </c>
      <c r="AG200" s="8">
        <f t="shared" si="62"/>
        <v>-0.42683154181020733</v>
      </c>
      <c r="AH200" s="8">
        <f t="shared" si="63"/>
        <v>0.83339708887753239</v>
      </c>
      <c r="AI200" s="8">
        <f t="shared" si="64"/>
        <v>0.3510899132222054</v>
      </c>
      <c r="AJ200" s="8"/>
      <c r="AK200" s="8"/>
      <c r="AL200" s="8"/>
      <c r="AN200" s="8">
        <f t="shared" si="71"/>
        <v>1.0000000000000002</v>
      </c>
      <c r="AO200" s="8">
        <f t="shared" si="72"/>
        <v>2.0441234891261661</v>
      </c>
      <c r="AP200" s="8">
        <f t="shared" si="73"/>
        <v>1.2120614645946999</v>
      </c>
      <c r="AQ200" s="8"/>
      <c r="AR200" s="8">
        <f t="shared" si="74"/>
        <v>117.11964873048535</v>
      </c>
      <c r="AS200" s="8">
        <f t="shared" si="75"/>
        <v>20.553993568278443</v>
      </c>
    </row>
    <row r="201" spans="1:45">
      <c r="A201" s="19">
        <v>100.0332667</v>
      </c>
      <c r="B201" s="19">
        <v>432.37418539999999</v>
      </c>
      <c r="C201" s="19">
        <v>-787.00175750000005</v>
      </c>
      <c r="E201" s="9">
        <f t="shared" si="65"/>
        <v>-527.62581460000001</v>
      </c>
      <c r="F201" s="9">
        <f t="shared" si="66"/>
        <v>-247.00175750000005</v>
      </c>
      <c r="I201">
        <v>1</v>
      </c>
      <c r="J201">
        <f t="shared" si="61"/>
        <v>0.36971787401316919</v>
      </c>
      <c r="K201">
        <f t="shared" si="67"/>
        <v>-2.7037578641833044</v>
      </c>
      <c r="O201">
        <f t="shared" si="68"/>
        <v>-0.32726666038479063</v>
      </c>
      <c r="P201">
        <f t="shared" si="69"/>
        <v>-0.15320599949697572</v>
      </c>
      <c r="Q201">
        <f t="shared" si="70"/>
        <v>0.93242932961094638</v>
      </c>
      <c r="R201">
        <f t="shared" si="60"/>
        <v>1</v>
      </c>
      <c r="AG201" s="8">
        <f t="shared" si="62"/>
        <v>-0.42659904604440463</v>
      </c>
      <c r="AH201" s="8">
        <f t="shared" si="63"/>
        <v>0.83355574265441534</v>
      </c>
      <c r="AI201" s="8">
        <f t="shared" si="64"/>
        <v>0.35099583729988881</v>
      </c>
      <c r="AJ201" s="8"/>
      <c r="AK201" s="8"/>
      <c r="AL201" s="8"/>
      <c r="AN201" s="8">
        <f t="shared" si="71"/>
        <v>1</v>
      </c>
      <c r="AO201" s="8">
        <f t="shared" si="72"/>
        <v>2.0438252580468026</v>
      </c>
      <c r="AP201" s="8">
        <f t="shared" si="73"/>
        <v>1.2121619344824168</v>
      </c>
      <c r="AQ201" s="8"/>
      <c r="AR201" s="8">
        <f t="shared" si="74"/>
        <v>117.10256134831819</v>
      </c>
      <c r="AS201" s="8">
        <f t="shared" si="75"/>
        <v>20.548237067744111</v>
      </c>
    </row>
    <row r="202" spans="1:45">
      <c r="A202" s="19">
        <v>100.06663330000001</v>
      </c>
      <c r="B202" s="19">
        <v>431.77800999999999</v>
      </c>
      <c r="C202" s="19">
        <v>-787.03892370000005</v>
      </c>
      <c r="E202" s="9">
        <f t="shared" si="65"/>
        <v>-528.22199000000001</v>
      </c>
      <c r="F202" s="9">
        <f t="shared" si="66"/>
        <v>-247.03892370000005</v>
      </c>
      <c r="I202">
        <v>1</v>
      </c>
      <c r="J202">
        <f t="shared" si="61"/>
        <v>0.3700434251094839</v>
      </c>
      <c r="K202">
        <f t="shared" si="67"/>
        <v>-2.7041336016724595</v>
      </c>
      <c r="O202">
        <f t="shared" si="68"/>
        <v>-0.327599153249927</v>
      </c>
      <c r="P202">
        <f t="shared" si="69"/>
        <v>-0.15321161132253003</v>
      </c>
      <c r="Q202">
        <f t="shared" si="70"/>
        <v>0.93231164153725166</v>
      </c>
      <c r="R202">
        <f t="shared" si="60"/>
        <v>1</v>
      </c>
      <c r="AG202" s="8">
        <f t="shared" si="62"/>
        <v>-0.42632158933954423</v>
      </c>
      <c r="AH202" s="8">
        <f t="shared" si="63"/>
        <v>0.83374389130169979</v>
      </c>
      <c r="AI202" s="8">
        <f t="shared" si="64"/>
        <v>0.35088605868587092</v>
      </c>
      <c r="AJ202" s="8"/>
      <c r="AK202" s="8"/>
      <c r="AL202" s="8"/>
      <c r="AN202" s="8">
        <f t="shared" si="71"/>
        <v>1</v>
      </c>
      <c r="AO202" s="8">
        <f t="shared" si="72"/>
        <v>2.0434699600325708</v>
      </c>
      <c r="AP202" s="8">
        <f t="shared" si="73"/>
        <v>1.2122791695276582</v>
      </c>
      <c r="AQ202" s="8"/>
      <c r="AR202" s="8">
        <f t="shared" si="74"/>
        <v>117.08220427163332</v>
      </c>
      <c r="AS202" s="8">
        <f t="shared" si="75"/>
        <v>20.541519994440748</v>
      </c>
    </row>
    <row r="203" spans="1:45">
      <c r="A203" s="19">
        <v>100.1</v>
      </c>
      <c r="B203" s="19">
        <v>431.3614718</v>
      </c>
      <c r="C203" s="19">
        <v>-787.10476919999996</v>
      </c>
      <c r="E203" s="9">
        <f t="shared" si="65"/>
        <v>-528.6385282</v>
      </c>
      <c r="F203" s="9">
        <f t="shared" si="66"/>
        <v>-247.10476919999996</v>
      </c>
      <c r="I203">
        <v>1</v>
      </c>
      <c r="J203">
        <f t="shared" si="61"/>
        <v>0.37028075329279225</v>
      </c>
      <c r="K203">
        <f t="shared" si="67"/>
        <v>-2.7043337883063518</v>
      </c>
      <c r="O203">
        <f t="shared" si="68"/>
        <v>-0.3278302547759061</v>
      </c>
      <c r="P203">
        <f t="shared" si="69"/>
        <v>-0.15323971886613905</v>
      </c>
      <c r="Q203">
        <f t="shared" si="70"/>
        <v>0.93222578413997492</v>
      </c>
      <c r="R203">
        <f t="shared" si="60"/>
        <v>1</v>
      </c>
      <c r="AG203" s="8">
        <f t="shared" si="62"/>
        <v>-0.42613827631312418</v>
      </c>
      <c r="AH203" s="8">
        <f t="shared" si="63"/>
        <v>0.83387903959117082</v>
      </c>
      <c r="AI203" s="8">
        <f t="shared" si="64"/>
        <v>0.35078756647205428</v>
      </c>
      <c r="AJ203" s="8"/>
      <c r="AK203" s="8"/>
      <c r="AL203" s="8"/>
      <c r="AN203" s="8">
        <f t="shared" si="71"/>
        <v>1</v>
      </c>
      <c r="AO203" s="8">
        <f t="shared" si="72"/>
        <v>2.0432299674393697</v>
      </c>
      <c r="AP203" s="8">
        <f t="shared" si="73"/>
        <v>1.212384347189948</v>
      </c>
      <c r="AQ203" s="8"/>
      <c r="AR203" s="8">
        <f t="shared" si="74"/>
        <v>117.0684537089285</v>
      </c>
      <c r="AS203" s="8">
        <f t="shared" si="75"/>
        <v>20.535493758292489</v>
      </c>
    </row>
    <row r="204" spans="1:45">
      <c r="A204" s="19">
        <v>100.1333667</v>
      </c>
      <c r="B204" s="19">
        <v>431.09650820000002</v>
      </c>
      <c r="C204" s="19">
        <v>-786.92502609999997</v>
      </c>
      <c r="E204" s="9">
        <f t="shared" si="65"/>
        <v>-528.90349179999998</v>
      </c>
      <c r="F204" s="9">
        <f t="shared" si="66"/>
        <v>-246.92502609999997</v>
      </c>
      <c r="I204">
        <v>1</v>
      </c>
      <c r="J204">
        <f t="shared" si="61"/>
        <v>0.37037678438349309</v>
      </c>
      <c r="K204">
        <f t="shared" si="67"/>
        <v>-2.704804973753193</v>
      </c>
      <c r="O204">
        <f t="shared" si="68"/>
        <v>-0.32798353904092353</v>
      </c>
      <c r="P204">
        <f t="shared" si="69"/>
        <v>-0.15312310316278843</v>
      </c>
      <c r="Q204">
        <f t="shared" si="70"/>
        <v>0.9321910283820527</v>
      </c>
      <c r="R204">
        <f t="shared" si="60"/>
        <v>1</v>
      </c>
      <c r="AG204" s="8">
        <f t="shared" si="62"/>
        <v>-0.42596312315587087</v>
      </c>
      <c r="AH204" s="8">
        <f t="shared" si="63"/>
        <v>0.83394396077544597</v>
      </c>
      <c r="AI204" s="8">
        <f t="shared" si="64"/>
        <v>0.35084596049756334</v>
      </c>
      <c r="AJ204" s="8"/>
      <c r="AK204" s="8"/>
      <c r="AL204" s="8"/>
      <c r="AN204" s="8">
        <f t="shared" si="71"/>
        <v>1</v>
      </c>
      <c r="AO204" s="8">
        <f t="shared" si="72"/>
        <v>2.0430318644833525</v>
      </c>
      <c r="AP204" s="8">
        <f t="shared" si="73"/>
        <v>1.2123219899985365</v>
      </c>
      <c r="AQ204" s="8"/>
      <c r="AR204" s="8">
        <f t="shared" si="74"/>
        <v>117.05710324563965</v>
      </c>
      <c r="AS204" s="8">
        <f t="shared" si="75"/>
        <v>20.539066562182668</v>
      </c>
    </row>
    <row r="205" spans="1:45">
      <c r="A205" s="19">
        <v>100.1667333</v>
      </c>
      <c r="B205" s="19">
        <v>430.71368719999998</v>
      </c>
      <c r="C205" s="19">
        <v>-786.72414649999996</v>
      </c>
      <c r="E205" s="9">
        <f t="shared" si="65"/>
        <v>-529.28631280000002</v>
      </c>
      <c r="F205" s="9">
        <f t="shared" si="66"/>
        <v>-246.72414649999996</v>
      </c>
      <c r="I205">
        <v>1</v>
      </c>
      <c r="J205">
        <f t="shared" si="61"/>
        <v>0.3705302007074075</v>
      </c>
      <c r="K205">
        <f t="shared" si="67"/>
        <v>-2.7053939891202661</v>
      </c>
      <c r="O205">
        <f t="shared" si="68"/>
        <v>-0.32820329230281686</v>
      </c>
      <c r="P205">
        <f t="shared" si="69"/>
        <v>-0.15299031018491616</v>
      </c>
      <c r="Q205">
        <f t="shared" si="70"/>
        <v>0.93213548581261241</v>
      </c>
      <c r="R205">
        <f t="shared" si="60"/>
        <v>1</v>
      </c>
      <c r="AG205" s="8">
        <f t="shared" si="62"/>
        <v>-0.42572559392435716</v>
      </c>
      <c r="AH205" s="8">
        <f t="shared" si="63"/>
        <v>0.83404327670097012</v>
      </c>
      <c r="AI205" s="8">
        <f t="shared" si="64"/>
        <v>0.35089817792012301</v>
      </c>
      <c r="AJ205" s="8"/>
      <c r="AK205" s="8"/>
      <c r="AL205" s="8"/>
      <c r="AN205" s="8">
        <f t="shared" si="71"/>
        <v>1</v>
      </c>
      <c r="AO205" s="8">
        <f t="shared" si="72"/>
        <v>2.0427577236850576</v>
      </c>
      <c r="AP205" s="8">
        <f t="shared" si="73"/>
        <v>1.2122662273783784</v>
      </c>
      <c r="AQ205" s="8"/>
      <c r="AR205" s="8">
        <f t="shared" si="74"/>
        <v>117.041396134905</v>
      </c>
      <c r="AS205" s="8">
        <f t="shared" si="75"/>
        <v>20.542261524972304</v>
      </c>
    </row>
    <row r="206" spans="1:45">
      <c r="A206" s="19">
        <v>100.20010000000001</v>
      </c>
      <c r="B206" s="19">
        <v>430.39679669999998</v>
      </c>
      <c r="C206" s="19">
        <v>-786.89934440000002</v>
      </c>
      <c r="E206" s="9">
        <f t="shared" si="65"/>
        <v>-529.60320330000002</v>
      </c>
      <c r="F206" s="9">
        <f t="shared" si="66"/>
        <v>-246.89934440000002</v>
      </c>
      <c r="I206">
        <v>1</v>
      </c>
      <c r="J206">
        <f t="shared" si="61"/>
        <v>0.37074169657350436</v>
      </c>
      <c r="K206">
        <f t="shared" si="67"/>
        <v>-2.7053513627158816</v>
      </c>
      <c r="O206">
        <f t="shared" si="68"/>
        <v>-0.32837544287566572</v>
      </c>
      <c r="P206">
        <f t="shared" si="69"/>
        <v>-0.15308759663437169</v>
      </c>
      <c r="Q206">
        <f t="shared" si="70"/>
        <v>0.93205888026074957</v>
      </c>
      <c r="R206">
        <f t="shared" si="60"/>
        <v>1</v>
      </c>
      <c r="AG206" s="8">
        <f t="shared" si="62"/>
        <v>-0.42561920416248916</v>
      </c>
      <c r="AH206" s="8">
        <f t="shared" si="63"/>
        <v>0.83415783250087683</v>
      </c>
      <c r="AI206" s="8">
        <f t="shared" si="64"/>
        <v>0.35075490520522773</v>
      </c>
      <c r="AJ206" s="8"/>
      <c r="AK206" s="8"/>
      <c r="AL206" s="8"/>
      <c r="AN206" s="8">
        <f t="shared" si="71"/>
        <v>0.99999999999999978</v>
      </c>
      <c r="AO206" s="8">
        <f t="shared" si="72"/>
        <v>2.0426009215965379</v>
      </c>
      <c r="AP206" s="8">
        <f t="shared" si="73"/>
        <v>1.2124192245212833</v>
      </c>
      <c r="AQ206" s="8"/>
      <c r="AR206" s="8">
        <f t="shared" si="74"/>
        <v>117.03241203701398</v>
      </c>
      <c r="AS206" s="8">
        <f t="shared" si="75"/>
        <v>20.533495434406305</v>
      </c>
    </row>
    <row r="207" spans="1:45">
      <c r="A207" s="19">
        <v>100.2668333</v>
      </c>
      <c r="B207" s="19">
        <v>430.18853610000002</v>
      </c>
      <c r="C207" s="19">
        <v>-786.96984239999995</v>
      </c>
      <c r="E207" s="9">
        <f t="shared" si="65"/>
        <v>-529.81146390000004</v>
      </c>
      <c r="F207" s="9">
        <f t="shared" si="66"/>
        <v>-246.96984239999995</v>
      </c>
      <c r="I207">
        <v>1</v>
      </c>
      <c r="J207">
        <f t="shared" si="61"/>
        <v>0.37086963248608135</v>
      </c>
      <c r="K207">
        <f t="shared" si="67"/>
        <v>-2.7053925946203456</v>
      </c>
      <c r="O207">
        <f t="shared" si="68"/>
        <v>-0.32848983025352912</v>
      </c>
      <c r="P207">
        <f t="shared" si="69"/>
        <v>-0.15312443602207385</v>
      </c>
      <c r="Q207">
        <f t="shared" si="70"/>
        <v>0.93201252057734152</v>
      </c>
      <c r="R207">
        <f t="shared" si="60"/>
        <v>1</v>
      </c>
      <c r="AG207" s="8">
        <f t="shared" si="62"/>
        <v>-0.42553748942053649</v>
      </c>
      <c r="AH207" s="8">
        <f t="shared" si="63"/>
        <v>0.83422885751673781</v>
      </c>
      <c r="AI207" s="8">
        <f t="shared" si="64"/>
        <v>0.35068512712116134</v>
      </c>
      <c r="AJ207" s="8"/>
      <c r="AK207" s="8"/>
      <c r="AL207" s="8"/>
      <c r="AN207" s="8">
        <f t="shared" si="71"/>
        <v>1</v>
      </c>
      <c r="AO207" s="8">
        <f t="shared" si="72"/>
        <v>2.0424887287671853</v>
      </c>
      <c r="AP207" s="8">
        <f t="shared" si="73"/>
        <v>1.2124937355167587</v>
      </c>
      <c r="AQ207" s="8"/>
      <c r="AR207" s="8">
        <f t="shared" si="74"/>
        <v>117.02598386140046</v>
      </c>
      <c r="AS207" s="8">
        <f t="shared" si="75"/>
        <v>20.529226268838244</v>
      </c>
    </row>
    <row r="208" spans="1:45">
      <c r="A208" s="19">
        <v>100.3002</v>
      </c>
      <c r="B208" s="19">
        <v>429.37497939999997</v>
      </c>
      <c r="C208" s="19">
        <v>-786.91179729999999</v>
      </c>
      <c r="E208" s="9">
        <f t="shared" si="65"/>
        <v>-530.62502059999997</v>
      </c>
      <c r="F208" s="9">
        <f t="shared" si="66"/>
        <v>-246.91179729999999</v>
      </c>
      <c r="I208">
        <v>1</v>
      </c>
      <c r="J208">
        <f t="shared" si="61"/>
        <v>0.37128693136364144</v>
      </c>
      <c r="K208">
        <f t="shared" si="67"/>
        <v>-2.7060697926731314</v>
      </c>
      <c r="O208">
        <f t="shared" si="68"/>
        <v>-0.32894604307961267</v>
      </c>
      <c r="P208">
        <f t="shared" si="69"/>
        <v>-0.15306601754223872</v>
      </c>
      <c r="Q208">
        <f t="shared" si="70"/>
        <v>0.93186119943692514</v>
      </c>
      <c r="R208">
        <f t="shared" si="60"/>
        <v>1</v>
      </c>
      <c r="AG208" s="8">
        <f t="shared" si="62"/>
        <v>-0.42513019486417952</v>
      </c>
      <c r="AH208" s="8">
        <f t="shared" si="63"/>
        <v>0.83447453287123929</v>
      </c>
      <c r="AI208" s="8">
        <f t="shared" si="64"/>
        <v>0.35059459694078537</v>
      </c>
      <c r="AJ208" s="8"/>
      <c r="AK208" s="8"/>
      <c r="AL208" s="8"/>
      <c r="AN208" s="8">
        <f t="shared" si="71"/>
        <v>1</v>
      </c>
      <c r="AO208" s="8">
        <f t="shared" si="72"/>
        <v>2.0419821212629392</v>
      </c>
      <c r="AP208" s="8">
        <f t="shared" si="73"/>
        <v>1.2125904030845738</v>
      </c>
      <c r="AQ208" s="8"/>
      <c r="AR208" s="8">
        <f t="shared" si="74"/>
        <v>116.9969573895375</v>
      </c>
      <c r="AS208" s="8">
        <f t="shared" si="75"/>
        <v>20.523687625186639</v>
      </c>
    </row>
    <row r="209" spans="1:45">
      <c r="A209" s="19">
        <v>100.33356670000001</v>
      </c>
      <c r="B209" s="19">
        <v>428.83115670000001</v>
      </c>
      <c r="C209" s="19">
        <v>-786.91641509999999</v>
      </c>
      <c r="E209" s="9">
        <f t="shared" si="65"/>
        <v>-531.16884329999993</v>
      </c>
      <c r="F209" s="9">
        <f t="shared" si="66"/>
        <v>-246.91641509999999</v>
      </c>
      <c r="I209">
        <v>1</v>
      </c>
      <c r="J209">
        <f t="shared" si="61"/>
        <v>0.37157659795829323</v>
      </c>
      <c r="K209">
        <f t="shared" si="67"/>
        <v>-2.7064543287613456</v>
      </c>
      <c r="O209">
        <f t="shared" si="68"/>
        <v>-0.32924963920064465</v>
      </c>
      <c r="P209">
        <f t="shared" si="69"/>
        <v>-0.15305329295919493</v>
      </c>
      <c r="Q209">
        <f t="shared" si="70"/>
        <v>0.93175606496582153</v>
      </c>
      <c r="R209">
        <f t="shared" si="60"/>
        <v>1</v>
      </c>
      <c r="AG209" s="8">
        <f t="shared" si="62"/>
        <v>-0.42486942272109313</v>
      </c>
      <c r="AH209" s="8">
        <f t="shared" si="63"/>
        <v>0.83464271831814119</v>
      </c>
      <c r="AI209" s="8">
        <f t="shared" si="64"/>
        <v>0.35051035133808683</v>
      </c>
      <c r="AJ209" s="8"/>
      <c r="AK209" s="8"/>
      <c r="AL209" s="8"/>
      <c r="AN209" s="8">
        <f t="shared" si="71"/>
        <v>0.99999999999999989</v>
      </c>
      <c r="AO209" s="8">
        <f t="shared" si="72"/>
        <v>2.0416525075845158</v>
      </c>
      <c r="AP209" s="8">
        <f t="shared" si="73"/>
        <v>1.2126803568768474</v>
      </c>
      <c r="AQ209" s="8"/>
      <c r="AR209" s="8">
        <f t="shared" si="74"/>
        <v>116.97807191689405</v>
      </c>
      <c r="AS209" s="8">
        <f t="shared" si="75"/>
        <v>20.518533652538167</v>
      </c>
    </row>
    <row r="210" spans="1:45">
      <c r="A210" s="19">
        <v>100.3669333</v>
      </c>
      <c r="B210" s="19">
        <v>428.57570399999997</v>
      </c>
      <c r="C210" s="19">
        <v>-786.9569315</v>
      </c>
      <c r="E210" s="9">
        <f t="shared" si="65"/>
        <v>-531.42429600000003</v>
      </c>
      <c r="F210" s="9">
        <f t="shared" si="66"/>
        <v>-246.9569315</v>
      </c>
      <c r="I210">
        <v>1</v>
      </c>
      <c r="J210">
        <f t="shared" si="61"/>
        <v>0.3717221139513881</v>
      </c>
      <c r="K210">
        <f t="shared" si="67"/>
        <v>-2.7065753891009021</v>
      </c>
      <c r="O210">
        <f t="shared" si="68"/>
        <v>-0.3293911193442326</v>
      </c>
      <c r="P210">
        <f t="shared" si="69"/>
        <v>-0.15307057036888275</v>
      </c>
      <c r="Q210">
        <f t="shared" si="70"/>
        <v>0.93170322044312937</v>
      </c>
      <c r="R210">
        <f t="shared" si="60"/>
        <v>1</v>
      </c>
      <c r="AG210" s="8">
        <f t="shared" si="62"/>
        <v>-0.42475706422215703</v>
      </c>
      <c r="AH210" s="8">
        <f t="shared" si="63"/>
        <v>0.8347253116341985</v>
      </c>
      <c r="AI210" s="8">
        <f t="shared" si="64"/>
        <v>0.35044984022048659</v>
      </c>
      <c r="AJ210" s="8"/>
      <c r="AK210" s="8"/>
      <c r="AL210" s="8"/>
      <c r="AN210" s="8">
        <f t="shared" si="71"/>
        <v>1</v>
      </c>
      <c r="AO210" s="8">
        <f t="shared" si="72"/>
        <v>2.0415055902214667</v>
      </c>
      <c r="AP210" s="8">
        <f t="shared" si="73"/>
        <v>1.2127449661489487</v>
      </c>
      <c r="AQ210" s="8"/>
      <c r="AR210" s="8">
        <f t="shared" si="74"/>
        <v>116.96965417205415</v>
      </c>
      <c r="AS210" s="8">
        <f t="shared" si="75"/>
        <v>20.514831813929348</v>
      </c>
    </row>
    <row r="211" spans="1:45">
      <c r="A211" s="19">
        <v>100.4003</v>
      </c>
      <c r="B211" s="19">
        <v>428.19631420000002</v>
      </c>
      <c r="C211" s="19">
        <v>-787.13509250000004</v>
      </c>
      <c r="E211" s="9">
        <f t="shared" si="65"/>
        <v>-531.80368580000004</v>
      </c>
      <c r="F211" s="9">
        <f t="shared" si="66"/>
        <v>-247.13509250000004</v>
      </c>
      <c r="I211">
        <v>1</v>
      </c>
      <c r="J211">
        <f t="shared" si="61"/>
        <v>0.37196728724710187</v>
      </c>
      <c r="K211">
        <f t="shared" si="67"/>
        <v>-2.7065725194453125</v>
      </c>
      <c r="O211">
        <f t="shared" si="68"/>
        <v>-0.32959782343238947</v>
      </c>
      <c r="P211">
        <f t="shared" si="69"/>
        <v>-0.15316777742754467</v>
      </c>
      <c r="Q211">
        <f t="shared" si="70"/>
        <v>0.93161414048228008</v>
      </c>
      <c r="R211">
        <f t="shared" si="60"/>
        <v>1</v>
      </c>
      <c r="AG211" s="8">
        <f t="shared" si="62"/>
        <v>-0.42462136719501176</v>
      </c>
      <c r="AH211" s="8">
        <f t="shared" si="63"/>
        <v>0.83485909490726296</v>
      </c>
      <c r="AI211" s="8">
        <f t="shared" si="64"/>
        <v>0.35029556972942788</v>
      </c>
      <c r="AJ211" s="8"/>
      <c r="AK211" s="8"/>
      <c r="AL211" s="8"/>
      <c r="AN211" s="8">
        <f t="shared" si="71"/>
        <v>0.99999999999999978</v>
      </c>
      <c r="AO211" s="8">
        <f t="shared" si="72"/>
        <v>2.041311691931031</v>
      </c>
      <c r="AP211" s="8">
        <f t="shared" si="73"/>
        <v>1.2129096776424295</v>
      </c>
      <c r="AQ211" s="8"/>
      <c r="AR211" s="8">
        <f t="shared" si="74"/>
        <v>116.95854461835738</v>
      </c>
      <c r="AS211" s="8">
        <f t="shared" si="75"/>
        <v>20.505394540515596</v>
      </c>
    </row>
    <row r="212" spans="1:45">
      <c r="A212" s="19">
        <v>100.4336667</v>
      </c>
      <c r="B212" s="19">
        <v>427.5832906</v>
      </c>
      <c r="C212" s="19">
        <v>-787.28197230000001</v>
      </c>
      <c r="E212" s="9">
        <f t="shared" si="65"/>
        <v>-532.41670939999995</v>
      </c>
      <c r="F212" s="9">
        <f t="shared" si="66"/>
        <v>-247.28197230000001</v>
      </c>
      <c r="I212">
        <v>1</v>
      </c>
      <c r="J212">
        <f t="shared" si="61"/>
        <v>0.37232861092795622</v>
      </c>
      <c r="K212">
        <f t="shared" si="67"/>
        <v>-2.7067857009622247</v>
      </c>
      <c r="O212">
        <f t="shared" si="68"/>
        <v>-0.32993573971579049</v>
      </c>
      <c r="P212">
        <f t="shared" si="69"/>
        <v>-0.15323929359978894</v>
      </c>
      <c r="Q212">
        <f t="shared" si="70"/>
        <v>0.93148275698223848</v>
      </c>
      <c r="R212">
        <f t="shared" si="60"/>
        <v>1</v>
      </c>
      <c r="AG212" s="8">
        <f t="shared" si="62"/>
        <v>-0.42436486355964931</v>
      </c>
      <c r="AH212" s="8">
        <f t="shared" si="63"/>
        <v>0.83506177361749612</v>
      </c>
      <c r="AI212" s="8">
        <f t="shared" si="64"/>
        <v>0.35012325946558015</v>
      </c>
      <c r="AJ212" s="8"/>
      <c r="AK212" s="8"/>
      <c r="AL212" s="8"/>
      <c r="AN212" s="8">
        <f t="shared" si="71"/>
        <v>1</v>
      </c>
      <c r="AO212" s="8">
        <f t="shared" si="72"/>
        <v>2.0409695195240323</v>
      </c>
      <c r="AP212" s="8">
        <f t="shared" si="73"/>
        <v>1.2130936378432595</v>
      </c>
      <c r="AQ212" s="8"/>
      <c r="AR212" s="8">
        <f t="shared" si="74"/>
        <v>116.93893958357052</v>
      </c>
      <c r="AS212" s="8">
        <f t="shared" si="75"/>
        <v>20.494854397409668</v>
      </c>
    </row>
    <row r="213" spans="1:45">
      <c r="A213" s="19">
        <v>100.4670333</v>
      </c>
      <c r="B213" s="19">
        <v>427.3960932</v>
      </c>
      <c r="C213" s="19">
        <v>-787.07667890000005</v>
      </c>
      <c r="E213" s="9">
        <f t="shared" si="65"/>
        <v>-532.6039068</v>
      </c>
      <c r="F213" s="9">
        <f t="shared" si="66"/>
        <v>-247.07667890000005</v>
      </c>
      <c r="I213">
        <v>1</v>
      </c>
      <c r="J213">
        <f t="shared" si="61"/>
        <v>0.37237735500569258</v>
      </c>
      <c r="K213">
        <f t="shared" si="67"/>
        <v>-2.7072371313246775</v>
      </c>
      <c r="O213">
        <f t="shared" si="68"/>
        <v>-0.33004607066567671</v>
      </c>
      <c r="P213">
        <f t="shared" si="69"/>
        <v>-0.15310944208806196</v>
      </c>
      <c r="Q213">
        <f t="shared" si="70"/>
        <v>0.93146502348806937</v>
      </c>
      <c r="R213">
        <f t="shared" si="60"/>
        <v>1</v>
      </c>
      <c r="AG213" s="8">
        <f t="shared" si="62"/>
        <v>-0.42422045934798175</v>
      </c>
      <c r="AH213" s="8">
        <f t="shared" si="63"/>
        <v>0.83509996669366693</v>
      </c>
      <c r="AI213" s="8">
        <f t="shared" si="64"/>
        <v>0.35020714941135012</v>
      </c>
      <c r="AJ213" s="8"/>
      <c r="AK213" s="8"/>
      <c r="AL213" s="8"/>
      <c r="AN213" s="8">
        <f t="shared" si="71"/>
        <v>0.99999999999999989</v>
      </c>
      <c r="AO213" s="8">
        <f t="shared" si="72"/>
        <v>2.0408136081030492</v>
      </c>
      <c r="AP213" s="8">
        <f t="shared" si="73"/>
        <v>1.2130040776592685</v>
      </c>
      <c r="AQ213" s="8"/>
      <c r="AR213" s="8">
        <f t="shared" si="74"/>
        <v>116.9300065171703</v>
      </c>
      <c r="AS213" s="8">
        <f t="shared" si="75"/>
        <v>20.499985817964756</v>
      </c>
    </row>
    <row r="214" spans="1:45">
      <c r="A214" s="19">
        <v>100.5004</v>
      </c>
      <c r="B214" s="19">
        <v>427.13285359999998</v>
      </c>
      <c r="C214" s="19">
        <v>-787.01977209999995</v>
      </c>
      <c r="E214" s="9">
        <f t="shared" si="65"/>
        <v>-532.86714640000002</v>
      </c>
      <c r="F214" s="9">
        <f t="shared" si="66"/>
        <v>-247.01977209999995</v>
      </c>
      <c r="I214">
        <v>1</v>
      </c>
      <c r="J214">
        <f t="shared" si="61"/>
        <v>0.3725029875113065</v>
      </c>
      <c r="K214">
        <f t="shared" si="67"/>
        <v>-2.7075136339398855</v>
      </c>
      <c r="O214">
        <f t="shared" si="68"/>
        <v>-0.33019455998135466</v>
      </c>
      <c r="P214">
        <f t="shared" si="69"/>
        <v>-0.15306739307592257</v>
      </c>
      <c r="Q214">
        <f t="shared" si="70"/>
        <v>0.93141930715207988</v>
      </c>
      <c r="R214">
        <f t="shared" si="60"/>
        <v>1</v>
      </c>
      <c r="AG214" s="8">
        <f t="shared" si="62"/>
        <v>-0.42407862431226084</v>
      </c>
      <c r="AH214" s="8">
        <f t="shared" si="63"/>
        <v>0.83517557905700568</v>
      </c>
      <c r="AI214" s="8">
        <f t="shared" si="64"/>
        <v>0.3501986187126036</v>
      </c>
      <c r="AJ214" s="8"/>
      <c r="AK214" s="8"/>
      <c r="AL214" s="8"/>
      <c r="AN214" s="8">
        <f t="shared" si="71"/>
        <v>0.99999999999999989</v>
      </c>
      <c r="AO214" s="8">
        <f t="shared" si="72"/>
        <v>2.0406420444355935</v>
      </c>
      <c r="AP214" s="8">
        <f t="shared" si="73"/>
        <v>1.2130131850967809</v>
      </c>
      <c r="AQ214" s="8"/>
      <c r="AR214" s="8">
        <f t="shared" si="74"/>
        <v>116.92017664310731</v>
      </c>
      <c r="AS214" s="8">
        <f t="shared" si="75"/>
        <v>20.499464000233118</v>
      </c>
    </row>
    <row r="215" spans="1:45">
      <c r="A215" s="19">
        <v>100.5337667</v>
      </c>
      <c r="B215" s="19">
        <v>426.70630699999998</v>
      </c>
      <c r="C215" s="19">
        <v>-787.01444049999998</v>
      </c>
      <c r="E215" s="9">
        <f t="shared" si="65"/>
        <v>-533.29369300000008</v>
      </c>
      <c r="F215" s="9">
        <f t="shared" si="66"/>
        <v>-247.01444049999998</v>
      </c>
      <c r="I215">
        <v>1</v>
      </c>
      <c r="J215">
        <f t="shared" si="61"/>
        <v>0.3727279319820605</v>
      </c>
      <c r="K215">
        <f t="shared" si="67"/>
        <v>-2.7078271013181192</v>
      </c>
      <c r="O215">
        <f t="shared" si="68"/>
        <v>-0.3304326311393716</v>
      </c>
      <c r="P215">
        <f t="shared" si="69"/>
        <v>-0.15305193475039794</v>
      </c>
      <c r="Q215">
        <f t="shared" si="70"/>
        <v>0.93133741551999938</v>
      </c>
      <c r="R215">
        <f t="shared" si="60"/>
        <v>1</v>
      </c>
      <c r="AG215" s="8">
        <f t="shared" si="62"/>
        <v>-0.42387175653010872</v>
      </c>
      <c r="AH215" s="8">
        <f t="shared" si="63"/>
        <v>0.83530626236317029</v>
      </c>
      <c r="AI215" s="8">
        <f t="shared" si="64"/>
        <v>0.35013737600112149</v>
      </c>
      <c r="AJ215" s="8"/>
      <c r="AK215" s="8"/>
      <c r="AL215" s="8"/>
      <c r="AN215" s="8">
        <f t="shared" si="71"/>
        <v>1</v>
      </c>
      <c r="AO215" s="8">
        <f t="shared" si="72"/>
        <v>2.0403819629406952</v>
      </c>
      <c r="AP215" s="8">
        <f t="shared" si="73"/>
        <v>1.213078567361255</v>
      </c>
      <c r="AQ215" s="8"/>
      <c r="AR215" s="8">
        <f t="shared" si="74"/>
        <v>116.90527507112017</v>
      </c>
      <c r="AS215" s="8">
        <f t="shared" si="75"/>
        <v>20.495717872423754</v>
      </c>
    </row>
    <row r="216" spans="1:45">
      <c r="A216" s="19">
        <v>100.56713329999999</v>
      </c>
      <c r="B216" s="19">
        <v>426.36235579999999</v>
      </c>
      <c r="C216" s="19">
        <v>-786.99882630000002</v>
      </c>
      <c r="E216" s="9">
        <f t="shared" si="65"/>
        <v>-533.63764420000007</v>
      </c>
      <c r="F216" s="9">
        <f t="shared" si="66"/>
        <v>-246.99882630000002</v>
      </c>
      <c r="I216">
        <v>1</v>
      </c>
      <c r="J216">
        <f t="shared" si="61"/>
        <v>0.37290653790163009</v>
      </c>
      <c r="K216">
        <f t="shared" si="67"/>
        <v>-2.7080970331501195</v>
      </c>
      <c r="O216">
        <f t="shared" si="68"/>
        <v>-0.33062488361894904</v>
      </c>
      <c r="P216">
        <f t="shared" si="69"/>
        <v>-0.15303260384090889</v>
      </c>
      <c r="Q216">
        <f t="shared" si="70"/>
        <v>0.93127235999659508</v>
      </c>
      <c r="R216">
        <f t="shared" si="60"/>
        <v>1</v>
      </c>
      <c r="AG216" s="8">
        <f t="shared" si="62"/>
        <v>-0.42370196151165063</v>
      </c>
      <c r="AH216" s="8">
        <f t="shared" si="63"/>
        <v>0.83541051532995436</v>
      </c>
      <c r="AI216" s="8">
        <f t="shared" si="64"/>
        <v>0.35009415688828593</v>
      </c>
      <c r="AJ216" s="8"/>
      <c r="AK216" s="8"/>
      <c r="AL216" s="8"/>
      <c r="AN216" s="8">
        <f t="shared" si="71"/>
        <v>1</v>
      </c>
      <c r="AO216" s="8">
        <f t="shared" si="72"/>
        <v>2.0401699539204978</v>
      </c>
      <c r="AP216" s="8">
        <f t="shared" si="73"/>
        <v>1.2131247068037847</v>
      </c>
      <c r="AQ216" s="8"/>
      <c r="AR216" s="8">
        <f t="shared" si="74"/>
        <v>116.89312784904416</v>
      </c>
      <c r="AS216" s="8">
        <f t="shared" si="75"/>
        <v>20.493074277097719</v>
      </c>
    </row>
    <row r="217" spans="1:45">
      <c r="A217" s="19">
        <v>100.6005</v>
      </c>
      <c r="B217" s="19">
        <v>426.13898610000001</v>
      </c>
      <c r="C217" s="19">
        <v>-787.0219803</v>
      </c>
      <c r="E217" s="9">
        <f t="shared" si="65"/>
        <v>-533.86101389999999</v>
      </c>
      <c r="F217" s="9">
        <f t="shared" si="66"/>
        <v>-247.0219803</v>
      </c>
      <c r="I217">
        <v>1</v>
      </c>
      <c r="J217">
        <f t="shared" si="61"/>
        <v>0.37303070005197037</v>
      </c>
      <c r="K217">
        <f t="shared" si="67"/>
        <v>-2.7082208143047555</v>
      </c>
      <c r="O217">
        <f t="shared" si="68"/>
        <v>-0.33074876056164482</v>
      </c>
      <c r="P217">
        <f t="shared" si="69"/>
        <v>-0.15304023273557882</v>
      </c>
      <c r="Q217">
        <f t="shared" si="70"/>
        <v>0.93122711759869603</v>
      </c>
      <c r="R217">
        <f t="shared" si="60"/>
        <v>1</v>
      </c>
      <c r="AG217" s="8">
        <f t="shared" si="62"/>
        <v>-0.42360049164331015</v>
      </c>
      <c r="AH217" s="8">
        <f t="shared" si="63"/>
        <v>0.83548134405677843</v>
      </c>
      <c r="AI217" s="8">
        <f t="shared" si="64"/>
        <v>0.35004792130881895</v>
      </c>
      <c r="AJ217" s="8"/>
      <c r="AK217" s="8"/>
      <c r="AL217" s="8"/>
      <c r="AN217" s="8">
        <f t="shared" si="71"/>
        <v>1.0000000000000002</v>
      </c>
      <c r="AO217" s="8">
        <f t="shared" si="72"/>
        <v>2.0400391439245986</v>
      </c>
      <c r="AP217" s="8">
        <f t="shared" si="73"/>
        <v>1.2131740656557222</v>
      </c>
      <c r="AQ217" s="8"/>
      <c r="AR217" s="8">
        <f t="shared" si="74"/>
        <v>116.88563298836102</v>
      </c>
      <c r="AS217" s="8">
        <f t="shared" si="75"/>
        <v>20.490246223200089</v>
      </c>
    </row>
    <row r="218" spans="1:45">
      <c r="A218" s="19">
        <v>100.6338667</v>
      </c>
      <c r="B218" s="19">
        <v>425.64103720000003</v>
      </c>
      <c r="C218" s="19">
        <v>-787.06839009999999</v>
      </c>
      <c r="E218" s="9">
        <f t="shared" si="65"/>
        <v>-534.35896279999997</v>
      </c>
      <c r="F218" s="9">
        <f t="shared" si="66"/>
        <v>-247.06839009999999</v>
      </c>
      <c r="I218">
        <v>1</v>
      </c>
      <c r="J218">
        <f t="shared" si="61"/>
        <v>0.37330619048456359</v>
      </c>
      <c r="K218">
        <f t="shared" si="67"/>
        <v>-2.7085044602567634</v>
      </c>
      <c r="O218">
        <f t="shared" si="68"/>
        <v>-0.3310250024181024</v>
      </c>
      <c r="P218">
        <f t="shared" si="69"/>
        <v>-0.15305407062274723</v>
      </c>
      <c r="Q218">
        <f t="shared" si="70"/>
        <v>0.93112668270214571</v>
      </c>
      <c r="R218">
        <f t="shared" si="60"/>
        <v>1</v>
      </c>
      <c r="AG218" s="8">
        <f t="shared" si="62"/>
        <v>-0.42337292001462878</v>
      </c>
      <c r="AH218" s="8">
        <f t="shared" si="63"/>
        <v>0.83563867132354841</v>
      </c>
      <c r="AI218" s="8">
        <f t="shared" si="64"/>
        <v>0.34994768407134985</v>
      </c>
      <c r="AJ218" s="8"/>
      <c r="AK218" s="8"/>
      <c r="AL218" s="8"/>
      <c r="AN218" s="8">
        <f t="shared" si="71"/>
        <v>0.99999999999999989</v>
      </c>
      <c r="AO218" s="8">
        <f t="shared" si="72"/>
        <v>2.0397465224861113</v>
      </c>
      <c r="AP218" s="8">
        <f t="shared" si="73"/>
        <v>1.2132810709205362</v>
      </c>
      <c r="AQ218" s="8"/>
      <c r="AR218" s="8">
        <f t="shared" si="74"/>
        <v>116.86886701494065</v>
      </c>
      <c r="AS218" s="8">
        <f t="shared" si="75"/>
        <v>20.48411527314056</v>
      </c>
    </row>
    <row r="219" spans="1:45">
      <c r="A219" s="19">
        <v>100.66723330000001</v>
      </c>
      <c r="B219" s="19">
        <v>425.32711649999999</v>
      </c>
      <c r="C219" s="19">
        <v>-787.04945769999995</v>
      </c>
      <c r="E219" s="9">
        <f t="shared" si="65"/>
        <v>-534.67288350000001</v>
      </c>
      <c r="F219" s="9">
        <f t="shared" si="66"/>
        <v>-247.04945769999995</v>
      </c>
      <c r="I219">
        <v>1</v>
      </c>
      <c r="J219">
        <f t="shared" si="61"/>
        <v>0.37346804199878408</v>
      </c>
      <c r="K219">
        <f t="shared" si="67"/>
        <v>-2.708757316064021</v>
      </c>
      <c r="O219">
        <f t="shared" si="68"/>
        <v>-0.33120049444486066</v>
      </c>
      <c r="P219">
        <f t="shared" si="69"/>
        <v>-0.15303357448568769</v>
      </c>
      <c r="Q219">
        <f t="shared" si="70"/>
        <v>0.93106764392261709</v>
      </c>
      <c r="R219">
        <f t="shared" ref="R219:R282" si="76">SQRT(O219^2+P219^2+Q219^2)</f>
        <v>1</v>
      </c>
      <c r="AG219" s="8">
        <f t="shared" si="62"/>
        <v>-0.42321672556334933</v>
      </c>
      <c r="AH219" s="8">
        <f t="shared" si="63"/>
        <v>0.83573324370384405</v>
      </c>
      <c r="AI219" s="8">
        <f t="shared" si="64"/>
        <v>0.34991077230015072</v>
      </c>
      <c r="AJ219" s="8"/>
      <c r="AK219" s="8"/>
      <c r="AL219" s="8"/>
      <c r="AN219" s="8">
        <f t="shared" si="71"/>
        <v>1</v>
      </c>
      <c r="AO219" s="8">
        <f t="shared" si="72"/>
        <v>2.0395521613670642</v>
      </c>
      <c r="AP219" s="8">
        <f t="shared" si="73"/>
        <v>1.2133204739002363</v>
      </c>
      <c r="AQ219" s="8"/>
      <c r="AR219" s="8">
        <f t="shared" si="74"/>
        <v>116.85773094311782</v>
      </c>
      <c r="AS219" s="8">
        <f t="shared" si="75"/>
        <v>20.48185764870351</v>
      </c>
    </row>
    <row r="220" spans="1:45">
      <c r="A220" s="19">
        <v>100.70059999999999</v>
      </c>
      <c r="B220" s="19">
        <v>424.98917069999999</v>
      </c>
      <c r="C220" s="19">
        <v>-787.07547069999998</v>
      </c>
      <c r="E220" s="9">
        <f t="shared" si="65"/>
        <v>-535.01082930000007</v>
      </c>
      <c r="F220" s="9">
        <f t="shared" si="66"/>
        <v>-247.07547069999998</v>
      </c>
      <c r="I220">
        <v>1</v>
      </c>
      <c r="J220">
        <f t="shared" si="61"/>
        <v>0.37365364511493399</v>
      </c>
      <c r="K220">
        <f t="shared" si="67"/>
        <v>-2.7089577820773623</v>
      </c>
      <c r="O220">
        <f t="shared" si="68"/>
        <v>-0.33138804726872451</v>
      </c>
      <c r="P220">
        <f t="shared" si="69"/>
        <v>-0.15303962701166579</v>
      </c>
      <c r="Q220">
        <f t="shared" si="70"/>
        <v>0.93099991121994841</v>
      </c>
      <c r="R220">
        <f t="shared" si="76"/>
        <v>1</v>
      </c>
      <c r="AG220" s="8">
        <f t="shared" si="62"/>
        <v>-0.42306083868976396</v>
      </c>
      <c r="AH220" s="8">
        <f t="shared" si="63"/>
        <v>0.835839396293518</v>
      </c>
      <c r="AI220" s="8">
        <f t="shared" si="64"/>
        <v>0.34984572367087907</v>
      </c>
      <c r="AJ220" s="8"/>
      <c r="AK220" s="8"/>
      <c r="AL220" s="8"/>
      <c r="AN220" s="8">
        <f t="shared" si="71"/>
        <v>1.0000000000000002</v>
      </c>
      <c r="AO220" s="8">
        <f t="shared" si="72"/>
        <v>2.0393525164858097</v>
      </c>
      <c r="AP220" s="8">
        <f t="shared" si="73"/>
        <v>1.21338991130832</v>
      </c>
      <c r="AQ220" s="8"/>
      <c r="AR220" s="8">
        <f t="shared" si="74"/>
        <v>116.84629213402054</v>
      </c>
      <c r="AS220" s="8">
        <f t="shared" si="75"/>
        <v>20.477879178279977</v>
      </c>
    </row>
    <row r="221" spans="1:45">
      <c r="A221" s="19">
        <v>100.7339667</v>
      </c>
      <c r="B221" s="19">
        <v>424.52447239999998</v>
      </c>
      <c r="C221" s="19">
        <v>-787.03757289999999</v>
      </c>
      <c r="E221" s="9">
        <f t="shared" si="65"/>
        <v>-535.47552760000008</v>
      </c>
      <c r="F221" s="9">
        <f t="shared" si="66"/>
        <v>-247.03757289999999</v>
      </c>
      <c r="I221">
        <v>1</v>
      </c>
      <c r="J221">
        <f t="shared" si="61"/>
        <v>0.37389081629256976</v>
      </c>
      <c r="K221">
        <f t="shared" si="67"/>
        <v>-2.7093465091996829</v>
      </c>
      <c r="O221">
        <f t="shared" si="68"/>
        <v>-0.33164800170596737</v>
      </c>
      <c r="P221">
        <f t="shared" si="69"/>
        <v>-0.15300328992771184</v>
      </c>
      <c r="Q221">
        <f t="shared" si="70"/>
        <v>0.93091331295439916</v>
      </c>
      <c r="R221">
        <f t="shared" si="76"/>
        <v>1</v>
      </c>
      <c r="AG221" s="8">
        <f t="shared" si="62"/>
        <v>-0.42282702784135495</v>
      </c>
      <c r="AH221" s="8">
        <f t="shared" si="63"/>
        <v>0.83597832052168031</v>
      </c>
      <c r="AI221" s="8">
        <f t="shared" si="64"/>
        <v>0.34979644387071263</v>
      </c>
      <c r="AJ221" s="8"/>
      <c r="AK221" s="8"/>
      <c r="AL221" s="8"/>
      <c r="AN221" s="8">
        <f t="shared" si="71"/>
        <v>0.99999999999999989</v>
      </c>
      <c r="AO221" s="8">
        <f t="shared" si="72"/>
        <v>2.0390628692423931</v>
      </c>
      <c r="AP221" s="8">
        <f t="shared" si="73"/>
        <v>1.213442514778305</v>
      </c>
      <c r="AQ221" s="8"/>
      <c r="AR221" s="8">
        <f t="shared" si="74"/>
        <v>116.82969656942517</v>
      </c>
      <c r="AS221" s="8">
        <f t="shared" si="75"/>
        <v>20.474865221462096</v>
      </c>
    </row>
    <row r="222" spans="1:45">
      <c r="A222" s="19">
        <v>100.7673333</v>
      </c>
      <c r="B222" s="19">
        <v>424.47495370000001</v>
      </c>
      <c r="C222" s="19">
        <v>-787.01571049999995</v>
      </c>
      <c r="E222" s="9">
        <f t="shared" si="65"/>
        <v>-535.52504629999999</v>
      </c>
      <c r="F222" s="9">
        <f t="shared" si="66"/>
        <v>-247.01571049999995</v>
      </c>
      <c r="I222">
        <v>1</v>
      </c>
      <c r="J222">
        <f t="shared" si="61"/>
        <v>0.37391172969760955</v>
      </c>
      <c r="K222">
        <f t="shared" si="67"/>
        <v>-2.7094153445912599</v>
      </c>
      <c r="O222">
        <f t="shared" si="68"/>
        <v>-0.33167621143712683</v>
      </c>
      <c r="P222">
        <f t="shared" si="69"/>
        <v>-0.15298861479990156</v>
      </c>
      <c r="Q222">
        <f t="shared" si="70"/>
        <v>0.93090567433458138</v>
      </c>
      <c r="R222">
        <f t="shared" si="76"/>
        <v>1</v>
      </c>
      <c r="AG222" s="8">
        <f t="shared" si="62"/>
        <v>-0.42279740392152876</v>
      </c>
      <c r="AH222" s="8">
        <f t="shared" si="63"/>
        <v>0.83599143386583985</v>
      </c>
      <c r="AI222" s="8">
        <f t="shared" si="64"/>
        <v>0.34980091157707516</v>
      </c>
      <c r="AJ222" s="8"/>
      <c r="AK222" s="8"/>
      <c r="AL222" s="8"/>
      <c r="AN222" s="8">
        <f t="shared" si="71"/>
        <v>1</v>
      </c>
      <c r="AO222" s="8">
        <f t="shared" si="72"/>
        <v>2.0390283338970123</v>
      </c>
      <c r="AP222" s="8">
        <f t="shared" si="73"/>
        <v>1.2134377457906498</v>
      </c>
      <c r="AQ222" s="8"/>
      <c r="AR222" s="8">
        <f t="shared" si="74"/>
        <v>116.82771783989082</v>
      </c>
      <c r="AS222" s="8">
        <f t="shared" si="75"/>
        <v>20.475138464327287</v>
      </c>
    </row>
    <row r="223" spans="1:45">
      <c r="A223" s="19">
        <v>100.80070000000001</v>
      </c>
      <c r="B223" s="19">
        <v>423.94812539999998</v>
      </c>
      <c r="C223" s="19">
        <v>-787.02891590000002</v>
      </c>
      <c r="E223" s="9">
        <f t="shared" si="65"/>
        <v>-536.05187460000002</v>
      </c>
      <c r="F223" s="9">
        <f t="shared" si="66"/>
        <v>-247.02891590000002</v>
      </c>
      <c r="I223">
        <v>1</v>
      </c>
      <c r="J223">
        <f t="shared" si="61"/>
        <v>0.37419435500250764</v>
      </c>
      <c r="K223">
        <f t="shared" si="67"/>
        <v>-2.7097688833661313</v>
      </c>
      <c r="O223">
        <f t="shared" si="68"/>
        <v>-0.33196921105528937</v>
      </c>
      <c r="P223">
        <f t="shared" si="69"/>
        <v>-0.15298145236477173</v>
      </c>
      <c r="Q223">
        <f t="shared" si="70"/>
        <v>0.93080240553175075</v>
      </c>
      <c r="R223">
        <f t="shared" si="76"/>
        <v>1</v>
      </c>
      <c r="AG223" s="8">
        <f t="shared" si="62"/>
        <v>-0.42254718400187824</v>
      </c>
      <c r="AH223" s="8">
        <f t="shared" si="63"/>
        <v>0.83615412582768733</v>
      </c>
      <c r="AI223" s="8">
        <f t="shared" si="64"/>
        <v>0.34971439082974387</v>
      </c>
      <c r="AJ223" s="8"/>
      <c r="AK223" s="8"/>
      <c r="AL223" s="8"/>
      <c r="AN223" s="8">
        <f t="shared" si="71"/>
        <v>1</v>
      </c>
      <c r="AO223" s="8">
        <f t="shared" si="72"/>
        <v>2.0387116230772007</v>
      </c>
      <c r="AP223" s="8">
        <f t="shared" si="73"/>
        <v>1.2135300995838989</v>
      </c>
      <c r="AQ223" s="8"/>
      <c r="AR223" s="8">
        <f t="shared" si="74"/>
        <v>116.80957164658949</v>
      </c>
      <c r="AS223" s="8">
        <f t="shared" si="75"/>
        <v>20.469846981752099</v>
      </c>
    </row>
    <row r="224" spans="1:45">
      <c r="A224" s="19">
        <v>100.83406669999999</v>
      </c>
      <c r="B224" s="19">
        <v>424.25540369999999</v>
      </c>
      <c r="C224" s="19">
        <v>-786.99382830000002</v>
      </c>
      <c r="E224" s="9">
        <f t="shared" si="65"/>
        <v>-535.74459630000001</v>
      </c>
      <c r="F224" s="9">
        <f t="shared" si="66"/>
        <v>-246.99382830000002</v>
      </c>
      <c r="I224">
        <v>1</v>
      </c>
      <c r="J224">
        <f t="shared" ref="J224:J287" si="77">ATAN((SQRT(E224^2+F224^2)^$B$16)/($F$24))</f>
        <v>0.37402281652779296</v>
      </c>
      <c r="K224">
        <f t="shared" si="67"/>
        <v>-2.7096049040353014</v>
      </c>
      <c r="O224">
        <f t="shared" si="68"/>
        <v>-0.33179911537682166</v>
      </c>
      <c r="P224">
        <f t="shared" si="69"/>
        <v>-0.1529690346845495</v>
      </c>
      <c r="Q224">
        <f t="shared" si="70"/>
        <v>0.93086509305206822</v>
      </c>
      <c r="R224">
        <f t="shared" si="76"/>
        <v>1</v>
      </c>
      <c r="AG224" s="8">
        <f t="shared" ref="AG224:AG287" si="78">$O224*$Z$27+$P224*$Z$31+$Q224*$Z$35</f>
        <v>-0.422685890547432</v>
      </c>
      <c r="AH224" s="8">
        <f t="shared" ref="AH224:AH287" si="79">$O224*$AA$27+$P224*$AA$31+$Q224*$AA$35</f>
        <v>0.83605665852770561</v>
      </c>
      <c r="AI224" s="8">
        <f t="shared" ref="AI224:AI287" si="80">$AB$27*$O224+$P224*$AB$31+$AB$35*$Q224</f>
        <v>0.34977979024467887</v>
      </c>
      <c r="AJ224" s="8"/>
      <c r="AK224" s="8"/>
      <c r="AL224" s="8"/>
      <c r="AN224" s="8">
        <f t="shared" si="71"/>
        <v>0.99999999999999978</v>
      </c>
      <c r="AO224" s="8">
        <f t="shared" si="72"/>
        <v>2.0388906919025933</v>
      </c>
      <c r="AP224" s="8">
        <f t="shared" si="73"/>
        <v>1.2134602913724328</v>
      </c>
      <c r="AQ224" s="8"/>
      <c r="AR224" s="8">
        <f t="shared" si="74"/>
        <v>116.81983153452684</v>
      </c>
      <c r="AS224" s="8">
        <f t="shared" si="75"/>
        <v>20.473846697644461</v>
      </c>
    </row>
    <row r="225" spans="1:45">
      <c r="A225" s="19">
        <v>100.9008</v>
      </c>
      <c r="B225" s="19">
        <v>423.26222080000002</v>
      </c>
      <c r="C225" s="19">
        <v>-786.90994709999995</v>
      </c>
      <c r="E225" s="9">
        <f t="shared" ref="E225:E288" si="81">(B225-($B$15/2))</f>
        <v>-536.73777919999998</v>
      </c>
      <c r="F225" s="9">
        <f t="shared" ref="F225:F288" si="82">(($C$15/2)+C225)</f>
        <v>-246.90994709999995</v>
      </c>
      <c r="I225">
        <v>1</v>
      </c>
      <c r="J225">
        <f t="shared" si="77"/>
        <v>0.37452906724804469</v>
      </c>
      <c r="K225">
        <f t="shared" ref="K225:K288" si="83">ATAN2(E225,F225)</f>
        <v>-2.7104376612914223</v>
      </c>
      <c r="O225">
        <f t="shared" ref="O225:O288" si="84">COS(K225)*SIN(J225)</f>
        <v>-0.33235446778012712</v>
      </c>
      <c r="P225">
        <f t="shared" ref="P225:P288" si="85">SIN(K225)*SIN(J225)</f>
        <v>-0.1528895994247908</v>
      </c>
      <c r="Q225">
        <f t="shared" ref="Q225:Q288" si="86">COS(J225)</f>
        <v>0.93068000845312859</v>
      </c>
      <c r="R225">
        <f t="shared" si="76"/>
        <v>1</v>
      </c>
      <c r="AG225" s="8">
        <f t="shared" si="78"/>
        <v>-0.42218544883723136</v>
      </c>
      <c r="AH225" s="8">
        <f t="shared" si="79"/>
        <v>0.83635289988246719</v>
      </c>
      <c r="AI225" s="8">
        <f t="shared" si="80"/>
        <v>0.34967595520466266</v>
      </c>
      <c r="AJ225" s="8"/>
      <c r="AK225" s="8"/>
      <c r="AL225" s="8"/>
      <c r="AN225" s="8">
        <f t="shared" ref="AN225:AN288" si="87">AG225^2+AH225^2+AI225^2</f>
        <v>0.99999999999999989</v>
      </c>
      <c r="AO225" s="8">
        <f t="shared" ref="AO225:AO288" si="88">IF(ATAN2(AG225,AH225)&gt;=0,ATAN2(AG225,AH225),ATAN2(AG225,AH225)+2*PI())</f>
        <v>2.0382713223704108</v>
      </c>
      <c r="AP225" s="8">
        <f t="shared" ref="AP225:AP288" si="89">ACOS(AI225/AN225)</f>
        <v>1.2135711254362123</v>
      </c>
      <c r="AQ225" s="8"/>
      <c r="AR225" s="8">
        <f t="shared" ref="AR225:AR288" si="90">DEGREES(AO225)</f>
        <v>116.78434427437379</v>
      </c>
      <c r="AS225" s="8">
        <f t="shared" ref="AS225:AS288" si="91">90-DEGREES(AP225)</f>
        <v>20.467496373563606</v>
      </c>
    </row>
    <row r="226" spans="1:45">
      <c r="A226" s="19">
        <v>100.93416670000001</v>
      </c>
      <c r="B226" s="19">
        <v>422.71454820000002</v>
      </c>
      <c r="C226" s="19">
        <v>-787.04037059999996</v>
      </c>
      <c r="E226" s="9">
        <f t="shared" si="81"/>
        <v>-537.28545179999992</v>
      </c>
      <c r="F226" s="9">
        <f t="shared" si="82"/>
        <v>-247.04037059999996</v>
      </c>
      <c r="I226">
        <v>1</v>
      </c>
      <c r="J226">
        <f t="shared" si="77"/>
        <v>0.37485131492928492</v>
      </c>
      <c r="K226">
        <f t="shared" si="83"/>
        <v>-2.7106243432486425</v>
      </c>
      <c r="O226">
        <f t="shared" si="84"/>
        <v>-0.33265547270685603</v>
      </c>
      <c r="P226">
        <f t="shared" si="85"/>
        <v>-0.15295283165457912</v>
      </c>
      <c r="Q226">
        <f t="shared" si="86"/>
        <v>0.93056207088351939</v>
      </c>
      <c r="R226">
        <f t="shared" si="76"/>
        <v>1</v>
      </c>
      <c r="AG226" s="8">
        <f t="shared" si="78"/>
        <v>-0.42195618911668409</v>
      </c>
      <c r="AH226" s="8">
        <f t="shared" si="79"/>
        <v>0.83653278383922003</v>
      </c>
      <c r="AI226" s="8">
        <f t="shared" si="80"/>
        <v>0.34952235411820204</v>
      </c>
      <c r="AJ226" s="8"/>
      <c r="AK226" s="8"/>
      <c r="AL226" s="8"/>
      <c r="AN226" s="8">
        <f t="shared" si="87"/>
        <v>0.99999999999999989</v>
      </c>
      <c r="AO226" s="8">
        <f t="shared" si="88"/>
        <v>2.037966364070928</v>
      </c>
      <c r="AP226" s="8">
        <f t="shared" si="89"/>
        <v>1.2137350716309552</v>
      </c>
      <c r="AQ226" s="8"/>
      <c r="AR226" s="8">
        <f t="shared" si="90"/>
        <v>116.76687145088594</v>
      </c>
      <c r="AS226" s="8">
        <f t="shared" si="91"/>
        <v>20.458102948537615</v>
      </c>
    </row>
    <row r="227" spans="1:45">
      <c r="A227" s="19">
        <v>100.9675333</v>
      </c>
      <c r="B227" s="19">
        <v>422.24632329999997</v>
      </c>
      <c r="C227" s="19">
        <v>-787.09688879999999</v>
      </c>
      <c r="E227" s="9">
        <f t="shared" si="81"/>
        <v>-537.75367670000003</v>
      </c>
      <c r="F227" s="9">
        <f t="shared" si="82"/>
        <v>-247.09688879999999</v>
      </c>
      <c r="I227">
        <v>1</v>
      </c>
      <c r="J227">
        <f t="shared" si="77"/>
        <v>0.37511336608810514</v>
      </c>
      <c r="K227">
        <f t="shared" si="83"/>
        <v>-2.7108680898892574</v>
      </c>
      <c r="O227">
        <f t="shared" si="84"/>
        <v>-0.33291431514719733</v>
      </c>
      <c r="P227">
        <f t="shared" si="85"/>
        <v>-0.15297355475962141</v>
      </c>
      <c r="Q227">
        <f t="shared" si="86"/>
        <v>0.9304660930492189</v>
      </c>
      <c r="R227">
        <f t="shared" si="76"/>
        <v>1</v>
      </c>
      <c r="AG227" s="8">
        <f t="shared" si="78"/>
        <v>-0.42174566673233194</v>
      </c>
      <c r="AH227" s="8">
        <f t="shared" si="79"/>
        <v>0.83668127379203028</v>
      </c>
      <c r="AI227" s="8">
        <f t="shared" si="80"/>
        <v>0.34942100491848871</v>
      </c>
      <c r="AJ227" s="8"/>
      <c r="AK227" s="8"/>
      <c r="AL227" s="8"/>
      <c r="AN227" s="8">
        <f t="shared" si="87"/>
        <v>1</v>
      </c>
      <c r="AO227" s="8">
        <f t="shared" si="88"/>
        <v>2.0376943815924489</v>
      </c>
      <c r="AP227" s="8">
        <f t="shared" si="89"/>
        <v>1.2138432412580638</v>
      </c>
      <c r="AQ227" s="8"/>
      <c r="AR227" s="8">
        <f t="shared" si="90"/>
        <v>116.75128800276758</v>
      </c>
      <c r="AS227" s="8">
        <f t="shared" si="91"/>
        <v>20.451905285432787</v>
      </c>
    </row>
    <row r="228" spans="1:45">
      <c r="A228" s="19">
        <v>101.0009</v>
      </c>
      <c r="B228" s="19">
        <v>422.1153746</v>
      </c>
      <c r="C228" s="19">
        <v>-786.98081960000002</v>
      </c>
      <c r="E228" s="9">
        <f t="shared" si="81"/>
        <v>-537.8846254</v>
      </c>
      <c r="F228" s="9">
        <f t="shared" si="82"/>
        <v>-246.98081960000002</v>
      </c>
      <c r="I228">
        <v>1</v>
      </c>
      <c r="J228">
        <f t="shared" si="77"/>
        <v>0.37515453174634805</v>
      </c>
      <c r="K228">
        <f t="shared" si="83"/>
        <v>-2.7111386571358591</v>
      </c>
      <c r="O228">
        <f t="shared" si="84"/>
        <v>-0.33299050140115188</v>
      </c>
      <c r="P228">
        <f t="shared" si="85"/>
        <v>-0.15289945663330998</v>
      </c>
      <c r="Q228">
        <f t="shared" si="86"/>
        <v>0.93045101006869135</v>
      </c>
      <c r="R228">
        <f t="shared" si="76"/>
        <v>1</v>
      </c>
      <c r="AG228" s="8">
        <f t="shared" si="78"/>
        <v>-0.42165194773086334</v>
      </c>
      <c r="AH228" s="8">
        <f t="shared" si="79"/>
        <v>0.83671032792183364</v>
      </c>
      <c r="AI228" s="8">
        <f t="shared" si="80"/>
        <v>0.34946453628902996</v>
      </c>
      <c r="AJ228" s="8"/>
      <c r="AK228" s="8"/>
      <c r="AL228" s="8"/>
      <c r="AN228" s="8">
        <f t="shared" si="87"/>
        <v>0.99999999999999989</v>
      </c>
      <c r="AO228" s="8">
        <f t="shared" si="88"/>
        <v>2.0375911039461512</v>
      </c>
      <c r="AP228" s="8">
        <f t="shared" si="89"/>
        <v>1.2137967809214993</v>
      </c>
      <c r="AQ228" s="8"/>
      <c r="AR228" s="8">
        <f t="shared" si="90"/>
        <v>116.74537062951669</v>
      </c>
      <c r="AS228" s="8">
        <f t="shared" si="91"/>
        <v>20.454567266632679</v>
      </c>
    </row>
    <row r="229" spans="1:45">
      <c r="A229" s="19">
        <v>101.0342667</v>
      </c>
      <c r="B229" s="19">
        <v>421.95191749999998</v>
      </c>
      <c r="C229" s="19">
        <v>-786.90621220000003</v>
      </c>
      <c r="E229" s="9">
        <f t="shared" si="81"/>
        <v>-538.04808249999996</v>
      </c>
      <c r="F229" s="9">
        <f t="shared" si="82"/>
        <v>-246.90621220000003</v>
      </c>
      <c r="I229">
        <v>1</v>
      </c>
      <c r="J229">
        <f t="shared" si="77"/>
        <v>0.37522305065203282</v>
      </c>
      <c r="K229">
        <f t="shared" si="83"/>
        <v>-2.7113684045474344</v>
      </c>
      <c r="O229">
        <f t="shared" si="84"/>
        <v>-0.33308356385814902</v>
      </c>
      <c r="P229">
        <f t="shared" si="85"/>
        <v>-0.15284953849508867</v>
      </c>
      <c r="Q229">
        <f t="shared" si="86"/>
        <v>0.93042590143943904</v>
      </c>
      <c r="R229">
        <f t="shared" si="76"/>
        <v>1</v>
      </c>
      <c r="AG229" s="8">
        <f t="shared" si="78"/>
        <v>-0.42155353025454334</v>
      </c>
      <c r="AH229" s="8">
        <f t="shared" si="79"/>
        <v>0.83675322248356165</v>
      </c>
      <c r="AI229" s="8">
        <f t="shared" si="80"/>
        <v>0.34948056568757413</v>
      </c>
      <c r="AJ229" s="8"/>
      <c r="AK229" s="8"/>
      <c r="AL229" s="8"/>
      <c r="AN229" s="8">
        <f t="shared" si="87"/>
        <v>0.99999999999999978</v>
      </c>
      <c r="AO229" s="8">
        <f t="shared" si="88"/>
        <v>2.0374766979221057</v>
      </c>
      <c r="AP229" s="8">
        <f t="shared" si="89"/>
        <v>1.2137796727976211</v>
      </c>
      <c r="AQ229" s="8"/>
      <c r="AR229" s="8">
        <f t="shared" si="90"/>
        <v>116.73881564718801</v>
      </c>
      <c r="AS229" s="8">
        <f t="shared" si="91"/>
        <v>20.455547489926289</v>
      </c>
    </row>
    <row r="230" spans="1:45">
      <c r="A230" s="19">
        <v>101.0676333</v>
      </c>
      <c r="B230" s="19">
        <v>421.66871099999997</v>
      </c>
      <c r="C230" s="19">
        <v>-786.97184349999998</v>
      </c>
      <c r="E230" s="9">
        <f t="shared" si="81"/>
        <v>-538.33128899999997</v>
      </c>
      <c r="F230" s="9">
        <f t="shared" si="82"/>
        <v>-246.97184349999998</v>
      </c>
      <c r="I230">
        <v>1</v>
      </c>
      <c r="J230">
        <f t="shared" si="77"/>
        <v>0.37538919955463579</v>
      </c>
      <c r="K230">
        <f t="shared" si="83"/>
        <v>-2.711467120986661</v>
      </c>
      <c r="O230">
        <f t="shared" si="84"/>
        <v>-0.33323915463482895</v>
      </c>
      <c r="P230">
        <f t="shared" si="85"/>
        <v>-0.15288111619784622</v>
      </c>
      <c r="Q230">
        <f t="shared" si="86"/>
        <v>0.93036499833579578</v>
      </c>
      <c r="R230">
        <f t="shared" si="76"/>
        <v>1</v>
      </c>
      <c r="AG230" s="8">
        <f t="shared" si="78"/>
        <v>-0.42143451323207615</v>
      </c>
      <c r="AH230" s="8">
        <f t="shared" si="79"/>
        <v>0.83684593205306201</v>
      </c>
      <c r="AI230" s="8">
        <f t="shared" si="80"/>
        <v>0.34940211370723701</v>
      </c>
      <c r="AJ230" s="8"/>
      <c r="AK230" s="8"/>
      <c r="AL230" s="8"/>
      <c r="AN230" s="8">
        <f t="shared" si="87"/>
        <v>1</v>
      </c>
      <c r="AO230" s="8">
        <f t="shared" si="88"/>
        <v>2.037318739856981</v>
      </c>
      <c r="AP230" s="8">
        <f t="shared" si="89"/>
        <v>1.2138634032956575</v>
      </c>
      <c r="AQ230" s="8"/>
      <c r="AR230" s="8">
        <f t="shared" si="90"/>
        <v>116.72976531671631</v>
      </c>
      <c r="AS230" s="8">
        <f t="shared" si="91"/>
        <v>20.450750085772285</v>
      </c>
    </row>
    <row r="231" spans="1:45">
      <c r="A231" s="19">
        <v>101.101</v>
      </c>
      <c r="B231" s="19">
        <v>421.3388276</v>
      </c>
      <c r="C231" s="19">
        <v>-787.00590399999999</v>
      </c>
      <c r="E231" s="9">
        <f t="shared" si="81"/>
        <v>-538.66117239999994</v>
      </c>
      <c r="F231" s="9">
        <f t="shared" si="82"/>
        <v>-247.00590399999999</v>
      </c>
      <c r="I231">
        <v>1</v>
      </c>
      <c r="J231">
        <f t="shared" si="77"/>
        <v>0.3755724035878128</v>
      </c>
      <c r="K231">
        <f t="shared" si="83"/>
        <v>-2.7116470052480666</v>
      </c>
      <c r="O231">
        <f t="shared" si="84"/>
        <v>-0.33342157855754956</v>
      </c>
      <c r="P231">
        <f t="shared" si="85"/>
        <v>-0.15289221247890064</v>
      </c>
      <c r="Q231">
        <f t="shared" si="86"/>
        <v>0.93029781377551268</v>
      </c>
      <c r="R231">
        <f t="shared" si="76"/>
        <v>1</v>
      </c>
      <c r="AG231" s="8">
        <f t="shared" si="78"/>
        <v>-0.4212846836079</v>
      </c>
      <c r="AH231" s="8">
        <f t="shared" si="79"/>
        <v>0.83694987338839066</v>
      </c>
      <c r="AI231" s="8">
        <f t="shared" si="80"/>
        <v>0.34933383001442697</v>
      </c>
      <c r="AJ231" s="8"/>
      <c r="AK231" s="8"/>
      <c r="AL231" s="8"/>
      <c r="AN231" s="8">
        <f t="shared" si="87"/>
        <v>1.0000000000000002</v>
      </c>
      <c r="AO231" s="8">
        <f t="shared" si="88"/>
        <v>2.0371260292052682</v>
      </c>
      <c r="AP231" s="8">
        <f t="shared" si="89"/>
        <v>1.2139362792209787</v>
      </c>
      <c r="AQ231" s="8"/>
      <c r="AR231" s="8">
        <f t="shared" si="90"/>
        <v>116.71872380970595</v>
      </c>
      <c r="AS231" s="8">
        <f t="shared" si="91"/>
        <v>20.446574602823262</v>
      </c>
    </row>
    <row r="232" spans="1:45">
      <c r="A232" s="19">
        <v>101.1343667</v>
      </c>
      <c r="B232" s="19">
        <v>420.78737030000002</v>
      </c>
      <c r="C232" s="19">
        <v>-787.04826939999998</v>
      </c>
      <c r="E232" s="9">
        <f t="shared" si="81"/>
        <v>-539.21262969999998</v>
      </c>
      <c r="F232" s="9">
        <f t="shared" si="82"/>
        <v>-247.04826939999998</v>
      </c>
      <c r="I232">
        <v>1</v>
      </c>
      <c r="J232">
        <f t="shared" si="77"/>
        <v>0.37587508955142201</v>
      </c>
      <c r="K232">
        <f t="shared" si="83"/>
        <v>-2.7119696242562252</v>
      </c>
      <c r="O232">
        <f t="shared" si="84"/>
        <v>-0.33372687002121665</v>
      </c>
      <c r="P232">
        <f t="shared" si="85"/>
        <v>-0.15290191874194595</v>
      </c>
      <c r="Q232">
        <f t="shared" si="86"/>
        <v>0.93018674440720417</v>
      </c>
      <c r="R232">
        <f t="shared" si="76"/>
        <v>1</v>
      </c>
      <c r="AG232" s="8">
        <f t="shared" si="78"/>
        <v>-0.42103037652110648</v>
      </c>
      <c r="AH232" s="8">
        <f t="shared" si="79"/>
        <v>0.8371221509691501</v>
      </c>
      <c r="AI232" s="8">
        <f t="shared" si="80"/>
        <v>0.34922761403313857</v>
      </c>
      <c r="AJ232" s="8"/>
      <c r="AK232" s="8"/>
      <c r="AL232" s="8"/>
      <c r="AN232" s="8">
        <f t="shared" si="87"/>
        <v>1</v>
      </c>
      <c r="AO232" s="8">
        <f t="shared" si="88"/>
        <v>2.0368009503572462</v>
      </c>
      <c r="AP232" s="8">
        <f t="shared" si="89"/>
        <v>1.2140496345317151</v>
      </c>
      <c r="AQ232" s="8"/>
      <c r="AR232" s="8">
        <f t="shared" si="90"/>
        <v>116.70009816370531</v>
      </c>
      <c r="AS232" s="8">
        <f t="shared" si="91"/>
        <v>20.44007982193267</v>
      </c>
    </row>
    <row r="233" spans="1:45">
      <c r="A233" s="19">
        <v>101.16773329999999</v>
      </c>
      <c r="B233" s="19">
        <v>420.40653609999998</v>
      </c>
      <c r="C233" s="19">
        <v>-787.04192850000004</v>
      </c>
      <c r="E233" s="9">
        <f t="shared" si="81"/>
        <v>-539.59346389999996</v>
      </c>
      <c r="F233" s="9">
        <f t="shared" si="82"/>
        <v>-247.04192850000004</v>
      </c>
      <c r="I233">
        <v>1</v>
      </c>
      <c r="J233">
        <f t="shared" si="77"/>
        <v>0.37607546272949299</v>
      </c>
      <c r="K233">
        <f t="shared" si="83"/>
        <v>-2.7122466332109636</v>
      </c>
      <c r="O233">
        <f t="shared" si="84"/>
        <v>-0.33393867359595231</v>
      </c>
      <c r="P233">
        <f t="shared" si="85"/>
        <v>-0.15288705191055621</v>
      </c>
      <c r="Q233">
        <f t="shared" si="86"/>
        <v>0.93011317141253025</v>
      </c>
      <c r="R233">
        <f t="shared" si="76"/>
        <v>1</v>
      </c>
      <c r="AG233" s="8">
        <f t="shared" si="78"/>
        <v>-0.42084535440841231</v>
      </c>
      <c r="AH233" s="8">
        <f t="shared" si="79"/>
        <v>0.83723769048232533</v>
      </c>
      <c r="AI233" s="8">
        <f t="shared" si="80"/>
        <v>0.34917364921866562</v>
      </c>
      <c r="AJ233" s="8"/>
      <c r="AK233" s="8"/>
      <c r="AL233" s="8"/>
      <c r="AN233" s="8">
        <f t="shared" si="87"/>
        <v>0.99999999999999978</v>
      </c>
      <c r="AO233" s="8">
        <f t="shared" si="88"/>
        <v>2.0365691529785575</v>
      </c>
      <c r="AP233" s="8">
        <f t="shared" si="89"/>
        <v>1.2141072247678313</v>
      </c>
      <c r="AQ233" s="8"/>
      <c r="AR233" s="8">
        <f t="shared" si="90"/>
        <v>116.68681715220426</v>
      </c>
      <c r="AS233" s="8">
        <f t="shared" si="91"/>
        <v>20.436780144462062</v>
      </c>
    </row>
    <row r="234" spans="1:45">
      <c r="A234" s="19">
        <v>101.2011</v>
      </c>
      <c r="B234" s="19">
        <v>419.86809879999998</v>
      </c>
      <c r="C234" s="19">
        <v>-787.03691249999997</v>
      </c>
      <c r="E234" s="9">
        <f t="shared" si="81"/>
        <v>-540.13190120000002</v>
      </c>
      <c r="F234" s="9">
        <f t="shared" si="82"/>
        <v>-247.03691249999997</v>
      </c>
      <c r="I234">
        <v>1</v>
      </c>
      <c r="J234">
        <f t="shared" si="77"/>
        <v>0.37635970888811804</v>
      </c>
      <c r="K234">
        <f t="shared" si="83"/>
        <v>-2.7126316852347072</v>
      </c>
      <c r="O234">
        <f t="shared" si="84"/>
        <v>-0.33423793255745776</v>
      </c>
      <c r="P234">
        <f t="shared" si="85"/>
        <v>-0.15286841365217549</v>
      </c>
      <c r="Q234">
        <f t="shared" si="86"/>
        <v>0.93000873788754457</v>
      </c>
      <c r="R234">
        <f t="shared" si="76"/>
        <v>1</v>
      </c>
      <c r="AG234" s="8">
        <f t="shared" si="78"/>
        <v>-0.42058481689669497</v>
      </c>
      <c r="AH234" s="8">
        <f t="shared" si="79"/>
        <v>0.83740131576685017</v>
      </c>
      <c r="AI234" s="8">
        <f t="shared" si="80"/>
        <v>0.34909518493946817</v>
      </c>
      <c r="AJ234" s="8"/>
      <c r="AK234" s="8"/>
      <c r="AL234" s="8"/>
      <c r="AN234" s="8">
        <f t="shared" si="87"/>
        <v>0.99999999999999978</v>
      </c>
      <c r="AO234" s="8">
        <f t="shared" si="88"/>
        <v>2.0362423210856768</v>
      </c>
      <c r="AP234" s="8">
        <f t="shared" si="89"/>
        <v>1.2141909581676886</v>
      </c>
      <c r="AQ234" s="8"/>
      <c r="AR234" s="8">
        <f t="shared" si="90"/>
        <v>116.66809106413191</v>
      </c>
      <c r="AS234" s="8">
        <f t="shared" si="91"/>
        <v>20.431982574045946</v>
      </c>
    </row>
    <row r="235" spans="1:45">
      <c r="A235" s="19">
        <v>101.2344667</v>
      </c>
      <c r="B235" s="19">
        <v>418.82562039999999</v>
      </c>
      <c r="C235" s="19">
        <v>-787.05401900000004</v>
      </c>
      <c r="E235" s="9">
        <f t="shared" si="81"/>
        <v>-541.17437960000007</v>
      </c>
      <c r="F235" s="9">
        <f t="shared" si="82"/>
        <v>-247.05401900000004</v>
      </c>
      <c r="I235">
        <v>1</v>
      </c>
      <c r="J235">
        <f t="shared" si="77"/>
        <v>0.37691650549679967</v>
      </c>
      <c r="K235">
        <f t="shared" si="83"/>
        <v>-2.7133343878443936</v>
      </c>
      <c r="O235">
        <f t="shared" si="84"/>
        <v>-0.33481628031206268</v>
      </c>
      <c r="P235">
        <f t="shared" si="85"/>
        <v>-0.15284852867363219</v>
      </c>
      <c r="Q235">
        <f t="shared" si="86"/>
        <v>0.92980395015309547</v>
      </c>
      <c r="R235">
        <f t="shared" si="76"/>
        <v>1</v>
      </c>
      <c r="AG235" s="8">
        <f t="shared" si="78"/>
        <v>-0.42008750549249513</v>
      </c>
      <c r="AH235" s="8">
        <f t="shared" si="79"/>
        <v>0.83772030585094936</v>
      </c>
      <c r="AI235" s="8">
        <f t="shared" si="80"/>
        <v>0.34892861289106775</v>
      </c>
      <c r="AJ235" s="8"/>
      <c r="AK235" s="8"/>
      <c r="AL235" s="8"/>
      <c r="AN235" s="8">
        <f t="shared" si="87"/>
        <v>0.99999999999999989</v>
      </c>
      <c r="AO235" s="8">
        <f t="shared" si="88"/>
        <v>2.0356153369289696</v>
      </c>
      <c r="AP235" s="8">
        <f t="shared" si="89"/>
        <v>1.2143687073910447</v>
      </c>
      <c r="AQ235" s="8"/>
      <c r="AR235" s="8">
        <f t="shared" si="90"/>
        <v>116.63216751813103</v>
      </c>
      <c r="AS235" s="8">
        <f t="shared" si="91"/>
        <v>20.421798293735918</v>
      </c>
    </row>
    <row r="236" spans="1:45">
      <c r="A236" s="19">
        <v>101.30119999999999</v>
      </c>
      <c r="B236" s="19">
        <v>418.39807159999998</v>
      </c>
      <c r="C236" s="19">
        <v>-787.01010289999999</v>
      </c>
      <c r="E236" s="9">
        <f t="shared" si="81"/>
        <v>-541.60192840000002</v>
      </c>
      <c r="F236" s="9">
        <f t="shared" si="82"/>
        <v>-247.01010289999999</v>
      </c>
      <c r="I236">
        <v>1</v>
      </c>
      <c r="J236">
        <f t="shared" si="77"/>
        <v>0.37713253002869973</v>
      </c>
      <c r="K236">
        <f t="shared" si="83"/>
        <v>-2.7136997773913931</v>
      </c>
      <c r="O236">
        <f t="shared" si="84"/>
        <v>-0.3350548507112745</v>
      </c>
      <c r="P236">
        <f t="shared" si="85"/>
        <v>-0.1528095245078453</v>
      </c>
      <c r="Q236">
        <f t="shared" si="86"/>
        <v>0.92972441951071272</v>
      </c>
      <c r="R236">
        <f t="shared" si="76"/>
        <v>1</v>
      </c>
      <c r="AG236" s="8">
        <f t="shared" si="78"/>
        <v>-0.41987009979285517</v>
      </c>
      <c r="AH236" s="8">
        <f t="shared" si="79"/>
        <v>0.83784619825674866</v>
      </c>
      <c r="AI236" s="8">
        <f t="shared" si="80"/>
        <v>0.34888801551020765</v>
      </c>
      <c r="AJ236" s="8"/>
      <c r="AK236" s="8"/>
      <c r="AL236" s="8"/>
      <c r="AN236" s="8">
        <f t="shared" si="87"/>
        <v>1</v>
      </c>
      <c r="AO236" s="8">
        <f t="shared" si="88"/>
        <v>2.0353477507936208</v>
      </c>
      <c r="AP236" s="8">
        <f t="shared" si="89"/>
        <v>1.2144120271194825</v>
      </c>
      <c r="AQ236" s="8"/>
      <c r="AR236" s="8">
        <f t="shared" si="90"/>
        <v>116.61683596191932</v>
      </c>
      <c r="AS236" s="8">
        <f t="shared" si="91"/>
        <v>20.419316256126777</v>
      </c>
    </row>
    <row r="237" spans="1:45">
      <c r="A237" s="19">
        <v>101.3345667</v>
      </c>
      <c r="B237" s="19">
        <v>417.86189030000003</v>
      </c>
      <c r="C237" s="19">
        <v>-786.99851579999995</v>
      </c>
      <c r="E237" s="9">
        <f t="shared" si="81"/>
        <v>-542.13810969999997</v>
      </c>
      <c r="F237" s="9">
        <f t="shared" si="82"/>
        <v>-246.99851579999995</v>
      </c>
      <c r="I237">
        <v>1</v>
      </c>
      <c r="J237">
        <f t="shared" si="77"/>
        <v>0.37741395998815019</v>
      </c>
      <c r="K237">
        <f t="shared" si="83"/>
        <v>-2.7140909348057076</v>
      </c>
      <c r="O237">
        <f t="shared" si="84"/>
        <v>-0.33535268912393867</v>
      </c>
      <c r="P237">
        <f t="shared" si="85"/>
        <v>-0.15278692827734938</v>
      </c>
      <c r="Q237">
        <f t="shared" si="86"/>
        <v>0.92962074441404063</v>
      </c>
      <c r="R237">
        <f t="shared" si="76"/>
        <v>1</v>
      </c>
      <c r="AG237" s="8">
        <f t="shared" si="78"/>
        <v>-0.41960895666974585</v>
      </c>
      <c r="AH237" s="8">
        <f t="shared" si="79"/>
        <v>0.83800807487308493</v>
      </c>
      <c r="AI237" s="8">
        <f t="shared" si="80"/>
        <v>0.3488134027385319</v>
      </c>
      <c r="AJ237" s="8"/>
      <c r="AK237" s="8"/>
      <c r="AL237" s="8"/>
      <c r="AN237" s="8">
        <f t="shared" si="87"/>
        <v>0.99999999999999978</v>
      </c>
      <c r="AO237" s="8">
        <f t="shared" si="88"/>
        <v>2.0350212519999662</v>
      </c>
      <c r="AP237" s="8">
        <f t="shared" si="89"/>
        <v>1.2144916413945805</v>
      </c>
      <c r="AQ237" s="8"/>
      <c r="AR237" s="8">
        <f t="shared" si="90"/>
        <v>116.59812895902681</v>
      </c>
      <c r="AS237" s="8">
        <f t="shared" si="91"/>
        <v>20.414754694174675</v>
      </c>
    </row>
    <row r="238" spans="1:45">
      <c r="A238" s="19">
        <v>101.3679333</v>
      </c>
      <c r="B238" s="19">
        <v>417.891074</v>
      </c>
      <c r="C238" s="19">
        <v>-786.99450620000005</v>
      </c>
      <c r="E238" s="9">
        <f t="shared" si="81"/>
        <v>-542.108926</v>
      </c>
      <c r="F238" s="9">
        <f t="shared" si="82"/>
        <v>-246.99450620000005</v>
      </c>
      <c r="I238">
        <v>1</v>
      </c>
      <c r="J238">
        <f t="shared" si="77"/>
        <v>0.37739752154051248</v>
      </c>
      <c r="K238">
        <f t="shared" si="83"/>
        <v>-2.7140767491194011</v>
      </c>
      <c r="O238">
        <f t="shared" si="84"/>
        <v>-0.33533661549555455</v>
      </c>
      <c r="P238">
        <f t="shared" si="85"/>
        <v>-0.15278534955372389</v>
      </c>
      <c r="Q238">
        <f t="shared" si="86"/>
        <v>0.92962680214682547</v>
      </c>
      <c r="R238">
        <f t="shared" si="76"/>
        <v>1</v>
      </c>
      <c r="AG238" s="8">
        <f t="shared" si="78"/>
        <v>-0.41962194390767266</v>
      </c>
      <c r="AH238" s="8">
        <f t="shared" si="79"/>
        <v>0.83799882944338822</v>
      </c>
      <c r="AI238" s="8">
        <f t="shared" si="80"/>
        <v>0.34881999088735877</v>
      </c>
      <c r="AJ238" s="8"/>
      <c r="AK238" s="8"/>
      <c r="AL238" s="8"/>
      <c r="AN238" s="8">
        <f t="shared" si="87"/>
        <v>0.99999999999999989</v>
      </c>
      <c r="AO238" s="8">
        <f t="shared" si="88"/>
        <v>2.0350380599505833</v>
      </c>
      <c r="AP238" s="8">
        <f t="shared" si="89"/>
        <v>1.2144846117186168</v>
      </c>
      <c r="AQ238" s="8"/>
      <c r="AR238" s="8">
        <f t="shared" si="90"/>
        <v>116.59909198365942</v>
      </c>
      <c r="AS238" s="8">
        <f t="shared" si="91"/>
        <v>20.415157464938744</v>
      </c>
    </row>
    <row r="239" spans="1:45">
      <c r="A239" s="19">
        <v>101.40130000000001</v>
      </c>
      <c r="B239" s="19">
        <v>417.1259172</v>
      </c>
      <c r="C239" s="19">
        <v>-787.00060870000004</v>
      </c>
      <c r="E239" s="9">
        <f t="shared" si="81"/>
        <v>-542.8740828</v>
      </c>
      <c r="F239" s="9">
        <f t="shared" si="82"/>
        <v>-247.00060870000004</v>
      </c>
      <c r="I239">
        <v>1</v>
      </c>
      <c r="J239">
        <f t="shared" si="77"/>
        <v>0.377804585542731</v>
      </c>
      <c r="K239">
        <f t="shared" si="83"/>
        <v>-2.7145993464848317</v>
      </c>
      <c r="O239">
        <f t="shared" si="84"/>
        <v>-0.33576082852017053</v>
      </c>
      <c r="P239">
        <f t="shared" si="85"/>
        <v>-0.15276678635007118</v>
      </c>
      <c r="Q239">
        <f t="shared" si="86"/>
        <v>0.92947672107467028</v>
      </c>
      <c r="R239">
        <f t="shared" si="76"/>
        <v>1</v>
      </c>
      <c r="AG239" s="8">
        <f t="shared" si="78"/>
        <v>-0.41925528196412376</v>
      </c>
      <c r="AH239" s="8">
        <f t="shared" si="79"/>
        <v>0.83823177551910821</v>
      </c>
      <c r="AI239" s="8">
        <f t="shared" si="80"/>
        <v>0.34870116010025931</v>
      </c>
      <c r="AJ239" s="8"/>
      <c r="AK239" s="8"/>
      <c r="AL239" s="8"/>
      <c r="AN239" s="8">
        <f t="shared" si="87"/>
        <v>1.0000000000000002</v>
      </c>
      <c r="AO239" s="8">
        <f t="shared" si="88"/>
        <v>2.0345769633770292</v>
      </c>
      <c r="AP239" s="8">
        <f t="shared" si="89"/>
        <v>1.2146114035283766</v>
      </c>
      <c r="AQ239" s="8"/>
      <c r="AR239" s="8">
        <f t="shared" si="90"/>
        <v>116.57267309604683</v>
      </c>
      <c r="AS239" s="8">
        <f t="shared" si="91"/>
        <v>20.40789282936268</v>
      </c>
    </row>
    <row r="240" spans="1:45">
      <c r="A240" s="19">
        <v>101.4680333</v>
      </c>
      <c r="B240" s="19">
        <v>416.02154009999998</v>
      </c>
      <c r="C240" s="19">
        <v>-787.0020571</v>
      </c>
      <c r="E240" s="9">
        <f t="shared" si="81"/>
        <v>-543.97845989999996</v>
      </c>
      <c r="F240" s="9">
        <f t="shared" si="82"/>
        <v>-247.0020571</v>
      </c>
      <c r="I240">
        <v>1</v>
      </c>
      <c r="J240">
        <f t="shared" si="77"/>
        <v>0.37839028962717725</v>
      </c>
      <c r="K240">
        <f t="shared" si="83"/>
        <v>-2.7153626893936544</v>
      </c>
      <c r="O240">
        <f t="shared" si="84"/>
        <v>-0.33637297797688448</v>
      </c>
      <c r="P240">
        <f t="shared" si="85"/>
        <v>-0.15273549163769659</v>
      </c>
      <c r="Q240">
        <f t="shared" si="86"/>
        <v>0.92926050668321925</v>
      </c>
      <c r="R240">
        <f t="shared" si="76"/>
        <v>0.99999999999999989</v>
      </c>
      <c r="AG240" s="8">
        <f t="shared" si="78"/>
        <v>-0.41872416575806415</v>
      </c>
      <c r="AH240" s="8">
        <f t="shared" si="79"/>
        <v>0.83856687631746063</v>
      </c>
      <c r="AI240" s="8">
        <f t="shared" si="80"/>
        <v>0.3485335951574679</v>
      </c>
      <c r="AJ240" s="8"/>
      <c r="AK240" s="8"/>
      <c r="AL240" s="8"/>
      <c r="AN240" s="8">
        <f t="shared" si="87"/>
        <v>0.99999999999999978</v>
      </c>
      <c r="AO240" s="8">
        <f t="shared" si="88"/>
        <v>2.0339102427980436</v>
      </c>
      <c r="AP240" s="8">
        <f t="shared" si="89"/>
        <v>1.214790184257259</v>
      </c>
      <c r="AQ240" s="8"/>
      <c r="AR240" s="8">
        <f t="shared" si="90"/>
        <v>116.53447282075643</v>
      </c>
      <c r="AS240" s="8">
        <f t="shared" si="91"/>
        <v>20.397649448139433</v>
      </c>
    </row>
    <row r="241" spans="1:45">
      <c r="A241" s="19">
        <v>101.5014</v>
      </c>
      <c r="B241" s="19">
        <v>416.16179959999999</v>
      </c>
      <c r="C241" s="19">
        <v>-786.9958537</v>
      </c>
      <c r="E241" s="9">
        <f t="shared" si="81"/>
        <v>-543.83820040000001</v>
      </c>
      <c r="F241" s="9">
        <f t="shared" si="82"/>
        <v>-246.9958537</v>
      </c>
      <c r="I241">
        <v>1</v>
      </c>
      <c r="J241">
        <f t="shared" si="77"/>
        <v>0.37831445747184528</v>
      </c>
      <c r="K241">
        <f t="shared" si="83"/>
        <v>-2.7152750606169587</v>
      </c>
      <c r="O241">
        <f t="shared" si="84"/>
        <v>-0.33629543111301807</v>
      </c>
      <c r="P241">
        <f t="shared" si="85"/>
        <v>-0.15273582665225632</v>
      </c>
      <c r="Q241">
        <f t="shared" si="86"/>
        <v>0.92928851831353287</v>
      </c>
      <c r="R241">
        <f t="shared" si="76"/>
        <v>1</v>
      </c>
      <c r="AG241" s="8">
        <f t="shared" si="78"/>
        <v>-0.41879002570132895</v>
      </c>
      <c r="AH241" s="8">
        <f t="shared" si="79"/>
        <v>0.83852377776239873</v>
      </c>
      <c r="AI241" s="8">
        <f t="shared" si="80"/>
        <v>0.34855815655376032</v>
      </c>
      <c r="AJ241" s="8"/>
      <c r="AK241" s="8"/>
      <c r="AL241" s="8"/>
      <c r="AN241" s="8">
        <f t="shared" si="87"/>
        <v>1.0000000000000002</v>
      </c>
      <c r="AO241" s="8">
        <f t="shared" si="88"/>
        <v>2.0339936498076989</v>
      </c>
      <c r="AP241" s="8">
        <f t="shared" si="89"/>
        <v>1.2147639796128429</v>
      </c>
      <c r="AQ241" s="8"/>
      <c r="AR241" s="8">
        <f t="shared" si="90"/>
        <v>116.5392516903915</v>
      </c>
      <c r="AS241" s="8">
        <f t="shared" si="91"/>
        <v>20.399150863668126</v>
      </c>
    </row>
    <row r="242" spans="1:45">
      <c r="A242" s="19">
        <v>101.53476670000001</v>
      </c>
      <c r="B242" s="19">
        <v>416.353454</v>
      </c>
      <c r="C242" s="19">
        <v>-786.9916144</v>
      </c>
      <c r="E242" s="9">
        <f t="shared" si="81"/>
        <v>-543.64654599999994</v>
      </c>
      <c r="F242" s="9">
        <f t="shared" si="82"/>
        <v>-246.9916144</v>
      </c>
      <c r="I242">
        <v>1</v>
      </c>
      <c r="J242">
        <f t="shared" si="77"/>
        <v>0.37821185595102441</v>
      </c>
      <c r="K242">
        <f t="shared" si="83"/>
        <v>-2.7151487999245969</v>
      </c>
      <c r="O242">
        <f t="shared" si="84"/>
        <v>-0.33618933470726536</v>
      </c>
      <c r="P242">
        <f t="shared" si="85"/>
        <v>-0.15273884683783023</v>
      </c>
      <c r="Q242">
        <f t="shared" si="86"/>
        <v>0.92932640976985914</v>
      </c>
      <c r="R242">
        <f t="shared" si="76"/>
        <v>1</v>
      </c>
      <c r="AG242" s="8">
        <f t="shared" si="78"/>
        <v>-0.41888113957327261</v>
      </c>
      <c r="AH242" s="8">
        <f t="shared" si="79"/>
        <v>0.83846527300796503</v>
      </c>
      <c r="AI242" s="8">
        <f t="shared" si="80"/>
        <v>0.34858941015107603</v>
      </c>
      <c r="AJ242" s="8"/>
      <c r="AK242" s="8"/>
      <c r="AL242" s="8"/>
      <c r="AN242" s="8">
        <f t="shared" si="87"/>
        <v>0.99999999999999989</v>
      </c>
      <c r="AO242" s="8">
        <f t="shared" si="88"/>
        <v>2.0341085078372232</v>
      </c>
      <c r="AP242" s="8">
        <f t="shared" si="89"/>
        <v>1.2147306346652214</v>
      </c>
      <c r="AQ242" s="8"/>
      <c r="AR242" s="8">
        <f t="shared" si="90"/>
        <v>116.54583257072643</v>
      </c>
      <c r="AS242" s="8">
        <f t="shared" si="91"/>
        <v>20.401061388434925</v>
      </c>
    </row>
    <row r="243" spans="1:45">
      <c r="A243" s="19">
        <v>101.5681333</v>
      </c>
      <c r="B243" s="19">
        <v>415.97799800000001</v>
      </c>
      <c r="C243" s="19">
        <v>-786.98267209999995</v>
      </c>
      <c r="E243" s="9">
        <f t="shared" si="81"/>
        <v>-544.02200199999993</v>
      </c>
      <c r="F243" s="9">
        <f t="shared" si="82"/>
        <v>-246.98267209999995</v>
      </c>
      <c r="I243">
        <v>1</v>
      </c>
      <c r="J243">
        <f t="shared" si="77"/>
        <v>0.3784087025534616</v>
      </c>
      <c r="K243">
        <f t="shared" si="83"/>
        <v>-2.7154223630711365</v>
      </c>
      <c r="O243">
        <f t="shared" si="84"/>
        <v>-0.33639767158425776</v>
      </c>
      <c r="P243">
        <f t="shared" si="85"/>
        <v>-0.15272249194086496</v>
      </c>
      <c r="Q243">
        <f t="shared" si="86"/>
        <v>0.92925370432840471</v>
      </c>
      <c r="R243">
        <f t="shared" si="76"/>
        <v>1</v>
      </c>
      <c r="AG243" s="8">
        <f t="shared" si="78"/>
        <v>-0.4186980890289333</v>
      </c>
      <c r="AH243" s="8">
        <f t="shared" si="79"/>
        <v>0.83857824537426817</v>
      </c>
      <c r="AI243" s="8">
        <f t="shared" si="80"/>
        <v>0.34853756846075135</v>
      </c>
      <c r="AJ243" s="8"/>
      <c r="AK243" s="8"/>
      <c r="AL243" s="8"/>
      <c r="AN243" s="8">
        <f t="shared" si="87"/>
        <v>0.99999999999999989</v>
      </c>
      <c r="AO243" s="8">
        <f t="shared" si="88"/>
        <v>2.0338799333107644</v>
      </c>
      <c r="AP243" s="8">
        <f t="shared" si="89"/>
        <v>1.2147859451426242</v>
      </c>
      <c r="AQ243" s="8"/>
      <c r="AR243" s="8">
        <f t="shared" si="90"/>
        <v>116.53273621505613</v>
      </c>
      <c r="AS243" s="8">
        <f t="shared" si="91"/>
        <v>20.397892331516886</v>
      </c>
    </row>
    <row r="244" spans="1:45">
      <c r="A244" s="19">
        <v>101.6015</v>
      </c>
      <c r="B244" s="19">
        <v>415.45907849999998</v>
      </c>
      <c r="C244" s="19">
        <v>-786.99783560000003</v>
      </c>
      <c r="E244" s="9">
        <f t="shared" si="81"/>
        <v>-544.54092149999997</v>
      </c>
      <c r="F244" s="9">
        <f t="shared" si="82"/>
        <v>-246.99783560000003</v>
      </c>
      <c r="I244">
        <v>1</v>
      </c>
      <c r="J244">
        <f t="shared" si="77"/>
        <v>0.37868737561709703</v>
      </c>
      <c r="K244">
        <f t="shared" si="83"/>
        <v>-2.7157580272885435</v>
      </c>
      <c r="O244">
        <f t="shared" si="84"/>
        <v>-0.3366847345894679</v>
      </c>
      <c r="P244">
        <f t="shared" si="85"/>
        <v>-0.15271653137487684</v>
      </c>
      <c r="Q244">
        <f t="shared" si="86"/>
        <v>0.92915071465249699</v>
      </c>
      <c r="R244">
        <f t="shared" si="76"/>
        <v>1</v>
      </c>
      <c r="AG244" s="8">
        <f t="shared" si="78"/>
        <v>-0.41845237701449867</v>
      </c>
      <c r="AH244" s="8">
        <f t="shared" si="79"/>
        <v>0.83873688398232116</v>
      </c>
      <c r="AI244" s="8">
        <f t="shared" si="80"/>
        <v>0.34845092569620489</v>
      </c>
      <c r="AJ244" s="8"/>
      <c r="AK244" s="8"/>
      <c r="AL244" s="8"/>
      <c r="AN244" s="8">
        <f t="shared" si="87"/>
        <v>1</v>
      </c>
      <c r="AO244" s="8">
        <f t="shared" si="88"/>
        <v>2.0335697974148923</v>
      </c>
      <c r="AP244" s="8">
        <f t="shared" si="89"/>
        <v>1.2148783827348795</v>
      </c>
      <c r="AQ244" s="8"/>
      <c r="AR244" s="8">
        <f t="shared" si="90"/>
        <v>116.51496673714716</v>
      </c>
      <c r="AS244" s="8">
        <f t="shared" si="91"/>
        <v>20.392596047612301</v>
      </c>
    </row>
    <row r="245" spans="1:45">
      <c r="A245" s="19">
        <v>101.6348667</v>
      </c>
      <c r="B245" s="19">
        <v>415.41045480000002</v>
      </c>
      <c r="C245" s="19">
        <v>-786.9908911</v>
      </c>
      <c r="E245" s="9">
        <f t="shared" si="81"/>
        <v>-544.58954519999998</v>
      </c>
      <c r="F245" s="9">
        <f t="shared" si="82"/>
        <v>-246.9908911</v>
      </c>
      <c r="I245">
        <v>1</v>
      </c>
      <c r="J245">
        <f t="shared" si="77"/>
        <v>0.3787114760056447</v>
      </c>
      <c r="K245">
        <f t="shared" si="83"/>
        <v>-2.7158021922486175</v>
      </c>
      <c r="O245">
        <f t="shared" si="84"/>
        <v>-0.33671187237117617</v>
      </c>
      <c r="P245">
        <f t="shared" si="85"/>
        <v>-0.15271091069213252</v>
      </c>
      <c r="Q245">
        <f t="shared" si="86"/>
        <v>0.92914180444099936</v>
      </c>
      <c r="R245">
        <f t="shared" si="76"/>
        <v>1</v>
      </c>
      <c r="AG245" s="8">
        <f t="shared" si="78"/>
        <v>-0.4184271434008871</v>
      </c>
      <c r="AH245" s="8">
        <f t="shared" si="79"/>
        <v>0.83875095465579652</v>
      </c>
      <c r="AI245" s="8">
        <f t="shared" si="80"/>
        <v>0.34844735862015574</v>
      </c>
      <c r="AJ245" s="8"/>
      <c r="AK245" s="8"/>
      <c r="AL245" s="8"/>
      <c r="AN245" s="8">
        <f t="shared" si="87"/>
        <v>0.99999999999999989</v>
      </c>
      <c r="AO245" s="8">
        <f t="shared" si="88"/>
        <v>2.0335390066265386</v>
      </c>
      <c r="AP245" s="8">
        <f t="shared" si="89"/>
        <v>1.2148821883154608</v>
      </c>
      <c r="AQ245" s="8"/>
      <c r="AR245" s="8">
        <f t="shared" si="90"/>
        <v>116.51320255492661</v>
      </c>
      <c r="AS245" s="8">
        <f t="shared" si="91"/>
        <v>20.392378003906401</v>
      </c>
    </row>
    <row r="246" spans="1:45">
      <c r="A246" s="19">
        <v>101.6682333</v>
      </c>
      <c r="B246" s="19">
        <v>415.0712231</v>
      </c>
      <c r="C246" s="19">
        <v>-786.99149199999999</v>
      </c>
      <c r="E246" s="9">
        <f t="shared" si="81"/>
        <v>-544.9287769</v>
      </c>
      <c r="F246" s="9">
        <f t="shared" si="82"/>
        <v>-246.99149199999999</v>
      </c>
      <c r="I246">
        <v>1</v>
      </c>
      <c r="J246">
        <f t="shared" si="77"/>
        <v>0.37889140464660465</v>
      </c>
      <c r="K246">
        <f t="shared" si="83"/>
        <v>-2.7160354721664515</v>
      </c>
      <c r="O246">
        <f t="shared" si="84"/>
        <v>-0.33689975046163051</v>
      </c>
      <c r="P246">
        <f t="shared" si="85"/>
        <v>-0.15270137226798719</v>
      </c>
      <c r="Q246">
        <f t="shared" si="86"/>
        <v>0.92907526554438247</v>
      </c>
      <c r="R246">
        <f t="shared" si="76"/>
        <v>1</v>
      </c>
      <c r="AG246" s="8">
        <f t="shared" si="78"/>
        <v>-0.41826406123371029</v>
      </c>
      <c r="AH246" s="8">
        <f t="shared" si="79"/>
        <v>0.83885371677378928</v>
      </c>
      <c r="AI246" s="8">
        <f t="shared" si="80"/>
        <v>0.34839577628766194</v>
      </c>
      <c r="AJ246" s="8"/>
      <c r="AK246" s="8"/>
      <c r="AL246" s="8"/>
      <c r="AN246" s="8">
        <f t="shared" si="87"/>
        <v>1.0000000000000002</v>
      </c>
      <c r="AO246" s="8">
        <f t="shared" si="88"/>
        <v>2.0333343818929874</v>
      </c>
      <c r="AP246" s="8">
        <f t="shared" si="89"/>
        <v>1.2149372189830283</v>
      </c>
      <c r="AQ246" s="8"/>
      <c r="AR246" s="8">
        <f t="shared" si="90"/>
        <v>116.50147842131014</v>
      </c>
      <c r="AS246" s="8">
        <f t="shared" si="91"/>
        <v>20.389224978910988</v>
      </c>
    </row>
    <row r="247" spans="1:45">
      <c r="A247" s="19">
        <v>101.7016</v>
      </c>
      <c r="B247" s="19">
        <v>414.69015209999998</v>
      </c>
      <c r="C247" s="19">
        <v>-786.99875940000004</v>
      </c>
      <c r="E247" s="9">
        <f t="shared" si="81"/>
        <v>-545.30984790000002</v>
      </c>
      <c r="F247" s="9">
        <f t="shared" si="82"/>
        <v>-246.99875940000004</v>
      </c>
      <c r="I247">
        <v>1</v>
      </c>
      <c r="J247">
        <f t="shared" si="77"/>
        <v>0.37909510055349954</v>
      </c>
      <c r="K247">
        <f t="shared" si="83"/>
        <v>-2.716287205105929</v>
      </c>
      <c r="O247">
        <f t="shared" si="84"/>
        <v>-0.33711056193126337</v>
      </c>
      <c r="P247">
        <f t="shared" si="85"/>
        <v>-0.15269463938404515</v>
      </c>
      <c r="Q247">
        <f t="shared" si="86"/>
        <v>0.92899990104292485</v>
      </c>
      <c r="R247">
        <f t="shared" si="76"/>
        <v>1</v>
      </c>
      <c r="AG247" s="8">
        <f t="shared" si="78"/>
        <v>-0.41808261335911701</v>
      </c>
      <c r="AH247" s="8">
        <f t="shared" si="79"/>
        <v>0.8389697178474117</v>
      </c>
      <c r="AI247" s="8">
        <f t="shared" si="80"/>
        <v>0.34833423739541514</v>
      </c>
      <c r="AJ247" s="8"/>
      <c r="AK247" s="8"/>
      <c r="AL247" s="8"/>
      <c r="AN247" s="8">
        <f t="shared" si="87"/>
        <v>0.99999999999999989</v>
      </c>
      <c r="AO247" s="8">
        <f t="shared" si="88"/>
        <v>2.0331059300925398</v>
      </c>
      <c r="AP247" s="8">
        <f t="shared" si="89"/>
        <v>1.215002870344795</v>
      </c>
      <c r="AQ247" s="8"/>
      <c r="AR247" s="8">
        <f t="shared" si="90"/>
        <v>116.48838909732233</v>
      </c>
      <c r="AS247" s="8">
        <f t="shared" si="91"/>
        <v>20.385463432962482</v>
      </c>
    </row>
    <row r="248" spans="1:45">
      <c r="A248" s="19">
        <v>101.7349667</v>
      </c>
      <c r="B248" s="19">
        <v>414.35505169999999</v>
      </c>
      <c r="C248" s="19">
        <v>-786.98593619999997</v>
      </c>
      <c r="E248" s="9">
        <f t="shared" si="81"/>
        <v>-545.64494830000001</v>
      </c>
      <c r="F248" s="9">
        <f t="shared" si="82"/>
        <v>-246.98593619999997</v>
      </c>
      <c r="I248">
        <v>1</v>
      </c>
      <c r="J248">
        <f t="shared" si="77"/>
        <v>0.37926960666296794</v>
      </c>
      <c r="K248">
        <f t="shared" si="83"/>
        <v>-2.7165375517863652</v>
      </c>
      <c r="O248">
        <f t="shared" si="84"/>
        <v>-0.33729646324489398</v>
      </c>
      <c r="P248">
        <f t="shared" si="85"/>
        <v>-0.15267708976513036</v>
      </c>
      <c r="Q248">
        <f t="shared" si="86"/>
        <v>0.92893530568244431</v>
      </c>
      <c r="R248">
        <f t="shared" si="76"/>
        <v>1</v>
      </c>
      <c r="AG248" s="8">
        <f t="shared" si="78"/>
        <v>-0.41791798244576261</v>
      </c>
      <c r="AH248" s="8">
        <f t="shared" si="79"/>
        <v>0.83906986566441932</v>
      </c>
      <c r="AI248" s="8">
        <f t="shared" si="80"/>
        <v>0.34829056904021438</v>
      </c>
      <c r="AJ248" s="8"/>
      <c r="AK248" s="8"/>
      <c r="AL248" s="8"/>
      <c r="AN248" s="8">
        <f t="shared" si="87"/>
        <v>0.99999999999999978</v>
      </c>
      <c r="AO248" s="8">
        <f t="shared" si="88"/>
        <v>2.0329010879124256</v>
      </c>
      <c r="AP248" s="8">
        <f t="shared" si="89"/>
        <v>1.2150494559607137</v>
      </c>
      <c r="AQ248" s="8"/>
      <c r="AR248" s="8">
        <f t="shared" si="90"/>
        <v>116.47665250493553</v>
      </c>
      <c r="AS248" s="8">
        <f t="shared" si="91"/>
        <v>20.382794273784313</v>
      </c>
    </row>
    <row r="249" spans="1:45">
      <c r="A249" s="19">
        <v>101.76833329999999</v>
      </c>
      <c r="B249" s="19">
        <v>414.01533799999999</v>
      </c>
      <c r="C249" s="19">
        <v>-786.97778259999995</v>
      </c>
      <c r="E249" s="9">
        <f t="shared" si="81"/>
        <v>-545.98466200000007</v>
      </c>
      <c r="F249" s="9">
        <f t="shared" si="82"/>
        <v>-246.97778259999995</v>
      </c>
      <c r="I249">
        <v>1</v>
      </c>
      <c r="J249">
        <f t="shared" si="77"/>
        <v>0.37944767549932951</v>
      </c>
      <c r="K249">
        <f t="shared" si="83"/>
        <v>-2.716783720844961</v>
      </c>
      <c r="O249">
        <f t="shared" si="84"/>
        <v>-0.33748474403156115</v>
      </c>
      <c r="P249">
        <f t="shared" si="85"/>
        <v>-0.15266222577923536</v>
      </c>
      <c r="Q249">
        <f t="shared" si="86"/>
        <v>0.92886936237884465</v>
      </c>
      <c r="R249">
        <f t="shared" si="76"/>
        <v>1</v>
      </c>
      <c r="AG249" s="8">
        <f t="shared" si="78"/>
        <v>-0.41775237074306421</v>
      </c>
      <c r="AH249" s="8">
        <f t="shared" si="79"/>
        <v>0.83917180191098728</v>
      </c>
      <c r="AI249" s="8">
        <f t="shared" si="80"/>
        <v>0.34824365552873504</v>
      </c>
      <c r="AJ249" s="8"/>
      <c r="AK249" s="8"/>
      <c r="AL249" s="8"/>
      <c r="AN249" s="8">
        <f t="shared" si="87"/>
        <v>1.0000000000000002</v>
      </c>
      <c r="AO249" s="8">
        <f t="shared" si="88"/>
        <v>2.0326944659583637</v>
      </c>
      <c r="AP249" s="8">
        <f t="shared" si="89"/>
        <v>1.2150995026268498</v>
      </c>
      <c r="AQ249" s="8"/>
      <c r="AR249" s="8">
        <f t="shared" si="90"/>
        <v>116.46481393901303</v>
      </c>
      <c r="AS249" s="8">
        <f t="shared" si="91"/>
        <v>20.379926811036015</v>
      </c>
    </row>
    <row r="250" spans="1:45">
      <c r="A250" s="19">
        <v>101.8017</v>
      </c>
      <c r="B250" s="19">
        <v>413.40512339999998</v>
      </c>
      <c r="C250" s="19">
        <v>-786.98788349999995</v>
      </c>
      <c r="E250" s="9">
        <f t="shared" si="81"/>
        <v>-546.59487660000002</v>
      </c>
      <c r="F250" s="9">
        <f t="shared" si="82"/>
        <v>-246.98788349999995</v>
      </c>
      <c r="I250">
        <v>1</v>
      </c>
      <c r="J250">
        <f t="shared" si="77"/>
        <v>0.37977345121702066</v>
      </c>
      <c r="K250">
        <f t="shared" si="83"/>
        <v>-2.7171876752097281</v>
      </c>
      <c r="O250">
        <f t="shared" si="84"/>
        <v>-0.33782212447158977</v>
      </c>
      <c r="P250">
        <f t="shared" si="85"/>
        <v>-0.15265048227623937</v>
      </c>
      <c r="Q250">
        <f t="shared" si="86"/>
        <v>0.92874864332516427</v>
      </c>
      <c r="R250">
        <f t="shared" si="76"/>
        <v>1</v>
      </c>
      <c r="AG250" s="8">
        <f t="shared" si="78"/>
        <v>-0.41746144137834829</v>
      </c>
      <c r="AH250" s="8">
        <f t="shared" si="79"/>
        <v>0.83935711809592428</v>
      </c>
      <c r="AI250" s="8">
        <f t="shared" si="80"/>
        <v>0.34814590800986933</v>
      </c>
      <c r="AJ250" s="8"/>
      <c r="AK250" s="8"/>
      <c r="AL250" s="8"/>
      <c r="AN250" s="8">
        <f t="shared" si="87"/>
        <v>0.99999999999999989</v>
      </c>
      <c r="AO250" s="8">
        <f t="shared" si="88"/>
        <v>2.0323285459586491</v>
      </c>
      <c r="AP250" s="8">
        <f t="shared" si="89"/>
        <v>1.2152037752995164</v>
      </c>
      <c r="AQ250" s="8"/>
      <c r="AR250" s="8">
        <f t="shared" si="90"/>
        <v>116.44384826738995</v>
      </c>
      <c r="AS250" s="8">
        <f t="shared" si="91"/>
        <v>20.373952426973673</v>
      </c>
    </row>
    <row r="251" spans="1:45">
      <c r="A251" s="19">
        <v>101.8350667</v>
      </c>
      <c r="B251" s="19">
        <v>413.41150620000002</v>
      </c>
      <c r="C251" s="19">
        <v>-786.98791059999996</v>
      </c>
      <c r="E251" s="9">
        <f t="shared" si="81"/>
        <v>-546.58849379999992</v>
      </c>
      <c r="F251" s="9">
        <f t="shared" si="82"/>
        <v>-246.98791059999996</v>
      </c>
      <c r="I251">
        <v>1</v>
      </c>
      <c r="J251">
        <f t="shared" si="77"/>
        <v>0.379770075537401</v>
      </c>
      <c r="K251">
        <f t="shared" si="83"/>
        <v>-2.71718325208683</v>
      </c>
      <c r="O251">
        <f t="shared" si="84"/>
        <v>-0.33781859226130301</v>
      </c>
      <c r="P251">
        <f t="shared" si="85"/>
        <v>-0.15265068549903046</v>
      </c>
      <c r="Q251">
        <f t="shared" si="86"/>
        <v>0.92874989471830771</v>
      </c>
      <c r="R251">
        <f t="shared" si="76"/>
        <v>1</v>
      </c>
      <c r="AG251" s="8">
        <f t="shared" si="78"/>
        <v>-0.41746451947329055</v>
      </c>
      <c r="AH251" s="8">
        <f t="shared" si="79"/>
        <v>0.8393551929972527</v>
      </c>
      <c r="AI251" s="8">
        <f t="shared" si="80"/>
        <v>0.34814685833636255</v>
      </c>
      <c r="AJ251" s="8"/>
      <c r="AK251" s="8"/>
      <c r="AL251" s="8"/>
      <c r="AN251" s="8">
        <f t="shared" si="87"/>
        <v>1</v>
      </c>
      <c r="AO251" s="8">
        <f t="shared" si="88"/>
        <v>2.0323324004171419</v>
      </c>
      <c r="AP251" s="8">
        <f t="shared" si="89"/>
        <v>1.2152027615532415</v>
      </c>
      <c r="AQ251" s="8"/>
      <c r="AR251" s="8">
        <f t="shared" si="90"/>
        <v>116.4440691115939</v>
      </c>
      <c r="AS251" s="8">
        <f t="shared" si="91"/>
        <v>20.374010510356726</v>
      </c>
    </row>
    <row r="252" spans="1:45">
      <c r="A252" s="19">
        <v>101.86843330000001</v>
      </c>
      <c r="B252" s="19">
        <v>413.28619120000002</v>
      </c>
      <c r="C252" s="19">
        <v>-786.98439519999999</v>
      </c>
      <c r="E252" s="9">
        <f t="shared" si="81"/>
        <v>-546.71380879999992</v>
      </c>
      <c r="F252" s="9">
        <f t="shared" si="82"/>
        <v>-246.98439519999999</v>
      </c>
      <c r="I252">
        <v>1</v>
      </c>
      <c r="J252">
        <f t="shared" si="77"/>
        <v>0.37983563654519248</v>
      </c>
      <c r="K252">
        <f t="shared" si="83"/>
        <v>-2.7172746085614921</v>
      </c>
      <c r="O252">
        <f t="shared" si="84"/>
        <v>-0.33788802580949451</v>
      </c>
      <c r="P252">
        <f t="shared" si="85"/>
        <v>-0.15264489090380559</v>
      </c>
      <c r="Q252">
        <f t="shared" si="86"/>
        <v>0.92872558880194944</v>
      </c>
      <c r="R252">
        <f t="shared" si="76"/>
        <v>1</v>
      </c>
      <c r="AG252" s="8">
        <f t="shared" si="78"/>
        <v>-0.41740329847488655</v>
      </c>
      <c r="AH252" s="8">
        <f t="shared" si="79"/>
        <v>0.83939270491707729</v>
      </c>
      <c r="AI252" s="8">
        <f t="shared" si="80"/>
        <v>0.34812982255801828</v>
      </c>
      <c r="AJ252" s="8"/>
      <c r="AK252" s="8"/>
      <c r="AL252" s="8"/>
      <c r="AN252" s="8">
        <f t="shared" si="87"/>
        <v>1</v>
      </c>
      <c r="AO252" s="8">
        <f t="shared" si="88"/>
        <v>2.0322561076522501</v>
      </c>
      <c r="AP252" s="8">
        <f t="shared" si="89"/>
        <v>1.2152209341517519</v>
      </c>
      <c r="AQ252" s="8"/>
      <c r="AR252" s="8">
        <f t="shared" si="90"/>
        <v>116.43969785815821</v>
      </c>
      <c r="AS252" s="8">
        <f t="shared" si="91"/>
        <v>20.372969297159287</v>
      </c>
    </row>
    <row r="253" spans="1:45">
      <c r="A253" s="19">
        <v>101.90179999999999</v>
      </c>
      <c r="B253" s="19">
        <v>413.09491009999999</v>
      </c>
      <c r="C253" s="19">
        <v>-786.9817468</v>
      </c>
      <c r="E253" s="9">
        <f t="shared" si="81"/>
        <v>-546.90508990000001</v>
      </c>
      <c r="F253" s="9">
        <f t="shared" si="82"/>
        <v>-246.9817468</v>
      </c>
      <c r="I253">
        <v>1</v>
      </c>
      <c r="J253">
        <f t="shared" si="77"/>
        <v>0.37993635859226371</v>
      </c>
      <c r="K253">
        <f t="shared" si="83"/>
        <v>-2.7174098618969409</v>
      </c>
      <c r="O253">
        <f t="shared" si="84"/>
        <v>-0.33799391965239961</v>
      </c>
      <c r="P253">
        <f t="shared" si="85"/>
        <v>-0.15263768837622688</v>
      </c>
      <c r="Q253">
        <f t="shared" si="86"/>
        <v>0.92868823959667379</v>
      </c>
      <c r="R253">
        <f t="shared" si="76"/>
        <v>1</v>
      </c>
      <c r="AG253" s="8">
        <f t="shared" si="78"/>
        <v>-0.41731057009490552</v>
      </c>
      <c r="AH253" s="8">
        <f t="shared" si="79"/>
        <v>0.83945020671288906</v>
      </c>
      <c r="AI253" s="8">
        <f t="shared" si="80"/>
        <v>0.34810233917161904</v>
      </c>
      <c r="AJ253" s="8"/>
      <c r="AK253" s="8"/>
      <c r="AL253" s="8"/>
      <c r="AN253" s="8">
        <f t="shared" si="87"/>
        <v>1</v>
      </c>
      <c r="AO253" s="8">
        <f t="shared" si="88"/>
        <v>2.0321402278110074</v>
      </c>
      <c r="AP253" s="8">
        <f t="shared" si="89"/>
        <v>1.2152502512825971</v>
      </c>
      <c r="AQ253" s="8"/>
      <c r="AR253" s="8">
        <f t="shared" si="90"/>
        <v>116.43305843232436</v>
      </c>
      <c r="AS253" s="8">
        <f t="shared" si="91"/>
        <v>20.371289549294431</v>
      </c>
    </row>
    <row r="254" spans="1:45">
      <c r="A254" s="19">
        <v>101.9351667</v>
      </c>
      <c r="B254" s="19">
        <v>412.51496739999999</v>
      </c>
      <c r="C254" s="19">
        <v>-786.991536</v>
      </c>
      <c r="E254" s="9">
        <f t="shared" si="81"/>
        <v>-547.48503260000007</v>
      </c>
      <c r="F254" s="9">
        <f t="shared" si="82"/>
        <v>-246.991536</v>
      </c>
      <c r="I254">
        <v>1</v>
      </c>
      <c r="J254">
        <f t="shared" si="77"/>
        <v>0.3802459873626205</v>
      </c>
      <c r="K254">
        <f t="shared" si="83"/>
        <v>-2.7177924146775161</v>
      </c>
      <c r="O254">
        <f t="shared" si="84"/>
        <v>-0.33831438065012709</v>
      </c>
      <c r="P254">
        <f t="shared" si="85"/>
        <v>-0.15262661726263893</v>
      </c>
      <c r="Q254">
        <f t="shared" si="86"/>
        <v>0.92857336573277016</v>
      </c>
      <c r="R254">
        <f t="shared" si="76"/>
        <v>1</v>
      </c>
      <c r="AG254" s="8">
        <f t="shared" si="78"/>
        <v>-0.41703414707865516</v>
      </c>
      <c r="AH254" s="8">
        <f t="shared" si="79"/>
        <v>0.83962613160472599</v>
      </c>
      <c r="AI254" s="8">
        <f t="shared" si="80"/>
        <v>0.34800930921005846</v>
      </c>
      <c r="AJ254" s="8"/>
      <c r="AK254" s="8"/>
      <c r="AL254" s="8"/>
      <c r="AN254" s="8">
        <f t="shared" si="87"/>
        <v>1</v>
      </c>
      <c r="AO254" s="8">
        <f t="shared" si="88"/>
        <v>2.0317926642911628</v>
      </c>
      <c r="AP254" s="8">
        <f t="shared" si="89"/>
        <v>1.2153494860139413</v>
      </c>
      <c r="AQ254" s="8"/>
      <c r="AR254" s="8">
        <f t="shared" si="90"/>
        <v>116.41314450952456</v>
      </c>
      <c r="AS254" s="8">
        <f t="shared" si="91"/>
        <v>20.365603818007287</v>
      </c>
    </row>
    <row r="255" spans="1:45">
      <c r="A255" s="19">
        <v>101.9685333</v>
      </c>
      <c r="B255" s="19">
        <v>412.14431830000001</v>
      </c>
      <c r="C255" s="19">
        <v>-786.99365260000002</v>
      </c>
      <c r="E255" s="9">
        <f t="shared" si="81"/>
        <v>-547.85568169999999</v>
      </c>
      <c r="F255" s="9">
        <f t="shared" si="82"/>
        <v>-246.99365260000002</v>
      </c>
      <c r="I255">
        <v>1</v>
      </c>
      <c r="J255">
        <f t="shared" si="77"/>
        <v>0.38044287483420541</v>
      </c>
      <c r="K255">
        <f t="shared" si="83"/>
        <v>-2.7180428339897573</v>
      </c>
      <c r="O255">
        <f t="shared" si="84"/>
        <v>-0.33851925344444384</v>
      </c>
      <c r="P255">
        <f t="shared" si="85"/>
        <v>-0.15261702976999225</v>
      </c>
      <c r="Q255">
        <f t="shared" si="86"/>
        <v>0.92850027316721973</v>
      </c>
      <c r="R255">
        <f t="shared" si="76"/>
        <v>1</v>
      </c>
      <c r="AG255" s="8">
        <f t="shared" si="78"/>
        <v>-0.41685639547550463</v>
      </c>
      <c r="AH255" s="8">
        <f t="shared" si="79"/>
        <v>0.83973810537935845</v>
      </c>
      <c r="AI255" s="8">
        <f t="shared" si="80"/>
        <v>0.34795209429611884</v>
      </c>
      <c r="AJ255" s="8"/>
      <c r="AK255" s="8"/>
      <c r="AL255" s="8"/>
      <c r="AN255" s="8">
        <f t="shared" si="87"/>
        <v>1</v>
      </c>
      <c r="AO255" s="8">
        <f t="shared" si="88"/>
        <v>2.0315697268946149</v>
      </c>
      <c r="AP255" s="8">
        <f t="shared" si="89"/>
        <v>1.2154105151450427</v>
      </c>
      <c r="AQ255" s="8"/>
      <c r="AR255" s="8">
        <f t="shared" si="90"/>
        <v>116.40037113760673</v>
      </c>
      <c r="AS255" s="8">
        <f t="shared" si="91"/>
        <v>20.36210710636783</v>
      </c>
    </row>
    <row r="256" spans="1:45">
      <c r="A256" s="19">
        <v>102.00190000000001</v>
      </c>
      <c r="B256" s="19">
        <v>411.59258510000001</v>
      </c>
      <c r="C256" s="19">
        <v>-787.13992610000003</v>
      </c>
      <c r="E256" s="9">
        <f t="shared" si="81"/>
        <v>-548.40741490000005</v>
      </c>
      <c r="F256" s="9">
        <f t="shared" si="82"/>
        <v>-247.13992610000003</v>
      </c>
      <c r="I256">
        <v>1</v>
      </c>
      <c r="J256">
        <f t="shared" si="77"/>
        <v>0.38077009799763395</v>
      </c>
      <c r="K256">
        <f t="shared" si="83"/>
        <v>-2.7181981296066562</v>
      </c>
      <c r="O256">
        <f t="shared" si="84"/>
        <v>-0.33881993073605038</v>
      </c>
      <c r="P256">
        <f t="shared" si="85"/>
        <v>-0.15268927875197244</v>
      </c>
      <c r="Q256">
        <f t="shared" si="86"/>
        <v>0.92837871512127013</v>
      </c>
      <c r="R256">
        <f t="shared" si="76"/>
        <v>1</v>
      </c>
      <c r="AG256" s="8">
        <f t="shared" si="78"/>
        <v>-0.41662963331262548</v>
      </c>
      <c r="AH256" s="8">
        <f t="shared" si="79"/>
        <v>0.83991814565241252</v>
      </c>
      <c r="AI256" s="8">
        <f t="shared" si="80"/>
        <v>0.34778909880788372</v>
      </c>
      <c r="AJ256" s="8"/>
      <c r="AK256" s="8"/>
      <c r="AL256" s="8"/>
      <c r="AN256" s="8">
        <f t="shared" si="87"/>
        <v>0.99999999999999989</v>
      </c>
      <c r="AO256" s="8">
        <f t="shared" si="88"/>
        <v>2.0312677064296993</v>
      </c>
      <c r="AP256" s="8">
        <f t="shared" si="89"/>
        <v>1.2155843691073347</v>
      </c>
      <c r="AQ256" s="8"/>
      <c r="AR256" s="8">
        <f t="shared" si="90"/>
        <v>116.38306663964049</v>
      </c>
      <c r="AS256" s="8">
        <f t="shared" si="91"/>
        <v>20.352146008076872</v>
      </c>
    </row>
    <row r="257" spans="1:45">
      <c r="A257" s="19">
        <v>102.03526669999999</v>
      </c>
      <c r="B257" s="19">
        <v>411.5048104</v>
      </c>
      <c r="C257" s="19">
        <v>-787.06644270000004</v>
      </c>
      <c r="E257" s="9">
        <f t="shared" si="81"/>
        <v>-548.4951896</v>
      </c>
      <c r="F257" s="9">
        <f t="shared" si="82"/>
        <v>-247.06644270000004</v>
      </c>
      <c r="I257">
        <v>1</v>
      </c>
      <c r="J257">
        <f t="shared" si="77"/>
        <v>0.38079905735236008</v>
      </c>
      <c r="K257">
        <f t="shared" si="83"/>
        <v>-2.7183694435880859</v>
      </c>
      <c r="O257">
        <f t="shared" si="84"/>
        <v>-0.33887059659059021</v>
      </c>
      <c r="P257">
        <f t="shared" si="85"/>
        <v>-0.15264227366573779</v>
      </c>
      <c r="Q257">
        <f t="shared" si="86"/>
        <v>0.92836795240706771</v>
      </c>
      <c r="R257">
        <f t="shared" si="76"/>
        <v>1</v>
      </c>
      <c r="AG257" s="8">
        <f t="shared" si="78"/>
        <v>-0.41656799268547295</v>
      </c>
      <c r="AH257" s="8">
        <f t="shared" si="79"/>
        <v>0.83993767445143741</v>
      </c>
      <c r="AI257" s="8">
        <f t="shared" si="80"/>
        <v>0.34781577092924787</v>
      </c>
      <c r="AJ257" s="8"/>
      <c r="AK257" s="8"/>
      <c r="AL257" s="8"/>
      <c r="AN257" s="8">
        <f t="shared" si="87"/>
        <v>1</v>
      </c>
      <c r="AO257" s="8">
        <f t="shared" si="88"/>
        <v>2.0311995527586619</v>
      </c>
      <c r="AP257" s="8">
        <f t="shared" si="89"/>
        <v>1.2155559209033222</v>
      </c>
      <c r="AQ257" s="8"/>
      <c r="AR257" s="8">
        <f t="shared" si="90"/>
        <v>116.37916172193172</v>
      </c>
      <c r="AS257" s="8">
        <f t="shared" si="91"/>
        <v>20.353775970101509</v>
      </c>
    </row>
    <row r="258" spans="1:45">
      <c r="A258" s="19">
        <v>102.0686333</v>
      </c>
      <c r="B258" s="19">
        <v>411.19830289999999</v>
      </c>
      <c r="C258" s="19">
        <v>-786.94300520000002</v>
      </c>
      <c r="E258" s="9">
        <f t="shared" si="81"/>
        <v>-548.80169709999996</v>
      </c>
      <c r="F258" s="9">
        <f t="shared" si="82"/>
        <v>-246.94300520000002</v>
      </c>
      <c r="I258">
        <v>1</v>
      </c>
      <c r="J258">
        <f t="shared" si="77"/>
        <v>0.38093199690664137</v>
      </c>
      <c r="K258">
        <f t="shared" si="83"/>
        <v>-2.7187656372825986</v>
      </c>
      <c r="O258">
        <f t="shared" si="84"/>
        <v>-0.33904359072063672</v>
      </c>
      <c r="P258">
        <f t="shared" si="85"/>
        <v>-0.15255864482339054</v>
      </c>
      <c r="Q258">
        <f t="shared" si="86"/>
        <v>0.92831853556896515</v>
      </c>
      <c r="R258">
        <f t="shared" si="76"/>
        <v>1</v>
      </c>
      <c r="AG258" s="8">
        <f t="shared" si="78"/>
        <v>-0.41638793270379343</v>
      </c>
      <c r="AH258" s="8">
        <f t="shared" si="79"/>
        <v>0.84001836840428323</v>
      </c>
      <c r="AI258" s="8">
        <f t="shared" si="80"/>
        <v>0.34783649929538341</v>
      </c>
      <c r="AJ258" s="8"/>
      <c r="AK258" s="8"/>
      <c r="AL258" s="8"/>
      <c r="AN258" s="8">
        <f t="shared" si="87"/>
        <v>1.0000000000000002</v>
      </c>
      <c r="AO258" s="8">
        <f t="shared" si="88"/>
        <v>2.0309892568418753</v>
      </c>
      <c r="AP258" s="8">
        <f t="shared" si="89"/>
        <v>1.2155338120387684</v>
      </c>
      <c r="AQ258" s="8"/>
      <c r="AR258" s="8">
        <f t="shared" si="90"/>
        <v>116.367112653451</v>
      </c>
      <c r="AS258" s="8">
        <f t="shared" si="91"/>
        <v>20.355042714730274</v>
      </c>
    </row>
    <row r="259" spans="1:45">
      <c r="A259" s="19">
        <v>102.102</v>
      </c>
      <c r="B259" s="19">
        <v>410.07729330000001</v>
      </c>
      <c r="C259" s="19">
        <v>-788.6189296</v>
      </c>
      <c r="E259" s="9">
        <f t="shared" si="81"/>
        <v>-549.92270669999994</v>
      </c>
      <c r="F259" s="9">
        <f t="shared" si="82"/>
        <v>-248.6189296</v>
      </c>
      <c r="I259">
        <v>1</v>
      </c>
      <c r="J259">
        <f t="shared" si="77"/>
        <v>0.38192560189855995</v>
      </c>
      <c r="K259">
        <f t="shared" si="83"/>
        <v>-2.7169954390302795</v>
      </c>
      <c r="O259">
        <f t="shared" si="84"/>
        <v>-0.339613312020136</v>
      </c>
      <c r="P259">
        <f t="shared" si="85"/>
        <v>-0.15353848292432606</v>
      </c>
      <c r="Q259">
        <f t="shared" si="86"/>
        <v>0.9279486691407075</v>
      </c>
      <c r="R259">
        <f t="shared" si="76"/>
        <v>1</v>
      </c>
      <c r="AG259" s="8">
        <f t="shared" si="78"/>
        <v>-0.41629134962617392</v>
      </c>
      <c r="AH259" s="8">
        <f t="shared" si="79"/>
        <v>0.84051284244603008</v>
      </c>
      <c r="AI259" s="8">
        <f t="shared" si="80"/>
        <v>0.34675592844205816</v>
      </c>
      <c r="AJ259" s="8"/>
      <c r="AK259" s="8"/>
      <c r="AL259" s="8"/>
      <c r="AN259" s="8">
        <f t="shared" si="87"/>
        <v>1</v>
      </c>
      <c r="AO259" s="8">
        <f t="shared" si="88"/>
        <v>2.0306628644211653</v>
      </c>
      <c r="AP259" s="8">
        <f t="shared" si="89"/>
        <v>1.2166861070250632</v>
      </c>
      <c r="AQ259" s="8"/>
      <c r="AR259" s="8">
        <f t="shared" si="90"/>
        <v>116.34841174527926</v>
      </c>
      <c r="AS259" s="8">
        <f t="shared" si="91"/>
        <v>20.289021075261502</v>
      </c>
    </row>
    <row r="260" spans="1:45">
      <c r="A260" s="19">
        <v>102.13536670000001</v>
      </c>
      <c r="B260" s="19">
        <v>409.90598499999999</v>
      </c>
      <c r="C260" s="19">
        <v>-788.61387979999995</v>
      </c>
      <c r="E260" s="9">
        <f t="shared" si="81"/>
        <v>-550.09401500000001</v>
      </c>
      <c r="F260" s="9">
        <f t="shared" si="82"/>
        <v>-248.61387979999995</v>
      </c>
      <c r="I260">
        <v>1</v>
      </c>
      <c r="J260">
        <f t="shared" si="77"/>
        <v>0.38201501114714936</v>
      </c>
      <c r="K260">
        <f t="shared" si="83"/>
        <v>-2.7171199657430751</v>
      </c>
      <c r="O260">
        <f t="shared" si="84"/>
        <v>-0.33970803202683109</v>
      </c>
      <c r="P260">
        <f t="shared" si="85"/>
        <v>-0.15353035942667576</v>
      </c>
      <c r="Q260">
        <f t="shared" si="86"/>
        <v>0.92791534188781111</v>
      </c>
      <c r="R260">
        <f t="shared" si="76"/>
        <v>1</v>
      </c>
      <c r="AG260" s="8">
        <f t="shared" si="78"/>
        <v>-0.41620762364118163</v>
      </c>
      <c r="AH260" s="8">
        <f t="shared" si="79"/>
        <v>0.84056385656760724</v>
      </c>
      <c r="AI260" s="8">
        <f t="shared" si="80"/>
        <v>0.3467327747057547</v>
      </c>
      <c r="AJ260" s="8"/>
      <c r="AK260" s="8"/>
      <c r="AL260" s="8"/>
      <c r="AN260" s="8">
        <f t="shared" si="87"/>
        <v>1.0000000000000002</v>
      </c>
      <c r="AO260" s="8">
        <f t="shared" si="88"/>
        <v>2.0305587353025709</v>
      </c>
      <c r="AP260" s="8">
        <f t="shared" si="89"/>
        <v>1.216710792240095</v>
      </c>
      <c r="AQ260" s="8"/>
      <c r="AR260" s="8">
        <f t="shared" si="90"/>
        <v>116.34244558625939</v>
      </c>
      <c r="AS260" s="8">
        <f t="shared" si="91"/>
        <v>20.287606716623799</v>
      </c>
    </row>
    <row r="261" spans="1:45">
      <c r="A261" s="19">
        <v>102.1687333</v>
      </c>
      <c r="B261" s="19">
        <v>409.35006900000002</v>
      </c>
      <c r="C261" s="19">
        <v>-788.71339579999994</v>
      </c>
      <c r="E261" s="9">
        <f t="shared" si="81"/>
        <v>-550.64993099999992</v>
      </c>
      <c r="F261" s="9">
        <f t="shared" si="82"/>
        <v>-248.71339579999994</v>
      </c>
      <c r="I261">
        <v>1</v>
      </c>
      <c r="J261">
        <f t="shared" si="77"/>
        <v>0.38233283259973311</v>
      </c>
      <c r="K261">
        <f t="shared" si="83"/>
        <v>-2.7173487989604537</v>
      </c>
      <c r="O261">
        <f t="shared" si="84"/>
        <v>-0.34001190639384238</v>
      </c>
      <c r="P261">
        <f t="shared" si="85"/>
        <v>-0.15357400608054239</v>
      </c>
      <c r="Q261">
        <f t="shared" si="86"/>
        <v>0.92779681405294689</v>
      </c>
      <c r="R261">
        <f t="shared" si="76"/>
        <v>1</v>
      </c>
      <c r="AG261" s="8">
        <f t="shared" si="78"/>
        <v>-0.41596652231775644</v>
      </c>
      <c r="AH261" s="8">
        <f t="shared" si="79"/>
        <v>0.84074015614304876</v>
      </c>
      <c r="AI261" s="8">
        <f t="shared" si="80"/>
        <v>0.34659463665705148</v>
      </c>
      <c r="AJ261" s="8"/>
      <c r="AK261" s="8"/>
      <c r="AL261" s="8"/>
      <c r="AN261" s="8">
        <f t="shared" si="87"/>
        <v>1.0000000000000002</v>
      </c>
      <c r="AO261" s="8">
        <f t="shared" si="88"/>
        <v>2.0302449927748727</v>
      </c>
      <c r="AP261" s="8">
        <f t="shared" si="89"/>
        <v>1.2168580625997256</v>
      </c>
      <c r="AQ261" s="8"/>
      <c r="AR261" s="8">
        <f t="shared" si="90"/>
        <v>116.32446946356852</v>
      </c>
      <c r="AS261" s="8">
        <f t="shared" si="91"/>
        <v>20.279168746569596</v>
      </c>
    </row>
    <row r="262" spans="1:45">
      <c r="A262" s="19">
        <v>102.2021</v>
      </c>
      <c r="B262" s="19">
        <v>408.85499859999999</v>
      </c>
      <c r="C262" s="19">
        <v>-788.64161960000001</v>
      </c>
      <c r="E262" s="9">
        <f t="shared" si="81"/>
        <v>-551.14500139999996</v>
      </c>
      <c r="F262" s="9">
        <f t="shared" si="82"/>
        <v>-248.64161960000001</v>
      </c>
      <c r="I262">
        <v>1</v>
      </c>
      <c r="J262">
        <f t="shared" si="77"/>
        <v>0.38257753638658965</v>
      </c>
      <c r="K262">
        <f t="shared" si="83"/>
        <v>-2.7177940262220366</v>
      </c>
      <c r="O262">
        <f t="shared" si="84"/>
        <v>-0.34028718819230824</v>
      </c>
      <c r="P262">
        <f t="shared" si="85"/>
        <v>-0.15351596655388899</v>
      </c>
      <c r="Q262">
        <f t="shared" si="86"/>
        <v>0.92770549074865227</v>
      </c>
      <c r="R262">
        <f t="shared" si="76"/>
        <v>1</v>
      </c>
      <c r="AG262" s="8">
        <f t="shared" si="78"/>
        <v>-0.41570948847052491</v>
      </c>
      <c r="AH262" s="8">
        <f t="shared" si="79"/>
        <v>0.84088205828657214</v>
      </c>
      <c r="AI262" s="8">
        <f t="shared" si="80"/>
        <v>0.34655877603562757</v>
      </c>
      <c r="AJ262" s="8"/>
      <c r="AK262" s="8"/>
      <c r="AL262" s="8"/>
      <c r="AN262" s="8">
        <f t="shared" si="87"/>
        <v>0.99999999999999989</v>
      </c>
      <c r="AO262" s="8">
        <f t="shared" si="88"/>
        <v>2.0299323094675374</v>
      </c>
      <c r="AP262" s="8">
        <f t="shared" si="89"/>
        <v>1.2168962926576596</v>
      </c>
      <c r="AQ262" s="8"/>
      <c r="AR262" s="8">
        <f t="shared" si="90"/>
        <v>116.30655402973402</v>
      </c>
      <c r="AS262" s="8">
        <f t="shared" si="91"/>
        <v>20.27697832559943</v>
      </c>
    </row>
    <row r="263" spans="1:45">
      <c r="A263" s="19">
        <v>102.2354667</v>
      </c>
      <c r="B263" s="19">
        <v>408.98551420000001</v>
      </c>
      <c r="C263" s="19">
        <v>-788.63018490000002</v>
      </c>
      <c r="E263" s="9">
        <f t="shared" si="81"/>
        <v>-551.01448579999999</v>
      </c>
      <c r="F263" s="9">
        <f t="shared" si="82"/>
        <v>-248.63018490000002</v>
      </c>
      <c r="I263">
        <v>1</v>
      </c>
      <c r="J263">
        <f t="shared" si="77"/>
        <v>0.38250577749381426</v>
      </c>
      <c r="K263">
        <f t="shared" si="83"/>
        <v>-2.7177224836486582</v>
      </c>
      <c r="O263">
        <f t="shared" si="84"/>
        <v>-0.34021552367675889</v>
      </c>
      <c r="P263">
        <f t="shared" si="85"/>
        <v>-0.15351293067149158</v>
      </c>
      <c r="Q263">
        <f t="shared" si="86"/>
        <v>0.9277322768805657</v>
      </c>
      <c r="R263">
        <f t="shared" si="76"/>
        <v>1</v>
      </c>
      <c r="AG263" s="8">
        <f t="shared" si="78"/>
        <v>-0.41576923720863446</v>
      </c>
      <c r="AH263" s="8">
        <f t="shared" si="79"/>
        <v>0.84084182062015189</v>
      </c>
      <c r="AI263" s="8">
        <f t="shared" si="80"/>
        <v>0.34658472858326972</v>
      </c>
      <c r="AJ263" s="8"/>
      <c r="AK263" s="8"/>
      <c r="AL263" s="8"/>
      <c r="AN263" s="8">
        <f t="shared" si="87"/>
        <v>1</v>
      </c>
      <c r="AO263" s="8">
        <f t="shared" si="88"/>
        <v>2.0300084200863058</v>
      </c>
      <c r="AP263" s="8">
        <f t="shared" si="89"/>
        <v>1.2168686253885375</v>
      </c>
      <c r="AQ263" s="8"/>
      <c r="AR263" s="8">
        <f t="shared" si="90"/>
        <v>116.31091484696557</v>
      </c>
      <c r="AS263" s="8">
        <f t="shared" si="91"/>
        <v>20.278563543350785</v>
      </c>
    </row>
    <row r="264" spans="1:45">
      <c r="A264" s="19">
        <v>102.2688333</v>
      </c>
      <c r="B264" s="19">
        <v>408.76173720000003</v>
      </c>
      <c r="C264" s="19">
        <v>-788.63248150000004</v>
      </c>
      <c r="E264" s="9">
        <f t="shared" si="81"/>
        <v>-551.23826280000003</v>
      </c>
      <c r="F264" s="9">
        <f t="shared" si="82"/>
        <v>-248.63248150000004</v>
      </c>
      <c r="I264">
        <v>1</v>
      </c>
      <c r="J264">
        <f t="shared" si="77"/>
        <v>0.3826246819455848</v>
      </c>
      <c r="K264">
        <f t="shared" si="83"/>
        <v>-2.7178712214281848</v>
      </c>
      <c r="O264">
        <f t="shared" si="84"/>
        <v>-0.34033890679942869</v>
      </c>
      <c r="P264">
        <f t="shared" si="85"/>
        <v>-0.15350768017937955</v>
      </c>
      <c r="Q264">
        <f t="shared" si="86"/>
        <v>0.9276878896722297</v>
      </c>
      <c r="R264">
        <f t="shared" si="76"/>
        <v>1</v>
      </c>
      <c r="AG264" s="8">
        <f t="shared" si="78"/>
        <v>-0.4156622264275458</v>
      </c>
      <c r="AH264" s="8">
        <f t="shared" si="79"/>
        <v>0.84090918836748274</v>
      </c>
      <c r="AI264" s="8">
        <f t="shared" si="80"/>
        <v>0.3465496363299736</v>
      </c>
      <c r="AJ264" s="8"/>
      <c r="AK264" s="8"/>
      <c r="AL264" s="8"/>
      <c r="AN264" s="8">
        <f t="shared" si="87"/>
        <v>0.99999999999999978</v>
      </c>
      <c r="AO264" s="8">
        <f t="shared" si="88"/>
        <v>2.02987432557675</v>
      </c>
      <c r="AP264" s="8">
        <f t="shared" si="89"/>
        <v>1.216906036169239</v>
      </c>
      <c r="AQ264" s="8"/>
      <c r="AR264" s="8">
        <f t="shared" si="90"/>
        <v>116.30323179751215</v>
      </c>
      <c r="AS264" s="8">
        <f t="shared" si="91"/>
        <v>20.276420063508297</v>
      </c>
    </row>
    <row r="265" spans="1:45">
      <c r="A265" s="19">
        <v>102.3022</v>
      </c>
      <c r="B265" s="19">
        <v>408.20998969999999</v>
      </c>
      <c r="C265" s="19">
        <v>-788.6945508</v>
      </c>
      <c r="E265" s="9">
        <f t="shared" si="81"/>
        <v>-551.79001029999995</v>
      </c>
      <c r="F265" s="9">
        <f t="shared" si="82"/>
        <v>-248.6945508</v>
      </c>
      <c r="I265">
        <v>1</v>
      </c>
      <c r="J265">
        <f t="shared" si="77"/>
        <v>0.38293128445069557</v>
      </c>
      <c r="K265">
        <f t="shared" si="83"/>
        <v>-2.7181525520449035</v>
      </c>
      <c r="O265">
        <f t="shared" si="84"/>
        <v>-0.34064137441322601</v>
      </c>
      <c r="P265">
        <f t="shared" si="85"/>
        <v>-0.15352879177267678</v>
      </c>
      <c r="Q265">
        <f t="shared" si="86"/>
        <v>0.92757337398972939</v>
      </c>
      <c r="R265">
        <f t="shared" si="76"/>
        <v>1</v>
      </c>
      <c r="AG265" s="8">
        <f t="shared" si="78"/>
        <v>-0.41541327685558588</v>
      </c>
      <c r="AH265" s="8">
        <f t="shared" si="79"/>
        <v>0.84108047400672925</v>
      </c>
      <c r="AI265" s="8">
        <f t="shared" si="80"/>
        <v>0.34643245468160144</v>
      </c>
      <c r="AJ265" s="8"/>
      <c r="AK265" s="8"/>
      <c r="AL265" s="8"/>
      <c r="AN265" s="8">
        <f t="shared" si="87"/>
        <v>0.99999999999999978</v>
      </c>
      <c r="AO265" s="8">
        <f t="shared" si="88"/>
        <v>2.0295555087281381</v>
      </c>
      <c r="AP265" s="8">
        <f t="shared" si="89"/>
        <v>1.2170309562041952</v>
      </c>
      <c r="AQ265" s="8"/>
      <c r="AR265" s="8">
        <f t="shared" si="90"/>
        <v>116.28496493764902</v>
      </c>
      <c r="AS265" s="8">
        <f t="shared" si="91"/>
        <v>20.269262672728686</v>
      </c>
    </row>
    <row r="266" spans="1:45">
      <c r="A266" s="19">
        <v>102.3355667</v>
      </c>
      <c r="B266" s="19">
        <v>407.1837367</v>
      </c>
      <c r="C266" s="19">
        <v>-788.61471389999997</v>
      </c>
      <c r="E266" s="9">
        <f t="shared" si="81"/>
        <v>-552.81626329999995</v>
      </c>
      <c r="F266" s="9">
        <f t="shared" si="82"/>
        <v>-248.61471389999997</v>
      </c>
      <c r="I266">
        <v>1</v>
      </c>
      <c r="J266">
        <f t="shared" si="77"/>
        <v>0.38345499016510715</v>
      </c>
      <c r="K266">
        <f t="shared" si="83"/>
        <v>-2.7189683140612297</v>
      </c>
      <c r="O266">
        <f t="shared" si="84"/>
        <v>-0.34120949212129309</v>
      </c>
      <c r="P266">
        <f t="shared" si="85"/>
        <v>-0.15345008078690439</v>
      </c>
      <c r="Q266">
        <f t="shared" si="86"/>
        <v>0.9273775688428213</v>
      </c>
      <c r="R266">
        <f t="shared" si="76"/>
        <v>1</v>
      </c>
      <c r="AG266" s="8">
        <f t="shared" si="78"/>
        <v>-0.41489872617585449</v>
      </c>
      <c r="AH266" s="8">
        <f t="shared" si="79"/>
        <v>0.84138048688801903</v>
      </c>
      <c r="AI266" s="8">
        <f t="shared" si="80"/>
        <v>0.34632054992699079</v>
      </c>
      <c r="AJ266" s="8"/>
      <c r="AK266" s="8"/>
      <c r="AL266" s="8"/>
      <c r="AN266" s="8">
        <f t="shared" si="87"/>
        <v>1</v>
      </c>
      <c r="AO266" s="8">
        <f t="shared" si="88"/>
        <v>2.0289221074401196</v>
      </c>
      <c r="AP266" s="8">
        <f t="shared" si="89"/>
        <v>1.2171502454930465</v>
      </c>
      <c r="AQ266" s="8"/>
      <c r="AR266" s="8">
        <f t="shared" si="90"/>
        <v>116.24867371710741</v>
      </c>
      <c r="AS266" s="8">
        <f t="shared" si="91"/>
        <v>20.262427899936384</v>
      </c>
    </row>
    <row r="267" spans="1:45">
      <c r="A267" s="19">
        <v>102.36893329999999</v>
      </c>
      <c r="B267" s="19">
        <v>407.15505610000002</v>
      </c>
      <c r="C267" s="19">
        <v>-788.74710979999998</v>
      </c>
      <c r="E267" s="9">
        <f t="shared" si="81"/>
        <v>-552.84494389999998</v>
      </c>
      <c r="F267" s="9">
        <f t="shared" si="82"/>
        <v>-248.74710979999998</v>
      </c>
      <c r="I267">
        <v>1</v>
      </c>
      <c r="J267">
        <f t="shared" si="77"/>
        <v>0.38350164875716802</v>
      </c>
      <c r="K267">
        <f t="shared" si="83"/>
        <v>-2.7187885407755754</v>
      </c>
      <c r="O267">
        <f t="shared" si="84"/>
        <v>-0.34122135985922697</v>
      </c>
      <c r="P267">
        <f t="shared" si="85"/>
        <v>-0.15352917305934763</v>
      </c>
      <c r="Q267">
        <f t="shared" si="86"/>
        <v>0.92736011160472764</v>
      </c>
      <c r="R267">
        <f t="shared" si="76"/>
        <v>1</v>
      </c>
      <c r="AG267" s="8">
        <f t="shared" si="78"/>
        <v>-0.4149198789153008</v>
      </c>
      <c r="AH267" s="8">
        <f t="shared" si="79"/>
        <v>0.84140143923982069</v>
      </c>
      <c r="AI267" s="8">
        <f t="shared" si="80"/>
        <v>0.34624429544191837</v>
      </c>
      <c r="AJ267" s="8"/>
      <c r="AK267" s="8"/>
      <c r="AL267" s="8"/>
      <c r="AN267" s="8">
        <f t="shared" si="87"/>
        <v>1</v>
      </c>
      <c r="AO267" s="8">
        <f t="shared" si="88"/>
        <v>2.0289324523069472</v>
      </c>
      <c r="AP267" s="8">
        <f t="shared" si="89"/>
        <v>1.2172315289608804</v>
      </c>
      <c r="AQ267" s="8"/>
      <c r="AR267" s="8">
        <f t="shared" si="90"/>
        <v>116.24926643431627</v>
      </c>
      <c r="AS267" s="8">
        <f t="shared" si="91"/>
        <v>20.25777070028532</v>
      </c>
    </row>
    <row r="268" spans="1:45">
      <c r="A268" s="19">
        <v>102.4023</v>
      </c>
      <c r="B268" s="19">
        <v>406.97027759999997</v>
      </c>
      <c r="C268" s="19">
        <v>-788.6404824</v>
      </c>
      <c r="E268" s="9">
        <f t="shared" si="81"/>
        <v>-553.02972240000008</v>
      </c>
      <c r="F268" s="9">
        <f t="shared" si="82"/>
        <v>-248.6404824</v>
      </c>
      <c r="I268">
        <v>1</v>
      </c>
      <c r="J268">
        <f t="shared" si="77"/>
        <v>0.38357399666790465</v>
      </c>
      <c r="K268">
        <f t="shared" si="83"/>
        <v>-2.719073945772402</v>
      </c>
      <c r="O268">
        <f t="shared" si="84"/>
        <v>-0.3413263554415652</v>
      </c>
      <c r="P268">
        <f t="shared" si="85"/>
        <v>-0.15345929203320632</v>
      </c>
      <c r="Q268">
        <f t="shared" si="86"/>
        <v>0.92733303875665152</v>
      </c>
      <c r="R268">
        <f t="shared" si="76"/>
        <v>1</v>
      </c>
      <c r="AG268" s="8">
        <f t="shared" si="78"/>
        <v>-0.41480289100442658</v>
      </c>
      <c r="AH268" s="8">
        <f t="shared" si="79"/>
        <v>0.84144679367370689</v>
      </c>
      <c r="AI268" s="8">
        <f t="shared" si="80"/>
        <v>0.34627424829260411</v>
      </c>
      <c r="AJ268" s="8"/>
      <c r="AK268" s="8"/>
      <c r="AL268" s="8"/>
      <c r="AN268" s="8">
        <f t="shared" si="87"/>
        <v>1</v>
      </c>
      <c r="AO268" s="8">
        <f t="shared" si="88"/>
        <v>2.02879922693318</v>
      </c>
      <c r="AP268" s="8">
        <f t="shared" si="89"/>
        <v>1.2171996010107307</v>
      </c>
      <c r="AQ268" s="8"/>
      <c r="AR268" s="8">
        <f t="shared" si="90"/>
        <v>116.24163318267536</v>
      </c>
      <c r="AS268" s="8">
        <f t="shared" si="91"/>
        <v>20.259600037077405</v>
      </c>
    </row>
    <row r="269" spans="1:45">
      <c r="A269" s="19">
        <v>102.4356667</v>
      </c>
      <c r="B269" s="19">
        <v>406.55911650000002</v>
      </c>
      <c r="C269" s="19">
        <v>-788.59882210000001</v>
      </c>
      <c r="E269" s="9">
        <f t="shared" si="81"/>
        <v>-553.44088349999993</v>
      </c>
      <c r="F269" s="9">
        <f t="shared" si="82"/>
        <v>-248.59882210000001</v>
      </c>
      <c r="I269">
        <v>1</v>
      </c>
      <c r="J269">
        <f t="shared" si="77"/>
        <v>0.38378151691343038</v>
      </c>
      <c r="K269">
        <f t="shared" si="83"/>
        <v>-2.7194144653350372</v>
      </c>
      <c r="O269">
        <f t="shared" si="84"/>
        <v>-0.34155412803494961</v>
      </c>
      <c r="P269">
        <f t="shared" si="85"/>
        <v>-0.15342190366549083</v>
      </c>
      <c r="Q269">
        <f t="shared" si="86"/>
        <v>0.92725535700687223</v>
      </c>
      <c r="R269">
        <f t="shared" si="76"/>
        <v>1</v>
      </c>
      <c r="AG269" s="8">
        <f t="shared" si="78"/>
        <v>-0.41459420460966256</v>
      </c>
      <c r="AH269" s="8">
        <f t="shared" si="79"/>
        <v>0.84156593227870913</v>
      </c>
      <c r="AI269" s="8">
        <f t="shared" si="80"/>
        <v>0.34623464172717933</v>
      </c>
      <c r="AJ269" s="8"/>
      <c r="AK269" s="8"/>
      <c r="AL269" s="8"/>
      <c r="AN269" s="8">
        <f t="shared" si="87"/>
        <v>0.99999999999999978</v>
      </c>
      <c r="AO269" s="8">
        <f t="shared" si="88"/>
        <v>2.0285435565221714</v>
      </c>
      <c r="AP269" s="8">
        <f t="shared" si="89"/>
        <v>1.2172418191641345</v>
      </c>
      <c r="AQ269" s="8"/>
      <c r="AR269" s="8">
        <f t="shared" si="90"/>
        <v>116.22698434717819</v>
      </c>
      <c r="AS269" s="8">
        <f t="shared" si="91"/>
        <v>20.257181115068519</v>
      </c>
    </row>
    <row r="270" spans="1:45">
      <c r="A270" s="19">
        <v>102.46903330000001</v>
      </c>
      <c r="B270" s="19">
        <v>406.26110729999999</v>
      </c>
      <c r="C270" s="19">
        <v>-788.60890649999999</v>
      </c>
      <c r="E270" s="9">
        <f t="shared" si="81"/>
        <v>-553.73889269999995</v>
      </c>
      <c r="F270" s="9">
        <f t="shared" si="82"/>
        <v>-248.60890649999999</v>
      </c>
      <c r="I270">
        <v>1</v>
      </c>
      <c r="J270">
        <f t="shared" si="77"/>
        <v>0.38394149393111965</v>
      </c>
      <c r="K270">
        <f t="shared" si="83"/>
        <v>-2.7196004821981945</v>
      </c>
      <c r="O270">
        <f t="shared" si="84"/>
        <v>-0.34171798324547753</v>
      </c>
      <c r="P270">
        <f t="shared" si="85"/>
        <v>-0.15341912093588345</v>
      </c>
      <c r="Q270">
        <f t="shared" si="86"/>
        <v>0.92719544501572282</v>
      </c>
      <c r="R270">
        <f t="shared" si="76"/>
        <v>1</v>
      </c>
      <c r="AG270" s="8">
        <f t="shared" si="78"/>
        <v>-0.41445358566148</v>
      </c>
      <c r="AH270" s="8">
        <f t="shared" si="79"/>
        <v>0.84165600297446719</v>
      </c>
      <c r="AI270" s="8">
        <f t="shared" si="80"/>
        <v>0.34618405218811832</v>
      </c>
      <c r="AJ270" s="8"/>
      <c r="AK270" s="8"/>
      <c r="AL270" s="8"/>
      <c r="AN270" s="8">
        <f t="shared" si="87"/>
        <v>0.99999999999999978</v>
      </c>
      <c r="AO270" s="8">
        <f t="shared" si="88"/>
        <v>2.0283666720867974</v>
      </c>
      <c r="AP270" s="8">
        <f t="shared" si="89"/>
        <v>1.2172957435326535</v>
      </c>
      <c r="AQ270" s="8"/>
      <c r="AR270" s="8">
        <f t="shared" si="90"/>
        <v>116.2168496155697</v>
      </c>
      <c r="AS270" s="8">
        <f t="shared" si="91"/>
        <v>20.254091476339482</v>
      </c>
    </row>
    <row r="271" spans="1:45">
      <c r="A271" s="19">
        <v>102.50239999999999</v>
      </c>
      <c r="B271" s="19">
        <v>405.27280430000002</v>
      </c>
      <c r="C271" s="19">
        <v>-788.64404990000003</v>
      </c>
      <c r="E271" s="9">
        <f t="shared" si="81"/>
        <v>-554.72719570000004</v>
      </c>
      <c r="F271" s="9">
        <f t="shared" si="82"/>
        <v>-248.64404990000003</v>
      </c>
      <c r="I271">
        <v>1</v>
      </c>
      <c r="J271">
        <f t="shared" si="77"/>
        <v>0.38447238235963394</v>
      </c>
      <c r="K271">
        <f t="shared" si="83"/>
        <v>-2.7202136184742018</v>
      </c>
      <c r="O271">
        <f t="shared" si="84"/>
        <v>-0.34226111689064637</v>
      </c>
      <c r="P271">
        <f t="shared" si="85"/>
        <v>-0.15341088536248881</v>
      </c>
      <c r="Q271">
        <f t="shared" si="86"/>
        <v>0.92699645528829544</v>
      </c>
      <c r="R271">
        <f t="shared" si="76"/>
        <v>1</v>
      </c>
      <c r="AG271" s="8">
        <f t="shared" si="78"/>
        <v>-0.41398772381633203</v>
      </c>
      <c r="AH271" s="8">
        <f t="shared" si="79"/>
        <v>0.84195460558250323</v>
      </c>
      <c r="AI271" s="8">
        <f t="shared" si="80"/>
        <v>0.34601532721511624</v>
      </c>
      <c r="AJ271" s="8"/>
      <c r="AK271" s="8"/>
      <c r="AL271" s="8"/>
      <c r="AN271" s="8">
        <f t="shared" si="87"/>
        <v>1.0000000000000002</v>
      </c>
      <c r="AO271" s="8">
        <f t="shared" si="88"/>
        <v>2.0277806193926908</v>
      </c>
      <c r="AP271" s="8">
        <f t="shared" si="89"/>
        <v>1.2174755829903783</v>
      </c>
      <c r="AQ271" s="8"/>
      <c r="AR271" s="8">
        <f t="shared" si="90"/>
        <v>116.18327126962512</v>
      </c>
      <c r="AS271" s="8">
        <f t="shared" si="91"/>
        <v>20.243787434421932</v>
      </c>
    </row>
    <row r="272" spans="1:45">
      <c r="A272" s="19">
        <v>102.5357667</v>
      </c>
      <c r="B272" s="19">
        <v>405.0243648</v>
      </c>
      <c r="C272" s="19">
        <v>-788.61135579999996</v>
      </c>
      <c r="E272" s="9">
        <f t="shared" si="81"/>
        <v>-554.97563519999994</v>
      </c>
      <c r="F272" s="9">
        <f t="shared" si="82"/>
        <v>-248.61135579999996</v>
      </c>
      <c r="I272">
        <v>1</v>
      </c>
      <c r="J272">
        <f t="shared" si="77"/>
        <v>0.38459598728482736</v>
      </c>
      <c r="K272">
        <f t="shared" si="83"/>
        <v>-2.7204297789747605</v>
      </c>
      <c r="O272">
        <f t="shared" si="84"/>
        <v>-0.34239883619360961</v>
      </c>
      <c r="P272">
        <f t="shared" si="85"/>
        <v>-0.15338374063891763</v>
      </c>
      <c r="Q272">
        <f t="shared" si="86"/>
        <v>0.92695008769667575</v>
      </c>
      <c r="R272">
        <f t="shared" si="76"/>
        <v>1</v>
      </c>
      <c r="AG272" s="8">
        <f t="shared" si="78"/>
        <v>-0.41385966183328327</v>
      </c>
      <c r="AH272" s="8">
        <f t="shared" si="79"/>
        <v>0.84202572864052971</v>
      </c>
      <c r="AI272" s="8">
        <f t="shared" si="80"/>
        <v>0.34599545172534474</v>
      </c>
      <c r="AJ272" s="8"/>
      <c r="AK272" s="8"/>
      <c r="AL272" s="8"/>
      <c r="AN272" s="8">
        <f t="shared" si="87"/>
        <v>1</v>
      </c>
      <c r="AO272" s="8">
        <f t="shared" si="88"/>
        <v>2.027624684454111</v>
      </c>
      <c r="AP272" s="8">
        <f t="shared" si="89"/>
        <v>1.217496766960501</v>
      </c>
      <c r="AQ272" s="8"/>
      <c r="AR272" s="8">
        <f t="shared" si="90"/>
        <v>116.17433685576586</v>
      </c>
      <c r="AS272" s="8">
        <f t="shared" si="91"/>
        <v>20.242573682340563</v>
      </c>
    </row>
    <row r="273" spans="1:45">
      <c r="A273" s="19">
        <v>102.5691333</v>
      </c>
      <c r="B273" s="19">
        <v>404.82935980000002</v>
      </c>
      <c r="C273" s="19">
        <v>-788.58477440000001</v>
      </c>
      <c r="E273" s="9">
        <f t="shared" si="81"/>
        <v>-555.17064019999998</v>
      </c>
      <c r="F273" s="9">
        <f t="shared" si="82"/>
        <v>-248.58477440000001</v>
      </c>
      <c r="I273">
        <v>1</v>
      </c>
      <c r="J273">
        <f t="shared" si="77"/>
        <v>0.38469279285462865</v>
      </c>
      <c r="K273">
        <f t="shared" si="83"/>
        <v>-2.7206007204708738</v>
      </c>
      <c r="O273">
        <f t="shared" si="84"/>
        <v>-0.34250694795761627</v>
      </c>
      <c r="P273">
        <f t="shared" si="85"/>
        <v>-0.15336187871499157</v>
      </c>
      <c r="Q273">
        <f t="shared" si="86"/>
        <v>0.9269137633878175</v>
      </c>
      <c r="R273">
        <f t="shared" si="76"/>
        <v>1</v>
      </c>
      <c r="AG273" s="8">
        <f t="shared" si="78"/>
        <v>-0.41375890283416455</v>
      </c>
      <c r="AH273" s="8">
        <f t="shared" si="79"/>
        <v>0.84208145115916866</v>
      </c>
      <c r="AI273" s="8">
        <f t="shared" si="80"/>
        <v>0.34598034617465911</v>
      </c>
      <c r="AJ273" s="8"/>
      <c r="AK273" s="8"/>
      <c r="AL273" s="8"/>
      <c r="AN273" s="8">
        <f t="shared" si="87"/>
        <v>1</v>
      </c>
      <c r="AO273" s="8">
        <f t="shared" si="88"/>
        <v>2.0275021081648426</v>
      </c>
      <c r="AP273" s="8">
        <f t="shared" si="89"/>
        <v>1.2175128668573205</v>
      </c>
      <c r="AQ273" s="8"/>
      <c r="AR273" s="8">
        <f t="shared" si="90"/>
        <v>116.1673137517224</v>
      </c>
      <c r="AS273" s="8">
        <f t="shared" si="91"/>
        <v>20.241651226202208</v>
      </c>
    </row>
    <row r="274" spans="1:45">
      <c r="A274" s="19">
        <v>102.60250000000001</v>
      </c>
      <c r="B274" s="19">
        <v>404.6858196</v>
      </c>
      <c r="C274" s="19">
        <v>-788.59487390000004</v>
      </c>
      <c r="E274" s="9">
        <f t="shared" si="81"/>
        <v>-555.31418039999994</v>
      </c>
      <c r="F274" s="9">
        <f t="shared" si="82"/>
        <v>-248.59487390000004</v>
      </c>
      <c r="I274">
        <v>1</v>
      </c>
      <c r="J274">
        <f t="shared" si="77"/>
        <v>0.38477107273698646</v>
      </c>
      <c r="K274">
        <f t="shared" si="83"/>
        <v>-2.7206819841597358</v>
      </c>
      <c r="O274">
        <f t="shared" si="84"/>
        <v>-0.34258563410493825</v>
      </c>
      <c r="P274">
        <f t="shared" si="85"/>
        <v>-0.15336369125118191</v>
      </c>
      <c r="Q274">
        <f t="shared" si="86"/>
        <v>0.92688438411202589</v>
      </c>
      <c r="R274">
        <f t="shared" si="76"/>
        <v>1</v>
      </c>
      <c r="AG274" s="8">
        <f t="shared" si="78"/>
        <v>-0.41369256724980291</v>
      </c>
      <c r="AH274" s="8">
        <f t="shared" si="79"/>
        <v>0.8421252269396271</v>
      </c>
      <c r="AI274" s="8">
        <f t="shared" si="80"/>
        <v>0.34595312103542131</v>
      </c>
      <c r="AJ274" s="8"/>
      <c r="AK274" s="8"/>
      <c r="AL274" s="8"/>
      <c r="AN274" s="8">
        <f t="shared" si="87"/>
        <v>1</v>
      </c>
      <c r="AO274" s="8">
        <f t="shared" si="88"/>
        <v>2.0274180777271358</v>
      </c>
      <c r="AP274" s="8">
        <f t="shared" si="89"/>
        <v>1.2175418838918939</v>
      </c>
      <c r="AQ274" s="8"/>
      <c r="AR274" s="8">
        <f t="shared" si="90"/>
        <v>116.16249916229117</v>
      </c>
      <c r="AS274" s="8">
        <f t="shared" si="91"/>
        <v>20.239988672587174</v>
      </c>
    </row>
    <row r="275" spans="1:45">
      <c r="A275" s="19">
        <v>102.63586669999999</v>
      </c>
      <c r="B275" s="19">
        <v>404.49475580000001</v>
      </c>
      <c r="C275" s="19">
        <v>-788.61678029999996</v>
      </c>
      <c r="E275" s="9">
        <f t="shared" si="81"/>
        <v>-555.50524419999999</v>
      </c>
      <c r="F275" s="9">
        <f t="shared" si="82"/>
        <v>-248.61678029999996</v>
      </c>
      <c r="I275">
        <v>1</v>
      </c>
      <c r="J275">
        <f t="shared" si="77"/>
        <v>0.38487726835881719</v>
      </c>
      <c r="K275">
        <f t="shared" si="83"/>
        <v>-2.7207774040822641</v>
      </c>
      <c r="O275">
        <f t="shared" si="84"/>
        <v>-0.3426901081293709</v>
      </c>
      <c r="P275">
        <f t="shared" si="85"/>
        <v>-0.15337120974704757</v>
      </c>
      <c r="Q275">
        <f t="shared" si="86"/>
        <v>0.92684451868207496</v>
      </c>
      <c r="R275">
        <f t="shared" si="76"/>
        <v>1</v>
      </c>
      <c r="AG275" s="8">
        <f t="shared" si="78"/>
        <v>-0.41360650456797332</v>
      </c>
      <c r="AH275" s="8">
        <f t="shared" si="79"/>
        <v>0.84218427265136508</v>
      </c>
      <c r="AI275" s="8">
        <f t="shared" si="80"/>
        <v>0.34591228697135645</v>
      </c>
      <c r="AJ275" s="8"/>
      <c r="AK275" s="8"/>
      <c r="AL275" s="8"/>
      <c r="AN275" s="8">
        <f t="shared" si="87"/>
        <v>0.99999999999999978</v>
      </c>
      <c r="AO275" s="8">
        <f t="shared" si="88"/>
        <v>2.0273080027942365</v>
      </c>
      <c r="AP275" s="8">
        <f t="shared" si="89"/>
        <v>1.2175854049770605</v>
      </c>
      <c r="AQ275" s="8"/>
      <c r="AR275" s="8">
        <f t="shared" si="90"/>
        <v>116.15619233320585</v>
      </c>
      <c r="AS275" s="8">
        <f t="shared" si="91"/>
        <v>20.237495098087294</v>
      </c>
    </row>
    <row r="276" spans="1:45">
      <c r="A276" s="19">
        <v>102.6692333</v>
      </c>
      <c r="B276" s="19">
        <v>403.85736029999998</v>
      </c>
      <c r="C276" s="19">
        <v>-788.49258689999999</v>
      </c>
      <c r="E276" s="9">
        <f t="shared" si="81"/>
        <v>-556.14263970000002</v>
      </c>
      <c r="F276" s="9">
        <f t="shared" si="82"/>
        <v>-248.49258689999999</v>
      </c>
      <c r="I276">
        <v>1</v>
      </c>
      <c r="J276">
        <f t="shared" si="77"/>
        <v>0.38518488496589626</v>
      </c>
      <c r="K276">
        <f t="shared" si="83"/>
        <v>-2.7213909602197299</v>
      </c>
      <c r="O276">
        <f t="shared" si="84"/>
        <v>-0.34304443910467708</v>
      </c>
      <c r="P276">
        <f t="shared" si="85"/>
        <v>-0.1532772242401049</v>
      </c>
      <c r="Q276">
        <f t="shared" si="86"/>
        <v>0.92672898159526995</v>
      </c>
      <c r="R276">
        <f t="shared" si="76"/>
        <v>1</v>
      </c>
      <c r="AG276" s="8">
        <f t="shared" si="78"/>
        <v>-0.41326733721384584</v>
      </c>
      <c r="AH276" s="8">
        <f t="shared" si="79"/>
        <v>0.84236273168724551</v>
      </c>
      <c r="AI276" s="8">
        <f t="shared" si="80"/>
        <v>0.34588312513995112</v>
      </c>
      <c r="AJ276" s="8"/>
      <c r="AK276" s="8"/>
      <c r="AL276" s="8"/>
      <c r="AN276" s="8">
        <f t="shared" si="87"/>
        <v>1</v>
      </c>
      <c r="AO276" s="8">
        <f t="shared" si="88"/>
        <v>2.0268996978142519</v>
      </c>
      <c r="AP276" s="8">
        <f t="shared" si="89"/>
        <v>1.2176164853293137</v>
      </c>
      <c r="AQ276" s="8"/>
      <c r="AR276" s="8">
        <f t="shared" si="90"/>
        <v>116.13279818109856</v>
      </c>
      <c r="AS276" s="8">
        <f t="shared" si="91"/>
        <v>20.23571432507741</v>
      </c>
    </row>
    <row r="277" spans="1:45">
      <c r="A277" s="19">
        <v>102.7026</v>
      </c>
      <c r="B277" s="19">
        <v>403.11893500000002</v>
      </c>
      <c r="C277" s="19">
        <v>-788.56291290000001</v>
      </c>
      <c r="E277" s="9">
        <f t="shared" si="81"/>
        <v>-556.88106500000004</v>
      </c>
      <c r="F277" s="9">
        <f t="shared" si="82"/>
        <v>-248.56291290000001</v>
      </c>
      <c r="I277">
        <v>1</v>
      </c>
      <c r="J277">
        <f t="shared" si="77"/>
        <v>0.38559185771945437</v>
      </c>
      <c r="K277">
        <f t="shared" si="83"/>
        <v>-2.7217796360079261</v>
      </c>
      <c r="O277">
        <f t="shared" si="84"/>
        <v>-0.3434483633038497</v>
      </c>
      <c r="P277">
        <f t="shared" si="85"/>
        <v>-0.15329759077648353</v>
      </c>
      <c r="Q277">
        <f t="shared" si="86"/>
        <v>0.92657599278528291</v>
      </c>
      <c r="R277">
        <f t="shared" si="76"/>
        <v>1</v>
      </c>
      <c r="AG277" s="8">
        <f t="shared" si="78"/>
        <v>-0.41293097881798824</v>
      </c>
      <c r="AH277" s="8">
        <f t="shared" si="79"/>
        <v>0.84258926184590877</v>
      </c>
      <c r="AI277" s="8">
        <f t="shared" si="80"/>
        <v>0.34573305100089108</v>
      </c>
      <c r="AJ277" s="8"/>
      <c r="AK277" s="8"/>
      <c r="AL277" s="8"/>
      <c r="AN277" s="8">
        <f t="shared" si="87"/>
        <v>1</v>
      </c>
      <c r="AO277" s="8">
        <f t="shared" si="88"/>
        <v>2.0264715445558483</v>
      </c>
      <c r="AP277" s="8">
        <f t="shared" si="89"/>
        <v>1.2177764270297737</v>
      </c>
      <c r="AQ277" s="8"/>
      <c r="AR277" s="8">
        <f t="shared" si="90"/>
        <v>116.10826680640727</v>
      </c>
      <c r="AS277" s="8">
        <f t="shared" si="91"/>
        <v>20.226550340672901</v>
      </c>
    </row>
    <row r="278" spans="1:45">
      <c r="A278" s="19">
        <v>102.73596670000001</v>
      </c>
      <c r="B278" s="19">
        <v>403.03280890000002</v>
      </c>
      <c r="C278" s="19">
        <v>-788.61838139999998</v>
      </c>
      <c r="E278" s="9">
        <f t="shared" si="81"/>
        <v>-556.96719110000004</v>
      </c>
      <c r="F278" s="9">
        <f t="shared" si="82"/>
        <v>-248.61838139999998</v>
      </c>
      <c r="I278">
        <v>1</v>
      </c>
      <c r="J278">
        <f t="shared" si="77"/>
        <v>0.38565047155561311</v>
      </c>
      <c r="K278">
        <f t="shared" si="83"/>
        <v>-2.7217541452094824</v>
      </c>
      <c r="O278">
        <f t="shared" si="84"/>
        <v>-0.34349404851866228</v>
      </c>
      <c r="P278">
        <f t="shared" si="85"/>
        <v>-0.15332848276858377</v>
      </c>
      <c r="Q278">
        <f t="shared" si="86"/>
        <v>0.92655394608416786</v>
      </c>
      <c r="R278">
        <f t="shared" si="76"/>
        <v>1</v>
      </c>
      <c r="AG278" s="8">
        <f t="shared" si="78"/>
        <v>-0.41290422575856123</v>
      </c>
      <c r="AH278" s="8">
        <f t="shared" si="79"/>
        <v>0.84262007738807876</v>
      </c>
      <c r="AI278" s="8">
        <f t="shared" si="80"/>
        <v>0.34568989793343896</v>
      </c>
      <c r="AJ278" s="8"/>
      <c r="AK278" s="8"/>
      <c r="AL278" s="8"/>
      <c r="AN278" s="8">
        <f t="shared" si="87"/>
        <v>1</v>
      </c>
      <c r="AO278" s="8">
        <f t="shared" si="88"/>
        <v>2.026431490960797</v>
      </c>
      <c r="AP278" s="8">
        <f t="shared" si="89"/>
        <v>1.2178224157201618</v>
      </c>
      <c r="AQ278" s="8"/>
      <c r="AR278" s="8">
        <f t="shared" si="90"/>
        <v>116.1059719044565</v>
      </c>
      <c r="AS278" s="8">
        <f t="shared" si="91"/>
        <v>20.223915382808329</v>
      </c>
    </row>
    <row r="279" spans="1:45">
      <c r="A279" s="19">
        <v>102.7693333</v>
      </c>
      <c r="B279" s="19">
        <v>402.90761709999998</v>
      </c>
      <c r="C279" s="19">
        <v>-788.65429510000001</v>
      </c>
      <c r="E279" s="9">
        <f t="shared" si="81"/>
        <v>-557.09238290000008</v>
      </c>
      <c r="F279" s="9">
        <f t="shared" si="82"/>
        <v>-248.65429510000001</v>
      </c>
      <c r="I279">
        <v>1</v>
      </c>
      <c r="J279">
        <f t="shared" si="77"/>
        <v>0.38572511775210222</v>
      </c>
      <c r="K279">
        <f t="shared" si="83"/>
        <v>-2.7217840354649692</v>
      </c>
      <c r="O279">
        <f t="shared" si="84"/>
        <v>-0.34356178846695778</v>
      </c>
      <c r="P279">
        <f t="shared" si="85"/>
        <v>-0.15334640529429272</v>
      </c>
      <c r="Q279">
        <f t="shared" si="86"/>
        <v>0.9265258644466996</v>
      </c>
      <c r="R279">
        <f t="shared" si="76"/>
        <v>1</v>
      </c>
      <c r="AG279" s="8">
        <f t="shared" si="78"/>
        <v>-0.41285353536535951</v>
      </c>
      <c r="AH279" s="8">
        <f t="shared" si="79"/>
        <v>0.84266069295230805</v>
      </c>
      <c r="AI279" s="8">
        <f t="shared" si="80"/>
        <v>0.34565143553797073</v>
      </c>
      <c r="AJ279" s="8"/>
      <c r="AK279" s="8"/>
      <c r="AL279" s="8"/>
      <c r="AN279" s="8">
        <f t="shared" si="87"/>
        <v>1</v>
      </c>
      <c r="AO279" s="8">
        <f t="shared" si="88"/>
        <v>2.0263639358390075</v>
      </c>
      <c r="AP279" s="8">
        <f t="shared" si="89"/>
        <v>1.2178634048540065</v>
      </c>
      <c r="AQ279" s="8"/>
      <c r="AR279" s="8">
        <f t="shared" si="90"/>
        <v>116.10210128109347</v>
      </c>
      <c r="AS279" s="8">
        <f t="shared" si="91"/>
        <v>20.221566878433137</v>
      </c>
    </row>
    <row r="280" spans="1:45">
      <c r="A280" s="19">
        <v>102.8027</v>
      </c>
      <c r="B280" s="19">
        <v>402.9675593</v>
      </c>
      <c r="C280" s="19">
        <v>-788.63724290000005</v>
      </c>
      <c r="E280" s="9">
        <f t="shared" si="81"/>
        <v>-557.03244070000005</v>
      </c>
      <c r="F280" s="9">
        <f t="shared" si="82"/>
        <v>-248.63724290000005</v>
      </c>
      <c r="I280">
        <v>1</v>
      </c>
      <c r="J280">
        <f t="shared" si="77"/>
        <v>0.38568941126374989</v>
      </c>
      <c r="K280">
        <f t="shared" si="83"/>
        <v>-2.7217695108570847</v>
      </c>
      <c r="O280">
        <f t="shared" si="84"/>
        <v>-0.34352935082228164</v>
      </c>
      <c r="P280">
        <f t="shared" si="85"/>
        <v>-0.15333791069034045</v>
      </c>
      <c r="Q280">
        <f t="shared" si="86"/>
        <v>0.92653929774658927</v>
      </c>
      <c r="R280">
        <f t="shared" si="76"/>
        <v>1</v>
      </c>
      <c r="AG280" s="8">
        <f t="shared" si="78"/>
        <v>-0.4128778438508795</v>
      </c>
      <c r="AH280" s="8">
        <f t="shared" si="79"/>
        <v>0.84264126036629561</v>
      </c>
      <c r="AI280" s="8">
        <f t="shared" si="80"/>
        <v>0.34566977360676132</v>
      </c>
      <c r="AJ280" s="8"/>
      <c r="AK280" s="8"/>
      <c r="AL280" s="8"/>
      <c r="AN280" s="8">
        <f t="shared" si="87"/>
        <v>1</v>
      </c>
      <c r="AO280" s="8">
        <f t="shared" si="88"/>
        <v>2.0263963106376282</v>
      </c>
      <c r="AP280" s="8">
        <f t="shared" si="89"/>
        <v>1.2178438621662004</v>
      </c>
      <c r="AQ280" s="8"/>
      <c r="AR280" s="8">
        <f t="shared" si="90"/>
        <v>116.10395622041702</v>
      </c>
      <c r="AS280" s="8">
        <f t="shared" si="91"/>
        <v>20.222686591964759</v>
      </c>
    </row>
    <row r="281" spans="1:45">
      <c r="A281" s="19">
        <v>102.8360667</v>
      </c>
      <c r="B281" s="19">
        <v>402.25819230000002</v>
      </c>
      <c r="C281" s="19">
        <v>-788.7224602</v>
      </c>
      <c r="E281" s="9">
        <f t="shared" si="81"/>
        <v>-557.74180769999998</v>
      </c>
      <c r="F281" s="9">
        <f t="shared" si="82"/>
        <v>-248.7224602</v>
      </c>
      <c r="I281">
        <v>1</v>
      </c>
      <c r="J281">
        <f t="shared" si="77"/>
        <v>0.38608442895627487</v>
      </c>
      <c r="K281">
        <f t="shared" si="83"/>
        <v>-2.7221155475142744</v>
      </c>
      <c r="O281">
        <f t="shared" si="84"/>
        <v>-0.34391663198654043</v>
      </c>
      <c r="P281">
        <f t="shared" si="85"/>
        <v>-0.15336808112724584</v>
      </c>
      <c r="Q281">
        <f t="shared" si="86"/>
        <v>0.92639062059931343</v>
      </c>
      <c r="R281">
        <f t="shared" si="76"/>
        <v>1</v>
      </c>
      <c r="AG281" s="8">
        <f t="shared" si="78"/>
        <v>-0.41255941251038997</v>
      </c>
      <c r="AH281" s="8">
        <f t="shared" si="79"/>
        <v>0.84286025940004183</v>
      </c>
      <c r="AI281" s="8">
        <f t="shared" si="80"/>
        <v>0.34551601160174339</v>
      </c>
      <c r="AJ281" s="8"/>
      <c r="AK281" s="8"/>
      <c r="AL281" s="8"/>
      <c r="AN281" s="8">
        <f t="shared" si="87"/>
        <v>1</v>
      </c>
      <c r="AO281" s="8">
        <f t="shared" si="88"/>
        <v>2.0259889096816379</v>
      </c>
      <c r="AP281" s="8">
        <f t="shared" si="89"/>
        <v>1.2180077203693527</v>
      </c>
      <c r="AQ281" s="8"/>
      <c r="AR281" s="8">
        <f t="shared" si="90"/>
        <v>116.08061386506918</v>
      </c>
      <c r="AS281" s="8">
        <f t="shared" si="91"/>
        <v>20.21329820848554</v>
      </c>
    </row>
    <row r="282" spans="1:45">
      <c r="A282" s="19">
        <v>102.8694333</v>
      </c>
      <c r="B282" s="19">
        <v>401.9698391</v>
      </c>
      <c r="C282" s="19">
        <v>-788.63704329999996</v>
      </c>
      <c r="E282" s="9">
        <f t="shared" si="81"/>
        <v>-558.03016090000006</v>
      </c>
      <c r="F282" s="9">
        <f t="shared" si="82"/>
        <v>-248.63704329999996</v>
      </c>
      <c r="I282">
        <v>1</v>
      </c>
      <c r="J282">
        <f t="shared" si="77"/>
        <v>0.38621670154999821</v>
      </c>
      <c r="K282">
        <f t="shared" si="83"/>
        <v>-2.7224354816078984</v>
      </c>
      <c r="O282">
        <f t="shared" si="84"/>
        <v>-0.34407760747431571</v>
      </c>
      <c r="P282">
        <f t="shared" si="85"/>
        <v>-0.15330791233609087</v>
      </c>
      <c r="Q282">
        <f t="shared" si="86"/>
        <v>0.92634080340331559</v>
      </c>
      <c r="R282">
        <f t="shared" si="76"/>
        <v>1</v>
      </c>
      <c r="AG282" s="8">
        <f t="shared" si="78"/>
        <v>-0.41239829124405747</v>
      </c>
      <c r="AH282" s="8">
        <f t="shared" si="79"/>
        <v>0.84293802954131292</v>
      </c>
      <c r="AI282" s="8">
        <f t="shared" si="80"/>
        <v>0.34551863586786502</v>
      </c>
      <c r="AJ282" s="8"/>
      <c r="AK282" s="8"/>
      <c r="AL282" s="8"/>
      <c r="AN282" s="8">
        <f t="shared" si="87"/>
        <v>1</v>
      </c>
      <c r="AO282" s="8">
        <f t="shared" si="88"/>
        <v>2.0257982622507651</v>
      </c>
      <c r="AP282" s="8">
        <f t="shared" si="89"/>
        <v>1.2180049238736954</v>
      </c>
      <c r="AQ282" s="8"/>
      <c r="AR282" s="8">
        <f t="shared" si="90"/>
        <v>116.06969057190516</v>
      </c>
      <c r="AS282" s="8">
        <f t="shared" si="91"/>
        <v>20.213458435884135</v>
      </c>
    </row>
    <row r="283" spans="1:45">
      <c r="A283" s="19">
        <v>102.9028</v>
      </c>
      <c r="B283" s="19">
        <v>401.45785410000002</v>
      </c>
      <c r="C283" s="19">
        <v>-788.58036370000002</v>
      </c>
      <c r="E283" s="9">
        <f t="shared" si="81"/>
        <v>-558.54214589999992</v>
      </c>
      <c r="F283" s="9">
        <f t="shared" si="82"/>
        <v>-248.58036370000002</v>
      </c>
      <c r="I283">
        <v>1</v>
      </c>
      <c r="J283">
        <f t="shared" si="77"/>
        <v>0.38647395118694433</v>
      </c>
      <c r="K283">
        <f t="shared" si="83"/>
        <v>-2.7228610017079733</v>
      </c>
      <c r="O283">
        <f t="shared" si="84"/>
        <v>-0.34436051345743734</v>
      </c>
      <c r="P283">
        <f t="shared" si="85"/>
        <v>-0.15325837505285481</v>
      </c>
      <c r="Q283">
        <f t="shared" si="86"/>
        <v>0.92624387028875321</v>
      </c>
      <c r="R283">
        <f t="shared" ref="R283:R346" si="92">SQRT(O283^2+P283^2+Q283^2)</f>
        <v>1</v>
      </c>
      <c r="AG283" s="8">
        <f t="shared" si="78"/>
        <v>-0.4121372922217994</v>
      </c>
      <c r="AH283" s="8">
        <f t="shared" si="79"/>
        <v>0.84308488563200001</v>
      </c>
      <c r="AI283" s="8">
        <f t="shared" si="80"/>
        <v>0.3454717470053964</v>
      </c>
      <c r="AJ283" s="8"/>
      <c r="AK283" s="8"/>
      <c r="AL283" s="8"/>
      <c r="AN283" s="8">
        <f t="shared" si="87"/>
        <v>1</v>
      </c>
      <c r="AO283" s="8">
        <f t="shared" si="88"/>
        <v>2.0254796628067275</v>
      </c>
      <c r="AP283" s="8">
        <f t="shared" si="89"/>
        <v>1.2180548895995797</v>
      </c>
      <c r="AQ283" s="8"/>
      <c r="AR283" s="8">
        <f t="shared" si="90"/>
        <v>116.0514361684066</v>
      </c>
      <c r="AS283" s="8">
        <f t="shared" si="91"/>
        <v>20.210595610670651</v>
      </c>
    </row>
    <row r="284" spans="1:45">
      <c r="A284" s="19">
        <v>102.9361667</v>
      </c>
      <c r="B284" s="19">
        <v>401.11870809999999</v>
      </c>
      <c r="C284" s="19">
        <v>-788.60745129999998</v>
      </c>
      <c r="E284" s="9">
        <f t="shared" si="81"/>
        <v>-558.88129189999995</v>
      </c>
      <c r="F284" s="9">
        <f t="shared" si="82"/>
        <v>-248.60745129999998</v>
      </c>
      <c r="I284">
        <v>1</v>
      </c>
      <c r="J284">
        <f t="shared" si="77"/>
        <v>0.3866595562890629</v>
      </c>
      <c r="K284">
        <f t="shared" si="83"/>
        <v>-2.7230459837833774</v>
      </c>
      <c r="O284">
        <f t="shared" si="84"/>
        <v>-0.34454592762033964</v>
      </c>
      <c r="P284">
        <f t="shared" si="85"/>
        <v>-0.15326454143827975</v>
      </c>
      <c r="Q284">
        <f t="shared" si="86"/>
        <v>0.92617389517193449</v>
      </c>
      <c r="R284">
        <f t="shared" si="92"/>
        <v>1</v>
      </c>
      <c r="AG284" s="8">
        <f t="shared" si="78"/>
        <v>-0.41198147086000203</v>
      </c>
      <c r="AH284" s="8">
        <f t="shared" si="79"/>
        <v>0.84318813190003161</v>
      </c>
      <c r="AI284" s="8">
        <f t="shared" si="80"/>
        <v>0.34540561936795983</v>
      </c>
      <c r="AJ284" s="8"/>
      <c r="AK284" s="8"/>
      <c r="AL284" s="8"/>
      <c r="AN284" s="8">
        <f t="shared" si="87"/>
        <v>0.99999999999999978</v>
      </c>
      <c r="AO284" s="8">
        <f t="shared" si="88"/>
        <v>2.0252821746944747</v>
      </c>
      <c r="AP284" s="8">
        <f t="shared" si="89"/>
        <v>1.2181253549934792</v>
      </c>
      <c r="AQ284" s="8"/>
      <c r="AR284" s="8">
        <f t="shared" si="90"/>
        <v>116.0401209330705</v>
      </c>
      <c r="AS284" s="8">
        <f t="shared" si="91"/>
        <v>20.20655824099849</v>
      </c>
    </row>
    <row r="285" spans="1:45">
      <c r="A285" s="19">
        <v>102.96953329999999</v>
      </c>
      <c r="B285" s="19">
        <v>401.04804050000001</v>
      </c>
      <c r="C285" s="19">
        <v>-788.61105810000004</v>
      </c>
      <c r="E285" s="9">
        <f t="shared" si="81"/>
        <v>-558.95195949999993</v>
      </c>
      <c r="F285" s="9">
        <f t="shared" si="82"/>
        <v>-248.61105810000004</v>
      </c>
      <c r="I285">
        <v>1</v>
      </c>
      <c r="J285">
        <f t="shared" si="77"/>
        <v>0.38669774993475764</v>
      </c>
      <c r="K285">
        <f t="shared" si="83"/>
        <v>-2.7230875469942468</v>
      </c>
      <c r="O285">
        <f t="shared" si="84"/>
        <v>-0.34458461833373288</v>
      </c>
      <c r="P285">
        <f t="shared" si="85"/>
        <v>-0.15326459655954389</v>
      </c>
      <c r="Q285">
        <f t="shared" si="86"/>
        <v>0.92615949179892121</v>
      </c>
      <c r="R285">
        <f t="shared" si="92"/>
        <v>1</v>
      </c>
      <c r="AG285" s="8">
        <f t="shared" si="78"/>
        <v>-0.41194846541808339</v>
      </c>
      <c r="AH285" s="8">
        <f t="shared" si="79"/>
        <v>0.8432094493093274</v>
      </c>
      <c r="AI285" s="8">
        <f t="shared" si="80"/>
        <v>0.34539294497014117</v>
      </c>
      <c r="AJ285" s="8"/>
      <c r="AK285" s="8"/>
      <c r="AL285" s="8"/>
      <c r="AN285" s="8">
        <f t="shared" si="87"/>
        <v>1</v>
      </c>
      <c r="AO285" s="8">
        <f t="shared" si="88"/>
        <v>2.025240602987683</v>
      </c>
      <c r="AP285" s="8">
        <f t="shared" si="89"/>
        <v>1.2181388605815722</v>
      </c>
      <c r="AQ285" s="8"/>
      <c r="AR285" s="8">
        <f t="shared" si="90"/>
        <v>116.03773904972418</v>
      </c>
      <c r="AS285" s="8">
        <f t="shared" si="91"/>
        <v>20.205784427800907</v>
      </c>
    </row>
    <row r="286" spans="1:45">
      <c r="A286" s="19">
        <v>103.0029</v>
      </c>
      <c r="B286" s="19">
        <v>400.97539269999999</v>
      </c>
      <c r="C286" s="19">
        <v>-788.61166839999999</v>
      </c>
      <c r="E286" s="9">
        <f t="shared" si="81"/>
        <v>-559.02460730000007</v>
      </c>
      <c r="F286" s="9">
        <f t="shared" si="82"/>
        <v>-248.61166839999999</v>
      </c>
      <c r="I286">
        <v>1</v>
      </c>
      <c r="J286">
        <f t="shared" si="77"/>
        <v>0.38673628527618409</v>
      </c>
      <c r="K286">
        <f t="shared" si="83"/>
        <v>-2.7231348915775238</v>
      </c>
      <c r="O286">
        <f t="shared" si="84"/>
        <v>-0.34462448437304327</v>
      </c>
      <c r="P286">
        <f t="shared" si="85"/>
        <v>-0.15326278470152058</v>
      </c>
      <c r="Q286">
        <f t="shared" si="86"/>
        <v>0.92614495819831</v>
      </c>
      <c r="R286">
        <f t="shared" si="92"/>
        <v>1</v>
      </c>
      <c r="AG286" s="8">
        <f t="shared" si="78"/>
        <v>-0.41191371775479185</v>
      </c>
      <c r="AH286" s="8">
        <f t="shared" si="79"/>
        <v>0.84323107319841051</v>
      </c>
      <c r="AI286" s="8">
        <f t="shared" si="80"/>
        <v>0.34538159522198431</v>
      </c>
      <c r="AJ286" s="8"/>
      <c r="AK286" s="8"/>
      <c r="AL286" s="8"/>
      <c r="AN286" s="8">
        <f t="shared" si="87"/>
        <v>1</v>
      </c>
      <c r="AO286" s="8">
        <f t="shared" si="88"/>
        <v>2.025197220275297</v>
      </c>
      <c r="AP286" s="8">
        <f t="shared" si="89"/>
        <v>1.2181509545921636</v>
      </c>
      <c r="AQ286" s="8"/>
      <c r="AR286" s="8">
        <f t="shared" si="90"/>
        <v>116.03525340340063</v>
      </c>
      <c r="AS286" s="8">
        <f t="shared" si="91"/>
        <v>20.205091492036644</v>
      </c>
    </row>
    <row r="287" spans="1:45">
      <c r="A287" s="19">
        <v>103.0362667</v>
      </c>
      <c r="B287" s="19">
        <v>400.14643640000003</v>
      </c>
      <c r="C287" s="19">
        <v>-788.62138930000003</v>
      </c>
      <c r="E287" s="9">
        <f t="shared" si="81"/>
        <v>-559.85356359999992</v>
      </c>
      <c r="F287" s="9">
        <f t="shared" si="82"/>
        <v>-248.62138930000003</v>
      </c>
      <c r="I287">
        <v>1</v>
      </c>
      <c r="J287">
        <f t="shared" si="77"/>
        <v>0.38717661856118085</v>
      </c>
      <c r="K287">
        <f t="shared" si="83"/>
        <v>-2.723670279924352</v>
      </c>
      <c r="O287">
        <f t="shared" si="84"/>
        <v>-0.34507917037976865</v>
      </c>
      <c r="P287">
        <f t="shared" si="85"/>
        <v>-0.15324375575397259</v>
      </c>
      <c r="Q287">
        <f t="shared" si="86"/>
        <v>0.92597878889984697</v>
      </c>
      <c r="R287">
        <f t="shared" si="92"/>
        <v>1</v>
      </c>
      <c r="AG287" s="8">
        <f t="shared" si="78"/>
        <v>-0.4115179726822536</v>
      </c>
      <c r="AH287" s="8">
        <f t="shared" si="79"/>
        <v>0.84347791893647206</v>
      </c>
      <c r="AI287" s="8">
        <f t="shared" si="80"/>
        <v>0.34525057338994569</v>
      </c>
      <c r="AJ287" s="8"/>
      <c r="AK287" s="8"/>
      <c r="AL287" s="8"/>
      <c r="AN287" s="8">
        <f t="shared" si="87"/>
        <v>1</v>
      </c>
      <c r="AO287" s="8">
        <f t="shared" si="88"/>
        <v>2.0247028911853766</v>
      </c>
      <c r="AP287" s="8">
        <f t="shared" si="89"/>
        <v>1.2182905643151358</v>
      </c>
      <c r="AQ287" s="8"/>
      <c r="AR287" s="8">
        <f t="shared" si="90"/>
        <v>116.00693043285764</v>
      </c>
      <c r="AS287" s="8">
        <f t="shared" si="91"/>
        <v>20.197092444131343</v>
      </c>
    </row>
    <row r="288" spans="1:45">
      <c r="A288" s="19">
        <v>103.06963330000001</v>
      </c>
      <c r="B288" s="19">
        <v>399.67888160000001</v>
      </c>
      <c r="C288" s="19">
        <v>-788.62113629999999</v>
      </c>
      <c r="E288" s="9">
        <f t="shared" si="81"/>
        <v>-560.32111839999993</v>
      </c>
      <c r="F288" s="9">
        <f t="shared" si="82"/>
        <v>-248.62113629999999</v>
      </c>
      <c r="I288">
        <v>1</v>
      </c>
      <c r="J288">
        <f t="shared" ref="J288:J351" si="93">ATAN((SQRT(E288^2+F288^2)^$B$16)/($F$24))</f>
        <v>0.3874236123200992</v>
      </c>
      <c r="K288">
        <f t="shared" si="83"/>
        <v>-2.7239802201868137</v>
      </c>
      <c r="O288">
        <f t="shared" si="84"/>
        <v>-0.3453356952200145</v>
      </c>
      <c r="P288">
        <f t="shared" si="85"/>
        <v>-0.1532295502188421</v>
      </c>
      <c r="Q288">
        <f t="shared" si="86"/>
        <v>0.92588550185573193</v>
      </c>
      <c r="R288">
        <f t="shared" si="92"/>
        <v>1</v>
      </c>
      <c r="AG288" s="8">
        <f t="shared" ref="AG288:AG351" si="94">$O288*$Z$27+$P288*$Z$31+$Q288*$Z$35</f>
        <v>-0.41129326312245573</v>
      </c>
      <c r="AH288" s="8">
        <f t="shared" ref="AH288:AH351" si="95">$O288*$AA$27+$P288*$AA$31+$Q288*$AA$35</f>
        <v>0.84361648835549308</v>
      </c>
      <c r="AI288" s="8">
        <f t="shared" ref="AI288:AI351" si="96">$AB$27*$O288+$P288*$AB$31+$AB$35*$Q288</f>
        <v>0.34517976806995565</v>
      </c>
      <c r="AJ288" s="8"/>
      <c r="AK288" s="8"/>
      <c r="AL288" s="8"/>
      <c r="AN288" s="8">
        <f t="shared" si="87"/>
        <v>0.99999999999999978</v>
      </c>
      <c r="AO288" s="8">
        <f t="shared" si="88"/>
        <v>2.024422970717648</v>
      </c>
      <c r="AP288" s="8">
        <f t="shared" si="89"/>
        <v>1.2183660076204506</v>
      </c>
      <c r="AQ288" s="8"/>
      <c r="AR288" s="8">
        <f t="shared" si="90"/>
        <v>115.99089217145747</v>
      </c>
      <c r="AS288" s="8">
        <f t="shared" si="91"/>
        <v>20.192769861144285</v>
      </c>
    </row>
    <row r="289" spans="1:45">
      <c r="A289" s="19">
        <v>103.10299999999999</v>
      </c>
      <c r="B289" s="19">
        <v>399.28862400000003</v>
      </c>
      <c r="C289" s="19">
        <v>-788.62251240000001</v>
      </c>
      <c r="E289" s="9">
        <f t="shared" ref="E289:E352" si="97">(B289-($B$15/2))</f>
        <v>-560.71137599999997</v>
      </c>
      <c r="F289" s="9">
        <f t="shared" ref="F289:F352" si="98">(($C$15/2)+C289)</f>
        <v>-248.62251240000001</v>
      </c>
      <c r="I289">
        <v>1</v>
      </c>
      <c r="J289">
        <f t="shared" si="93"/>
        <v>0.38763013400618418</v>
      </c>
      <c r="K289">
        <f t="shared" ref="K289:K352" si="99">ATAN2(E289,F289)</f>
        <v>-2.7242362241000335</v>
      </c>
      <c r="O289">
        <f t="shared" ref="O289:O352" si="100">COS(K289)*SIN(J289)</f>
        <v>-0.34554970610918528</v>
      </c>
      <c r="P289">
        <f t="shared" ref="P289:P352" si="101">SIN(K289)*SIN(J289)</f>
        <v>-0.15321864290470052</v>
      </c>
      <c r="Q289">
        <f t="shared" ref="Q289:Q352" si="102">COS(J289)</f>
        <v>0.92580745734428904</v>
      </c>
      <c r="R289">
        <f t="shared" si="92"/>
        <v>1</v>
      </c>
      <c r="AG289" s="8">
        <f t="shared" si="94"/>
        <v>-0.41110613085586162</v>
      </c>
      <c r="AH289" s="8">
        <f t="shared" si="95"/>
        <v>0.84373222857234542</v>
      </c>
      <c r="AI289" s="8">
        <f t="shared" si="96"/>
        <v>0.34511979896996148</v>
      </c>
      <c r="AJ289" s="8"/>
      <c r="AK289" s="8"/>
      <c r="AL289" s="8"/>
      <c r="AN289" s="8">
        <f t="shared" ref="AN289:AN352" si="103">AG289^2+AH289^2+AI289^2</f>
        <v>0.99999999999999989</v>
      </c>
      <c r="AO289" s="8">
        <f t="shared" ref="AO289:AO352" si="104">IF(ATAN2(AG289,AH289)&gt;=0,ATAN2(AG289,AH289),ATAN2(AG289,AH289)+2*PI())</f>
        <v>2.0241897119397372</v>
      </c>
      <c r="AP289" s="8">
        <f t="shared" ref="AP289:AP352" si="105">ACOS(AI289/AN289)</f>
        <v>1.2184299032598462</v>
      </c>
      <c r="AQ289" s="8"/>
      <c r="AR289" s="8">
        <f t="shared" ref="AR289:AR352" si="106">DEGREES(AO289)</f>
        <v>115.9775274279488</v>
      </c>
      <c r="AS289" s="8">
        <f t="shared" ref="AS289:AS352" si="107">90-DEGREES(AP289)</f>
        <v>20.189108910677632</v>
      </c>
    </row>
    <row r="290" spans="1:45">
      <c r="A290" s="19">
        <v>103.1363667</v>
      </c>
      <c r="B290" s="19">
        <v>399.16461770000001</v>
      </c>
      <c r="C290" s="19">
        <v>-788.62106689999996</v>
      </c>
      <c r="E290" s="9">
        <f t="shared" si="97"/>
        <v>-560.83538229999999</v>
      </c>
      <c r="F290" s="9">
        <f t="shared" si="98"/>
        <v>-248.62106689999996</v>
      </c>
      <c r="I290">
        <v>1</v>
      </c>
      <c r="J290">
        <f t="shared" si="93"/>
        <v>0.38769531422035841</v>
      </c>
      <c r="K290">
        <f t="shared" si="99"/>
        <v>-2.7243203138788359</v>
      </c>
      <c r="O290">
        <f t="shared" si="100"/>
        <v>-0.34561775492582553</v>
      </c>
      <c r="P290">
        <f t="shared" si="101"/>
        <v>-0.15321404048519402</v>
      </c>
      <c r="Q290">
        <f t="shared" si="102"/>
        <v>0.92578281755400571</v>
      </c>
      <c r="R290">
        <f t="shared" si="92"/>
        <v>1</v>
      </c>
      <c r="AG290" s="8">
        <f t="shared" si="94"/>
        <v>-0.41104617335410321</v>
      </c>
      <c r="AH290" s="8">
        <f t="shared" si="95"/>
        <v>0.84376881719767916</v>
      </c>
      <c r="AI290" s="8">
        <f t="shared" si="96"/>
        <v>0.34510176252198121</v>
      </c>
      <c r="AJ290" s="8"/>
      <c r="AK290" s="8"/>
      <c r="AL290" s="8"/>
      <c r="AN290" s="8">
        <f t="shared" si="103"/>
        <v>1</v>
      </c>
      <c r="AO290" s="8">
        <f t="shared" si="104"/>
        <v>2.0241152085988992</v>
      </c>
      <c r="AP290" s="8">
        <f t="shared" si="105"/>
        <v>1.2184491203694114</v>
      </c>
      <c r="AQ290" s="8"/>
      <c r="AR290" s="8">
        <f t="shared" si="106"/>
        <v>115.97325870095916</v>
      </c>
      <c r="AS290" s="8">
        <f t="shared" si="107"/>
        <v>20.188007851405104</v>
      </c>
    </row>
    <row r="291" spans="1:45">
      <c r="A291" s="19">
        <v>103.1697333</v>
      </c>
      <c r="B291" s="19">
        <v>399.1190896</v>
      </c>
      <c r="C291" s="19">
        <v>-788.61974229999998</v>
      </c>
      <c r="E291" s="9">
        <f t="shared" si="97"/>
        <v>-560.88091039999995</v>
      </c>
      <c r="F291" s="9">
        <f t="shared" si="98"/>
        <v>-248.61974229999998</v>
      </c>
      <c r="I291">
        <v>1</v>
      </c>
      <c r="J291">
        <f t="shared" si="93"/>
        <v>0.38771905857765387</v>
      </c>
      <c r="K291">
        <f t="shared" si="99"/>
        <v>-2.7243523621299062</v>
      </c>
      <c r="O291">
        <f t="shared" si="100"/>
        <v>-0.34564276118178139</v>
      </c>
      <c r="P291">
        <f t="shared" si="101"/>
        <v>-0.15321187193122723</v>
      </c>
      <c r="Q291">
        <f t="shared" si="102"/>
        <v>0.92577384060145229</v>
      </c>
      <c r="R291">
        <f t="shared" si="92"/>
        <v>1</v>
      </c>
      <c r="AG291" s="8">
        <f t="shared" si="94"/>
        <v>-0.41102395099631184</v>
      </c>
      <c r="AH291" s="8">
        <f t="shared" si="95"/>
        <v>0.84378217495416452</v>
      </c>
      <c r="AI291" s="8">
        <f t="shared" si="96"/>
        <v>0.34509557072932862</v>
      </c>
      <c r="AJ291" s="8"/>
      <c r="AK291" s="8"/>
      <c r="AL291" s="8"/>
      <c r="AN291" s="8">
        <f t="shared" si="103"/>
        <v>0.99999999999999989</v>
      </c>
      <c r="AO291" s="8">
        <f t="shared" si="104"/>
        <v>2.024087690155171</v>
      </c>
      <c r="AP291" s="8">
        <f t="shared" si="105"/>
        <v>1.218455717444026</v>
      </c>
      <c r="AQ291" s="8"/>
      <c r="AR291" s="8">
        <f t="shared" si="106"/>
        <v>115.97168201027476</v>
      </c>
      <c r="AS291" s="8">
        <f t="shared" si="107"/>
        <v>20.187629866872555</v>
      </c>
    </row>
    <row r="292" spans="1:45">
      <c r="A292" s="19">
        <v>103.20310000000001</v>
      </c>
      <c r="B292" s="19">
        <v>398.01049560000001</v>
      </c>
      <c r="C292" s="19">
        <v>-788.62041550000004</v>
      </c>
      <c r="E292" s="9">
        <f t="shared" si="97"/>
        <v>-561.98950439999999</v>
      </c>
      <c r="F292" s="9">
        <f t="shared" si="98"/>
        <v>-248.62041550000004</v>
      </c>
      <c r="I292">
        <v>1</v>
      </c>
      <c r="J292">
        <f t="shared" si="93"/>
        <v>0.38830489684935166</v>
      </c>
      <c r="K292">
        <f t="shared" si="99"/>
        <v>-2.7250824027028777</v>
      </c>
      <c r="O292">
        <f t="shared" si="100"/>
        <v>-0.34625044653722681</v>
      </c>
      <c r="P292">
        <f t="shared" si="101"/>
        <v>-0.15317889250806063</v>
      </c>
      <c r="Q292">
        <f t="shared" si="102"/>
        <v>0.92555218932417582</v>
      </c>
      <c r="R292">
        <f t="shared" si="92"/>
        <v>1</v>
      </c>
      <c r="AG292" s="8">
        <f t="shared" si="94"/>
        <v>-0.41049156954606475</v>
      </c>
      <c r="AH292" s="8">
        <f t="shared" si="95"/>
        <v>0.84411023709578337</v>
      </c>
      <c r="AI292" s="8">
        <f t="shared" si="96"/>
        <v>0.34492691829097444</v>
      </c>
      <c r="AJ292" s="8"/>
      <c r="AK292" s="8"/>
      <c r="AL292" s="8"/>
      <c r="AN292" s="8">
        <f t="shared" si="103"/>
        <v>0.99999999999999989</v>
      </c>
      <c r="AO292" s="8">
        <f t="shared" si="104"/>
        <v>2.0234247195052992</v>
      </c>
      <c r="AP292" s="8">
        <f t="shared" si="105"/>
        <v>1.2186354028253601</v>
      </c>
      <c r="AQ292" s="8"/>
      <c r="AR292" s="8">
        <f t="shared" si="106"/>
        <v>115.93369659009608</v>
      </c>
      <c r="AS292" s="8">
        <f t="shared" si="107"/>
        <v>20.17733465288191</v>
      </c>
    </row>
    <row r="293" spans="1:45">
      <c r="A293" s="19">
        <v>103.23646669999999</v>
      </c>
      <c r="B293" s="19">
        <v>397.84153529999998</v>
      </c>
      <c r="C293" s="19">
        <v>-788.62180460000002</v>
      </c>
      <c r="E293" s="9">
        <f t="shared" si="97"/>
        <v>-562.15846469999997</v>
      </c>
      <c r="F293" s="9">
        <f t="shared" si="98"/>
        <v>-248.62180460000002</v>
      </c>
      <c r="I293">
        <v>1</v>
      </c>
      <c r="J293">
        <f t="shared" si="93"/>
        <v>0.38839447779852815</v>
      </c>
      <c r="K293">
        <f t="shared" si="99"/>
        <v>-2.7251915422231967</v>
      </c>
      <c r="O293">
        <f t="shared" si="100"/>
        <v>-0.34634298802517055</v>
      </c>
      <c r="P293">
        <f t="shared" si="101"/>
        <v>-0.15317463686920835</v>
      </c>
      <c r="Q293">
        <f t="shared" si="102"/>
        <v>0.92551826846679952</v>
      </c>
      <c r="R293">
        <f t="shared" si="92"/>
        <v>1</v>
      </c>
      <c r="AG293" s="8">
        <f t="shared" si="94"/>
        <v>-0.41041077490385286</v>
      </c>
      <c r="AH293" s="8">
        <f t="shared" si="95"/>
        <v>0.84416031253716095</v>
      </c>
      <c r="AI293" s="8">
        <f t="shared" si="96"/>
        <v>0.34490051113325698</v>
      </c>
      <c r="AJ293" s="8"/>
      <c r="AK293" s="8"/>
      <c r="AL293" s="8"/>
      <c r="AN293" s="8">
        <f t="shared" si="103"/>
        <v>1.0000000000000002</v>
      </c>
      <c r="AO293" s="8">
        <f t="shared" si="104"/>
        <v>2.0233239798312792</v>
      </c>
      <c r="AP293" s="8">
        <f t="shared" si="105"/>
        <v>1.2186635364179819</v>
      </c>
      <c r="AQ293" s="8"/>
      <c r="AR293" s="8">
        <f t="shared" si="106"/>
        <v>115.9279246319452</v>
      </c>
      <c r="AS293" s="8">
        <f t="shared" si="107"/>
        <v>20.175722716762138</v>
      </c>
    </row>
    <row r="294" spans="1:45">
      <c r="A294" s="19">
        <v>103.2698333</v>
      </c>
      <c r="B294" s="19">
        <v>397.73435899999998</v>
      </c>
      <c r="C294" s="19">
        <v>-788.63273749999996</v>
      </c>
      <c r="E294" s="9">
        <f t="shared" si="97"/>
        <v>-562.26564099999996</v>
      </c>
      <c r="F294" s="9">
        <f t="shared" si="98"/>
        <v>-248.63273749999996</v>
      </c>
      <c r="I294">
        <v>1</v>
      </c>
      <c r="J294">
        <f t="shared" si="93"/>
        <v>0.38845364843553415</v>
      </c>
      <c r="K294">
        <f t="shared" si="99"/>
        <v>-2.7252457905858067</v>
      </c>
      <c r="O294">
        <f t="shared" si="100"/>
        <v>-0.34640138157578859</v>
      </c>
      <c r="P294">
        <f t="shared" si="101"/>
        <v>-0.15317799540763768</v>
      </c>
      <c r="Q294">
        <f t="shared" si="102"/>
        <v>0.92549585875101714</v>
      </c>
      <c r="R294">
        <f t="shared" si="92"/>
        <v>1</v>
      </c>
      <c r="AG294" s="8">
        <f t="shared" si="94"/>
        <v>-0.41036217867472657</v>
      </c>
      <c r="AH294" s="8">
        <f t="shared" si="95"/>
        <v>0.84419300645292661</v>
      </c>
      <c r="AI294" s="8">
        <f t="shared" si="96"/>
        <v>0.34487831211791337</v>
      </c>
      <c r="AJ294" s="8"/>
      <c r="AK294" s="8"/>
      <c r="AL294" s="8"/>
      <c r="AN294" s="8">
        <f t="shared" si="103"/>
        <v>1</v>
      </c>
      <c r="AO294" s="8">
        <f t="shared" si="104"/>
        <v>2.0232621889415752</v>
      </c>
      <c r="AP294" s="8">
        <f t="shared" si="105"/>
        <v>1.2186871865252438</v>
      </c>
      <c r="AQ294" s="8"/>
      <c r="AR294" s="8">
        <f t="shared" si="106"/>
        <v>115.9243842747528</v>
      </c>
      <c r="AS294" s="8">
        <f t="shared" si="107"/>
        <v>20.174367665431006</v>
      </c>
    </row>
    <row r="295" spans="1:45">
      <c r="A295" s="19">
        <v>103.3032</v>
      </c>
      <c r="B295" s="19">
        <v>397.42939209999997</v>
      </c>
      <c r="C295" s="19">
        <v>-788.6784159</v>
      </c>
      <c r="E295" s="9">
        <f t="shared" si="97"/>
        <v>-562.57060790000003</v>
      </c>
      <c r="F295" s="9">
        <f t="shared" si="98"/>
        <v>-248.6784159</v>
      </c>
      <c r="I295">
        <v>1</v>
      </c>
      <c r="J295">
        <f t="shared" si="93"/>
        <v>0.38862540909368387</v>
      </c>
      <c r="K295">
        <f t="shared" si="99"/>
        <v>-2.7253783892713237</v>
      </c>
      <c r="O295">
        <f t="shared" si="100"/>
        <v>-0.34656707703542111</v>
      </c>
      <c r="P295">
        <f t="shared" si="101"/>
        <v>-0.15319632862081817</v>
      </c>
      <c r="Q295">
        <f t="shared" si="102"/>
        <v>0.92543078942308099</v>
      </c>
      <c r="R295">
        <f t="shared" si="92"/>
        <v>1</v>
      </c>
      <c r="AG295" s="8">
        <f t="shared" si="94"/>
        <v>-0.41022774848133703</v>
      </c>
      <c r="AH295" s="8">
        <f t="shared" si="95"/>
        <v>0.84428736551736128</v>
      </c>
      <c r="AI295" s="8">
        <f t="shared" si="96"/>
        <v>0.34480724876905727</v>
      </c>
      <c r="AJ295" s="8"/>
      <c r="AK295" s="8"/>
      <c r="AL295" s="8"/>
      <c r="AN295" s="8">
        <f t="shared" si="103"/>
        <v>1</v>
      </c>
      <c r="AO295" s="8">
        <f t="shared" si="104"/>
        <v>2.0230894397879755</v>
      </c>
      <c r="AP295" s="8">
        <f t="shared" si="105"/>
        <v>1.2187628937186377</v>
      </c>
      <c r="AQ295" s="8"/>
      <c r="AR295" s="8">
        <f t="shared" si="106"/>
        <v>115.91448647733708</v>
      </c>
      <c r="AS295" s="8">
        <f t="shared" si="107"/>
        <v>20.170029962770755</v>
      </c>
    </row>
    <row r="296" spans="1:45">
      <c r="A296" s="19">
        <v>103.33656670000001</v>
      </c>
      <c r="B296" s="19">
        <v>397.09590370000001</v>
      </c>
      <c r="C296" s="19">
        <v>-788.62884459999998</v>
      </c>
      <c r="E296" s="9">
        <f t="shared" si="97"/>
        <v>-562.90409629999999</v>
      </c>
      <c r="F296" s="9">
        <f t="shared" si="98"/>
        <v>-248.62884459999998</v>
      </c>
      <c r="I296">
        <v>1</v>
      </c>
      <c r="J296">
        <f t="shared" si="93"/>
        <v>0.38878999148096821</v>
      </c>
      <c r="K296">
        <f t="shared" si="99"/>
        <v>-2.7256711717180586</v>
      </c>
      <c r="O296">
        <f t="shared" si="100"/>
        <v>-0.34675123504303373</v>
      </c>
      <c r="P296">
        <f t="shared" si="101"/>
        <v>-0.15315638933710227</v>
      </c>
      <c r="Q296">
        <f t="shared" si="102"/>
        <v>0.9253684138770637</v>
      </c>
      <c r="R296">
        <f t="shared" si="92"/>
        <v>1</v>
      </c>
      <c r="AG296" s="8">
        <f t="shared" si="94"/>
        <v>-0.41005448201608541</v>
      </c>
      <c r="AH296" s="8">
        <f t="shared" si="95"/>
        <v>0.84438124347571675</v>
      </c>
      <c r="AI296" s="8">
        <f t="shared" si="96"/>
        <v>0.34478346457584397</v>
      </c>
      <c r="AJ296" s="8"/>
      <c r="AK296" s="8"/>
      <c r="AL296" s="8"/>
      <c r="AN296" s="8">
        <f t="shared" si="103"/>
        <v>1</v>
      </c>
      <c r="AO296" s="8">
        <f t="shared" si="104"/>
        <v>2.0228797080405321</v>
      </c>
      <c r="AP296" s="8">
        <f t="shared" si="105"/>
        <v>1.2187882316899761</v>
      </c>
      <c r="AQ296" s="8"/>
      <c r="AR296" s="8">
        <f t="shared" si="106"/>
        <v>115.90246973337867</v>
      </c>
      <c r="AS296" s="8">
        <f t="shared" si="107"/>
        <v>20.16857820395164</v>
      </c>
    </row>
    <row r="297" spans="1:45">
      <c r="A297" s="19">
        <v>103.3699333</v>
      </c>
      <c r="B297" s="19">
        <v>396.99582520000001</v>
      </c>
      <c r="C297" s="19">
        <v>-788.61142829999994</v>
      </c>
      <c r="E297" s="9">
        <f t="shared" si="97"/>
        <v>-563.00417479999999</v>
      </c>
      <c r="F297" s="9">
        <f t="shared" si="98"/>
        <v>-248.61142829999994</v>
      </c>
      <c r="I297">
        <v>1</v>
      </c>
      <c r="J297">
        <f t="shared" si="93"/>
        <v>0.38883879129423193</v>
      </c>
      <c r="K297">
        <f t="shared" si="99"/>
        <v>-2.7257627572007199</v>
      </c>
      <c r="O297">
        <f t="shared" si="100"/>
        <v>-0.34680656959847034</v>
      </c>
      <c r="P297">
        <f t="shared" si="101"/>
        <v>-0.15314287259473283</v>
      </c>
      <c r="Q297">
        <f t="shared" si="102"/>
        <v>0.92534991427933611</v>
      </c>
      <c r="R297">
        <f t="shared" si="92"/>
        <v>1</v>
      </c>
      <c r="AG297" s="8">
        <f t="shared" si="94"/>
        <v>-0.41000181600525087</v>
      </c>
      <c r="AH297" s="8">
        <f t="shared" si="95"/>
        <v>0.84440917065842358</v>
      </c>
      <c r="AI297" s="8">
        <f t="shared" si="96"/>
        <v>0.34477770139663833</v>
      </c>
      <c r="AJ297" s="8"/>
      <c r="AK297" s="8"/>
      <c r="AL297" s="8"/>
      <c r="AN297" s="8">
        <f t="shared" si="103"/>
        <v>0.99999999999999978</v>
      </c>
      <c r="AO297" s="8">
        <f t="shared" si="104"/>
        <v>2.0228162417076727</v>
      </c>
      <c r="AP297" s="8">
        <f t="shared" si="105"/>
        <v>1.2187943713317131</v>
      </c>
      <c r="AQ297" s="8"/>
      <c r="AR297" s="8">
        <f t="shared" si="106"/>
        <v>115.89883338036465</v>
      </c>
      <c r="AS297" s="8">
        <f t="shared" si="107"/>
        <v>20.168226428392387</v>
      </c>
    </row>
    <row r="298" spans="1:45">
      <c r="A298" s="19">
        <v>103.4033</v>
      </c>
      <c r="B298" s="19">
        <v>396.1934789</v>
      </c>
      <c r="C298" s="19">
        <v>-788.60573729999999</v>
      </c>
      <c r="E298" s="9">
        <f t="shared" si="97"/>
        <v>-563.80652110000005</v>
      </c>
      <c r="F298" s="9">
        <f t="shared" si="98"/>
        <v>-248.60573729999999</v>
      </c>
      <c r="I298">
        <v>1</v>
      </c>
      <c r="J298">
        <f t="shared" si="93"/>
        <v>0.38926125393391398</v>
      </c>
      <c r="K298">
        <f t="shared" si="99"/>
        <v>-2.7262971970232162</v>
      </c>
      <c r="O298">
        <f t="shared" si="100"/>
        <v>-0.34724603071488752</v>
      </c>
      <c r="P298">
        <f t="shared" si="101"/>
        <v>-0.15311521286051522</v>
      </c>
      <c r="Q298">
        <f t="shared" si="102"/>
        <v>0.92518967014522724</v>
      </c>
      <c r="R298">
        <f t="shared" si="92"/>
        <v>1</v>
      </c>
      <c r="AG298" s="8">
        <f t="shared" si="94"/>
        <v>-0.40961495866308811</v>
      </c>
      <c r="AH298" s="8">
        <f t="shared" si="95"/>
        <v>0.84464538535742828</v>
      </c>
      <c r="AI298" s="8">
        <f t="shared" si="96"/>
        <v>0.34465890186362214</v>
      </c>
      <c r="AJ298" s="8"/>
      <c r="AK298" s="8"/>
      <c r="AL298" s="8"/>
      <c r="AN298" s="8">
        <f t="shared" si="103"/>
        <v>0.99999999999999978</v>
      </c>
      <c r="AO298" s="8">
        <f t="shared" si="104"/>
        <v>2.0223356140177713</v>
      </c>
      <c r="AP298" s="8">
        <f t="shared" si="105"/>
        <v>1.2189209280068991</v>
      </c>
      <c r="AQ298" s="8"/>
      <c r="AR298" s="8">
        <f t="shared" si="106"/>
        <v>115.87129544221618</v>
      </c>
      <c r="AS298" s="8">
        <f t="shared" si="107"/>
        <v>20.16097526503502</v>
      </c>
    </row>
    <row r="299" spans="1:45">
      <c r="A299" s="19">
        <v>103.4366667</v>
      </c>
      <c r="B299" s="19">
        <v>395.85436390000001</v>
      </c>
      <c r="C299" s="19">
        <v>-788.58712260000004</v>
      </c>
      <c r="E299" s="9">
        <f t="shared" si="97"/>
        <v>-564.14563610000005</v>
      </c>
      <c r="F299" s="9">
        <f t="shared" si="98"/>
        <v>-248.58712260000004</v>
      </c>
      <c r="I299">
        <v>1</v>
      </c>
      <c r="J299">
        <f t="shared" si="93"/>
        <v>0.38943602555042134</v>
      </c>
      <c r="K299">
        <f t="shared" si="99"/>
        <v>-2.7265467593160473</v>
      </c>
      <c r="O299">
        <f t="shared" si="100"/>
        <v>-0.34743219485460164</v>
      </c>
      <c r="P299">
        <f t="shared" si="101"/>
        <v>-0.15309374759073485</v>
      </c>
      <c r="Q299">
        <f t="shared" si="102"/>
        <v>0.92512332930649765</v>
      </c>
      <c r="R299">
        <f t="shared" si="92"/>
        <v>1</v>
      </c>
      <c r="AG299" s="8">
        <f t="shared" si="94"/>
        <v>-0.40944718351295772</v>
      </c>
      <c r="AH299" s="8">
        <f t="shared" si="95"/>
        <v>0.84474363546794473</v>
      </c>
      <c r="AI299" s="8">
        <f t="shared" si="96"/>
        <v>0.34461746074409316</v>
      </c>
      <c r="AJ299" s="8"/>
      <c r="AK299" s="8"/>
      <c r="AL299" s="8"/>
      <c r="AN299" s="8">
        <f t="shared" si="103"/>
        <v>1.0000000000000002</v>
      </c>
      <c r="AO299" s="8">
        <f t="shared" si="104"/>
        <v>2.0221291340370788</v>
      </c>
      <c r="AP299" s="8">
        <f t="shared" si="105"/>
        <v>1.2189650736849769</v>
      </c>
      <c r="AQ299" s="8"/>
      <c r="AR299" s="8">
        <f t="shared" si="106"/>
        <v>115.85946501076856</v>
      </c>
      <c r="AS299" s="8">
        <f t="shared" si="107"/>
        <v>20.158445903997418</v>
      </c>
    </row>
    <row r="300" spans="1:45">
      <c r="A300" s="19">
        <v>103.4700333</v>
      </c>
      <c r="B300" s="19">
        <v>395.68268549999999</v>
      </c>
      <c r="C300" s="19">
        <v>-788.65187509999998</v>
      </c>
      <c r="E300" s="9">
        <f t="shared" si="97"/>
        <v>-564.31731450000007</v>
      </c>
      <c r="F300" s="9">
        <f t="shared" si="98"/>
        <v>-248.65187509999998</v>
      </c>
      <c r="I300">
        <v>1</v>
      </c>
      <c r="J300">
        <f t="shared" si="93"/>
        <v>0.38954176228871867</v>
      </c>
      <c r="K300">
        <f t="shared" si="99"/>
        <v>-2.7265629289730353</v>
      </c>
      <c r="O300">
        <f t="shared" si="100"/>
        <v>-0.34752418341011554</v>
      </c>
      <c r="P300">
        <f t="shared" si="101"/>
        <v>-0.15312757136308197</v>
      </c>
      <c r="Q300">
        <f t="shared" si="102"/>
        <v>0.9250831794133848</v>
      </c>
      <c r="R300">
        <f t="shared" si="92"/>
        <v>1</v>
      </c>
      <c r="AG300" s="8">
        <f t="shared" si="94"/>
        <v>-0.40938182936315348</v>
      </c>
      <c r="AH300" s="8">
        <f t="shared" si="95"/>
        <v>0.84480025724557384</v>
      </c>
      <c r="AI300" s="8">
        <f t="shared" si="96"/>
        <v>0.34455629894850309</v>
      </c>
      <c r="AJ300" s="8"/>
      <c r="AK300" s="8"/>
      <c r="AL300" s="8"/>
      <c r="AN300" s="8">
        <f t="shared" si="103"/>
        <v>1</v>
      </c>
      <c r="AO300" s="8">
        <f t="shared" si="104"/>
        <v>2.0220401805611936</v>
      </c>
      <c r="AP300" s="8">
        <f t="shared" si="105"/>
        <v>1.2190302257562404</v>
      </c>
      <c r="AQ300" s="8"/>
      <c r="AR300" s="8">
        <f t="shared" si="106"/>
        <v>115.85436835202732</v>
      </c>
      <c r="AS300" s="8">
        <f t="shared" si="107"/>
        <v>20.154712965287487</v>
      </c>
    </row>
    <row r="301" spans="1:45">
      <c r="A301" s="19">
        <v>103.5034</v>
      </c>
      <c r="B301" s="19">
        <v>395.39020349999998</v>
      </c>
      <c r="C301" s="19">
        <v>-788.6890813</v>
      </c>
      <c r="E301" s="9">
        <f t="shared" si="97"/>
        <v>-564.60979650000002</v>
      </c>
      <c r="F301" s="9">
        <f t="shared" si="98"/>
        <v>-248.6890813</v>
      </c>
      <c r="I301">
        <v>1</v>
      </c>
      <c r="J301">
        <f t="shared" si="93"/>
        <v>0.38970487491003897</v>
      </c>
      <c r="K301">
        <f t="shared" si="99"/>
        <v>-2.726698897606056</v>
      </c>
      <c r="O301">
        <f t="shared" si="100"/>
        <v>-0.34768308699432376</v>
      </c>
      <c r="P301">
        <f t="shared" si="101"/>
        <v>-0.15314113928621209</v>
      </c>
      <c r="Q301">
        <f t="shared" si="102"/>
        <v>0.92502122271665665</v>
      </c>
      <c r="R301">
        <f t="shared" si="92"/>
        <v>1</v>
      </c>
      <c r="AG301" s="8">
        <f t="shared" si="94"/>
        <v>-0.40925119250339526</v>
      </c>
      <c r="AH301" s="8">
        <f t="shared" si="95"/>
        <v>0.84488989150419802</v>
      </c>
      <c r="AI301" s="8">
        <f t="shared" si="96"/>
        <v>0.34449170188637857</v>
      </c>
      <c r="AJ301" s="8"/>
      <c r="AK301" s="8"/>
      <c r="AL301" s="8"/>
      <c r="AN301" s="8">
        <f t="shared" si="103"/>
        <v>1</v>
      </c>
      <c r="AO301" s="8">
        <f t="shared" si="104"/>
        <v>2.0218733177968122</v>
      </c>
      <c r="AP301" s="8">
        <f t="shared" si="105"/>
        <v>1.2190990355236875</v>
      </c>
      <c r="AQ301" s="8"/>
      <c r="AR301" s="8">
        <f t="shared" si="106"/>
        <v>115.84480781987038</v>
      </c>
      <c r="AS301" s="8">
        <f t="shared" si="107"/>
        <v>20.150770456023494</v>
      </c>
    </row>
    <row r="302" spans="1:45">
      <c r="A302" s="19">
        <v>103.5367667</v>
      </c>
      <c r="B302" s="19">
        <v>395.07987259999999</v>
      </c>
      <c r="C302" s="19">
        <v>-788.64643379999995</v>
      </c>
      <c r="E302" s="9">
        <f t="shared" si="97"/>
        <v>-564.92012739999996</v>
      </c>
      <c r="F302" s="9">
        <f t="shared" si="98"/>
        <v>-248.64643379999995</v>
      </c>
      <c r="I302">
        <v>1</v>
      </c>
      <c r="J302">
        <f t="shared" si="93"/>
        <v>0.38985883555933393</v>
      </c>
      <c r="K302">
        <f t="shared" si="99"/>
        <v>-2.7269648020324184</v>
      </c>
      <c r="O302">
        <f t="shared" si="100"/>
        <v>-0.34785414084783106</v>
      </c>
      <c r="P302">
        <f t="shared" si="101"/>
        <v>-0.15310605412919498</v>
      </c>
      <c r="Q302">
        <f t="shared" si="102"/>
        <v>0.92496271972658728</v>
      </c>
      <c r="R302">
        <f t="shared" si="92"/>
        <v>1</v>
      </c>
      <c r="AG302" s="8">
        <f t="shared" si="94"/>
        <v>-0.40909091108393336</v>
      </c>
      <c r="AH302" s="8">
        <f t="shared" si="95"/>
        <v>0.84497732051032082</v>
      </c>
      <c r="AI302" s="8">
        <f t="shared" si="96"/>
        <v>0.34446763896150795</v>
      </c>
      <c r="AJ302" s="8"/>
      <c r="AK302" s="8"/>
      <c r="AL302" s="8"/>
      <c r="AN302" s="8">
        <f t="shared" si="103"/>
        <v>0.99999999999999989</v>
      </c>
      <c r="AO302" s="8">
        <f t="shared" si="104"/>
        <v>2.0216790661005257</v>
      </c>
      <c r="AP302" s="8">
        <f t="shared" si="105"/>
        <v>1.2191246672709874</v>
      </c>
      <c r="AQ302" s="8"/>
      <c r="AR302" s="8">
        <f t="shared" si="106"/>
        <v>115.83367801750991</v>
      </c>
      <c r="AS302" s="8">
        <f t="shared" si="107"/>
        <v>20.149301865081654</v>
      </c>
    </row>
    <row r="303" spans="1:45">
      <c r="A303" s="19">
        <v>103.57013329999999</v>
      </c>
      <c r="B303" s="19">
        <v>394.22040149999998</v>
      </c>
      <c r="C303" s="19">
        <v>-788.5123552</v>
      </c>
      <c r="E303" s="9">
        <f t="shared" si="97"/>
        <v>-565.77959850000002</v>
      </c>
      <c r="F303" s="9">
        <f t="shared" si="98"/>
        <v>-248.5123552</v>
      </c>
      <c r="I303">
        <v>1</v>
      </c>
      <c r="J303">
        <f t="shared" si="93"/>
        <v>0.39028156521845042</v>
      </c>
      <c r="K303">
        <f t="shared" si="99"/>
        <v>-2.7277236876284348</v>
      </c>
      <c r="O303">
        <f t="shared" si="100"/>
        <v>-0.34832819650547403</v>
      </c>
      <c r="P303">
        <f t="shared" si="101"/>
        <v>-0.15299926106498482</v>
      </c>
      <c r="Q303">
        <f t="shared" si="102"/>
        <v>0.92480197536165143</v>
      </c>
      <c r="R303">
        <f t="shared" si="92"/>
        <v>1</v>
      </c>
      <c r="AG303" s="8">
        <f t="shared" si="94"/>
        <v>-0.40864281778981115</v>
      </c>
      <c r="AH303" s="8">
        <f t="shared" si="95"/>
        <v>0.84521776941579252</v>
      </c>
      <c r="AI303" s="8">
        <f t="shared" si="96"/>
        <v>0.34440959587763448</v>
      </c>
      <c r="AJ303" s="8"/>
      <c r="AK303" s="8"/>
      <c r="AL303" s="8"/>
      <c r="AN303" s="8">
        <f t="shared" si="103"/>
        <v>1.0000000000000002</v>
      </c>
      <c r="AO303" s="8">
        <f t="shared" si="104"/>
        <v>2.0211378649417924</v>
      </c>
      <c r="AP303" s="8">
        <f t="shared" si="105"/>
        <v>1.2191864935783125</v>
      </c>
      <c r="AQ303" s="8"/>
      <c r="AR303" s="8">
        <f t="shared" si="106"/>
        <v>115.8026694752469</v>
      </c>
      <c r="AS303" s="8">
        <f t="shared" si="107"/>
        <v>20.145759478609051</v>
      </c>
    </row>
    <row r="304" spans="1:45">
      <c r="A304" s="19">
        <v>103.6035</v>
      </c>
      <c r="B304" s="19">
        <v>394.01297770000002</v>
      </c>
      <c r="C304" s="19">
        <v>-788.61096410000005</v>
      </c>
      <c r="E304" s="9">
        <f t="shared" si="97"/>
        <v>-565.98702230000004</v>
      </c>
      <c r="F304" s="9">
        <f t="shared" si="98"/>
        <v>-248.61096410000005</v>
      </c>
      <c r="I304">
        <v>1</v>
      </c>
      <c r="J304">
        <f t="shared" si="93"/>
        <v>0.39041396498540704</v>
      </c>
      <c r="K304">
        <f t="shared" si="99"/>
        <v>-2.7277125791174965</v>
      </c>
      <c r="O304">
        <f t="shared" si="100"/>
        <v>-0.34843859916048187</v>
      </c>
      <c r="P304">
        <f t="shared" si="101"/>
        <v>-0.15305237161608493</v>
      </c>
      <c r="Q304">
        <f t="shared" si="102"/>
        <v>0.92475159592064127</v>
      </c>
      <c r="R304">
        <f t="shared" si="92"/>
        <v>1</v>
      </c>
      <c r="AG304" s="8">
        <f t="shared" si="94"/>
        <v>-0.40856925473968597</v>
      </c>
      <c r="AH304" s="8">
        <f t="shared" si="95"/>
        <v>0.84528793251821688</v>
      </c>
      <c r="AI304" s="8">
        <f t="shared" si="96"/>
        <v>0.34432466542572299</v>
      </c>
      <c r="AJ304" s="8"/>
      <c r="AK304" s="8"/>
      <c r="AL304" s="8"/>
      <c r="AN304" s="8">
        <f t="shared" si="103"/>
        <v>1</v>
      </c>
      <c r="AO304" s="8">
        <f t="shared" si="104"/>
        <v>2.0210347933706139</v>
      </c>
      <c r="AP304" s="8">
        <f t="shared" si="105"/>
        <v>1.2192769572338742</v>
      </c>
      <c r="AQ304" s="8"/>
      <c r="AR304" s="8">
        <f t="shared" si="106"/>
        <v>115.79676390923058</v>
      </c>
      <c r="AS304" s="8">
        <f t="shared" si="107"/>
        <v>20.140576292946037</v>
      </c>
    </row>
    <row r="305" spans="1:45">
      <c r="A305" s="19">
        <v>103.6368667</v>
      </c>
      <c r="B305" s="19">
        <v>393.74599269999999</v>
      </c>
      <c r="C305" s="19">
        <v>-788.69862060000003</v>
      </c>
      <c r="E305" s="9">
        <f t="shared" si="97"/>
        <v>-566.25400730000001</v>
      </c>
      <c r="F305" s="9">
        <f t="shared" si="98"/>
        <v>-248.69862060000003</v>
      </c>
      <c r="I305">
        <v>1</v>
      </c>
      <c r="J305">
        <f t="shared" si="93"/>
        <v>0.3905752568770664</v>
      </c>
      <c r="K305">
        <f t="shared" si="99"/>
        <v>-2.7277564242881538</v>
      </c>
      <c r="O305">
        <f t="shared" si="100"/>
        <v>-0.34858186890861897</v>
      </c>
      <c r="P305">
        <f t="shared" si="101"/>
        <v>-0.15309707100724232</v>
      </c>
      <c r="Q305">
        <f t="shared" si="102"/>
        <v>0.92469020083332654</v>
      </c>
      <c r="R305">
        <f t="shared" si="92"/>
        <v>1</v>
      </c>
      <c r="AG305" s="8">
        <f t="shared" si="94"/>
        <v>-0.40846420417784962</v>
      </c>
      <c r="AH305" s="8">
        <f t="shared" si="95"/>
        <v>0.84537456135523781</v>
      </c>
      <c r="AI305" s="8">
        <f t="shared" si="96"/>
        <v>0.34423661182215243</v>
      </c>
      <c r="AJ305" s="8"/>
      <c r="AK305" s="8"/>
      <c r="AL305" s="8"/>
      <c r="AN305" s="8">
        <f t="shared" si="103"/>
        <v>1</v>
      </c>
      <c r="AO305" s="8">
        <f t="shared" si="104"/>
        <v>2.0208939017534857</v>
      </c>
      <c r="AP305" s="8">
        <f t="shared" si="105"/>
        <v>1.2193707443450259</v>
      </c>
      <c r="AQ305" s="8"/>
      <c r="AR305" s="8">
        <f t="shared" si="106"/>
        <v>115.78869141420037</v>
      </c>
      <c r="AS305" s="8">
        <f t="shared" si="107"/>
        <v>20.135202687304329</v>
      </c>
    </row>
    <row r="306" spans="1:45">
      <c r="A306" s="19">
        <v>103.67023330000001</v>
      </c>
      <c r="B306" s="19">
        <v>393.61845770000002</v>
      </c>
      <c r="C306" s="19">
        <v>-788.67592290000005</v>
      </c>
      <c r="E306" s="9">
        <f t="shared" si="97"/>
        <v>-566.38154229999998</v>
      </c>
      <c r="F306" s="9">
        <f t="shared" si="98"/>
        <v>-248.67592290000005</v>
      </c>
      <c r="I306">
        <v>1</v>
      </c>
      <c r="J306">
        <f t="shared" si="93"/>
        <v>0.39063732756496078</v>
      </c>
      <c r="K306">
        <f t="shared" si="99"/>
        <v>-2.7278729296855619</v>
      </c>
      <c r="O306">
        <f t="shared" si="100"/>
        <v>-0.34865225625076163</v>
      </c>
      <c r="P306">
        <f t="shared" si="101"/>
        <v>-0.15307953229238816</v>
      </c>
      <c r="Q306">
        <f t="shared" si="102"/>
        <v>0.92466656747413389</v>
      </c>
      <c r="R306">
        <f t="shared" si="92"/>
        <v>1</v>
      </c>
      <c r="AG306" s="8">
        <f t="shared" si="94"/>
        <v>-0.40839698030220578</v>
      </c>
      <c r="AH306" s="8">
        <f t="shared" si="95"/>
        <v>0.84540993111861085</v>
      </c>
      <c r="AI306" s="8">
        <f t="shared" si="96"/>
        <v>0.3442295089704912</v>
      </c>
      <c r="AJ306" s="8"/>
      <c r="AK306" s="8"/>
      <c r="AL306" s="8"/>
      <c r="AN306" s="8">
        <f t="shared" si="103"/>
        <v>1</v>
      </c>
      <c r="AO306" s="8">
        <f t="shared" si="104"/>
        <v>2.020813043732371</v>
      </c>
      <c r="AP306" s="8">
        <f t="shared" si="105"/>
        <v>1.2193783095500033</v>
      </c>
      <c r="AQ306" s="8"/>
      <c r="AR306" s="8">
        <f t="shared" si="106"/>
        <v>115.78405859085072</v>
      </c>
      <c r="AS306" s="8">
        <f t="shared" si="107"/>
        <v>20.134769232987964</v>
      </c>
    </row>
    <row r="307" spans="1:45">
      <c r="A307" s="19">
        <v>103.70359999999999</v>
      </c>
      <c r="B307" s="19">
        <v>393.42417169999999</v>
      </c>
      <c r="C307" s="19">
        <v>-788.65258800000004</v>
      </c>
      <c r="E307" s="9">
        <f t="shared" si="97"/>
        <v>-566.57582830000001</v>
      </c>
      <c r="F307" s="9">
        <f t="shared" si="98"/>
        <v>-248.65258800000004</v>
      </c>
      <c r="I307">
        <v>1</v>
      </c>
      <c r="J307">
        <f t="shared" si="93"/>
        <v>0.3907344940256342</v>
      </c>
      <c r="K307">
        <f t="shared" si="99"/>
        <v>-2.7280336967652756</v>
      </c>
      <c r="O307">
        <f t="shared" si="100"/>
        <v>-0.34875913243457141</v>
      </c>
      <c r="P307">
        <f t="shared" si="101"/>
        <v>-0.153059584502029</v>
      </c>
      <c r="Q307">
        <f t="shared" si="102"/>
        <v>0.92462956427725762</v>
      </c>
      <c r="R307">
        <f t="shared" si="92"/>
        <v>1</v>
      </c>
      <c r="AG307" s="8">
        <f t="shared" si="94"/>
        <v>-0.40829754111436944</v>
      </c>
      <c r="AH307" s="8">
        <f t="shared" si="95"/>
        <v>0.84546484530874211</v>
      </c>
      <c r="AI307" s="8">
        <f t="shared" si="96"/>
        <v>0.344212598937088</v>
      </c>
      <c r="AJ307" s="8"/>
      <c r="AK307" s="8"/>
      <c r="AL307" s="8"/>
      <c r="AN307" s="8">
        <f t="shared" si="103"/>
        <v>1</v>
      </c>
      <c r="AO307" s="8">
        <f t="shared" si="104"/>
        <v>2.0206922357537831</v>
      </c>
      <c r="AP307" s="8">
        <f t="shared" si="105"/>
        <v>1.2193963202413687</v>
      </c>
      <c r="AQ307" s="8"/>
      <c r="AR307" s="8">
        <f t="shared" si="106"/>
        <v>115.77713680354611</v>
      </c>
      <c r="AS307" s="8">
        <f t="shared" si="107"/>
        <v>20.133737296386613</v>
      </c>
    </row>
    <row r="308" spans="1:45">
      <c r="A308" s="19">
        <v>103.7369667</v>
      </c>
      <c r="B308" s="19">
        <v>392.85368820000002</v>
      </c>
      <c r="C308" s="19">
        <v>-788.64447280000002</v>
      </c>
      <c r="E308" s="9">
        <f t="shared" si="97"/>
        <v>-567.14631179999992</v>
      </c>
      <c r="F308" s="9">
        <f t="shared" si="98"/>
        <v>-248.64447280000002</v>
      </c>
      <c r="I308">
        <v>1</v>
      </c>
      <c r="J308">
        <f t="shared" si="93"/>
        <v>0.39103379368272273</v>
      </c>
      <c r="K308">
        <f t="shared" si="99"/>
        <v>-2.7284159157593004</v>
      </c>
      <c r="O308">
        <f t="shared" si="100"/>
        <v>-0.34907104711885223</v>
      </c>
      <c r="P308">
        <f t="shared" si="101"/>
        <v>-0.15303738149181242</v>
      </c>
      <c r="Q308">
        <f t="shared" si="102"/>
        <v>0.92451552930682435</v>
      </c>
      <c r="R308">
        <f t="shared" si="92"/>
        <v>1</v>
      </c>
      <c r="AG308" s="8">
        <f t="shared" si="94"/>
        <v>-0.40802151360125011</v>
      </c>
      <c r="AH308" s="8">
        <f t="shared" si="95"/>
        <v>0.84563161498153172</v>
      </c>
      <c r="AI308" s="8">
        <f t="shared" si="96"/>
        <v>0.34413023142739368</v>
      </c>
      <c r="AJ308" s="8"/>
      <c r="AK308" s="8"/>
      <c r="AL308" s="8"/>
      <c r="AN308" s="8">
        <f t="shared" si="103"/>
        <v>1.0000000000000002</v>
      </c>
      <c r="AO308" s="8">
        <f t="shared" si="104"/>
        <v>2.0203502647165581</v>
      </c>
      <c r="AP308" s="8">
        <f t="shared" si="105"/>
        <v>1.2194840472735162</v>
      </c>
      <c r="AQ308" s="8"/>
      <c r="AR308" s="8">
        <f t="shared" si="106"/>
        <v>115.75754330639742</v>
      </c>
      <c r="AS308" s="8">
        <f t="shared" si="107"/>
        <v>20.12871090769535</v>
      </c>
    </row>
    <row r="309" spans="1:45">
      <c r="A309" s="19">
        <v>103.7703333</v>
      </c>
      <c r="B309" s="19">
        <v>392.12856060000001</v>
      </c>
      <c r="C309" s="19">
        <v>-788.62577469999997</v>
      </c>
      <c r="E309" s="9">
        <f t="shared" si="97"/>
        <v>-567.87143939999999</v>
      </c>
      <c r="F309" s="9">
        <f t="shared" si="98"/>
        <v>-248.62577469999997</v>
      </c>
      <c r="I309">
        <v>1</v>
      </c>
      <c r="J309">
        <f t="shared" si="93"/>
        <v>0.39141226188964984</v>
      </c>
      <c r="K309">
        <f t="shared" si="99"/>
        <v>-2.7289132084528096</v>
      </c>
      <c r="O309">
        <f t="shared" si="100"/>
        <v>-0.34946760878148236</v>
      </c>
      <c r="P309">
        <f t="shared" si="101"/>
        <v>-0.15300409377456106</v>
      </c>
      <c r="Q309">
        <f t="shared" si="102"/>
        <v>0.92437121206838657</v>
      </c>
      <c r="R309">
        <f t="shared" si="92"/>
        <v>1</v>
      </c>
      <c r="AG309" s="8">
        <f t="shared" si="94"/>
        <v>-0.40766847546564944</v>
      </c>
      <c r="AH309" s="8">
        <f t="shared" si="95"/>
        <v>0.84584262177066249</v>
      </c>
      <c r="AI309" s="8">
        <f t="shared" si="96"/>
        <v>0.34403004710002438</v>
      </c>
      <c r="AJ309" s="8"/>
      <c r="AK309" s="8"/>
      <c r="AL309" s="8"/>
      <c r="AN309" s="8">
        <f t="shared" si="103"/>
        <v>0.99999999999999989</v>
      </c>
      <c r="AO309" s="8">
        <f t="shared" si="104"/>
        <v>2.0199139765277057</v>
      </c>
      <c r="AP309" s="8">
        <f t="shared" si="105"/>
        <v>1.2195907466335234</v>
      </c>
      <c r="AQ309" s="8"/>
      <c r="AR309" s="8">
        <f t="shared" si="106"/>
        <v>115.73254583452477</v>
      </c>
      <c r="AS309" s="8">
        <f t="shared" si="107"/>
        <v>20.122597484690189</v>
      </c>
    </row>
    <row r="310" spans="1:45">
      <c r="A310" s="19">
        <v>103.80370000000001</v>
      </c>
      <c r="B310" s="19">
        <v>392.10371750000002</v>
      </c>
      <c r="C310" s="19">
        <v>-788.62271920000001</v>
      </c>
      <c r="E310" s="9">
        <f t="shared" si="97"/>
        <v>-567.89628249999998</v>
      </c>
      <c r="F310" s="9">
        <f t="shared" si="98"/>
        <v>-248.62271920000001</v>
      </c>
      <c r="I310">
        <v>1</v>
      </c>
      <c r="J310">
        <f t="shared" si="93"/>
        <v>0.39142466980268453</v>
      </c>
      <c r="K310">
        <f t="shared" si="99"/>
        <v>-2.7289337956000268</v>
      </c>
      <c r="O310">
        <f t="shared" si="100"/>
        <v>-0.34948126533866958</v>
      </c>
      <c r="P310">
        <f t="shared" si="101"/>
        <v>-0.1530014989981146</v>
      </c>
      <c r="Q310">
        <f t="shared" si="102"/>
        <v>0.92436647844976094</v>
      </c>
      <c r="R310">
        <f t="shared" si="92"/>
        <v>1</v>
      </c>
      <c r="AG310" s="8">
        <f t="shared" si="94"/>
        <v>-0.40765574332498455</v>
      </c>
      <c r="AH310" s="8">
        <f t="shared" si="95"/>
        <v>0.84584962280654685</v>
      </c>
      <c r="AI310" s="8">
        <f t="shared" si="96"/>
        <v>0.34402792115201447</v>
      </c>
      <c r="AJ310" s="8"/>
      <c r="AK310" s="8"/>
      <c r="AL310" s="8"/>
      <c r="AN310" s="8">
        <f t="shared" si="103"/>
        <v>1</v>
      </c>
      <c r="AO310" s="8">
        <f t="shared" si="104"/>
        <v>2.0198985241592107</v>
      </c>
      <c r="AP310" s="8">
        <f t="shared" si="105"/>
        <v>1.2195930107877031</v>
      </c>
      <c r="AQ310" s="8"/>
      <c r="AR310" s="8">
        <f t="shared" si="106"/>
        <v>115.73166047902652</v>
      </c>
      <c r="AS310" s="8">
        <f t="shared" si="107"/>
        <v>20.122467758211528</v>
      </c>
    </row>
    <row r="311" spans="1:45">
      <c r="A311" s="19">
        <v>103.83706669999999</v>
      </c>
      <c r="B311" s="19">
        <v>392.0922405</v>
      </c>
      <c r="C311" s="19">
        <v>-788.62113939999995</v>
      </c>
      <c r="E311" s="9">
        <f t="shared" si="97"/>
        <v>-567.9077595</v>
      </c>
      <c r="F311" s="9">
        <f t="shared" si="98"/>
        <v>-248.62113939999995</v>
      </c>
      <c r="I311">
        <v>1</v>
      </c>
      <c r="J311">
        <f t="shared" si="93"/>
        <v>0.39143036313743351</v>
      </c>
      <c r="K311">
        <f t="shared" si="99"/>
        <v>-2.7289435545278637</v>
      </c>
      <c r="O311">
        <f t="shared" si="100"/>
        <v>-0.34948757943005865</v>
      </c>
      <c r="P311">
        <f t="shared" si="101"/>
        <v>-0.15300019897694178</v>
      </c>
      <c r="Q311">
        <f t="shared" si="102"/>
        <v>0.92436430639501366</v>
      </c>
      <c r="R311">
        <f t="shared" si="92"/>
        <v>1</v>
      </c>
      <c r="AG311" s="8">
        <f t="shared" si="94"/>
        <v>-0.40764981694327862</v>
      </c>
      <c r="AH311" s="8">
        <f t="shared" si="95"/>
        <v>0.84585284142912398</v>
      </c>
      <c r="AI311" s="8">
        <f t="shared" si="96"/>
        <v>0.34402703003163698</v>
      </c>
      <c r="AJ311" s="8"/>
      <c r="AK311" s="8"/>
      <c r="AL311" s="8"/>
      <c r="AN311" s="8">
        <f t="shared" si="103"/>
        <v>1</v>
      </c>
      <c r="AO311" s="8">
        <f t="shared" si="104"/>
        <v>2.0198913501639844</v>
      </c>
      <c r="AP311" s="8">
        <f t="shared" si="105"/>
        <v>1.2195939598385408</v>
      </c>
      <c r="AQ311" s="8"/>
      <c r="AR311" s="8">
        <f t="shared" si="106"/>
        <v>115.73124943937781</v>
      </c>
      <c r="AS311" s="8">
        <f t="shared" si="107"/>
        <v>20.122413381603991</v>
      </c>
    </row>
    <row r="312" spans="1:45">
      <c r="A312" s="19">
        <v>103.8704333</v>
      </c>
      <c r="B312" s="19">
        <v>391.80064119999997</v>
      </c>
      <c r="C312" s="19">
        <v>-788.63591280000003</v>
      </c>
      <c r="E312" s="9">
        <f t="shared" si="97"/>
        <v>-568.19935880000003</v>
      </c>
      <c r="F312" s="9">
        <f t="shared" si="98"/>
        <v>-248.63591280000003</v>
      </c>
      <c r="I312">
        <v>1</v>
      </c>
      <c r="J312">
        <f t="shared" si="93"/>
        <v>0.39158770044132751</v>
      </c>
      <c r="K312">
        <f t="shared" si="99"/>
        <v>-2.7291102844618242</v>
      </c>
      <c r="O312">
        <f t="shared" si="100"/>
        <v>-0.34964631892852377</v>
      </c>
      <c r="P312">
        <f t="shared" si="101"/>
        <v>-0.15300022838384347</v>
      </c>
      <c r="Q312">
        <f t="shared" si="102"/>
        <v>0.92430426904468244</v>
      </c>
      <c r="R312">
        <f t="shared" si="92"/>
        <v>1</v>
      </c>
      <c r="AG312" s="8">
        <f t="shared" si="94"/>
        <v>-0.4075137415804414</v>
      </c>
      <c r="AH312" s="8">
        <f t="shared" si="95"/>
        <v>0.84593970079676073</v>
      </c>
      <c r="AI312" s="8">
        <f t="shared" si="96"/>
        <v>0.34397466918218861</v>
      </c>
      <c r="AJ312" s="8"/>
      <c r="AK312" s="8"/>
      <c r="AL312" s="8"/>
      <c r="AN312" s="8">
        <f t="shared" si="103"/>
        <v>0.99999999999999989</v>
      </c>
      <c r="AO312" s="8">
        <f t="shared" si="104"/>
        <v>2.0197206410976225</v>
      </c>
      <c r="AP312" s="8">
        <f t="shared" si="105"/>
        <v>1.2196497240125186</v>
      </c>
      <c r="AQ312" s="8"/>
      <c r="AR312" s="8">
        <f t="shared" si="106"/>
        <v>115.72146853035065</v>
      </c>
      <c r="AS312" s="8">
        <f t="shared" si="107"/>
        <v>20.119218329787032</v>
      </c>
    </row>
    <row r="313" spans="1:45">
      <c r="A313" s="19">
        <v>103.9038</v>
      </c>
      <c r="B313" s="19">
        <v>391.42781930000001</v>
      </c>
      <c r="C313" s="19">
        <v>-788.63836849999996</v>
      </c>
      <c r="E313" s="9">
        <f t="shared" si="97"/>
        <v>-568.57218069999999</v>
      </c>
      <c r="F313" s="9">
        <f t="shared" si="98"/>
        <v>-248.63836849999996</v>
      </c>
      <c r="I313">
        <v>1</v>
      </c>
      <c r="J313">
        <f t="shared" si="93"/>
        <v>0.39178505569594951</v>
      </c>
      <c r="K313">
        <f t="shared" si="99"/>
        <v>-2.7293475036625336</v>
      </c>
      <c r="O313">
        <f t="shared" si="100"/>
        <v>-0.34984973098967331</v>
      </c>
      <c r="P313">
        <f t="shared" si="101"/>
        <v>-0.15299036654650069</v>
      </c>
      <c r="Q313">
        <f t="shared" si="102"/>
        <v>0.92422892914603172</v>
      </c>
      <c r="R313">
        <f t="shared" si="92"/>
        <v>1</v>
      </c>
      <c r="AG313" s="8">
        <f t="shared" si="94"/>
        <v>-0.40733543282575374</v>
      </c>
      <c r="AH313" s="8">
        <f t="shared" si="95"/>
        <v>0.84604917701814708</v>
      </c>
      <c r="AI313" s="8">
        <f t="shared" si="96"/>
        <v>0.34391661086893122</v>
      </c>
      <c r="AJ313" s="8"/>
      <c r="AK313" s="8"/>
      <c r="AL313" s="8"/>
      <c r="AN313" s="8">
        <f t="shared" si="103"/>
        <v>1</v>
      </c>
      <c r="AO313" s="8">
        <f t="shared" si="104"/>
        <v>2.0194989656848934</v>
      </c>
      <c r="AP313" s="8">
        <f t="shared" si="105"/>
        <v>1.2197115546394475</v>
      </c>
      <c r="AQ313" s="8"/>
      <c r="AR313" s="8">
        <f t="shared" si="106"/>
        <v>115.70876746477946</v>
      </c>
      <c r="AS313" s="8">
        <f t="shared" si="107"/>
        <v>20.115675695819348</v>
      </c>
    </row>
    <row r="314" spans="1:45">
      <c r="A314" s="19">
        <v>103.93716670000001</v>
      </c>
      <c r="B314" s="19">
        <v>390.8510015</v>
      </c>
      <c r="C314" s="19">
        <v>-788.6387373</v>
      </c>
      <c r="E314" s="9">
        <f t="shared" si="97"/>
        <v>-569.14899850000006</v>
      </c>
      <c r="F314" s="9">
        <f t="shared" si="98"/>
        <v>-248.6387373</v>
      </c>
      <c r="I314">
        <v>1</v>
      </c>
      <c r="J314">
        <f t="shared" si="93"/>
        <v>0.39208958524237003</v>
      </c>
      <c r="K314">
        <f t="shared" si="99"/>
        <v>-2.7297190673359091</v>
      </c>
      <c r="O314">
        <f t="shared" si="100"/>
        <v>-0.3501644538767566</v>
      </c>
      <c r="P314">
        <f t="shared" si="101"/>
        <v>-0.15297303147105668</v>
      </c>
      <c r="Q314">
        <f t="shared" si="102"/>
        <v>0.924112605088659</v>
      </c>
      <c r="R314">
        <f t="shared" si="92"/>
        <v>1</v>
      </c>
      <c r="AG314" s="8">
        <f t="shared" si="94"/>
        <v>-0.40705866954192366</v>
      </c>
      <c r="AH314" s="8">
        <f t="shared" si="95"/>
        <v>0.84621812463689872</v>
      </c>
      <c r="AI314" s="8">
        <f t="shared" si="96"/>
        <v>0.34382862749743376</v>
      </c>
      <c r="AJ314" s="8"/>
      <c r="AK314" s="8"/>
      <c r="AL314" s="8"/>
      <c r="AN314" s="8">
        <f t="shared" si="103"/>
        <v>0.99999999999999989</v>
      </c>
      <c r="AO314" s="8">
        <f t="shared" si="104"/>
        <v>2.019155361319168</v>
      </c>
      <c r="AP314" s="8">
        <f t="shared" si="105"/>
        <v>1.2198052520236549</v>
      </c>
      <c r="AQ314" s="8"/>
      <c r="AR314" s="8">
        <f t="shared" si="106"/>
        <v>115.68908038480112</v>
      </c>
      <c r="AS314" s="8">
        <f t="shared" si="107"/>
        <v>20.110307231152859</v>
      </c>
    </row>
    <row r="315" spans="1:45">
      <c r="A315" s="19">
        <v>103.9705333</v>
      </c>
      <c r="B315" s="19">
        <v>390.12649929999998</v>
      </c>
      <c r="C315" s="19">
        <v>-788.62445679999996</v>
      </c>
      <c r="E315" s="9">
        <f t="shared" si="97"/>
        <v>-569.87350070000002</v>
      </c>
      <c r="F315" s="9">
        <f t="shared" si="98"/>
        <v>-248.62445679999996</v>
      </c>
      <c r="I315">
        <v>1</v>
      </c>
      <c r="J315">
        <f t="shared" si="93"/>
        <v>0.39246865568633194</v>
      </c>
      <c r="K315">
        <f t="shared" si="99"/>
        <v>-2.7302066029052492</v>
      </c>
      <c r="O315">
        <f t="shared" si="100"/>
        <v>-0.35056004391893192</v>
      </c>
      <c r="P315">
        <f t="shared" si="101"/>
        <v>-0.15294236420551044</v>
      </c>
      <c r="Q315">
        <f t="shared" si="102"/>
        <v>0.92396768820061315</v>
      </c>
      <c r="R315">
        <f t="shared" si="92"/>
        <v>1</v>
      </c>
      <c r="AG315" s="8">
        <f t="shared" si="94"/>
        <v>-0.40670718098363645</v>
      </c>
      <c r="AH315" s="8">
        <f t="shared" si="95"/>
        <v>0.84642876749106533</v>
      </c>
      <c r="AI315" s="8">
        <f t="shared" si="96"/>
        <v>0.34372606898502722</v>
      </c>
      <c r="AJ315" s="8"/>
      <c r="AK315" s="8"/>
      <c r="AL315" s="8"/>
      <c r="AN315" s="8">
        <f t="shared" si="103"/>
        <v>1</v>
      </c>
      <c r="AO315" s="8">
        <f t="shared" si="104"/>
        <v>2.0187208267802479</v>
      </c>
      <c r="AP315" s="8">
        <f t="shared" si="105"/>
        <v>1.2199144670629642</v>
      </c>
      <c r="AQ315" s="8"/>
      <c r="AR315" s="8">
        <f t="shared" si="106"/>
        <v>115.66418338966834</v>
      </c>
      <c r="AS315" s="8">
        <f t="shared" si="107"/>
        <v>20.10404967034107</v>
      </c>
    </row>
    <row r="316" spans="1:45">
      <c r="A316" s="19">
        <v>104.0039</v>
      </c>
      <c r="B316" s="19">
        <v>390.09880120000003</v>
      </c>
      <c r="C316" s="19">
        <v>-788.66827420000004</v>
      </c>
      <c r="E316" s="9">
        <f t="shared" si="97"/>
        <v>-569.90119879999997</v>
      </c>
      <c r="F316" s="9">
        <f t="shared" si="98"/>
        <v>-248.66827420000004</v>
      </c>
      <c r="I316">
        <v>1</v>
      </c>
      <c r="J316">
        <f t="shared" si="93"/>
        <v>0.39249336154995074</v>
      </c>
      <c r="K316">
        <f t="shared" si="99"/>
        <v>-2.7301598255932453</v>
      </c>
      <c r="O316">
        <f t="shared" si="100"/>
        <v>-0.35057381163855011</v>
      </c>
      <c r="P316">
        <f t="shared" si="101"/>
        <v>-0.15296789145809075</v>
      </c>
      <c r="Q316">
        <f t="shared" si="102"/>
        <v>0.92395823865371973</v>
      </c>
      <c r="R316">
        <f t="shared" si="92"/>
        <v>1</v>
      </c>
      <c r="AG316" s="8">
        <f t="shared" si="94"/>
        <v>-0.40670545470427089</v>
      </c>
      <c r="AH316" s="8">
        <f t="shared" si="95"/>
        <v>0.8464409340925958</v>
      </c>
      <c r="AI316" s="8">
        <f t="shared" si="96"/>
        <v>0.34369814984408364</v>
      </c>
      <c r="AJ316" s="8"/>
      <c r="AK316" s="8"/>
      <c r="AL316" s="8"/>
      <c r="AN316" s="8">
        <f t="shared" si="103"/>
        <v>1</v>
      </c>
      <c r="AO316" s="8">
        <f t="shared" si="104"/>
        <v>2.0187135587305631</v>
      </c>
      <c r="AP316" s="8">
        <f t="shared" si="105"/>
        <v>1.219944197530588</v>
      </c>
      <c r="AQ316" s="8"/>
      <c r="AR316" s="8">
        <f t="shared" si="106"/>
        <v>115.6637669610961</v>
      </c>
      <c r="AS316" s="8">
        <f t="shared" si="107"/>
        <v>20.10234624002328</v>
      </c>
    </row>
    <row r="317" spans="1:45">
      <c r="A317" s="19">
        <v>104.0372667</v>
      </c>
      <c r="B317" s="19">
        <v>390.08925870000002</v>
      </c>
      <c r="C317" s="19">
        <v>-788.70311730000003</v>
      </c>
      <c r="E317" s="9">
        <f t="shared" si="97"/>
        <v>-569.91074129999993</v>
      </c>
      <c r="F317" s="9">
        <f t="shared" si="98"/>
        <v>-248.70311730000003</v>
      </c>
      <c r="I317">
        <v>1</v>
      </c>
      <c r="J317">
        <f t="shared" si="93"/>
        <v>0.39250642050769985</v>
      </c>
      <c r="K317">
        <f t="shared" si="99"/>
        <v>-2.7301146043913911</v>
      </c>
      <c r="O317">
        <f t="shared" si="100"/>
        <v>-0.35057795265452663</v>
      </c>
      <c r="P317">
        <f t="shared" si="101"/>
        <v>-0.15298857060133225</v>
      </c>
      <c r="Q317">
        <f t="shared" si="102"/>
        <v>0.92395324361026065</v>
      </c>
      <c r="R317">
        <f t="shared" si="92"/>
        <v>1</v>
      </c>
      <c r="AG317" s="8">
        <f t="shared" si="94"/>
        <v>-0.40671007242565738</v>
      </c>
      <c r="AH317" s="8">
        <f t="shared" si="95"/>
        <v>0.84644695811784154</v>
      </c>
      <c r="AI317" s="8">
        <f t="shared" si="96"/>
        <v>0.34367784927249778</v>
      </c>
      <c r="AJ317" s="8"/>
      <c r="AK317" s="8"/>
      <c r="AL317" s="8"/>
      <c r="AN317" s="8">
        <f t="shared" si="103"/>
        <v>1.0000000000000002</v>
      </c>
      <c r="AO317" s="8">
        <f t="shared" si="104"/>
        <v>2.0187152127275474</v>
      </c>
      <c r="AP317" s="8">
        <f t="shared" si="105"/>
        <v>1.2199658149512762</v>
      </c>
      <c r="AQ317" s="8"/>
      <c r="AR317" s="8">
        <f t="shared" si="106"/>
        <v>115.66386172814263</v>
      </c>
      <c r="AS317" s="8">
        <f t="shared" si="107"/>
        <v>20.101107653053887</v>
      </c>
    </row>
    <row r="318" spans="1:45">
      <c r="A318" s="19">
        <v>104.0706333</v>
      </c>
      <c r="B318" s="19">
        <v>389.23158119999999</v>
      </c>
      <c r="C318" s="19">
        <v>-788.55461170000001</v>
      </c>
      <c r="E318" s="9">
        <f t="shared" si="97"/>
        <v>-570.76841880000006</v>
      </c>
      <c r="F318" s="9">
        <f t="shared" si="98"/>
        <v>-248.55461170000001</v>
      </c>
      <c r="I318">
        <v>1</v>
      </c>
      <c r="J318">
        <f t="shared" si="93"/>
        <v>0.39292485267084998</v>
      </c>
      <c r="K318">
        <f t="shared" si="99"/>
        <v>-2.7308842746574578</v>
      </c>
      <c r="O318">
        <f t="shared" si="100"/>
        <v>-0.35105002928084722</v>
      </c>
      <c r="P318">
        <f t="shared" si="101"/>
        <v>-0.15287304069594854</v>
      </c>
      <c r="Q318">
        <f t="shared" si="102"/>
        <v>0.9237931101552399</v>
      </c>
      <c r="R318">
        <f t="shared" si="92"/>
        <v>1</v>
      </c>
      <c r="AG318" s="8">
        <f t="shared" si="94"/>
        <v>-0.40625927652498683</v>
      </c>
      <c r="AH318" s="8">
        <f t="shared" si="95"/>
        <v>0.84668381731518028</v>
      </c>
      <c r="AI318" s="8">
        <f t="shared" si="96"/>
        <v>0.34362757999611854</v>
      </c>
      <c r="AJ318" s="8"/>
      <c r="AK318" s="8"/>
      <c r="AL318" s="8"/>
      <c r="AN318" s="8">
        <f t="shared" si="103"/>
        <v>1</v>
      </c>
      <c r="AO318" s="8">
        <f t="shared" si="104"/>
        <v>2.0181733073637931</v>
      </c>
      <c r="AP318" s="8">
        <f t="shared" si="105"/>
        <v>1.2200193443382861</v>
      </c>
      <c r="AQ318" s="8"/>
      <c r="AR318" s="8">
        <f t="shared" si="106"/>
        <v>115.63281283790401</v>
      </c>
      <c r="AS318" s="8">
        <f t="shared" si="107"/>
        <v>20.098040645098294</v>
      </c>
    </row>
    <row r="319" spans="1:45">
      <c r="A319" s="19">
        <v>104.104</v>
      </c>
      <c r="B319" s="19">
        <v>389.11197390000001</v>
      </c>
      <c r="C319" s="19">
        <v>-788.63866959999996</v>
      </c>
      <c r="E319" s="9">
        <f t="shared" si="97"/>
        <v>-570.88802609999993</v>
      </c>
      <c r="F319" s="9">
        <f t="shared" si="98"/>
        <v>-248.63866959999996</v>
      </c>
      <c r="I319">
        <v>1</v>
      </c>
      <c r="J319">
        <f t="shared" si="93"/>
        <v>0.39300728338979152</v>
      </c>
      <c r="K319">
        <f t="shared" si="99"/>
        <v>-2.7308371990035143</v>
      </c>
      <c r="O319">
        <f t="shared" si="100"/>
        <v>-0.35111264591958313</v>
      </c>
      <c r="P319">
        <f t="shared" si="101"/>
        <v>-0.15291997234128191</v>
      </c>
      <c r="Q319">
        <f t="shared" si="102"/>
        <v>0.92376154495329099</v>
      </c>
      <c r="R319">
        <f t="shared" si="92"/>
        <v>1</v>
      </c>
      <c r="AG319" s="8">
        <f t="shared" si="94"/>
        <v>-0.40622407108030323</v>
      </c>
      <c r="AH319" s="8">
        <f t="shared" si="95"/>
        <v>0.84672654793994284</v>
      </c>
      <c r="AI319" s="8">
        <f t="shared" si="96"/>
        <v>0.34356390539265386</v>
      </c>
      <c r="AJ319" s="8"/>
      <c r="AK319" s="8"/>
      <c r="AL319" s="8"/>
      <c r="AN319" s="8">
        <f t="shared" si="103"/>
        <v>1</v>
      </c>
      <c r="AO319" s="8">
        <f t="shared" si="104"/>
        <v>2.0181198258480841</v>
      </c>
      <c r="AP319" s="8">
        <f t="shared" si="105"/>
        <v>1.2200871469222319</v>
      </c>
      <c r="AQ319" s="8"/>
      <c r="AR319" s="8">
        <f t="shared" si="106"/>
        <v>115.62974857277193</v>
      </c>
      <c r="AS319" s="8">
        <f t="shared" si="107"/>
        <v>20.094155843198124</v>
      </c>
    </row>
    <row r="320" spans="1:45">
      <c r="A320" s="19">
        <v>104.1373667</v>
      </c>
      <c r="B320" s="19">
        <v>388.18577540000001</v>
      </c>
      <c r="C320" s="19">
        <v>-788.38793480000004</v>
      </c>
      <c r="E320" s="9">
        <f t="shared" si="97"/>
        <v>-571.81422459999999</v>
      </c>
      <c r="F320" s="9">
        <f t="shared" si="98"/>
        <v>-248.38793480000004</v>
      </c>
      <c r="I320">
        <v>1</v>
      </c>
      <c r="J320">
        <f t="shared" si="93"/>
        <v>0.3934384663299893</v>
      </c>
      <c r="K320">
        <f t="shared" si="99"/>
        <v>-2.7317991501400378</v>
      </c>
      <c r="O320">
        <f t="shared" si="100"/>
        <v>-0.35162488369635497</v>
      </c>
      <c r="P320">
        <f t="shared" si="101"/>
        <v>-0.15274082897592162</v>
      </c>
      <c r="Q320">
        <f t="shared" si="102"/>
        <v>0.92359632975086747</v>
      </c>
      <c r="R320">
        <f t="shared" si="92"/>
        <v>1</v>
      </c>
      <c r="AG320" s="8">
        <f t="shared" si="94"/>
        <v>-0.40571345508018597</v>
      </c>
      <c r="AH320" s="8">
        <f t="shared" si="95"/>
        <v>0.84697356401195589</v>
      </c>
      <c r="AI320" s="8">
        <f t="shared" si="96"/>
        <v>0.34355840003088745</v>
      </c>
      <c r="AJ320" s="8"/>
      <c r="AK320" s="8"/>
      <c r="AL320" s="8"/>
      <c r="AN320" s="8">
        <f t="shared" si="103"/>
        <v>1.0000000000000002</v>
      </c>
      <c r="AO320" s="8">
        <f t="shared" si="104"/>
        <v>2.0175158386305023</v>
      </c>
      <c r="AP320" s="8">
        <f t="shared" si="105"/>
        <v>1.2200930091137967</v>
      </c>
      <c r="AQ320" s="8"/>
      <c r="AR320" s="8">
        <f t="shared" si="106"/>
        <v>115.59514265432463</v>
      </c>
      <c r="AS320" s="8">
        <f t="shared" si="107"/>
        <v>20.093819964362766</v>
      </c>
    </row>
    <row r="321" spans="1:45">
      <c r="A321" s="19">
        <v>104.17073329999999</v>
      </c>
      <c r="B321" s="19">
        <v>388.1069038</v>
      </c>
      <c r="C321" s="19">
        <v>-788.62640829999998</v>
      </c>
      <c r="E321" s="9">
        <f t="shared" si="97"/>
        <v>-571.89309619999995</v>
      </c>
      <c r="F321" s="9">
        <f t="shared" si="98"/>
        <v>-248.62640829999998</v>
      </c>
      <c r="I321">
        <v>1</v>
      </c>
      <c r="J321">
        <f t="shared" si="93"/>
        <v>0.39353476237479657</v>
      </c>
      <c r="K321">
        <f t="shared" si="99"/>
        <v>-2.7314987898780907</v>
      </c>
      <c r="O321">
        <f t="shared" si="100"/>
        <v>-0.35166055311176275</v>
      </c>
      <c r="P321">
        <f t="shared" si="101"/>
        <v>-0.15288189495890078</v>
      </c>
      <c r="Q321">
        <f t="shared" si="102"/>
        <v>0.92355940879777987</v>
      </c>
      <c r="R321">
        <f t="shared" si="92"/>
        <v>1</v>
      </c>
      <c r="AG321" s="8">
        <f t="shared" si="94"/>
        <v>-0.40573856977001405</v>
      </c>
      <c r="AH321" s="8">
        <f t="shared" si="95"/>
        <v>0.84701869491882897</v>
      </c>
      <c r="AI321" s="8">
        <f t="shared" si="96"/>
        <v>0.3434174478080389</v>
      </c>
      <c r="AJ321" s="8"/>
      <c r="AK321" s="8"/>
      <c r="AL321" s="8"/>
      <c r="AN321" s="8">
        <f t="shared" si="103"/>
        <v>1</v>
      </c>
      <c r="AO321" s="8">
        <f t="shared" si="104"/>
        <v>2.0175191960095753</v>
      </c>
      <c r="AP321" s="8">
        <f t="shared" si="105"/>
        <v>1.2202430928687098</v>
      </c>
      <c r="AQ321" s="8"/>
      <c r="AR321" s="8">
        <f t="shared" si="106"/>
        <v>115.59533501797574</v>
      </c>
      <c r="AS321" s="8">
        <f t="shared" si="107"/>
        <v>20.085220798632761</v>
      </c>
    </row>
    <row r="322" spans="1:45">
      <c r="A322" s="19">
        <v>104.2041</v>
      </c>
      <c r="B322" s="19">
        <v>388.1114834</v>
      </c>
      <c r="C322" s="19">
        <v>-788.51650540000003</v>
      </c>
      <c r="E322" s="9">
        <f t="shared" si="97"/>
        <v>-571.8885166</v>
      </c>
      <c r="F322" s="9">
        <f t="shared" si="98"/>
        <v>-248.51650540000003</v>
      </c>
      <c r="I322">
        <v>1</v>
      </c>
      <c r="J322">
        <f t="shared" si="93"/>
        <v>0.39350714274990001</v>
      </c>
      <c r="K322">
        <f t="shared" si="99"/>
        <v>-2.7316575004297268</v>
      </c>
      <c r="O322">
        <f t="shared" si="100"/>
        <v>-0.35166141760692221</v>
      </c>
      <c r="P322">
        <f t="shared" si="101"/>
        <v>-0.15281591438005518</v>
      </c>
      <c r="Q322">
        <f t="shared" si="102"/>
        <v>0.92356999933891182</v>
      </c>
      <c r="R322">
        <f t="shared" si="92"/>
        <v>1</v>
      </c>
      <c r="AG322" s="8">
        <f t="shared" si="94"/>
        <v>-0.40571175382794261</v>
      </c>
      <c r="AH322" s="8">
        <f t="shared" si="95"/>
        <v>0.84700716294832579</v>
      </c>
      <c r="AI322" s="8">
        <f t="shared" si="96"/>
        <v>0.34347756654559458</v>
      </c>
      <c r="AJ322" s="8"/>
      <c r="AK322" s="8"/>
      <c r="AL322" s="8"/>
      <c r="AN322" s="8">
        <f t="shared" si="103"/>
        <v>1</v>
      </c>
      <c r="AO322" s="8">
        <f t="shared" si="104"/>
        <v>2.0174987495885905</v>
      </c>
      <c r="AP322" s="8">
        <f t="shared" si="105"/>
        <v>1.2201790803708872</v>
      </c>
      <c r="AQ322" s="8"/>
      <c r="AR322" s="8">
        <f t="shared" si="106"/>
        <v>115.59416352434717</v>
      </c>
      <c r="AS322" s="8">
        <f t="shared" si="107"/>
        <v>20.08888844459409</v>
      </c>
    </row>
    <row r="323" spans="1:45">
      <c r="A323" s="19">
        <v>104.2374667</v>
      </c>
      <c r="B323" s="19">
        <v>387.08879510000003</v>
      </c>
      <c r="C323" s="19">
        <v>-788.64832439999998</v>
      </c>
      <c r="E323" s="9">
        <f t="shared" si="97"/>
        <v>-572.91120490000003</v>
      </c>
      <c r="F323" s="9">
        <f t="shared" si="98"/>
        <v>-248.64832439999998</v>
      </c>
      <c r="I323">
        <v>1</v>
      </c>
      <c r="J323">
        <f t="shared" si="93"/>
        <v>0.3940768791412203</v>
      </c>
      <c r="K323">
        <f t="shared" si="99"/>
        <v>-2.732116548392193</v>
      </c>
      <c r="O323">
        <f t="shared" si="100"/>
        <v>-0.35221416421766916</v>
      </c>
      <c r="P323">
        <f t="shared" si="101"/>
        <v>-0.15286393600550424</v>
      </c>
      <c r="Q323">
        <f t="shared" si="102"/>
        <v>0.92335139551167289</v>
      </c>
      <c r="R323">
        <f t="shared" si="92"/>
        <v>1</v>
      </c>
      <c r="AG323" s="8">
        <f t="shared" si="94"/>
        <v>-0.40525589526068218</v>
      </c>
      <c r="AH323" s="8">
        <f t="shared" si="95"/>
        <v>0.84731739667328465</v>
      </c>
      <c r="AI323" s="8">
        <f t="shared" si="96"/>
        <v>0.34325047509256323</v>
      </c>
      <c r="AJ323" s="8"/>
      <c r="AK323" s="8"/>
      <c r="AL323" s="8"/>
      <c r="AN323" s="8">
        <f t="shared" si="103"/>
        <v>0.99999999999999978</v>
      </c>
      <c r="AO323" s="8">
        <f t="shared" si="104"/>
        <v>2.016918338851001</v>
      </c>
      <c r="AP323" s="8">
        <f t="shared" si="105"/>
        <v>1.2204208721866581</v>
      </c>
      <c r="AQ323" s="8"/>
      <c r="AR323" s="8">
        <f t="shared" si="106"/>
        <v>115.56090843869922</v>
      </c>
      <c r="AS323" s="8">
        <f t="shared" si="107"/>
        <v>20.075034794029619</v>
      </c>
    </row>
    <row r="324" spans="1:45">
      <c r="A324" s="19">
        <v>104.27083330000001</v>
      </c>
      <c r="B324" s="19">
        <v>387.07917020000002</v>
      </c>
      <c r="C324" s="19">
        <v>-788.63457019999998</v>
      </c>
      <c r="E324" s="9">
        <f t="shared" si="97"/>
        <v>-572.92082979999998</v>
      </c>
      <c r="F324" s="9">
        <f t="shared" si="98"/>
        <v>-248.63457019999998</v>
      </c>
      <c r="I324">
        <v>1</v>
      </c>
      <c r="J324">
        <f t="shared" si="93"/>
        <v>0.39407880751466939</v>
      </c>
      <c r="K324">
        <f t="shared" si="99"/>
        <v>-2.732142886067138</v>
      </c>
      <c r="O324">
        <f t="shared" si="100"/>
        <v>-0.35221982356023501</v>
      </c>
      <c r="P324">
        <f t="shared" si="101"/>
        <v>-0.15285536830174254</v>
      </c>
      <c r="Q324">
        <f t="shared" si="102"/>
        <v>0.92335065509942404</v>
      </c>
      <c r="R324">
        <f t="shared" si="92"/>
        <v>1</v>
      </c>
      <c r="AG324" s="8">
        <f t="shared" si="94"/>
        <v>-0.40524764701182792</v>
      </c>
      <c r="AH324" s="8">
        <f t="shared" si="95"/>
        <v>0.84731892398771502</v>
      </c>
      <c r="AI324" s="8">
        <f t="shared" si="96"/>
        <v>0.34325644297475005</v>
      </c>
      <c r="AJ324" s="8"/>
      <c r="AK324" s="8"/>
      <c r="AL324" s="8"/>
      <c r="AN324" s="8">
        <f t="shared" si="103"/>
        <v>1.0000000000000002</v>
      </c>
      <c r="AO324" s="8">
        <f t="shared" si="104"/>
        <v>2.0169097149156894</v>
      </c>
      <c r="AP324" s="8">
        <f t="shared" si="105"/>
        <v>1.2204145182576203</v>
      </c>
      <c r="AQ324" s="8"/>
      <c r="AR324" s="8">
        <f t="shared" si="106"/>
        <v>115.56041432360307</v>
      </c>
      <c r="AS324" s="8">
        <f t="shared" si="107"/>
        <v>20.075398847346804</v>
      </c>
    </row>
    <row r="325" spans="1:45">
      <c r="A325" s="19">
        <v>104.30419999999999</v>
      </c>
      <c r="B325" s="19">
        <v>386.22624480000002</v>
      </c>
      <c r="C325" s="19">
        <v>-788.62071060000005</v>
      </c>
      <c r="E325" s="9">
        <f t="shared" si="97"/>
        <v>-573.77375519999998</v>
      </c>
      <c r="F325" s="9">
        <f t="shared" si="98"/>
        <v>-248.62071060000005</v>
      </c>
      <c r="I325">
        <v>1</v>
      </c>
      <c r="J325">
        <f t="shared" si="93"/>
        <v>0.39452553377386862</v>
      </c>
      <c r="K325">
        <f t="shared" si="99"/>
        <v>-2.7327062231992887</v>
      </c>
      <c r="O325">
        <f t="shared" si="100"/>
        <v>-0.35268432303273367</v>
      </c>
      <c r="P325">
        <f t="shared" si="101"/>
        <v>-0.1528209093134873</v>
      </c>
      <c r="Q325">
        <f t="shared" si="102"/>
        <v>0.92317903895373477</v>
      </c>
      <c r="R325">
        <f t="shared" si="92"/>
        <v>1</v>
      </c>
      <c r="AG325" s="8">
        <f t="shared" si="94"/>
        <v>-0.40483482703012635</v>
      </c>
      <c r="AH325" s="8">
        <f t="shared" si="95"/>
        <v>0.84756584694302006</v>
      </c>
      <c r="AI325" s="8">
        <f t="shared" si="96"/>
        <v>0.34313393583154772</v>
      </c>
      <c r="AJ325" s="8"/>
      <c r="AK325" s="8"/>
      <c r="AL325" s="8"/>
      <c r="AN325" s="8">
        <f t="shared" si="103"/>
        <v>0.99999999999999989</v>
      </c>
      <c r="AO325" s="8">
        <f t="shared" si="104"/>
        <v>2.0163998005526187</v>
      </c>
      <c r="AP325" s="8">
        <f t="shared" si="105"/>
        <v>1.2205449471140639</v>
      </c>
      <c r="AQ325" s="8"/>
      <c r="AR325" s="8">
        <f t="shared" si="106"/>
        <v>115.53119838268601</v>
      </c>
      <c r="AS325" s="8">
        <f t="shared" si="107"/>
        <v>20.067925824345863</v>
      </c>
    </row>
    <row r="326" spans="1:45">
      <c r="A326" s="19">
        <v>104.3375667</v>
      </c>
      <c r="B326" s="19">
        <v>386.07226250000002</v>
      </c>
      <c r="C326" s="19">
        <v>-788.62598739999999</v>
      </c>
      <c r="E326" s="9">
        <f t="shared" si="97"/>
        <v>-573.92773749999992</v>
      </c>
      <c r="F326" s="9">
        <f t="shared" si="98"/>
        <v>-248.62598739999999</v>
      </c>
      <c r="I326">
        <v>1</v>
      </c>
      <c r="J326">
        <f t="shared" si="93"/>
        <v>0.3946079557350019</v>
      </c>
      <c r="K326">
        <f t="shared" si="99"/>
        <v>-2.7327963634575001</v>
      </c>
      <c r="O326">
        <f t="shared" si="100"/>
        <v>-0.35276791610778768</v>
      </c>
      <c r="P326">
        <f t="shared" si="101"/>
        <v>-0.15281936337035656</v>
      </c>
      <c r="Q326">
        <f t="shared" si="102"/>
        <v>0.92314735527111158</v>
      </c>
      <c r="R326">
        <f t="shared" si="92"/>
        <v>1</v>
      </c>
      <c r="AG326" s="8">
        <f t="shared" si="94"/>
        <v>-0.4047623570157915</v>
      </c>
      <c r="AH326" s="8">
        <f t="shared" si="95"/>
        <v>0.84761111455094262</v>
      </c>
      <c r="AI326" s="8">
        <f t="shared" si="96"/>
        <v>0.34310761115534838</v>
      </c>
      <c r="AJ326" s="8"/>
      <c r="AK326" s="8"/>
      <c r="AL326" s="8"/>
      <c r="AN326" s="8">
        <f t="shared" si="103"/>
        <v>1</v>
      </c>
      <c r="AO326" s="8">
        <f t="shared" si="104"/>
        <v>2.0163094096495762</v>
      </c>
      <c r="AP326" s="8">
        <f t="shared" si="105"/>
        <v>1.2205729732188213</v>
      </c>
      <c r="AQ326" s="8"/>
      <c r="AR326" s="8">
        <f t="shared" si="106"/>
        <v>115.5260193654353</v>
      </c>
      <c r="AS326" s="8">
        <f t="shared" si="107"/>
        <v>20.066320046827073</v>
      </c>
    </row>
    <row r="327" spans="1:45">
      <c r="A327" s="19">
        <v>104.3709333</v>
      </c>
      <c r="B327" s="19">
        <v>385.9817147</v>
      </c>
      <c r="C327" s="19">
        <v>-788.63659370000005</v>
      </c>
      <c r="E327" s="9">
        <f t="shared" si="97"/>
        <v>-574.0182853</v>
      </c>
      <c r="F327" s="9">
        <f t="shared" si="98"/>
        <v>-248.63659370000005</v>
      </c>
      <c r="I327">
        <v>1</v>
      </c>
      <c r="J327">
        <f t="shared" si="93"/>
        <v>0.39465813613957551</v>
      </c>
      <c r="K327">
        <f t="shared" si="99"/>
        <v>-2.7328383436752994</v>
      </c>
      <c r="O327">
        <f t="shared" si="100"/>
        <v>-0.35281683833220634</v>
      </c>
      <c r="P327">
        <f t="shared" si="101"/>
        <v>-0.15282296597411804</v>
      </c>
      <c r="Q327">
        <f t="shared" si="102"/>
        <v>0.92312806243778511</v>
      </c>
      <c r="R327">
        <f t="shared" si="92"/>
        <v>1</v>
      </c>
      <c r="AG327" s="8">
        <f t="shared" si="94"/>
        <v>-0.40472172311671306</v>
      </c>
      <c r="AH327" s="8">
        <f t="shared" si="95"/>
        <v>0.84763842464144501</v>
      </c>
      <c r="AI327" s="8">
        <f t="shared" si="96"/>
        <v>0.34308807602248154</v>
      </c>
      <c r="AJ327" s="8"/>
      <c r="AK327" s="8"/>
      <c r="AL327" s="8"/>
      <c r="AN327" s="8">
        <f t="shared" si="103"/>
        <v>1</v>
      </c>
      <c r="AO327" s="8">
        <f t="shared" si="104"/>
        <v>2.0162578436596768</v>
      </c>
      <c r="AP327" s="8">
        <f t="shared" si="105"/>
        <v>1.2205937707699064</v>
      </c>
      <c r="AQ327" s="8"/>
      <c r="AR327" s="8">
        <f t="shared" si="106"/>
        <v>115.52306485184765</v>
      </c>
      <c r="AS327" s="8">
        <f t="shared" si="107"/>
        <v>20.065128434925697</v>
      </c>
    </row>
    <row r="328" spans="1:45">
      <c r="A328" s="19">
        <v>104.40430000000001</v>
      </c>
      <c r="B328" s="19">
        <v>385.42673960000002</v>
      </c>
      <c r="C328" s="19">
        <v>-788.6228294</v>
      </c>
      <c r="E328" s="9">
        <f t="shared" si="97"/>
        <v>-574.57326039999998</v>
      </c>
      <c r="F328" s="9">
        <f t="shared" si="98"/>
        <v>-248.6228294</v>
      </c>
      <c r="I328">
        <v>1</v>
      </c>
      <c r="J328">
        <f t="shared" si="93"/>
        <v>0.39494768794682189</v>
      </c>
      <c r="K328">
        <f t="shared" si="99"/>
        <v>-2.7332108565525366</v>
      </c>
      <c r="O328">
        <f t="shared" si="100"/>
        <v>-0.35311904001152916</v>
      </c>
      <c r="P328">
        <f t="shared" si="101"/>
        <v>-0.15279766897185434</v>
      </c>
      <c r="Q328">
        <f t="shared" si="102"/>
        <v>0.92301669320663082</v>
      </c>
      <c r="R328">
        <f t="shared" si="92"/>
        <v>1</v>
      </c>
      <c r="AG328" s="8">
        <f t="shared" si="94"/>
        <v>-0.40445189137335646</v>
      </c>
      <c r="AH328" s="8">
        <f t="shared" si="95"/>
        <v>0.84779843656631482</v>
      </c>
      <c r="AI328" s="8">
        <f t="shared" si="96"/>
        <v>0.343010901459745</v>
      </c>
      <c r="AJ328" s="8"/>
      <c r="AK328" s="8"/>
      <c r="AL328" s="8"/>
      <c r="AN328" s="8">
        <f t="shared" si="103"/>
        <v>0.99999999999999989</v>
      </c>
      <c r="AO328" s="8">
        <f t="shared" si="104"/>
        <v>2.0159252193922179</v>
      </c>
      <c r="AP328" s="8">
        <f t="shared" si="105"/>
        <v>1.2206759310369659</v>
      </c>
      <c r="AQ328" s="8"/>
      <c r="AR328" s="8">
        <f t="shared" si="106"/>
        <v>115.50400688515863</v>
      </c>
      <c r="AS328" s="8">
        <f t="shared" si="107"/>
        <v>20.060420998379513</v>
      </c>
    </row>
    <row r="329" spans="1:45">
      <c r="A329" s="19">
        <v>104.43766669999999</v>
      </c>
      <c r="B329" s="19">
        <v>385.11828029999998</v>
      </c>
      <c r="C329" s="19">
        <v>-788.62946869999996</v>
      </c>
      <c r="E329" s="9">
        <f t="shared" si="97"/>
        <v>-574.88171970000008</v>
      </c>
      <c r="F329" s="9">
        <f t="shared" si="98"/>
        <v>-248.62946869999996</v>
      </c>
      <c r="I329">
        <v>1</v>
      </c>
      <c r="J329">
        <f t="shared" si="93"/>
        <v>0.39511187468251413</v>
      </c>
      <c r="K329">
        <f t="shared" si="99"/>
        <v>-2.7333967027919899</v>
      </c>
      <c r="O329">
        <f t="shared" si="100"/>
        <v>-0.35328652177681197</v>
      </c>
      <c r="P329">
        <f t="shared" si="101"/>
        <v>-0.15279219567823005</v>
      </c>
      <c r="Q329">
        <f t="shared" si="102"/>
        <v>0.92295350829316836</v>
      </c>
      <c r="R329">
        <f t="shared" si="92"/>
        <v>1</v>
      </c>
      <c r="AG329" s="8">
        <f t="shared" si="94"/>
        <v>-0.40430569714625636</v>
      </c>
      <c r="AH329" s="8">
        <f t="shared" si="95"/>
        <v>0.84788864242090556</v>
      </c>
      <c r="AI329" s="8">
        <f t="shared" si="96"/>
        <v>0.34296027949124552</v>
      </c>
      <c r="AJ329" s="8"/>
      <c r="AK329" s="8"/>
      <c r="AL329" s="8"/>
      <c r="AN329" s="8">
        <f t="shared" si="103"/>
        <v>0.99999999999999989</v>
      </c>
      <c r="AO329" s="8">
        <f t="shared" si="104"/>
        <v>2.0157434035734516</v>
      </c>
      <c r="AP329" s="8">
        <f t="shared" si="105"/>
        <v>1.2207298219951666</v>
      </c>
      <c r="AQ329" s="8"/>
      <c r="AR329" s="8">
        <f t="shared" si="106"/>
        <v>115.4935896060946</v>
      </c>
      <c r="AS329" s="8">
        <f t="shared" si="107"/>
        <v>20.057333273920705</v>
      </c>
    </row>
    <row r="330" spans="1:45">
      <c r="A330" s="19">
        <v>104.4710333</v>
      </c>
      <c r="B330" s="19">
        <v>384.67652620000001</v>
      </c>
      <c r="C330" s="19">
        <v>-788.61522000000002</v>
      </c>
      <c r="E330" s="9">
        <f t="shared" si="97"/>
        <v>-575.32347379999999</v>
      </c>
      <c r="F330" s="9">
        <f t="shared" si="98"/>
        <v>-248.61522000000002</v>
      </c>
      <c r="I330">
        <v>1</v>
      </c>
      <c r="J330">
        <f t="shared" si="93"/>
        <v>0.39534158190146335</v>
      </c>
      <c r="K330">
        <f t="shared" si="99"/>
        <v>-2.7336973589922571</v>
      </c>
      <c r="O330">
        <f t="shared" si="100"/>
        <v>-0.3535270497865477</v>
      </c>
      <c r="P330">
        <f t="shared" si="101"/>
        <v>-0.15277006633869344</v>
      </c>
      <c r="Q330">
        <f t="shared" si="102"/>
        <v>0.92286506700605531</v>
      </c>
      <c r="R330">
        <f t="shared" si="92"/>
        <v>1</v>
      </c>
      <c r="AG330" s="8">
        <f t="shared" si="94"/>
        <v>-0.40409006655259772</v>
      </c>
      <c r="AH330" s="8">
        <f t="shared" si="95"/>
        <v>0.84801556032773218</v>
      </c>
      <c r="AI330" s="8">
        <f t="shared" si="96"/>
        <v>0.34290060885854273</v>
      </c>
      <c r="AJ330" s="8"/>
      <c r="AK330" s="8"/>
      <c r="AL330" s="8"/>
      <c r="AN330" s="8">
        <f t="shared" si="103"/>
        <v>0.99999999999999978</v>
      </c>
      <c r="AO330" s="8">
        <f t="shared" si="104"/>
        <v>2.0154780537215156</v>
      </c>
      <c r="AP330" s="8">
        <f t="shared" si="105"/>
        <v>1.2207933445871126</v>
      </c>
      <c r="AQ330" s="8"/>
      <c r="AR330" s="8">
        <f t="shared" si="106"/>
        <v>115.47838617948425</v>
      </c>
      <c r="AS330" s="8">
        <f t="shared" si="107"/>
        <v>20.05369369749846</v>
      </c>
    </row>
    <row r="331" spans="1:45">
      <c r="A331" s="19">
        <v>104.5044</v>
      </c>
      <c r="B331" s="19">
        <v>384.1114991</v>
      </c>
      <c r="C331" s="19">
        <v>-788.61387730000001</v>
      </c>
      <c r="E331" s="9">
        <f t="shared" si="97"/>
        <v>-575.88850090000005</v>
      </c>
      <c r="F331" s="9">
        <f t="shared" si="98"/>
        <v>-248.61387730000001</v>
      </c>
      <c r="I331">
        <v>1</v>
      </c>
      <c r="J331">
        <f t="shared" si="93"/>
        <v>0.39563921846430311</v>
      </c>
      <c r="K331">
        <f t="shared" si="99"/>
        <v>-2.7340566455552278</v>
      </c>
      <c r="O331">
        <f t="shared" si="100"/>
        <v>-0.35383408181816428</v>
      </c>
      <c r="P331">
        <f t="shared" si="101"/>
        <v>-0.15275190052279672</v>
      </c>
      <c r="Q331">
        <f t="shared" si="102"/>
        <v>0.92275039931206215</v>
      </c>
      <c r="R331">
        <f t="shared" si="92"/>
        <v>1</v>
      </c>
      <c r="AG331" s="8">
        <f t="shared" si="94"/>
        <v>-0.40381873750273461</v>
      </c>
      <c r="AH331" s="8">
        <f t="shared" si="95"/>
        <v>0.84817934363995051</v>
      </c>
      <c r="AI331" s="8">
        <f t="shared" si="96"/>
        <v>0.34281515174245147</v>
      </c>
      <c r="AJ331" s="8"/>
      <c r="AK331" s="8"/>
      <c r="AL331" s="8"/>
      <c r="AN331" s="8">
        <f t="shared" si="103"/>
        <v>0.99999999999999978</v>
      </c>
      <c r="AO331" s="8">
        <f t="shared" si="104"/>
        <v>2.0151423123373018</v>
      </c>
      <c r="AP331" s="8">
        <f t="shared" si="105"/>
        <v>1.2208843157098503</v>
      </c>
      <c r="AQ331" s="8"/>
      <c r="AR331" s="8">
        <f t="shared" si="106"/>
        <v>115.45914961516091</v>
      </c>
      <c r="AS331" s="8">
        <f t="shared" si="107"/>
        <v>20.04848143610802</v>
      </c>
    </row>
    <row r="332" spans="1:45">
      <c r="A332" s="19">
        <v>104.53776670000001</v>
      </c>
      <c r="B332" s="19">
        <v>384.01327559999999</v>
      </c>
      <c r="C332" s="19">
        <v>-788.62034129999995</v>
      </c>
      <c r="E332" s="9">
        <f t="shared" si="97"/>
        <v>-575.98672439999996</v>
      </c>
      <c r="F332" s="9">
        <f t="shared" si="98"/>
        <v>-248.62034129999995</v>
      </c>
      <c r="I332">
        <v>1</v>
      </c>
      <c r="J332">
        <f t="shared" si="93"/>
        <v>0.3956924809695534</v>
      </c>
      <c r="K332">
        <f t="shared" si="99"/>
        <v>-2.7341092412708092</v>
      </c>
      <c r="O332">
        <f t="shared" si="100"/>
        <v>-0.35388723873400191</v>
      </c>
      <c r="P332">
        <f t="shared" si="101"/>
        <v>-0.15275276729236034</v>
      </c>
      <c r="Q332">
        <f t="shared" si="102"/>
        <v>0.92272987073452306</v>
      </c>
      <c r="R332">
        <f t="shared" si="92"/>
        <v>1</v>
      </c>
      <c r="AG332" s="8">
        <f t="shared" si="94"/>
        <v>-0.40377334006053878</v>
      </c>
      <c r="AH332" s="8">
        <f t="shared" si="95"/>
        <v>0.84820842258419171</v>
      </c>
      <c r="AI332" s="8">
        <f t="shared" si="96"/>
        <v>0.34279667692904175</v>
      </c>
      <c r="AJ332" s="8"/>
      <c r="AK332" s="8"/>
      <c r="AL332" s="8"/>
      <c r="AN332" s="8">
        <f t="shared" si="103"/>
        <v>1</v>
      </c>
      <c r="AO332" s="8">
        <f t="shared" si="104"/>
        <v>2.0150853733000784</v>
      </c>
      <c r="AP332" s="8">
        <f t="shared" si="105"/>
        <v>1.2209039821889518</v>
      </c>
      <c r="AQ332" s="8"/>
      <c r="AR332" s="8">
        <f t="shared" si="106"/>
        <v>115.45588724863848</v>
      </c>
      <c r="AS332" s="8">
        <f t="shared" si="107"/>
        <v>20.047354629857637</v>
      </c>
    </row>
    <row r="333" spans="1:45">
      <c r="A333" s="19">
        <v>104.5711333</v>
      </c>
      <c r="B333" s="19">
        <v>383.8763361</v>
      </c>
      <c r="C333" s="19">
        <v>-788.62535349999996</v>
      </c>
      <c r="E333" s="9">
        <f t="shared" si="97"/>
        <v>-576.1236639</v>
      </c>
      <c r="F333" s="9">
        <f t="shared" si="98"/>
        <v>-248.62535349999996</v>
      </c>
      <c r="I333">
        <v>1</v>
      </c>
      <c r="J333">
        <f t="shared" si="93"/>
        <v>0.39576582533930788</v>
      </c>
      <c r="K333">
        <f t="shared" si="99"/>
        <v>-2.7341883947187409</v>
      </c>
      <c r="O333">
        <f t="shared" si="100"/>
        <v>-0.3539614654203766</v>
      </c>
      <c r="P333">
        <f t="shared" si="101"/>
        <v>-0.15275157050447818</v>
      </c>
      <c r="Q333">
        <f t="shared" si="102"/>
        <v>0.92270159786676154</v>
      </c>
      <c r="R333">
        <f t="shared" si="92"/>
        <v>1</v>
      </c>
      <c r="AG333" s="8">
        <f t="shared" si="94"/>
        <v>-0.40370899379857528</v>
      </c>
      <c r="AH333" s="8">
        <f t="shared" si="95"/>
        <v>0.84824858626728417</v>
      </c>
      <c r="AI333" s="8">
        <f t="shared" si="96"/>
        <v>0.3427730797797513</v>
      </c>
      <c r="AJ333" s="8"/>
      <c r="AK333" s="8"/>
      <c r="AL333" s="8"/>
      <c r="AN333" s="8">
        <f t="shared" si="103"/>
        <v>1</v>
      </c>
      <c r="AO333" s="8">
        <f t="shared" si="104"/>
        <v>2.0150051509951781</v>
      </c>
      <c r="AP333" s="8">
        <f t="shared" si="105"/>
        <v>1.2209291012004979</v>
      </c>
      <c r="AQ333" s="8"/>
      <c r="AR333" s="8">
        <f t="shared" si="106"/>
        <v>115.45129084914488</v>
      </c>
      <c r="AS333" s="8">
        <f t="shared" si="107"/>
        <v>20.045915416510496</v>
      </c>
    </row>
    <row r="334" spans="1:45">
      <c r="A334" s="19">
        <v>104.6045</v>
      </c>
      <c r="B334" s="19">
        <v>383.13531990000001</v>
      </c>
      <c r="C334" s="19">
        <v>-788.62001110000006</v>
      </c>
      <c r="E334" s="9">
        <f t="shared" si="97"/>
        <v>-576.86468009999999</v>
      </c>
      <c r="F334" s="9">
        <f t="shared" si="98"/>
        <v>-248.62001110000006</v>
      </c>
      <c r="I334">
        <v>1</v>
      </c>
      <c r="J334">
        <f t="shared" si="93"/>
        <v>0.39615529884999051</v>
      </c>
      <c r="K334">
        <f t="shared" si="99"/>
        <v>-2.7346636178111678</v>
      </c>
      <c r="O334">
        <f t="shared" si="100"/>
        <v>-0.35436401173583087</v>
      </c>
      <c r="P334">
        <f t="shared" si="101"/>
        <v>-0.15272556557966116</v>
      </c>
      <c r="Q334">
        <f t="shared" si="102"/>
        <v>0.92255138003520465</v>
      </c>
      <c r="R334">
        <f t="shared" si="92"/>
        <v>1</v>
      </c>
      <c r="AG334" s="8">
        <f t="shared" si="94"/>
        <v>-0.40335224895520222</v>
      </c>
      <c r="AH334" s="8">
        <f t="shared" si="95"/>
        <v>0.84846278345160686</v>
      </c>
      <c r="AI334" s="8">
        <f t="shared" si="96"/>
        <v>0.34266290776845454</v>
      </c>
      <c r="AJ334" s="8"/>
      <c r="AK334" s="8"/>
      <c r="AL334" s="8"/>
      <c r="AN334" s="8">
        <f t="shared" si="103"/>
        <v>1.0000000000000002</v>
      </c>
      <c r="AO334" s="8">
        <f t="shared" si="104"/>
        <v>2.0145642874382204</v>
      </c>
      <c r="AP334" s="8">
        <f t="shared" si="105"/>
        <v>1.2210463755417853</v>
      </c>
      <c r="AQ334" s="8"/>
      <c r="AR334" s="8">
        <f t="shared" si="106"/>
        <v>115.42603122799008</v>
      </c>
      <c r="AS334" s="8">
        <f t="shared" si="107"/>
        <v>20.039196091709556</v>
      </c>
    </row>
    <row r="335" spans="1:45">
      <c r="A335" s="19">
        <v>104.6712333</v>
      </c>
      <c r="B335" s="19">
        <v>382.07177430000002</v>
      </c>
      <c r="C335" s="19">
        <v>-788.50616400000001</v>
      </c>
      <c r="E335" s="9">
        <f t="shared" si="97"/>
        <v>-577.92822569999998</v>
      </c>
      <c r="F335" s="9">
        <f t="shared" si="98"/>
        <v>-248.50616400000001</v>
      </c>
      <c r="I335">
        <v>1</v>
      </c>
      <c r="J335">
        <f t="shared" si="93"/>
        <v>0.39669014871104186</v>
      </c>
      <c r="K335">
        <f t="shared" si="99"/>
        <v>-2.7354989368497469</v>
      </c>
      <c r="O335">
        <f t="shared" si="100"/>
        <v>-0.35494470848555459</v>
      </c>
      <c r="P335">
        <f t="shared" si="101"/>
        <v>-0.15262439869761743</v>
      </c>
      <c r="Q335">
        <f t="shared" si="102"/>
        <v>0.92234486329154308</v>
      </c>
      <c r="R335">
        <f t="shared" si="92"/>
        <v>1</v>
      </c>
      <c r="AG335" s="8">
        <f t="shared" si="94"/>
        <v>-0.40281225855708125</v>
      </c>
      <c r="AH335" s="8">
        <f t="shared" si="95"/>
        <v>0.84875999057076479</v>
      </c>
      <c r="AI335" s="8">
        <f t="shared" si="96"/>
        <v>0.34256205680497998</v>
      </c>
      <c r="AJ335" s="8"/>
      <c r="AK335" s="8"/>
      <c r="AL335" s="8"/>
      <c r="AN335" s="8">
        <f t="shared" si="103"/>
        <v>1</v>
      </c>
      <c r="AO335" s="8">
        <f t="shared" si="104"/>
        <v>2.013909370113292</v>
      </c>
      <c r="AP335" s="8">
        <f t="shared" si="105"/>
        <v>1.2211537235485392</v>
      </c>
      <c r="AQ335" s="8"/>
      <c r="AR335" s="8">
        <f t="shared" si="106"/>
        <v>115.38850722934168</v>
      </c>
      <c r="AS335" s="8">
        <f t="shared" si="107"/>
        <v>20.033045503983416</v>
      </c>
    </row>
    <row r="336" spans="1:45">
      <c r="A336" s="19">
        <v>104.7046</v>
      </c>
      <c r="B336" s="19">
        <v>382.07901809999998</v>
      </c>
      <c r="C336" s="19">
        <v>-788.55990589999999</v>
      </c>
      <c r="E336" s="9">
        <f t="shared" si="97"/>
        <v>-577.92098190000002</v>
      </c>
      <c r="F336" s="9">
        <f t="shared" si="98"/>
        <v>-248.55990589999999</v>
      </c>
      <c r="I336">
        <v>1</v>
      </c>
      <c r="J336">
        <f t="shared" si="93"/>
        <v>0.39669851342587897</v>
      </c>
      <c r="K336">
        <f t="shared" si="99"/>
        <v>-2.7354159101876805</v>
      </c>
      <c r="O336">
        <f t="shared" si="100"/>
        <v>-0.35493912278775736</v>
      </c>
      <c r="P336">
        <f t="shared" si="101"/>
        <v>-0.15265691629728576</v>
      </c>
      <c r="Q336">
        <f t="shared" si="102"/>
        <v>0.9223416314041456</v>
      </c>
      <c r="R336">
        <f t="shared" si="92"/>
        <v>1</v>
      </c>
      <c r="AG336" s="8">
        <f t="shared" si="94"/>
        <v>-0.40282991942439328</v>
      </c>
      <c r="AH336" s="8">
        <f t="shared" si="95"/>
        <v>0.84876287183885601</v>
      </c>
      <c r="AI336" s="8">
        <f t="shared" si="96"/>
        <v>0.34253414925288039</v>
      </c>
      <c r="AJ336" s="8"/>
      <c r="AK336" s="8"/>
      <c r="AL336" s="8"/>
      <c r="AN336" s="8">
        <f t="shared" si="103"/>
        <v>1</v>
      </c>
      <c r="AO336" s="8">
        <f t="shared" si="104"/>
        <v>2.0139250377712594</v>
      </c>
      <c r="AP336" s="8">
        <f t="shared" si="105"/>
        <v>1.2211834282249117</v>
      </c>
      <c r="AQ336" s="8"/>
      <c r="AR336" s="8">
        <f t="shared" si="106"/>
        <v>115.38940492001807</v>
      </c>
      <c r="AS336" s="8">
        <f t="shared" si="107"/>
        <v>20.031343551395466</v>
      </c>
    </row>
    <row r="337" spans="1:45">
      <c r="A337" s="19">
        <v>104.7379667</v>
      </c>
      <c r="B337" s="19">
        <v>382.02893349999999</v>
      </c>
      <c r="C337" s="19">
        <v>-788.58161819999998</v>
      </c>
      <c r="E337" s="9">
        <f t="shared" si="97"/>
        <v>-577.97106650000001</v>
      </c>
      <c r="F337" s="9">
        <f t="shared" si="98"/>
        <v>-248.58161819999998</v>
      </c>
      <c r="I337">
        <v>1</v>
      </c>
      <c r="J337">
        <f t="shared" si="93"/>
        <v>0.39672983759843811</v>
      </c>
      <c r="K337">
        <f t="shared" si="99"/>
        <v>-2.7354156601421664</v>
      </c>
      <c r="O337">
        <f t="shared" si="100"/>
        <v>-0.3549656253535256</v>
      </c>
      <c r="P337">
        <f t="shared" si="101"/>
        <v>-0.15266842004755329</v>
      </c>
      <c r="Q337">
        <f t="shared" si="102"/>
        <v>0.92232952806335133</v>
      </c>
      <c r="R337">
        <f t="shared" si="92"/>
        <v>1</v>
      </c>
      <c r="AG337" s="8">
        <f t="shared" si="94"/>
        <v>-0.40281163913433671</v>
      </c>
      <c r="AH337" s="8">
        <f t="shared" si="95"/>
        <v>0.84877936315365599</v>
      </c>
      <c r="AI337" s="8">
        <f t="shared" si="96"/>
        <v>0.34251478225382226</v>
      </c>
      <c r="AJ337" s="8"/>
      <c r="AK337" s="8"/>
      <c r="AL337" s="8"/>
      <c r="AN337" s="8">
        <f t="shared" si="103"/>
        <v>1.0000000000000002</v>
      </c>
      <c r="AO337" s="8">
        <f t="shared" si="104"/>
        <v>2.0138999336541863</v>
      </c>
      <c r="AP337" s="8">
        <f t="shared" si="105"/>
        <v>1.2212040421848966</v>
      </c>
      <c r="AQ337" s="8"/>
      <c r="AR337" s="8">
        <f t="shared" si="106"/>
        <v>115.38796656006137</v>
      </c>
      <c r="AS337" s="8">
        <f t="shared" si="107"/>
        <v>20.030162458489272</v>
      </c>
    </row>
    <row r="338" spans="1:45">
      <c r="A338" s="19">
        <v>104.77133329999999</v>
      </c>
      <c r="B338" s="19">
        <v>381.97958820000002</v>
      </c>
      <c r="C338" s="19">
        <v>-788.58943780000004</v>
      </c>
      <c r="E338" s="9">
        <f t="shared" si="97"/>
        <v>-578.02041179999992</v>
      </c>
      <c r="F338" s="9">
        <f t="shared" si="98"/>
        <v>-248.58943780000004</v>
      </c>
      <c r="I338">
        <v>1</v>
      </c>
      <c r="J338">
        <f t="shared" si="93"/>
        <v>0.39675762172388057</v>
      </c>
      <c r="K338">
        <f t="shared" si="99"/>
        <v>-2.7354352290836244</v>
      </c>
      <c r="O338">
        <f t="shared" si="100"/>
        <v>-0.35499215403311801</v>
      </c>
      <c r="P338">
        <f t="shared" si="101"/>
        <v>-0.15267159808369909</v>
      </c>
      <c r="Q338">
        <f t="shared" si="102"/>
        <v>0.92231879180329857</v>
      </c>
      <c r="R338">
        <f t="shared" si="92"/>
        <v>1</v>
      </c>
      <c r="AG338" s="8">
        <f t="shared" si="94"/>
        <v>-0.40279004583125605</v>
      </c>
      <c r="AH338" s="8">
        <f t="shared" si="95"/>
        <v>0.84879435353554411</v>
      </c>
      <c r="AI338" s="8">
        <f t="shared" si="96"/>
        <v>0.34250302828651358</v>
      </c>
      <c r="AJ338" s="8"/>
      <c r="AK338" s="8"/>
      <c r="AL338" s="8"/>
      <c r="AN338" s="8">
        <f t="shared" si="103"/>
        <v>0.99999999999999978</v>
      </c>
      <c r="AO338" s="8">
        <f t="shared" si="104"/>
        <v>2.0138723290419018</v>
      </c>
      <c r="AP338" s="8">
        <f t="shared" si="105"/>
        <v>1.22121655286598</v>
      </c>
      <c r="AQ338" s="8"/>
      <c r="AR338" s="8">
        <f t="shared" si="106"/>
        <v>115.38638493228238</v>
      </c>
      <c r="AS338" s="8">
        <f t="shared" si="107"/>
        <v>20.029445649264375</v>
      </c>
    </row>
    <row r="339" spans="1:45">
      <c r="A339" s="19">
        <v>104.8047</v>
      </c>
      <c r="B339" s="19">
        <v>381.29265950000001</v>
      </c>
      <c r="C339" s="19">
        <v>-788.66454490000001</v>
      </c>
      <c r="E339" s="9">
        <f t="shared" si="97"/>
        <v>-578.70734049999999</v>
      </c>
      <c r="F339" s="9">
        <f t="shared" si="98"/>
        <v>-248.66454490000001</v>
      </c>
      <c r="I339">
        <v>1</v>
      </c>
      <c r="J339">
        <f t="shared" si="93"/>
        <v>0.39713670732939088</v>
      </c>
      <c r="K339">
        <f t="shared" si="99"/>
        <v>-2.7357565597430464</v>
      </c>
      <c r="O339">
        <f t="shared" si="100"/>
        <v>-0.35536240587581991</v>
      </c>
      <c r="P339">
        <f t="shared" si="101"/>
        <v>-0.15269554185252271</v>
      </c>
      <c r="Q339">
        <f t="shared" si="102"/>
        <v>0.92217223553331595</v>
      </c>
      <c r="R339">
        <f t="shared" si="92"/>
        <v>1</v>
      </c>
      <c r="AG339" s="8">
        <f t="shared" si="94"/>
        <v>-0.40248055463069865</v>
      </c>
      <c r="AH339" s="8">
        <f t="shared" si="95"/>
        <v>0.84899980267291419</v>
      </c>
      <c r="AI339" s="8">
        <f t="shared" si="96"/>
        <v>0.34235761742002729</v>
      </c>
      <c r="AJ339" s="8"/>
      <c r="AK339" s="8"/>
      <c r="AL339" s="8"/>
      <c r="AN339" s="8">
        <f t="shared" si="103"/>
        <v>0.99999999999999989</v>
      </c>
      <c r="AO339" s="8">
        <f t="shared" si="104"/>
        <v>2.0134809944636896</v>
      </c>
      <c r="AP339" s="8">
        <f t="shared" si="105"/>
        <v>1.2213713204835059</v>
      </c>
      <c r="AQ339" s="8"/>
      <c r="AR339" s="8">
        <f t="shared" si="106"/>
        <v>115.36396311257329</v>
      </c>
      <c r="AS339" s="8">
        <f t="shared" si="107"/>
        <v>20.020578117974836</v>
      </c>
    </row>
    <row r="340" spans="1:45">
      <c r="A340" s="19">
        <v>104.8380667</v>
      </c>
      <c r="B340" s="19">
        <v>380.9358373</v>
      </c>
      <c r="C340" s="19">
        <v>-788.70477300000005</v>
      </c>
      <c r="E340" s="9">
        <f t="shared" si="97"/>
        <v>-579.0641627</v>
      </c>
      <c r="F340" s="9">
        <f t="shared" si="98"/>
        <v>-248.70477300000005</v>
      </c>
      <c r="I340">
        <v>1</v>
      </c>
      <c r="J340">
        <f t="shared" si="93"/>
        <v>0.39733386570688228</v>
      </c>
      <c r="K340">
        <f t="shared" si="99"/>
        <v>-2.7359214376388112</v>
      </c>
      <c r="O340">
        <f t="shared" si="100"/>
        <v>-0.35555462780098601</v>
      </c>
      <c r="P340">
        <f t="shared" si="101"/>
        <v>-0.15270869567204823</v>
      </c>
      <c r="Q340">
        <f t="shared" si="102"/>
        <v>0.9220959607955368</v>
      </c>
      <c r="R340">
        <f t="shared" si="92"/>
        <v>1</v>
      </c>
      <c r="AG340" s="8">
        <f t="shared" si="94"/>
        <v>-0.40232012251236815</v>
      </c>
      <c r="AH340" s="8">
        <f t="shared" si="95"/>
        <v>0.84910655680915625</v>
      </c>
      <c r="AI340" s="8">
        <f t="shared" si="96"/>
        <v>0.34228142544598045</v>
      </c>
      <c r="AJ340" s="8"/>
      <c r="AK340" s="8"/>
      <c r="AL340" s="8"/>
      <c r="AN340" s="8">
        <f t="shared" si="103"/>
        <v>1</v>
      </c>
      <c r="AO340" s="8">
        <f t="shared" si="104"/>
        <v>2.0132780382085409</v>
      </c>
      <c r="AP340" s="8">
        <f t="shared" si="105"/>
        <v>1.2214524116965813</v>
      </c>
      <c r="AQ340" s="8"/>
      <c r="AR340" s="8">
        <f t="shared" si="106"/>
        <v>115.35233457572748</v>
      </c>
      <c r="AS340" s="8">
        <f t="shared" si="107"/>
        <v>20.015931933710021</v>
      </c>
    </row>
    <row r="341" spans="1:45">
      <c r="A341" s="19">
        <v>104.87143330000001</v>
      </c>
      <c r="B341" s="19">
        <v>380.11160869999998</v>
      </c>
      <c r="C341" s="19">
        <v>-788.56055040000001</v>
      </c>
      <c r="E341" s="9">
        <f t="shared" si="97"/>
        <v>-579.88839129999997</v>
      </c>
      <c r="F341" s="9">
        <f t="shared" si="98"/>
        <v>-248.56055040000001</v>
      </c>
      <c r="I341">
        <v>1</v>
      </c>
      <c r="J341">
        <f t="shared" si="93"/>
        <v>0.39773561462794582</v>
      </c>
      <c r="K341">
        <f t="shared" si="99"/>
        <v>-2.7366470308297073</v>
      </c>
      <c r="O341">
        <f t="shared" si="100"/>
        <v>-0.35600580026363171</v>
      </c>
      <c r="P341">
        <f t="shared" si="101"/>
        <v>-0.15259660132313613</v>
      </c>
      <c r="Q341">
        <f t="shared" si="102"/>
        <v>0.92194042510526619</v>
      </c>
      <c r="R341">
        <f t="shared" si="92"/>
        <v>1</v>
      </c>
      <c r="AG341" s="8">
        <f t="shared" si="94"/>
        <v>-0.40188696762876086</v>
      </c>
      <c r="AH341" s="8">
        <f t="shared" si="95"/>
        <v>0.84933101631657371</v>
      </c>
      <c r="AI341" s="8">
        <f t="shared" si="96"/>
        <v>0.34223338523997776</v>
      </c>
      <c r="AJ341" s="8"/>
      <c r="AK341" s="8"/>
      <c r="AL341" s="8"/>
      <c r="AN341" s="8">
        <f t="shared" si="103"/>
        <v>0.99999999999999956</v>
      </c>
      <c r="AO341" s="8">
        <f t="shared" si="104"/>
        <v>2.0127591571657</v>
      </c>
      <c r="AP341" s="8">
        <f t="shared" si="105"/>
        <v>1.2215035397164344</v>
      </c>
      <c r="AQ341" s="8"/>
      <c r="AR341" s="8">
        <f t="shared" si="106"/>
        <v>115.32260488190336</v>
      </c>
      <c r="AS341" s="8">
        <f t="shared" si="107"/>
        <v>20.013002513957574</v>
      </c>
    </row>
    <row r="342" spans="1:45">
      <c r="A342" s="19">
        <v>104.90479999999999</v>
      </c>
      <c r="B342" s="19">
        <v>380.24745569999999</v>
      </c>
      <c r="C342" s="19">
        <v>-788.57343200000003</v>
      </c>
      <c r="E342" s="9">
        <f t="shared" si="97"/>
        <v>-579.75254429999995</v>
      </c>
      <c r="F342" s="9">
        <f t="shared" si="98"/>
        <v>-248.57343200000003</v>
      </c>
      <c r="I342">
        <v>1</v>
      </c>
      <c r="J342">
        <f t="shared" si="93"/>
        <v>0.39766693497685446</v>
      </c>
      <c r="K342">
        <f t="shared" si="99"/>
        <v>-2.7365434166455813</v>
      </c>
      <c r="O342">
        <f t="shared" si="100"/>
        <v>-0.35593179134114411</v>
      </c>
      <c r="P342">
        <f t="shared" si="101"/>
        <v>-0.15260853583385672</v>
      </c>
      <c r="Q342">
        <f t="shared" si="102"/>
        <v>0.92196702473750691</v>
      </c>
      <c r="R342">
        <f t="shared" si="92"/>
        <v>1</v>
      </c>
      <c r="AG342" s="8">
        <f t="shared" si="94"/>
        <v>-0.40195548173957796</v>
      </c>
      <c r="AH342" s="8">
        <f t="shared" si="95"/>
        <v>0.8492930331488896</v>
      </c>
      <c r="AI342" s="8">
        <f t="shared" si="96"/>
        <v>0.34224718339858246</v>
      </c>
      <c r="AJ342" s="8"/>
      <c r="AK342" s="8"/>
      <c r="AL342" s="8"/>
      <c r="AN342" s="8">
        <f t="shared" si="103"/>
        <v>1</v>
      </c>
      <c r="AO342" s="8">
        <f t="shared" si="104"/>
        <v>2.0128423585061435</v>
      </c>
      <c r="AP342" s="8">
        <f t="shared" si="105"/>
        <v>1.2214888547701486</v>
      </c>
      <c r="AQ342" s="8"/>
      <c r="AR342" s="8">
        <f t="shared" si="106"/>
        <v>115.32737196756059</v>
      </c>
      <c r="AS342" s="8">
        <f t="shared" si="107"/>
        <v>20.013843899402133</v>
      </c>
    </row>
    <row r="343" spans="1:45">
      <c r="A343" s="19">
        <v>104.9381667</v>
      </c>
      <c r="B343" s="19">
        <v>380.1329642</v>
      </c>
      <c r="C343" s="19">
        <v>-788.5660196</v>
      </c>
      <c r="E343" s="9">
        <f t="shared" si="97"/>
        <v>-579.86703579999994</v>
      </c>
      <c r="F343" s="9">
        <f t="shared" si="98"/>
        <v>-248.5660196</v>
      </c>
      <c r="I343">
        <v>1</v>
      </c>
      <c r="J343">
        <f t="shared" si="93"/>
        <v>0.39772559603102847</v>
      </c>
      <c r="K343">
        <f t="shared" si="99"/>
        <v>-2.7366257273913543</v>
      </c>
      <c r="O343">
        <f t="shared" si="100"/>
        <v>-0.35599405987754124</v>
      </c>
      <c r="P343">
        <f t="shared" si="101"/>
        <v>-0.15260054633546136</v>
      </c>
      <c r="Q343">
        <f t="shared" si="102"/>
        <v>0.92194430557926021</v>
      </c>
      <c r="R343">
        <f t="shared" si="92"/>
        <v>1</v>
      </c>
      <c r="AG343" s="8">
        <f t="shared" si="94"/>
        <v>-0.40189864739720904</v>
      </c>
      <c r="AH343" s="8">
        <f t="shared" si="95"/>
        <v>0.8493253643839116</v>
      </c>
      <c r="AI343" s="8">
        <f t="shared" si="96"/>
        <v>0.34223369593660669</v>
      </c>
      <c r="AJ343" s="8"/>
      <c r="AK343" s="8"/>
      <c r="AL343" s="8"/>
      <c r="AN343" s="8">
        <f t="shared" si="103"/>
        <v>1.0000000000000002</v>
      </c>
      <c r="AO343" s="8">
        <f t="shared" si="104"/>
        <v>2.0127729659280549</v>
      </c>
      <c r="AP343" s="8">
        <f t="shared" si="105"/>
        <v>1.2215032090526476</v>
      </c>
      <c r="AQ343" s="8"/>
      <c r="AR343" s="8">
        <f t="shared" si="106"/>
        <v>115.32339606570659</v>
      </c>
      <c r="AS343" s="8">
        <f t="shared" si="107"/>
        <v>20.013021459596999</v>
      </c>
    </row>
    <row r="344" spans="1:45">
      <c r="A344" s="19">
        <v>104.9715333</v>
      </c>
      <c r="B344" s="19">
        <v>379.85241539999998</v>
      </c>
      <c r="C344" s="19">
        <v>-788.49776540000005</v>
      </c>
      <c r="E344" s="9">
        <f t="shared" si="97"/>
        <v>-580.14758460000007</v>
      </c>
      <c r="F344" s="9">
        <f t="shared" si="98"/>
        <v>-248.49776540000005</v>
      </c>
      <c r="I344">
        <v>1</v>
      </c>
      <c r="J344">
        <f t="shared" si="93"/>
        <v>0.39785802924457753</v>
      </c>
      <c r="K344">
        <f t="shared" si="99"/>
        <v>-2.7369002620255234</v>
      </c>
      <c r="O344">
        <f t="shared" si="100"/>
        <v>-0.35614817103689889</v>
      </c>
      <c r="P344">
        <f t="shared" si="101"/>
        <v>-0.15255088016092794</v>
      </c>
      <c r="Q344">
        <f t="shared" si="102"/>
        <v>0.92189300313496148</v>
      </c>
      <c r="R344">
        <f t="shared" si="92"/>
        <v>1</v>
      </c>
      <c r="AG344" s="8">
        <f t="shared" si="94"/>
        <v>-0.4017461603861065</v>
      </c>
      <c r="AH344" s="8">
        <f t="shared" si="95"/>
        <v>0.8493999319421085</v>
      </c>
      <c r="AI344" s="8">
        <f t="shared" si="96"/>
        <v>0.34222767017259459</v>
      </c>
      <c r="AJ344" s="8"/>
      <c r="AK344" s="8"/>
      <c r="AL344" s="8"/>
      <c r="AN344" s="8">
        <f t="shared" si="103"/>
        <v>1</v>
      </c>
      <c r="AO344" s="8">
        <f t="shared" si="104"/>
        <v>2.0125923298049533</v>
      </c>
      <c r="AP344" s="8">
        <f t="shared" si="105"/>
        <v>1.2215096220599226</v>
      </c>
      <c r="AQ344" s="8"/>
      <c r="AR344" s="8">
        <f t="shared" si="106"/>
        <v>115.31304637822527</v>
      </c>
      <c r="AS344" s="8">
        <f t="shared" si="107"/>
        <v>20.012654021346151</v>
      </c>
    </row>
    <row r="345" spans="1:45">
      <c r="A345" s="19">
        <v>105.00490000000001</v>
      </c>
      <c r="B345" s="19">
        <v>378.10412719999999</v>
      </c>
      <c r="C345" s="19">
        <v>-788.30392300000005</v>
      </c>
      <c r="E345" s="9">
        <f t="shared" si="97"/>
        <v>-581.89587280000001</v>
      </c>
      <c r="F345" s="9">
        <f t="shared" si="98"/>
        <v>-248.30392300000005</v>
      </c>
      <c r="I345">
        <v>1</v>
      </c>
      <c r="J345">
        <f t="shared" si="93"/>
        <v>0.39873563586909738</v>
      </c>
      <c r="K345">
        <f t="shared" si="99"/>
        <v>-2.738269954943354</v>
      </c>
      <c r="O345">
        <f t="shared" si="100"/>
        <v>-0.35710078951866908</v>
      </c>
      <c r="P345">
        <f t="shared" si="101"/>
        <v>-0.15238040187021384</v>
      </c>
      <c r="Q345">
        <f t="shared" si="102"/>
        <v>0.92155262424400664</v>
      </c>
      <c r="R345">
        <f t="shared" si="92"/>
        <v>1</v>
      </c>
      <c r="AG345" s="8">
        <f t="shared" si="94"/>
        <v>-0.40085713535483891</v>
      </c>
      <c r="AH345" s="8">
        <f t="shared" si="95"/>
        <v>0.84988531488740882</v>
      </c>
      <c r="AI345" s="8">
        <f t="shared" si="96"/>
        <v>0.34206506482516197</v>
      </c>
      <c r="AJ345" s="8"/>
      <c r="AK345" s="8"/>
      <c r="AL345" s="8"/>
      <c r="AN345" s="8">
        <f t="shared" si="103"/>
        <v>1</v>
      </c>
      <c r="AO345" s="8">
        <f t="shared" si="104"/>
        <v>2.011516216841807</v>
      </c>
      <c r="AP345" s="8">
        <f t="shared" si="105"/>
        <v>1.2216826715188538</v>
      </c>
      <c r="AQ345" s="8"/>
      <c r="AR345" s="8">
        <f t="shared" si="106"/>
        <v>115.25138964715767</v>
      </c>
      <c r="AS345" s="8">
        <f t="shared" si="107"/>
        <v>20.002739017702382</v>
      </c>
    </row>
    <row r="346" spans="1:45">
      <c r="A346" s="19">
        <v>105.03826669999999</v>
      </c>
      <c r="B346" s="19">
        <v>377.10414350000002</v>
      </c>
      <c r="C346" s="19">
        <v>-788.3039407</v>
      </c>
      <c r="E346" s="9">
        <f t="shared" si="97"/>
        <v>-582.89585650000004</v>
      </c>
      <c r="F346" s="9">
        <f t="shared" si="98"/>
        <v>-248.3039407</v>
      </c>
      <c r="I346">
        <v>1</v>
      </c>
      <c r="J346">
        <f t="shared" si="93"/>
        <v>0.39926251599464491</v>
      </c>
      <c r="K346">
        <f t="shared" si="99"/>
        <v>-2.7388893787331621</v>
      </c>
      <c r="O346">
        <f t="shared" si="100"/>
        <v>-0.35764176578429552</v>
      </c>
      <c r="P346">
        <f t="shared" si="101"/>
        <v>-0.15234944426671704</v>
      </c>
      <c r="Q346">
        <f t="shared" si="102"/>
        <v>0.92134793330115716</v>
      </c>
      <c r="R346">
        <f t="shared" si="92"/>
        <v>1</v>
      </c>
      <c r="AG346" s="8">
        <f t="shared" si="94"/>
        <v>-0.40037799938546814</v>
      </c>
      <c r="AH346" s="8">
        <f t="shared" si="95"/>
        <v>0.85017264879565646</v>
      </c>
      <c r="AI346" s="8">
        <f t="shared" si="96"/>
        <v>0.34191215954959475</v>
      </c>
      <c r="AJ346" s="8"/>
      <c r="AK346" s="8"/>
      <c r="AL346" s="8"/>
      <c r="AN346" s="8">
        <f t="shared" si="103"/>
        <v>1.0000000000000002</v>
      </c>
      <c r="AO346" s="8">
        <f t="shared" si="104"/>
        <v>2.0109246374514931</v>
      </c>
      <c r="AP346" s="8">
        <f t="shared" si="105"/>
        <v>1.221845387927518</v>
      </c>
      <c r="AQ346" s="8"/>
      <c r="AR346" s="8">
        <f t="shared" si="106"/>
        <v>115.21749464484576</v>
      </c>
      <c r="AS346" s="8">
        <f t="shared" si="107"/>
        <v>19.993416054228391</v>
      </c>
    </row>
    <row r="347" spans="1:45">
      <c r="A347" s="19">
        <v>105.0716333</v>
      </c>
      <c r="B347" s="19">
        <v>377.09988909999998</v>
      </c>
      <c r="C347" s="19">
        <v>-788.2835705</v>
      </c>
      <c r="E347" s="9">
        <f t="shared" si="97"/>
        <v>-582.90011090000007</v>
      </c>
      <c r="F347" s="9">
        <f t="shared" si="98"/>
        <v>-248.2835705</v>
      </c>
      <c r="I347">
        <v>1</v>
      </c>
      <c r="J347">
        <f t="shared" si="93"/>
        <v>0.39926018597546425</v>
      </c>
      <c r="K347">
        <f t="shared" si="99"/>
        <v>-2.7389215896203658</v>
      </c>
      <c r="O347">
        <f t="shared" si="100"/>
        <v>-0.35764469785319475</v>
      </c>
      <c r="P347">
        <f t="shared" si="101"/>
        <v>-0.15233708296311951</v>
      </c>
      <c r="Q347">
        <f t="shared" si="102"/>
        <v>0.92134883906790954</v>
      </c>
      <c r="R347">
        <f t="shared" ref="R347:R410" si="108">SQRT(O347^2+P347^2+Q347^2)</f>
        <v>1</v>
      </c>
      <c r="AG347" s="8">
        <f t="shared" si="94"/>
        <v>-0.400370582297989</v>
      </c>
      <c r="AH347" s="8">
        <f t="shared" si="95"/>
        <v>0.85017198615807621</v>
      </c>
      <c r="AI347" s="8">
        <f t="shared" si="96"/>
        <v>0.34192249236106292</v>
      </c>
      <c r="AJ347" s="8"/>
      <c r="AK347" s="8"/>
      <c r="AL347" s="8"/>
      <c r="AN347" s="8">
        <f t="shared" si="103"/>
        <v>1</v>
      </c>
      <c r="AO347" s="8">
        <f t="shared" si="104"/>
        <v>2.0109177972856989</v>
      </c>
      <c r="AP347" s="8">
        <f t="shared" si="105"/>
        <v>1.2218343924170385</v>
      </c>
      <c r="AQ347" s="8"/>
      <c r="AR347" s="8">
        <f t="shared" si="106"/>
        <v>115.21710273221457</v>
      </c>
      <c r="AS347" s="8">
        <f t="shared" si="107"/>
        <v>19.994046050572464</v>
      </c>
    </row>
    <row r="348" spans="1:45">
      <c r="A348" s="19">
        <v>105.105</v>
      </c>
      <c r="B348" s="19">
        <v>377.09655759999998</v>
      </c>
      <c r="C348" s="19">
        <v>-788.25760309999998</v>
      </c>
      <c r="E348" s="9">
        <f t="shared" si="97"/>
        <v>-582.90344240000002</v>
      </c>
      <c r="F348" s="9">
        <f t="shared" si="98"/>
        <v>-248.25760309999998</v>
      </c>
      <c r="I348">
        <v>1</v>
      </c>
      <c r="J348">
        <f t="shared" si="93"/>
        <v>0.39925611412770323</v>
      </c>
      <c r="K348">
        <f t="shared" si="99"/>
        <v>-2.7389613580543211</v>
      </c>
      <c r="O348">
        <f t="shared" si="100"/>
        <v>-0.35764730418551027</v>
      </c>
      <c r="P348">
        <f t="shared" si="101"/>
        <v>-0.15232138984580373</v>
      </c>
      <c r="Q348">
        <f t="shared" si="102"/>
        <v>0.92135042193742978</v>
      </c>
      <c r="R348">
        <f t="shared" si="108"/>
        <v>1</v>
      </c>
      <c r="AG348" s="8">
        <f t="shared" si="94"/>
        <v>-0.40036212933106291</v>
      </c>
      <c r="AH348" s="8">
        <f t="shared" si="95"/>
        <v>0.85017054059617769</v>
      </c>
      <c r="AI348" s="8">
        <f t="shared" si="96"/>
        <v>0.34193598421327409</v>
      </c>
      <c r="AJ348" s="8"/>
      <c r="AK348" s="8"/>
      <c r="AL348" s="8"/>
      <c r="AN348" s="8">
        <f t="shared" si="103"/>
        <v>1.0000000000000002</v>
      </c>
      <c r="AO348" s="8">
        <f t="shared" si="104"/>
        <v>2.0109103147446739</v>
      </c>
      <c r="AP348" s="8">
        <f t="shared" si="105"/>
        <v>1.2218200351932498</v>
      </c>
      <c r="AQ348" s="8"/>
      <c r="AR348" s="8">
        <f t="shared" si="106"/>
        <v>115.21667401419381</v>
      </c>
      <c r="AS348" s="8">
        <f t="shared" si="107"/>
        <v>19.994868658901083</v>
      </c>
    </row>
    <row r="349" spans="1:45">
      <c r="A349" s="19">
        <v>105.13836670000001</v>
      </c>
      <c r="B349" s="19">
        <v>376.85533650000002</v>
      </c>
      <c r="C349" s="19">
        <v>-788.32512169999995</v>
      </c>
      <c r="E349" s="9">
        <f t="shared" si="97"/>
        <v>-583.14466349999998</v>
      </c>
      <c r="F349" s="9">
        <f t="shared" si="98"/>
        <v>-248.32512169999995</v>
      </c>
      <c r="I349">
        <v>1</v>
      </c>
      <c r="J349">
        <f t="shared" si="93"/>
        <v>0.39939834687511699</v>
      </c>
      <c r="K349">
        <f t="shared" si="99"/>
        <v>-2.7390124783348444</v>
      </c>
      <c r="O349">
        <f t="shared" si="100"/>
        <v>-0.35777565628458208</v>
      </c>
      <c r="P349">
        <f t="shared" si="101"/>
        <v>-0.15235444813114754</v>
      </c>
      <c r="Q349">
        <f t="shared" si="102"/>
        <v>0.92129512204547681</v>
      </c>
      <c r="R349">
        <f t="shared" si="108"/>
        <v>1</v>
      </c>
      <c r="AG349" s="8">
        <f t="shared" si="94"/>
        <v>-0.40026438678218151</v>
      </c>
      <c r="AH349" s="8">
        <f t="shared" si="95"/>
        <v>0.85024603602540738</v>
      </c>
      <c r="AI349" s="8">
        <f t="shared" si="96"/>
        <v>0.34186269012129106</v>
      </c>
      <c r="AJ349" s="8"/>
      <c r="AK349" s="8"/>
      <c r="AL349" s="8"/>
      <c r="AN349" s="8">
        <f t="shared" si="103"/>
        <v>1</v>
      </c>
      <c r="AO349" s="8">
        <f t="shared" si="104"/>
        <v>2.0107819909699614</v>
      </c>
      <c r="AP349" s="8">
        <f t="shared" si="105"/>
        <v>1.2218980294880613</v>
      </c>
      <c r="AQ349" s="8"/>
      <c r="AR349" s="8">
        <f t="shared" si="106"/>
        <v>115.2093216034916</v>
      </c>
      <c r="AS349" s="8">
        <f t="shared" si="107"/>
        <v>19.990399914982277</v>
      </c>
    </row>
    <row r="350" spans="1:45">
      <c r="A350" s="19">
        <v>105.1717333</v>
      </c>
      <c r="B350" s="19">
        <v>376.352284</v>
      </c>
      <c r="C350" s="19">
        <v>-788.40432180000005</v>
      </c>
      <c r="E350" s="9">
        <f t="shared" si="97"/>
        <v>-583.64771599999995</v>
      </c>
      <c r="F350" s="9">
        <f t="shared" si="98"/>
        <v>-248.40432180000005</v>
      </c>
      <c r="I350">
        <v>1</v>
      </c>
      <c r="J350">
        <f t="shared" si="93"/>
        <v>0.39968110305917082</v>
      </c>
      <c r="K350">
        <f t="shared" si="99"/>
        <v>-2.7392083201004733</v>
      </c>
      <c r="O350">
        <f t="shared" si="100"/>
        <v>-0.35804516805474912</v>
      </c>
      <c r="P350">
        <f t="shared" si="101"/>
        <v>-0.15238638772366411</v>
      </c>
      <c r="Q350">
        <f t="shared" si="102"/>
        <v>0.92118513148507752</v>
      </c>
      <c r="R350">
        <f t="shared" si="108"/>
        <v>1</v>
      </c>
      <c r="AG350" s="8">
        <f t="shared" si="94"/>
        <v>-0.40004429447965173</v>
      </c>
      <c r="AH350" s="8">
        <f t="shared" si="95"/>
        <v>0.85039769892840655</v>
      </c>
      <c r="AI350" s="8">
        <f t="shared" si="96"/>
        <v>0.34174305568884511</v>
      </c>
      <c r="AJ350" s="8"/>
      <c r="AK350" s="8"/>
      <c r="AL350" s="8"/>
      <c r="AN350" s="8">
        <f t="shared" si="103"/>
        <v>1.0000000000000002</v>
      </c>
      <c r="AO350" s="8">
        <f t="shared" si="104"/>
        <v>2.0105013681592023</v>
      </c>
      <c r="AP350" s="8">
        <f t="shared" si="105"/>
        <v>1.2220253310827827</v>
      </c>
      <c r="AQ350" s="8"/>
      <c r="AR350" s="8">
        <f t="shared" si="106"/>
        <v>115.1932431008</v>
      </c>
      <c r="AS350" s="8">
        <f t="shared" si="107"/>
        <v>19.983106070879458</v>
      </c>
    </row>
    <row r="351" spans="1:45">
      <c r="A351" s="19">
        <v>105.2051</v>
      </c>
      <c r="B351" s="19">
        <v>375.77569840000001</v>
      </c>
      <c r="C351" s="19">
        <v>-788.37601970000003</v>
      </c>
      <c r="E351" s="9">
        <f t="shared" si="97"/>
        <v>-584.22430159999999</v>
      </c>
      <c r="F351" s="9">
        <f t="shared" si="98"/>
        <v>-248.37601970000003</v>
      </c>
      <c r="I351">
        <v>1</v>
      </c>
      <c r="J351">
        <f t="shared" si="93"/>
        <v>0.39997845910855495</v>
      </c>
      <c r="K351">
        <f t="shared" si="99"/>
        <v>-2.7396050253165436</v>
      </c>
      <c r="O351">
        <f t="shared" si="100"/>
        <v>-0.35835766100238658</v>
      </c>
      <c r="P351">
        <f t="shared" si="101"/>
        <v>-0.15235150134120121</v>
      </c>
      <c r="Q351">
        <f t="shared" si="102"/>
        <v>0.92106938220743206</v>
      </c>
      <c r="R351">
        <f t="shared" si="108"/>
        <v>1</v>
      </c>
      <c r="AG351" s="8">
        <f t="shared" si="94"/>
        <v>-0.39976061000093416</v>
      </c>
      <c r="AH351" s="8">
        <f t="shared" si="95"/>
        <v>0.85056039487431212</v>
      </c>
      <c r="AI351" s="8">
        <f t="shared" si="96"/>
        <v>0.34167011774946815</v>
      </c>
      <c r="AJ351" s="8"/>
      <c r="AK351" s="8"/>
      <c r="AL351" s="8"/>
      <c r="AN351" s="8">
        <f t="shared" si="103"/>
        <v>1.0000000000000002</v>
      </c>
      <c r="AO351" s="8">
        <f t="shared" si="104"/>
        <v>2.0101545412539741</v>
      </c>
      <c r="AP351" s="8">
        <f t="shared" si="105"/>
        <v>1.2221029405959147</v>
      </c>
      <c r="AQ351" s="8"/>
      <c r="AR351" s="8">
        <f t="shared" si="106"/>
        <v>115.17337138290884</v>
      </c>
      <c r="AS351" s="8">
        <f t="shared" si="107"/>
        <v>19.97865937332692</v>
      </c>
    </row>
    <row r="352" spans="1:45">
      <c r="A352" s="19">
        <v>105.2718333</v>
      </c>
      <c r="B352" s="19">
        <v>374.92400049999998</v>
      </c>
      <c r="C352" s="19">
        <v>-788.2016337</v>
      </c>
      <c r="E352" s="9">
        <f t="shared" si="97"/>
        <v>-585.07599950000008</v>
      </c>
      <c r="F352" s="9">
        <f t="shared" si="98"/>
        <v>-248.2016337</v>
      </c>
      <c r="I352">
        <v>1</v>
      </c>
      <c r="J352">
        <f t="shared" ref="J352:J415" si="109">ATAN((SQRT(E352^2+F352^2)^$B$16)/($F$24))</f>
        <v>0.40038803971205877</v>
      </c>
      <c r="K352">
        <f t="shared" si="99"/>
        <v>-2.7403818545386174</v>
      </c>
      <c r="O352">
        <f t="shared" si="100"/>
        <v>-0.35882316799445263</v>
      </c>
      <c r="P352">
        <f t="shared" si="101"/>
        <v>-0.1522203894566567</v>
      </c>
      <c r="Q352">
        <f t="shared" si="102"/>
        <v>0.92090981488096246</v>
      </c>
      <c r="R352">
        <f t="shared" si="108"/>
        <v>1</v>
      </c>
      <c r="AG352" s="8">
        <f t="shared" ref="AG352:AG415" si="110">$O352*$Z$27+$P352*$Z$31+$Q352*$Z$35</f>
        <v>-0.39930660000338813</v>
      </c>
      <c r="AH352" s="8">
        <f t="shared" ref="AH352:AH415" si="111">$O352*$AA$27+$P352*$AA$31+$Q352*$AA$35</f>
        <v>0.85078821917295788</v>
      </c>
      <c r="AI352" s="8">
        <f t="shared" ref="AI352:AI415" si="112">$AB$27*$O352+$P352*$AB$31+$AB$35*$Q352</f>
        <v>0.34163378830297386</v>
      </c>
      <c r="AJ352" s="8"/>
      <c r="AK352" s="8"/>
      <c r="AL352" s="8"/>
      <c r="AN352" s="8">
        <f t="shared" si="103"/>
        <v>1</v>
      </c>
      <c r="AO352" s="8">
        <f t="shared" si="104"/>
        <v>2.0096142353493107</v>
      </c>
      <c r="AP352" s="8">
        <f t="shared" si="105"/>
        <v>1.2221415960760349</v>
      </c>
      <c r="AQ352" s="8"/>
      <c r="AR352" s="8">
        <f t="shared" si="106"/>
        <v>115.14241413492563</v>
      </c>
      <c r="AS352" s="8">
        <f t="shared" si="107"/>
        <v>19.976444577460995</v>
      </c>
    </row>
    <row r="353" spans="1:45">
      <c r="A353" s="19">
        <v>105.3052</v>
      </c>
      <c r="B353" s="19">
        <v>375.22175979999997</v>
      </c>
      <c r="C353" s="19">
        <v>-788.32418989999996</v>
      </c>
      <c r="E353" s="9">
        <f t="shared" ref="E353:E416" si="113">(B353-($B$15/2))</f>
        <v>-584.77824020000003</v>
      </c>
      <c r="F353" s="9">
        <f t="shared" ref="F353:F416" si="114">(($C$15/2)+C353)</f>
        <v>-248.32418989999996</v>
      </c>
      <c r="I353">
        <v>1</v>
      </c>
      <c r="J353">
        <f t="shared" si="109"/>
        <v>0.40025861122055673</v>
      </c>
      <c r="K353">
        <f t="shared" ref="K353:K416" si="115">ATAN2(E353,F353)</f>
        <v>-2.7400212345788946</v>
      </c>
      <c r="O353">
        <f t="shared" ref="O353:O416" si="116">COS(K353)*SIN(J353)</f>
        <v>-0.35865853794946023</v>
      </c>
      <c r="P353">
        <f t="shared" ref="P353:P416" si="117">SIN(K353)*SIN(J353)</f>
        <v>-0.15230318907994517</v>
      </c>
      <c r="Q353">
        <f t="shared" ref="Q353:Q416" si="118">COS(J353)</f>
        <v>0.92096025525102554</v>
      </c>
      <c r="R353">
        <f t="shared" si="108"/>
        <v>1</v>
      </c>
      <c r="AG353" s="8">
        <f t="shared" si="110"/>
        <v>-0.39948158281656593</v>
      </c>
      <c r="AH353" s="8">
        <f t="shared" si="111"/>
        <v>0.85071429689002676</v>
      </c>
      <c r="AI353" s="8">
        <f t="shared" si="112"/>
        <v>0.34161330485986469</v>
      </c>
      <c r="AJ353" s="8"/>
      <c r="AK353" s="8"/>
      <c r="AL353" s="8"/>
      <c r="AN353" s="8">
        <f t="shared" ref="AN353:AN416" si="119">AG353^2+AH353^2+AI353^2</f>
        <v>1.0000000000000002</v>
      </c>
      <c r="AO353" s="8">
        <f t="shared" ref="AO353:AO416" si="120">IF(ATAN2(AG353,AH353)&gt;=0,ATAN2(AG353,AH353),ATAN2(AG353,AH353)+2*PI())</f>
        <v>2.0098161965349366</v>
      </c>
      <c r="AP353" s="8">
        <f t="shared" ref="AP353:AP416" si="121">ACOS(AI353/AN353)</f>
        <v>1.2221633907551386</v>
      </c>
      <c r="AQ353" s="8"/>
      <c r="AR353" s="8">
        <f t="shared" ref="AR353:AR416" si="122">DEGREES(AO353)</f>
        <v>115.15398565848746</v>
      </c>
      <c r="AS353" s="8">
        <f t="shared" ref="AS353:AS416" si="123">90-DEGREES(AP353)</f>
        <v>19.97519583433251</v>
      </c>
    </row>
    <row r="354" spans="1:45">
      <c r="A354" s="19">
        <v>105.37193329999999</v>
      </c>
      <c r="B354" s="19">
        <v>374.11632020000002</v>
      </c>
      <c r="C354" s="19">
        <v>-788.44885550000004</v>
      </c>
      <c r="E354" s="9">
        <f t="shared" si="113"/>
        <v>-585.88367979999998</v>
      </c>
      <c r="F354" s="9">
        <f t="shared" si="114"/>
        <v>-248.44885550000004</v>
      </c>
      <c r="I354">
        <v>1</v>
      </c>
      <c r="J354">
        <f t="shared" si="109"/>
        <v>0.40086859010149306</v>
      </c>
      <c r="K354">
        <f t="shared" si="115"/>
        <v>-2.7405198784397782</v>
      </c>
      <c r="O354">
        <f t="shared" si="116"/>
        <v>-0.35925155768895534</v>
      </c>
      <c r="P354">
        <f t="shared" si="117"/>
        <v>-0.15234361601415822</v>
      </c>
      <c r="Q354">
        <f t="shared" si="118"/>
        <v>0.92072240168130481</v>
      </c>
      <c r="R354">
        <f t="shared" si="108"/>
        <v>1</v>
      </c>
      <c r="AG354" s="8">
        <f t="shared" si="110"/>
        <v>-0.39898504263213941</v>
      </c>
      <c r="AH354" s="8">
        <f t="shared" si="111"/>
        <v>0.85104212749501185</v>
      </c>
      <c r="AI354" s="8">
        <f t="shared" si="112"/>
        <v>0.34137696610139656</v>
      </c>
      <c r="AJ354" s="8"/>
      <c r="AK354" s="8"/>
      <c r="AL354" s="8"/>
      <c r="AN354" s="8">
        <f t="shared" si="119"/>
        <v>1.0000000000000002</v>
      </c>
      <c r="AO354" s="8">
        <f t="shared" si="120"/>
        <v>2.0091897668010894</v>
      </c>
      <c r="AP354" s="8">
        <f t="shared" si="121"/>
        <v>1.2224148461203905</v>
      </c>
      <c r="AQ354" s="8"/>
      <c r="AR354" s="8">
        <f t="shared" si="122"/>
        <v>115.1180938785765</v>
      </c>
      <c r="AS354" s="8">
        <f t="shared" si="123"/>
        <v>19.960788503167649</v>
      </c>
    </row>
    <row r="355" spans="1:45">
      <c r="A355" s="19">
        <v>105.4053</v>
      </c>
      <c r="B355" s="19">
        <v>373.58680750000002</v>
      </c>
      <c r="C355" s="19">
        <v>-788.33168190000004</v>
      </c>
      <c r="E355" s="9">
        <f t="shared" si="113"/>
        <v>-586.41319249999992</v>
      </c>
      <c r="F355" s="9">
        <f t="shared" si="114"/>
        <v>-248.33168190000004</v>
      </c>
      <c r="I355">
        <v>1</v>
      </c>
      <c r="J355">
        <f t="shared" si="109"/>
        <v>0.40112124665399895</v>
      </c>
      <c r="K355">
        <f t="shared" si="115"/>
        <v>-2.7410138900201826</v>
      </c>
      <c r="O355">
        <f t="shared" si="116"/>
        <v>-0.35954097266189228</v>
      </c>
      <c r="P355">
        <f t="shared" si="117"/>
        <v>-0.1522568311815217</v>
      </c>
      <c r="Q355">
        <f t="shared" si="118"/>
        <v>0.92062378110491039</v>
      </c>
      <c r="R355">
        <f t="shared" si="108"/>
        <v>1</v>
      </c>
      <c r="AG355" s="8">
        <f t="shared" si="110"/>
        <v>-0.39870052171884185</v>
      </c>
      <c r="AH355" s="8">
        <f t="shared" si="111"/>
        <v>0.85118264562400969</v>
      </c>
      <c r="AI355" s="8">
        <f t="shared" si="112"/>
        <v>0.34135904524361838</v>
      </c>
      <c r="AJ355" s="8"/>
      <c r="AK355" s="8"/>
      <c r="AL355" s="8"/>
      <c r="AN355" s="8">
        <f t="shared" si="119"/>
        <v>0.99999999999999978</v>
      </c>
      <c r="AO355" s="8">
        <f t="shared" si="120"/>
        <v>2.0088522288713939</v>
      </c>
      <c r="AP355" s="8">
        <f t="shared" si="121"/>
        <v>1.2224339122881418</v>
      </c>
      <c r="AQ355" s="8"/>
      <c r="AR355" s="8">
        <f t="shared" si="122"/>
        <v>115.09875437977938</v>
      </c>
      <c r="AS355" s="8">
        <f t="shared" si="123"/>
        <v>19.959696092224007</v>
      </c>
    </row>
    <row r="356" spans="1:45">
      <c r="A356" s="19">
        <v>105.4386667</v>
      </c>
      <c r="B356" s="19">
        <v>373.01755509999998</v>
      </c>
      <c r="C356" s="19">
        <v>-788.30485820000001</v>
      </c>
      <c r="E356" s="9">
        <f t="shared" si="113"/>
        <v>-586.98244490000002</v>
      </c>
      <c r="F356" s="9">
        <f t="shared" si="114"/>
        <v>-248.30485820000001</v>
      </c>
      <c r="I356">
        <v>1</v>
      </c>
      <c r="J356">
        <f t="shared" si="109"/>
        <v>0.40141498315682222</v>
      </c>
      <c r="K356">
        <f t="shared" si="115"/>
        <v>-2.7414009370182093</v>
      </c>
      <c r="O356">
        <f t="shared" si="116"/>
        <v>-0.35984891462865426</v>
      </c>
      <c r="P356">
        <f t="shared" si="117"/>
        <v>-0.15222300853565437</v>
      </c>
      <c r="Q356">
        <f t="shared" si="118"/>
        <v>0.92050905172786524</v>
      </c>
      <c r="R356">
        <f t="shared" si="108"/>
        <v>1</v>
      </c>
      <c r="AG356" s="8">
        <f t="shared" si="110"/>
        <v>-0.3984208451699322</v>
      </c>
      <c r="AH356" s="8">
        <f t="shared" si="111"/>
        <v>0.85134274077353689</v>
      </c>
      <c r="AI356" s="8">
        <f t="shared" si="112"/>
        <v>0.34128634292376736</v>
      </c>
      <c r="AJ356" s="8"/>
      <c r="AK356" s="8"/>
      <c r="AL356" s="8"/>
      <c r="AN356" s="8">
        <f t="shared" si="119"/>
        <v>1</v>
      </c>
      <c r="AO356" s="8">
        <f t="shared" si="120"/>
        <v>2.0085105353177823</v>
      </c>
      <c r="AP356" s="8">
        <f t="shared" si="121"/>
        <v>1.2225112596102952</v>
      </c>
      <c r="AQ356" s="8"/>
      <c r="AR356" s="8">
        <f t="shared" si="122"/>
        <v>115.0791767812706</v>
      </c>
      <c r="AS356" s="8">
        <f t="shared" si="123"/>
        <v>19.955264417107983</v>
      </c>
    </row>
    <row r="357" spans="1:45">
      <c r="A357" s="19">
        <v>105.47203330000001</v>
      </c>
      <c r="B357" s="19">
        <v>373.02811800000001</v>
      </c>
      <c r="C357" s="19">
        <v>-788.25783430000001</v>
      </c>
      <c r="E357" s="9">
        <f t="shared" si="113"/>
        <v>-586.97188200000005</v>
      </c>
      <c r="F357" s="9">
        <f t="shared" si="114"/>
        <v>-248.25783430000001</v>
      </c>
      <c r="I357">
        <v>1</v>
      </c>
      <c r="J357">
        <f t="shared" si="109"/>
        <v>0.40139894969448725</v>
      </c>
      <c r="K357">
        <f t="shared" si="115"/>
        <v>-2.7414624344495424</v>
      </c>
      <c r="O357">
        <f t="shared" si="116"/>
        <v>-0.35984468208389625</v>
      </c>
      <c r="P357">
        <f t="shared" si="117"/>
        <v>-0.15219512926944623</v>
      </c>
      <c r="Q357">
        <f t="shared" si="118"/>
        <v>0.92051531622379656</v>
      </c>
      <c r="R357">
        <f t="shared" si="108"/>
        <v>1</v>
      </c>
      <c r="AG357" s="8">
        <f t="shared" si="110"/>
        <v>-0.39841348649390462</v>
      </c>
      <c r="AH357" s="8">
        <f t="shared" si="111"/>
        <v>0.85133538181165935</v>
      </c>
      <c r="AI357" s="8">
        <f t="shared" si="112"/>
        <v>0.3413132893037823</v>
      </c>
      <c r="AJ357" s="8"/>
      <c r="AK357" s="8"/>
      <c r="AL357" s="8"/>
      <c r="AN357" s="8">
        <f t="shared" si="119"/>
        <v>1</v>
      </c>
      <c r="AO357" s="8">
        <f t="shared" si="120"/>
        <v>2.0085067631195317</v>
      </c>
      <c r="AP357" s="8">
        <f t="shared" si="121"/>
        <v>1.222482591860504</v>
      </c>
      <c r="AQ357" s="8"/>
      <c r="AR357" s="8">
        <f t="shared" si="122"/>
        <v>115.07896065023135</v>
      </c>
      <c r="AS357" s="8">
        <f t="shared" si="123"/>
        <v>19.956906958179161</v>
      </c>
    </row>
    <row r="358" spans="1:45">
      <c r="A358" s="19">
        <v>105.50539999999999</v>
      </c>
      <c r="B358" s="19">
        <v>372.9115357</v>
      </c>
      <c r="C358" s="19">
        <v>-788.10449080000001</v>
      </c>
      <c r="E358" s="9">
        <f t="shared" si="113"/>
        <v>-587.08846429999994</v>
      </c>
      <c r="F358" s="9">
        <f t="shared" si="114"/>
        <v>-248.10449080000001</v>
      </c>
      <c r="I358">
        <v>1</v>
      </c>
      <c r="J358">
        <f t="shared" si="109"/>
        <v>0.40142619911631922</v>
      </c>
      <c r="K358">
        <f t="shared" si="115"/>
        <v>-2.7417552736549924</v>
      </c>
      <c r="O358">
        <f t="shared" si="116"/>
        <v>-0.35991234025212621</v>
      </c>
      <c r="P358">
        <f t="shared" si="117"/>
        <v>-0.15209951027969831</v>
      </c>
      <c r="Q358">
        <f t="shared" si="118"/>
        <v>0.92050466935638831</v>
      </c>
      <c r="R358">
        <f t="shared" si="108"/>
        <v>1</v>
      </c>
      <c r="AG358" s="8">
        <f t="shared" si="110"/>
        <v>-0.39831716879832751</v>
      </c>
      <c r="AH358" s="8">
        <f t="shared" si="111"/>
        <v>0.85135449262762675</v>
      </c>
      <c r="AI358" s="8">
        <f t="shared" si="112"/>
        <v>0.34137803227981856</v>
      </c>
      <c r="AJ358" s="8"/>
      <c r="AK358" s="8"/>
      <c r="AL358" s="8"/>
      <c r="AN358" s="8">
        <f t="shared" si="119"/>
        <v>1</v>
      </c>
      <c r="AO358" s="8">
        <f t="shared" si="120"/>
        <v>2.0084053320166575</v>
      </c>
      <c r="AP358" s="8">
        <f t="shared" si="121"/>
        <v>1.2224137117990612</v>
      </c>
      <c r="AQ358" s="8"/>
      <c r="AR358" s="8">
        <f t="shared" si="122"/>
        <v>115.0731490761253</v>
      </c>
      <c r="AS358" s="8">
        <f t="shared" si="123"/>
        <v>19.960853494992435</v>
      </c>
    </row>
    <row r="359" spans="1:45">
      <c r="A359" s="19">
        <v>105.5387667</v>
      </c>
      <c r="B359" s="19">
        <v>372.34625560000001</v>
      </c>
      <c r="C359" s="19">
        <v>-788.13893129999997</v>
      </c>
      <c r="E359" s="9">
        <f t="shared" si="113"/>
        <v>-587.65374440000005</v>
      </c>
      <c r="F359" s="9">
        <f t="shared" si="114"/>
        <v>-248.13893129999997</v>
      </c>
      <c r="I359">
        <v>1</v>
      </c>
      <c r="J359">
        <f t="shared" si="109"/>
        <v>0.40173149416061837</v>
      </c>
      <c r="K359">
        <f t="shared" si="115"/>
        <v>-2.7420504975233349</v>
      </c>
      <c r="O359">
        <f t="shared" si="116"/>
        <v>-0.36021610291065898</v>
      </c>
      <c r="P359">
        <f t="shared" si="117"/>
        <v>-0.15210255982383517</v>
      </c>
      <c r="Q359">
        <f t="shared" si="118"/>
        <v>0.9203853380508048</v>
      </c>
      <c r="R359">
        <f t="shared" si="108"/>
        <v>1</v>
      </c>
      <c r="AG359" s="8">
        <f t="shared" si="110"/>
        <v>-0.39805559797844825</v>
      </c>
      <c r="AH359" s="8">
        <f t="shared" si="111"/>
        <v>0.85151896269837435</v>
      </c>
      <c r="AI359" s="8">
        <f t="shared" si="112"/>
        <v>0.34127290704523361</v>
      </c>
      <c r="AJ359" s="8"/>
      <c r="AK359" s="8"/>
      <c r="AL359" s="8"/>
      <c r="AN359" s="8">
        <f t="shared" si="119"/>
        <v>1.0000000000000002</v>
      </c>
      <c r="AO359" s="8">
        <f t="shared" si="120"/>
        <v>2.0080791274266061</v>
      </c>
      <c r="AP359" s="8">
        <f t="shared" si="121"/>
        <v>1.2225255536787241</v>
      </c>
      <c r="AQ359" s="8"/>
      <c r="AR359" s="8">
        <f t="shared" si="122"/>
        <v>115.05445892985756</v>
      </c>
      <c r="AS359" s="8">
        <f t="shared" si="123"/>
        <v>19.954445427314937</v>
      </c>
    </row>
    <row r="360" spans="1:45">
      <c r="A360" s="19">
        <v>105.5721333</v>
      </c>
      <c r="B360" s="19">
        <v>371.97913210000002</v>
      </c>
      <c r="C360" s="19">
        <v>-788.25005569999996</v>
      </c>
      <c r="E360" s="9">
        <f t="shared" si="113"/>
        <v>-588.02086789999998</v>
      </c>
      <c r="F360" s="9">
        <f t="shared" si="114"/>
        <v>-248.25005569999996</v>
      </c>
      <c r="I360">
        <v>1</v>
      </c>
      <c r="J360">
        <f t="shared" si="109"/>
        <v>0.40194946824515754</v>
      </c>
      <c r="K360">
        <f t="shared" si="115"/>
        <v>-2.7421138519686963</v>
      </c>
      <c r="O360">
        <f t="shared" si="116"/>
        <v>-0.3604105540916947</v>
      </c>
      <c r="P360">
        <f t="shared" si="117"/>
        <v>-0.15215776346112078</v>
      </c>
      <c r="Q360">
        <f t="shared" si="118"/>
        <v>0.92030008557960441</v>
      </c>
      <c r="R360">
        <f t="shared" si="108"/>
        <v>1</v>
      </c>
      <c r="AG360" s="8">
        <f t="shared" si="110"/>
        <v>-0.39790916873472948</v>
      </c>
      <c r="AH360" s="8">
        <f t="shared" si="111"/>
        <v>0.85163390555278251</v>
      </c>
      <c r="AI360" s="8">
        <f t="shared" si="112"/>
        <v>0.34115683248287837</v>
      </c>
      <c r="AJ360" s="8"/>
      <c r="AK360" s="8"/>
      <c r="AL360" s="8"/>
      <c r="AN360" s="8">
        <f t="shared" si="119"/>
        <v>0.99999999999999978</v>
      </c>
      <c r="AO360" s="8">
        <f t="shared" si="120"/>
        <v>2.0078862276440841</v>
      </c>
      <c r="AP360" s="8">
        <f t="shared" si="121"/>
        <v>1.2226490391835256</v>
      </c>
      <c r="AQ360" s="8"/>
      <c r="AR360" s="8">
        <f t="shared" si="122"/>
        <v>115.04340658645006</v>
      </c>
      <c r="AS360" s="8">
        <f t="shared" si="123"/>
        <v>19.947370229058762</v>
      </c>
    </row>
    <row r="361" spans="1:45">
      <c r="A361" s="19">
        <v>105.60550000000001</v>
      </c>
      <c r="B361" s="19">
        <v>371.61703030000001</v>
      </c>
      <c r="C361" s="19">
        <v>-788.28727409999999</v>
      </c>
      <c r="E361" s="9">
        <f t="shared" si="113"/>
        <v>-588.38296969999999</v>
      </c>
      <c r="F361" s="9">
        <f t="shared" si="114"/>
        <v>-248.28727409999999</v>
      </c>
      <c r="I361">
        <v>1</v>
      </c>
      <c r="J361">
        <f t="shared" si="109"/>
        <v>0.40214834423958579</v>
      </c>
      <c r="K361">
        <f t="shared" si="115"/>
        <v>-2.7422806906829518</v>
      </c>
      <c r="O361">
        <f t="shared" si="116"/>
        <v>-0.3606045544872204</v>
      </c>
      <c r="P361">
        <f t="shared" si="117"/>
        <v>-0.1521687854210457</v>
      </c>
      <c r="Q361">
        <f t="shared" si="118"/>
        <v>0.92022226447014255</v>
      </c>
      <c r="R361">
        <f t="shared" si="108"/>
        <v>1</v>
      </c>
      <c r="AG361" s="8">
        <f t="shared" si="110"/>
        <v>-0.39774563614856634</v>
      </c>
      <c r="AH361" s="8">
        <f t="shared" si="111"/>
        <v>0.8517405342712514</v>
      </c>
      <c r="AI361" s="8">
        <f t="shared" si="112"/>
        <v>0.34108132637846883</v>
      </c>
      <c r="AJ361" s="8"/>
      <c r="AK361" s="8"/>
      <c r="AL361" s="8"/>
      <c r="AN361" s="8">
        <f t="shared" si="119"/>
        <v>1</v>
      </c>
      <c r="AO361" s="8">
        <f t="shared" si="120"/>
        <v>2.007680602164009</v>
      </c>
      <c r="AP361" s="8">
        <f t="shared" si="121"/>
        <v>1.2227293631096505</v>
      </c>
      <c r="AQ361" s="8"/>
      <c r="AR361" s="8">
        <f t="shared" si="122"/>
        <v>115.03162511428141</v>
      </c>
      <c r="AS361" s="8">
        <f t="shared" si="123"/>
        <v>19.942768007097882</v>
      </c>
    </row>
    <row r="362" spans="1:45">
      <c r="A362" s="19">
        <v>105.63886669999999</v>
      </c>
      <c r="B362" s="19">
        <v>371.61286539999998</v>
      </c>
      <c r="C362" s="19">
        <v>-788.31324619999998</v>
      </c>
      <c r="E362" s="9">
        <f t="shared" si="113"/>
        <v>-588.38713460000008</v>
      </c>
      <c r="F362" s="9">
        <f t="shared" si="114"/>
        <v>-248.31324619999998</v>
      </c>
      <c r="I362">
        <v>1</v>
      </c>
      <c r="J362">
        <f t="shared" si="109"/>
        <v>0.4021563055496476</v>
      </c>
      <c r="K362">
        <f t="shared" si="115"/>
        <v>-2.7422457576191994</v>
      </c>
      <c r="O362">
        <f t="shared" si="116"/>
        <v>-0.36060598824953577</v>
      </c>
      <c r="P362">
        <f t="shared" si="117"/>
        <v>-0.15218423088444136</v>
      </c>
      <c r="Q362">
        <f t="shared" si="118"/>
        <v>0.92021914841448871</v>
      </c>
      <c r="R362">
        <f t="shared" si="108"/>
        <v>1</v>
      </c>
      <c r="AG362" s="8">
        <f t="shared" si="110"/>
        <v>-0.39775050001796253</v>
      </c>
      <c r="AH362" s="8">
        <f t="shared" si="111"/>
        <v>0.8517441184949871</v>
      </c>
      <c r="AI362" s="8">
        <f t="shared" si="112"/>
        <v>0.34106670365876857</v>
      </c>
      <c r="AJ362" s="8"/>
      <c r="AK362" s="8"/>
      <c r="AL362" s="8"/>
      <c r="AN362" s="8">
        <f t="shared" si="119"/>
        <v>1</v>
      </c>
      <c r="AO362" s="8">
        <f t="shared" si="120"/>
        <v>2.0076836770108755</v>
      </c>
      <c r="AP362" s="8">
        <f t="shared" si="121"/>
        <v>1.222744918591347</v>
      </c>
      <c r="AQ362" s="8"/>
      <c r="AR362" s="8">
        <f t="shared" si="122"/>
        <v>115.03180129002951</v>
      </c>
      <c r="AS362" s="8">
        <f t="shared" si="123"/>
        <v>19.941876743648379</v>
      </c>
    </row>
    <row r="363" spans="1:45">
      <c r="A363" s="19">
        <v>105.6722333</v>
      </c>
      <c r="B363" s="19">
        <v>371.85282549999999</v>
      </c>
      <c r="C363" s="19">
        <v>-788.30163749999997</v>
      </c>
      <c r="E363" s="9">
        <f t="shared" si="113"/>
        <v>-588.14717450000001</v>
      </c>
      <c r="F363" s="9">
        <f t="shared" si="114"/>
        <v>-248.30163749999997</v>
      </c>
      <c r="I363">
        <v>1</v>
      </c>
      <c r="J363">
        <f t="shared" si="109"/>
        <v>0.40202741896785155</v>
      </c>
      <c r="K363">
        <f t="shared" si="115"/>
        <v>-2.7421163660463468</v>
      </c>
      <c r="O363">
        <f t="shared" si="116"/>
        <v>-0.36047702527923842</v>
      </c>
      <c r="P363">
        <f t="shared" si="117"/>
        <v>-0.15218475840516649</v>
      </c>
      <c r="Q363">
        <f t="shared" si="118"/>
        <v>0.92026958743348264</v>
      </c>
      <c r="R363">
        <f t="shared" si="108"/>
        <v>1</v>
      </c>
      <c r="AG363" s="8">
        <f t="shared" si="110"/>
        <v>-0.39786231724915888</v>
      </c>
      <c r="AH363" s="8">
        <f t="shared" si="111"/>
        <v>0.85167466929932578</v>
      </c>
      <c r="AI363" s="8">
        <f t="shared" si="112"/>
        <v>0.34110970989846323</v>
      </c>
      <c r="AJ363" s="8"/>
      <c r="AK363" s="8"/>
      <c r="AL363" s="8"/>
      <c r="AN363" s="8">
        <f t="shared" si="119"/>
        <v>1</v>
      </c>
      <c r="AO363" s="8">
        <f t="shared" si="120"/>
        <v>2.0078227161025493</v>
      </c>
      <c r="AP363" s="8">
        <f t="shared" si="121"/>
        <v>1.2226991687956348</v>
      </c>
      <c r="AQ363" s="8"/>
      <c r="AR363" s="8">
        <f t="shared" si="122"/>
        <v>115.03976764316975</v>
      </c>
      <c r="AS363" s="8">
        <f t="shared" si="123"/>
        <v>19.94449801385629</v>
      </c>
    </row>
    <row r="364" spans="1:45">
      <c r="A364" s="19">
        <v>105.73896670000001</v>
      </c>
      <c r="B364" s="19">
        <v>369.4166558</v>
      </c>
      <c r="C364" s="19">
        <v>-788.56697410000004</v>
      </c>
      <c r="E364" s="9">
        <f t="shared" si="113"/>
        <v>-590.58334420000006</v>
      </c>
      <c r="F364" s="9">
        <f t="shared" si="114"/>
        <v>-248.56697410000004</v>
      </c>
      <c r="I364">
        <v>1</v>
      </c>
      <c r="J364">
        <f t="shared" si="109"/>
        <v>0.40336822488990209</v>
      </c>
      <c r="K364">
        <f t="shared" si="115"/>
        <v>-2.7432136068843365</v>
      </c>
      <c r="O364">
        <f t="shared" si="116"/>
        <v>-0.36178074429051332</v>
      </c>
      <c r="P364">
        <f t="shared" si="117"/>
        <v>-0.15226766176034451</v>
      </c>
      <c r="Q364">
        <f t="shared" si="118"/>
        <v>0.91974412324441601</v>
      </c>
      <c r="R364">
        <f t="shared" si="108"/>
        <v>1</v>
      </c>
      <c r="AG364" s="8">
        <f t="shared" si="110"/>
        <v>-0.39676622276815943</v>
      </c>
      <c r="AH364" s="8">
        <f t="shared" si="111"/>
        <v>0.85239224473968433</v>
      </c>
      <c r="AI364" s="8">
        <f t="shared" si="112"/>
        <v>0.34059363701914536</v>
      </c>
      <c r="AJ364" s="8"/>
      <c r="AK364" s="8"/>
      <c r="AL364" s="8"/>
      <c r="AN364" s="8">
        <f t="shared" si="119"/>
        <v>1</v>
      </c>
      <c r="AO364" s="8">
        <f t="shared" si="120"/>
        <v>2.0064434619036646</v>
      </c>
      <c r="AP364" s="8">
        <f t="shared" si="121"/>
        <v>1.2232481141298441</v>
      </c>
      <c r="AQ364" s="8"/>
      <c r="AR364" s="8">
        <f t="shared" si="122"/>
        <v>114.96074219869796</v>
      </c>
      <c r="AS364" s="8">
        <f t="shared" si="123"/>
        <v>19.913045763022694</v>
      </c>
    </row>
    <row r="365" spans="1:45">
      <c r="A365" s="19">
        <v>105.7723333</v>
      </c>
      <c r="B365" s="19">
        <v>369.4166558</v>
      </c>
      <c r="C365" s="19">
        <v>-789.12823179999998</v>
      </c>
      <c r="E365" s="9">
        <f t="shared" si="113"/>
        <v>-590.58334420000006</v>
      </c>
      <c r="F365" s="9">
        <f t="shared" si="114"/>
        <v>-249.12823179999998</v>
      </c>
      <c r="I365">
        <v>1</v>
      </c>
      <c r="J365">
        <f t="shared" si="109"/>
        <v>0.40349260321579777</v>
      </c>
      <c r="K365">
        <f t="shared" si="115"/>
        <v>-2.7424065499309287</v>
      </c>
      <c r="O365">
        <f t="shared" si="116"/>
        <v>-0.36176313714148722</v>
      </c>
      <c r="P365">
        <f t="shared" si="117"/>
        <v>-0.15260405084495379</v>
      </c>
      <c r="Q365">
        <f t="shared" si="118"/>
        <v>0.91969529534039707</v>
      </c>
      <c r="R365">
        <f t="shared" si="108"/>
        <v>1</v>
      </c>
      <c r="AG365" s="8">
        <f t="shared" si="110"/>
        <v>-0.39691435870313557</v>
      </c>
      <c r="AH365" s="8">
        <f t="shared" si="111"/>
        <v>0.85244391686832666</v>
      </c>
      <c r="AI365" s="8">
        <f t="shared" si="112"/>
        <v>0.34029158151424221</v>
      </c>
      <c r="AJ365" s="8"/>
      <c r="AK365" s="8"/>
      <c r="AL365" s="8"/>
      <c r="AN365" s="8">
        <f t="shared" si="119"/>
        <v>1.0000000000000002</v>
      </c>
      <c r="AO365" s="8">
        <f t="shared" si="120"/>
        <v>2.0065630957805221</v>
      </c>
      <c r="AP365" s="8">
        <f t="shared" si="121"/>
        <v>1.223569359109848</v>
      </c>
      <c r="AQ365" s="8"/>
      <c r="AR365" s="8">
        <f t="shared" si="122"/>
        <v>114.96759671492867</v>
      </c>
      <c r="AS365" s="8">
        <f t="shared" si="123"/>
        <v>19.894639781478702</v>
      </c>
    </row>
    <row r="366" spans="1:45">
      <c r="A366" s="19">
        <v>105.8057</v>
      </c>
      <c r="B366" s="19">
        <v>369.4166558</v>
      </c>
      <c r="C366" s="19">
        <v>-788.28634529999999</v>
      </c>
      <c r="E366" s="9">
        <f t="shared" si="113"/>
        <v>-590.58334420000006</v>
      </c>
      <c r="F366" s="9">
        <f t="shared" si="114"/>
        <v>-248.28634529999999</v>
      </c>
      <c r="I366">
        <v>1</v>
      </c>
      <c r="J366">
        <f t="shared" si="109"/>
        <v>0.40330612036779867</v>
      </c>
      <c r="K366">
        <f t="shared" si="115"/>
        <v>-2.7436173410638132</v>
      </c>
      <c r="O366">
        <f t="shared" si="116"/>
        <v>-0.36178953358459748</v>
      </c>
      <c r="P366">
        <f t="shared" si="117"/>
        <v>-0.15209944869540973</v>
      </c>
      <c r="Q366">
        <f t="shared" si="118"/>
        <v>0.9197684986425616</v>
      </c>
      <c r="R366">
        <f t="shared" si="108"/>
        <v>1</v>
      </c>
      <c r="AG366" s="8">
        <f t="shared" si="110"/>
        <v>-0.39669213161209727</v>
      </c>
      <c r="AH366" s="8">
        <f t="shared" si="111"/>
        <v>0.85236637025005868</v>
      </c>
      <c r="AI366" s="8">
        <f t="shared" si="112"/>
        <v>0.34074466038925733</v>
      </c>
      <c r="AJ366" s="8"/>
      <c r="AK366" s="8"/>
      <c r="AL366" s="8"/>
      <c r="AN366" s="8">
        <f t="shared" si="119"/>
        <v>0.99999999999999989</v>
      </c>
      <c r="AO366" s="8">
        <f t="shared" si="120"/>
        <v>2.0063836294120128</v>
      </c>
      <c r="AP366" s="8">
        <f t="shared" si="121"/>
        <v>1.2230874822834432</v>
      </c>
      <c r="AQ366" s="8"/>
      <c r="AR366" s="8">
        <f t="shared" si="122"/>
        <v>114.95731404944856</v>
      </c>
      <c r="AS366" s="8">
        <f t="shared" si="123"/>
        <v>19.922249289876859</v>
      </c>
    </row>
    <row r="367" spans="1:45">
      <c r="A367" s="19">
        <v>105.8390667</v>
      </c>
      <c r="B367" s="19">
        <v>369.13602700000001</v>
      </c>
      <c r="C367" s="19">
        <v>-788.70728859999997</v>
      </c>
      <c r="E367" s="9">
        <f t="shared" si="113"/>
        <v>-590.86397299999999</v>
      </c>
      <c r="F367" s="9">
        <f t="shared" si="114"/>
        <v>-248.70728859999997</v>
      </c>
      <c r="I367">
        <v>1</v>
      </c>
      <c r="J367">
        <f t="shared" si="109"/>
        <v>0.40354690286722433</v>
      </c>
      <c r="K367">
        <f t="shared" si="115"/>
        <v>-2.7431816858567335</v>
      </c>
      <c r="O367">
        <f t="shared" si="116"/>
        <v>-0.36192734463078641</v>
      </c>
      <c r="P367">
        <f t="shared" si="117"/>
        <v>-0.15234296329879751</v>
      </c>
      <c r="Q367">
        <f t="shared" si="118"/>
        <v>0.91967397415706464</v>
      </c>
      <c r="R367">
        <f t="shared" si="108"/>
        <v>1</v>
      </c>
      <c r="AG367" s="8">
        <f t="shared" si="110"/>
        <v>-0.39666895721955814</v>
      </c>
      <c r="AH367" s="8">
        <f t="shared" si="111"/>
        <v>0.85248485551530107</v>
      </c>
      <c r="AI367" s="8">
        <f t="shared" si="112"/>
        <v>0.34047512316673667</v>
      </c>
      <c r="AJ367" s="8"/>
      <c r="AK367" s="8"/>
      <c r="AL367" s="8"/>
      <c r="AN367" s="8">
        <f t="shared" si="119"/>
        <v>0.99999999999999989</v>
      </c>
      <c r="AO367" s="8">
        <f t="shared" si="120"/>
        <v>2.0063081131368397</v>
      </c>
      <c r="AP367" s="8">
        <f t="shared" si="121"/>
        <v>1.2233741615780593</v>
      </c>
      <c r="AQ367" s="8"/>
      <c r="AR367" s="8">
        <f t="shared" si="122"/>
        <v>114.95298728559659</v>
      </c>
      <c r="AS367" s="8">
        <f t="shared" si="123"/>
        <v>19.905823776221567</v>
      </c>
    </row>
    <row r="368" spans="1:45">
      <c r="A368" s="19">
        <v>105.8724333</v>
      </c>
      <c r="B368" s="19">
        <v>368.81291809999999</v>
      </c>
      <c r="C368" s="19">
        <v>-788.60774179999999</v>
      </c>
      <c r="E368" s="9">
        <f t="shared" si="113"/>
        <v>-591.18708190000007</v>
      </c>
      <c r="F368" s="9">
        <f t="shared" si="114"/>
        <v>-248.60774179999999</v>
      </c>
      <c r="I368">
        <v>1</v>
      </c>
      <c r="J368">
        <f t="shared" si="109"/>
        <v>0.40369482016214459</v>
      </c>
      <c r="K368">
        <f t="shared" si="115"/>
        <v>-2.7435202021129284</v>
      </c>
      <c r="O368">
        <f t="shared" si="116"/>
        <v>-0.36210428954500512</v>
      </c>
      <c r="P368">
        <f t="shared" si="117"/>
        <v>-0.1522731677941237</v>
      </c>
      <c r="Q368">
        <f t="shared" si="118"/>
        <v>0.91961587951875312</v>
      </c>
      <c r="R368">
        <f t="shared" si="108"/>
        <v>1</v>
      </c>
      <c r="AG368" s="8">
        <f t="shared" si="110"/>
        <v>-0.39648805062619208</v>
      </c>
      <c r="AH368" s="8">
        <f t="shared" si="111"/>
        <v>0.85256739218975375</v>
      </c>
      <c r="AI368" s="8">
        <f t="shared" si="112"/>
        <v>0.34047917335044853</v>
      </c>
      <c r="AJ368" s="8"/>
      <c r="AK368" s="8"/>
      <c r="AL368" s="8"/>
      <c r="AN368" s="8">
        <f t="shared" si="119"/>
        <v>1</v>
      </c>
      <c r="AO368" s="8">
        <f t="shared" si="120"/>
        <v>2.0060966380886684</v>
      </c>
      <c r="AP368" s="8">
        <f t="shared" si="121"/>
        <v>1.2233698540303983</v>
      </c>
      <c r="AQ368" s="8"/>
      <c r="AR368" s="8">
        <f t="shared" si="122"/>
        <v>114.94087065786405</v>
      </c>
      <c r="AS368" s="8">
        <f t="shared" si="123"/>
        <v>19.906070580522595</v>
      </c>
    </row>
    <row r="369" spans="1:45">
      <c r="A369" s="19">
        <v>105.9058</v>
      </c>
      <c r="B369" s="19">
        <v>368.32332250000002</v>
      </c>
      <c r="C369" s="19">
        <v>-788.59036839999999</v>
      </c>
      <c r="E369" s="9">
        <f t="shared" si="113"/>
        <v>-591.67667749999998</v>
      </c>
      <c r="F369" s="9">
        <f t="shared" si="114"/>
        <v>-248.59036839999999</v>
      </c>
      <c r="I369">
        <v>1</v>
      </c>
      <c r="J369">
        <f t="shared" si="109"/>
        <v>0.4039484854881974</v>
      </c>
      <c r="K369">
        <f t="shared" si="115"/>
        <v>-2.7438408784850781</v>
      </c>
      <c r="O369">
        <f t="shared" si="116"/>
        <v>-0.36236815355989604</v>
      </c>
      <c r="P369">
        <f t="shared" si="117"/>
        <v>-0.1522473949294417</v>
      </c>
      <c r="Q369">
        <f t="shared" si="118"/>
        <v>0.91951620541608192</v>
      </c>
      <c r="R369">
        <f t="shared" si="108"/>
        <v>1</v>
      </c>
      <c r="AG369" s="8">
        <f t="shared" si="110"/>
        <v>-0.39624917442255619</v>
      </c>
      <c r="AH369" s="8">
        <f t="shared" si="111"/>
        <v>0.85270467126416138</v>
      </c>
      <c r="AI369" s="8">
        <f t="shared" si="112"/>
        <v>0.34041347707416214</v>
      </c>
      <c r="AJ369" s="8"/>
      <c r="AK369" s="8"/>
      <c r="AL369" s="8"/>
      <c r="AN369" s="8">
        <f t="shared" si="119"/>
        <v>1</v>
      </c>
      <c r="AO369" s="8">
        <f t="shared" si="120"/>
        <v>2.0058047156151106</v>
      </c>
      <c r="AP369" s="8">
        <f t="shared" si="121"/>
        <v>1.2234397240665271</v>
      </c>
      <c r="AQ369" s="8"/>
      <c r="AR369" s="8">
        <f t="shared" si="122"/>
        <v>114.92414473218417</v>
      </c>
      <c r="AS369" s="8">
        <f t="shared" si="123"/>
        <v>19.902067322337984</v>
      </c>
    </row>
    <row r="370" spans="1:45">
      <c r="A370" s="19">
        <v>105.9391667</v>
      </c>
      <c r="B370" s="19">
        <v>367.4721538</v>
      </c>
      <c r="C370" s="19">
        <v>-788.5292895</v>
      </c>
      <c r="E370" s="9">
        <f t="shared" si="113"/>
        <v>-592.5278462</v>
      </c>
      <c r="F370" s="9">
        <f t="shared" si="114"/>
        <v>-248.5292895</v>
      </c>
      <c r="I370">
        <v>1</v>
      </c>
      <c r="J370">
        <f t="shared" si="109"/>
        <v>0.40438263945643138</v>
      </c>
      <c r="K370">
        <f t="shared" si="115"/>
        <v>-2.74444163299404</v>
      </c>
      <c r="O370">
        <f t="shared" si="116"/>
        <v>-0.36282765695367736</v>
      </c>
      <c r="P370">
        <f t="shared" si="117"/>
        <v>-0.15218407096298794</v>
      </c>
      <c r="Q370">
        <f t="shared" si="118"/>
        <v>0.91934547363580188</v>
      </c>
      <c r="R370">
        <f t="shared" si="108"/>
        <v>1</v>
      </c>
      <c r="AG370" s="8">
        <f t="shared" si="110"/>
        <v>-0.39582577405693686</v>
      </c>
      <c r="AH370" s="8">
        <f t="shared" si="111"/>
        <v>0.8529402592569022</v>
      </c>
      <c r="AI370" s="8">
        <f t="shared" si="112"/>
        <v>0.34031583967102574</v>
      </c>
      <c r="AJ370" s="8"/>
      <c r="AK370" s="8"/>
      <c r="AL370" s="8"/>
      <c r="AN370" s="8">
        <f t="shared" si="119"/>
        <v>1.0000000000000002</v>
      </c>
      <c r="AO370" s="8">
        <f t="shared" si="120"/>
        <v>2.0052907914363605</v>
      </c>
      <c r="AP370" s="8">
        <f t="shared" si="121"/>
        <v>1.2235435612209529</v>
      </c>
      <c r="AQ370" s="8"/>
      <c r="AR370" s="8">
        <f t="shared" si="122"/>
        <v>114.89469904575206</v>
      </c>
      <c r="AS370" s="8">
        <f t="shared" si="123"/>
        <v>19.896117891632741</v>
      </c>
    </row>
    <row r="371" spans="1:45">
      <c r="A371" s="19">
        <v>105.97253329999999</v>
      </c>
      <c r="B371" s="19">
        <v>366.59129109999998</v>
      </c>
      <c r="C371" s="19">
        <v>-788.55947419999995</v>
      </c>
      <c r="E371" s="9">
        <f t="shared" si="113"/>
        <v>-593.40870889999997</v>
      </c>
      <c r="F371" s="9">
        <f t="shared" si="114"/>
        <v>-248.55947419999995</v>
      </c>
      <c r="I371">
        <v>1</v>
      </c>
      <c r="J371">
        <f t="shared" si="109"/>
        <v>0.40485248108291688</v>
      </c>
      <c r="K371">
        <f t="shared" si="115"/>
        <v>-2.7449279463574827</v>
      </c>
      <c r="O371">
        <f t="shared" si="116"/>
        <v>-0.36329999125630608</v>
      </c>
      <c r="P371">
        <f t="shared" si="117"/>
        <v>-0.15217446837092102</v>
      </c>
      <c r="Q371">
        <f t="shared" si="118"/>
        <v>0.91916051238572882</v>
      </c>
      <c r="R371">
        <f t="shared" si="108"/>
        <v>1</v>
      </c>
      <c r="AG371" s="8">
        <f t="shared" si="110"/>
        <v>-0.39541231211120054</v>
      </c>
      <c r="AH371" s="8">
        <f t="shared" si="111"/>
        <v>0.85319235935245041</v>
      </c>
      <c r="AI371" s="8">
        <f t="shared" si="112"/>
        <v>0.34016452103867878</v>
      </c>
      <c r="AJ371" s="8"/>
      <c r="AK371" s="8"/>
      <c r="AL371" s="8"/>
      <c r="AN371" s="8">
        <f t="shared" si="119"/>
        <v>1</v>
      </c>
      <c r="AO371" s="8">
        <f t="shared" si="120"/>
        <v>2.0047791115669424</v>
      </c>
      <c r="AP371" s="8">
        <f t="shared" si="121"/>
        <v>1.2237044805301922</v>
      </c>
      <c r="AQ371" s="8"/>
      <c r="AR371" s="8">
        <f t="shared" si="122"/>
        <v>114.86538194877261</v>
      </c>
      <c r="AS371" s="8">
        <f t="shared" si="123"/>
        <v>19.886897894371174</v>
      </c>
    </row>
    <row r="372" spans="1:45">
      <c r="A372" s="19">
        <v>106.0059</v>
      </c>
      <c r="B372" s="19">
        <v>366.4662204</v>
      </c>
      <c r="C372" s="19">
        <v>-788.56239579999999</v>
      </c>
      <c r="E372" s="9">
        <f t="shared" si="113"/>
        <v>-593.5337796</v>
      </c>
      <c r="F372" s="9">
        <f t="shared" si="114"/>
        <v>-248.56239579999999</v>
      </c>
      <c r="I372">
        <v>1</v>
      </c>
      <c r="J372">
        <f t="shared" si="109"/>
        <v>0.40491888424016903</v>
      </c>
      <c r="K372">
        <f t="shared" si="115"/>
        <v>-2.7449988508678564</v>
      </c>
      <c r="O372">
        <f t="shared" si="116"/>
        <v>-0.36336707713632077</v>
      </c>
      <c r="P372">
        <f t="shared" si="117"/>
        <v>-0.15217228463174615</v>
      </c>
      <c r="Q372">
        <f t="shared" si="118"/>
        <v>0.91913435527313525</v>
      </c>
      <c r="R372">
        <f t="shared" si="108"/>
        <v>1</v>
      </c>
      <c r="AG372" s="8">
        <f t="shared" si="110"/>
        <v>-0.39535325036286206</v>
      </c>
      <c r="AH372" s="8">
        <f t="shared" si="111"/>
        <v>0.85322800296871959</v>
      </c>
      <c r="AI372" s="8">
        <f t="shared" si="112"/>
        <v>0.34014376721840855</v>
      </c>
      <c r="AJ372" s="8"/>
      <c r="AK372" s="8"/>
      <c r="AL372" s="8"/>
      <c r="AN372" s="8">
        <f t="shared" si="119"/>
        <v>1.0000000000000002</v>
      </c>
      <c r="AO372" s="8">
        <f t="shared" si="120"/>
        <v>2.004706189130808</v>
      </c>
      <c r="AP372" s="8">
        <f t="shared" si="121"/>
        <v>1.2237265503825496</v>
      </c>
      <c r="AQ372" s="8"/>
      <c r="AR372" s="8">
        <f t="shared" si="122"/>
        <v>114.86120380095029</v>
      </c>
      <c r="AS372" s="8">
        <f t="shared" si="123"/>
        <v>19.885633384976614</v>
      </c>
    </row>
    <row r="373" spans="1:45">
      <c r="A373" s="19">
        <v>106.0392667</v>
      </c>
      <c r="B373" s="19">
        <v>366.4004837</v>
      </c>
      <c r="C373" s="19">
        <v>-788.56307760000004</v>
      </c>
      <c r="E373" s="9">
        <f t="shared" si="113"/>
        <v>-593.5995163</v>
      </c>
      <c r="F373" s="9">
        <f t="shared" si="114"/>
        <v>-248.56307760000004</v>
      </c>
      <c r="I373">
        <v>1</v>
      </c>
      <c r="J373">
        <f t="shared" si="109"/>
        <v>0.40495359681350135</v>
      </c>
      <c r="K373">
        <f t="shared" si="115"/>
        <v>-2.7450373314659098</v>
      </c>
      <c r="O373">
        <f t="shared" si="116"/>
        <v>-0.36340236188194608</v>
      </c>
      <c r="P373">
        <f t="shared" si="117"/>
        <v>-0.15217062513715779</v>
      </c>
      <c r="Q373">
        <f t="shared" si="118"/>
        <v>0.91912067990225832</v>
      </c>
      <c r="R373">
        <f t="shared" si="108"/>
        <v>1</v>
      </c>
      <c r="AG373" s="8">
        <f t="shared" si="110"/>
        <v>-0.39532198278221237</v>
      </c>
      <c r="AH373" s="8">
        <f t="shared" si="111"/>
        <v>0.85324665597535709</v>
      </c>
      <c r="AI373" s="8">
        <f t="shared" si="112"/>
        <v>0.34013331797401219</v>
      </c>
      <c r="AJ373" s="8"/>
      <c r="AK373" s="8"/>
      <c r="AL373" s="8"/>
      <c r="AN373" s="8">
        <f t="shared" si="119"/>
        <v>0.99999999999999978</v>
      </c>
      <c r="AO373" s="8">
        <f t="shared" si="120"/>
        <v>2.0046676810679944</v>
      </c>
      <c r="AP373" s="8">
        <f t="shared" si="121"/>
        <v>1.223737662163134</v>
      </c>
      <c r="AQ373" s="8"/>
      <c r="AR373" s="8">
        <f t="shared" si="122"/>
        <v>114.85899745147384</v>
      </c>
      <c r="AS373" s="8">
        <f t="shared" si="123"/>
        <v>19.884996726846254</v>
      </c>
    </row>
    <row r="374" spans="1:45">
      <c r="A374" s="19">
        <v>109.4426667</v>
      </c>
      <c r="B374" s="19">
        <v>330.83019359999997</v>
      </c>
      <c r="C374" s="19">
        <v>-789.12823179999998</v>
      </c>
      <c r="E374" s="9">
        <f t="shared" si="113"/>
        <v>-629.16980639999997</v>
      </c>
      <c r="F374" s="9">
        <f t="shared" si="114"/>
        <v>-249.12823179999998</v>
      </c>
      <c r="I374">
        <v>1</v>
      </c>
      <c r="J374">
        <f t="shared" si="109"/>
        <v>0.42370536774626405</v>
      </c>
      <c r="K374">
        <f t="shared" si="115"/>
        <v>-2.7645709182962044</v>
      </c>
      <c r="O374">
        <f t="shared" si="116"/>
        <v>-0.3822645781719019</v>
      </c>
      <c r="P374">
        <f t="shared" si="117"/>
        <v>-0.15136279184254697</v>
      </c>
      <c r="Q374">
        <f t="shared" si="118"/>
        <v>0.91157177310439341</v>
      </c>
      <c r="R374">
        <f t="shared" si="108"/>
        <v>1</v>
      </c>
      <c r="AG374" s="8">
        <f t="shared" si="110"/>
        <v>-0.37850384636225498</v>
      </c>
      <c r="AH374" s="8">
        <f t="shared" si="111"/>
        <v>0.86310189853633967</v>
      </c>
      <c r="AI374" s="8">
        <f t="shared" si="112"/>
        <v>0.33435004266777729</v>
      </c>
      <c r="AJ374" s="8"/>
      <c r="AK374" s="8"/>
      <c r="AL374" s="8"/>
      <c r="AN374" s="8">
        <f t="shared" si="119"/>
        <v>1</v>
      </c>
      <c r="AO374" s="8">
        <f t="shared" si="120"/>
        <v>1.9840785170574537</v>
      </c>
      <c r="AP374" s="8">
        <f t="shared" si="121"/>
        <v>1.2298808283804417</v>
      </c>
      <c r="AQ374" s="8"/>
      <c r="AR374" s="8">
        <f t="shared" si="122"/>
        <v>113.67932524996722</v>
      </c>
      <c r="AS374" s="8">
        <f t="shared" si="123"/>
        <v>19.533019229747168</v>
      </c>
    </row>
    <row r="375" spans="1:45">
      <c r="A375" s="19">
        <v>109.4760333</v>
      </c>
      <c r="B375" s="19">
        <v>331.02134790000002</v>
      </c>
      <c r="C375" s="19">
        <v>-788.9251984</v>
      </c>
      <c r="E375" s="9">
        <f t="shared" si="113"/>
        <v>-628.97865209999998</v>
      </c>
      <c r="F375" s="9">
        <f t="shared" si="114"/>
        <v>-248.9251984</v>
      </c>
      <c r="I375">
        <v>1</v>
      </c>
      <c r="J375">
        <f t="shared" si="109"/>
        <v>0.42356371486045302</v>
      </c>
      <c r="K375">
        <f t="shared" si="115"/>
        <v>-2.7647459500470668</v>
      </c>
      <c r="O375">
        <f t="shared" si="116"/>
        <v>-0.38217099587561093</v>
      </c>
      <c r="P375">
        <f t="shared" si="117"/>
        <v>-0.15124836217165799</v>
      </c>
      <c r="Q375">
        <f t="shared" si="118"/>
        <v>0.9116300032643917</v>
      </c>
      <c r="R375">
        <f t="shared" si="108"/>
        <v>1</v>
      </c>
      <c r="AG375" s="8">
        <f t="shared" si="110"/>
        <v>-0.37854118745355309</v>
      </c>
      <c r="AH375" s="8">
        <f t="shared" si="111"/>
        <v>0.86303213738166284</v>
      </c>
      <c r="AI375" s="8">
        <f t="shared" si="112"/>
        <v>0.33448781629185342</v>
      </c>
      <c r="AJ375" s="8"/>
      <c r="AK375" s="8"/>
      <c r="AL375" s="8"/>
      <c r="AN375" s="8">
        <f t="shared" si="119"/>
        <v>1</v>
      </c>
      <c r="AO375" s="8">
        <f t="shared" si="120"/>
        <v>1.9841445341826083</v>
      </c>
      <c r="AP375" s="8">
        <f t="shared" si="121"/>
        <v>1.2297346377614227</v>
      </c>
      <c r="AQ375" s="8"/>
      <c r="AR375" s="8">
        <f t="shared" si="122"/>
        <v>113.68310775261416</v>
      </c>
      <c r="AS375" s="8">
        <f t="shared" si="123"/>
        <v>19.541395335221367</v>
      </c>
    </row>
    <row r="376" spans="1:45">
      <c r="A376" s="19">
        <v>110.41030000000001</v>
      </c>
      <c r="B376" s="19">
        <v>318.76315449999998</v>
      </c>
      <c r="C376" s="19">
        <v>-789.40886060000003</v>
      </c>
      <c r="E376" s="9">
        <f t="shared" si="113"/>
        <v>-641.23684550000007</v>
      </c>
      <c r="F376" s="9">
        <f t="shared" si="114"/>
        <v>-249.40886060000003</v>
      </c>
      <c r="I376">
        <v>1</v>
      </c>
      <c r="J376">
        <f t="shared" si="109"/>
        <v>0.43004750498030875</v>
      </c>
      <c r="K376">
        <f t="shared" si="115"/>
        <v>-2.7706485678410311</v>
      </c>
      <c r="O376">
        <f t="shared" si="116"/>
        <v>-0.38855780056009021</v>
      </c>
      <c r="P376">
        <f t="shared" si="117"/>
        <v>-0.15112942900118206</v>
      </c>
      <c r="Q376">
        <f t="shared" si="118"/>
        <v>0.90894594520998984</v>
      </c>
      <c r="R376">
        <f t="shared" si="108"/>
        <v>1</v>
      </c>
      <c r="AG376" s="8">
        <f t="shared" si="110"/>
        <v>-0.3728463938055932</v>
      </c>
      <c r="AH376" s="8">
        <f t="shared" si="111"/>
        <v>0.86633795826515958</v>
      </c>
      <c r="AI376" s="8">
        <f t="shared" si="112"/>
        <v>0.33233132367431029</v>
      </c>
      <c r="AJ376" s="8"/>
      <c r="AK376" s="8"/>
      <c r="AL376" s="8"/>
      <c r="AN376" s="8">
        <f t="shared" si="119"/>
        <v>1</v>
      </c>
      <c r="AO376" s="8">
        <f t="shared" si="120"/>
        <v>1.9772071187775386</v>
      </c>
      <c r="AP376" s="8">
        <f t="shared" si="121"/>
        <v>1.2320220096788159</v>
      </c>
      <c r="AQ376" s="8"/>
      <c r="AR376" s="8">
        <f t="shared" si="122"/>
        <v>113.28562312917462</v>
      </c>
      <c r="AS376" s="8">
        <f t="shared" si="123"/>
        <v>19.410338578177985</v>
      </c>
    </row>
    <row r="377" spans="1:45">
      <c r="A377" s="19">
        <v>112.34556670000001</v>
      </c>
      <c r="B377" s="19">
        <v>300.10133819999999</v>
      </c>
      <c r="C377" s="19">
        <v>-790.25074700000005</v>
      </c>
      <c r="E377" s="9">
        <f t="shared" si="113"/>
        <v>-659.89866180000001</v>
      </c>
      <c r="F377" s="9">
        <f t="shared" si="114"/>
        <v>-250.25074700000005</v>
      </c>
      <c r="I377">
        <v>1</v>
      </c>
      <c r="J377">
        <f t="shared" si="109"/>
        <v>0.43989250661399099</v>
      </c>
      <c r="K377">
        <f t="shared" si="115"/>
        <v>-2.7791221317254409</v>
      </c>
      <c r="O377">
        <f t="shared" si="116"/>
        <v>-0.39817254279614045</v>
      </c>
      <c r="P377">
        <f t="shared" si="117"/>
        <v>-0.15099739102035509</v>
      </c>
      <c r="Q377">
        <f t="shared" si="118"/>
        <v>0.90479744366808512</v>
      </c>
      <c r="R377">
        <f t="shared" si="108"/>
        <v>1</v>
      </c>
      <c r="AG377" s="8">
        <f t="shared" si="110"/>
        <v>-0.36423212558238605</v>
      </c>
      <c r="AH377" s="8">
        <f t="shared" si="111"/>
        <v>0.8712651088518113</v>
      </c>
      <c r="AI377" s="8">
        <f t="shared" si="112"/>
        <v>0.32898642645431159</v>
      </c>
      <c r="AJ377" s="8"/>
      <c r="AK377" s="8"/>
      <c r="AL377" s="8"/>
      <c r="AN377" s="8">
        <f t="shared" si="119"/>
        <v>0.99999999999999978</v>
      </c>
      <c r="AO377" s="8">
        <f t="shared" si="120"/>
        <v>1.9667653182189873</v>
      </c>
      <c r="AP377" s="8">
        <f t="shared" si="121"/>
        <v>1.2355662728870449</v>
      </c>
      <c r="AQ377" s="8"/>
      <c r="AR377" s="8">
        <f t="shared" si="122"/>
        <v>112.68735202665229</v>
      </c>
      <c r="AS377" s="8">
        <f t="shared" si="123"/>
        <v>19.20726725486297</v>
      </c>
    </row>
    <row r="378" spans="1:45">
      <c r="A378" s="19">
        <v>117.75096670000001</v>
      </c>
      <c r="B378" s="19">
        <v>244.6771469</v>
      </c>
      <c r="C378" s="19">
        <v>-791.09263350000003</v>
      </c>
      <c r="E378" s="9">
        <f t="shared" si="113"/>
        <v>-715.32285309999997</v>
      </c>
      <c r="F378" s="9">
        <f t="shared" si="114"/>
        <v>-251.09263350000003</v>
      </c>
      <c r="I378">
        <v>1</v>
      </c>
      <c r="J378">
        <f t="shared" si="109"/>
        <v>0.46846368738323557</v>
      </c>
      <c r="K378">
        <f t="shared" si="115"/>
        <v>-2.8040094304149292</v>
      </c>
      <c r="O378">
        <f t="shared" si="116"/>
        <v>-0.42603150016541869</v>
      </c>
      <c r="P378">
        <f t="shared" si="117"/>
        <v>-0.14954558052619096</v>
      </c>
      <c r="Q378">
        <f t="shared" si="118"/>
        <v>0.89226301067111791</v>
      </c>
      <c r="R378">
        <f t="shared" si="108"/>
        <v>1</v>
      </c>
      <c r="AG378" s="8">
        <f t="shared" si="110"/>
        <v>-0.33843641587245749</v>
      </c>
      <c r="AH378" s="8">
        <f t="shared" si="111"/>
        <v>0.88494678318579434</v>
      </c>
      <c r="AI378" s="8">
        <f t="shared" si="112"/>
        <v>0.31989058026225126</v>
      </c>
      <c r="AJ378" s="8"/>
      <c r="AK378" s="8"/>
      <c r="AL378" s="8"/>
      <c r="AN378" s="8">
        <f t="shared" si="119"/>
        <v>1.0000000000000002</v>
      </c>
      <c r="AO378" s="8">
        <f t="shared" si="120"/>
        <v>1.9360711345109813</v>
      </c>
      <c r="AP378" s="8">
        <f t="shared" si="121"/>
        <v>1.2451823298717126</v>
      </c>
      <c r="AQ378" s="8"/>
      <c r="AR378" s="8">
        <f t="shared" si="122"/>
        <v>110.92870484458433</v>
      </c>
      <c r="AS378" s="8">
        <f t="shared" si="123"/>
        <v>18.656307774084212</v>
      </c>
    </row>
    <row r="379" spans="1:45">
      <c r="A379" s="19">
        <v>117.7843333</v>
      </c>
      <c r="B379" s="19">
        <v>244.11588929999999</v>
      </c>
      <c r="C379" s="19">
        <v>-790.81200469999999</v>
      </c>
      <c r="E379" s="9">
        <f t="shared" si="113"/>
        <v>-715.88411070000006</v>
      </c>
      <c r="F379" s="9">
        <f t="shared" si="114"/>
        <v>-250.81200469999999</v>
      </c>
      <c r="I379">
        <v>1</v>
      </c>
      <c r="J379">
        <f t="shared" si="109"/>
        <v>0.4686987812019216</v>
      </c>
      <c r="K379">
        <f t="shared" si="115"/>
        <v>-2.8046035678038495</v>
      </c>
      <c r="O379">
        <f t="shared" si="116"/>
        <v>-0.42631823095931443</v>
      </c>
      <c r="P379">
        <f t="shared" si="117"/>
        <v>-0.14936178712293247</v>
      </c>
      <c r="Q379">
        <f t="shared" si="118"/>
        <v>0.89215683738856388</v>
      </c>
      <c r="R379">
        <f t="shared" si="108"/>
        <v>1</v>
      </c>
      <c r="AG379" s="8">
        <f t="shared" si="110"/>
        <v>-0.33810114031575406</v>
      </c>
      <c r="AH379" s="8">
        <f t="shared" si="111"/>
        <v>0.88505391849401027</v>
      </c>
      <c r="AI379" s="8">
        <f t="shared" si="112"/>
        <v>0.31994871507100076</v>
      </c>
      <c r="AJ379" s="8"/>
      <c r="AK379" s="8"/>
      <c r="AL379" s="8"/>
      <c r="AN379" s="8">
        <f t="shared" si="119"/>
        <v>0.99999999999999989</v>
      </c>
      <c r="AO379" s="8">
        <f t="shared" si="120"/>
        <v>1.9357002115490498</v>
      </c>
      <c r="AP379" s="8">
        <f t="shared" si="121"/>
        <v>1.2451209702904367</v>
      </c>
      <c r="AQ379" s="8"/>
      <c r="AR379" s="8">
        <f t="shared" si="122"/>
        <v>110.90745252434117</v>
      </c>
      <c r="AS379" s="8">
        <f t="shared" si="123"/>
        <v>18.65982341912401</v>
      </c>
    </row>
    <row r="380" spans="1:45">
      <c r="A380" s="19">
        <v>117.8177</v>
      </c>
      <c r="B380" s="19">
        <v>243.41431729999999</v>
      </c>
      <c r="C380" s="19">
        <v>-791.51357670000004</v>
      </c>
      <c r="E380" s="9">
        <f t="shared" si="113"/>
        <v>-716.58568270000001</v>
      </c>
      <c r="F380" s="9">
        <f t="shared" si="114"/>
        <v>-251.51357670000004</v>
      </c>
      <c r="I380">
        <v>1</v>
      </c>
      <c r="J380">
        <f t="shared" si="109"/>
        <v>0.46917992734460706</v>
      </c>
      <c r="K380">
        <f t="shared" si="115"/>
        <v>-2.804037180487768</v>
      </c>
      <c r="O380">
        <f t="shared" si="116"/>
        <v>-0.42663855015203844</v>
      </c>
      <c r="P380">
        <f t="shared" si="117"/>
        <v>-0.14974536932210131</v>
      </c>
      <c r="Q380">
        <f t="shared" si="118"/>
        <v>0.89193938801398054</v>
      </c>
      <c r="R380">
        <f t="shared" si="108"/>
        <v>1</v>
      </c>
      <c r="AG380" s="8">
        <f t="shared" si="110"/>
        <v>-0.33795848459840755</v>
      </c>
      <c r="AH380" s="8">
        <f t="shared" si="111"/>
        <v>0.88527994516116859</v>
      </c>
      <c r="AI380" s="8">
        <f t="shared" si="112"/>
        <v>0.3194737569556948</v>
      </c>
      <c r="AJ380" s="8"/>
      <c r="AK380" s="8"/>
      <c r="AL380" s="8"/>
      <c r="AN380" s="8">
        <f t="shared" si="119"/>
        <v>1</v>
      </c>
      <c r="AO380" s="8">
        <f t="shared" si="120"/>
        <v>1.9354744582174084</v>
      </c>
      <c r="AP380" s="8">
        <f t="shared" si="121"/>
        <v>1.2456222374035282</v>
      </c>
      <c r="AQ380" s="8"/>
      <c r="AR380" s="8">
        <f t="shared" si="122"/>
        <v>110.89451781122709</v>
      </c>
      <c r="AS380" s="8">
        <f t="shared" si="123"/>
        <v>18.631102929135167</v>
      </c>
    </row>
    <row r="381" spans="1:45">
      <c r="A381" s="19">
        <v>117.8510667</v>
      </c>
      <c r="B381" s="19">
        <v>243.33546430000001</v>
      </c>
      <c r="C381" s="19">
        <v>-791.42400759999998</v>
      </c>
      <c r="E381" s="9">
        <f t="shared" si="113"/>
        <v>-716.66453569999999</v>
      </c>
      <c r="F381" s="9">
        <f t="shared" si="114"/>
        <v>-251.42400759999998</v>
      </c>
      <c r="I381">
        <v>1</v>
      </c>
      <c r="J381">
        <f t="shared" si="109"/>
        <v>0.4692039987034799</v>
      </c>
      <c r="K381">
        <f t="shared" si="115"/>
        <v>-2.8041828432269584</v>
      </c>
      <c r="O381">
        <f t="shared" si="116"/>
        <v>-0.42668061742553309</v>
      </c>
      <c r="P381">
        <f t="shared" si="117"/>
        <v>-0.14969032993042802</v>
      </c>
      <c r="Q381">
        <f t="shared" si="118"/>
        <v>0.89192850377072574</v>
      </c>
      <c r="R381">
        <f t="shared" si="108"/>
        <v>1</v>
      </c>
      <c r="AG381" s="8">
        <f t="shared" si="110"/>
        <v>-0.33789822882853904</v>
      </c>
      <c r="AH381" s="8">
        <f t="shared" si="111"/>
        <v>0.88529058279996553</v>
      </c>
      <c r="AI381" s="8">
        <f t="shared" si="112"/>
        <v>0.3195080139217697</v>
      </c>
      <c r="AJ381" s="8"/>
      <c r="AK381" s="8"/>
      <c r="AL381" s="8"/>
      <c r="AN381" s="8">
        <f t="shared" si="119"/>
        <v>1.0000000000000002</v>
      </c>
      <c r="AO381" s="8">
        <f t="shared" si="120"/>
        <v>1.9354110472770873</v>
      </c>
      <c r="AP381" s="8">
        <f t="shared" si="121"/>
        <v>1.245586085703303</v>
      </c>
      <c r="AQ381" s="8"/>
      <c r="AR381" s="8">
        <f t="shared" si="122"/>
        <v>110.89088463197174</v>
      </c>
      <c r="AS381" s="8">
        <f t="shared" si="123"/>
        <v>18.633174268980284</v>
      </c>
    </row>
    <row r="382" spans="1:45">
      <c r="A382" s="19">
        <v>117.8844333</v>
      </c>
      <c r="B382" s="19">
        <v>242.58978680000001</v>
      </c>
      <c r="C382" s="19">
        <v>-791.45009340000001</v>
      </c>
      <c r="E382" s="9">
        <f t="shared" si="113"/>
        <v>-717.41021320000004</v>
      </c>
      <c r="F382" s="9">
        <f t="shared" si="114"/>
        <v>-251.45009340000001</v>
      </c>
      <c r="I382">
        <v>1</v>
      </c>
      <c r="J382">
        <f t="shared" si="109"/>
        <v>0.46958709517195896</v>
      </c>
      <c r="K382">
        <f t="shared" si="115"/>
        <v>-2.8044751834686688</v>
      </c>
      <c r="O382">
        <f t="shared" si="116"/>
        <v>-0.42704678974048393</v>
      </c>
      <c r="P382">
        <f t="shared" si="117"/>
        <v>-0.14967859836765274</v>
      </c>
      <c r="Q382">
        <f t="shared" si="118"/>
        <v>0.89175521112188727</v>
      </c>
      <c r="R382">
        <f t="shared" si="108"/>
        <v>1</v>
      </c>
      <c r="AG382" s="8">
        <f t="shared" si="110"/>
        <v>-0.33755770014577358</v>
      </c>
      <c r="AH382" s="8">
        <f t="shared" si="111"/>
        <v>0.88546750461047907</v>
      </c>
      <c r="AI382" s="8">
        <f t="shared" si="112"/>
        <v>0.3193776719671978</v>
      </c>
      <c r="AJ382" s="8"/>
      <c r="AK382" s="8"/>
      <c r="AL382" s="8"/>
      <c r="AN382" s="8">
        <f t="shared" si="119"/>
        <v>0.99999999999999978</v>
      </c>
      <c r="AO382" s="8">
        <f t="shared" si="120"/>
        <v>1.9350087466013053</v>
      </c>
      <c r="AP382" s="8">
        <f t="shared" si="121"/>
        <v>1.2457236344495213</v>
      </c>
      <c r="AQ382" s="8"/>
      <c r="AR382" s="8">
        <f t="shared" si="122"/>
        <v>110.86783450115418</v>
      </c>
      <c r="AS382" s="8">
        <f t="shared" si="123"/>
        <v>18.625293306344673</v>
      </c>
    </row>
    <row r="383" spans="1:45">
      <c r="A383" s="19">
        <v>117.9178</v>
      </c>
      <c r="B383" s="19">
        <v>242.23079000000001</v>
      </c>
      <c r="C383" s="19">
        <v>-791.37035600000002</v>
      </c>
      <c r="E383" s="9">
        <f t="shared" si="113"/>
        <v>-717.76920999999993</v>
      </c>
      <c r="F383" s="9">
        <f t="shared" si="114"/>
        <v>-251.37035600000002</v>
      </c>
      <c r="I383">
        <v>1</v>
      </c>
      <c r="J383">
        <f t="shared" si="109"/>
        <v>0.46975508903495766</v>
      </c>
      <c r="K383">
        <f t="shared" si="115"/>
        <v>-2.8047302664502651</v>
      </c>
      <c r="O383">
        <f t="shared" si="116"/>
        <v>-0.42722633985410069</v>
      </c>
      <c r="P383">
        <f t="shared" si="117"/>
        <v>-0.14961917514085396</v>
      </c>
      <c r="Q383">
        <f t="shared" si="118"/>
        <v>0.8916791782726784</v>
      </c>
      <c r="R383">
        <f t="shared" si="108"/>
        <v>1</v>
      </c>
      <c r="AG383" s="8">
        <f t="shared" si="110"/>
        <v>-0.33736954963037391</v>
      </c>
      <c r="AH383" s="8">
        <f t="shared" si="111"/>
        <v>0.88554452619838941</v>
      </c>
      <c r="AI383" s="8">
        <f t="shared" si="112"/>
        <v>0.31936292693778456</v>
      </c>
      <c r="AJ383" s="8"/>
      <c r="AK383" s="8"/>
      <c r="AL383" s="8"/>
      <c r="AN383" s="8">
        <f t="shared" si="119"/>
        <v>1</v>
      </c>
      <c r="AO383" s="8">
        <f t="shared" si="120"/>
        <v>1.9347942701661669</v>
      </c>
      <c r="AP383" s="8">
        <f t="shared" si="121"/>
        <v>1.2457391943510179</v>
      </c>
      <c r="AQ383" s="8"/>
      <c r="AR383" s="8">
        <f t="shared" si="122"/>
        <v>110.85554590661573</v>
      </c>
      <c r="AS383" s="8">
        <f t="shared" si="123"/>
        <v>18.624401789659274</v>
      </c>
    </row>
    <row r="384" spans="1:45">
      <c r="A384" s="19">
        <v>117.9511667</v>
      </c>
      <c r="B384" s="19">
        <v>242.26360149999999</v>
      </c>
      <c r="C384" s="19">
        <v>-791.42370200000005</v>
      </c>
      <c r="E384" s="9">
        <f t="shared" si="113"/>
        <v>-717.73639849999995</v>
      </c>
      <c r="F384" s="9">
        <f t="shared" si="114"/>
        <v>-251.42370200000005</v>
      </c>
      <c r="I384">
        <v>1</v>
      </c>
      <c r="J384">
        <f t="shared" si="109"/>
        <v>0.46974792087824263</v>
      </c>
      <c r="K384">
        <f t="shared" si="115"/>
        <v>-2.8046498024037865</v>
      </c>
      <c r="O384">
        <f t="shared" si="116"/>
        <v>-0.42720826720624533</v>
      </c>
      <c r="P384">
        <f t="shared" si="117"/>
        <v>-0.14965143789624796</v>
      </c>
      <c r="Q384">
        <f t="shared" si="118"/>
        <v>0.89168242304433853</v>
      </c>
      <c r="R384">
        <f t="shared" si="108"/>
        <v>1</v>
      </c>
      <c r="AG384" s="8">
        <f t="shared" si="110"/>
        <v>-0.33739883845032159</v>
      </c>
      <c r="AH384" s="8">
        <f t="shared" si="111"/>
        <v>0.88554152085609772</v>
      </c>
      <c r="AI384" s="8">
        <f t="shared" si="112"/>
        <v>0.31934031792469186</v>
      </c>
      <c r="AJ384" s="8"/>
      <c r="AK384" s="8"/>
      <c r="AL384" s="8"/>
      <c r="AN384" s="8">
        <f t="shared" si="119"/>
        <v>1</v>
      </c>
      <c r="AO384" s="8">
        <f t="shared" si="120"/>
        <v>1.9348242813340599</v>
      </c>
      <c r="AP384" s="8">
        <f t="shared" si="121"/>
        <v>1.2457630526743984</v>
      </c>
      <c r="AQ384" s="8"/>
      <c r="AR384" s="8">
        <f t="shared" si="122"/>
        <v>110.85726541987425</v>
      </c>
      <c r="AS384" s="8">
        <f t="shared" si="123"/>
        <v>18.623034808423313</v>
      </c>
    </row>
    <row r="385" spans="1:45">
      <c r="A385" s="19">
        <v>117.9845333</v>
      </c>
      <c r="B385" s="19">
        <v>242.25806840000001</v>
      </c>
      <c r="C385" s="19">
        <v>-791.43265910000002</v>
      </c>
      <c r="E385" s="9">
        <f t="shared" si="113"/>
        <v>-717.74193160000004</v>
      </c>
      <c r="F385" s="9">
        <f t="shared" si="114"/>
        <v>-251.43265910000002</v>
      </c>
      <c r="I385">
        <v>1</v>
      </c>
      <c r="J385">
        <f t="shared" si="109"/>
        <v>0.46975232053868798</v>
      </c>
      <c r="K385">
        <f t="shared" si="115"/>
        <v>-2.8046410921971807</v>
      </c>
      <c r="O385">
        <f t="shared" si="116"/>
        <v>-0.42721066618277387</v>
      </c>
      <c r="P385">
        <f t="shared" si="117"/>
        <v>-0.14965645598379204</v>
      </c>
      <c r="Q385">
        <f t="shared" si="118"/>
        <v>0.89168043147870069</v>
      </c>
      <c r="R385">
        <f t="shared" si="108"/>
        <v>1</v>
      </c>
      <c r="AG385" s="8">
        <f t="shared" si="110"/>
        <v>-0.33739861305172036</v>
      </c>
      <c r="AH385" s="8">
        <f t="shared" si="111"/>
        <v>0.88554359931962412</v>
      </c>
      <c r="AI385" s="8">
        <f t="shared" si="112"/>
        <v>0.3193347923650357</v>
      </c>
      <c r="AJ385" s="8"/>
      <c r="AK385" s="8"/>
      <c r="AL385" s="8"/>
      <c r="AN385" s="8">
        <f t="shared" si="119"/>
        <v>1</v>
      </c>
      <c r="AO385" s="8">
        <f t="shared" si="120"/>
        <v>1.9348232781632366</v>
      </c>
      <c r="AP385" s="8">
        <f t="shared" si="121"/>
        <v>1.2457688835317258</v>
      </c>
      <c r="AQ385" s="8"/>
      <c r="AR385" s="8">
        <f t="shared" si="122"/>
        <v>110.85720794241995</v>
      </c>
      <c r="AS385" s="8">
        <f t="shared" si="123"/>
        <v>18.622700724907503</v>
      </c>
    </row>
    <row r="386" spans="1:45">
      <c r="A386" s="19">
        <v>118.0179</v>
      </c>
      <c r="B386" s="19">
        <v>241.4216988</v>
      </c>
      <c r="C386" s="19">
        <v>-791.59947929999998</v>
      </c>
      <c r="E386" s="9">
        <f t="shared" si="113"/>
        <v>-718.57830119999994</v>
      </c>
      <c r="F386" s="9">
        <f t="shared" si="114"/>
        <v>-251.59947929999998</v>
      </c>
      <c r="I386">
        <v>1</v>
      </c>
      <c r="J386">
        <f t="shared" si="109"/>
        <v>0.47020625702330909</v>
      </c>
      <c r="K386">
        <f t="shared" si="115"/>
        <v>-2.8047974904240522</v>
      </c>
      <c r="O386">
        <f t="shared" si="116"/>
        <v>-0.42761604887316979</v>
      </c>
      <c r="P386">
        <f t="shared" si="117"/>
        <v>-0.149723384434438</v>
      </c>
      <c r="Q386">
        <f t="shared" si="118"/>
        <v>0.89147485825434047</v>
      </c>
      <c r="R386">
        <f t="shared" si="108"/>
        <v>1</v>
      </c>
      <c r="AG386" s="8">
        <f t="shared" si="110"/>
        <v>-0.33705290261711907</v>
      </c>
      <c r="AH386" s="8">
        <f t="shared" si="111"/>
        <v>0.8857537166413687</v>
      </c>
      <c r="AI386" s="8">
        <f t="shared" si="112"/>
        <v>0.31911705421894476</v>
      </c>
      <c r="AJ386" s="8"/>
      <c r="AK386" s="8"/>
      <c r="AL386" s="8"/>
      <c r="AN386" s="8">
        <f t="shared" si="119"/>
        <v>1.0000000000000002</v>
      </c>
      <c r="AO386" s="8">
        <f t="shared" si="120"/>
        <v>1.9344034617156427</v>
      </c>
      <c r="AP386" s="8">
        <f t="shared" si="121"/>
        <v>1.2459986430059968</v>
      </c>
      <c r="AQ386" s="8"/>
      <c r="AR386" s="8">
        <f t="shared" si="122"/>
        <v>110.83315423180265</v>
      </c>
      <c r="AS386" s="8">
        <f t="shared" si="123"/>
        <v>18.609536476728636</v>
      </c>
    </row>
    <row r="387" spans="1:45">
      <c r="A387" s="19">
        <v>118.0512667</v>
      </c>
      <c r="B387" s="19">
        <v>241.5045346</v>
      </c>
      <c r="C387" s="19">
        <v>-791.51631020000002</v>
      </c>
      <c r="E387" s="9">
        <f t="shared" si="113"/>
        <v>-718.49546540000006</v>
      </c>
      <c r="F387" s="9">
        <f t="shared" si="114"/>
        <v>-251.51631020000002</v>
      </c>
      <c r="I387">
        <v>1</v>
      </c>
      <c r="J387">
        <f t="shared" si="109"/>
        <v>0.47014947115301714</v>
      </c>
      <c r="K387">
        <f t="shared" si="115"/>
        <v>-2.8048646464562275</v>
      </c>
      <c r="O387">
        <f t="shared" si="116"/>
        <v>-0.42757832183004701</v>
      </c>
      <c r="P387">
        <f t="shared" si="117"/>
        <v>-0.14967794092942605</v>
      </c>
      <c r="Q387">
        <f t="shared" si="118"/>
        <v>0.89150058480077732</v>
      </c>
      <c r="R387">
        <f t="shared" si="108"/>
        <v>1</v>
      </c>
      <c r="AG387" s="8">
        <f t="shared" si="110"/>
        <v>-0.33706964244499965</v>
      </c>
      <c r="AH387" s="8">
        <f t="shared" si="111"/>
        <v>0.885727088498107</v>
      </c>
      <c r="AI387" s="8">
        <f t="shared" si="112"/>
        <v>0.31917327714372723</v>
      </c>
      <c r="AJ387" s="8"/>
      <c r="AK387" s="8"/>
      <c r="AL387" s="8"/>
      <c r="AN387" s="8">
        <f t="shared" si="119"/>
        <v>0.99999999999999978</v>
      </c>
      <c r="AO387" s="8">
        <f t="shared" si="120"/>
        <v>1.934429963473866</v>
      </c>
      <c r="AP387" s="8">
        <f t="shared" si="121"/>
        <v>1.2459393177150746</v>
      </c>
      <c r="AQ387" s="8"/>
      <c r="AR387" s="8">
        <f t="shared" si="122"/>
        <v>110.83467267069851</v>
      </c>
      <c r="AS387" s="8">
        <f t="shared" si="123"/>
        <v>18.612935565516864</v>
      </c>
    </row>
    <row r="388" spans="1:45">
      <c r="A388" s="19">
        <v>118.08463329999999</v>
      </c>
      <c r="B388" s="19">
        <v>241.27023980000001</v>
      </c>
      <c r="C388" s="19">
        <v>-791.53372009999998</v>
      </c>
      <c r="E388" s="9">
        <f t="shared" si="113"/>
        <v>-718.72976019999999</v>
      </c>
      <c r="F388" s="9">
        <f t="shared" si="114"/>
        <v>-251.53372009999998</v>
      </c>
      <c r="I388">
        <v>1</v>
      </c>
      <c r="J388">
        <f t="shared" si="109"/>
        <v>0.47027140245416554</v>
      </c>
      <c r="K388">
        <f t="shared" si="115"/>
        <v>-2.8049447267033383</v>
      </c>
      <c r="O388">
        <f t="shared" si="116"/>
        <v>-0.42769290361948581</v>
      </c>
      <c r="P388">
        <f t="shared" si="117"/>
        <v>-0.14967960569469699</v>
      </c>
      <c r="Q388">
        <f t="shared" si="118"/>
        <v>0.89144534091138383</v>
      </c>
      <c r="R388">
        <f t="shared" si="108"/>
        <v>1</v>
      </c>
      <c r="AG388" s="8">
        <f t="shared" si="110"/>
        <v>-0.33696511312781058</v>
      </c>
      <c r="AH388" s="8">
        <f t="shared" si="111"/>
        <v>0.8857833432642841</v>
      </c>
      <c r="AI388" s="8">
        <f t="shared" si="112"/>
        <v>0.31912753145147044</v>
      </c>
      <c r="AJ388" s="8"/>
      <c r="AK388" s="8"/>
      <c r="AL388" s="8"/>
      <c r="AN388" s="8">
        <f t="shared" si="119"/>
        <v>0.99999999999999989</v>
      </c>
      <c r="AO388" s="8">
        <f t="shared" si="120"/>
        <v>1.934305766971026</v>
      </c>
      <c r="AP388" s="8">
        <f t="shared" si="121"/>
        <v>1.2459875877323987</v>
      </c>
      <c r="AQ388" s="8"/>
      <c r="AR388" s="8">
        <f t="shared" si="122"/>
        <v>110.8275567352555</v>
      </c>
      <c r="AS388" s="8">
        <f t="shared" si="123"/>
        <v>18.610169897247161</v>
      </c>
    </row>
    <row r="389" spans="1:45">
      <c r="A389" s="19">
        <v>118.11799999999999</v>
      </c>
      <c r="B389" s="19">
        <v>240.69851410000001</v>
      </c>
      <c r="C389" s="19">
        <v>-791.57159809999996</v>
      </c>
      <c r="E389" s="9">
        <f t="shared" si="113"/>
        <v>-719.30148589999999</v>
      </c>
      <c r="F389" s="9">
        <f t="shared" si="114"/>
        <v>-251.57159809999996</v>
      </c>
      <c r="I389">
        <v>1</v>
      </c>
      <c r="J389">
        <f t="shared" si="109"/>
        <v>0.47056807169865722</v>
      </c>
      <c r="K389">
        <f t="shared" si="115"/>
        <v>-2.8051456432199728</v>
      </c>
      <c r="O389">
        <f t="shared" si="116"/>
        <v>-0.42797258611073818</v>
      </c>
      <c r="P389">
        <f t="shared" si="117"/>
        <v>-0.14968097458627583</v>
      </c>
      <c r="Q389">
        <f t="shared" si="118"/>
        <v>0.89131087247076113</v>
      </c>
      <c r="R389">
        <f t="shared" si="108"/>
        <v>1</v>
      </c>
      <c r="AG389" s="8">
        <f t="shared" si="110"/>
        <v>-0.33670886120174714</v>
      </c>
      <c r="AH389" s="8">
        <f t="shared" si="111"/>
        <v>0.8859201248243862</v>
      </c>
      <c r="AI389" s="8">
        <f t="shared" si="112"/>
        <v>0.31901829919201563</v>
      </c>
      <c r="AJ389" s="8"/>
      <c r="AK389" s="8"/>
      <c r="AL389" s="8"/>
      <c r="AN389" s="8">
        <f t="shared" si="119"/>
        <v>0.99999999999999978</v>
      </c>
      <c r="AO389" s="8">
        <f t="shared" si="120"/>
        <v>1.9340017404793011</v>
      </c>
      <c r="AP389" s="8">
        <f t="shared" si="121"/>
        <v>1.2461028444404989</v>
      </c>
      <c r="AQ389" s="8"/>
      <c r="AR389" s="8">
        <f t="shared" si="122"/>
        <v>110.8101373004195</v>
      </c>
      <c r="AS389" s="8">
        <f t="shared" si="123"/>
        <v>18.603566174312448</v>
      </c>
    </row>
    <row r="390" spans="1:45">
      <c r="A390" s="19">
        <v>118.1513667</v>
      </c>
      <c r="B390" s="19">
        <v>240.22340510000001</v>
      </c>
      <c r="C390" s="19">
        <v>-791.54889500000002</v>
      </c>
      <c r="E390" s="9">
        <f t="shared" si="113"/>
        <v>-719.77659489999996</v>
      </c>
      <c r="F390" s="9">
        <f t="shared" si="114"/>
        <v>-251.54889500000002</v>
      </c>
      <c r="I390">
        <v>1</v>
      </c>
      <c r="J390">
        <f t="shared" si="109"/>
        <v>0.47080495184210264</v>
      </c>
      <c r="K390">
        <f t="shared" si="115"/>
        <v>-2.8053794640028569</v>
      </c>
      <c r="O390">
        <f t="shared" si="116"/>
        <v>-0.42820687354660203</v>
      </c>
      <c r="P390">
        <f t="shared" si="117"/>
        <v>-0.14965055356796853</v>
      </c>
      <c r="Q390">
        <f t="shared" si="118"/>
        <v>0.89120344774032656</v>
      </c>
      <c r="R390">
        <f t="shared" si="108"/>
        <v>1</v>
      </c>
      <c r="AG390" s="8">
        <f t="shared" si="110"/>
        <v>-0.33648172305030266</v>
      </c>
      <c r="AH390" s="8">
        <f t="shared" si="111"/>
        <v>0.88602895885056598</v>
      </c>
      <c r="AI390" s="8">
        <f t="shared" si="112"/>
        <v>0.31895569305356741</v>
      </c>
      <c r="AJ390" s="8"/>
      <c r="AK390" s="8"/>
      <c r="AL390" s="8"/>
      <c r="AN390" s="8">
        <f t="shared" si="119"/>
        <v>1</v>
      </c>
      <c r="AO390" s="8">
        <f t="shared" si="120"/>
        <v>1.9337369229345422</v>
      </c>
      <c r="AP390" s="8">
        <f t="shared" si="121"/>
        <v>1.2461689014575168</v>
      </c>
      <c r="AQ390" s="8"/>
      <c r="AR390" s="8">
        <f t="shared" si="122"/>
        <v>110.7949643727638</v>
      </c>
      <c r="AS390" s="8">
        <f t="shared" si="123"/>
        <v>18.599781386030102</v>
      </c>
    </row>
    <row r="391" spans="1:45">
      <c r="A391" s="19">
        <v>118.1847333</v>
      </c>
      <c r="B391" s="19">
        <v>239.98551090000001</v>
      </c>
      <c r="C391" s="19">
        <v>-791.49518490000003</v>
      </c>
      <c r="E391" s="9">
        <f t="shared" si="113"/>
        <v>-720.01448909999999</v>
      </c>
      <c r="F391" s="9">
        <f t="shared" si="114"/>
        <v>-251.49518490000003</v>
      </c>
      <c r="I391">
        <v>1</v>
      </c>
      <c r="J391">
        <f t="shared" si="109"/>
        <v>0.47091605010697096</v>
      </c>
      <c r="K391">
        <f t="shared" si="115"/>
        <v>-2.8055488519783687</v>
      </c>
      <c r="O391">
        <f t="shared" si="116"/>
        <v>-0.42832568689325179</v>
      </c>
      <c r="P391">
        <f t="shared" si="117"/>
        <v>-0.14961066680378546</v>
      </c>
      <c r="Q391">
        <f t="shared" si="118"/>
        <v>0.89115304764442715</v>
      </c>
      <c r="R391">
        <f t="shared" si="108"/>
        <v>1</v>
      </c>
      <c r="AG391" s="8">
        <f t="shared" si="110"/>
        <v>-0.33635688749573889</v>
      </c>
      <c r="AH391" s="8">
        <f t="shared" si="111"/>
        <v>0.88607971888061365</v>
      </c>
      <c r="AI391" s="8">
        <f t="shared" si="112"/>
        <v>0.31894635289125262</v>
      </c>
      <c r="AJ391" s="8"/>
      <c r="AK391" s="8"/>
      <c r="AL391" s="8"/>
      <c r="AN391" s="8">
        <f t="shared" si="119"/>
        <v>0.99999999999999989</v>
      </c>
      <c r="AO391" s="8">
        <f t="shared" si="120"/>
        <v>1.9335947744664586</v>
      </c>
      <c r="AP391" s="8">
        <f t="shared" si="121"/>
        <v>1.2461787563278994</v>
      </c>
      <c r="AQ391" s="8"/>
      <c r="AR391" s="8">
        <f t="shared" si="122"/>
        <v>110.78681986547835</v>
      </c>
      <c r="AS391" s="8">
        <f t="shared" si="123"/>
        <v>18.599216743549533</v>
      </c>
    </row>
    <row r="392" spans="1:45">
      <c r="A392" s="19">
        <v>118.21810000000001</v>
      </c>
      <c r="B392" s="19">
        <v>239.72226069999999</v>
      </c>
      <c r="C392" s="19">
        <v>-791.44994910000003</v>
      </c>
      <c r="E392" s="9">
        <f t="shared" si="113"/>
        <v>-720.27773930000001</v>
      </c>
      <c r="F392" s="9">
        <f t="shared" si="114"/>
        <v>-251.44994910000003</v>
      </c>
      <c r="I392">
        <v>1</v>
      </c>
      <c r="J392">
        <f t="shared" si="109"/>
        <v>0.47104150215908741</v>
      </c>
      <c r="K392">
        <f t="shared" si="115"/>
        <v>-2.8057186152880633</v>
      </c>
      <c r="O392">
        <f t="shared" si="116"/>
        <v>-0.42845662580519167</v>
      </c>
      <c r="P392">
        <f t="shared" si="117"/>
        <v>-0.14957479715390845</v>
      </c>
      <c r="Q392">
        <f t="shared" si="118"/>
        <v>0.89109612268261895</v>
      </c>
      <c r="R392">
        <f t="shared" si="108"/>
        <v>1</v>
      </c>
      <c r="AG392" s="8">
        <f t="shared" si="110"/>
        <v>-0.33622248226569984</v>
      </c>
      <c r="AH392" s="8">
        <f t="shared" si="111"/>
        <v>0.88613710588504446</v>
      </c>
      <c r="AI392" s="8">
        <f t="shared" si="112"/>
        <v>0.31892863150361517</v>
      </c>
      <c r="AJ392" s="8"/>
      <c r="AK392" s="8"/>
      <c r="AL392" s="8"/>
      <c r="AN392" s="8">
        <f t="shared" si="119"/>
        <v>1</v>
      </c>
      <c r="AO392" s="8">
        <f t="shared" si="120"/>
        <v>1.9334407062067107</v>
      </c>
      <c r="AP392" s="8">
        <f t="shared" si="121"/>
        <v>1.2461974541977283</v>
      </c>
      <c r="AQ392" s="8"/>
      <c r="AR392" s="8">
        <f t="shared" si="122"/>
        <v>110.77799240443787</v>
      </c>
      <c r="AS392" s="8">
        <f t="shared" si="123"/>
        <v>18.598145434522451</v>
      </c>
    </row>
    <row r="393" spans="1:45">
      <c r="A393" s="19">
        <v>118.25146669999999</v>
      </c>
      <c r="B393" s="19">
        <v>239.20982670000001</v>
      </c>
      <c r="C393" s="19">
        <v>-791.43979720000004</v>
      </c>
      <c r="E393" s="9">
        <f t="shared" si="113"/>
        <v>-720.79017329999999</v>
      </c>
      <c r="F393" s="9">
        <f t="shared" si="114"/>
        <v>-251.43979720000004</v>
      </c>
      <c r="I393">
        <v>1</v>
      </c>
      <c r="J393">
        <f t="shared" si="109"/>
        <v>0.47129946473736756</v>
      </c>
      <c r="K393">
        <f t="shared" si="115"/>
        <v>-2.805952415382694</v>
      </c>
      <c r="O393">
        <f t="shared" si="116"/>
        <v>-0.42870861308874614</v>
      </c>
      <c r="P393">
        <f t="shared" si="117"/>
        <v>-0.14955032785673469</v>
      </c>
      <c r="Q393">
        <f t="shared" si="118"/>
        <v>0.89097902584823341</v>
      </c>
      <c r="R393">
        <f t="shared" si="108"/>
        <v>1</v>
      </c>
      <c r="AG393" s="8">
        <f t="shared" si="110"/>
        <v>-0.3359813302712561</v>
      </c>
      <c r="AH393" s="8">
        <f t="shared" si="111"/>
        <v>0.88625555225274244</v>
      </c>
      <c r="AI393" s="8">
        <f t="shared" si="112"/>
        <v>0.31885363697211211</v>
      </c>
      <c r="AJ393" s="8"/>
      <c r="AK393" s="8"/>
      <c r="AL393" s="8"/>
      <c r="AN393" s="8">
        <f t="shared" si="119"/>
        <v>0.99999999999999989</v>
      </c>
      <c r="AO393" s="8">
        <f t="shared" si="120"/>
        <v>1.9331584890377633</v>
      </c>
      <c r="AP393" s="8">
        <f t="shared" si="121"/>
        <v>1.246276579768427</v>
      </c>
      <c r="AQ393" s="8"/>
      <c r="AR393" s="8">
        <f t="shared" si="122"/>
        <v>110.76182255175105</v>
      </c>
      <c r="AS393" s="8">
        <f t="shared" si="123"/>
        <v>18.59361187326985</v>
      </c>
    </row>
    <row r="394" spans="1:45">
      <c r="A394" s="19">
        <v>118.2848333</v>
      </c>
      <c r="B394" s="19">
        <v>239.08239979999999</v>
      </c>
      <c r="C394" s="19">
        <v>-791.51350439999999</v>
      </c>
      <c r="E394" s="9">
        <f t="shared" si="113"/>
        <v>-720.91760020000004</v>
      </c>
      <c r="F394" s="9">
        <f t="shared" si="114"/>
        <v>-251.51350439999999</v>
      </c>
      <c r="I394">
        <v>1</v>
      </c>
      <c r="J394">
        <f t="shared" si="109"/>
        <v>0.47137708307710252</v>
      </c>
      <c r="K394">
        <f t="shared" si="115"/>
        <v>-2.8059162371582937</v>
      </c>
      <c r="O394">
        <f t="shared" si="116"/>
        <v>-0.42876849759187269</v>
      </c>
      <c r="P394">
        <f t="shared" si="117"/>
        <v>-0.14958861786109409</v>
      </c>
      <c r="Q394">
        <f t="shared" si="118"/>
        <v>0.8909437809868902</v>
      </c>
      <c r="R394">
        <f t="shared" si="108"/>
        <v>1</v>
      </c>
      <c r="AG394" s="8">
        <f t="shared" si="110"/>
        <v>-0.33594137943443564</v>
      </c>
      <c r="AH394" s="8">
        <f t="shared" si="111"/>
        <v>0.88629165671256582</v>
      </c>
      <c r="AI394" s="8">
        <f t="shared" si="112"/>
        <v>0.31879537139893321</v>
      </c>
      <c r="AJ394" s="8"/>
      <c r="AK394" s="8"/>
      <c r="AL394" s="8"/>
      <c r="AN394" s="8">
        <f t="shared" si="119"/>
        <v>0.99999999999999978</v>
      </c>
      <c r="AO394" s="8">
        <f t="shared" si="120"/>
        <v>1.9331055731074887</v>
      </c>
      <c r="AP394" s="8">
        <f t="shared" si="121"/>
        <v>1.2463380534199657</v>
      </c>
      <c r="AQ394" s="8"/>
      <c r="AR394" s="8">
        <f t="shared" si="122"/>
        <v>110.75879069227732</v>
      </c>
      <c r="AS394" s="8">
        <f t="shared" si="123"/>
        <v>18.590089692485421</v>
      </c>
    </row>
    <row r="395" spans="1:45">
      <c r="A395" s="19">
        <v>118.3182</v>
      </c>
      <c r="B395" s="19">
        <v>238.99696710000001</v>
      </c>
      <c r="C395" s="19">
        <v>-791.55791750000003</v>
      </c>
      <c r="E395" s="9">
        <f t="shared" si="113"/>
        <v>-721.00303289999999</v>
      </c>
      <c r="F395" s="9">
        <f t="shared" si="114"/>
        <v>-251.55791750000003</v>
      </c>
      <c r="I395">
        <v>1</v>
      </c>
      <c r="J395">
        <f t="shared" si="109"/>
        <v>0.47142823412836998</v>
      </c>
      <c r="K395">
        <f t="shared" si="115"/>
        <v>-2.8058981758674202</v>
      </c>
      <c r="O395">
        <f t="shared" si="116"/>
        <v>-0.42880882411991633</v>
      </c>
      <c r="P395">
        <f t="shared" si="117"/>
        <v>-0.14961137454215287</v>
      </c>
      <c r="Q395">
        <f t="shared" si="118"/>
        <v>0.89092055143233861</v>
      </c>
      <c r="R395">
        <f t="shared" si="108"/>
        <v>1</v>
      </c>
      <c r="AG395" s="8">
        <f t="shared" si="110"/>
        <v>-0.33591328178841684</v>
      </c>
      <c r="AH395" s="8">
        <f t="shared" si="111"/>
        <v>0.88631542072189462</v>
      </c>
      <c r="AI395" s="8">
        <f t="shared" si="112"/>
        <v>0.31875890906562387</v>
      </c>
      <c r="AJ395" s="8"/>
      <c r="AK395" s="8"/>
      <c r="AL395" s="8"/>
      <c r="AN395" s="8">
        <f t="shared" si="119"/>
        <v>1.0000000000000002</v>
      </c>
      <c r="AO395" s="8">
        <f t="shared" si="120"/>
        <v>1.933068967237151</v>
      </c>
      <c r="AP395" s="8">
        <f t="shared" si="121"/>
        <v>1.2463765227076666</v>
      </c>
      <c r="AQ395" s="8"/>
      <c r="AR395" s="8">
        <f t="shared" si="122"/>
        <v>110.75669333040156</v>
      </c>
      <c r="AS395" s="8">
        <f t="shared" si="123"/>
        <v>18.587885564659288</v>
      </c>
    </row>
    <row r="396" spans="1:45">
      <c r="A396" s="19">
        <v>118.35156670000001</v>
      </c>
      <c r="B396" s="19">
        <v>238.76469750000001</v>
      </c>
      <c r="C396" s="19">
        <v>-791.50358759999995</v>
      </c>
      <c r="E396" s="9">
        <f t="shared" si="113"/>
        <v>-721.23530249999999</v>
      </c>
      <c r="F396" s="9">
        <f t="shared" si="114"/>
        <v>-251.50358759999995</v>
      </c>
      <c r="I396">
        <v>1</v>
      </c>
      <c r="J396">
        <f t="shared" si="109"/>
        <v>0.47153634009771955</v>
      </c>
      <c r="K396">
        <f t="shared" si="115"/>
        <v>-2.8060655074835497</v>
      </c>
      <c r="O396">
        <f t="shared" si="116"/>
        <v>-0.4289247933926707</v>
      </c>
      <c r="P396">
        <f t="shared" si="117"/>
        <v>-0.14957133126306665</v>
      </c>
      <c r="Q396">
        <f t="shared" si="118"/>
        <v>0.89087144890677061</v>
      </c>
      <c r="R396">
        <f t="shared" si="108"/>
        <v>1</v>
      </c>
      <c r="AG396" s="8">
        <f t="shared" si="110"/>
        <v>-0.33579093983614333</v>
      </c>
      <c r="AH396" s="8">
        <f t="shared" si="111"/>
        <v>0.88636470975606241</v>
      </c>
      <c r="AI396" s="8">
        <f t="shared" si="112"/>
        <v>0.31875075846656564</v>
      </c>
      <c r="AJ396" s="8"/>
      <c r="AK396" s="8"/>
      <c r="AL396" s="8"/>
      <c r="AN396" s="8">
        <f t="shared" si="119"/>
        <v>1</v>
      </c>
      <c r="AO396" s="8">
        <f t="shared" si="120"/>
        <v>1.9329298409608375</v>
      </c>
      <c r="AP396" s="8">
        <f t="shared" si="121"/>
        <v>1.2463851218627391</v>
      </c>
      <c r="AQ396" s="8"/>
      <c r="AR396" s="8">
        <f t="shared" si="122"/>
        <v>110.74872198194943</v>
      </c>
      <c r="AS396" s="8">
        <f t="shared" si="123"/>
        <v>18.587392869366255</v>
      </c>
    </row>
    <row r="397" spans="1:45">
      <c r="A397" s="19">
        <v>118.3849333</v>
      </c>
      <c r="B397" s="19">
        <v>238.36452030000001</v>
      </c>
      <c r="C397" s="19">
        <v>-791.52884240000003</v>
      </c>
      <c r="E397" s="9">
        <f t="shared" si="113"/>
        <v>-721.63547970000002</v>
      </c>
      <c r="F397" s="9">
        <f t="shared" si="114"/>
        <v>-251.52884240000003</v>
      </c>
      <c r="I397">
        <v>1</v>
      </c>
      <c r="J397">
        <f t="shared" si="109"/>
        <v>0.47174358310066877</v>
      </c>
      <c r="K397">
        <f t="shared" si="115"/>
        <v>-2.8062067224866976</v>
      </c>
      <c r="O397">
        <f t="shared" si="116"/>
        <v>-0.42912024170376595</v>
      </c>
      <c r="P397">
        <f t="shared" si="117"/>
        <v>-0.14957152285670317</v>
      </c>
      <c r="Q397">
        <f t="shared" si="118"/>
        <v>0.89077728850169291</v>
      </c>
      <c r="R397">
        <f t="shared" si="108"/>
        <v>1</v>
      </c>
      <c r="AG397" s="8">
        <f t="shared" si="110"/>
        <v>-0.3356113731922018</v>
      </c>
      <c r="AH397" s="8">
        <f t="shared" si="111"/>
        <v>0.88645997261077514</v>
      </c>
      <c r="AI397" s="8">
        <f t="shared" si="112"/>
        <v>0.31867494903576654</v>
      </c>
      <c r="AJ397" s="8"/>
      <c r="AK397" s="8"/>
      <c r="AL397" s="8"/>
      <c r="AN397" s="8">
        <f t="shared" si="119"/>
        <v>0.99999999999999989</v>
      </c>
      <c r="AO397" s="8">
        <f t="shared" si="120"/>
        <v>1.9327170791220696</v>
      </c>
      <c r="AP397" s="8">
        <f t="shared" si="121"/>
        <v>1.2464651021608752</v>
      </c>
      <c r="AQ397" s="8"/>
      <c r="AR397" s="8">
        <f t="shared" si="122"/>
        <v>110.73653162654658</v>
      </c>
      <c r="AS397" s="8">
        <f t="shared" si="123"/>
        <v>18.582810335838857</v>
      </c>
    </row>
    <row r="398" spans="1:45">
      <c r="A398" s="19">
        <v>118.4183</v>
      </c>
      <c r="B398" s="19">
        <v>238.05802320000001</v>
      </c>
      <c r="C398" s="19">
        <v>-791.55957799999999</v>
      </c>
      <c r="E398" s="9">
        <f t="shared" si="113"/>
        <v>-721.94197680000002</v>
      </c>
      <c r="F398" s="9">
        <f t="shared" si="114"/>
        <v>-251.55957799999999</v>
      </c>
      <c r="I398">
        <v>1</v>
      </c>
      <c r="J398">
        <f t="shared" si="109"/>
        <v>0.47190429922553889</v>
      </c>
      <c r="K398">
        <f t="shared" si="115"/>
        <v>-2.8063007107423701</v>
      </c>
      <c r="O398">
        <f t="shared" si="116"/>
        <v>-0.42926948241283092</v>
      </c>
      <c r="P398">
        <f t="shared" si="117"/>
        <v>-0.14957829481352608</v>
      </c>
      <c r="Q398">
        <f t="shared" si="118"/>
        <v>0.89070424114275892</v>
      </c>
      <c r="R398">
        <f t="shared" si="108"/>
        <v>1</v>
      </c>
      <c r="AG398" s="8">
        <f t="shared" si="110"/>
        <v>-0.33547684678782552</v>
      </c>
      <c r="AH398" s="8">
        <f t="shared" si="111"/>
        <v>0.88653388901004748</v>
      </c>
      <c r="AI398" s="8">
        <f t="shared" si="112"/>
        <v>0.31861096796252719</v>
      </c>
      <c r="AJ398" s="8"/>
      <c r="AK398" s="8"/>
      <c r="AL398" s="8"/>
      <c r="AN398" s="8">
        <f t="shared" si="119"/>
        <v>0.99999999999999978</v>
      </c>
      <c r="AO398" s="8">
        <f t="shared" si="120"/>
        <v>1.932556739886981</v>
      </c>
      <c r="AP398" s="8">
        <f t="shared" si="121"/>
        <v>1.2465326016578975</v>
      </c>
      <c r="AQ398" s="8"/>
      <c r="AR398" s="8">
        <f t="shared" si="122"/>
        <v>110.72734486508564</v>
      </c>
      <c r="AS398" s="8">
        <f t="shared" si="123"/>
        <v>18.578942899540223</v>
      </c>
    </row>
    <row r="399" spans="1:45">
      <c r="A399" s="19">
        <v>118.4516667</v>
      </c>
      <c r="B399" s="19">
        <v>237.69826620000001</v>
      </c>
      <c r="C399" s="19">
        <v>-791.51211339999998</v>
      </c>
      <c r="E399" s="9">
        <f t="shared" si="113"/>
        <v>-722.30173379999997</v>
      </c>
      <c r="F399" s="9">
        <f t="shared" si="114"/>
        <v>-251.51211339999998</v>
      </c>
      <c r="I399">
        <v>1</v>
      </c>
      <c r="J399">
        <f t="shared" si="109"/>
        <v>0.47207817670069374</v>
      </c>
      <c r="K399">
        <f t="shared" si="115"/>
        <v>-2.8065140860726117</v>
      </c>
      <c r="O399">
        <f t="shared" si="116"/>
        <v>-0.42944764250721057</v>
      </c>
      <c r="P399">
        <f t="shared" si="117"/>
        <v>-0.14953762272366872</v>
      </c>
      <c r="Q399">
        <f t="shared" si="118"/>
        <v>0.89062518588638218</v>
      </c>
      <c r="R399">
        <f t="shared" si="108"/>
        <v>1</v>
      </c>
      <c r="AG399" s="8">
        <f t="shared" si="110"/>
        <v>-0.33529703187197901</v>
      </c>
      <c r="AH399" s="8">
        <f t="shared" si="111"/>
        <v>0.88661330369736935</v>
      </c>
      <c r="AI399" s="8">
        <f t="shared" si="112"/>
        <v>0.31857926819659405</v>
      </c>
      <c r="AJ399" s="8"/>
      <c r="AK399" s="8"/>
      <c r="AL399" s="8"/>
      <c r="AN399" s="8">
        <f t="shared" si="119"/>
        <v>1</v>
      </c>
      <c r="AO399" s="8">
        <f t="shared" si="120"/>
        <v>1.9323496676588947</v>
      </c>
      <c r="AP399" s="8">
        <f t="shared" si="121"/>
        <v>1.2465660440784003</v>
      </c>
      <c r="AQ399" s="8"/>
      <c r="AR399" s="8">
        <f t="shared" si="122"/>
        <v>110.71548050036193</v>
      </c>
      <c r="AS399" s="8">
        <f t="shared" si="123"/>
        <v>18.577026789988722</v>
      </c>
    </row>
    <row r="400" spans="1:45">
      <c r="A400" s="19">
        <v>118.4850333</v>
      </c>
      <c r="B400" s="19">
        <v>236.76496700000001</v>
      </c>
      <c r="C400" s="19">
        <v>-791.48931140000002</v>
      </c>
      <c r="E400" s="9">
        <f t="shared" si="113"/>
        <v>-723.23503299999993</v>
      </c>
      <c r="F400" s="9">
        <f t="shared" si="114"/>
        <v>-251.48931140000002</v>
      </c>
      <c r="I400">
        <v>1</v>
      </c>
      <c r="J400">
        <f t="shared" si="109"/>
        <v>0.47254687080248914</v>
      </c>
      <c r="K400">
        <f t="shared" si="115"/>
        <v>-2.8069430239243571</v>
      </c>
      <c r="O400">
        <f t="shared" si="116"/>
        <v>-0.42990597213885257</v>
      </c>
      <c r="P400">
        <f t="shared" si="117"/>
        <v>-0.14949048644874993</v>
      </c>
      <c r="Q400">
        <f t="shared" si="118"/>
        <v>0.89041195498525527</v>
      </c>
      <c r="R400">
        <f t="shared" si="108"/>
        <v>1</v>
      </c>
      <c r="AG400" s="8">
        <f t="shared" si="110"/>
        <v>-0.33485696222087946</v>
      </c>
      <c r="AH400" s="8">
        <f t="shared" si="111"/>
        <v>0.88682786665498381</v>
      </c>
      <c r="AI400" s="8">
        <f t="shared" si="112"/>
        <v>0.31844489284077843</v>
      </c>
      <c r="AJ400" s="8"/>
      <c r="AK400" s="8"/>
      <c r="AL400" s="8"/>
      <c r="AN400" s="8">
        <f t="shared" si="119"/>
        <v>1</v>
      </c>
      <c r="AO400" s="8">
        <f t="shared" si="120"/>
        <v>1.9318353791660878</v>
      </c>
      <c r="AP400" s="8">
        <f t="shared" si="121"/>
        <v>1.2467078023763993</v>
      </c>
      <c r="AQ400" s="8"/>
      <c r="AR400" s="8">
        <f t="shared" si="122"/>
        <v>110.68601394027196</v>
      </c>
      <c r="AS400" s="8">
        <f t="shared" si="123"/>
        <v>18.568904637802419</v>
      </c>
    </row>
    <row r="401" spans="1:45">
      <c r="A401" s="19">
        <v>118.5184</v>
      </c>
      <c r="B401" s="19">
        <v>236.55573010000001</v>
      </c>
      <c r="C401" s="19">
        <v>-791.50100889999999</v>
      </c>
      <c r="E401" s="9">
        <f t="shared" si="113"/>
        <v>-723.44426989999999</v>
      </c>
      <c r="F401" s="9">
        <f t="shared" si="114"/>
        <v>-251.50100889999999</v>
      </c>
      <c r="I401">
        <v>1</v>
      </c>
      <c r="J401">
        <f t="shared" si="109"/>
        <v>0.47265488714646259</v>
      </c>
      <c r="K401">
        <f t="shared" si="115"/>
        <v>-2.8070183232539136</v>
      </c>
      <c r="O401">
        <f t="shared" si="116"/>
        <v>-0.43000807087772919</v>
      </c>
      <c r="P401">
        <f t="shared" si="117"/>
        <v>-0.14948969555849898</v>
      </c>
      <c r="Q401">
        <f t="shared" si="118"/>
        <v>0.89036278555532689</v>
      </c>
      <c r="R401">
        <f t="shared" si="108"/>
        <v>1</v>
      </c>
      <c r="AG401" s="8">
        <f t="shared" si="110"/>
        <v>-0.33476273048013527</v>
      </c>
      <c r="AH401" s="8">
        <f t="shared" si="111"/>
        <v>0.88687739336211524</v>
      </c>
      <c r="AI401" s="8">
        <f t="shared" si="112"/>
        <v>0.31840603547154062</v>
      </c>
      <c r="AJ401" s="8"/>
      <c r="AK401" s="8"/>
      <c r="AL401" s="8"/>
      <c r="AN401" s="8">
        <f t="shared" si="119"/>
        <v>0.99999999999999978</v>
      </c>
      <c r="AO401" s="8">
        <f t="shared" si="120"/>
        <v>1.9317239267797417</v>
      </c>
      <c r="AP401" s="8">
        <f t="shared" si="121"/>
        <v>1.2467487934152357</v>
      </c>
      <c r="AQ401" s="8"/>
      <c r="AR401" s="8">
        <f t="shared" si="122"/>
        <v>110.67962818891766</v>
      </c>
      <c r="AS401" s="8">
        <f t="shared" si="123"/>
        <v>18.566556024279237</v>
      </c>
    </row>
    <row r="402" spans="1:45">
      <c r="A402" s="19">
        <v>118.5517667</v>
      </c>
      <c r="B402" s="19">
        <v>235.69702480000001</v>
      </c>
      <c r="C402" s="19">
        <v>-791.51357670000004</v>
      </c>
      <c r="E402" s="9">
        <f t="shared" si="113"/>
        <v>-724.30297519999999</v>
      </c>
      <c r="F402" s="9">
        <f t="shared" si="114"/>
        <v>-251.51357670000004</v>
      </c>
      <c r="I402">
        <v>1</v>
      </c>
      <c r="J402">
        <f t="shared" si="109"/>
        <v>0.47309185805265902</v>
      </c>
      <c r="K402">
        <f t="shared" si="115"/>
        <v>-2.8073705983944777</v>
      </c>
      <c r="O402">
        <f t="shared" si="116"/>
        <v>-0.43042819878733013</v>
      </c>
      <c r="P402">
        <f t="shared" si="117"/>
        <v>-0.14946581678702475</v>
      </c>
      <c r="Q402">
        <f t="shared" si="118"/>
        <v>0.8901637688093591</v>
      </c>
      <c r="R402">
        <f t="shared" si="108"/>
        <v>1</v>
      </c>
      <c r="AG402" s="8">
        <f t="shared" si="110"/>
        <v>-0.33436676361170248</v>
      </c>
      <c r="AH402" s="8">
        <f t="shared" si="111"/>
        <v>0.8870773805226897</v>
      </c>
      <c r="AI402" s="8">
        <f t="shared" si="112"/>
        <v>0.31826496564472645</v>
      </c>
      <c r="AJ402" s="8"/>
      <c r="AK402" s="8"/>
      <c r="AL402" s="8"/>
      <c r="AN402" s="8">
        <f t="shared" si="119"/>
        <v>0.99999999999999978</v>
      </c>
      <c r="AO402" s="8">
        <f t="shared" si="120"/>
        <v>1.9312586549721786</v>
      </c>
      <c r="AP402" s="8">
        <f t="shared" si="121"/>
        <v>1.2468976046847733</v>
      </c>
      <c r="AQ402" s="8"/>
      <c r="AR402" s="8">
        <f t="shared" si="122"/>
        <v>110.65297007801787</v>
      </c>
      <c r="AS402" s="8">
        <f t="shared" si="123"/>
        <v>18.558029766590749</v>
      </c>
    </row>
    <row r="403" spans="1:45">
      <c r="A403" s="19">
        <v>118.5851333</v>
      </c>
      <c r="B403" s="19">
        <v>236.24263400000001</v>
      </c>
      <c r="C403" s="19">
        <v>-791.52601100000004</v>
      </c>
      <c r="E403" s="9">
        <f t="shared" si="113"/>
        <v>-723.75736600000005</v>
      </c>
      <c r="F403" s="9">
        <f t="shared" si="114"/>
        <v>-251.52601100000004</v>
      </c>
      <c r="I403">
        <v>1</v>
      </c>
      <c r="J403">
        <f t="shared" si="109"/>
        <v>0.4728178218260814</v>
      </c>
      <c r="K403">
        <f t="shared" si="115"/>
        <v>-2.8071216812130189</v>
      </c>
      <c r="O403">
        <f t="shared" si="116"/>
        <v>-0.43016054555934935</v>
      </c>
      <c r="P403">
        <f t="shared" si="117"/>
        <v>-0.14949287039674419</v>
      </c>
      <c r="Q403">
        <f t="shared" si="118"/>
        <v>0.89028859744726885</v>
      </c>
      <c r="R403">
        <f t="shared" si="108"/>
        <v>1</v>
      </c>
      <c r="AG403" s="8">
        <f t="shared" si="110"/>
        <v>-0.33462370340264513</v>
      </c>
      <c r="AH403" s="8">
        <f t="shared" si="111"/>
        <v>0.88695212756962771</v>
      </c>
      <c r="AI403" s="8">
        <f t="shared" si="112"/>
        <v>0.31834399714901063</v>
      </c>
      <c r="AJ403" s="8"/>
      <c r="AK403" s="8"/>
      <c r="AL403" s="8"/>
      <c r="AN403" s="8">
        <f t="shared" si="119"/>
        <v>0.99999999999999989</v>
      </c>
      <c r="AO403" s="8">
        <f t="shared" si="120"/>
        <v>1.9315588788875155</v>
      </c>
      <c r="AP403" s="8">
        <f t="shared" si="121"/>
        <v>1.2468142371105537</v>
      </c>
      <c r="AQ403" s="8"/>
      <c r="AR403" s="8">
        <f t="shared" si="122"/>
        <v>110.67017164127557</v>
      </c>
      <c r="AS403" s="8">
        <f t="shared" si="123"/>
        <v>18.562806376741776</v>
      </c>
    </row>
    <row r="404" spans="1:45">
      <c r="A404" s="19">
        <v>118.6185</v>
      </c>
      <c r="B404" s="19">
        <v>235.57118969999999</v>
      </c>
      <c r="C404" s="19">
        <v>-791.50141169999995</v>
      </c>
      <c r="E404" s="9">
        <f t="shared" si="113"/>
        <v>-724.42881030000001</v>
      </c>
      <c r="F404" s="9">
        <f t="shared" si="114"/>
        <v>-251.50141169999995</v>
      </c>
      <c r="I404">
        <v>1</v>
      </c>
      <c r="J404">
        <f t="shared" si="109"/>
        <v>0.47315341878686729</v>
      </c>
      <c r="K404">
        <f t="shared" si="115"/>
        <v>-2.8074394130190701</v>
      </c>
      <c r="O404">
        <f t="shared" si="116"/>
        <v>-0.43049025049170803</v>
      </c>
      <c r="P404">
        <f t="shared" si="117"/>
        <v>-0.14945416883256615</v>
      </c>
      <c r="Q404">
        <f t="shared" si="118"/>
        <v>0.89013571754545007</v>
      </c>
      <c r="R404">
        <f t="shared" si="108"/>
        <v>1</v>
      </c>
      <c r="AG404" s="8">
        <f t="shared" si="110"/>
        <v>-0.33430507055518532</v>
      </c>
      <c r="AH404" s="8">
        <f t="shared" si="111"/>
        <v>0.88710543997234947</v>
      </c>
      <c r="AI404" s="8">
        <f t="shared" si="112"/>
        <v>0.31825156428925327</v>
      </c>
      <c r="AJ404" s="8"/>
      <c r="AK404" s="8"/>
      <c r="AL404" s="8"/>
      <c r="AN404" s="8">
        <f t="shared" si="119"/>
        <v>0.99999999999999989</v>
      </c>
      <c r="AO404" s="8">
        <f t="shared" si="120"/>
        <v>1.9311873210126254</v>
      </c>
      <c r="AP404" s="8">
        <f t="shared" si="121"/>
        <v>1.2469117410753177</v>
      </c>
      <c r="AQ404" s="8"/>
      <c r="AR404" s="8">
        <f t="shared" si="122"/>
        <v>110.64888294319951</v>
      </c>
      <c r="AS404" s="8">
        <f t="shared" si="123"/>
        <v>18.557219811075001</v>
      </c>
    </row>
    <row r="405" spans="1:45">
      <c r="A405" s="19">
        <v>118.6518667</v>
      </c>
      <c r="B405" s="19">
        <v>234.4007373</v>
      </c>
      <c r="C405" s="19">
        <v>-791.51777230000005</v>
      </c>
      <c r="E405" s="9">
        <f t="shared" si="113"/>
        <v>-725.59926270000005</v>
      </c>
      <c r="F405" s="9">
        <f t="shared" si="114"/>
        <v>-251.51777230000005</v>
      </c>
      <c r="I405">
        <v>1</v>
      </c>
      <c r="J405">
        <f t="shared" si="109"/>
        <v>0.47374864802473637</v>
      </c>
      <c r="K405">
        <f t="shared" si="115"/>
        <v>-2.8079191503578373</v>
      </c>
      <c r="O405">
        <f t="shared" si="116"/>
        <v>-0.43106243547145523</v>
      </c>
      <c r="P405">
        <f t="shared" si="117"/>
        <v>-0.14942113238725718</v>
      </c>
      <c r="Q405">
        <f t="shared" si="118"/>
        <v>0.88986431657951504</v>
      </c>
      <c r="R405">
        <f t="shared" si="108"/>
        <v>1</v>
      </c>
      <c r="AG405" s="8">
        <f t="shared" si="110"/>
        <v>-0.33376532500669248</v>
      </c>
      <c r="AH405" s="8">
        <f t="shared" si="111"/>
        <v>0.88737746033398457</v>
      </c>
      <c r="AI405" s="8">
        <f t="shared" si="112"/>
        <v>0.31805966533715752</v>
      </c>
      <c r="AJ405" s="8"/>
      <c r="AK405" s="8"/>
      <c r="AL405" s="8"/>
      <c r="AN405" s="8">
        <f t="shared" si="119"/>
        <v>1.0000000000000002</v>
      </c>
      <c r="AO405" s="8">
        <f t="shared" si="120"/>
        <v>1.9305534051016175</v>
      </c>
      <c r="AP405" s="8">
        <f t="shared" si="121"/>
        <v>1.2471141579093987</v>
      </c>
      <c r="AQ405" s="8"/>
      <c r="AR405" s="8">
        <f t="shared" si="122"/>
        <v>110.61256223693258</v>
      </c>
      <c r="AS405" s="8">
        <f t="shared" si="123"/>
        <v>18.545622180779759</v>
      </c>
    </row>
    <row r="406" spans="1:45">
      <c r="A406" s="19">
        <v>118.68523329999999</v>
      </c>
      <c r="B406" s="19">
        <v>234.82946390000001</v>
      </c>
      <c r="C406" s="19">
        <v>-791.49177010000005</v>
      </c>
      <c r="E406" s="9">
        <f t="shared" si="113"/>
        <v>-725.17053609999994</v>
      </c>
      <c r="F406" s="9">
        <f t="shared" si="114"/>
        <v>-251.49177010000005</v>
      </c>
      <c r="I406">
        <v>1</v>
      </c>
      <c r="J406">
        <f t="shared" si="109"/>
        <v>0.47352713864084123</v>
      </c>
      <c r="K406">
        <f t="shared" si="115"/>
        <v>-2.8077682181083827</v>
      </c>
      <c r="O406">
        <f t="shared" si="116"/>
        <v>-0.43085363563778672</v>
      </c>
      <c r="P406">
        <f t="shared" si="117"/>
        <v>-0.1494216023493064</v>
      </c>
      <c r="Q406">
        <f t="shared" si="118"/>
        <v>0.88996535292620638</v>
      </c>
      <c r="R406">
        <f t="shared" si="108"/>
        <v>1</v>
      </c>
      <c r="AG406" s="8">
        <f t="shared" si="110"/>
        <v>-0.33395775684158135</v>
      </c>
      <c r="AH406" s="8">
        <f t="shared" si="111"/>
        <v>0.88727613430545715</v>
      </c>
      <c r="AI406" s="8">
        <f t="shared" si="112"/>
        <v>0.3181403434607179</v>
      </c>
      <c r="AJ406" s="8"/>
      <c r="AK406" s="8"/>
      <c r="AL406" s="8"/>
      <c r="AN406" s="8">
        <f t="shared" si="119"/>
        <v>0.99999999999999989</v>
      </c>
      <c r="AO406" s="8">
        <f t="shared" si="120"/>
        <v>1.9307810152157052</v>
      </c>
      <c r="AP406" s="8">
        <f t="shared" si="121"/>
        <v>1.2470290595349418</v>
      </c>
      <c r="AQ406" s="8"/>
      <c r="AR406" s="8">
        <f t="shared" si="122"/>
        <v>110.62560333584429</v>
      </c>
      <c r="AS406" s="8">
        <f t="shared" si="123"/>
        <v>18.550497958479568</v>
      </c>
    </row>
    <row r="407" spans="1:45">
      <c r="A407" s="19">
        <v>118.7186</v>
      </c>
      <c r="B407" s="19">
        <v>234.33755099999999</v>
      </c>
      <c r="C407" s="19">
        <v>-791.52348710000001</v>
      </c>
      <c r="E407" s="9">
        <f t="shared" si="113"/>
        <v>-725.66244900000004</v>
      </c>
      <c r="F407" s="9">
        <f t="shared" si="114"/>
        <v>-251.52348710000001</v>
      </c>
      <c r="I407">
        <v>1</v>
      </c>
      <c r="J407">
        <f t="shared" si="109"/>
        <v>0.47378162119894063</v>
      </c>
      <c r="K407">
        <f t="shared" si="115"/>
        <v>-2.8079390651894425</v>
      </c>
      <c r="O407">
        <f t="shared" si="116"/>
        <v>-0.43109313436936769</v>
      </c>
      <c r="P407">
        <f t="shared" si="117"/>
        <v>-0.14942215705232442</v>
      </c>
      <c r="Q407">
        <f t="shared" si="118"/>
        <v>0.88984927290043048</v>
      </c>
      <c r="R407">
        <f t="shared" si="108"/>
        <v>1</v>
      </c>
      <c r="AG407" s="8">
        <f t="shared" si="110"/>
        <v>-0.33373746021231598</v>
      </c>
      <c r="AH407" s="8">
        <f t="shared" si="111"/>
        <v>0.88739255234144443</v>
      </c>
      <c r="AI407" s="8">
        <f t="shared" si="112"/>
        <v>0.31804679797157137</v>
      </c>
      <c r="AJ407" s="8"/>
      <c r="AK407" s="8"/>
      <c r="AL407" s="8"/>
      <c r="AN407" s="8">
        <f t="shared" si="119"/>
        <v>1</v>
      </c>
      <c r="AO407" s="8">
        <f t="shared" si="120"/>
        <v>1.9305202916350106</v>
      </c>
      <c r="AP407" s="8">
        <f t="shared" si="121"/>
        <v>1.2471277300367871</v>
      </c>
      <c r="AQ407" s="8"/>
      <c r="AR407" s="8">
        <f t="shared" si="122"/>
        <v>110.61066497505095</v>
      </c>
      <c r="AS407" s="8">
        <f t="shared" si="123"/>
        <v>18.54484455516139</v>
      </c>
    </row>
    <row r="408" spans="1:45">
      <c r="A408" s="19">
        <v>118.7519667</v>
      </c>
      <c r="B408" s="19">
        <v>234.1062326</v>
      </c>
      <c r="C408" s="19">
        <v>-791.53364599999998</v>
      </c>
      <c r="E408" s="9">
        <f t="shared" si="113"/>
        <v>-725.8937674</v>
      </c>
      <c r="F408" s="9">
        <f t="shared" si="114"/>
        <v>-251.53364599999998</v>
      </c>
      <c r="I408">
        <v>1</v>
      </c>
      <c r="J408">
        <f t="shared" si="109"/>
        <v>0.47390043788912378</v>
      </c>
      <c r="K408">
        <f t="shared" si="115"/>
        <v>-2.8080251809784915</v>
      </c>
      <c r="O408">
        <f t="shared" si="116"/>
        <v>-0.43120589853335639</v>
      </c>
      <c r="P408">
        <f t="shared" si="117"/>
        <v>-0.14941964886031783</v>
      </c>
      <c r="Q408">
        <f t="shared" si="118"/>
        <v>0.88979505595642649</v>
      </c>
      <c r="R408">
        <f t="shared" si="108"/>
        <v>1</v>
      </c>
      <c r="AG408" s="8">
        <f t="shared" si="110"/>
        <v>-0.33363263022630146</v>
      </c>
      <c r="AH408" s="8">
        <f t="shared" si="111"/>
        <v>0.887446850022516</v>
      </c>
      <c r="AI408" s="8">
        <f t="shared" si="112"/>
        <v>0.31800527736720674</v>
      </c>
      <c r="AJ408" s="8"/>
      <c r="AK408" s="8"/>
      <c r="AL408" s="8"/>
      <c r="AN408" s="8">
        <f t="shared" si="119"/>
        <v>1</v>
      </c>
      <c r="AO408" s="8">
        <f t="shared" si="120"/>
        <v>1.9303966387984173</v>
      </c>
      <c r="AP408" s="8">
        <f t="shared" si="121"/>
        <v>1.2471715243555046</v>
      </c>
      <c r="AQ408" s="8"/>
      <c r="AR408" s="8">
        <f t="shared" si="122"/>
        <v>110.60358018938933</v>
      </c>
      <c r="AS408" s="8">
        <f t="shared" si="123"/>
        <v>18.542335325532221</v>
      </c>
    </row>
    <row r="409" spans="1:45">
      <c r="A409" s="19">
        <v>118.7853333</v>
      </c>
      <c r="B409" s="19">
        <v>233.66382179999999</v>
      </c>
      <c r="C409" s="19">
        <v>-791.4999037</v>
      </c>
      <c r="E409" s="9">
        <f t="shared" si="113"/>
        <v>-726.33617819999995</v>
      </c>
      <c r="F409" s="9">
        <f t="shared" si="114"/>
        <v>-251.4999037</v>
      </c>
      <c r="I409">
        <v>1</v>
      </c>
      <c r="J409">
        <f t="shared" si="109"/>
        <v>0.47411833731071651</v>
      </c>
      <c r="K409">
        <f t="shared" si="115"/>
        <v>-2.8082551110350473</v>
      </c>
      <c r="O409">
        <f t="shared" si="116"/>
        <v>-0.43142344645673919</v>
      </c>
      <c r="P409">
        <f t="shared" si="117"/>
        <v>-0.14938393335532746</v>
      </c>
      <c r="Q409">
        <f t="shared" si="118"/>
        <v>0.88969559417964983</v>
      </c>
      <c r="R409">
        <f t="shared" si="108"/>
        <v>1</v>
      </c>
      <c r="AG409" s="8">
        <f t="shared" si="110"/>
        <v>-0.33341820266671307</v>
      </c>
      <c r="AH409" s="8">
        <f t="shared" si="111"/>
        <v>0.8875459999251516</v>
      </c>
      <c r="AI409" s="8">
        <f t="shared" si="112"/>
        <v>0.31795345594498808</v>
      </c>
      <c r="AJ409" s="8"/>
      <c r="AK409" s="8"/>
      <c r="AL409" s="8"/>
      <c r="AN409" s="8">
        <f t="shared" si="119"/>
        <v>1</v>
      </c>
      <c r="AO409" s="8">
        <f t="shared" si="120"/>
        <v>1.9301481401771086</v>
      </c>
      <c r="AP409" s="8">
        <f t="shared" si="121"/>
        <v>1.2472261826738082</v>
      </c>
      <c r="AQ409" s="8"/>
      <c r="AR409" s="8">
        <f t="shared" si="122"/>
        <v>110.58934226717352</v>
      </c>
      <c r="AS409" s="8">
        <f t="shared" si="123"/>
        <v>18.539203634578143</v>
      </c>
    </row>
    <row r="410" spans="1:45">
      <c r="A410" s="19">
        <v>118.81870000000001</v>
      </c>
      <c r="B410" s="19">
        <v>233.4406176</v>
      </c>
      <c r="C410" s="19">
        <v>-791.99760179999998</v>
      </c>
      <c r="E410" s="9">
        <f t="shared" si="113"/>
        <v>-726.5593824</v>
      </c>
      <c r="F410" s="9">
        <f t="shared" si="114"/>
        <v>-251.99760179999998</v>
      </c>
      <c r="I410">
        <v>1</v>
      </c>
      <c r="J410">
        <f t="shared" si="109"/>
        <v>0.47431845738111333</v>
      </c>
      <c r="K410">
        <f t="shared" si="115"/>
        <v>-2.8077385176615981</v>
      </c>
      <c r="O410">
        <f t="shared" si="116"/>
        <v>-0.43151442489488662</v>
      </c>
      <c r="P410">
        <f t="shared" si="117"/>
        <v>-0.14966512421382738</v>
      </c>
      <c r="Q410">
        <f t="shared" si="118"/>
        <v>0.88960421070366724</v>
      </c>
      <c r="R410">
        <f t="shared" si="108"/>
        <v>1</v>
      </c>
      <c r="AG410" s="8">
        <f t="shared" si="110"/>
        <v>-0.33344508310738258</v>
      </c>
      <c r="AH410" s="8">
        <f t="shared" si="111"/>
        <v>0.88764088617226311</v>
      </c>
      <c r="AI410" s="8">
        <f t="shared" si="112"/>
        <v>0.31766024892458644</v>
      </c>
      <c r="AJ410" s="8"/>
      <c r="AK410" s="8"/>
      <c r="AL410" s="8"/>
      <c r="AN410" s="8">
        <f t="shared" si="119"/>
        <v>1</v>
      </c>
      <c r="AO410" s="8">
        <f t="shared" si="120"/>
        <v>1.9301394870236608</v>
      </c>
      <c r="AP410" s="8">
        <f t="shared" si="121"/>
        <v>1.2475354220651651</v>
      </c>
      <c r="AQ410" s="8"/>
      <c r="AR410" s="8">
        <f t="shared" si="122"/>
        <v>110.58884647800149</v>
      </c>
      <c r="AS410" s="8">
        <f t="shared" si="123"/>
        <v>18.521485522594205</v>
      </c>
    </row>
    <row r="411" spans="1:45">
      <c r="A411" s="19">
        <v>118.85206669999999</v>
      </c>
      <c r="B411" s="19">
        <v>233.0973281</v>
      </c>
      <c r="C411" s="19">
        <v>-791.45463700000005</v>
      </c>
      <c r="E411" s="9">
        <f t="shared" si="113"/>
        <v>-726.90267189999997</v>
      </c>
      <c r="F411" s="9">
        <f t="shared" si="114"/>
        <v>-251.45463700000005</v>
      </c>
      <c r="I411">
        <v>1</v>
      </c>
      <c r="J411">
        <f t="shared" si="109"/>
        <v>0.47439695318719011</v>
      </c>
      <c r="K411">
        <f t="shared" si="115"/>
        <v>-2.8085517061742786</v>
      </c>
      <c r="O411">
        <f t="shared" si="116"/>
        <v>-0.43170198004623572</v>
      </c>
      <c r="P411">
        <f t="shared" si="117"/>
        <v>-0.1493370005106284</v>
      </c>
      <c r="Q411">
        <f t="shared" si="118"/>
        <v>0.88956835639688092</v>
      </c>
      <c r="R411">
        <f t="shared" ref="R411:R474" si="124">SQRT(O411^2+P411^2+Q411^2)</f>
        <v>1</v>
      </c>
      <c r="AG411" s="8">
        <f t="shared" si="110"/>
        <v>-0.33314313226945758</v>
      </c>
      <c r="AH411" s="8">
        <f t="shared" si="111"/>
        <v>0.8876726715259009</v>
      </c>
      <c r="AI411" s="8">
        <f t="shared" si="112"/>
        <v>0.31788815902415246</v>
      </c>
      <c r="AJ411" s="8"/>
      <c r="AK411" s="8"/>
      <c r="AL411" s="8"/>
      <c r="AN411" s="8">
        <f t="shared" si="119"/>
        <v>1.0000000000000002</v>
      </c>
      <c r="AO411" s="8">
        <f t="shared" si="120"/>
        <v>1.9298295687499243</v>
      </c>
      <c r="AP411" s="8">
        <f t="shared" si="121"/>
        <v>1.2472950527628028</v>
      </c>
      <c r="AQ411" s="8"/>
      <c r="AR411" s="8">
        <f t="shared" si="122"/>
        <v>110.57108946892241</v>
      </c>
      <c r="AS411" s="8">
        <f t="shared" si="123"/>
        <v>18.535257669144073</v>
      </c>
    </row>
    <row r="412" spans="1:45">
      <c r="A412" s="19">
        <v>118.8854333</v>
      </c>
      <c r="B412" s="19">
        <v>232.5874202</v>
      </c>
      <c r="C412" s="19">
        <v>-791.61747660000003</v>
      </c>
      <c r="E412" s="9">
        <f t="shared" si="113"/>
        <v>-727.4125798</v>
      </c>
      <c r="F412" s="9">
        <f t="shared" si="114"/>
        <v>-251.61747660000003</v>
      </c>
      <c r="I412">
        <v>1</v>
      </c>
      <c r="J412">
        <f t="shared" si="109"/>
        <v>0.47468329844056578</v>
      </c>
      <c r="K412">
        <f t="shared" si="115"/>
        <v>-2.8085683441656628</v>
      </c>
      <c r="O412">
        <f t="shared" si="116"/>
        <v>-0.43194517560369911</v>
      </c>
      <c r="P412">
        <f t="shared" si="117"/>
        <v>-0.14941308156208857</v>
      </c>
      <c r="Q412">
        <f t="shared" si="118"/>
        <v>0.88943751682218253</v>
      </c>
      <c r="R412">
        <f t="shared" si="124"/>
        <v>1</v>
      </c>
      <c r="AG412" s="8">
        <f t="shared" si="110"/>
        <v>-0.3329489967003636</v>
      </c>
      <c r="AH412" s="8">
        <f t="shared" si="111"/>
        <v>0.88780435320616846</v>
      </c>
      <c r="AI412" s="8">
        <f t="shared" si="112"/>
        <v>0.31772377314956801</v>
      </c>
      <c r="AJ412" s="8"/>
      <c r="AK412" s="8"/>
      <c r="AL412" s="8"/>
      <c r="AN412" s="8">
        <f t="shared" si="119"/>
        <v>1</v>
      </c>
      <c r="AO412" s="8">
        <f t="shared" si="120"/>
        <v>1.9295890817168169</v>
      </c>
      <c r="AP412" s="8">
        <f t="shared" si="121"/>
        <v>1.2474684270961345</v>
      </c>
      <c r="AQ412" s="8"/>
      <c r="AR412" s="8">
        <f t="shared" si="122"/>
        <v>110.55731057689773</v>
      </c>
      <c r="AS412" s="8">
        <f t="shared" si="123"/>
        <v>18.525324051568262</v>
      </c>
    </row>
    <row r="413" spans="1:45">
      <c r="A413" s="19">
        <v>118.9188</v>
      </c>
      <c r="B413" s="19">
        <v>232.44232310000001</v>
      </c>
      <c r="C413" s="19">
        <v>-791.72544029999995</v>
      </c>
      <c r="E413" s="9">
        <f t="shared" si="113"/>
        <v>-727.55767689999993</v>
      </c>
      <c r="F413" s="9">
        <f t="shared" si="114"/>
        <v>-251.72544029999995</v>
      </c>
      <c r="I413">
        <v>1</v>
      </c>
      <c r="J413">
        <f t="shared" si="109"/>
        <v>0.47477554331514504</v>
      </c>
      <c r="K413">
        <f t="shared" si="115"/>
        <v>-2.8084974243324687</v>
      </c>
      <c r="O413">
        <f t="shared" si="116"/>
        <v>-0.43201211270546941</v>
      </c>
      <c r="P413">
        <f t="shared" si="117"/>
        <v>-0.14947054060246631</v>
      </c>
      <c r="Q413">
        <f t="shared" si="118"/>
        <v>0.88939535189237595</v>
      </c>
      <c r="R413">
        <f t="shared" si="124"/>
        <v>1</v>
      </c>
      <c r="AG413" s="8">
        <f t="shared" si="110"/>
        <v>-0.33290992873525327</v>
      </c>
      <c r="AH413" s="8">
        <f t="shared" si="111"/>
        <v>0.88784717787768364</v>
      </c>
      <c r="AI413" s="8">
        <f t="shared" si="112"/>
        <v>0.31764503472291428</v>
      </c>
      <c r="AJ413" s="8"/>
      <c r="AK413" s="8"/>
      <c r="AL413" s="8"/>
      <c r="AN413" s="8">
        <f t="shared" si="119"/>
        <v>1</v>
      </c>
      <c r="AO413" s="8">
        <f t="shared" si="120"/>
        <v>1.9295346445976915</v>
      </c>
      <c r="AP413" s="8">
        <f t="shared" si="121"/>
        <v>1.2475514672950223</v>
      </c>
      <c r="AQ413" s="8"/>
      <c r="AR413" s="8">
        <f t="shared" si="122"/>
        <v>110.55419155972299</v>
      </c>
      <c r="AS413" s="8">
        <f t="shared" si="123"/>
        <v>18.520566198642072</v>
      </c>
    </row>
    <row r="414" spans="1:45">
      <c r="A414" s="19">
        <v>118.95216670000001</v>
      </c>
      <c r="B414" s="19">
        <v>232.04388729999999</v>
      </c>
      <c r="C414" s="19">
        <v>-791.5840614</v>
      </c>
      <c r="E414" s="9">
        <f t="shared" si="113"/>
        <v>-727.95611269999995</v>
      </c>
      <c r="F414" s="9">
        <f t="shared" si="114"/>
        <v>-251.5840614</v>
      </c>
      <c r="I414">
        <v>1</v>
      </c>
      <c r="J414">
        <f t="shared" si="109"/>
        <v>0.47495225876295666</v>
      </c>
      <c r="K414">
        <f t="shared" si="115"/>
        <v>-2.8088400404720253</v>
      </c>
      <c r="O414">
        <f t="shared" si="116"/>
        <v>-0.43221184024628112</v>
      </c>
      <c r="P414">
        <f t="shared" si="117"/>
        <v>-0.14937385407894715</v>
      </c>
      <c r="Q414">
        <f t="shared" si="118"/>
        <v>0.88931455451292629</v>
      </c>
      <c r="R414">
        <f t="shared" si="124"/>
        <v>1</v>
      </c>
      <c r="AG414" s="8">
        <f t="shared" si="110"/>
        <v>-0.33268778141979527</v>
      </c>
      <c r="AH414" s="8">
        <f t="shared" si="111"/>
        <v>0.88792654788859315</v>
      </c>
      <c r="AI414" s="8">
        <f t="shared" si="112"/>
        <v>0.3176559233646058</v>
      </c>
      <c r="AJ414" s="8"/>
      <c r="AK414" s="8"/>
      <c r="AL414" s="8"/>
      <c r="AN414" s="8">
        <f t="shared" si="119"/>
        <v>0.99999999999999989</v>
      </c>
      <c r="AO414" s="8">
        <f t="shared" si="120"/>
        <v>1.9292858887434705</v>
      </c>
      <c r="AP414" s="8">
        <f t="shared" si="121"/>
        <v>1.2475399839041066</v>
      </c>
      <c r="AQ414" s="8"/>
      <c r="AR414" s="8">
        <f t="shared" si="122"/>
        <v>110.53993889914696</v>
      </c>
      <c r="AS414" s="8">
        <f t="shared" si="123"/>
        <v>18.521224148476037</v>
      </c>
    </row>
    <row r="415" spans="1:45">
      <c r="A415" s="19">
        <v>118.9855333</v>
      </c>
      <c r="B415" s="19">
        <v>231.62439470000001</v>
      </c>
      <c r="C415" s="19">
        <v>-791.45937219999996</v>
      </c>
      <c r="E415" s="9">
        <f t="shared" si="113"/>
        <v>-728.37560529999996</v>
      </c>
      <c r="F415" s="9">
        <f t="shared" si="114"/>
        <v>-251.45937219999996</v>
      </c>
      <c r="I415">
        <v>1</v>
      </c>
      <c r="J415">
        <f t="shared" si="109"/>
        <v>0.47514254833082825</v>
      </c>
      <c r="K415">
        <f t="shared" si="115"/>
        <v>-2.8091708065482948</v>
      </c>
      <c r="O415">
        <f t="shared" si="116"/>
        <v>-0.43242117947728664</v>
      </c>
      <c r="P415">
        <f t="shared" si="117"/>
        <v>-0.14928610668194511</v>
      </c>
      <c r="Q415">
        <f t="shared" si="118"/>
        <v>0.8892275197558942</v>
      </c>
      <c r="R415">
        <f t="shared" si="124"/>
        <v>1</v>
      </c>
      <c r="AG415" s="8">
        <f t="shared" si="110"/>
        <v>-0.3324602550946385</v>
      </c>
      <c r="AH415" s="8">
        <f t="shared" si="111"/>
        <v>0.88801215256227795</v>
      </c>
      <c r="AI415" s="8">
        <f t="shared" si="112"/>
        <v>0.31765483733782118</v>
      </c>
      <c r="AJ415" s="8"/>
      <c r="AK415" s="8"/>
      <c r="AL415" s="8"/>
      <c r="AN415" s="8">
        <f t="shared" si="119"/>
        <v>1.0000000000000002</v>
      </c>
      <c r="AO415" s="8">
        <f t="shared" si="120"/>
        <v>1.9290295128535691</v>
      </c>
      <c r="AP415" s="8">
        <f t="shared" si="121"/>
        <v>1.247541129252816</v>
      </c>
      <c r="AQ415" s="8"/>
      <c r="AR415" s="8">
        <f t="shared" si="122"/>
        <v>110.52524964268669</v>
      </c>
      <c r="AS415" s="8">
        <f t="shared" si="123"/>
        <v>18.52115852482892</v>
      </c>
    </row>
    <row r="416" spans="1:45">
      <c r="A416" s="19">
        <v>119.0189</v>
      </c>
      <c r="B416" s="19">
        <v>231.4014387</v>
      </c>
      <c r="C416" s="19">
        <v>-791.45331880000003</v>
      </c>
      <c r="E416" s="9">
        <f t="shared" si="113"/>
        <v>-728.59856130000003</v>
      </c>
      <c r="F416" s="9">
        <f t="shared" si="114"/>
        <v>-251.45331880000003</v>
      </c>
      <c r="I416">
        <v>1</v>
      </c>
      <c r="J416">
        <f t="shared" ref="J416:J479" si="125">ATAN((SQRT(E416^2+F416^2)^$B$16)/($F$24))</f>
        <v>0.475254192517023</v>
      </c>
      <c r="K416">
        <f t="shared" si="115"/>
        <v>-2.8092726269054684</v>
      </c>
      <c r="O416">
        <f t="shared" si="116"/>
        <v>-0.43253022034118827</v>
      </c>
      <c r="P416">
        <f t="shared" si="117"/>
        <v>-0.14927446355648896</v>
      </c>
      <c r="Q416">
        <f t="shared" si="118"/>
        <v>0.88917644088309356</v>
      </c>
      <c r="R416">
        <f t="shared" si="124"/>
        <v>1</v>
      </c>
      <c r="AG416" s="8">
        <f t="shared" ref="AG416:AG479" si="126">$O416*$Z$27+$P416*$Z$31+$Q416*$Z$35</f>
        <v>-0.33235513767477948</v>
      </c>
      <c r="AH416" s="8">
        <f t="shared" ref="AH416:AH479" si="127">$O416*$AA$27+$P416*$AA$31+$Q416*$AA$35</f>
        <v>0.8880628775485937</v>
      </c>
      <c r="AI416" s="8">
        <f t="shared" ref="AI416:AI479" si="128">$AB$27*$O416+$P416*$AB$31+$AB$35*$Q416</f>
        <v>0.31762302810295373</v>
      </c>
      <c r="AJ416" s="8"/>
      <c r="AK416" s="8"/>
      <c r="AL416" s="8"/>
      <c r="AN416" s="8">
        <f t="shared" si="119"/>
        <v>0.99999999999999989</v>
      </c>
      <c r="AO416" s="8">
        <f t="shared" si="120"/>
        <v>1.9289069359285553</v>
      </c>
      <c r="AP416" s="8">
        <f t="shared" si="121"/>
        <v>1.2475746758051809</v>
      </c>
      <c r="AQ416" s="8"/>
      <c r="AR416" s="8">
        <f t="shared" si="122"/>
        <v>110.51822650221771</v>
      </c>
      <c r="AS416" s="8">
        <f t="shared" si="123"/>
        <v>18.519236448961195</v>
      </c>
    </row>
    <row r="417" spans="1:45">
      <c r="A417" s="19">
        <v>119.0522667</v>
      </c>
      <c r="B417" s="19">
        <v>231.30616879999999</v>
      </c>
      <c r="C417" s="19">
        <v>-791.43080899999995</v>
      </c>
      <c r="E417" s="9">
        <f t="shared" ref="E417:E480" si="129">(B417-($B$15/2))</f>
        <v>-728.69383119999998</v>
      </c>
      <c r="F417" s="9">
        <f t="shared" ref="F417:F480" si="130">(($C$15/2)+C417)</f>
        <v>-251.43080899999995</v>
      </c>
      <c r="I417">
        <v>1</v>
      </c>
      <c r="J417">
        <f t="shared" si="125"/>
        <v>0.47529842121268762</v>
      </c>
      <c r="K417">
        <f t="shared" ref="K417:K480" si="131">ATAN2(E417,F417)</f>
        <v>-2.8093405502410476</v>
      </c>
      <c r="O417">
        <f t="shared" ref="O417:O480" si="132">COS(K417)*SIN(J417)</f>
        <v>-0.43257753446070352</v>
      </c>
      <c r="P417">
        <f t="shared" ref="P417:P480" si="133">SIN(K417)*SIN(J417)</f>
        <v>-0.14925791160544147</v>
      </c>
      <c r="Q417">
        <f t="shared" ref="Q417:Q480" si="134">COS(J417)</f>
        <v>0.88915620253309879</v>
      </c>
      <c r="R417">
        <f t="shared" si="124"/>
        <v>1</v>
      </c>
      <c r="AG417" s="8">
        <f t="shared" si="126"/>
        <v>-0.33230499484586534</v>
      </c>
      <c r="AH417" s="8">
        <f t="shared" si="127"/>
        <v>0.88808280841864495</v>
      </c>
      <c r="AI417" s="8">
        <f t="shared" si="128"/>
        <v>0.31761976605957876</v>
      </c>
      <c r="AJ417" s="8"/>
      <c r="AK417" s="8"/>
      <c r="AL417" s="8"/>
      <c r="AN417" s="8">
        <f t="shared" ref="AN417:AN480" si="135">AG417^2+AH417^2+AI417^2</f>
        <v>0.99999999999999978</v>
      </c>
      <c r="AO417" s="8">
        <f t="shared" ref="AO417:AO480" si="136">IF(ATAN2(AG417,AH417)&gt;=0,ATAN2(AG417,AH417),ATAN2(AG417,AH417)+2*PI())</f>
        <v>1.9288500421849808</v>
      </c>
      <c r="AP417" s="8">
        <f t="shared" ref="AP417:AP480" si="137">ACOS(AI417/AN417)</f>
        <v>1.2475781159894999</v>
      </c>
      <c r="AQ417" s="8"/>
      <c r="AR417" s="8">
        <f t="shared" ref="AR417:AR480" si="138">DEGREES(AO417)</f>
        <v>110.5149667308302</v>
      </c>
      <c r="AS417" s="8">
        <f t="shared" ref="AS417:AS480" si="139">90-DEGREES(AP417)</f>
        <v>18.519039340918965</v>
      </c>
    </row>
    <row r="418" spans="1:45">
      <c r="A418" s="19">
        <v>119.0856333</v>
      </c>
      <c r="B418" s="19">
        <v>231.08424429999999</v>
      </c>
      <c r="C418" s="19">
        <v>-791.55932159999998</v>
      </c>
      <c r="E418" s="9">
        <f t="shared" si="129"/>
        <v>-728.91575569999998</v>
      </c>
      <c r="F418" s="9">
        <f t="shared" si="130"/>
        <v>-251.55932159999998</v>
      </c>
      <c r="I418">
        <v>1</v>
      </c>
      <c r="J418">
        <f t="shared" si="125"/>
        <v>0.47543299838783426</v>
      </c>
      <c r="K418">
        <f t="shared" si="131"/>
        <v>-2.8092768771440899</v>
      </c>
      <c r="O418">
        <f t="shared" si="132"/>
        <v>-0.43268113940492137</v>
      </c>
      <c r="P418">
        <f t="shared" si="133"/>
        <v>-0.14932449058298922</v>
      </c>
      <c r="Q418">
        <f t="shared" si="134"/>
        <v>0.88909461145335356</v>
      </c>
      <c r="R418">
        <f t="shared" si="124"/>
        <v>1</v>
      </c>
      <c r="AG418" s="8">
        <f t="shared" si="126"/>
        <v>-0.33223567438422619</v>
      </c>
      <c r="AH418" s="8">
        <f t="shared" si="127"/>
        <v>0.88814500873038971</v>
      </c>
      <c r="AI418" s="8">
        <f t="shared" si="128"/>
        <v>0.31751834613728114</v>
      </c>
      <c r="AJ418" s="8"/>
      <c r="AK418" s="8"/>
      <c r="AL418" s="8"/>
      <c r="AN418" s="8">
        <f t="shared" si="135"/>
        <v>0.99999999999999978</v>
      </c>
      <c r="AO418" s="8">
        <f t="shared" si="136"/>
        <v>1.9287585871501498</v>
      </c>
      <c r="AP418" s="8">
        <f t="shared" si="137"/>
        <v>1.2476850724998645</v>
      </c>
      <c r="AQ418" s="8"/>
      <c r="AR418" s="8">
        <f t="shared" si="138"/>
        <v>110.50972674331916</v>
      </c>
      <c r="AS418" s="8">
        <f t="shared" si="139"/>
        <v>18.512911184283638</v>
      </c>
    </row>
    <row r="419" spans="1:45">
      <c r="A419" s="19">
        <v>119.119</v>
      </c>
      <c r="B419" s="19">
        <v>230.47299839999999</v>
      </c>
      <c r="C419" s="19">
        <v>-791.67836899999998</v>
      </c>
      <c r="E419" s="9">
        <f t="shared" si="129"/>
        <v>-729.52700159999995</v>
      </c>
      <c r="F419" s="9">
        <f t="shared" si="130"/>
        <v>-251.67836899999998</v>
      </c>
      <c r="I419">
        <v>1</v>
      </c>
      <c r="J419">
        <f t="shared" si="125"/>
        <v>0.47576261777688472</v>
      </c>
      <c r="K419">
        <f t="shared" si="131"/>
        <v>-2.8093894494953888</v>
      </c>
      <c r="O419">
        <f t="shared" si="132"/>
        <v>-0.432974962900808</v>
      </c>
      <c r="P419">
        <f t="shared" si="133"/>
        <v>-0.14937134916420738</v>
      </c>
      <c r="Q419">
        <f t="shared" si="134"/>
        <v>0.88894368862707407</v>
      </c>
      <c r="R419">
        <f t="shared" si="124"/>
        <v>1</v>
      </c>
      <c r="AG419" s="8">
        <f t="shared" si="126"/>
        <v>-0.33198313635342241</v>
      </c>
      <c r="AH419" s="8">
        <f t="shared" si="127"/>
        <v>0.88829573034150444</v>
      </c>
      <c r="AI419" s="8">
        <f t="shared" si="128"/>
        <v>0.31736082403787358</v>
      </c>
      <c r="AJ419" s="8"/>
      <c r="AK419" s="8"/>
      <c r="AL419" s="8"/>
      <c r="AN419" s="8">
        <f t="shared" si="135"/>
        <v>1</v>
      </c>
      <c r="AO419" s="8">
        <f t="shared" si="136"/>
        <v>1.9284534762769241</v>
      </c>
      <c r="AP419" s="8">
        <f t="shared" si="137"/>
        <v>1.2478511862522879</v>
      </c>
      <c r="AQ419" s="8"/>
      <c r="AR419" s="8">
        <f t="shared" si="138"/>
        <v>110.49224517799978</v>
      </c>
      <c r="AS419" s="8">
        <f t="shared" si="139"/>
        <v>18.503393567350685</v>
      </c>
    </row>
    <row r="420" spans="1:45">
      <c r="A420" s="19">
        <v>119.1523667</v>
      </c>
      <c r="B420" s="19">
        <v>230.3315849</v>
      </c>
      <c r="C420" s="19">
        <v>-791.62423799999999</v>
      </c>
      <c r="E420" s="9">
        <f t="shared" si="129"/>
        <v>-729.66841509999995</v>
      </c>
      <c r="F420" s="9">
        <f t="shared" si="130"/>
        <v>-251.62423799999999</v>
      </c>
      <c r="I420">
        <v>1</v>
      </c>
      <c r="J420">
        <f t="shared" si="125"/>
        <v>0.47582463018573695</v>
      </c>
      <c r="K420">
        <f t="shared" si="131"/>
        <v>-2.8095154997856739</v>
      </c>
      <c r="O420">
        <f t="shared" si="132"/>
        <v>-0.43304590080817146</v>
      </c>
      <c r="P420">
        <f t="shared" si="133"/>
        <v>-0.14933474240480363</v>
      </c>
      <c r="Q420">
        <f t="shared" si="134"/>
        <v>0.88891528421111665</v>
      </c>
      <c r="R420">
        <f t="shared" si="124"/>
        <v>1</v>
      </c>
      <c r="AG420" s="8">
        <f t="shared" si="126"/>
        <v>-0.33190329070926078</v>
      </c>
      <c r="AH420" s="8">
        <f t="shared" si="127"/>
        <v>0.8883234604163045</v>
      </c>
      <c r="AI420" s="8">
        <f t="shared" si="128"/>
        <v>0.31736672051487386</v>
      </c>
      <c r="AJ420" s="8"/>
      <c r="AK420" s="8"/>
      <c r="AL420" s="8"/>
      <c r="AN420" s="8">
        <f t="shared" si="135"/>
        <v>0.99999999999999989</v>
      </c>
      <c r="AO420" s="8">
        <f t="shared" si="136"/>
        <v>1.9283643689454231</v>
      </c>
      <c r="AP420" s="8">
        <f t="shared" si="137"/>
        <v>1.2478449683329409</v>
      </c>
      <c r="AQ420" s="8"/>
      <c r="AR420" s="8">
        <f t="shared" si="138"/>
        <v>110.48713970398109</v>
      </c>
      <c r="AS420" s="8">
        <f t="shared" si="139"/>
        <v>18.503749827886622</v>
      </c>
    </row>
    <row r="421" spans="1:45">
      <c r="A421" s="19">
        <v>119.1857333</v>
      </c>
      <c r="B421" s="19">
        <v>230.21040930000001</v>
      </c>
      <c r="C421" s="19">
        <v>-791.60335380000004</v>
      </c>
      <c r="E421" s="9">
        <f t="shared" si="129"/>
        <v>-729.78959069999996</v>
      </c>
      <c r="F421" s="9">
        <f t="shared" si="130"/>
        <v>-251.60335380000004</v>
      </c>
      <c r="I421">
        <v>1</v>
      </c>
      <c r="J421">
        <f t="shared" si="125"/>
        <v>0.47588221131869107</v>
      </c>
      <c r="K421">
        <f t="shared" si="131"/>
        <v>-2.8095922506936288</v>
      </c>
      <c r="O421">
        <f t="shared" si="132"/>
        <v>-0.43310575005619606</v>
      </c>
      <c r="P421">
        <f t="shared" si="133"/>
        <v>-0.14931818794466611</v>
      </c>
      <c r="Q421">
        <f t="shared" si="134"/>
        <v>0.88888890645410867</v>
      </c>
      <c r="R421">
        <f t="shared" si="124"/>
        <v>1</v>
      </c>
      <c r="AG421" s="8">
        <f t="shared" si="126"/>
        <v>-0.33184156398675502</v>
      </c>
      <c r="AH421" s="8">
        <f t="shared" si="127"/>
        <v>0.88834943871194205</v>
      </c>
      <c r="AI421" s="8">
        <f t="shared" si="128"/>
        <v>0.31735855298227222</v>
      </c>
      <c r="AJ421" s="8"/>
      <c r="AK421" s="8"/>
      <c r="AL421" s="8"/>
      <c r="AN421" s="8">
        <f t="shared" si="135"/>
        <v>0.99999999999999978</v>
      </c>
      <c r="AO421" s="8">
        <f t="shared" si="136"/>
        <v>1.9282938063730477</v>
      </c>
      <c r="AP421" s="8">
        <f t="shared" si="137"/>
        <v>1.2478535811094558</v>
      </c>
      <c r="AQ421" s="8"/>
      <c r="AR421" s="8">
        <f t="shared" si="138"/>
        <v>110.48309676639239</v>
      </c>
      <c r="AS421" s="8">
        <f t="shared" si="139"/>
        <v>18.503256352142429</v>
      </c>
    </row>
    <row r="422" spans="1:45">
      <c r="A422" s="19">
        <v>119.2191</v>
      </c>
      <c r="B422" s="19">
        <v>229.7678454</v>
      </c>
      <c r="C422" s="19">
        <v>-791.55376249999995</v>
      </c>
      <c r="E422" s="9">
        <f t="shared" si="129"/>
        <v>-730.23215460000006</v>
      </c>
      <c r="F422" s="9">
        <f t="shared" si="130"/>
        <v>-251.55376249999995</v>
      </c>
      <c r="I422">
        <v>1</v>
      </c>
      <c r="J422">
        <f t="shared" si="125"/>
        <v>0.47609714760329408</v>
      </c>
      <c r="K422">
        <f t="shared" si="131"/>
        <v>-2.8098397178076597</v>
      </c>
      <c r="O422">
        <f t="shared" si="132"/>
        <v>-0.43332331495406506</v>
      </c>
      <c r="P422">
        <f t="shared" si="133"/>
        <v>-0.14927322710868138</v>
      </c>
      <c r="Q422">
        <f t="shared" si="134"/>
        <v>0.88879041870723385</v>
      </c>
      <c r="R422">
        <f t="shared" si="124"/>
        <v>1</v>
      </c>
      <c r="AG422" s="8">
        <f t="shared" si="126"/>
        <v>-0.331623139795033</v>
      </c>
      <c r="AH422" s="8">
        <f t="shared" si="127"/>
        <v>0.88844659747472066</v>
      </c>
      <c r="AI422" s="8">
        <f t="shared" si="128"/>
        <v>0.31731488554443155</v>
      </c>
      <c r="AJ422" s="8"/>
      <c r="AK422" s="8"/>
      <c r="AL422" s="8"/>
      <c r="AN422" s="8">
        <f t="shared" si="135"/>
        <v>0.99999999999999989</v>
      </c>
      <c r="AO422" s="8">
        <f t="shared" si="136"/>
        <v>1.9280421895833353</v>
      </c>
      <c r="AP422" s="8">
        <f t="shared" si="137"/>
        <v>1.2478996286077284</v>
      </c>
      <c r="AQ422" s="8"/>
      <c r="AR422" s="8">
        <f t="shared" si="138"/>
        <v>110.46868018628724</v>
      </c>
      <c r="AS422" s="8">
        <f t="shared" si="139"/>
        <v>18.500618024834282</v>
      </c>
    </row>
    <row r="423" spans="1:45">
      <c r="A423" s="19">
        <v>119.2524667</v>
      </c>
      <c r="B423" s="19">
        <v>229.31229339999999</v>
      </c>
      <c r="C423" s="19">
        <v>-791.54787380000005</v>
      </c>
      <c r="E423" s="9">
        <f t="shared" si="129"/>
        <v>-730.68770659999996</v>
      </c>
      <c r="F423" s="9">
        <f t="shared" si="130"/>
        <v>-251.54787380000005</v>
      </c>
      <c r="I423">
        <v>1</v>
      </c>
      <c r="J423">
        <f t="shared" si="125"/>
        <v>0.47632622091760335</v>
      </c>
      <c r="K423">
        <f t="shared" si="131"/>
        <v>-2.8100389237073409</v>
      </c>
      <c r="O423">
        <f t="shared" si="132"/>
        <v>-0.43354554083978131</v>
      </c>
      <c r="P423">
        <f t="shared" si="133"/>
        <v>-0.14925317342641345</v>
      </c>
      <c r="Q423">
        <f t="shared" si="134"/>
        <v>0.88868540791445794</v>
      </c>
      <c r="R423">
        <f t="shared" si="124"/>
        <v>1</v>
      </c>
      <c r="AG423" s="8">
        <f t="shared" si="126"/>
        <v>-0.33141018070474321</v>
      </c>
      <c r="AH423" s="8">
        <f t="shared" si="127"/>
        <v>0.88855046800898774</v>
      </c>
      <c r="AI423" s="8">
        <f t="shared" si="128"/>
        <v>0.31724652547547072</v>
      </c>
      <c r="AJ423" s="8"/>
      <c r="AK423" s="8"/>
      <c r="AL423" s="8"/>
      <c r="AN423" s="8">
        <f t="shared" si="135"/>
        <v>1.0000000000000002</v>
      </c>
      <c r="AO423" s="8">
        <f t="shared" si="136"/>
        <v>1.9277935067639598</v>
      </c>
      <c r="AP423" s="8">
        <f t="shared" si="137"/>
        <v>1.2479717131655208</v>
      </c>
      <c r="AQ423" s="8"/>
      <c r="AR423" s="8">
        <f t="shared" si="138"/>
        <v>110.45443171029962</v>
      </c>
      <c r="AS423" s="8">
        <f t="shared" si="139"/>
        <v>18.496487883904706</v>
      </c>
    </row>
    <row r="424" spans="1:45">
      <c r="A424" s="19">
        <v>119.28583329999999</v>
      </c>
      <c r="B424" s="19">
        <v>228.64252619999999</v>
      </c>
      <c r="C424" s="19">
        <v>-791.52301669999997</v>
      </c>
      <c r="E424" s="9">
        <f t="shared" si="129"/>
        <v>-731.35747379999998</v>
      </c>
      <c r="F424" s="9">
        <f t="shared" si="130"/>
        <v>-251.52301669999997</v>
      </c>
      <c r="I424">
        <v>1</v>
      </c>
      <c r="J424">
        <f t="shared" si="125"/>
        <v>0.47666013307295912</v>
      </c>
      <c r="K424">
        <f t="shared" si="131"/>
        <v>-2.8103512083487008</v>
      </c>
      <c r="O424">
        <f t="shared" si="132"/>
        <v>-0.43387271671549099</v>
      </c>
      <c r="P424">
        <f t="shared" si="133"/>
        <v>-0.14921427411562591</v>
      </c>
      <c r="Q424">
        <f t="shared" si="134"/>
        <v>0.88853225382653733</v>
      </c>
      <c r="R424">
        <f t="shared" si="124"/>
        <v>1</v>
      </c>
      <c r="AG424" s="8">
        <f t="shared" si="126"/>
        <v>-0.33109288255064379</v>
      </c>
      <c r="AH424" s="8">
        <f t="shared" si="127"/>
        <v>0.88870162871410052</v>
      </c>
      <c r="AI424" s="8">
        <f t="shared" si="128"/>
        <v>0.31715440757651581</v>
      </c>
      <c r="AJ424" s="8"/>
      <c r="AK424" s="8"/>
      <c r="AL424" s="8"/>
      <c r="AN424" s="8">
        <f t="shared" si="135"/>
        <v>1</v>
      </c>
      <c r="AO424" s="8">
        <f t="shared" si="136"/>
        <v>1.9274243299956209</v>
      </c>
      <c r="AP424" s="8">
        <f t="shared" si="137"/>
        <v>1.2480688472113526</v>
      </c>
      <c r="AQ424" s="8"/>
      <c r="AR424" s="8">
        <f t="shared" si="138"/>
        <v>110.43327943957952</v>
      </c>
      <c r="AS424" s="8">
        <f t="shared" si="139"/>
        <v>18.490922513031506</v>
      </c>
    </row>
    <row r="425" spans="1:45">
      <c r="A425" s="19">
        <v>119.3192</v>
      </c>
      <c r="B425" s="19">
        <v>228.35445089999999</v>
      </c>
      <c r="C425" s="19">
        <v>-791.53100870000003</v>
      </c>
      <c r="E425" s="9">
        <f t="shared" si="129"/>
        <v>-731.64554910000004</v>
      </c>
      <c r="F425" s="9">
        <f t="shared" si="130"/>
        <v>-251.53100870000003</v>
      </c>
      <c r="I425">
        <v>1</v>
      </c>
      <c r="J425">
        <f t="shared" si="125"/>
        <v>0.47680697377970166</v>
      </c>
      <c r="K425">
        <f t="shared" si="131"/>
        <v>-2.8104625335179483</v>
      </c>
      <c r="O425">
        <f t="shared" si="132"/>
        <v>-0.43401270549684356</v>
      </c>
      <c r="P425">
        <f t="shared" si="133"/>
        <v>-0.14920838886606316</v>
      </c>
      <c r="Q425">
        <f t="shared" si="134"/>
        <v>0.88846487165183063</v>
      </c>
      <c r="R425">
        <f t="shared" si="124"/>
        <v>1</v>
      </c>
      <c r="AG425" s="8">
        <f t="shared" si="126"/>
        <v>-0.33096132882220008</v>
      </c>
      <c r="AH425" s="8">
        <f t="shared" si="127"/>
        <v>0.88876822167787717</v>
      </c>
      <c r="AI425" s="8">
        <f t="shared" si="128"/>
        <v>0.31710510396363428</v>
      </c>
      <c r="AJ425" s="8"/>
      <c r="AK425" s="8"/>
      <c r="AL425" s="8"/>
      <c r="AN425" s="8">
        <f t="shared" si="135"/>
        <v>1</v>
      </c>
      <c r="AO425" s="8">
        <f t="shared" si="136"/>
        <v>1.9272698314045134</v>
      </c>
      <c r="AP425" s="8">
        <f t="shared" si="137"/>
        <v>1.2481208342847725</v>
      </c>
      <c r="AQ425" s="8"/>
      <c r="AR425" s="8">
        <f t="shared" si="138"/>
        <v>110.42442732236835</v>
      </c>
      <c r="AS425" s="8">
        <f t="shared" si="139"/>
        <v>18.487943873135322</v>
      </c>
    </row>
    <row r="426" spans="1:45">
      <c r="A426" s="19">
        <v>119.3525667</v>
      </c>
      <c r="B426" s="19">
        <v>228.36564530000001</v>
      </c>
      <c r="C426" s="19">
        <v>-791.53520519999995</v>
      </c>
      <c r="E426" s="9">
        <f t="shared" si="129"/>
        <v>-731.63435470000002</v>
      </c>
      <c r="F426" s="9">
        <f t="shared" si="130"/>
        <v>-251.53520519999995</v>
      </c>
      <c r="I426">
        <v>1</v>
      </c>
      <c r="J426">
        <f t="shared" si="125"/>
        <v>0.47680205029135719</v>
      </c>
      <c r="K426">
        <f t="shared" si="131"/>
        <v>-2.8104526998654742</v>
      </c>
      <c r="O426">
        <f t="shared" si="132"/>
        <v>-0.43400710150874477</v>
      </c>
      <c r="P426">
        <f t="shared" si="133"/>
        <v>-0.14921123459412</v>
      </c>
      <c r="Q426">
        <f t="shared" si="134"/>
        <v>0.8884671312495902</v>
      </c>
      <c r="R426">
        <f t="shared" si="124"/>
        <v>1</v>
      </c>
      <c r="AG426" s="8">
        <f t="shared" si="126"/>
        <v>-0.33096762308569982</v>
      </c>
      <c r="AH426" s="8">
        <f t="shared" si="127"/>
        <v>0.88876602731356125</v>
      </c>
      <c r="AI426" s="8">
        <f t="shared" si="128"/>
        <v>0.31710468486333054</v>
      </c>
      <c r="AJ426" s="8"/>
      <c r="AK426" s="8"/>
      <c r="AL426" s="8"/>
      <c r="AN426" s="8">
        <f t="shared" si="135"/>
        <v>1</v>
      </c>
      <c r="AO426" s="8">
        <f t="shared" si="136"/>
        <v>1.9272768583986259</v>
      </c>
      <c r="AP426" s="8">
        <f t="shared" si="137"/>
        <v>1.2481212761916836</v>
      </c>
      <c r="AQ426" s="8"/>
      <c r="AR426" s="8">
        <f t="shared" si="138"/>
        <v>110.42482993947365</v>
      </c>
      <c r="AS426" s="8">
        <f t="shared" si="139"/>
        <v>18.487918553734374</v>
      </c>
    </row>
    <row r="427" spans="1:45">
      <c r="A427" s="19">
        <v>119.3859333</v>
      </c>
      <c r="B427" s="19">
        <v>228.3546575</v>
      </c>
      <c r="C427" s="19">
        <v>-791.55652650000002</v>
      </c>
      <c r="E427" s="9">
        <f t="shared" si="129"/>
        <v>-731.64534249999997</v>
      </c>
      <c r="F427" s="9">
        <f t="shared" si="130"/>
        <v>-251.55652650000002</v>
      </c>
      <c r="I427">
        <v>1</v>
      </c>
      <c r="J427">
        <f t="shared" si="125"/>
        <v>0.47681129888635809</v>
      </c>
      <c r="K427">
        <f t="shared" si="131"/>
        <v>-2.8104312562079836</v>
      </c>
      <c r="O427">
        <f t="shared" si="132"/>
        <v>-0.43401167235679677</v>
      </c>
      <c r="P427">
        <f t="shared" si="133"/>
        <v>-0.14922321296473218</v>
      </c>
      <c r="Q427">
        <f t="shared" si="134"/>
        <v>0.88846288665905382</v>
      </c>
      <c r="R427">
        <f t="shared" si="124"/>
        <v>1</v>
      </c>
      <c r="AG427" s="8">
        <f t="shared" si="126"/>
        <v>-0.33096811898666567</v>
      </c>
      <c r="AH427" s="8">
        <f t="shared" si="127"/>
        <v>0.88877039830483029</v>
      </c>
      <c r="AI427" s="8">
        <f t="shared" si="128"/>
        <v>0.3170919161875646</v>
      </c>
      <c r="AJ427" s="8"/>
      <c r="AK427" s="8"/>
      <c r="AL427" s="8"/>
      <c r="AN427" s="8">
        <f t="shared" si="135"/>
        <v>0.99999999999999989</v>
      </c>
      <c r="AO427" s="8">
        <f t="shared" si="136"/>
        <v>1.9272757400283449</v>
      </c>
      <c r="AP427" s="8">
        <f t="shared" si="137"/>
        <v>1.2481347396821658</v>
      </c>
      <c r="AQ427" s="8"/>
      <c r="AR427" s="8">
        <f t="shared" si="138"/>
        <v>110.42476586157662</v>
      </c>
      <c r="AS427" s="8">
        <f t="shared" si="139"/>
        <v>18.487147152552225</v>
      </c>
    </row>
    <row r="428" spans="1:45">
      <c r="A428" s="19">
        <v>119.41930000000001</v>
      </c>
      <c r="B428" s="19">
        <v>227.3761719</v>
      </c>
      <c r="C428" s="19">
        <v>-791.52650749999998</v>
      </c>
      <c r="E428" s="9">
        <f t="shared" si="129"/>
        <v>-732.62382809999997</v>
      </c>
      <c r="F428" s="9">
        <f t="shared" si="130"/>
        <v>-251.52650749999998</v>
      </c>
      <c r="I428">
        <v>1</v>
      </c>
      <c r="J428">
        <f t="shared" si="125"/>
        <v>0.47730002611036815</v>
      </c>
      <c r="K428">
        <f t="shared" si="131"/>
        <v>-2.8108786287938803</v>
      </c>
      <c r="O428">
        <f t="shared" si="132"/>
        <v>-0.43448902159123459</v>
      </c>
      <c r="P428">
        <f t="shared" si="133"/>
        <v>-0.14917001325408485</v>
      </c>
      <c r="Q428">
        <f t="shared" si="134"/>
        <v>0.88823847994920135</v>
      </c>
      <c r="R428">
        <f t="shared" si="124"/>
        <v>1</v>
      </c>
      <c r="AG428" s="8">
        <f t="shared" si="126"/>
        <v>-0.33050636658776122</v>
      </c>
      <c r="AH428" s="8">
        <f t="shared" si="127"/>
        <v>0.88899137570564613</v>
      </c>
      <c r="AI428" s="8">
        <f t="shared" si="128"/>
        <v>0.31695405907787177</v>
      </c>
      <c r="AJ428" s="8"/>
      <c r="AK428" s="8"/>
      <c r="AL428" s="8"/>
      <c r="AN428" s="8">
        <f t="shared" si="135"/>
        <v>1</v>
      </c>
      <c r="AO428" s="8">
        <f t="shared" si="136"/>
        <v>1.9267381855134138</v>
      </c>
      <c r="AP428" s="8">
        <f t="shared" si="137"/>
        <v>1.248280094505791</v>
      </c>
      <c r="AQ428" s="8"/>
      <c r="AR428" s="8">
        <f t="shared" si="138"/>
        <v>110.39396625661286</v>
      </c>
      <c r="AS428" s="8">
        <f t="shared" si="139"/>
        <v>18.478818934626631</v>
      </c>
    </row>
    <row r="429" spans="1:45">
      <c r="A429" s="19">
        <v>119.45266669999999</v>
      </c>
      <c r="B429" s="19">
        <v>226.9606861</v>
      </c>
      <c r="C429" s="19">
        <v>-791.54640659999995</v>
      </c>
      <c r="E429" s="9">
        <f t="shared" si="129"/>
        <v>-733.03931390000002</v>
      </c>
      <c r="F429" s="9">
        <f t="shared" si="130"/>
        <v>-251.54640659999995</v>
      </c>
      <c r="I429">
        <v>1</v>
      </c>
      <c r="J429">
        <f t="shared" si="125"/>
        <v>0.47751315545975909</v>
      </c>
      <c r="K429">
        <f t="shared" si="131"/>
        <v>-2.8110284292946486</v>
      </c>
      <c r="O429">
        <f t="shared" si="132"/>
        <v>-0.43469041293042165</v>
      </c>
      <c r="P429">
        <f t="shared" si="133"/>
        <v>-0.14916636704567571</v>
      </c>
      <c r="Q429">
        <f t="shared" si="134"/>
        <v>0.88814055185470175</v>
      </c>
      <c r="R429">
        <f t="shared" si="124"/>
        <v>1</v>
      </c>
      <c r="AG429" s="8">
        <f t="shared" si="126"/>
        <v>-0.33031889984588536</v>
      </c>
      <c r="AH429" s="8">
        <f t="shared" si="127"/>
        <v>0.88908794335986507</v>
      </c>
      <c r="AI429" s="8">
        <f t="shared" si="128"/>
        <v>0.31687860984409993</v>
      </c>
      <c r="AJ429" s="8"/>
      <c r="AK429" s="8"/>
      <c r="AL429" s="8"/>
      <c r="AN429" s="8">
        <f t="shared" si="135"/>
        <v>1</v>
      </c>
      <c r="AO429" s="8">
        <f t="shared" si="136"/>
        <v>1.9265174424255123</v>
      </c>
      <c r="AP429" s="8">
        <f t="shared" si="137"/>
        <v>1.2483596442507137</v>
      </c>
      <c r="AQ429" s="8"/>
      <c r="AR429" s="8">
        <f t="shared" si="138"/>
        <v>110.38131860931942</v>
      </c>
      <c r="AS429" s="8">
        <f t="shared" si="139"/>
        <v>18.474261069981225</v>
      </c>
    </row>
    <row r="430" spans="1:45">
      <c r="A430" s="19">
        <v>119.4860333</v>
      </c>
      <c r="B430" s="19">
        <v>225.8750162</v>
      </c>
      <c r="C430" s="19">
        <v>-792.35546320000003</v>
      </c>
      <c r="E430" s="9">
        <f t="shared" si="129"/>
        <v>-734.1249838</v>
      </c>
      <c r="F430" s="9">
        <f t="shared" si="130"/>
        <v>-252.35546320000003</v>
      </c>
      <c r="I430">
        <v>1</v>
      </c>
      <c r="J430">
        <f t="shared" si="125"/>
        <v>0.47820093555941401</v>
      </c>
      <c r="K430">
        <f t="shared" si="131"/>
        <v>-2.8104965768628194</v>
      </c>
      <c r="O430">
        <f t="shared" si="132"/>
        <v>-0.43518858242569214</v>
      </c>
      <c r="P430">
        <f t="shared" si="133"/>
        <v>-0.14959607521994675</v>
      </c>
      <c r="Q430">
        <f t="shared" si="134"/>
        <v>0.88782425738718396</v>
      </c>
      <c r="R430">
        <f t="shared" si="124"/>
        <v>1</v>
      </c>
      <c r="AG430" s="8">
        <f t="shared" si="126"/>
        <v>-0.33002768132253141</v>
      </c>
      <c r="AH430" s="8">
        <f t="shared" si="127"/>
        <v>0.88940579528511132</v>
      </c>
      <c r="AI430" s="8">
        <f t="shared" si="128"/>
        <v>0.31628952065177968</v>
      </c>
      <c r="AJ430" s="8"/>
      <c r="AK430" s="8"/>
      <c r="AL430" s="8"/>
      <c r="AN430" s="8">
        <f t="shared" si="135"/>
        <v>1.0000000000000002</v>
      </c>
      <c r="AO430" s="8">
        <f t="shared" si="136"/>
        <v>1.9261129950699794</v>
      </c>
      <c r="AP430" s="8">
        <f t="shared" si="137"/>
        <v>1.2489806765911351</v>
      </c>
      <c r="AQ430" s="8"/>
      <c r="AR430" s="8">
        <f t="shared" si="138"/>
        <v>110.35814548281216</v>
      </c>
      <c r="AS430" s="8">
        <f t="shared" si="139"/>
        <v>18.438678537933939</v>
      </c>
    </row>
    <row r="431" spans="1:45">
      <c r="A431" s="19">
        <v>119.5194</v>
      </c>
      <c r="B431" s="19">
        <v>226.15564509999999</v>
      </c>
      <c r="C431" s="19">
        <v>-792.35546320000003</v>
      </c>
      <c r="E431" s="9">
        <f t="shared" si="129"/>
        <v>-733.84435489999998</v>
      </c>
      <c r="F431" s="9">
        <f t="shared" si="130"/>
        <v>-252.35546320000003</v>
      </c>
      <c r="I431">
        <v>1</v>
      </c>
      <c r="J431">
        <f t="shared" si="125"/>
        <v>0.47805943906608739</v>
      </c>
      <c r="K431">
        <f t="shared" si="131"/>
        <v>-2.8103790199802501</v>
      </c>
      <c r="O431">
        <f t="shared" si="132"/>
        <v>-0.43505219286464147</v>
      </c>
      <c r="P431">
        <f t="shared" si="133"/>
        <v>-0.14960638030865966</v>
      </c>
      <c r="Q431">
        <f t="shared" si="134"/>
        <v>0.88788936273310959</v>
      </c>
      <c r="R431">
        <f t="shared" si="124"/>
        <v>1</v>
      </c>
      <c r="AG431" s="8">
        <f t="shared" si="126"/>
        <v>-0.33015778591154182</v>
      </c>
      <c r="AH431" s="8">
        <f t="shared" si="127"/>
        <v>0.88934186900468926</v>
      </c>
      <c r="AI431" s="8">
        <f t="shared" si="128"/>
        <v>0.31633348927553451</v>
      </c>
      <c r="AJ431" s="8"/>
      <c r="AK431" s="8"/>
      <c r="AL431" s="8"/>
      <c r="AN431" s="8">
        <f t="shared" si="135"/>
        <v>1</v>
      </c>
      <c r="AO431" s="8">
        <f t="shared" si="136"/>
        <v>1.9262650187039718</v>
      </c>
      <c r="AP431" s="8">
        <f t="shared" si="137"/>
        <v>1.2489343282283443</v>
      </c>
      <c r="AQ431" s="8"/>
      <c r="AR431" s="8">
        <f t="shared" si="138"/>
        <v>110.36685579542616</v>
      </c>
      <c r="AS431" s="8">
        <f t="shared" si="139"/>
        <v>18.441334103509206</v>
      </c>
    </row>
    <row r="432" spans="1:45">
      <c r="A432" s="19">
        <v>119.55276670000001</v>
      </c>
      <c r="B432" s="19">
        <v>226.31681280000001</v>
      </c>
      <c r="C432" s="19">
        <v>-791.82091400000002</v>
      </c>
      <c r="E432" s="9">
        <f t="shared" si="129"/>
        <v>-733.68318720000002</v>
      </c>
      <c r="F432" s="9">
        <f t="shared" si="130"/>
        <v>-251.82091400000002</v>
      </c>
      <c r="I432">
        <v>1</v>
      </c>
      <c r="J432">
        <f t="shared" si="125"/>
        <v>0.47788553781496201</v>
      </c>
      <c r="K432">
        <f t="shared" si="131"/>
        <v>-2.8109631214101052</v>
      </c>
      <c r="O432">
        <f t="shared" si="132"/>
        <v>-0.43499345515866988</v>
      </c>
      <c r="P432">
        <f t="shared" si="133"/>
        <v>-0.14930211210116473</v>
      </c>
      <c r="Q432">
        <f t="shared" si="134"/>
        <v>0.88796935380183784</v>
      </c>
      <c r="R432">
        <f t="shared" si="124"/>
        <v>1</v>
      </c>
      <c r="AG432" s="8">
        <f t="shared" si="126"/>
        <v>-0.33009234127975073</v>
      </c>
      <c r="AH432" s="8">
        <f t="shared" si="127"/>
        <v>0.88925867579863604</v>
      </c>
      <c r="AI432" s="8">
        <f t="shared" si="128"/>
        <v>0.31663552192593442</v>
      </c>
      <c r="AJ432" s="8"/>
      <c r="AK432" s="8"/>
      <c r="AL432" s="8"/>
      <c r="AN432" s="8">
        <f t="shared" si="135"/>
        <v>1</v>
      </c>
      <c r="AO432" s="8">
        <f t="shared" si="136"/>
        <v>1.926230861686258</v>
      </c>
      <c r="AP432" s="8">
        <f t="shared" si="137"/>
        <v>1.2486159291234322</v>
      </c>
      <c r="AQ432" s="8"/>
      <c r="AR432" s="8">
        <f t="shared" si="138"/>
        <v>110.36489874247042</v>
      </c>
      <c r="AS432" s="8">
        <f t="shared" si="139"/>
        <v>18.459577028421407</v>
      </c>
    </row>
    <row r="433" spans="1:45">
      <c r="A433" s="19">
        <v>119.5861333</v>
      </c>
      <c r="B433" s="19">
        <v>225.45407299999999</v>
      </c>
      <c r="C433" s="19">
        <v>-792.21514879999995</v>
      </c>
      <c r="E433" s="9">
        <f t="shared" si="129"/>
        <v>-734.54592700000001</v>
      </c>
      <c r="F433" s="9">
        <f t="shared" si="130"/>
        <v>-252.21514879999995</v>
      </c>
      <c r="I433">
        <v>1</v>
      </c>
      <c r="J433">
        <f t="shared" si="125"/>
        <v>0.47838885813830362</v>
      </c>
      <c r="K433">
        <f t="shared" si="131"/>
        <v>-2.8108436275647231</v>
      </c>
      <c r="O433">
        <f t="shared" si="132"/>
        <v>-0.43539826522240227</v>
      </c>
      <c r="P433">
        <f t="shared" si="133"/>
        <v>-0.14949921334235389</v>
      </c>
      <c r="Q433">
        <f t="shared" si="134"/>
        <v>0.88773776299723783</v>
      </c>
      <c r="R433">
        <f t="shared" si="124"/>
        <v>1</v>
      </c>
      <c r="AG433" s="8">
        <f t="shared" si="126"/>
        <v>-0.32979575760562568</v>
      </c>
      <c r="AH433" s="8">
        <f t="shared" si="127"/>
        <v>0.88948944417152442</v>
      </c>
      <c r="AI433" s="8">
        <f t="shared" si="128"/>
        <v>0.31629620132521952</v>
      </c>
      <c r="AJ433" s="8"/>
      <c r="AK433" s="8"/>
      <c r="AL433" s="8"/>
      <c r="AN433" s="8">
        <f t="shared" si="135"/>
        <v>0.99999999999999989</v>
      </c>
      <c r="AO433" s="8">
        <f t="shared" si="136"/>
        <v>1.925853115682429</v>
      </c>
      <c r="AP433" s="8">
        <f t="shared" si="137"/>
        <v>1.2489736343819222</v>
      </c>
      <c r="AQ433" s="8"/>
      <c r="AR433" s="8">
        <f t="shared" si="138"/>
        <v>110.34325549072308</v>
      </c>
      <c r="AS433" s="8">
        <f t="shared" si="139"/>
        <v>18.439082026800293</v>
      </c>
    </row>
    <row r="434" spans="1:45">
      <c r="A434" s="19">
        <v>119.6195</v>
      </c>
      <c r="B434" s="19">
        <v>224.95718350000001</v>
      </c>
      <c r="C434" s="19">
        <v>-792.18504949999999</v>
      </c>
      <c r="E434" s="9">
        <f t="shared" si="129"/>
        <v>-735.04281649999996</v>
      </c>
      <c r="F434" s="9">
        <f t="shared" si="130"/>
        <v>-252.18504949999999</v>
      </c>
      <c r="I434">
        <v>1</v>
      </c>
      <c r="J434">
        <f t="shared" si="125"/>
        <v>0.47863413734433352</v>
      </c>
      <c r="K434">
        <f t="shared" si="131"/>
        <v>-2.8110879119607399</v>
      </c>
      <c r="O434">
        <f t="shared" si="132"/>
        <v>-0.43564071849417013</v>
      </c>
      <c r="P434">
        <f t="shared" si="133"/>
        <v>-0.14946350565099073</v>
      </c>
      <c r="Q434">
        <f t="shared" si="134"/>
        <v>0.88762482213399119</v>
      </c>
      <c r="R434">
        <f t="shared" si="124"/>
        <v>1</v>
      </c>
      <c r="AG434" s="8">
        <f t="shared" si="126"/>
        <v>-0.32955755508787488</v>
      </c>
      <c r="AH434" s="8">
        <f t="shared" si="127"/>
        <v>0.88959987072419899</v>
      </c>
      <c r="AI434" s="8">
        <f t="shared" si="128"/>
        <v>0.31623391325408251</v>
      </c>
      <c r="AJ434" s="8"/>
      <c r="AK434" s="8"/>
      <c r="AL434" s="8"/>
      <c r="AN434" s="8">
        <f t="shared" si="135"/>
        <v>0.99999999999999978</v>
      </c>
      <c r="AO434" s="8">
        <f t="shared" si="136"/>
        <v>1.9255772230774055</v>
      </c>
      <c r="AP434" s="8">
        <f t="shared" si="137"/>
        <v>1.2490392926342528</v>
      </c>
      <c r="AQ434" s="8"/>
      <c r="AR434" s="8">
        <f t="shared" si="138"/>
        <v>110.32744800885636</v>
      </c>
      <c r="AS434" s="8">
        <f t="shared" si="139"/>
        <v>18.435320086051533</v>
      </c>
    </row>
    <row r="435" spans="1:45">
      <c r="A435" s="19">
        <v>119.6528667</v>
      </c>
      <c r="B435" s="19">
        <v>224.63935319999999</v>
      </c>
      <c r="C435" s="19">
        <v>-792.16149970000004</v>
      </c>
      <c r="E435" s="9">
        <f t="shared" si="129"/>
        <v>-735.36064680000004</v>
      </c>
      <c r="F435" s="9">
        <f t="shared" si="130"/>
        <v>-252.16149970000004</v>
      </c>
      <c r="I435">
        <v>1</v>
      </c>
      <c r="J435">
        <f t="shared" si="125"/>
        <v>0.47879026621011961</v>
      </c>
      <c r="K435">
        <f t="shared" si="131"/>
        <v>-2.811249242991718</v>
      </c>
      <c r="O435">
        <f t="shared" si="132"/>
        <v>-0.43579591138297258</v>
      </c>
      <c r="P435">
        <f t="shared" si="133"/>
        <v>-0.14943817167217313</v>
      </c>
      <c r="Q435">
        <f t="shared" si="134"/>
        <v>0.88755290347627303</v>
      </c>
      <c r="R435">
        <f t="shared" si="124"/>
        <v>1</v>
      </c>
      <c r="AG435" s="8">
        <f t="shared" si="126"/>
        <v>-0.32940408248225234</v>
      </c>
      <c r="AH435" s="8">
        <f t="shared" si="127"/>
        <v>0.88967008251377755</v>
      </c>
      <c r="AI435" s="8">
        <f t="shared" si="128"/>
        <v>0.31619629144560457</v>
      </c>
      <c r="AJ435" s="8"/>
      <c r="AK435" s="8"/>
      <c r="AL435" s="8"/>
      <c r="AN435" s="8">
        <f t="shared" si="135"/>
        <v>1</v>
      </c>
      <c r="AO435" s="8">
        <f t="shared" si="136"/>
        <v>1.9253998157264234</v>
      </c>
      <c r="AP435" s="8">
        <f t="shared" si="137"/>
        <v>1.2490789493259673</v>
      </c>
      <c r="AQ435" s="8"/>
      <c r="AR435" s="8">
        <f t="shared" si="138"/>
        <v>110.31728331639049</v>
      </c>
      <c r="AS435" s="8">
        <f t="shared" si="139"/>
        <v>18.433047924986852</v>
      </c>
    </row>
    <row r="436" spans="1:45">
      <c r="A436" s="19">
        <v>119.6862333</v>
      </c>
      <c r="B436" s="19">
        <v>224.4012875</v>
      </c>
      <c r="C436" s="19">
        <v>-792.21217119999994</v>
      </c>
      <c r="E436" s="9">
        <f t="shared" si="129"/>
        <v>-735.59871250000003</v>
      </c>
      <c r="F436" s="9">
        <f t="shared" si="130"/>
        <v>-252.21217119999994</v>
      </c>
      <c r="I436">
        <v>1</v>
      </c>
      <c r="J436">
        <f t="shared" si="125"/>
        <v>0.47891900518362801</v>
      </c>
      <c r="K436">
        <f t="shared" si="131"/>
        <v>-2.8112869073454148</v>
      </c>
      <c r="O436">
        <f t="shared" si="132"/>
        <v>-0.43590962193359745</v>
      </c>
      <c r="P436">
        <f t="shared" si="133"/>
        <v>-0.14945881542015865</v>
      </c>
      <c r="Q436">
        <f t="shared" si="134"/>
        <v>0.88749358532831724</v>
      </c>
      <c r="R436">
        <f t="shared" si="124"/>
        <v>1</v>
      </c>
      <c r="AG436" s="8">
        <f t="shared" si="126"/>
        <v>-0.32930704502954916</v>
      </c>
      <c r="AH436" s="8">
        <f t="shared" si="127"/>
        <v>0.88972858178381542</v>
      </c>
      <c r="AI436" s="8">
        <f t="shared" si="128"/>
        <v>0.3161327582691601</v>
      </c>
      <c r="AJ436" s="8"/>
      <c r="AK436" s="8"/>
      <c r="AL436" s="8"/>
      <c r="AN436" s="8">
        <f t="shared" si="135"/>
        <v>1.0000000000000002</v>
      </c>
      <c r="AO436" s="8">
        <f t="shared" si="136"/>
        <v>1.9252824862542794</v>
      </c>
      <c r="AP436" s="8">
        <f t="shared" si="137"/>
        <v>1.2491459176862503</v>
      </c>
      <c r="AQ436" s="8"/>
      <c r="AR436" s="8">
        <f t="shared" si="138"/>
        <v>110.31056083282414</v>
      </c>
      <c r="AS436" s="8">
        <f t="shared" si="139"/>
        <v>18.429210920581724</v>
      </c>
    </row>
    <row r="437" spans="1:45">
      <c r="A437" s="19">
        <v>119.7196</v>
      </c>
      <c r="B437" s="19">
        <v>224.35030829999999</v>
      </c>
      <c r="C437" s="19">
        <v>-792.21851770000001</v>
      </c>
      <c r="E437" s="9">
        <f t="shared" si="129"/>
        <v>-735.64969169999995</v>
      </c>
      <c r="F437" s="9">
        <f t="shared" si="130"/>
        <v>-252.21851770000001</v>
      </c>
      <c r="I437">
        <v>1</v>
      </c>
      <c r="J437">
        <f t="shared" si="125"/>
        <v>0.47894579290464556</v>
      </c>
      <c r="K437">
        <f t="shared" si="131"/>
        <v>-2.8113004485151363</v>
      </c>
      <c r="O437">
        <f t="shared" si="132"/>
        <v>-0.43593413447736196</v>
      </c>
      <c r="P437">
        <f t="shared" si="133"/>
        <v>-0.1494606229748151</v>
      </c>
      <c r="Q437">
        <f t="shared" si="134"/>
        <v>0.88748124069044609</v>
      </c>
      <c r="R437">
        <f t="shared" si="124"/>
        <v>1</v>
      </c>
      <c r="AG437" s="8">
        <f t="shared" si="126"/>
        <v>-0.32928508553404839</v>
      </c>
      <c r="AH437" s="8">
        <f t="shared" si="127"/>
        <v>0.88974071470331539</v>
      </c>
      <c r="AI437" s="8">
        <f t="shared" si="128"/>
        <v>0.3161214846290395</v>
      </c>
      <c r="AJ437" s="8"/>
      <c r="AK437" s="8"/>
      <c r="AL437" s="8"/>
      <c r="AN437" s="8">
        <f t="shared" si="135"/>
        <v>1</v>
      </c>
      <c r="AO437" s="8">
        <f t="shared" si="136"/>
        <v>1.9252563398291447</v>
      </c>
      <c r="AP437" s="8">
        <f t="shared" si="137"/>
        <v>1.2491578007262065</v>
      </c>
      <c r="AQ437" s="8"/>
      <c r="AR437" s="8">
        <f t="shared" si="138"/>
        <v>110.30906275301457</v>
      </c>
      <c r="AS437" s="8">
        <f t="shared" si="139"/>
        <v>18.428530072544447</v>
      </c>
    </row>
    <row r="438" spans="1:45">
      <c r="A438" s="19">
        <v>119.7529667</v>
      </c>
      <c r="B438" s="19">
        <v>224.0324263</v>
      </c>
      <c r="C438" s="19">
        <v>-792.19106399999998</v>
      </c>
      <c r="E438" s="9">
        <f t="shared" si="129"/>
        <v>-735.9675737</v>
      </c>
      <c r="F438" s="9">
        <f t="shared" si="130"/>
        <v>-252.19106399999998</v>
      </c>
      <c r="I438">
        <v>1</v>
      </c>
      <c r="J438">
        <f t="shared" si="125"/>
        <v>0.47910123893648965</v>
      </c>
      <c r="K438">
        <f t="shared" si="131"/>
        <v>-2.8114663467839014</v>
      </c>
      <c r="O438">
        <f t="shared" si="132"/>
        <v>-0.43608942450695726</v>
      </c>
      <c r="P438">
        <f t="shared" si="133"/>
        <v>-0.14943301837695805</v>
      </c>
      <c r="Q438">
        <f t="shared" si="134"/>
        <v>0.88740959362176297</v>
      </c>
      <c r="R438">
        <f t="shared" si="124"/>
        <v>1</v>
      </c>
      <c r="AG438" s="8">
        <f t="shared" si="126"/>
        <v>-0.32913059204035072</v>
      </c>
      <c r="AH438" s="8">
        <f t="shared" si="127"/>
        <v>0.8898105274714152</v>
      </c>
      <c r="AI438" s="8">
        <f t="shared" si="128"/>
        <v>0.31608587216800732</v>
      </c>
      <c r="AJ438" s="8"/>
      <c r="AK438" s="8"/>
      <c r="AL438" s="8"/>
      <c r="AN438" s="8">
        <f t="shared" si="135"/>
        <v>0.99999999999999978</v>
      </c>
      <c r="AO438" s="8">
        <f t="shared" si="136"/>
        <v>1.9250780804194807</v>
      </c>
      <c r="AP438" s="8">
        <f t="shared" si="137"/>
        <v>1.2491953379199285</v>
      </c>
      <c r="AQ438" s="8"/>
      <c r="AR438" s="8">
        <f t="shared" si="138"/>
        <v>110.29884924118232</v>
      </c>
      <c r="AS438" s="8">
        <f t="shared" si="139"/>
        <v>18.426379349769405</v>
      </c>
    </row>
    <row r="439" spans="1:45">
      <c r="A439" s="19">
        <v>119.7863333</v>
      </c>
      <c r="B439" s="19">
        <v>223.59826910000001</v>
      </c>
      <c r="C439" s="19">
        <v>-792.23497369999995</v>
      </c>
      <c r="E439" s="9">
        <f t="shared" si="129"/>
        <v>-736.40173089999996</v>
      </c>
      <c r="F439" s="9">
        <f t="shared" si="130"/>
        <v>-252.23497369999995</v>
      </c>
      <c r="I439">
        <v>1</v>
      </c>
      <c r="J439">
        <f t="shared" si="125"/>
        <v>0.47932756905103374</v>
      </c>
      <c r="K439">
        <f t="shared" si="131"/>
        <v>-2.8115937858541744</v>
      </c>
      <c r="O439">
        <f t="shared" si="132"/>
        <v>-0.43629846372656039</v>
      </c>
      <c r="P439">
        <f t="shared" si="133"/>
        <v>-0.14944252152818965</v>
      </c>
      <c r="Q439">
        <f t="shared" si="134"/>
        <v>0.88730523683180174</v>
      </c>
      <c r="R439">
        <f t="shared" si="124"/>
        <v>1</v>
      </c>
      <c r="AG439" s="8">
        <f t="shared" si="126"/>
        <v>-0.32894095179359467</v>
      </c>
      <c r="AH439" s="8">
        <f t="shared" si="127"/>
        <v>0.8899128838197029</v>
      </c>
      <c r="AI439" s="8">
        <f t="shared" si="128"/>
        <v>0.31599510984321261</v>
      </c>
      <c r="AJ439" s="8"/>
      <c r="AK439" s="8"/>
      <c r="AL439" s="8"/>
      <c r="AN439" s="8">
        <f t="shared" si="135"/>
        <v>1</v>
      </c>
      <c r="AO439" s="8">
        <f t="shared" si="136"/>
        <v>1.9248531850124211</v>
      </c>
      <c r="AP439" s="8">
        <f t="shared" si="137"/>
        <v>1.2492910035177807</v>
      </c>
      <c r="AQ439" s="8"/>
      <c r="AR439" s="8">
        <f t="shared" si="138"/>
        <v>110.28596368352594</v>
      </c>
      <c r="AS439" s="8">
        <f t="shared" si="139"/>
        <v>18.42089811476788</v>
      </c>
    </row>
    <row r="440" spans="1:45">
      <c r="A440" s="19">
        <v>119.8197</v>
      </c>
      <c r="B440" s="19">
        <v>223.0948669</v>
      </c>
      <c r="C440" s="19">
        <v>-792.20965139999998</v>
      </c>
      <c r="E440" s="9">
        <f t="shared" si="129"/>
        <v>-736.90513310000006</v>
      </c>
      <c r="F440" s="9">
        <f t="shared" si="130"/>
        <v>-252.20965139999998</v>
      </c>
      <c r="I440">
        <v>1</v>
      </c>
      <c r="J440">
        <f t="shared" si="125"/>
        <v>0.47957679629181615</v>
      </c>
      <c r="K440">
        <f t="shared" si="131"/>
        <v>-2.8118339791477887</v>
      </c>
      <c r="O440">
        <f t="shared" si="132"/>
        <v>-0.43654355837109299</v>
      </c>
      <c r="P440">
        <f t="shared" si="133"/>
        <v>-0.14940932520651604</v>
      </c>
      <c r="Q440">
        <f t="shared" si="134"/>
        <v>0.88719027000189632</v>
      </c>
      <c r="R440">
        <f t="shared" si="124"/>
        <v>1</v>
      </c>
      <c r="AG440" s="8">
        <f t="shared" si="126"/>
        <v>-0.32870111170386368</v>
      </c>
      <c r="AH440" s="8">
        <f t="shared" si="127"/>
        <v>0.89002485824409394</v>
      </c>
      <c r="AI440" s="8">
        <f t="shared" si="128"/>
        <v>0.31592931309428174</v>
      </c>
      <c r="AJ440" s="8"/>
      <c r="AK440" s="8"/>
      <c r="AL440" s="8"/>
      <c r="AN440" s="8">
        <f t="shared" si="135"/>
        <v>1</v>
      </c>
      <c r="AO440" s="8">
        <f t="shared" si="136"/>
        <v>1.9245751593590519</v>
      </c>
      <c r="AP440" s="8">
        <f t="shared" si="137"/>
        <v>1.2493603529131634</v>
      </c>
      <c r="AQ440" s="8"/>
      <c r="AR440" s="8">
        <f t="shared" si="138"/>
        <v>110.27003398699151</v>
      </c>
      <c r="AS440" s="8">
        <f t="shared" si="139"/>
        <v>18.416924687100675</v>
      </c>
    </row>
    <row r="441" spans="1:45">
      <c r="A441" s="19">
        <v>119.8530667</v>
      </c>
      <c r="B441" s="19">
        <v>222.9178125</v>
      </c>
      <c r="C441" s="19">
        <v>-792.25394010000002</v>
      </c>
      <c r="E441" s="9">
        <f t="shared" si="129"/>
        <v>-737.08218750000003</v>
      </c>
      <c r="F441" s="9">
        <f t="shared" si="130"/>
        <v>-252.25394010000002</v>
      </c>
      <c r="I441">
        <v>1</v>
      </c>
      <c r="J441">
        <f t="shared" si="125"/>
        <v>0.47967361277981779</v>
      </c>
      <c r="K441">
        <f t="shared" si="131"/>
        <v>-2.8118537857460923</v>
      </c>
      <c r="O441">
        <f t="shared" si="132"/>
        <v>-0.43662778276764436</v>
      </c>
      <c r="P441">
        <f t="shared" si="133"/>
        <v>-0.1494284903747797</v>
      </c>
      <c r="Q441">
        <f t="shared" si="134"/>
        <v>0.88714559435288021</v>
      </c>
      <c r="R441">
        <f t="shared" si="124"/>
        <v>1</v>
      </c>
      <c r="AG441" s="8">
        <f t="shared" si="126"/>
        <v>-0.32863070942945438</v>
      </c>
      <c r="AH441" s="8">
        <f t="shared" si="127"/>
        <v>0.89006883624350985</v>
      </c>
      <c r="AI441" s="8">
        <f t="shared" si="128"/>
        <v>0.31587865323256276</v>
      </c>
      <c r="AJ441" s="8"/>
      <c r="AK441" s="8"/>
      <c r="AL441" s="8"/>
      <c r="AN441" s="8">
        <f t="shared" si="135"/>
        <v>1</v>
      </c>
      <c r="AO441" s="8">
        <f t="shared" si="136"/>
        <v>1.9244894950717648</v>
      </c>
      <c r="AP441" s="8">
        <f t="shared" si="137"/>
        <v>1.249413747025202</v>
      </c>
      <c r="AQ441" s="8"/>
      <c r="AR441" s="8">
        <f t="shared" si="138"/>
        <v>110.26512578487497</v>
      </c>
      <c r="AS441" s="8">
        <f t="shared" si="139"/>
        <v>18.413865429830011</v>
      </c>
    </row>
    <row r="442" spans="1:45">
      <c r="A442" s="19">
        <v>119.88643329999999</v>
      </c>
      <c r="B442" s="19">
        <v>222.39731280000001</v>
      </c>
      <c r="C442" s="19">
        <v>-792.2124665</v>
      </c>
      <c r="E442" s="9">
        <f t="shared" si="129"/>
        <v>-737.60268719999999</v>
      </c>
      <c r="F442" s="9">
        <f t="shared" si="130"/>
        <v>-252.2124665</v>
      </c>
      <c r="I442">
        <v>1</v>
      </c>
      <c r="J442">
        <f t="shared" si="125"/>
        <v>0.47992860770846651</v>
      </c>
      <c r="K442">
        <f t="shared" si="131"/>
        <v>-2.8121203241566066</v>
      </c>
      <c r="O442">
        <f t="shared" si="132"/>
        <v>-0.43688163159615451</v>
      </c>
      <c r="P442">
        <f t="shared" si="133"/>
        <v>-0.14938529344529555</v>
      </c>
      <c r="Q442">
        <f t="shared" si="134"/>
        <v>0.88702788799233634</v>
      </c>
      <c r="R442">
        <f t="shared" si="124"/>
        <v>1</v>
      </c>
      <c r="AG442" s="8">
        <f t="shared" si="126"/>
        <v>-0.3283787644184929</v>
      </c>
      <c r="AH442" s="8">
        <f t="shared" si="127"/>
        <v>0.89018315311236851</v>
      </c>
      <c r="AI442" s="8">
        <f t="shared" si="128"/>
        <v>0.3158185254127841</v>
      </c>
      <c r="AJ442" s="8"/>
      <c r="AK442" s="8"/>
      <c r="AL442" s="8"/>
      <c r="AN442" s="8">
        <f t="shared" si="135"/>
        <v>1</v>
      </c>
      <c r="AO442" s="8">
        <f t="shared" si="136"/>
        <v>1.9241986653632395</v>
      </c>
      <c r="AP442" s="8">
        <f t="shared" si="137"/>
        <v>1.2494771188749447</v>
      </c>
      <c r="AQ442" s="8"/>
      <c r="AR442" s="8">
        <f t="shared" si="138"/>
        <v>110.24846247001945</v>
      </c>
      <c r="AS442" s="8">
        <f t="shared" si="139"/>
        <v>18.410234490299814</v>
      </c>
    </row>
    <row r="443" spans="1:45">
      <c r="A443" s="19">
        <v>119.9198</v>
      </c>
      <c r="B443" s="19">
        <v>222.096384</v>
      </c>
      <c r="C443" s="19">
        <v>-792.19808850000004</v>
      </c>
      <c r="E443" s="9">
        <f t="shared" si="129"/>
        <v>-737.90361600000006</v>
      </c>
      <c r="F443" s="9">
        <f t="shared" si="130"/>
        <v>-252.19808850000004</v>
      </c>
      <c r="I443">
        <v>1</v>
      </c>
      <c r="J443">
        <f t="shared" si="125"/>
        <v>0.48007766957451709</v>
      </c>
      <c r="K443">
        <f t="shared" si="131"/>
        <v>-2.8122626256343799</v>
      </c>
      <c r="O443">
        <f t="shared" si="132"/>
        <v>-0.43702799638492978</v>
      </c>
      <c r="P443">
        <f t="shared" si="133"/>
        <v>-0.14936588318502603</v>
      </c>
      <c r="Q443">
        <f t="shared" si="134"/>
        <v>0.88695905391180885</v>
      </c>
      <c r="R443">
        <f t="shared" si="124"/>
        <v>1</v>
      </c>
      <c r="AG443" s="8">
        <f t="shared" si="126"/>
        <v>-0.32823563522888</v>
      </c>
      <c r="AH443" s="8">
        <f t="shared" si="127"/>
        <v>0.89025003311672124</v>
      </c>
      <c r="AI443" s="8">
        <f t="shared" si="128"/>
        <v>0.31577879330564695</v>
      </c>
      <c r="AJ443" s="8"/>
      <c r="AK443" s="8"/>
      <c r="AL443" s="8"/>
      <c r="AN443" s="8">
        <f t="shared" si="135"/>
        <v>1</v>
      </c>
      <c r="AO443" s="8">
        <f t="shared" si="136"/>
        <v>1.9240327451759098</v>
      </c>
      <c r="AP443" s="8">
        <f t="shared" si="137"/>
        <v>1.2495189938843629</v>
      </c>
      <c r="AQ443" s="8"/>
      <c r="AR443" s="8">
        <f t="shared" si="138"/>
        <v>110.23895594354944</v>
      </c>
      <c r="AS443" s="8">
        <f t="shared" si="139"/>
        <v>18.407835228993079</v>
      </c>
    </row>
    <row r="444" spans="1:45">
      <c r="A444" s="19">
        <v>119.9531667</v>
      </c>
      <c r="B444" s="19">
        <v>221.68984499999999</v>
      </c>
      <c r="C444" s="19">
        <v>-792.23639479999997</v>
      </c>
      <c r="E444" s="9">
        <f t="shared" si="129"/>
        <v>-738.31015500000001</v>
      </c>
      <c r="F444" s="9">
        <f t="shared" si="130"/>
        <v>-252.23639479999997</v>
      </c>
      <c r="I444">
        <v>1</v>
      </c>
      <c r="J444">
        <f t="shared" si="125"/>
        <v>0.48028895061844501</v>
      </c>
      <c r="K444">
        <f t="shared" si="131"/>
        <v>-2.8123846837166502</v>
      </c>
      <c r="O444">
        <f t="shared" si="132"/>
        <v>-0.43722354882452591</v>
      </c>
      <c r="P444">
        <f t="shared" si="133"/>
        <v>-0.14937312040244155</v>
      </c>
      <c r="Q444">
        <f t="shared" si="134"/>
        <v>0.88686145437408948</v>
      </c>
      <c r="R444">
        <f t="shared" si="124"/>
        <v>1</v>
      </c>
      <c r="AG444" s="8">
        <f t="shared" si="126"/>
        <v>-0.32805742807036831</v>
      </c>
      <c r="AH444" s="8">
        <f t="shared" si="127"/>
        <v>0.89034534058985559</v>
      </c>
      <c r="AI444" s="8">
        <f t="shared" si="128"/>
        <v>0.31569526188682212</v>
      </c>
      <c r="AJ444" s="8"/>
      <c r="AK444" s="8"/>
      <c r="AL444" s="8"/>
      <c r="AN444" s="8">
        <f t="shared" si="135"/>
        <v>1</v>
      </c>
      <c r="AO444" s="8">
        <f t="shared" si="136"/>
        <v>1.9238217820495291</v>
      </c>
      <c r="AP444" s="8">
        <f t="shared" si="137"/>
        <v>1.2496070285644072</v>
      </c>
      <c r="AQ444" s="8"/>
      <c r="AR444" s="8">
        <f t="shared" si="138"/>
        <v>110.22686864677493</v>
      </c>
      <c r="AS444" s="8">
        <f t="shared" si="139"/>
        <v>18.402791213375764</v>
      </c>
    </row>
    <row r="445" spans="1:45">
      <c r="A445" s="19">
        <v>119.9865333</v>
      </c>
      <c r="B445" s="19">
        <v>221.39871690000001</v>
      </c>
      <c r="C445" s="19">
        <v>-792.21692370000005</v>
      </c>
      <c r="E445" s="9">
        <f t="shared" si="129"/>
        <v>-738.60128310000005</v>
      </c>
      <c r="F445" s="9">
        <f t="shared" si="130"/>
        <v>-252.21692370000005</v>
      </c>
      <c r="I445">
        <v>1</v>
      </c>
      <c r="J445">
        <f t="shared" si="125"/>
        <v>0.48043216460900845</v>
      </c>
      <c r="K445">
        <f t="shared" si="131"/>
        <v>-2.8125288843226031</v>
      </c>
      <c r="O445">
        <f t="shared" si="132"/>
        <v>-0.43736527572232031</v>
      </c>
      <c r="P445">
        <f t="shared" si="133"/>
        <v>-0.14935111392292399</v>
      </c>
      <c r="Q445">
        <f t="shared" si="134"/>
        <v>0.88679527533829394</v>
      </c>
      <c r="R445">
        <f t="shared" si="124"/>
        <v>1</v>
      </c>
      <c r="AG445" s="8">
        <f t="shared" si="126"/>
        <v>-0.32791753082443897</v>
      </c>
      <c r="AH445" s="8">
        <f t="shared" si="127"/>
        <v>0.89040948377559626</v>
      </c>
      <c r="AI445" s="8">
        <f t="shared" si="128"/>
        <v>0.31565969679463257</v>
      </c>
      <c r="AJ445" s="8"/>
      <c r="AK445" s="8"/>
      <c r="AL445" s="8"/>
      <c r="AN445" s="8">
        <f t="shared" si="135"/>
        <v>1</v>
      </c>
      <c r="AO445" s="8">
        <f t="shared" si="136"/>
        <v>1.923660067296864</v>
      </c>
      <c r="AP445" s="8">
        <f t="shared" si="137"/>
        <v>1.2496445102231353</v>
      </c>
      <c r="AQ445" s="8"/>
      <c r="AR445" s="8">
        <f t="shared" si="138"/>
        <v>110.21760307396222</v>
      </c>
      <c r="AS445" s="8">
        <f t="shared" si="139"/>
        <v>18.400643672521497</v>
      </c>
    </row>
    <row r="446" spans="1:45">
      <c r="A446" s="19">
        <v>120.01990000000001</v>
      </c>
      <c r="B446" s="19">
        <v>220.74769979999999</v>
      </c>
      <c r="C446" s="19">
        <v>-792.23647070000004</v>
      </c>
      <c r="E446" s="9">
        <f t="shared" si="129"/>
        <v>-739.25230020000004</v>
      </c>
      <c r="F446" s="9">
        <f t="shared" si="130"/>
        <v>-252.23647070000004</v>
      </c>
      <c r="I446">
        <v>1</v>
      </c>
      <c r="J446">
        <f t="shared" si="125"/>
        <v>0.48076320652870469</v>
      </c>
      <c r="K446">
        <f t="shared" si="131"/>
        <v>-2.8127745412641398</v>
      </c>
      <c r="O446">
        <f t="shared" si="132"/>
        <v>-0.43767976618225091</v>
      </c>
      <c r="P446">
        <f t="shared" si="133"/>
        <v>-0.14933845926315617</v>
      </c>
      <c r="Q446">
        <f t="shared" si="134"/>
        <v>0.88664223160165156</v>
      </c>
      <c r="R446">
        <f t="shared" si="124"/>
        <v>1</v>
      </c>
      <c r="AG446" s="8">
        <f t="shared" si="126"/>
        <v>-0.32762127349773762</v>
      </c>
      <c r="AH446" s="8">
        <f t="shared" si="127"/>
        <v>0.89055827923779218</v>
      </c>
      <c r="AI446" s="8">
        <f t="shared" si="128"/>
        <v>0.31554754385471451</v>
      </c>
      <c r="AJ446" s="8"/>
      <c r="AK446" s="8"/>
      <c r="AL446" s="8"/>
      <c r="AN446" s="8">
        <f t="shared" si="135"/>
        <v>0.99999999999999989</v>
      </c>
      <c r="AO446" s="8">
        <f t="shared" si="136"/>
        <v>1.9233129049897852</v>
      </c>
      <c r="AP446" s="8">
        <f t="shared" si="137"/>
        <v>1.2497627039102865</v>
      </c>
      <c r="AQ446" s="8"/>
      <c r="AR446" s="8">
        <f t="shared" si="138"/>
        <v>110.19771213896058</v>
      </c>
      <c r="AS446" s="8">
        <f t="shared" si="139"/>
        <v>18.393871673082629</v>
      </c>
    </row>
    <row r="447" spans="1:45">
      <c r="A447" s="19">
        <v>120.05326669999999</v>
      </c>
      <c r="B447" s="19">
        <v>220.56955049999999</v>
      </c>
      <c r="C447" s="19">
        <v>-792.22613409999997</v>
      </c>
      <c r="E447" s="9">
        <f t="shared" si="129"/>
        <v>-739.43044950000001</v>
      </c>
      <c r="F447" s="9">
        <f t="shared" si="130"/>
        <v>-252.22613409999997</v>
      </c>
      <c r="I447">
        <v>1</v>
      </c>
      <c r="J447">
        <f t="shared" si="125"/>
        <v>0.48085108772503421</v>
      </c>
      <c r="K447">
        <f t="shared" si="131"/>
        <v>-2.8128606984546103</v>
      </c>
      <c r="O447">
        <f t="shared" si="132"/>
        <v>-0.4377663762510689</v>
      </c>
      <c r="P447">
        <f t="shared" si="133"/>
        <v>-0.14932590454644679</v>
      </c>
      <c r="Q447">
        <f t="shared" si="134"/>
        <v>0.88660158699124436</v>
      </c>
      <c r="R447">
        <f t="shared" si="124"/>
        <v>1</v>
      </c>
      <c r="AG447" s="8">
        <f t="shared" si="126"/>
        <v>-0.32753610214512485</v>
      </c>
      <c r="AH447" s="8">
        <f t="shared" si="127"/>
        <v>0.89059760855047565</v>
      </c>
      <c r="AI447" s="8">
        <f t="shared" si="128"/>
        <v>0.31552496166825211</v>
      </c>
      <c r="AJ447" s="8"/>
      <c r="AK447" s="8"/>
      <c r="AL447" s="8"/>
      <c r="AN447" s="8">
        <f t="shared" si="135"/>
        <v>0.99999999999999989</v>
      </c>
      <c r="AO447" s="8">
        <f t="shared" si="136"/>
        <v>1.9232143581893033</v>
      </c>
      <c r="AP447" s="8">
        <f t="shared" si="137"/>
        <v>1.249786501849643</v>
      </c>
      <c r="AQ447" s="8"/>
      <c r="AR447" s="8">
        <f t="shared" si="138"/>
        <v>110.19206582320845</v>
      </c>
      <c r="AS447" s="8">
        <f t="shared" si="139"/>
        <v>18.392508151596402</v>
      </c>
    </row>
    <row r="448" spans="1:45">
      <c r="A448" s="19">
        <v>120.0866333</v>
      </c>
      <c r="B448" s="19">
        <v>220.52265639999999</v>
      </c>
      <c r="C448" s="19">
        <v>-792.16386</v>
      </c>
      <c r="E448" s="9">
        <f t="shared" si="129"/>
        <v>-739.47734360000004</v>
      </c>
      <c r="F448" s="9">
        <f t="shared" si="130"/>
        <v>-252.16386</v>
      </c>
      <c r="I448">
        <v>1</v>
      </c>
      <c r="J448">
        <f t="shared" si="125"/>
        <v>0.48086399875112729</v>
      </c>
      <c r="K448">
        <f t="shared" si="131"/>
        <v>-2.812955514666915</v>
      </c>
      <c r="O448">
        <f t="shared" si="132"/>
        <v>-0.43779136709501598</v>
      </c>
      <c r="P448">
        <f t="shared" si="133"/>
        <v>-0.14928809105079419</v>
      </c>
      <c r="Q448">
        <f t="shared" si="134"/>
        <v>0.88659561512985541</v>
      </c>
      <c r="R448">
        <f t="shared" si="124"/>
        <v>1</v>
      </c>
      <c r="AG448" s="8">
        <f t="shared" si="126"/>
        <v>-0.3274980734553774</v>
      </c>
      <c r="AH448" s="8">
        <f t="shared" si="127"/>
        <v>0.89060279293842237</v>
      </c>
      <c r="AI448" s="8">
        <f t="shared" si="128"/>
        <v>0.31554980128863608</v>
      </c>
      <c r="AJ448" s="8"/>
      <c r="AK448" s="8"/>
      <c r="AL448" s="8"/>
      <c r="AN448" s="8">
        <f t="shared" si="135"/>
        <v>0.99999999999999989</v>
      </c>
      <c r="AO448" s="8">
        <f t="shared" si="136"/>
        <v>1.9231748591821254</v>
      </c>
      <c r="AP448" s="8">
        <f t="shared" si="137"/>
        <v>1.2497603249329687</v>
      </c>
      <c r="AQ448" s="8"/>
      <c r="AR448" s="8">
        <f t="shared" si="138"/>
        <v>110.1898026968022</v>
      </c>
      <c r="AS448" s="8">
        <f t="shared" si="139"/>
        <v>18.394007978442502</v>
      </c>
    </row>
    <row r="449" spans="1:45">
      <c r="A449" s="19">
        <v>120.12</v>
      </c>
      <c r="B449" s="19">
        <v>220.00653929999999</v>
      </c>
      <c r="C449" s="19">
        <v>-792.40272419999997</v>
      </c>
      <c r="E449" s="9">
        <f t="shared" si="129"/>
        <v>-739.99346070000001</v>
      </c>
      <c r="F449" s="9">
        <f t="shared" si="130"/>
        <v>-252.40272419999997</v>
      </c>
      <c r="I449">
        <v>1</v>
      </c>
      <c r="J449">
        <f t="shared" si="125"/>
        <v>0.48116468596747752</v>
      </c>
      <c r="K449">
        <f t="shared" si="131"/>
        <v>-2.8128794105746104</v>
      </c>
      <c r="O449">
        <f t="shared" si="132"/>
        <v>-0.43803229905279817</v>
      </c>
      <c r="P449">
        <f t="shared" si="133"/>
        <v>-0.14940746295775395</v>
      </c>
      <c r="Q449">
        <f t="shared" si="134"/>
        <v>0.88645649357373846</v>
      </c>
      <c r="R449">
        <f t="shared" si="124"/>
        <v>1</v>
      </c>
      <c r="AG449" s="8">
        <f t="shared" si="126"/>
        <v>-0.32732180581228593</v>
      </c>
      <c r="AH449" s="8">
        <f t="shared" si="127"/>
        <v>0.89073996853343351</v>
      </c>
      <c r="AI449" s="8">
        <f t="shared" si="128"/>
        <v>0.31534543582687535</v>
      </c>
      <c r="AJ449" s="8"/>
      <c r="AK449" s="8"/>
      <c r="AL449" s="8"/>
      <c r="AN449" s="8">
        <f t="shared" si="135"/>
        <v>0.99999999999999989</v>
      </c>
      <c r="AO449" s="8">
        <f t="shared" si="136"/>
        <v>1.9229506383966892</v>
      </c>
      <c r="AP449" s="8">
        <f t="shared" si="137"/>
        <v>1.2499756860919109</v>
      </c>
      <c r="AQ449" s="8"/>
      <c r="AR449" s="8">
        <f t="shared" si="138"/>
        <v>110.1769557921176</v>
      </c>
      <c r="AS449" s="8">
        <f t="shared" si="139"/>
        <v>18.38166869296407</v>
      </c>
    </row>
    <row r="450" spans="1:45">
      <c r="A450" s="19">
        <v>120.15336670000001</v>
      </c>
      <c r="B450" s="19">
        <v>219.67607219999999</v>
      </c>
      <c r="C450" s="19">
        <v>-792.26414380000006</v>
      </c>
      <c r="E450" s="9">
        <f t="shared" si="129"/>
        <v>-740.32392779999998</v>
      </c>
      <c r="F450" s="9">
        <f t="shared" si="130"/>
        <v>-252.26414380000006</v>
      </c>
      <c r="I450">
        <v>1</v>
      </c>
      <c r="J450">
        <f t="shared" si="125"/>
        <v>0.48130716983857413</v>
      </c>
      <c r="K450">
        <f t="shared" si="131"/>
        <v>-2.8131835107296532</v>
      </c>
      <c r="O450">
        <f t="shared" si="132"/>
        <v>-0.43819726473406406</v>
      </c>
      <c r="P450">
        <f t="shared" si="133"/>
        <v>-0.14931498720044564</v>
      </c>
      <c r="Q450">
        <f t="shared" si="134"/>
        <v>0.886390541339942</v>
      </c>
      <c r="R450">
        <f t="shared" si="124"/>
        <v>1</v>
      </c>
      <c r="AG450" s="8">
        <f t="shared" si="126"/>
        <v>-0.32713255602307462</v>
      </c>
      <c r="AH450" s="8">
        <f t="shared" si="127"/>
        <v>0.89080247271272472</v>
      </c>
      <c r="AI450" s="8">
        <f t="shared" si="128"/>
        <v>0.3153652571205417</v>
      </c>
      <c r="AJ450" s="8"/>
      <c r="AK450" s="8"/>
      <c r="AL450" s="8"/>
      <c r="AN450" s="8">
        <f t="shared" si="135"/>
        <v>1.0000000000000002</v>
      </c>
      <c r="AO450" s="8">
        <f t="shared" si="136"/>
        <v>1.9227407320922238</v>
      </c>
      <c r="AP450" s="8">
        <f t="shared" si="137"/>
        <v>1.2499547990067121</v>
      </c>
      <c r="AQ450" s="8"/>
      <c r="AR450" s="8">
        <f t="shared" si="138"/>
        <v>110.16492904677855</v>
      </c>
      <c r="AS450" s="8">
        <f t="shared" si="139"/>
        <v>18.382865434792294</v>
      </c>
    </row>
    <row r="451" spans="1:45">
      <c r="A451" s="19">
        <v>120.1867333</v>
      </c>
      <c r="B451" s="19">
        <v>219.38592779999999</v>
      </c>
      <c r="C451" s="19">
        <v>-792.25241059999996</v>
      </c>
      <c r="E451" s="9">
        <f t="shared" si="129"/>
        <v>-740.61407220000001</v>
      </c>
      <c r="F451" s="9">
        <f t="shared" si="130"/>
        <v>-252.25241059999996</v>
      </c>
      <c r="I451">
        <v>1</v>
      </c>
      <c r="J451">
        <f t="shared" si="125"/>
        <v>0.4814511149045041</v>
      </c>
      <c r="K451">
        <f t="shared" si="131"/>
        <v>-2.8133173162137886</v>
      </c>
      <c r="O451">
        <f t="shared" si="132"/>
        <v>-0.43833801356609148</v>
      </c>
      <c r="P451">
        <f t="shared" si="133"/>
        <v>-0.14929748803071979</v>
      </c>
      <c r="Q451">
        <f t="shared" si="134"/>
        <v>0.8863238944825137</v>
      </c>
      <c r="R451">
        <f t="shared" si="124"/>
        <v>1</v>
      </c>
      <c r="AG451" s="8">
        <f t="shared" si="126"/>
        <v>-0.32699522356286026</v>
      </c>
      <c r="AH451" s="8">
        <f t="shared" si="127"/>
        <v>0.89086684759556656</v>
      </c>
      <c r="AI451" s="8">
        <f t="shared" si="128"/>
        <v>0.31532583722589647</v>
      </c>
      <c r="AJ451" s="8"/>
      <c r="AK451" s="8"/>
      <c r="AL451" s="8"/>
      <c r="AN451" s="8">
        <f t="shared" si="135"/>
        <v>0.99999999999999989</v>
      </c>
      <c r="AO451" s="8">
        <f t="shared" si="136"/>
        <v>1.9225815026528938</v>
      </c>
      <c r="AP451" s="8">
        <f t="shared" si="137"/>
        <v>1.2499963383676924</v>
      </c>
      <c r="AQ451" s="8"/>
      <c r="AR451" s="8">
        <f t="shared" si="138"/>
        <v>110.15580587193071</v>
      </c>
      <c r="AS451" s="8">
        <f t="shared" si="139"/>
        <v>18.380485404724453</v>
      </c>
    </row>
    <row r="452" spans="1:45">
      <c r="A452" s="19">
        <v>120.2201</v>
      </c>
      <c r="B452" s="19">
        <v>218.63165140000001</v>
      </c>
      <c r="C452" s="19">
        <v>-792.21713869999996</v>
      </c>
      <c r="E452" s="9">
        <f t="shared" si="129"/>
        <v>-741.36834859999999</v>
      </c>
      <c r="F452" s="9">
        <f t="shared" si="130"/>
        <v>-252.21713869999996</v>
      </c>
      <c r="I452">
        <v>1</v>
      </c>
      <c r="J452">
        <f t="shared" si="125"/>
        <v>0.48182444343736797</v>
      </c>
      <c r="K452">
        <f t="shared" si="131"/>
        <v>-2.8136704977925091</v>
      </c>
      <c r="O452">
        <f t="shared" si="132"/>
        <v>-0.43870394285773068</v>
      </c>
      <c r="P452">
        <f t="shared" si="133"/>
        <v>-0.14924922734148835</v>
      </c>
      <c r="Q452">
        <f t="shared" si="134"/>
        <v>0.88615095703782309</v>
      </c>
      <c r="R452">
        <f t="shared" si="124"/>
        <v>1</v>
      </c>
      <c r="AG452" s="8">
        <f t="shared" si="126"/>
        <v>-0.32663701105158838</v>
      </c>
      <c r="AH452" s="8">
        <f t="shared" si="127"/>
        <v>0.89103364072191127</v>
      </c>
      <c r="AI452" s="8">
        <f t="shared" si="128"/>
        <v>0.31522581447771802</v>
      </c>
      <c r="AJ452" s="8"/>
      <c r="AK452" s="8"/>
      <c r="AL452" s="8"/>
      <c r="AN452" s="8">
        <f t="shared" si="135"/>
        <v>1.0000000000000002</v>
      </c>
      <c r="AO452" s="8">
        <f t="shared" si="136"/>
        <v>1.9221666017649661</v>
      </c>
      <c r="AP452" s="8">
        <f t="shared" si="137"/>
        <v>1.2501017364074274</v>
      </c>
      <c r="AQ452" s="8"/>
      <c r="AR452" s="8">
        <f t="shared" si="138"/>
        <v>110.13203380213622</v>
      </c>
      <c r="AS452" s="8">
        <f t="shared" si="139"/>
        <v>18.374446541878683</v>
      </c>
    </row>
    <row r="453" spans="1:45">
      <c r="A453" s="19">
        <v>120.2534667</v>
      </c>
      <c r="B453" s="19">
        <v>218.52153369999999</v>
      </c>
      <c r="C453" s="19">
        <v>-792.21437119999996</v>
      </c>
      <c r="E453" s="9">
        <f t="shared" si="129"/>
        <v>-741.47846630000004</v>
      </c>
      <c r="F453" s="9">
        <f t="shared" si="130"/>
        <v>-252.21437119999996</v>
      </c>
      <c r="I453">
        <v>1</v>
      </c>
      <c r="J453">
        <f t="shared" si="125"/>
        <v>0.48187934604541177</v>
      </c>
      <c r="K453">
        <f t="shared" si="131"/>
        <v>-2.8137191269541724</v>
      </c>
      <c r="O453">
        <f t="shared" si="132"/>
        <v>-0.43875725981390362</v>
      </c>
      <c r="P453">
        <f t="shared" si="133"/>
        <v>-0.1492435605656896</v>
      </c>
      <c r="Q453">
        <f t="shared" si="134"/>
        <v>0.88612551401608453</v>
      </c>
      <c r="R453">
        <f t="shared" si="124"/>
        <v>1</v>
      </c>
      <c r="AG453" s="8">
        <f t="shared" si="126"/>
        <v>-0.32658534609566486</v>
      </c>
      <c r="AH453" s="8">
        <f t="shared" si="127"/>
        <v>0.89105817990596059</v>
      </c>
      <c r="AI453" s="8">
        <f t="shared" si="128"/>
        <v>0.31520998039124898</v>
      </c>
      <c r="AJ453" s="8"/>
      <c r="AK453" s="8"/>
      <c r="AL453" s="8"/>
      <c r="AN453" s="8">
        <f t="shared" si="135"/>
        <v>1</v>
      </c>
      <c r="AO453" s="8">
        <f t="shared" si="136"/>
        <v>1.9221065880425616</v>
      </c>
      <c r="AP453" s="8">
        <f t="shared" si="137"/>
        <v>1.2501184210903107</v>
      </c>
      <c r="AQ453" s="8"/>
      <c r="AR453" s="8">
        <f t="shared" si="138"/>
        <v>110.12859526912956</v>
      </c>
      <c r="AS453" s="8">
        <f t="shared" si="139"/>
        <v>18.373490579966955</v>
      </c>
    </row>
    <row r="454" spans="1:45">
      <c r="A454" s="19">
        <v>120.2868333</v>
      </c>
      <c r="B454" s="19">
        <v>218.4826668</v>
      </c>
      <c r="C454" s="19">
        <v>-792.21376110000006</v>
      </c>
      <c r="E454" s="9">
        <f t="shared" si="129"/>
        <v>-741.51733319999994</v>
      </c>
      <c r="F454" s="9">
        <f t="shared" si="130"/>
        <v>-252.21376110000006</v>
      </c>
      <c r="I454">
        <v>1</v>
      </c>
      <c r="J454">
        <f t="shared" si="125"/>
        <v>0.48189878657530072</v>
      </c>
      <c r="K454">
        <f t="shared" si="131"/>
        <v>-2.8137358446707257</v>
      </c>
      <c r="O454">
        <f t="shared" si="132"/>
        <v>-0.43877606384202927</v>
      </c>
      <c r="P454">
        <f t="shared" si="133"/>
        <v>-0.14924177276433748</v>
      </c>
      <c r="Q454">
        <f t="shared" si="134"/>
        <v>0.88611650422585708</v>
      </c>
      <c r="R454">
        <f t="shared" si="124"/>
        <v>1</v>
      </c>
      <c r="AG454" s="8">
        <f t="shared" si="126"/>
        <v>-0.32656720705931552</v>
      </c>
      <c r="AH454" s="8">
        <f t="shared" si="127"/>
        <v>0.89106687191944922</v>
      </c>
      <c r="AI454" s="8">
        <f t="shared" si="128"/>
        <v>0.3152042021311996</v>
      </c>
      <c r="AJ454" s="8"/>
      <c r="AK454" s="8"/>
      <c r="AL454" s="8"/>
      <c r="AN454" s="8">
        <f t="shared" si="135"/>
        <v>1.0000000000000002</v>
      </c>
      <c r="AO454" s="8">
        <f t="shared" si="136"/>
        <v>1.9220854902385236</v>
      </c>
      <c r="AP454" s="8">
        <f t="shared" si="137"/>
        <v>1.2501245097315539</v>
      </c>
      <c r="AQ454" s="8"/>
      <c r="AR454" s="8">
        <f t="shared" si="138"/>
        <v>110.1273864540012</v>
      </c>
      <c r="AS454" s="8">
        <f t="shared" si="139"/>
        <v>18.373141726520757</v>
      </c>
    </row>
    <row r="455" spans="1:45">
      <c r="A455" s="19">
        <v>120.3202</v>
      </c>
      <c r="B455" s="19">
        <v>217.5995317</v>
      </c>
      <c r="C455" s="19">
        <v>-792.21925669999996</v>
      </c>
      <c r="E455" s="9">
        <f t="shared" si="129"/>
        <v>-742.40046830000006</v>
      </c>
      <c r="F455" s="9">
        <f t="shared" si="130"/>
        <v>-252.21925669999996</v>
      </c>
      <c r="I455">
        <v>1</v>
      </c>
      <c r="J455">
        <f t="shared" si="125"/>
        <v>0.4823437488895283</v>
      </c>
      <c r="K455">
        <f t="shared" si="131"/>
        <v>-2.8140919072702455</v>
      </c>
      <c r="O455">
        <f t="shared" si="132"/>
        <v>-0.43920246371083915</v>
      </c>
      <c r="P455">
        <f t="shared" si="133"/>
        <v>-0.14921235056817461</v>
      </c>
      <c r="Q455">
        <f t="shared" si="134"/>
        <v>0.88591019313937758</v>
      </c>
      <c r="R455">
        <f t="shared" si="124"/>
        <v>1</v>
      </c>
      <c r="AG455" s="8">
        <f t="shared" si="126"/>
        <v>-0.32616018123797236</v>
      </c>
      <c r="AH455" s="8">
        <f t="shared" si="127"/>
        <v>0.89126589883983232</v>
      </c>
      <c r="AI455" s="8">
        <f t="shared" si="128"/>
        <v>0.31506290441757612</v>
      </c>
      <c r="AJ455" s="8"/>
      <c r="AK455" s="8"/>
      <c r="AL455" s="8"/>
      <c r="AN455" s="8">
        <f t="shared" si="135"/>
        <v>0.99999999999999989</v>
      </c>
      <c r="AO455" s="8">
        <f t="shared" si="136"/>
        <v>1.9216106514934239</v>
      </c>
      <c r="AP455" s="8">
        <f t="shared" si="137"/>
        <v>1.2502733934685635</v>
      </c>
      <c r="AQ455" s="8"/>
      <c r="AR455" s="8">
        <f t="shared" si="138"/>
        <v>110.1001801979577</v>
      </c>
      <c r="AS455" s="8">
        <f t="shared" si="139"/>
        <v>18.364611316751962</v>
      </c>
    </row>
    <row r="456" spans="1:45">
      <c r="A456" s="19">
        <v>120.3535667</v>
      </c>
      <c r="B456" s="19">
        <v>217.44127309999999</v>
      </c>
      <c r="C456" s="19">
        <v>-792.21237140000005</v>
      </c>
      <c r="E456" s="9">
        <f t="shared" si="129"/>
        <v>-742.55872690000001</v>
      </c>
      <c r="F456" s="9">
        <f t="shared" si="130"/>
        <v>-252.21237140000005</v>
      </c>
      <c r="I456">
        <v>1</v>
      </c>
      <c r="J456">
        <f t="shared" si="125"/>
        <v>0.482422127151863</v>
      </c>
      <c r="K456">
        <f t="shared" si="131"/>
        <v>-2.8141651359889988</v>
      </c>
      <c r="O456">
        <f t="shared" si="132"/>
        <v>-0.43927913496971654</v>
      </c>
      <c r="P456">
        <f t="shared" si="133"/>
        <v>-0.14920251870149148</v>
      </c>
      <c r="Q456">
        <f t="shared" si="134"/>
        <v>0.88587383412842069</v>
      </c>
      <c r="R456">
        <f t="shared" si="124"/>
        <v>1</v>
      </c>
      <c r="AG456" s="8">
        <f t="shared" si="126"/>
        <v>-0.3260851908287048</v>
      </c>
      <c r="AH456" s="8">
        <f t="shared" si="127"/>
        <v>0.89130085187457009</v>
      </c>
      <c r="AI456" s="8">
        <f t="shared" si="128"/>
        <v>0.31504164767514936</v>
      </c>
      <c r="AJ456" s="8"/>
      <c r="AK456" s="8"/>
      <c r="AL456" s="8"/>
      <c r="AN456" s="8">
        <f t="shared" si="135"/>
        <v>1.0000000000000002</v>
      </c>
      <c r="AO456" s="8">
        <f t="shared" si="136"/>
        <v>1.921523793461632</v>
      </c>
      <c r="AP456" s="8">
        <f t="shared" si="137"/>
        <v>1.2502957908108976</v>
      </c>
      <c r="AQ456" s="8"/>
      <c r="AR456" s="8">
        <f t="shared" si="138"/>
        <v>110.09520359931921</v>
      </c>
      <c r="AS456" s="8">
        <f t="shared" si="139"/>
        <v>18.363328043563911</v>
      </c>
    </row>
    <row r="457" spans="1:45">
      <c r="A457" s="19">
        <v>120.3869333</v>
      </c>
      <c r="B457" s="19">
        <v>217.2259669</v>
      </c>
      <c r="C457" s="19">
        <v>-792.24640499999998</v>
      </c>
      <c r="E457" s="9">
        <f t="shared" si="129"/>
        <v>-742.7740331</v>
      </c>
      <c r="F457" s="9">
        <f t="shared" si="130"/>
        <v>-252.24640499999998</v>
      </c>
      <c r="I457">
        <v>1</v>
      </c>
      <c r="J457">
        <f t="shared" si="125"/>
        <v>0.48253615958709789</v>
      </c>
      <c r="K457">
        <f t="shared" si="131"/>
        <v>-2.8142123274950683</v>
      </c>
      <c r="O457">
        <f t="shared" si="132"/>
        <v>-0.43938182577812601</v>
      </c>
      <c r="P457">
        <f t="shared" si="133"/>
        <v>-0.14921427114556551</v>
      </c>
      <c r="Q457">
        <f t="shared" si="134"/>
        <v>0.88582092573069082</v>
      </c>
      <c r="R457">
        <f t="shared" si="124"/>
        <v>1</v>
      </c>
      <c r="AG457" s="8">
        <f t="shared" si="126"/>
        <v>-0.32599454782726445</v>
      </c>
      <c r="AH457" s="8">
        <f t="shared" si="127"/>
        <v>0.89135215070672991</v>
      </c>
      <c r="AI457" s="8">
        <f t="shared" si="128"/>
        <v>0.31499031448186526</v>
      </c>
      <c r="AJ457" s="8"/>
      <c r="AK457" s="8"/>
      <c r="AL457" s="8"/>
      <c r="AN457" s="8">
        <f t="shared" si="135"/>
        <v>1</v>
      </c>
      <c r="AO457" s="8">
        <f t="shared" si="136"/>
        <v>1.9214155321708959</v>
      </c>
      <c r="AP457" s="8">
        <f t="shared" si="137"/>
        <v>1.2503498777676672</v>
      </c>
      <c r="AQ457" s="8"/>
      <c r="AR457" s="8">
        <f t="shared" si="138"/>
        <v>110.08900068427539</v>
      </c>
      <c r="AS457" s="8">
        <f t="shared" si="139"/>
        <v>18.360229089214315</v>
      </c>
    </row>
    <row r="458" spans="1:45">
      <c r="A458" s="19">
        <v>120.4203</v>
      </c>
      <c r="B458" s="19">
        <v>216.46317250000001</v>
      </c>
      <c r="C458" s="19">
        <v>-792.2189267</v>
      </c>
      <c r="E458" s="9">
        <f t="shared" si="129"/>
        <v>-743.53682749999996</v>
      </c>
      <c r="F458" s="9">
        <f t="shared" si="130"/>
        <v>-252.2189267</v>
      </c>
      <c r="I458">
        <v>1</v>
      </c>
      <c r="J458">
        <f t="shared" si="125"/>
        <v>0.48291481666430353</v>
      </c>
      <c r="K458">
        <f t="shared" si="131"/>
        <v>-2.8145578736902466</v>
      </c>
      <c r="O458">
        <f t="shared" si="132"/>
        <v>-0.43975097311446026</v>
      </c>
      <c r="P458">
        <f t="shared" si="133"/>
        <v>-0.14917017470020302</v>
      </c>
      <c r="Q458">
        <f t="shared" si="134"/>
        <v>0.88564515502812757</v>
      </c>
      <c r="R458">
        <f t="shared" si="124"/>
        <v>1</v>
      </c>
      <c r="AG458" s="8">
        <f t="shared" si="126"/>
        <v>-0.32563466780992723</v>
      </c>
      <c r="AH458" s="8">
        <f t="shared" si="127"/>
        <v>0.89152092505140124</v>
      </c>
      <c r="AI458" s="8">
        <f t="shared" si="128"/>
        <v>0.31488490487130716</v>
      </c>
      <c r="AJ458" s="8"/>
      <c r="AK458" s="8"/>
      <c r="AL458" s="8"/>
      <c r="AN458" s="8">
        <f t="shared" si="135"/>
        <v>1</v>
      </c>
      <c r="AO458" s="8">
        <f t="shared" si="136"/>
        <v>1.9209983547847227</v>
      </c>
      <c r="AP458" s="8">
        <f t="shared" si="137"/>
        <v>1.2504609390216461</v>
      </c>
      <c r="AQ458" s="8"/>
      <c r="AR458" s="8">
        <f t="shared" si="138"/>
        <v>110.06509818073937</v>
      </c>
      <c r="AS458" s="8">
        <f t="shared" si="139"/>
        <v>18.353865748093881</v>
      </c>
    </row>
    <row r="459" spans="1:45">
      <c r="A459" s="19">
        <v>120.4536667</v>
      </c>
      <c r="B459" s="19">
        <v>216.45993379999999</v>
      </c>
      <c r="C459" s="19">
        <v>-792.21695639999996</v>
      </c>
      <c r="E459" s="9">
        <f t="shared" si="129"/>
        <v>-743.54006619999996</v>
      </c>
      <c r="F459" s="9">
        <f t="shared" si="130"/>
        <v>-252.21695639999996</v>
      </c>
      <c r="I459">
        <v>1</v>
      </c>
      <c r="J459">
        <f t="shared" si="125"/>
        <v>0.48291610822572856</v>
      </c>
      <c r="K459">
        <f t="shared" si="131"/>
        <v>-2.8145615752114965</v>
      </c>
      <c r="O459">
        <f t="shared" si="132"/>
        <v>-0.43975260850818393</v>
      </c>
      <c r="P459">
        <f t="shared" si="133"/>
        <v>-0.14916891439857002</v>
      </c>
      <c r="Q459">
        <f t="shared" si="134"/>
        <v>0.88564455527451869</v>
      </c>
      <c r="R459">
        <f t="shared" si="124"/>
        <v>1</v>
      </c>
      <c r="AG459" s="8">
        <f t="shared" si="126"/>
        <v>-0.32563265425112775</v>
      </c>
      <c r="AH459" s="8">
        <f t="shared" si="127"/>
        <v>0.89152148057385838</v>
      </c>
      <c r="AI459" s="8">
        <f t="shared" si="128"/>
        <v>0.31488541433474015</v>
      </c>
      <c r="AJ459" s="8"/>
      <c r="AK459" s="8"/>
      <c r="AL459" s="8"/>
      <c r="AN459" s="8">
        <f t="shared" si="135"/>
        <v>1</v>
      </c>
      <c r="AO459" s="8">
        <f t="shared" si="136"/>
        <v>1.9209961612641395</v>
      </c>
      <c r="AP459" s="8">
        <f t="shared" si="137"/>
        <v>1.2504604022526558</v>
      </c>
      <c r="AQ459" s="8"/>
      <c r="AR459" s="8">
        <f t="shared" si="138"/>
        <v>110.06497250126768</v>
      </c>
      <c r="AS459" s="8">
        <f t="shared" si="139"/>
        <v>18.353896502691612</v>
      </c>
    </row>
    <row r="460" spans="1:45">
      <c r="A460" s="19">
        <v>120.48703329999999</v>
      </c>
      <c r="B460" s="19">
        <v>216.4579583</v>
      </c>
      <c r="C460" s="19">
        <v>-792.21575529999996</v>
      </c>
      <c r="E460" s="9">
        <f t="shared" si="129"/>
        <v>-743.54204170000003</v>
      </c>
      <c r="F460" s="9">
        <f t="shared" si="130"/>
        <v>-252.21575529999996</v>
      </c>
      <c r="I460">
        <v>1</v>
      </c>
      <c r="J460">
        <f t="shared" si="125"/>
        <v>0.48291689615986155</v>
      </c>
      <c r="K460">
        <f t="shared" si="131"/>
        <v>-2.8145638321400095</v>
      </c>
      <c r="O460">
        <f t="shared" si="132"/>
        <v>-0.43975360601577801</v>
      </c>
      <c r="P460">
        <f t="shared" si="133"/>
        <v>-0.14916814607225476</v>
      </c>
      <c r="Q460">
        <f t="shared" si="134"/>
        <v>0.88564418938617007</v>
      </c>
      <c r="R460">
        <f t="shared" si="124"/>
        <v>1</v>
      </c>
      <c r="AG460" s="8">
        <f t="shared" si="126"/>
        <v>-0.32563142623542374</v>
      </c>
      <c r="AH460" s="8">
        <f t="shared" si="127"/>
        <v>0.8915218194840403</v>
      </c>
      <c r="AI460" s="8">
        <f t="shared" si="128"/>
        <v>0.31488572471890497</v>
      </c>
      <c r="AJ460" s="8"/>
      <c r="AK460" s="8"/>
      <c r="AL460" s="8"/>
      <c r="AN460" s="8">
        <f t="shared" si="135"/>
        <v>1</v>
      </c>
      <c r="AO460" s="8">
        <f t="shared" si="136"/>
        <v>1.9209948234537275</v>
      </c>
      <c r="AP460" s="8">
        <f t="shared" si="137"/>
        <v>1.2504600752328781</v>
      </c>
      <c r="AQ460" s="8"/>
      <c r="AR460" s="8">
        <f t="shared" si="138"/>
        <v>110.06489585037727</v>
      </c>
      <c r="AS460" s="8">
        <f t="shared" si="139"/>
        <v>18.353915239544691</v>
      </c>
    </row>
    <row r="461" spans="1:45">
      <c r="A461" s="19">
        <v>120.5204</v>
      </c>
      <c r="B461" s="19">
        <v>215.4560353</v>
      </c>
      <c r="C461" s="19">
        <v>-792.21553140000003</v>
      </c>
      <c r="E461" s="9">
        <f t="shared" si="129"/>
        <v>-744.54396470000006</v>
      </c>
      <c r="F461" s="9">
        <f t="shared" si="130"/>
        <v>-252.21553140000003</v>
      </c>
      <c r="I461">
        <v>1</v>
      </c>
      <c r="J461">
        <f t="shared" si="125"/>
        <v>0.48342021523464956</v>
      </c>
      <c r="K461">
        <f t="shared" si="131"/>
        <v>-2.8149735244959491</v>
      </c>
      <c r="O461">
        <f t="shared" si="132"/>
        <v>-0.44023682173443629</v>
      </c>
      <c r="P461">
        <f t="shared" si="133"/>
        <v>-0.14913097036564815</v>
      </c>
      <c r="Q461">
        <f t="shared" si="134"/>
        <v>0.88541035371570076</v>
      </c>
      <c r="R461">
        <f t="shared" si="124"/>
        <v>1</v>
      </c>
      <c r="AG461" s="8">
        <f t="shared" si="126"/>
        <v>-0.32516825139202138</v>
      </c>
      <c r="AH461" s="8">
        <f t="shared" si="127"/>
        <v>0.89174628091789943</v>
      </c>
      <c r="AI461" s="8">
        <f t="shared" si="128"/>
        <v>0.31472873836964754</v>
      </c>
      <c r="AJ461" s="8"/>
      <c r="AK461" s="8"/>
      <c r="AL461" s="8"/>
      <c r="AN461" s="8">
        <f t="shared" si="135"/>
        <v>1</v>
      </c>
      <c r="AO461" s="8">
        <f t="shared" si="136"/>
        <v>1.9204553361166221</v>
      </c>
      <c r="AP461" s="8">
        <f t="shared" si="137"/>
        <v>1.2506254710276183</v>
      </c>
      <c r="AQ461" s="8"/>
      <c r="AR461" s="8">
        <f t="shared" si="138"/>
        <v>110.03398550286039</v>
      </c>
      <c r="AS461" s="8">
        <f t="shared" si="139"/>
        <v>18.344438758556862</v>
      </c>
    </row>
    <row r="462" spans="1:45">
      <c r="A462" s="19">
        <v>120.5537667</v>
      </c>
      <c r="B462" s="19">
        <v>215.53130780000001</v>
      </c>
      <c r="C462" s="19">
        <v>-792.34427979999998</v>
      </c>
      <c r="E462" s="9">
        <f t="shared" si="129"/>
        <v>-744.46869219999996</v>
      </c>
      <c r="F462" s="9">
        <f t="shared" si="130"/>
        <v>-252.34427979999998</v>
      </c>
      <c r="I462">
        <v>1</v>
      </c>
      <c r="J462">
        <f t="shared" si="125"/>
        <v>0.48340432019741497</v>
      </c>
      <c r="K462">
        <f t="shared" si="131"/>
        <v>-2.814787673605132</v>
      </c>
      <c r="O462">
        <f t="shared" si="132"/>
        <v>-0.44019576919908043</v>
      </c>
      <c r="P462">
        <f t="shared" si="133"/>
        <v>-0.1492082682769249</v>
      </c>
      <c r="Q462">
        <f t="shared" si="134"/>
        <v>0.88541774177900412</v>
      </c>
      <c r="R462">
        <f t="shared" si="124"/>
        <v>1</v>
      </c>
      <c r="AG462" s="8">
        <f t="shared" si="126"/>
        <v>-0.32523677468742973</v>
      </c>
      <c r="AH462" s="8">
        <f t="shared" si="127"/>
        <v>0.89174057894439984</v>
      </c>
      <c r="AI462" s="8">
        <f t="shared" si="128"/>
        <v>0.31467408576942707</v>
      </c>
      <c r="AJ462" s="8"/>
      <c r="AK462" s="8"/>
      <c r="AL462" s="8"/>
      <c r="AN462" s="8">
        <f t="shared" si="135"/>
        <v>1</v>
      </c>
      <c r="AO462" s="8">
        <f t="shared" si="136"/>
        <v>1.9205252163372522</v>
      </c>
      <c r="AP462" s="8">
        <f t="shared" si="137"/>
        <v>1.2506830491298166</v>
      </c>
      <c r="AQ462" s="8"/>
      <c r="AR462" s="8">
        <f t="shared" si="138"/>
        <v>110.03798934457393</v>
      </c>
      <c r="AS462" s="8">
        <f t="shared" si="139"/>
        <v>18.341139776308523</v>
      </c>
    </row>
    <row r="463" spans="1:45">
      <c r="A463" s="19">
        <v>120.5871333</v>
      </c>
      <c r="B463" s="19">
        <v>214.8783699</v>
      </c>
      <c r="C463" s="19">
        <v>-792.21120889999997</v>
      </c>
      <c r="E463" s="9">
        <f t="shared" si="129"/>
        <v>-745.12163009999995</v>
      </c>
      <c r="F463" s="9">
        <f t="shared" si="130"/>
        <v>-252.21120889999997</v>
      </c>
      <c r="I463">
        <v>1</v>
      </c>
      <c r="J463">
        <f t="shared" si="125"/>
        <v>0.48370960890059278</v>
      </c>
      <c r="K463">
        <f t="shared" si="131"/>
        <v>-2.815214335474677</v>
      </c>
      <c r="O463">
        <f t="shared" si="132"/>
        <v>-0.44051540848544413</v>
      </c>
      <c r="P463">
        <f t="shared" si="133"/>
        <v>-0.14910709772078495</v>
      </c>
      <c r="Q463">
        <f t="shared" si="134"/>
        <v>0.88527580351898616</v>
      </c>
      <c r="R463">
        <f t="shared" si="124"/>
        <v>1</v>
      </c>
      <c r="AG463" s="8">
        <f t="shared" si="126"/>
        <v>-0.32490016999238847</v>
      </c>
      <c r="AH463" s="8">
        <f t="shared" si="127"/>
        <v>0.89187516306953596</v>
      </c>
      <c r="AI463" s="8">
        <f t="shared" si="128"/>
        <v>0.31464038685236484</v>
      </c>
      <c r="AJ463" s="8"/>
      <c r="AK463" s="8"/>
      <c r="AL463" s="8"/>
      <c r="AN463" s="8">
        <f t="shared" si="135"/>
        <v>1</v>
      </c>
      <c r="AO463" s="8">
        <f t="shared" si="136"/>
        <v>1.9201434857226034</v>
      </c>
      <c r="AP463" s="8">
        <f t="shared" si="137"/>
        <v>1.2507185513702503</v>
      </c>
      <c r="AQ463" s="8"/>
      <c r="AR463" s="8">
        <f t="shared" si="138"/>
        <v>110.01611779144362</v>
      </c>
      <c r="AS463" s="8">
        <f t="shared" si="139"/>
        <v>18.339105647768406</v>
      </c>
    </row>
    <row r="464" spans="1:45">
      <c r="A464" s="19">
        <v>120.62050000000001</v>
      </c>
      <c r="B464" s="19">
        <v>214.4882532</v>
      </c>
      <c r="C464" s="19">
        <v>-792.23748450000005</v>
      </c>
      <c r="E464" s="9">
        <f t="shared" si="129"/>
        <v>-745.51174679999997</v>
      </c>
      <c r="F464" s="9">
        <f t="shared" si="130"/>
        <v>-252.23748450000005</v>
      </c>
      <c r="I464">
        <v>1</v>
      </c>
      <c r="J464">
        <f t="shared" si="125"/>
        <v>0.48390997094778926</v>
      </c>
      <c r="K464">
        <f t="shared" si="131"/>
        <v>-2.815341635584125</v>
      </c>
      <c r="O464">
        <f t="shared" si="132"/>
        <v>-0.44070239662070854</v>
      </c>
      <c r="P464">
        <f t="shared" si="133"/>
        <v>-0.14910786371089935</v>
      </c>
      <c r="Q464">
        <f t="shared" si="134"/>
        <v>0.88518260409496052</v>
      </c>
      <c r="R464">
        <f t="shared" si="124"/>
        <v>1</v>
      </c>
      <c r="AG464" s="8">
        <f t="shared" si="126"/>
        <v>-0.32472680172835772</v>
      </c>
      <c r="AH464" s="8">
        <f t="shared" si="127"/>
        <v>0.89196465960156579</v>
      </c>
      <c r="AI464" s="8">
        <f t="shared" si="128"/>
        <v>0.31456565333986303</v>
      </c>
      <c r="AJ464" s="8"/>
      <c r="AK464" s="8"/>
      <c r="AL464" s="8"/>
      <c r="AN464" s="8">
        <f t="shared" si="135"/>
        <v>1.0000000000000002</v>
      </c>
      <c r="AO464" s="8">
        <f t="shared" si="136"/>
        <v>1.9199396064727179</v>
      </c>
      <c r="AP464" s="8">
        <f t="shared" si="137"/>
        <v>1.2507972825916291</v>
      </c>
      <c r="AQ464" s="8"/>
      <c r="AR464" s="8">
        <f t="shared" si="138"/>
        <v>110.00443637089489</v>
      </c>
      <c r="AS464" s="8">
        <f t="shared" si="139"/>
        <v>18.3345946810675</v>
      </c>
    </row>
    <row r="465" spans="1:45">
      <c r="A465" s="19">
        <v>120.65386669999999</v>
      </c>
      <c r="B465" s="19">
        <v>214.40433949999999</v>
      </c>
      <c r="C465" s="19">
        <v>-792.25384680000002</v>
      </c>
      <c r="E465" s="9">
        <f t="shared" si="129"/>
        <v>-745.59566050000001</v>
      </c>
      <c r="F465" s="9">
        <f t="shared" si="130"/>
        <v>-252.25384680000002</v>
      </c>
      <c r="I465">
        <v>1</v>
      </c>
      <c r="J465">
        <f t="shared" si="125"/>
        <v>0.48395488349274352</v>
      </c>
      <c r="K465">
        <f t="shared" si="131"/>
        <v>-2.8153561121125352</v>
      </c>
      <c r="O465">
        <f t="shared" si="132"/>
        <v>-0.44074221358440352</v>
      </c>
      <c r="P465">
        <f t="shared" si="133"/>
        <v>-0.14911422465798135</v>
      </c>
      <c r="Q465">
        <f t="shared" si="134"/>
        <v>0.88516170792085735</v>
      </c>
      <c r="R465">
        <f t="shared" si="124"/>
        <v>1</v>
      </c>
      <c r="AG465" s="8">
        <f t="shared" si="126"/>
        <v>-0.32469231938626369</v>
      </c>
      <c r="AH465" s="8">
        <f t="shared" si="127"/>
        <v>0.89198483010247687</v>
      </c>
      <c r="AI465" s="8">
        <f t="shared" si="128"/>
        <v>0.31454405192059209</v>
      </c>
      <c r="AJ465" s="8"/>
      <c r="AK465" s="8"/>
      <c r="AL465" s="8"/>
      <c r="AN465" s="8">
        <f t="shared" si="135"/>
        <v>1</v>
      </c>
      <c r="AO465" s="8">
        <f t="shared" si="136"/>
        <v>1.9198982028706471</v>
      </c>
      <c r="AP465" s="8">
        <f t="shared" si="137"/>
        <v>1.2508200391497692</v>
      </c>
      <c r="AQ465" s="8"/>
      <c r="AR465" s="8">
        <f t="shared" si="138"/>
        <v>110.00206411923959</v>
      </c>
      <c r="AS465" s="8">
        <f t="shared" si="139"/>
        <v>18.333290826329815</v>
      </c>
    </row>
    <row r="466" spans="1:45">
      <c r="A466" s="19">
        <v>120.6872333</v>
      </c>
      <c r="B466" s="19">
        <v>214.42897099999999</v>
      </c>
      <c r="C466" s="19">
        <v>-792.23525359999996</v>
      </c>
      <c r="E466" s="9">
        <f t="shared" si="129"/>
        <v>-745.57102899999995</v>
      </c>
      <c r="F466" s="9">
        <f t="shared" si="130"/>
        <v>-252.23525359999996</v>
      </c>
      <c r="I466">
        <v>1</v>
      </c>
      <c r="J466">
        <f t="shared" si="125"/>
        <v>0.48393935779458114</v>
      </c>
      <c r="K466">
        <f t="shared" si="131"/>
        <v>-2.8153684597299269</v>
      </c>
      <c r="O466">
        <f t="shared" si="132"/>
        <v>-0.44073103675448261</v>
      </c>
      <c r="P466">
        <f t="shared" si="133"/>
        <v>-0.14910437839069765</v>
      </c>
      <c r="Q466">
        <f t="shared" si="134"/>
        <v>0.88516893166561295</v>
      </c>
      <c r="R466">
        <f t="shared" si="124"/>
        <v>1</v>
      </c>
      <c r="AG466" s="8">
        <f t="shared" si="126"/>
        <v>-0.32469882778778064</v>
      </c>
      <c r="AH466" s="8">
        <f t="shared" si="127"/>
        <v>0.89197771559932804</v>
      </c>
      <c r="AI466" s="8">
        <f t="shared" si="128"/>
        <v>0.3145575084264326</v>
      </c>
      <c r="AJ466" s="8"/>
      <c r="AK466" s="8"/>
      <c r="AL466" s="8"/>
      <c r="AN466" s="8">
        <f t="shared" si="135"/>
        <v>0.99999999999999978</v>
      </c>
      <c r="AO466" s="8">
        <f t="shared" si="136"/>
        <v>1.9199072094181631</v>
      </c>
      <c r="AP466" s="8">
        <f t="shared" si="137"/>
        <v>1.2508058630755803</v>
      </c>
      <c r="AQ466" s="8"/>
      <c r="AR466" s="8">
        <f t="shared" si="138"/>
        <v>110.00258015640024</v>
      </c>
      <c r="AS466" s="8">
        <f t="shared" si="139"/>
        <v>18.334103055550912</v>
      </c>
    </row>
    <row r="467" spans="1:45">
      <c r="A467" s="19">
        <v>120.7206</v>
      </c>
      <c r="B467" s="19">
        <v>213.4911577</v>
      </c>
      <c r="C467" s="19">
        <v>-792.1475087</v>
      </c>
      <c r="E467" s="9">
        <f t="shared" si="129"/>
        <v>-746.50884229999997</v>
      </c>
      <c r="F467" s="9">
        <f t="shared" si="130"/>
        <v>-252.1475087</v>
      </c>
      <c r="I467">
        <v>1</v>
      </c>
      <c r="J467">
        <f t="shared" si="125"/>
        <v>0.48439527112617153</v>
      </c>
      <c r="K467">
        <f t="shared" si="131"/>
        <v>-2.815855369376445</v>
      </c>
      <c r="O467">
        <f t="shared" si="132"/>
        <v>-0.44118587815861199</v>
      </c>
      <c r="P467">
        <f t="shared" si="133"/>
        <v>-0.14901889133499382</v>
      </c>
      <c r="Q467">
        <f t="shared" si="134"/>
        <v>0.8849567169860364</v>
      </c>
      <c r="R467">
        <f t="shared" si="124"/>
        <v>1</v>
      </c>
      <c r="AG467" s="8">
        <f t="shared" si="126"/>
        <v>-0.32424261775905705</v>
      </c>
      <c r="AH467" s="8">
        <f t="shared" si="127"/>
        <v>0.8921795401104865</v>
      </c>
      <c r="AI467" s="8">
        <f t="shared" si="128"/>
        <v>0.31445570918174592</v>
      </c>
      <c r="AJ467" s="8"/>
      <c r="AK467" s="8"/>
      <c r="AL467" s="8"/>
      <c r="AN467" s="8">
        <f t="shared" si="135"/>
        <v>0.99999999999999989</v>
      </c>
      <c r="AO467" s="8">
        <f t="shared" si="136"/>
        <v>1.9193828847719681</v>
      </c>
      <c r="AP467" s="8">
        <f t="shared" si="137"/>
        <v>1.250913104242982</v>
      </c>
      <c r="AQ467" s="8"/>
      <c r="AR467" s="8">
        <f t="shared" si="138"/>
        <v>109.97253856707857</v>
      </c>
      <c r="AS467" s="8">
        <f t="shared" si="139"/>
        <v>18.327958589268746</v>
      </c>
    </row>
    <row r="468" spans="1:45">
      <c r="A468" s="19">
        <v>120.75396670000001</v>
      </c>
      <c r="B468" s="19">
        <v>213.36631159999999</v>
      </c>
      <c r="C468" s="19">
        <v>-792.17773220000004</v>
      </c>
      <c r="E468" s="9">
        <f t="shared" si="129"/>
        <v>-746.63368839999998</v>
      </c>
      <c r="F468" s="9">
        <f t="shared" si="130"/>
        <v>-252.17773220000004</v>
      </c>
      <c r="I468">
        <v>1</v>
      </c>
      <c r="J468">
        <f t="shared" si="125"/>
        <v>0.48446305918774873</v>
      </c>
      <c r="K468">
        <f t="shared" si="131"/>
        <v>-2.8158697303660483</v>
      </c>
      <c r="O468">
        <f t="shared" si="132"/>
        <v>-0.4412448523892244</v>
      </c>
      <c r="P468">
        <f t="shared" si="133"/>
        <v>-0.14903175137849617</v>
      </c>
      <c r="Q468">
        <f t="shared" si="134"/>
        <v>0.88492514786340526</v>
      </c>
      <c r="R468">
        <f t="shared" si="124"/>
        <v>1</v>
      </c>
      <c r="AG468" s="8">
        <f t="shared" si="126"/>
        <v>-0.32419287375380229</v>
      </c>
      <c r="AH468" s="8">
        <f t="shared" si="127"/>
        <v>0.89221001191651061</v>
      </c>
      <c r="AI468" s="8">
        <f t="shared" si="128"/>
        <v>0.31442053883802068</v>
      </c>
      <c r="AJ468" s="8"/>
      <c r="AK468" s="8"/>
      <c r="AL468" s="8"/>
      <c r="AN468" s="8">
        <f t="shared" si="135"/>
        <v>1</v>
      </c>
      <c r="AO468" s="8">
        <f t="shared" si="136"/>
        <v>1.9193226704607635</v>
      </c>
      <c r="AP468" s="8">
        <f t="shared" si="137"/>
        <v>1.2509501538162402</v>
      </c>
      <c r="AQ468" s="8"/>
      <c r="AR468" s="8">
        <f t="shared" si="138"/>
        <v>109.96908854118027</v>
      </c>
      <c r="AS468" s="8">
        <f t="shared" si="139"/>
        <v>18.325835805088289</v>
      </c>
    </row>
    <row r="469" spans="1:45">
      <c r="A469" s="19">
        <v>120.7873333</v>
      </c>
      <c r="B469" s="19">
        <v>213.20301850000001</v>
      </c>
      <c r="C469" s="19">
        <v>-792.18186439999999</v>
      </c>
      <c r="E469" s="9">
        <f t="shared" si="129"/>
        <v>-746.79698150000002</v>
      </c>
      <c r="F469" s="9">
        <f t="shared" si="130"/>
        <v>-252.18186439999999</v>
      </c>
      <c r="I469">
        <v>1</v>
      </c>
      <c r="J469">
        <f t="shared" si="125"/>
        <v>0.48454571629354892</v>
      </c>
      <c r="K469">
        <f t="shared" si="131"/>
        <v>-2.8159310551669314</v>
      </c>
      <c r="O469">
        <f t="shared" si="132"/>
        <v>-0.44132329017266969</v>
      </c>
      <c r="P469">
        <f t="shared" si="133"/>
        <v>-0.14902809314432947</v>
      </c>
      <c r="Q469">
        <f t="shared" si="134"/>
        <v>0.88488664867593891</v>
      </c>
      <c r="R469">
        <f t="shared" si="124"/>
        <v>1</v>
      </c>
      <c r="AG469" s="8">
        <f t="shared" si="126"/>
        <v>-0.32411853926958401</v>
      </c>
      <c r="AH469" s="8">
        <f t="shared" si="127"/>
        <v>0.89224679371886184</v>
      </c>
      <c r="AI469" s="8">
        <f t="shared" si="128"/>
        <v>0.31439279826383076</v>
      </c>
      <c r="AJ469" s="8"/>
      <c r="AK469" s="8"/>
      <c r="AL469" s="8"/>
      <c r="AN469" s="8">
        <f t="shared" si="135"/>
        <v>0.99999999999999989</v>
      </c>
      <c r="AO469" s="8">
        <f t="shared" si="136"/>
        <v>1.9192358408494432</v>
      </c>
      <c r="AP469" s="8">
        <f t="shared" si="137"/>
        <v>1.2509793763101555</v>
      </c>
      <c r="AQ469" s="8"/>
      <c r="AR469" s="8">
        <f t="shared" si="138"/>
        <v>109.96411357091485</v>
      </c>
      <c r="AS469" s="8">
        <f t="shared" si="139"/>
        <v>18.324161479520086</v>
      </c>
    </row>
    <row r="470" spans="1:45">
      <c r="A470" s="19">
        <v>120.8207</v>
      </c>
      <c r="B470" s="19">
        <v>212.57600249999999</v>
      </c>
      <c r="C470" s="19">
        <v>-792.2053674</v>
      </c>
      <c r="E470" s="9">
        <f t="shared" si="129"/>
        <v>-747.42399750000004</v>
      </c>
      <c r="F470" s="9">
        <f t="shared" si="130"/>
        <v>-252.2053674</v>
      </c>
      <c r="I470">
        <v>1</v>
      </c>
      <c r="J470">
        <f t="shared" si="125"/>
        <v>0.48486434720845478</v>
      </c>
      <c r="K470">
        <f t="shared" si="131"/>
        <v>-2.8161571336603748</v>
      </c>
      <c r="O470">
        <f t="shared" si="132"/>
        <v>-0.44162410154402193</v>
      </c>
      <c r="P470">
        <f t="shared" si="133"/>
        <v>-0.14901845425775895</v>
      </c>
      <c r="Q470">
        <f t="shared" si="134"/>
        <v>0.88473818343398269</v>
      </c>
      <c r="R470">
        <f t="shared" si="124"/>
        <v>1</v>
      </c>
      <c r="AG470" s="8">
        <f t="shared" si="126"/>
        <v>-0.32383514358287013</v>
      </c>
      <c r="AH470" s="8">
        <f t="shared" si="127"/>
        <v>0.89238859796427028</v>
      </c>
      <c r="AI470" s="8">
        <f t="shared" si="128"/>
        <v>0.31428234122207066</v>
      </c>
      <c r="AJ470" s="8"/>
      <c r="AK470" s="8"/>
      <c r="AL470" s="8"/>
      <c r="AN470" s="8">
        <f t="shared" si="135"/>
        <v>1.0000000000000002</v>
      </c>
      <c r="AO470" s="8">
        <f t="shared" si="136"/>
        <v>1.9189042574353141</v>
      </c>
      <c r="AP470" s="8">
        <f t="shared" si="137"/>
        <v>1.2510957312350717</v>
      </c>
      <c r="AQ470" s="8"/>
      <c r="AR470" s="8">
        <f t="shared" si="138"/>
        <v>109.94511524072873</v>
      </c>
      <c r="AS470" s="8">
        <f t="shared" si="139"/>
        <v>18.317494833396836</v>
      </c>
    </row>
    <row r="471" spans="1:45">
      <c r="A471" s="19">
        <v>120.8540667</v>
      </c>
      <c r="B471" s="19">
        <v>212.5086613</v>
      </c>
      <c r="C471" s="19">
        <v>-792.2109269</v>
      </c>
      <c r="E471" s="9">
        <f t="shared" si="129"/>
        <v>-747.49133870000003</v>
      </c>
      <c r="F471" s="9">
        <f t="shared" si="130"/>
        <v>-252.2109269</v>
      </c>
      <c r="I471">
        <v>1</v>
      </c>
      <c r="J471">
        <f t="shared" si="125"/>
        <v>0.48489907695610424</v>
      </c>
      <c r="K471">
        <f t="shared" si="131"/>
        <v>-2.8161777482657357</v>
      </c>
      <c r="O471">
        <f t="shared" si="132"/>
        <v>-0.44165628727884615</v>
      </c>
      <c r="P471">
        <f t="shared" si="133"/>
        <v>-0.14901917362619266</v>
      </c>
      <c r="Q471">
        <f t="shared" si="134"/>
        <v>0.88472199576976263</v>
      </c>
      <c r="R471">
        <f t="shared" si="124"/>
        <v>1</v>
      </c>
      <c r="AG471" s="8">
        <f t="shared" si="126"/>
        <v>-0.32380550550333054</v>
      </c>
      <c r="AH471" s="8">
        <f t="shared" si="127"/>
        <v>0.89240408166201401</v>
      </c>
      <c r="AI471" s="8">
        <f t="shared" si="128"/>
        <v>0.31426891293716885</v>
      </c>
      <c r="AJ471" s="8"/>
      <c r="AK471" s="8"/>
      <c r="AL471" s="8"/>
      <c r="AN471" s="8">
        <f t="shared" si="135"/>
        <v>0.99999999999999989</v>
      </c>
      <c r="AO471" s="8">
        <f t="shared" si="136"/>
        <v>1.9188693464572584</v>
      </c>
      <c r="AP471" s="8">
        <f t="shared" si="137"/>
        <v>1.2511098762212316</v>
      </c>
      <c r="AQ471" s="8"/>
      <c r="AR471" s="8">
        <f t="shared" si="138"/>
        <v>109.94311498902745</v>
      </c>
      <c r="AS471" s="8">
        <f t="shared" si="139"/>
        <v>18.316684385388598</v>
      </c>
    </row>
    <row r="472" spans="1:45">
      <c r="A472" s="19">
        <v>120.8874333</v>
      </c>
      <c r="B472" s="19">
        <v>212.24053029999999</v>
      </c>
      <c r="C472" s="19">
        <v>-792.13781989999995</v>
      </c>
      <c r="E472" s="9">
        <f t="shared" si="129"/>
        <v>-747.75946969999995</v>
      </c>
      <c r="F472" s="9">
        <f t="shared" si="130"/>
        <v>-252.13781989999995</v>
      </c>
      <c r="I472">
        <v>1</v>
      </c>
      <c r="J472">
        <f t="shared" si="125"/>
        <v>0.48502123394196295</v>
      </c>
      <c r="K472">
        <f t="shared" si="131"/>
        <v>-2.8163741585719935</v>
      </c>
      <c r="O472">
        <f t="shared" si="132"/>
        <v>-0.44178795414903571</v>
      </c>
      <c r="P472">
        <f t="shared" si="133"/>
        <v>-0.1489669554594997</v>
      </c>
      <c r="Q472">
        <f t="shared" si="134"/>
        <v>0.88466504946784064</v>
      </c>
      <c r="R472">
        <f t="shared" si="124"/>
        <v>1</v>
      </c>
      <c r="AG472" s="8">
        <f t="shared" si="126"/>
        <v>-0.32366254998405997</v>
      </c>
      <c r="AH472" s="8">
        <f t="shared" si="127"/>
        <v>0.89245747227686989</v>
      </c>
      <c r="AI472" s="8">
        <f t="shared" si="128"/>
        <v>0.31426456038662065</v>
      </c>
      <c r="AJ472" s="8"/>
      <c r="AK472" s="8"/>
      <c r="AL472" s="8"/>
      <c r="AN472" s="8">
        <f t="shared" si="135"/>
        <v>1</v>
      </c>
      <c r="AO472" s="8">
        <f t="shared" si="136"/>
        <v>1.9187086092060548</v>
      </c>
      <c r="AP472" s="8">
        <f t="shared" si="137"/>
        <v>1.2511144610641094</v>
      </c>
      <c r="AQ472" s="8"/>
      <c r="AR472" s="8">
        <f t="shared" si="138"/>
        <v>109.93390542292295</v>
      </c>
      <c r="AS472" s="8">
        <f t="shared" si="139"/>
        <v>18.316421693241963</v>
      </c>
    </row>
    <row r="473" spans="1:45">
      <c r="A473" s="19">
        <v>120.9208</v>
      </c>
      <c r="B473" s="19">
        <v>211.54218109999999</v>
      </c>
      <c r="C473" s="19">
        <v>-792.22575510000001</v>
      </c>
      <c r="E473" s="9">
        <f t="shared" si="129"/>
        <v>-748.45781890000001</v>
      </c>
      <c r="F473" s="9">
        <f t="shared" si="130"/>
        <v>-252.22575510000001</v>
      </c>
      <c r="I473">
        <v>1</v>
      </c>
      <c r="J473">
        <f t="shared" si="125"/>
        <v>0.48538642043240959</v>
      </c>
      <c r="K473">
        <f t="shared" si="131"/>
        <v>-2.8165511721747589</v>
      </c>
      <c r="O473">
        <f t="shared" si="132"/>
        <v>-0.44212043802219786</v>
      </c>
      <c r="P473">
        <f t="shared" si="133"/>
        <v>-0.14899191178092405</v>
      </c>
      <c r="Q473">
        <f t="shared" si="134"/>
        <v>0.88449473062699768</v>
      </c>
      <c r="R473">
        <f t="shared" si="124"/>
        <v>1</v>
      </c>
      <c r="AG473" s="8">
        <f t="shared" si="126"/>
        <v>-0.323363191262942</v>
      </c>
      <c r="AH473" s="8">
        <f t="shared" si="127"/>
        <v>0.89262049541466448</v>
      </c>
      <c r="AI473" s="8">
        <f t="shared" si="128"/>
        <v>0.31410969055717586</v>
      </c>
      <c r="AJ473" s="8"/>
      <c r="AK473" s="8"/>
      <c r="AL473" s="8"/>
      <c r="AN473" s="8">
        <f t="shared" si="135"/>
        <v>0.99999999999999989</v>
      </c>
      <c r="AO473" s="8">
        <f t="shared" si="136"/>
        <v>1.9183536394611034</v>
      </c>
      <c r="AP473" s="8">
        <f t="shared" si="137"/>
        <v>1.2512775916514038</v>
      </c>
      <c r="AQ473" s="8"/>
      <c r="AR473" s="8">
        <f t="shared" si="138"/>
        <v>109.9135671546824</v>
      </c>
      <c r="AS473" s="8">
        <f t="shared" si="139"/>
        <v>18.307074999080513</v>
      </c>
    </row>
    <row r="474" spans="1:45">
      <c r="A474" s="19">
        <v>120.9541667</v>
      </c>
      <c r="B474" s="19">
        <v>211.3451714</v>
      </c>
      <c r="C474" s="19">
        <v>-792.24030619999996</v>
      </c>
      <c r="E474" s="9">
        <f t="shared" si="129"/>
        <v>-748.65482859999997</v>
      </c>
      <c r="F474" s="9">
        <f t="shared" si="130"/>
        <v>-252.24030619999996</v>
      </c>
      <c r="I474">
        <v>1</v>
      </c>
      <c r="J474">
        <f t="shared" si="125"/>
        <v>0.48548768701025113</v>
      </c>
      <c r="K474">
        <f t="shared" si="131"/>
        <v>-2.8166133558984736</v>
      </c>
      <c r="O474">
        <f t="shared" si="132"/>
        <v>-0.44221458120710633</v>
      </c>
      <c r="P474">
        <f t="shared" si="133"/>
        <v>-0.14899301668617509</v>
      </c>
      <c r="Q474">
        <f t="shared" si="134"/>
        <v>0.88444748015163488</v>
      </c>
      <c r="R474">
        <f t="shared" si="124"/>
        <v>1</v>
      </c>
      <c r="AG474" s="8">
        <f t="shared" si="126"/>
        <v>-0.32327606504897216</v>
      </c>
      <c r="AH474" s="8">
        <f t="shared" si="127"/>
        <v>0.89266556459300839</v>
      </c>
      <c r="AI474" s="8">
        <f t="shared" si="128"/>
        <v>0.31407129056362082</v>
      </c>
      <c r="AJ474" s="8"/>
      <c r="AK474" s="8"/>
      <c r="AL474" s="8"/>
      <c r="AN474" s="8">
        <f t="shared" si="135"/>
        <v>1</v>
      </c>
      <c r="AO474" s="8">
        <f t="shared" si="136"/>
        <v>1.918251187973445</v>
      </c>
      <c r="AP474" s="8">
        <f t="shared" si="137"/>
        <v>1.2513180385385503</v>
      </c>
      <c r="AQ474" s="8"/>
      <c r="AR474" s="8">
        <f t="shared" si="138"/>
        <v>109.90769711683474</v>
      </c>
      <c r="AS474" s="8">
        <f t="shared" si="139"/>
        <v>18.304757563152577</v>
      </c>
    </row>
    <row r="475" spans="1:45">
      <c r="A475" s="19">
        <v>120.9875333</v>
      </c>
      <c r="B475" s="19">
        <v>210.84467359999999</v>
      </c>
      <c r="C475" s="19">
        <v>-792.28510640000002</v>
      </c>
      <c r="E475" s="9">
        <f t="shared" si="129"/>
        <v>-749.15532640000004</v>
      </c>
      <c r="F475" s="9">
        <f t="shared" si="130"/>
        <v>-252.28510640000002</v>
      </c>
      <c r="I475">
        <v>1</v>
      </c>
      <c r="J475">
        <f t="shared" si="125"/>
        <v>0.48574623474230799</v>
      </c>
      <c r="K475">
        <f t="shared" si="131"/>
        <v>-2.8167618051225585</v>
      </c>
      <c r="O475">
        <f t="shared" si="132"/>
        <v>-0.44245339287927721</v>
      </c>
      <c r="P475">
        <f t="shared" si="133"/>
        <v>-0.14900034394201092</v>
      </c>
      <c r="Q475">
        <f t="shared" si="134"/>
        <v>0.88432680194302515</v>
      </c>
      <c r="R475">
        <f t="shared" ref="R475:R538" si="140">SQRT(O475^2+P475^2+Q475^2)</f>
        <v>1</v>
      </c>
      <c r="AG475" s="8">
        <f t="shared" si="126"/>
        <v>-0.32305679941533583</v>
      </c>
      <c r="AH475" s="8">
        <f t="shared" si="127"/>
        <v>0.89278067361141433</v>
      </c>
      <c r="AI475" s="8">
        <f t="shared" si="128"/>
        <v>0.31396970105006727</v>
      </c>
      <c r="AJ475" s="8"/>
      <c r="AK475" s="8"/>
      <c r="AL475" s="8"/>
      <c r="AN475" s="8">
        <f t="shared" si="135"/>
        <v>0.99999999999999989</v>
      </c>
      <c r="AO475" s="8">
        <f t="shared" si="136"/>
        <v>1.9179927620057577</v>
      </c>
      <c r="AP475" s="8">
        <f t="shared" si="137"/>
        <v>1.2514250406238332</v>
      </c>
      <c r="AQ475" s="8"/>
      <c r="AR475" s="8">
        <f t="shared" si="138"/>
        <v>109.89289039956968</v>
      </c>
      <c r="AS475" s="8">
        <f t="shared" si="139"/>
        <v>18.29862679526677</v>
      </c>
    </row>
    <row r="476" spans="1:45">
      <c r="A476" s="19">
        <v>121.0209</v>
      </c>
      <c r="B476" s="19">
        <v>210.51369800000001</v>
      </c>
      <c r="C476" s="19">
        <v>-792.21847969999999</v>
      </c>
      <c r="E476" s="9">
        <f t="shared" si="129"/>
        <v>-749.48630200000002</v>
      </c>
      <c r="F476" s="9">
        <f t="shared" si="130"/>
        <v>-252.21847969999999</v>
      </c>
      <c r="I476">
        <v>1</v>
      </c>
      <c r="J476">
        <f t="shared" si="125"/>
        <v>0.48590093552921265</v>
      </c>
      <c r="K476">
        <f t="shared" si="131"/>
        <v>-2.8169752290002696</v>
      </c>
      <c r="O476">
        <f t="shared" si="132"/>
        <v>-0.4426148387954173</v>
      </c>
      <c r="P476">
        <f t="shared" si="133"/>
        <v>-0.1489495424209111</v>
      </c>
      <c r="Q476">
        <f t="shared" si="134"/>
        <v>0.88425456645171363</v>
      </c>
      <c r="R476">
        <f t="shared" si="140"/>
        <v>1</v>
      </c>
      <c r="AG476" s="8">
        <f t="shared" si="126"/>
        <v>-0.32288660660952861</v>
      </c>
      <c r="AH476" s="8">
        <f t="shared" si="127"/>
        <v>0.89284841804697379</v>
      </c>
      <c r="AI476" s="8">
        <f t="shared" si="128"/>
        <v>0.31395213275784556</v>
      </c>
      <c r="AJ476" s="8"/>
      <c r="AK476" s="8"/>
      <c r="AL476" s="8"/>
      <c r="AN476" s="8">
        <f t="shared" si="135"/>
        <v>1</v>
      </c>
      <c r="AO476" s="8">
        <f t="shared" si="136"/>
        <v>1.9177999234820011</v>
      </c>
      <c r="AP476" s="8">
        <f t="shared" si="137"/>
        <v>1.2514435445503029</v>
      </c>
      <c r="AQ476" s="8"/>
      <c r="AR476" s="8">
        <f t="shared" si="138"/>
        <v>109.88184156603089</v>
      </c>
      <c r="AS476" s="8">
        <f t="shared" si="139"/>
        <v>18.297566598375624</v>
      </c>
    </row>
    <row r="477" spans="1:45">
      <c r="A477" s="19">
        <v>121.0542667</v>
      </c>
      <c r="B477" s="19">
        <v>210.44468459999999</v>
      </c>
      <c r="C477" s="19">
        <v>-792.19727130000001</v>
      </c>
      <c r="E477" s="9">
        <f t="shared" si="129"/>
        <v>-749.55531540000004</v>
      </c>
      <c r="F477" s="9">
        <f t="shared" si="130"/>
        <v>-252.19727130000001</v>
      </c>
      <c r="I477">
        <v>1</v>
      </c>
      <c r="J477">
        <f t="shared" si="125"/>
        <v>0.48593195819297064</v>
      </c>
      <c r="K477">
        <f t="shared" si="131"/>
        <v>-2.8170284787269462</v>
      </c>
      <c r="O477">
        <f t="shared" si="132"/>
        <v>-0.44264876918272478</v>
      </c>
      <c r="P477">
        <f t="shared" si="133"/>
        <v>-0.14893472094532853</v>
      </c>
      <c r="Q477">
        <f t="shared" si="134"/>
        <v>0.88424007828075513</v>
      </c>
      <c r="R477">
        <f t="shared" si="140"/>
        <v>1</v>
      </c>
      <c r="AG477" s="8">
        <f t="shared" si="126"/>
        <v>-0.32284920441728221</v>
      </c>
      <c r="AH477" s="8">
        <f t="shared" si="127"/>
        <v>0.89286190578723268</v>
      </c>
      <c r="AI477" s="8">
        <f t="shared" si="128"/>
        <v>0.31395223904460179</v>
      </c>
      <c r="AJ477" s="8"/>
      <c r="AK477" s="8"/>
      <c r="AL477" s="8"/>
      <c r="AN477" s="8">
        <f t="shared" si="135"/>
        <v>1</v>
      </c>
      <c r="AO477" s="8">
        <f t="shared" si="136"/>
        <v>1.917758046319805</v>
      </c>
      <c r="AP477" s="8">
        <f t="shared" si="137"/>
        <v>1.2514434326033752</v>
      </c>
      <c r="AQ477" s="8"/>
      <c r="AR477" s="8">
        <f t="shared" si="138"/>
        <v>109.87944218137906</v>
      </c>
      <c r="AS477" s="8">
        <f t="shared" si="139"/>
        <v>18.297573012462109</v>
      </c>
    </row>
    <row r="478" spans="1:45">
      <c r="A478" s="19">
        <v>121.08763329999999</v>
      </c>
      <c r="B478" s="19">
        <v>209.6620183</v>
      </c>
      <c r="C478" s="19">
        <v>-792.15021439999998</v>
      </c>
      <c r="E478" s="9">
        <f t="shared" si="129"/>
        <v>-750.3379817</v>
      </c>
      <c r="F478" s="9">
        <f t="shared" si="130"/>
        <v>-252.15021439999998</v>
      </c>
      <c r="I478">
        <v>1</v>
      </c>
      <c r="J478">
        <f t="shared" si="125"/>
        <v>0.48631636876693329</v>
      </c>
      <c r="K478">
        <f t="shared" si="131"/>
        <v>-2.8174001301650993</v>
      </c>
      <c r="O478">
        <f t="shared" si="132"/>
        <v>-0.44302626236233911</v>
      </c>
      <c r="P478">
        <f t="shared" si="133"/>
        <v>-0.14887846512367811</v>
      </c>
      <c r="Q478">
        <f t="shared" si="134"/>
        <v>0.88406048066841758</v>
      </c>
      <c r="R478">
        <f t="shared" si="140"/>
        <v>1</v>
      </c>
      <c r="AG478" s="8">
        <f t="shared" si="126"/>
        <v>-0.322475760435737</v>
      </c>
      <c r="AH478" s="8">
        <f t="shared" si="127"/>
        <v>0.89303147995257837</v>
      </c>
      <c r="AI478" s="8">
        <f t="shared" si="128"/>
        <v>0.31385372348452506</v>
      </c>
      <c r="AJ478" s="8"/>
      <c r="AK478" s="8"/>
      <c r="AL478" s="8"/>
      <c r="AN478" s="8">
        <f t="shared" si="135"/>
        <v>0.99999999999999989</v>
      </c>
      <c r="AO478" s="8">
        <f t="shared" si="136"/>
        <v>1.9173274352169152</v>
      </c>
      <c r="AP478" s="8">
        <f t="shared" si="137"/>
        <v>1.2515471927115485</v>
      </c>
      <c r="AQ478" s="8"/>
      <c r="AR478" s="8">
        <f t="shared" si="138"/>
        <v>109.85476998257201</v>
      </c>
      <c r="AS478" s="8">
        <f t="shared" si="139"/>
        <v>18.291627996181973</v>
      </c>
    </row>
    <row r="479" spans="1:45">
      <c r="A479" s="19">
        <v>121.121</v>
      </c>
      <c r="B479" s="19">
        <v>209.4342809</v>
      </c>
      <c r="C479" s="19">
        <v>-792.17962220000004</v>
      </c>
      <c r="E479" s="9">
        <f t="shared" si="129"/>
        <v>-750.56571910000002</v>
      </c>
      <c r="F479" s="9">
        <f t="shared" si="130"/>
        <v>-252.17962220000004</v>
      </c>
      <c r="I479">
        <v>1</v>
      </c>
      <c r="J479">
        <f t="shared" si="125"/>
        <v>0.48643546249330416</v>
      </c>
      <c r="K479">
        <f t="shared" si="131"/>
        <v>-2.8174565440340111</v>
      </c>
      <c r="O479">
        <f t="shared" si="132"/>
        <v>-0.4431344607395647</v>
      </c>
      <c r="P479">
        <f t="shared" si="133"/>
        <v>-0.14888700356192985</v>
      </c>
      <c r="Q479">
        <f t="shared" si="134"/>
        <v>0.88400481326484026</v>
      </c>
      <c r="R479">
        <f t="shared" si="140"/>
        <v>1</v>
      </c>
      <c r="AG479" s="8">
        <f t="shared" si="126"/>
        <v>-0.32237840348001529</v>
      </c>
      <c r="AH479" s="8">
        <f t="shared" si="127"/>
        <v>0.89308450761203928</v>
      </c>
      <c r="AI479" s="8">
        <f t="shared" si="128"/>
        <v>0.31380284771339784</v>
      </c>
      <c r="AJ479" s="8"/>
      <c r="AK479" s="8"/>
      <c r="AL479" s="8"/>
      <c r="AN479" s="8">
        <f t="shared" si="135"/>
        <v>1.0000000000000002</v>
      </c>
      <c r="AO479" s="8">
        <f t="shared" si="136"/>
        <v>1.9172120257895993</v>
      </c>
      <c r="AP479" s="8">
        <f t="shared" si="137"/>
        <v>1.2516007754981335</v>
      </c>
      <c r="AQ479" s="8"/>
      <c r="AR479" s="8">
        <f t="shared" si="138"/>
        <v>109.84815750947078</v>
      </c>
      <c r="AS479" s="8">
        <f t="shared" si="139"/>
        <v>18.28855792865609</v>
      </c>
    </row>
    <row r="480" spans="1:45">
      <c r="A480" s="19">
        <v>121.1543667</v>
      </c>
      <c r="B480" s="19">
        <v>209.06486749999999</v>
      </c>
      <c r="C480" s="19">
        <v>-792.18225740000003</v>
      </c>
      <c r="E480" s="9">
        <f t="shared" si="129"/>
        <v>-750.93513250000001</v>
      </c>
      <c r="F480" s="9">
        <f t="shared" si="130"/>
        <v>-252.18225740000003</v>
      </c>
      <c r="I480">
        <v>1</v>
      </c>
      <c r="J480">
        <f t="shared" ref="J480:J543" si="141">ATAN((SQRT(E480^2+F480^2)^$B$16)/($F$24))</f>
        <v>0.48662103203134255</v>
      </c>
      <c r="K480">
        <f t="shared" si="131"/>
        <v>-2.8176019163715575</v>
      </c>
      <c r="O480">
        <f t="shared" si="132"/>
        <v>-0.44331160202595649</v>
      </c>
      <c r="P480">
        <f t="shared" si="133"/>
        <v>-0.14887480381738055</v>
      </c>
      <c r="Q480">
        <f t="shared" si="134"/>
        <v>0.88391804840579902</v>
      </c>
      <c r="R480">
        <f t="shared" si="140"/>
        <v>1</v>
      </c>
      <c r="AG480" s="8">
        <f t="shared" ref="AG480:AG543" si="142">$O480*$Z$27+$P480*$Z$31+$Q480*$Z$35</f>
        <v>-0.32220869094091886</v>
      </c>
      <c r="AH480" s="8">
        <f t="shared" ref="AH480:AH543" si="143">$O480*$AA$27+$P480*$AA$31+$Q480*$AA$35</f>
        <v>0.89316658489072109</v>
      </c>
      <c r="AI480" s="8">
        <f t="shared" ref="AI480:AI543" si="144">$AB$27*$O480+$P480*$AB$31+$AB$35*$Q480</f>
        <v>0.31374354354597594</v>
      </c>
      <c r="AJ480" s="8"/>
      <c r="AK480" s="8"/>
      <c r="AL480" s="8"/>
      <c r="AN480" s="8">
        <f t="shared" si="135"/>
        <v>1</v>
      </c>
      <c r="AO480" s="8">
        <f t="shared" si="136"/>
        <v>1.9170145566560537</v>
      </c>
      <c r="AP480" s="8">
        <f t="shared" si="137"/>
        <v>1.2516632339443301</v>
      </c>
      <c r="AQ480" s="8"/>
      <c r="AR480" s="8">
        <f t="shared" si="138"/>
        <v>109.83684336153452</v>
      </c>
      <c r="AS480" s="8">
        <f t="shared" si="139"/>
        <v>18.284979323294081</v>
      </c>
    </row>
    <row r="481" spans="1:45">
      <c r="A481" s="19">
        <v>121.1877333</v>
      </c>
      <c r="B481" s="19">
        <v>209.2116953</v>
      </c>
      <c r="C481" s="19">
        <v>-792.19652180000003</v>
      </c>
      <c r="E481" s="9">
        <f t="shared" ref="E481:E544" si="145">(B481-($B$15/2))</f>
        <v>-750.78830470000003</v>
      </c>
      <c r="F481" s="9">
        <f t="shared" ref="F481:F544" si="146">(($C$15/2)+C481)</f>
        <v>-252.19652180000003</v>
      </c>
      <c r="I481">
        <v>1</v>
      </c>
      <c r="J481">
        <f t="shared" si="141"/>
        <v>0.48654985575489423</v>
      </c>
      <c r="K481">
        <f t="shared" ref="K481:K544" si="147">ATAN2(E481,F481)</f>
        <v>-2.8175258252770821</v>
      </c>
      <c r="O481">
        <f t="shared" ref="O481:O544" si="148">COS(K481)*SIN(J481)</f>
        <v>-0.44324063235907596</v>
      </c>
      <c r="P481">
        <f t="shared" ref="P481:P544" si="149">SIN(K481)*SIN(J481)</f>
        <v>-0.14888850172760495</v>
      </c>
      <c r="Q481">
        <f t="shared" ref="Q481:Q544" si="150">COS(J481)</f>
        <v>0.88395133117114288</v>
      </c>
      <c r="R481">
        <f t="shared" si="140"/>
        <v>1</v>
      </c>
      <c r="AG481" s="8">
        <f t="shared" si="142"/>
        <v>-0.32228015362108475</v>
      </c>
      <c r="AH481" s="8">
        <f t="shared" si="143"/>
        <v>0.89313529248384893</v>
      </c>
      <c r="AI481" s="8">
        <f t="shared" si="144"/>
        <v>0.3137592260026143</v>
      </c>
      <c r="AJ481" s="8"/>
      <c r="AK481" s="8"/>
      <c r="AL481" s="8"/>
      <c r="AN481" s="8">
        <f t="shared" ref="AN481:AN544" si="151">AG481^2+AH481^2+AI481^2</f>
        <v>0.99999999999999989</v>
      </c>
      <c r="AO481" s="8">
        <f t="shared" ref="AO481:AO544" si="152">IF(ATAN2(AG481,AH481)&gt;=0,ATAN2(AG481,AH481),ATAN2(AG481,AH481)+2*PI())</f>
        <v>1.9170965376200655</v>
      </c>
      <c r="AP481" s="8">
        <f t="shared" ref="AP481:AP544" si="153">ACOS(AI481/AN481)</f>
        <v>1.2516467174922579</v>
      </c>
      <c r="AQ481" s="8"/>
      <c r="AR481" s="8">
        <f t="shared" ref="AR481:AR544" si="154">DEGREES(AO481)</f>
        <v>109.8415405247728</v>
      </c>
      <c r="AS481" s="8">
        <f t="shared" ref="AS481:AS544" si="155">90-DEGREES(AP481)</f>
        <v>18.285925646290352</v>
      </c>
    </row>
    <row r="482" spans="1:45">
      <c r="A482" s="19">
        <v>121.22110000000001</v>
      </c>
      <c r="B482" s="19">
        <v>209.198643</v>
      </c>
      <c r="C482" s="19">
        <v>-792.20684129999995</v>
      </c>
      <c r="E482" s="9">
        <f t="shared" si="145"/>
        <v>-750.80135700000005</v>
      </c>
      <c r="F482" s="9">
        <f t="shared" si="146"/>
        <v>-252.20684129999995</v>
      </c>
      <c r="I482">
        <v>1</v>
      </c>
      <c r="J482">
        <f t="shared" si="141"/>
        <v>0.48655813364040518</v>
      </c>
      <c r="K482">
        <f t="shared" si="147"/>
        <v>-2.817518721777267</v>
      </c>
      <c r="O482">
        <f t="shared" si="148"/>
        <v>-0.44324651105931495</v>
      </c>
      <c r="P482">
        <f t="shared" si="149"/>
        <v>-0.14889398031750659</v>
      </c>
      <c r="Q482">
        <f t="shared" si="150"/>
        <v>0.88394746057611062</v>
      </c>
      <c r="R482">
        <f t="shared" si="140"/>
        <v>1</v>
      </c>
      <c r="AG482" s="8">
        <f t="shared" si="142"/>
        <v>-0.32227683597157358</v>
      </c>
      <c r="AH482" s="8">
        <f t="shared" si="143"/>
        <v>0.89313907658467717</v>
      </c>
      <c r="AI482" s="8">
        <f t="shared" si="144"/>
        <v>0.3137518619444698</v>
      </c>
      <c r="AJ482" s="8"/>
      <c r="AK482" s="8"/>
      <c r="AL482" s="8"/>
      <c r="AN482" s="8">
        <f t="shared" si="151"/>
        <v>1</v>
      </c>
      <c r="AO482" s="8">
        <f t="shared" si="152"/>
        <v>1.917091898259121</v>
      </c>
      <c r="AP482" s="8">
        <f t="shared" si="153"/>
        <v>1.2516544731833625</v>
      </c>
      <c r="AQ482" s="8"/>
      <c r="AR482" s="8">
        <f t="shared" si="154"/>
        <v>109.84127470897104</v>
      </c>
      <c r="AS482" s="8">
        <f t="shared" si="155"/>
        <v>18.285481277922855</v>
      </c>
    </row>
    <row r="483" spans="1:45">
      <c r="A483" s="19">
        <v>121.25446669999999</v>
      </c>
      <c r="B483" s="19">
        <v>208.55944729999999</v>
      </c>
      <c r="C483" s="19">
        <v>-792.22200940000005</v>
      </c>
      <c r="E483" s="9">
        <f t="shared" si="145"/>
        <v>-751.44055270000001</v>
      </c>
      <c r="F483" s="9">
        <f t="shared" si="146"/>
        <v>-252.22200940000005</v>
      </c>
      <c r="I483">
        <v>1</v>
      </c>
      <c r="J483">
        <f t="shared" si="141"/>
        <v>0.4868809576567531</v>
      </c>
      <c r="K483">
        <f t="shared" si="147"/>
        <v>-2.8177573687343909</v>
      </c>
      <c r="O483">
        <f t="shared" si="148"/>
        <v>-0.44355253548059742</v>
      </c>
      <c r="P483">
        <f t="shared" si="149"/>
        <v>-0.14887899165330887</v>
      </c>
      <c r="Q483">
        <f t="shared" si="150"/>
        <v>0.88379646645199217</v>
      </c>
      <c r="R483">
        <f t="shared" si="140"/>
        <v>1</v>
      </c>
      <c r="AG483" s="8">
        <f t="shared" si="142"/>
        <v>-0.32198599449568738</v>
      </c>
      <c r="AH483" s="8">
        <f t="shared" si="143"/>
        <v>0.89328192396268868</v>
      </c>
      <c r="AI483" s="8">
        <f t="shared" si="144"/>
        <v>0.31364378468278364</v>
      </c>
      <c r="AJ483" s="8"/>
      <c r="AK483" s="8"/>
      <c r="AL483" s="8"/>
      <c r="AN483" s="8">
        <f t="shared" si="151"/>
        <v>0.99999999999999989</v>
      </c>
      <c r="AO483" s="8">
        <f t="shared" si="152"/>
        <v>1.9167527229703547</v>
      </c>
      <c r="AP483" s="8">
        <f t="shared" si="153"/>
        <v>1.251768295888932</v>
      </c>
      <c r="AQ483" s="8"/>
      <c r="AR483" s="8">
        <f t="shared" si="154"/>
        <v>109.82184139640961</v>
      </c>
      <c r="AS483" s="8">
        <f t="shared" si="155"/>
        <v>18.278959717280955</v>
      </c>
    </row>
    <row r="484" spans="1:45">
      <c r="A484" s="19">
        <v>121.2878333</v>
      </c>
      <c r="B484" s="19">
        <v>208.37651120000001</v>
      </c>
      <c r="C484" s="19">
        <v>-792.24774769999999</v>
      </c>
      <c r="E484" s="9">
        <f t="shared" si="145"/>
        <v>-751.62348880000002</v>
      </c>
      <c r="F484" s="9">
        <f t="shared" si="146"/>
        <v>-252.24774769999999</v>
      </c>
      <c r="I484">
        <v>1</v>
      </c>
      <c r="J484">
        <f t="shared" si="141"/>
        <v>0.48697693089125976</v>
      </c>
      <c r="K484">
        <f t="shared" si="147"/>
        <v>-2.8178000147176125</v>
      </c>
      <c r="O484">
        <f t="shared" si="148"/>
        <v>-0.44363929526491785</v>
      </c>
      <c r="P484">
        <f t="shared" si="149"/>
        <v>-0.14888706205876465</v>
      </c>
      <c r="Q484">
        <f t="shared" si="150"/>
        <v>0.88375155923390403</v>
      </c>
      <c r="R484">
        <f t="shared" si="140"/>
        <v>1</v>
      </c>
      <c r="AG484" s="8">
        <f t="shared" si="142"/>
        <v>-0.32190837136054967</v>
      </c>
      <c r="AH484" s="8">
        <f t="shared" si="143"/>
        <v>0.89332462828643877</v>
      </c>
      <c r="AI484" s="8">
        <f t="shared" si="144"/>
        <v>0.31360183185832069</v>
      </c>
      <c r="AJ484" s="8"/>
      <c r="AK484" s="8"/>
      <c r="AL484" s="8"/>
      <c r="AN484" s="8">
        <f t="shared" si="151"/>
        <v>1</v>
      </c>
      <c r="AO484" s="8">
        <f t="shared" si="152"/>
        <v>1.9166605692613736</v>
      </c>
      <c r="AP484" s="8">
        <f t="shared" si="153"/>
        <v>1.2518124777944903</v>
      </c>
      <c r="AQ484" s="8"/>
      <c r="AR484" s="8">
        <f t="shared" si="154"/>
        <v>109.81656137781852</v>
      </c>
      <c r="AS484" s="8">
        <f t="shared" si="155"/>
        <v>18.276428280561618</v>
      </c>
    </row>
    <row r="485" spans="1:45">
      <c r="A485" s="19">
        <v>121.3212</v>
      </c>
      <c r="B485" s="19">
        <v>207.81825280000001</v>
      </c>
      <c r="C485" s="19">
        <v>-792.35115989999997</v>
      </c>
      <c r="E485" s="9">
        <f t="shared" si="145"/>
        <v>-752.18174720000002</v>
      </c>
      <c r="F485" s="9">
        <f t="shared" si="146"/>
        <v>-252.35115989999997</v>
      </c>
      <c r="I485">
        <v>1</v>
      </c>
      <c r="J485">
        <f t="shared" si="141"/>
        <v>0.48727393261726171</v>
      </c>
      <c r="K485">
        <f t="shared" si="147"/>
        <v>-2.817900318586303</v>
      </c>
      <c r="O485">
        <f t="shared" si="148"/>
        <v>-0.44390305211845504</v>
      </c>
      <c r="P485">
        <f t="shared" si="149"/>
        <v>-0.14892604148164357</v>
      </c>
      <c r="Q485">
        <f t="shared" si="150"/>
        <v>0.88361253640299142</v>
      </c>
      <c r="R485">
        <f t="shared" si="140"/>
        <v>1</v>
      </c>
      <c r="AG485" s="8">
        <f t="shared" si="142"/>
        <v>-0.3216780326409201</v>
      </c>
      <c r="AH485" s="8">
        <f t="shared" si="143"/>
        <v>0.89345701673255173</v>
      </c>
      <c r="AI485" s="8">
        <f t="shared" si="144"/>
        <v>0.31346100645476743</v>
      </c>
      <c r="AJ485" s="8"/>
      <c r="AK485" s="8"/>
      <c r="AL485" s="8"/>
      <c r="AN485" s="8">
        <f t="shared" si="151"/>
        <v>0.99999999999999978</v>
      </c>
      <c r="AO485" s="8">
        <f t="shared" si="152"/>
        <v>1.9163851065328106</v>
      </c>
      <c r="AP485" s="8">
        <f t="shared" si="153"/>
        <v>1.2519607809664324</v>
      </c>
      <c r="AQ485" s="8"/>
      <c r="AR485" s="8">
        <f t="shared" si="154"/>
        <v>109.80077852605869</v>
      </c>
      <c r="AS485" s="8">
        <f t="shared" si="155"/>
        <v>18.267931134720939</v>
      </c>
    </row>
    <row r="486" spans="1:45">
      <c r="A486" s="19">
        <v>121.35456670000001</v>
      </c>
      <c r="B486" s="19">
        <v>207.1576359</v>
      </c>
      <c r="C486" s="19">
        <v>-792.24964990000001</v>
      </c>
      <c r="E486" s="9">
        <f t="shared" si="145"/>
        <v>-752.84236409999994</v>
      </c>
      <c r="F486" s="9">
        <f t="shared" si="146"/>
        <v>-252.24964990000001</v>
      </c>
      <c r="I486">
        <v>1</v>
      </c>
      <c r="J486">
        <f t="shared" si="141"/>
        <v>0.4875877033325548</v>
      </c>
      <c r="K486">
        <f t="shared" si="147"/>
        <v>-2.8182861733388731</v>
      </c>
      <c r="O486">
        <f t="shared" si="148"/>
        <v>-0.4442233483933386</v>
      </c>
      <c r="P486">
        <f t="shared" si="149"/>
        <v>-0.14884282481045549</v>
      </c>
      <c r="Q486">
        <f t="shared" si="150"/>
        <v>0.88346557954719129</v>
      </c>
      <c r="R486">
        <f t="shared" si="140"/>
        <v>1</v>
      </c>
      <c r="AG486" s="8">
        <f t="shared" si="142"/>
        <v>-0.32134688409775941</v>
      </c>
      <c r="AH486" s="8">
        <f t="shared" si="143"/>
        <v>0.89359418446781091</v>
      </c>
      <c r="AI486" s="8">
        <f t="shared" si="144"/>
        <v>0.31340965774201829</v>
      </c>
      <c r="AJ486" s="8"/>
      <c r="AK486" s="8"/>
      <c r="AL486" s="8"/>
      <c r="AN486" s="8">
        <f t="shared" si="151"/>
        <v>1</v>
      </c>
      <c r="AO486" s="8">
        <f t="shared" si="152"/>
        <v>1.9160080755170292</v>
      </c>
      <c r="AP486" s="8">
        <f t="shared" si="153"/>
        <v>1.2520148544673737</v>
      </c>
      <c r="AQ486" s="8"/>
      <c r="AR486" s="8">
        <f t="shared" si="154"/>
        <v>109.7791762401089</v>
      </c>
      <c r="AS486" s="8">
        <f t="shared" si="155"/>
        <v>18.264832951333503</v>
      </c>
    </row>
    <row r="487" spans="1:45">
      <c r="A487" s="19">
        <v>121.3879333</v>
      </c>
      <c r="B487" s="19">
        <v>207.0976397</v>
      </c>
      <c r="C487" s="19">
        <v>-792.23578869999994</v>
      </c>
      <c r="E487" s="9">
        <f t="shared" si="145"/>
        <v>-752.90236030000005</v>
      </c>
      <c r="F487" s="9">
        <f t="shared" si="146"/>
        <v>-252.23578869999994</v>
      </c>
      <c r="I487">
        <v>1</v>
      </c>
      <c r="J487">
        <f t="shared" si="141"/>
        <v>0.48761541884950321</v>
      </c>
      <c r="K487">
        <f t="shared" si="147"/>
        <v>-2.8183267310286513</v>
      </c>
      <c r="O487">
        <f t="shared" si="148"/>
        <v>-0.44425260199782601</v>
      </c>
      <c r="P487">
        <f t="shared" si="149"/>
        <v>-0.14883258620984935</v>
      </c>
      <c r="Q487">
        <f t="shared" si="150"/>
        <v>0.88345259459704395</v>
      </c>
      <c r="R487">
        <f t="shared" si="140"/>
        <v>1</v>
      </c>
      <c r="AG487" s="8">
        <f t="shared" si="142"/>
        <v>-0.32131559706013313</v>
      </c>
      <c r="AH487" s="8">
        <f t="shared" si="143"/>
        <v>0.89360623269905659</v>
      </c>
      <c r="AI487" s="8">
        <f t="shared" si="144"/>
        <v>0.31340738339625879</v>
      </c>
      <c r="AJ487" s="8"/>
      <c r="AK487" s="8"/>
      <c r="AL487" s="8"/>
      <c r="AN487" s="8">
        <f t="shared" si="151"/>
        <v>0.99999999999999978</v>
      </c>
      <c r="AO487" s="8">
        <f t="shared" si="152"/>
        <v>1.9159727789375656</v>
      </c>
      <c r="AP487" s="8">
        <f t="shared" si="153"/>
        <v>1.2520172494775879</v>
      </c>
      <c r="AQ487" s="8"/>
      <c r="AR487" s="8">
        <f t="shared" si="154"/>
        <v>109.77715389507438</v>
      </c>
      <c r="AS487" s="8">
        <f t="shared" si="155"/>
        <v>18.26469572735634</v>
      </c>
    </row>
    <row r="488" spans="1:45">
      <c r="A488" s="19">
        <v>121.4213</v>
      </c>
      <c r="B488" s="19">
        <v>207.51747789999999</v>
      </c>
      <c r="C488" s="19">
        <v>-792.26618829999995</v>
      </c>
      <c r="E488" s="9">
        <f t="shared" si="145"/>
        <v>-752.48252209999998</v>
      </c>
      <c r="F488" s="9">
        <f t="shared" si="146"/>
        <v>-252.26618829999995</v>
      </c>
      <c r="I488">
        <v>1</v>
      </c>
      <c r="J488">
        <f t="shared" si="141"/>
        <v>0.48741028862881058</v>
      </c>
      <c r="K488">
        <f t="shared" si="147"/>
        <v>-2.8181223658023553</v>
      </c>
      <c r="O488">
        <f t="shared" si="148"/>
        <v>-0.44405034291102341</v>
      </c>
      <c r="P488">
        <f t="shared" si="149"/>
        <v>-0.14886576648565034</v>
      </c>
      <c r="Q488">
        <f t="shared" si="150"/>
        <v>0.88354868373465556</v>
      </c>
      <c r="R488">
        <f t="shared" si="140"/>
        <v>1</v>
      </c>
      <c r="AG488" s="8">
        <f t="shared" si="142"/>
        <v>-0.32151710529688549</v>
      </c>
      <c r="AH488" s="8">
        <f t="shared" si="143"/>
        <v>0.89351613963234344</v>
      </c>
      <c r="AI488" s="8">
        <f t="shared" si="144"/>
        <v>0.31345758759045206</v>
      </c>
      <c r="AJ488" s="8"/>
      <c r="AK488" s="8"/>
      <c r="AL488" s="8"/>
      <c r="AN488" s="8">
        <f t="shared" si="151"/>
        <v>0.99999999999999989</v>
      </c>
      <c r="AO488" s="8">
        <f t="shared" si="152"/>
        <v>1.9162045671162575</v>
      </c>
      <c r="AP488" s="8">
        <f t="shared" si="153"/>
        <v>1.2519643812806927</v>
      </c>
      <c r="AQ488" s="8"/>
      <c r="AR488" s="8">
        <f t="shared" si="154"/>
        <v>109.79043437945445</v>
      </c>
      <c r="AS488" s="8">
        <f t="shared" si="155"/>
        <v>18.267724851908909</v>
      </c>
    </row>
    <row r="489" spans="1:45">
      <c r="A489" s="19">
        <v>121.4546667</v>
      </c>
      <c r="B489" s="19">
        <v>206.8035361</v>
      </c>
      <c r="C489" s="19">
        <v>-792.2114775</v>
      </c>
      <c r="E489" s="9">
        <f t="shared" si="145"/>
        <v>-753.19646390000003</v>
      </c>
      <c r="F489" s="9">
        <f t="shared" si="146"/>
        <v>-252.2114775</v>
      </c>
      <c r="I489">
        <v>1</v>
      </c>
      <c r="J489">
        <f t="shared" si="141"/>
        <v>0.48775859498775337</v>
      </c>
      <c r="K489">
        <f t="shared" si="147"/>
        <v>-2.818473373473191</v>
      </c>
      <c r="O489">
        <f t="shared" si="148"/>
        <v>-0.4443943612962063</v>
      </c>
      <c r="P489">
        <f t="shared" si="149"/>
        <v>-0.14880760044309746</v>
      </c>
      <c r="Q489">
        <f t="shared" si="150"/>
        <v>0.88338550457798681</v>
      </c>
      <c r="R489">
        <f t="shared" si="140"/>
        <v>1</v>
      </c>
      <c r="AG489" s="8">
        <f t="shared" si="142"/>
        <v>-0.32117366260764252</v>
      </c>
      <c r="AH489" s="8">
        <f t="shared" si="143"/>
        <v>0.8936690452298468</v>
      </c>
      <c r="AI489" s="8">
        <f t="shared" si="144"/>
        <v>0.31337376413025753</v>
      </c>
      <c r="AJ489" s="8"/>
      <c r="AK489" s="8"/>
      <c r="AL489" s="8"/>
      <c r="AN489" s="8">
        <f t="shared" si="151"/>
        <v>1</v>
      </c>
      <c r="AO489" s="8">
        <f t="shared" si="152"/>
        <v>1.9158097512334953</v>
      </c>
      <c r="AP489" s="8">
        <f t="shared" si="153"/>
        <v>1.2520526521787525</v>
      </c>
      <c r="AQ489" s="8"/>
      <c r="AR489" s="8">
        <f t="shared" si="154"/>
        <v>109.76781309568744</v>
      </c>
      <c r="AS489" s="8">
        <f t="shared" si="155"/>
        <v>18.262667301996245</v>
      </c>
    </row>
    <row r="490" spans="1:45">
      <c r="A490" s="19">
        <v>121.4880333</v>
      </c>
      <c r="B490" s="19">
        <v>206.20105570000001</v>
      </c>
      <c r="C490" s="19">
        <v>-792.21845389999999</v>
      </c>
      <c r="E490" s="9">
        <f t="shared" si="145"/>
        <v>-753.79894430000002</v>
      </c>
      <c r="F490" s="9">
        <f t="shared" si="146"/>
        <v>-252.21845389999999</v>
      </c>
      <c r="I490">
        <v>1</v>
      </c>
      <c r="J490">
        <f t="shared" si="141"/>
        <v>0.48806136632974095</v>
      </c>
      <c r="K490">
        <f t="shared" si="147"/>
        <v>-2.8187057215678828</v>
      </c>
      <c r="O490">
        <f t="shared" si="148"/>
        <v>-0.44468254626429998</v>
      </c>
      <c r="P490">
        <f t="shared" si="149"/>
        <v>-0.14878920319960054</v>
      </c>
      <c r="Q490">
        <f t="shared" si="150"/>
        <v>0.88324357119603569</v>
      </c>
      <c r="R490">
        <f t="shared" si="140"/>
        <v>1</v>
      </c>
      <c r="AG490" s="8">
        <f t="shared" si="142"/>
        <v>-0.32089781418569746</v>
      </c>
      <c r="AH490" s="8">
        <f t="shared" si="143"/>
        <v>0.89380252560464712</v>
      </c>
      <c r="AI490" s="8">
        <f t="shared" si="144"/>
        <v>0.31327565828451381</v>
      </c>
      <c r="AJ490" s="8"/>
      <c r="AK490" s="8"/>
      <c r="AL490" s="8"/>
      <c r="AN490" s="8">
        <f t="shared" si="151"/>
        <v>0.99999999999999978</v>
      </c>
      <c r="AO490" s="8">
        <f t="shared" si="152"/>
        <v>1.9154888611049368</v>
      </c>
      <c r="AP490" s="8">
        <f t="shared" si="153"/>
        <v>1.2521559599801444</v>
      </c>
      <c r="AQ490" s="8"/>
      <c r="AR490" s="8">
        <f t="shared" si="154"/>
        <v>109.74942744563363</v>
      </c>
      <c r="AS490" s="8">
        <f t="shared" si="155"/>
        <v>18.256748200985712</v>
      </c>
    </row>
    <row r="491" spans="1:45">
      <c r="A491" s="19">
        <v>121.5214</v>
      </c>
      <c r="B491" s="19">
        <v>205.76201699999999</v>
      </c>
      <c r="C491" s="19">
        <v>-792.21128009999995</v>
      </c>
      <c r="E491" s="9">
        <f t="shared" si="145"/>
        <v>-754.23798299999999</v>
      </c>
      <c r="F491" s="9">
        <f t="shared" si="146"/>
        <v>-252.21128009999995</v>
      </c>
      <c r="I491">
        <v>1</v>
      </c>
      <c r="J491">
        <f t="shared" si="141"/>
        <v>0.48827990483779504</v>
      </c>
      <c r="K491">
        <f t="shared" si="147"/>
        <v>-2.8188894440018597</v>
      </c>
      <c r="O491">
        <f t="shared" si="148"/>
        <v>-0.4448929232628196</v>
      </c>
      <c r="P491">
        <f t="shared" si="149"/>
        <v>-0.14876871254513155</v>
      </c>
      <c r="Q491">
        <f t="shared" si="150"/>
        <v>0.88314107423351507</v>
      </c>
      <c r="R491">
        <f t="shared" si="140"/>
        <v>1</v>
      </c>
      <c r="AG491" s="8">
        <f t="shared" si="142"/>
        <v>-0.32069362107661464</v>
      </c>
      <c r="AH491" s="8">
        <f t="shared" si="143"/>
        <v>0.89389865190043327</v>
      </c>
      <c r="AI491" s="8">
        <f t="shared" si="144"/>
        <v>0.31321047481103947</v>
      </c>
      <c r="AJ491" s="8"/>
      <c r="AK491" s="8"/>
      <c r="AL491" s="8"/>
      <c r="AN491" s="8">
        <f t="shared" si="151"/>
        <v>1</v>
      </c>
      <c r="AO491" s="8">
        <f t="shared" si="152"/>
        <v>1.9152522937950696</v>
      </c>
      <c r="AP491" s="8">
        <f t="shared" si="153"/>
        <v>1.2522245977895998</v>
      </c>
      <c r="AQ491" s="8"/>
      <c r="AR491" s="8">
        <f t="shared" si="154"/>
        <v>109.73587313720748</v>
      </c>
      <c r="AS491" s="8">
        <f t="shared" si="155"/>
        <v>18.252815544188891</v>
      </c>
    </row>
    <row r="492" spans="1:45">
      <c r="A492" s="19">
        <v>121.5547667</v>
      </c>
      <c r="B492" s="19">
        <v>205.34833069999999</v>
      </c>
      <c r="C492" s="19">
        <v>-792.20933009999999</v>
      </c>
      <c r="E492" s="9">
        <f t="shared" si="145"/>
        <v>-754.65166929999998</v>
      </c>
      <c r="F492" s="9">
        <f t="shared" si="146"/>
        <v>-252.20933009999999</v>
      </c>
      <c r="I492">
        <v>1</v>
      </c>
      <c r="J492">
        <f t="shared" si="141"/>
        <v>0.48848659596538357</v>
      </c>
      <c r="K492">
        <f t="shared" si="147"/>
        <v>-2.819056649465669</v>
      </c>
      <c r="O492">
        <f t="shared" si="148"/>
        <v>-0.44509090729385747</v>
      </c>
      <c r="P492">
        <f t="shared" si="149"/>
        <v>-0.1487521781622925</v>
      </c>
      <c r="Q492">
        <f t="shared" si="150"/>
        <v>0.88304409501242032</v>
      </c>
      <c r="R492">
        <f t="shared" si="140"/>
        <v>1</v>
      </c>
      <c r="AG492" s="8">
        <f t="shared" si="142"/>
        <v>-0.32050250407080855</v>
      </c>
      <c r="AH492" s="8">
        <f t="shared" si="143"/>
        <v>0.89398957793314482</v>
      </c>
      <c r="AI492" s="8">
        <f t="shared" si="144"/>
        <v>0.31314657818864788</v>
      </c>
      <c r="AJ492" s="8"/>
      <c r="AK492" s="8"/>
      <c r="AL492" s="8"/>
      <c r="AN492" s="8">
        <f t="shared" si="151"/>
        <v>1</v>
      </c>
      <c r="AO492" s="8">
        <f t="shared" si="152"/>
        <v>1.9150305459576766</v>
      </c>
      <c r="AP492" s="8">
        <f t="shared" si="153"/>
        <v>1.2522918790445068</v>
      </c>
      <c r="AQ492" s="8"/>
      <c r="AR492" s="8">
        <f t="shared" si="154"/>
        <v>109.7231679220087</v>
      </c>
      <c r="AS492" s="8">
        <f t="shared" si="155"/>
        <v>18.248960612242385</v>
      </c>
    </row>
    <row r="493" spans="1:45">
      <c r="A493" s="19">
        <v>121.5881333</v>
      </c>
      <c r="B493" s="19">
        <v>205.04968869999999</v>
      </c>
      <c r="C493" s="19">
        <v>-792.20975810000004</v>
      </c>
      <c r="E493" s="9">
        <f t="shared" si="145"/>
        <v>-754.95031130000007</v>
      </c>
      <c r="F493" s="9">
        <f t="shared" si="146"/>
        <v>-252.20975810000004</v>
      </c>
      <c r="I493">
        <v>1</v>
      </c>
      <c r="J493">
        <f t="shared" si="141"/>
        <v>0.48863609394362889</v>
      </c>
      <c r="K493">
        <f t="shared" si="147"/>
        <v>-2.819175066111141</v>
      </c>
      <c r="O493">
        <f t="shared" si="148"/>
        <v>-0.44523372487801899</v>
      </c>
      <c r="P493">
        <f t="shared" si="149"/>
        <v>-0.14874129908772862</v>
      </c>
      <c r="Q493">
        <f t="shared" si="150"/>
        <v>0.88297392723507939</v>
      </c>
      <c r="R493">
        <f t="shared" si="140"/>
        <v>1</v>
      </c>
      <c r="AG493" s="8">
        <f t="shared" si="142"/>
        <v>-0.32036503187659471</v>
      </c>
      <c r="AH493" s="8">
        <f t="shared" si="143"/>
        <v>0.89405533723697861</v>
      </c>
      <c r="AI493" s="8">
        <f t="shared" si="144"/>
        <v>0.31309950544320675</v>
      </c>
      <c r="AJ493" s="8"/>
      <c r="AK493" s="8"/>
      <c r="AL493" s="8"/>
      <c r="AN493" s="8">
        <f t="shared" si="151"/>
        <v>0.99999999999999978</v>
      </c>
      <c r="AO493" s="8">
        <f t="shared" si="152"/>
        <v>1.9148709205916132</v>
      </c>
      <c r="AP493" s="8">
        <f t="shared" si="153"/>
        <v>1.2523414442993672</v>
      </c>
      <c r="AQ493" s="8"/>
      <c r="AR493" s="8">
        <f t="shared" si="154"/>
        <v>109.71402206223004</v>
      </c>
      <c r="AS493" s="8">
        <f t="shared" si="155"/>
        <v>18.246120732328393</v>
      </c>
    </row>
    <row r="494" spans="1:45">
      <c r="A494" s="19">
        <v>121.6215</v>
      </c>
      <c r="B494" s="19">
        <v>205.21470600000001</v>
      </c>
      <c r="C494" s="19">
        <v>-792.18186839999998</v>
      </c>
      <c r="E494" s="9">
        <f t="shared" si="145"/>
        <v>-754.78529400000002</v>
      </c>
      <c r="F494" s="9">
        <f t="shared" si="146"/>
        <v>-252.18186839999998</v>
      </c>
      <c r="I494">
        <v>1</v>
      </c>
      <c r="J494">
        <f t="shared" si="141"/>
        <v>0.48854886643092232</v>
      </c>
      <c r="K494">
        <f t="shared" si="147"/>
        <v>-2.8191426020715138</v>
      </c>
      <c r="O494">
        <f t="shared" si="148"/>
        <v>-0.44515584403431724</v>
      </c>
      <c r="P494">
        <f t="shared" si="149"/>
        <v>-0.1487313456821977</v>
      </c>
      <c r="Q494">
        <f t="shared" si="150"/>
        <v>0.88301487039214532</v>
      </c>
      <c r="R494">
        <f t="shared" si="140"/>
        <v>1</v>
      </c>
      <c r="AG494" s="8">
        <f t="shared" si="142"/>
        <v>-0.32043375027216459</v>
      </c>
      <c r="AH494" s="8">
        <f t="shared" si="143"/>
        <v>0.89401661667103349</v>
      </c>
      <c r="AI494" s="8">
        <f t="shared" si="144"/>
        <v>0.31313974644333192</v>
      </c>
      <c r="AJ494" s="8"/>
      <c r="AK494" s="8"/>
      <c r="AL494" s="8"/>
      <c r="AN494" s="8">
        <f t="shared" si="151"/>
        <v>0.99999999999999978</v>
      </c>
      <c r="AO494" s="8">
        <f t="shared" si="152"/>
        <v>1.9149527901679753</v>
      </c>
      <c r="AP494" s="8">
        <f t="shared" si="153"/>
        <v>1.2522990725820806</v>
      </c>
      <c r="AQ494" s="8"/>
      <c r="AR494" s="8">
        <f t="shared" si="154"/>
        <v>109.7187128434261</v>
      </c>
      <c r="AS494" s="8">
        <f t="shared" si="155"/>
        <v>18.248548452899627</v>
      </c>
    </row>
    <row r="495" spans="1:45">
      <c r="A495" s="19">
        <v>121.6548667</v>
      </c>
      <c r="B495" s="19">
        <v>205.07257419999999</v>
      </c>
      <c r="C495" s="19">
        <v>-792.10441160000005</v>
      </c>
      <c r="E495" s="9">
        <f t="shared" si="145"/>
        <v>-754.92742580000004</v>
      </c>
      <c r="F495" s="9">
        <f t="shared" si="146"/>
        <v>-252.10441160000005</v>
      </c>
      <c r="I495">
        <v>1</v>
      </c>
      <c r="J495">
        <f t="shared" si="141"/>
        <v>0.48860703797126798</v>
      </c>
      <c r="K495">
        <f t="shared" si="147"/>
        <v>-2.8192914948032062</v>
      </c>
      <c r="O495">
        <f t="shared" si="148"/>
        <v>-0.44522670479612941</v>
      </c>
      <c r="P495">
        <f t="shared" si="149"/>
        <v>-0.14868133360275007</v>
      </c>
      <c r="Q495">
        <f t="shared" si="150"/>
        <v>0.88298756637593034</v>
      </c>
      <c r="R495">
        <f t="shared" si="140"/>
        <v>1</v>
      </c>
      <c r="AG495" s="8">
        <f t="shared" si="142"/>
        <v>-0.32034798744330151</v>
      </c>
      <c r="AH495" s="8">
        <f t="shared" si="143"/>
        <v>0.8940412010025317</v>
      </c>
      <c r="AI495" s="8">
        <f t="shared" si="144"/>
        <v>0.31315730528119085</v>
      </c>
      <c r="AJ495" s="8"/>
      <c r="AK495" s="8"/>
      <c r="AL495" s="8"/>
      <c r="AN495" s="8">
        <f t="shared" si="151"/>
        <v>1</v>
      </c>
      <c r="AO495" s="8">
        <f t="shared" si="152"/>
        <v>1.9148590464253914</v>
      </c>
      <c r="AP495" s="8">
        <f t="shared" si="153"/>
        <v>1.2522805838373654</v>
      </c>
      <c r="AQ495" s="8"/>
      <c r="AR495" s="8">
        <f t="shared" si="154"/>
        <v>109.7133417226203</v>
      </c>
      <c r="AS495" s="8">
        <f t="shared" si="155"/>
        <v>18.249607779940305</v>
      </c>
    </row>
    <row r="496" spans="1:45">
      <c r="A496" s="19">
        <v>121.68823329999999</v>
      </c>
      <c r="B496" s="19">
        <v>203.97509260000001</v>
      </c>
      <c r="C496" s="19">
        <v>-792.11394919999998</v>
      </c>
      <c r="E496" s="9">
        <f t="shared" si="145"/>
        <v>-756.02490739999996</v>
      </c>
      <c r="F496" s="9">
        <f t="shared" si="146"/>
        <v>-252.11394919999998</v>
      </c>
      <c r="I496">
        <v>1</v>
      </c>
      <c r="J496">
        <f t="shared" si="141"/>
        <v>0.48915764753261864</v>
      </c>
      <c r="K496">
        <f t="shared" si="147"/>
        <v>-2.819716338688818</v>
      </c>
      <c r="O496">
        <f t="shared" si="148"/>
        <v>-0.44575097627915411</v>
      </c>
      <c r="P496">
        <f t="shared" si="149"/>
        <v>-0.14864594789075483</v>
      </c>
      <c r="Q496">
        <f t="shared" si="150"/>
        <v>0.88272897840834474</v>
      </c>
      <c r="R496">
        <f t="shared" si="140"/>
        <v>1</v>
      </c>
      <c r="AG496" s="8">
        <f t="shared" si="142"/>
        <v>-0.31984498431516295</v>
      </c>
      <c r="AH496" s="8">
        <f t="shared" si="143"/>
        <v>0.89428327817868247</v>
      </c>
      <c r="AI496" s="8">
        <f t="shared" si="144"/>
        <v>0.31298019806119121</v>
      </c>
      <c r="AJ496" s="8"/>
      <c r="AK496" s="8"/>
      <c r="AL496" s="8"/>
      <c r="AN496" s="8">
        <f t="shared" si="151"/>
        <v>1.0000000000000002</v>
      </c>
      <c r="AO496" s="8">
        <f t="shared" si="152"/>
        <v>1.9142744992719074</v>
      </c>
      <c r="AP496" s="8">
        <f t="shared" si="153"/>
        <v>1.25246706539904</v>
      </c>
      <c r="AQ496" s="8"/>
      <c r="AR496" s="8">
        <f t="shared" si="154"/>
        <v>109.67984963779928</v>
      </c>
      <c r="AS496" s="8">
        <f t="shared" si="155"/>
        <v>18.238923173499344</v>
      </c>
    </row>
    <row r="497" spans="1:45">
      <c r="A497" s="19">
        <v>121.7216</v>
      </c>
      <c r="B497" s="19">
        <v>203.5650253</v>
      </c>
      <c r="C497" s="19">
        <v>-791.93451990000005</v>
      </c>
      <c r="E497" s="9">
        <f t="shared" si="145"/>
        <v>-756.4349747</v>
      </c>
      <c r="F497" s="9">
        <f t="shared" si="146"/>
        <v>-251.93451990000005</v>
      </c>
      <c r="I497">
        <v>1</v>
      </c>
      <c r="J497">
        <f t="shared" si="141"/>
        <v>0.48933282848441784</v>
      </c>
      <c r="K497">
        <f t="shared" si="147"/>
        <v>-2.8200925375195469</v>
      </c>
      <c r="O497">
        <f t="shared" si="148"/>
        <v>-0.44595357239398931</v>
      </c>
      <c r="P497">
        <f t="shared" si="149"/>
        <v>-0.14852710796896695</v>
      </c>
      <c r="Q497">
        <f t="shared" si="150"/>
        <v>0.88264665040287427</v>
      </c>
      <c r="R497">
        <f t="shared" si="140"/>
        <v>1</v>
      </c>
      <c r="AG497" s="8">
        <f t="shared" si="142"/>
        <v>-0.3196091649353221</v>
      </c>
      <c r="AH497" s="8">
        <f t="shared" si="143"/>
        <v>0.89435780495215134</v>
      </c>
      <c r="AI497" s="8">
        <f t="shared" si="144"/>
        <v>0.31300814431978546</v>
      </c>
      <c r="AJ497" s="8"/>
      <c r="AK497" s="8"/>
      <c r="AL497" s="8"/>
      <c r="AN497" s="8">
        <f t="shared" si="151"/>
        <v>1</v>
      </c>
      <c r="AO497" s="8">
        <f t="shared" si="152"/>
        <v>1.9140142805033975</v>
      </c>
      <c r="AP497" s="8">
        <f t="shared" si="153"/>
        <v>1.2524376406977007</v>
      </c>
      <c r="AQ497" s="8"/>
      <c r="AR497" s="8">
        <f t="shared" si="154"/>
        <v>109.66494020061357</v>
      </c>
      <c r="AS497" s="8">
        <f t="shared" si="155"/>
        <v>18.240609084699528</v>
      </c>
    </row>
    <row r="498" spans="1:45">
      <c r="A498" s="19">
        <v>121.7549667</v>
      </c>
      <c r="B498" s="19">
        <v>202.72313890000001</v>
      </c>
      <c r="C498" s="19">
        <v>-792.35546320000003</v>
      </c>
      <c r="E498" s="9">
        <f t="shared" si="145"/>
        <v>-757.27686110000002</v>
      </c>
      <c r="F498" s="9">
        <f t="shared" si="146"/>
        <v>-252.35546320000003</v>
      </c>
      <c r="I498">
        <v>1</v>
      </c>
      <c r="J498">
        <f t="shared" si="141"/>
        <v>0.48982386664599659</v>
      </c>
      <c r="K498">
        <f t="shared" si="147"/>
        <v>-2.8199254811212793</v>
      </c>
      <c r="O498">
        <f t="shared" si="148"/>
        <v>-0.44633988327003971</v>
      </c>
      <c r="P498">
        <f t="shared" si="149"/>
        <v>-0.14873861037247649</v>
      </c>
      <c r="Q498">
        <f t="shared" si="150"/>
        <v>0.88241573783956961</v>
      </c>
      <c r="R498">
        <f t="shared" si="140"/>
        <v>1</v>
      </c>
      <c r="AG498" s="8">
        <f t="shared" si="142"/>
        <v>-0.31933177919198075</v>
      </c>
      <c r="AH498" s="8">
        <f t="shared" si="143"/>
        <v>0.89457879198895429</v>
      </c>
      <c r="AI498" s="8">
        <f t="shared" si="144"/>
        <v>0.31265955882024044</v>
      </c>
      <c r="AJ498" s="8"/>
      <c r="AK498" s="8"/>
      <c r="AL498" s="8"/>
      <c r="AN498" s="8">
        <f t="shared" si="151"/>
        <v>1.0000000000000002</v>
      </c>
      <c r="AO498" s="8">
        <f t="shared" si="152"/>
        <v>1.9136609945615743</v>
      </c>
      <c r="AP498" s="8">
        <f t="shared" si="153"/>
        <v>1.2528046470310974</v>
      </c>
      <c r="AQ498" s="8"/>
      <c r="AR498" s="8">
        <f t="shared" si="154"/>
        <v>109.6446984071858</v>
      </c>
      <c r="AS498" s="8">
        <f t="shared" si="155"/>
        <v>18.219581170741321</v>
      </c>
    </row>
    <row r="499" spans="1:45">
      <c r="A499" s="19">
        <v>121.78833330000001</v>
      </c>
      <c r="B499" s="19">
        <v>203.0037677</v>
      </c>
      <c r="C499" s="19">
        <v>-792.07483439999999</v>
      </c>
      <c r="E499" s="9">
        <f t="shared" si="145"/>
        <v>-756.99623229999997</v>
      </c>
      <c r="F499" s="9">
        <f t="shared" si="146"/>
        <v>-252.07483439999999</v>
      </c>
      <c r="I499">
        <v>1</v>
      </c>
      <c r="J499">
        <f t="shared" si="141"/>
        <v>0.48963684765872673</v>
      </c>
      <c r="K499">
        <f t="shared" si="147"/>
        <v>-2.8201479690479365</v>
      </c>
      <c r="O499">
        <f t="shared" si="148"/>
        <v>-0.44621638122801716</v>
      </c>
      <c r="P499">
        <f t="shared" si="149"/>
        <v>-0.1485871601538481</v>
      </c>
      <c r="Q499">
        <f t="shared" si="150"/>
        <v>0.8825037093186564</v>
      </c>
      <c r="R499">
        <f t="shared" si="140"/>
        <v>1</v>
      </c>
      <c r="AG499" s="8">
        <f t="shared" si="142"/>
        <v>-0.31938749438157138</v>
      </c>
      <c r="AH499" s="8">
        <f t="shared" si="143"/>
        <v>0.89449305113226496</v>
      </c>
      <c r="AI499" s="8">
        <f t="shared" si="144"/>
        <v>0.31284790219650338</v>
      </c>
      <c r="AJ499" s="8"/>
      <c r="AK499" s="8"/>
      <c r="AL499" s="8"/>
      <c r="AN499" s="8">
        <f t="shared" si="151"/>
        <v>1</v>
      </c>
      <c r="AO499" s="8">
        <f t="shared" si="152"/>
        <v>1.9137465883138838</v>
      </c>
      <c r="AP499" s="8">
        <f t="shared" si="153"/>
        <v>1.2526063562487773</v>
      </c>
      <c r="AQ499" s="8"/>
      <c r="AR499" s="8">
        <f t="shared" si="154"/>
        <v>109.64960256794581</v>
      </c>
      <c r="AS499" s="8">
        <f t="shared" si="155"/>
        <v>18.230942395684608</v>
      </c>
    </row>
    <row r="500" spans="1:45">
      <c r="A500" s="19">
        <v>121.82170000000001</v>
      </c>
      <c r="B500" s="19">
        <v>203.45261880000001</v>
      </c>
      <c r="C500" s="19">
        <v>-792.30155479999996</v>
      </c>
      <c r="E500" s="9">
        <f t="shared" si="145"/>
        <v>-756.54738120000002</v>
      </c>
      <c r="F500" s="9">
        <f t="shared" si="146"/>
        <v>-252.30155479999996</v>
      </c>
      <c r="I500">
        <v>1</v>
      </c>
      <c r="J500">
        <f t="shared" si="141"/>
        <v>0.48945020586825172</v>
      </c>
      <c r="K500">
        <f t="shared" si="147"/>
        <v>-2.8197004294176375</v>
      </c>
      <c r="O500">
        <f t="shared" si="148"/>
        <v>-0.44599357791942346</v>
      </c>
      <c r="P500">
        <f t="shared" si="149"/>
        <v>-0.1487347335224449</v>
      </c>
      <c r="Q500">
        <f t="shared" si="150"/>
        <v>0.88259147259569559</v>
      </c>
      <c r="R500">
        <f t="shared" si="140"/>
        <v>1</v>
      </c>
      <c r="AG500" s="8">
        <f t="shared" si="142"/>
        <v>-0.31965351563634331</v>
      </c>
      <c r="AH500" s="8">
        <f t="shared" si="143"/>
        <v>0.89441417203339602</v>
      </c>
      <c r="AI500" s="8">
        <f t="shared" si="144"/>
        <v>0.31280172443121318</v>
      </c>
      <c r="AJ500" s="8"/>
      <c r="AK500" s="8"/>
      <c r="AL500" s="8"/>
      <c r="AN500" s="8">
        <f t="shared" si="151"/>
        <v>1</v>
      </c>
      <c r="AO500" s="8">
        <f t="shared" si="152"/>
        <v>1.914038280268511</v>
      </c>
      <c r="AP500" s="8">
        <f t="shared" si="153"/>
        <v>1.2526549741032373</v>
      </c>
      <c r="AQ500" s="8"/>
      <c r="AR500" s="8">
        <f t="shared" si="154"/>
        <v>109.66631528586387</v>
      </c>
      <c r="AS500" s="8">
        <f t="shared" si="155"/>
        <v>18.22815679781506</v>
      </c>
    </row>
    <row r="501" spans="1:45">
      <c r="A501" s="19">
        <v>121.85506669999999</v>
      </c>
      <c r="B501" s="19">
        <v>203.4145001</v>
      </c>
      <c r="C501" s="19">
        <v>-792.26507609999999</v>
      </c>
      <c r="E501" s="9">
        <f t="shared" si="145"/>
        <v>-756.58549990000006</v>
      </c>
      <c r="F501" s="9">
        <f t="shared" si="146"/>
        <v>-252.26507609999999</v>
      </c>
      <c r="I501">
        <v>1</v>
      </c>
      <c r="J501">
        <f t="shared" si="141"/>
        <v>0.48946318296852376</v>
      </c>
      <c r="K501">
        <f t="shared" si="147"/>
        <v>-2.8197589403488617</v>
      </c>
      <c r="O501">
        <f t="shared" si="148"/>
        <v>-0.4460131451482805</v>
      </c>
      <c r="P501">
        <f t="shared" si="149"/>
        <v>-0.14871226056711703</v>
      </c>
      <c r="Q501">
        <f t="shared" si="150"/>
        <v>0.88258537145817051</v>
      </c>
      <c r="R501">
        <f t="shared" si="140"/>
        <v>1</v>
      </c>
      <c r="AG501" s="8">
        <f t="shared" si="142"/>
        <v>-0.31962641300889794</v>
      </c>
      <c r="AH501" s="8">
        <f t="shared" si="143"/>
        <v>0.89441938744297267</v>
      </c>
      <c r="AI501" s="8">
        <f t="shared" si="144"/>
        <v>0.31281450649418896</v>
      </c>
      <c r="AJ501" s="8"/>
      <c r="AK501" s="8"/>
      <c r="AL501" s="8"/>
      <c r="AN501" s="8">
        <f t="shared" si="151"/>
        <v>1</v>
      </c>
      <c r="AO501" s="8">
        <f t="shared" si="152"/>
        <v>1.9140095621318383</v>
      </c>
      <c r="AP501" s="8">
        <f t="shared" si="153"/>
        <v>1.2526415166984579</v>
      </c>
      <c r="AQ501" s="8"/>
      <c r="AR501" s="8">
        <f t="shared" si="154"/>
        <v>109.66466985783704</v>
      </c>
      <c r="AS501" s="8">
        <f t="shared" si="155"/>
        <v>18.228927850312132</v>
      </c>
    </row>
    <row r="502" spans="1:45">
      <c r="A502" s="19">
        <v>121.8884333</v>
      </c>
      <c r="B502" s="19">
        <v>202.7097358</v>
      </c>
      <c r="C502" s="19">
        <v>-792.26637289999996</v>
      </c>
      <c r="E502" s="9">
        <f t="shared" si="145"/>
        <v>-757.29026420000002</v>
      </c>
      <c r="F502" s="9">
        <f t="shared" si="146"/>
        <v>-252.26637289999996</v>
      </c>
      <c r="I502">
        <v>1</v>
      </c>
      <c r="J502">
        <f t="shared" si="141"/>
        <v>0.48981572918554794</v>
      </c>
      <c r="K502">
        <f t="shared" si="147"/>
        <v>-2.8200366787510744</v>
      </c>
      <c r="O502">
        <f t="shared" si="148"/>
        <v>-0.44634960729771039</v>
      </c>
      <c r="P502">
        <f t="shared" si="149"/>
        <v>-0.14868670812410645</v>
      </c>
      <c r="Q502">
        <f t="shared" si="150"/>
        <v>0.88241956624521678</v>
      </c>
      <c r="R502">
        <f t="shared" si="140"/>
        <v>1</v>
      </c>
      <c r="AG502" s="8">
        <f t="shared" si="142"/>
        <v>-0.31930228462191118</v>
      </c>
      <c r="AH502" s="8">
        <f t="shared" si="143"/>
        <v>0.89457404204287916</v>
      </c>
      <c r="AI502" s="8">
        <f t="shared" si="144"/>
        <v>0.31270326883211991</v>
      </c>
      <c r="AJ502" s="8"/>
      <c r="AK502" s="8"/>
      <c r="AL502" s="8"/>
      <c r="AN502" s="8">
        <f t="shared" si="151"/>
        <v>1</v>
      </c>
      <c r="AO502" s="8">
        <f t="shared" si="152"/>
        <v>1.9136334313028043</v>
      </c>
      <c r="AP502" s="8">
        <f t="shared" si="153"/>
        <v>1.2527586296167676</v>
      </c>
      <c r="AQ502" s="8"/>
      <c r="AR502" s="8">
        <f t="shared" si="154"/>
        <v>109.64311914878864</v>
      </c>
      <c r="AS502" s="8">
        <f t="shared" si="155"/>
        <v>18.222217774366513</v>
      </c>
    </row>
    <row r="503" spans="1:45">
      <c r="A503" s="19">
        <v>121.9218</v>
      </c>
      <c r="B503" s="19">
        <v>202.0338687</v>
      </c>
      <c r="C503" s="19">
        <v>-792.23340949999999</v>
      </c>
      <c r="E503" s="9">
        <f t="shared" si="145"/>
        <v>-757.96613130000003</v>
      </c>
      <c r="F503" s="9">
        <f t="shared" si="146"/>
        <v>-252.23340949999999</v>
      </c>
      <c r="I503">
        <v>1</v>
      </c>
      <c r="J503">
        <f t="shared" si="141"/>
        <v>0.49014804066281975</v>
      </c>
      <c r="K503">
        <f t="shared" si="147"/>
        <v>-2.8203432221719007</v>
      </c>
      <c r="O503">
        <f t="shared" si="148"/>
        <v>-0.44667337717374977</v>
      </c>
      <c r="P503">
        <f t="shared" si="149"/>
        <v>-0.14864245802669196</v>
      </c>
      <c r="Q503">
        <f t="shared" si="150"/>
        <v>0.8822631771733308</v>
      </c>
      <c r="R503">
        <f t="shared" si="140"/>
        <v>1</v>
      </c>
      <c r="AG503" s="8">
        <f t="shared" si="142"/>
        <v>-0.31898255833191463</v>
      </c>
      <c r="AH503" s="8">
        <f t="shared" si="143"/>
        <v>0.89471923210447479</v>
      </c>
      <c r="AI503" s="8">
        <f t="shared" si="144"/>
        <v>0.31261417623390908</v>
      </c>
      <c r="AJ503" s="8"/>
      <c r="AK503" s="8"/>
      <c r="AL503" s="8"/>
      <c r="AN503" s="8">
        <f t="shared" si="151"/>
        <v>1</v>
      </c>
      <c r="AO503" s="8">
        <f t="shared" si="152"/>
        <v>1.9132650407414729</v>
      </c>
      <c r="AP503" s="8">
        <f t="shared" si="153"/>
        <v>1.2528524245756665</v>
      </c>
      <c r="AQ503" s="8"/>
      <c r="AR503" s="8">
        <f t="shared" si="154"/>
        <v>109.62201192441189</v>
      </c>
      <c r="AS503" s="8">
        <f t="shared" si="155"/>
        <v>18.216843719082007</v>
      </c>
    </row>
    <row r="504" spans="1:45">
      <c r="A504" s="19">
        <v>121.95516670000001</v>
      </c>
      <c r="B504" s="19">
        <v>201.9301141</v>
      </c>
      <c r="C504" s="19">
        <v>-792.23483439999995</v>
      </c>
      <c r="E504" s="9">
        <f t="shared" si="145"/>
        <v>-758.06988590000003</v>
      </c>
      <c r="F504" s="9">
        <f t="shared" si="146"/>
        <v>-252.23483439999995</v>
      </c>
      <c r="I504">
        <v>1</v>
      </c>
      <c r="J504">
        <f t="shared" si="141"/>
        <v>0.49020012656886591</v>
      </c>
      <c r="K504">
        <f t="shared" si="147"/>
        <v>-2.8203825355935308</v>
      </c>
      <c r="O504">
        <f t="shared" si="148"/>
        <v>-0.4467228230094708</v>
      </c>
      <c r="P504">
        <f t="shared" si="149"/>
        <v>-0.14863940565416203</v>
      </c>
      <c r="Q504">
        <f t="shared" si="150"/>
        <v>0.88223865619753172</v>
      </c>
      <c r="R504">
        <f t="shared" si="140"/>
        <v>1</v>
      </c>
      <c r="AG504" s="8">
        <f t="shared" si="142"/>
        <v>-0.31893517988466968</v>
      </c>
      <c r="AH504" s="8">
        <f t="shared" si="143"/>
        <v>0.89474206554037761</v>
      </c>
      <c r="AI504" s="8">
        <f t="shared" si="144"/>
        <v>0.31259716438968543</v>
      </c>
      <c r="AJ504" s="8"/>
      <c r="AK504" s="8"/>
      <c r="AL504" s="8"/>
      <c r="AN504" s="8">
        <f t="shared" si="151"/>
        <v>1</v>
      </c>
      <c r="AO504" s="8">
        <f t="shared" si="152"/>
        <v>1.9132099868749655</v>
      </c>
      <c r="AP504" s="8">
        <f t="shared" si="153"/>
        <v>1.2528703339859846</v>
      </c>
      <c r="AQ504" s="8"/>
      <c r="AR504" s="8">
        <f t="shared" si="154"/>
        <v>109.61885757021514</v>
      </c>
      <c r="AS504" s="8">
        <f t="shared" si="155"/>
        <v>18.215817585457216</v>
      </c>
    </row>
    <row r="505" spans="1:45">
      <c r="A505" s="19">
        <v>121.9885333</v>
      </c>
      <c r="B505" s="19">
        <v>201.4709751</v>
      </c>
      <c r="C505" s="19">
        <v>-792.22109909999995</v>
      </c>
      <c r="E505" s="9">
        <f t="shared" si="145"/>
        <v>-758.52902489999997</v>
      </c>
      <c r="F505" s="9">
        <f t="shared" si="146"/>
        <v>-252.22109909999995</v>
      </c>
      <c r="I505">
        <v>1</v>
      </c>
      <c r="J505">
        <f t="shared" si="141"/>
        <v>0.49042726366741618</v>
      </c>
      <c r="K505">
        <f t="shared" si="147"/>
        <v>-2.8205801802234065</v>
      </c>
      <c r="O505">
        <f t="shared" si="148"/>
        <v>-0.44694233307724152</v>
      </c>
      <c r="P505">
        <f t="shared" si="149"/>
        <v>-0.14861433482775638</v>
      </c>
      <c r="Q505">
        <f t="shared" si="150"/>
        <v>0.88213169673647684</v>
      </c>
      <c r="R505">
        <f t="shared" si="140"/>
        <v>1</v>
      </c>
      <c r="AG505" s="8">
        <f t="shared" si="142"/>
        <v>-0.31872029091982551</v>
      </c>
      <c r="AH505" s="8">
        <f t="shared" si="143"/>
        <v>0.89484133223206652</v>
      </c>
      <c r="AI505" s="8">
        <f t="shared" si="144"/>
        <v>0.31253218439885866</v>
      </c>
      <c r="AJ505" s="8"/>
      <c r="AK505" s="8"/>
      <c r="AL505" s="8"/>
      <c r="AN505" s="8">
        <f t="shared" si="151"/>
        <v>1</v>
      </c>
      <c r="AO505" s="8">
        <f t="shared" si="152"/>
        <v>1.9129618110863824</v>
      </c>
      <c r="AP505" s="8">
        <f t="shared" si="153"/>
        <v>1.2529387414305366</v>
      </c>
      <c r="AQ505" s="8"/>
      <c r="AR505" s="8">
        <f t="shared" si="154"/>
        <v>109.60463814495201</v>
      </c>
      <c r="AS505" s="8">
        <f t="shared" si="155"/>
        <v>18.211898127597109</v>
      </c>
    </row>
    <row r="506" spans="1:45">
      <c r="A506" s="19">
        <v>122.0219</v>
      </c>
      <c r="B506" s="19">
        <v>201.31169990000001</v>
      </c>
      <c r="C506" s="19">
        <v>-792.22594340000001</v>
      </c>
      <c r="E506" s="9">
        <f t="shared" si="145"/>
        <v>-758.68830009999999</v>
      </c>
      <c r="F506" s="9">
        <f t="shared" si="146"/>
        <v>-252.22594340000001</v>
      </c>
      <c r="I506">
        <v>1</v>
      </c>
      <c r="J506">
        <f t="shared" si="141"/>
        <v>0.49050764477388692</v>
      </c>
      <c r="K506">
        <f t="shared" si="147"/>
        <v>-2.8206372883547353</v>
      </c>
      <c r="O506">
        <f t="shared" si="148"/>
        <v>-0.4470181038231219</v>
      </c>
      <c r="P506">
        <f t="shared" si="149"/>
        <v>-0.14861117924028211</v>
      </c>
      <c r="Q506">
        <f t="shared" si="150"/>
        <v>0.88209383415779152</v>
      </c>
      <c r="R506">
        <f t="shared" si="140"/>
        <v>1</v>
      </c>
      <c r="AG506" s="8">
        <f t="shared" si="142"/>
        <v>-0.31864826882914876</v>
      </c>
      <c r="AH506" s="8">
        <f t="shared" si="143"/>
        <v>0.89487657887498284</v>
      </c>
      <c r="AI506" s="8">
        <f t="shared" si="144"/>
        <v>0.31250470292972099</v>
      </c>
      <c r="AJ506" s="8"/>
      <c r="AK506" s="8"/>
      <c r="AL506" s="8"/>
      <c r="AN506" s="8">
        <f t="shared" si="151"/>
        <v>1</v>
      </c>
      <c r="AO506" s="8">
        <f t="shared" si="152"/>
        <v>1.912877937140526</v>
      </c>
      <c r="AP506" s="8">
        <f t="shared" si="153"/>
        <v>1.2529676719820539</v>
      </c>
      <c r="AQ506" s="8"/>
      <c r="AR506" s="8">
        <f t="shared" si="154"/>
        <v>109.59983252184333</v>
      </c>
      <c r="AS506" s="8">
        <f t="shared" si="155"/>
        <v>18.210240529096183</v>
      </c>
    </row>
    <row r="507" spans="1:45">
      <c r="A507" s="19">
        <v>122.0552667</v>
      </c>
      <c r="B507" s="19">
        <v>199.63622190000001</v>
      </c>
      <c r="C507" s="19">
        <v>-792.4957776</v>
      </c>
      <c r="E507" s="9">
        <f t="shared" si="145"/>
        <v>-760.36377809999999</v>
      </c>
      <c r="F507" s="9">
        <f t="shared" si="146"/>
        <v>-252.4957776</v>
      </c>
      <c r="I507">
        <v>1</v>
      </c>
      <c r="J507">
        <f t="shared" si="141"/>
        <v>0.49138915137527478</v>
      </c>
      <c r="K507">
        <f t="shared" si="147"/>
        <v>-2.8209774239075109</v>
      </c>
      <c r="O507">
        <f t="shared" si="148"/>
        <v>-0.44780639993592031</v>
      </c>
      <c r="P507">
        <f t="shared" si="149"/>
        <v>-0.14870411824273713</v>
      </c>
      <c r="Q507">
        <f t="shared" si="150"/>
        <v>0.88167823688354741</v>
      </c>
      <c r="R507">
        <f t="shared" si="140"/>
        <v>1</v>
      </c>
      <c r="AG507" s="8">
        <f t="shared" si="142"/>
        <v>-0.31794815132204252</v>
      </c>
      <c r="AH507" s="8">
        <f t="shared" si="143"/>
        <v>0.89526565010141512</v>
      </c>
      <c r="AI507" s="8">
        <f t="shared" si="144"/>
        <v>0.31210317015273353</v>
      </c>
      <c r="AJ507" s="8"/>
      <c r="AK507" s="8"/>
      <c r="AL507" s="8"/>
      <c r="AN507" s="8">
        <f t="shared" si="151"/>
        <v>1</v>
      </c>
      <c r="AO507" s="8">
        <f t="shared" si="152"/>
        <v>1.9120463317939811</v>
      </c>
      <c r="AP507" s="8">
        <f t="shared" si="153"/>
        <v>1.2533903459702318</v>
      </c>
      <c r="AQ507" s="8"/>
      <c r="AR507" s="8">
        <f t="shared" si="154"/>
        <v>109.55218504526579</v>
      </c>
      <c r="AS507" s="8">
        <f t="shared" si="155"/>
        <v>18.186023093463632</v>
      </c>
    </row>
    <row r="508" spans="1:45">
      <c r="A508" s="19">
        <v>122.0886333</v>
      </c>
      <c r="B508" s="19">
        <v>200.6847391</v>
      </c>
      <c r="C508" s="19">
        <v>-792.22522630000003</v>
      </c>
      <c r="E508" s="9">
        <f t="shared" si="145"/>
        <v>-759.3152609</v>
      </c>
      <c r="F508" s="9">
        <f t="shared" si="146"/>
        <v>-252.22522630000003</v>
      </c>
      <c r="I508">
        <v>1</v>
      </c>
      <c r="J508">
        <f t="shared" si="141"/>
        <v>0.49082071721177994</v>
      </c>
      <c r="K508">
        <f t="shared" si="147"/>
        <v>-2.8208853413427963</v>
      </c>
      <c r="O508">
        <f t="shared" si="148"/>
        <v>-0.44731701025131315</v>
      </c>
      <c r="P508">
        <f t="shared" si="149"/>
        <v>-0.1485873390780377</v>
      </c>
      <c r="Q508">
        <f t="shared" si="150"/>
        <v>0.88194631072732244</v>
      </c>
      <c r="R508">
        <f t="shared" si="140"/>
        <v>1</v>
      </c>
      <c r="AG508" s="8">
        <f t="shared" si="142"/>
        <v>-0.31835962154742198</v>
      </c>
      <c r="AH508" s="8">
        <f t="shared" si="143"/>
        <v>0.89501352380753518</v>
      </c>
      <c r="AI508" s="8">
        <f t="shared" si="144"/>
        <v>0.31240669578259805</v>
      </c>
      <c r="AJ508" s="8"/>
      <c r="AK508" s="8"/>
      <c r="AL508" s="8"/>
      <c r="AN508" s="8">
        <f t="shared" si="151"/>
        <v>0.99999999999999989</v>
      </c>
      <c r="AO508" s="8">
        <f t="shared" si="152"/>
        <v>1.9125433288492595</v>
      </c>
      <c r="AP508" s="8">
        <f t="shared" si="153"/>
        <v>1.2530708447490486</v>
      </c>
      <c r="AQ508" s="8"/>
      <c r="AR508" s="8">
        <f t="shared" si="154"/>
        <v>109.58066087896367</v>
      </c>
      <c r="AS508" s="8">
        <f t="shared" si="155"/>
        <v>18.204329164986703</v>
      </c>
    </row>
    <row r="509" spans="1:45">
      <c r="A509" s="19">
        <v>122.122</v>
      </c>
      <c r="B509" s="19">
        <v>199.45648660000001</v>
      </c>
      <c r="C509" s="19">
        <v>-792.2246159</v>
      </c>
      <c r="E509" s="9">
        <f t="shared" si="145"/>
        <v>-760.54351339999994</v>
      </c>
      <c r="F509" s="9">
        <f t="shared" si="146"/>
        <v>-252.2246159</v>
      </c>
      <c r="I509">
        <v>1</v>
      </c>
      <c r="J509">
        <f t="shared" si="141"/>
        <v>0.49143395585328947</v>
      </c>
      <c r="K509">
        <f t="shared" si="147"/>
        <v>-2.8213692830506374</v>
      </c>
      <c r="O509">
        <f t="shared" si="148"/>
        <v>-0.44790213116862115</v>
      </c>
      <c r="P509">
        <f t="shared" si="149"/>
        <v>-0.14854106438927772</v>
      </c>
      <c r="Q509">
        <f t="shared" si="150"/>
        <v>0.88165709495512357</v>
      </c>
      <c r="R509">
        <f t="shared" si="140"/>
        <v>1</v>
      </c>
      <c r="AG509" s="8">
        <f t="shared" si="142"/>
        <v>-0.31779451882882537</v>
      </c>
      <c r="AH509" s="8">
        <f t="shared" si="143"/>
        <v>0.89528145726577324</v>
      </c>
      <c r="AI509" s="8">
        <f t="shared" si="144"/>
        <v>0.31221427910720034</v>
      </c>
      <c r="AJ509" s="8"/>
      <c r="AK509" s="8"/>
      <c r="AL509" s="8"/>
      <c r="AN509" s="8">
        <f t="shared" si="151"/>
        <v>1</v>
      </c>
      <c r="AO509" s="8">
        <f t="shared" si="152"/>
        <v>1.9118883719479614</v>
      </c>
      <c r="AP509" s="8">
        <f t="shared" si="153"/>
        <v>1.2532733928646715</v>
      </c>
      <c r="AQ509" s="8"/>
      <c r="AR509" s="8">
        <f t="shared" si="154"/>
        <v>109.54313461275632</v>
      </c>
      <c r="AS509" s="8">
        <f t="shared" si="155"/>
        <v>18.192724012813173</v>
      </c>
    </row>
    <row r="510" spans="1:45">
      <c r="A510" s="19">
        <v>122.1887333</v>
      </c>
      <c r="B510" s="19">
        <v>199.41434659999999</v>
      </c>
      <c r="C510" s="19">
        <v>-792.21263780000004</v>
      </c>
      <c r="E510" s="9">
        <f t="shared" si="145"/>
        <v>-760.58565339999996</v>
      </c>
      <c r="F510" s="9">
        <f t="shared" si="146"/>
        <v>-252.21263780000004</v>
      </c>
      <c r="I510">
        <v>1</v>
      </c>
      <c r="J510">
        <f t="shared" si="141"/>
        <v>0.49145301069076863</v>
      </c>
      <c r="K510">
        <f t="shared" si="147"/>
        <v>-2.8214000250693014</v>
      </c>
      <c r="O510">
        <f t="shared" si="148"/>
        <v>-0.44792264330573139</v>
      </c>
      <c r="P510">
        <f t="shared" si="149"/>
        <v>-0.14853258261377436</v>
      </c>
      <c r="Q510">
        <f t="shared" si="150"/>
        <v>0.88164810299579777</v>
      </c>
      <c r="R510">
        <f t="shared" si="140"/>
        <v>1</v>
      </c>
      <c r="AG510" s="8">
        <f t="shared" si="142"/>
        <v>-0.31777200470944833</v>
      </c>
      <c r="AH510" s="8">
        <f t="shared" si="143"/>
        <v>0.89528960878701502</v>
      </c>
      <c r="AI510" s="8">
        <f t="shared" si="144"/>
        <v>0.31221382003513543</v>
      </c>
      <c r="AJ510" s="8"/>
      <c r="AK510" s="8"/>
      <c r="AL510" s="8"/>
      <c r="AN510" s="8">
        <f t="shared" si="151"/>
        <v>1</v>
      </c>
      <c r="AO510" s="8">
        <f t="shared" si="152"/>
        <v>1.9118631681605545</v>
      </c>
      <c r="AP510" s="8">
        <f t="shared" si="153"/>
        <v>1.2532738760924307</v>
      </c>
      <c r="AQ510" s="8"/>
      <c r="AR510" s="8">
        <f t="shared" si="154"/>
        <v>109.54169054211016</v>
      </c>
      <c r="AS510" s="8">
        <f t="shared" si="155"/>
        <v>18.192696325902034</v>
      </c>
    </row>
    <row r="511" spans="1:45">
      <c r="A511" s="19">
        <v>122.2221</v>
      </c>
      <c r="B511" s="19">
        <v>199.42470850000001</v>
      </c>
      <c r="C511" s="19">
        <v>-792.21432070000003</v>
      </c>
      <c r="E511" s="9">
        <f t="shared" si="145"/>
        <v>-760.57529150000005</v>
      </c>
      <c r="F511" s="9">
        <f t="shared" si="146"/>
        <v>-252.21432070000003</v>
      </c>
      <c r="I511">
        <v>1</v>
      </c>
      <c r="J511">
        <f t="shared" si="141"/>
        <v>0.49144811625463714</v>
      </c>
      <c r="K511">
        <f t="shared" si="147"/>
        <v>-2.8213939614867978</v>
      </c>
      <c r="O511">
        <f t="shared" si="148"/>
        <v>-0.44791764680983709</v>
      </c>
      <c r="P511">
        <f t="shared" si="149"/>
        <v>-0.14853394040303983</v>
      </c>
      <c r="Q511">
        <f t="shared" si="150"/>
        <v>0.88165041270601374</v>
      </c>
      <c r="R511">
        <f t="shared" si="140"/>
        <v>1</v>
      </c>
      <c r="AG511" s="8">
        <f t="shared" si="142"/>
        <v>-0.31777721027426398</v>
      </c>
      <c r="AH511" s="8">
        <f t="shared" si="143"/>
        <v>0.8952874955825848</v>
      </c>
      <c r="AI511" s="8">
        <f t="shared" si="144"/>
        <v>0.31221458147205328</v>
      </c>
      <c r="AJ511" s="8"/>
      <c r="AK511" s="8"/>
      <c r="AL511" s="8"/>
      <c r="AN511" s="8">
        <f t="shared" si="151"/>
        <v>1</v>
      </c>
      <c r="AO511" s="8">
        <f t="shared" si="152"/>
        <v>1.9118690760537309</v>
      </c>
      <c r="AP511" s="8">
        <f t="shared" si="153"/>
        <v>1.2532730745897847</v>
      </c>
      <c r="AQ511" s="8"/>
      <c r="AR511" s="8">
        <f t="shared" si="154"/>
        <v>109.54202903945499</v>
      </c>
      <c r="AS511" s="8">
        <f t="shared" si="155"/>
        <v>18.192742248620917</v>
      </c>
    </row>
    <row r="512" spans="1:45">
      <c r="A512" s="19">
        <v>122.28883329999999</v>
      </c>
      <c r="B512" s="19">
        <v>197.73524119999999</v>
      </c>
      <c r="C512" s="19">
        <v>-792.23689860000002</v>
      </c>
      <c r="E512" s="9">
        <f t="shared" si="145"/>
        <v>-762.26475879999998</v>
      </c>
      <c r="F512" s="9">
        <f t="shared" si="146"/>
        <v>-252.23689860000002</v>
      </c>
      <c r="I512">
        <v>1</v>
      </c>
      <c r="J512">
        <f t="shared" si="141"/>
        <v>0.49229501150249044</v>
      </c>
      <c r="K512">
        <f t="shared" si="147"/>
        <v>-2.8220295690422446</v>
      </c>
      <c r="O512">
        <f t="shared" si="148"/>
        <v>-0.4487206688045528</v>
      </c>
      <c r="P512">
        <f t="shared" si="149"/>
        <v>-0.14848372370665375</v>
      </c>
      <c r="Q512">
        <f t="shared" si="150"/>
        <v>0.88125044407466879</v>
      </c>
      <c r="R512">
        <f t="shared" si="140"/>
        <v>1</v>
      </c>
      <c r="AG512" s="8">
        <f t="shared" si="142"/>
        <v>-0.31700640630360155</v>
      </c>
      <c r="AH512" s="8">
        <f t="shared" si="143"/>
        <v>0.89565713490432608</v>
      </c>
      <c r="AI512" s="8">
        <f t="shared" si="144"/>
        <v>0.31193787050861543</v>
      </c>
      <c r="AJ512" s="8"/>
      <c r="AK512" s="8"/>
      <c r="AL512" s="8"/>
      <c r="AN512" s="8">
        <f t="shared" si="151"/>
        <v>1</v>
      </c>
      <c r="AO512" s="8">
        <f t="shared" si="152"/>
        <v>1.91097438660545</v>
      </c>
      <c r="AP512" s="8">
        <f t="shared" si="153"/>
        <v>1.2535643317937528</v>
      </c>
      <c r="AQ512" s="8"/>
      <c r="AR512" s="8">
        <f t="shared" si="154"/>
        <v>109.4907671100936</v>
      </c>
      <c r="AS512" s="8">
        <f t="shared" si="155"/>
        <v>18.176054440080762</v>
      </c>
    </row>
    <row r="513" spans="1:45">
      <c r="A513" s="19">
        <v>122.3222</v>
      </c>
      <c r="B513" s="19">
        <v>197.57773589999999</v>
      </c>
      <c r="C513" s="19">
        <v>-792.21962570000005</v>
      </c>
      <c r="E513" s="9">
        <f t="shared" si="145"/>
        <v>-762.42226410000001</v>
      </c>
      <c r="F513" s="9">
        <f t="shared" si="146"/>
        <v>-252.21962570000005</v>
      </c>
      <c r="I513">
        <v>1</v>
      </c>
      <c r="J513">
        <f t="shared" si="141"/>
        <v>0.49237073817520016</v>
      </c>
      <c r="K513">
        <f t="shared" si="147"/>
        <v>-2.8221116041860017</v>
      </c>
      <c r="O513">
        <f t="shared" si="148"/>
        <v>-0.44879620420904659</v>
      </c>
      <c r="P513">
        <f t="shared" si="149"/>
        <v>-0.14846787137677261</v>
      </c>
      <c r="Q513">
        <f t="shared" si="150"/>
        <v>0.88121464936552318</v>
      </c>
      <c r="R513">
        <f t="shared" si="140"/>
        <v>1</v>
      </c>
      <c r="AG513" s="8">
        <f t="shared" si="142"/>
        <v>-0.31692949541592474</v>
      </c>
      <c r="AH513" s="8">
        <f t="shared" si="143"/>
        <v>0.8956898719618529</v>
      </c>
      <c r="AI513" s="8">
        <f t="shared" si="144"/>
        <v>0.31192202262803892</v>
      </c>
      <c r="AJ513" s="8"/>
      <c r="AK513" s="8"/>
      <c r="AL513" s="8"/>
      <c r="AN513" s="8">
        <f t="shared" si="151"/>
        <v>0.99999999999999989</v>
      </c>
      <c r="AO513" s="8">
        <f t="shared" si="152"/>
        <v>1.9108865792852225</v>
      </c>
      <c r="AP513" s="8">
        <f t="shared" si="153"/>
        <v>1.2535810119278894</v>
      </c>
      <c r="AQ513" s="8"/>
      <c r="AR513" s="8">
        <f t="shared" si="154"/>
        <v>109.48573612123421</v>
      </c>
      <c r="AS513" s="8">
        <f t="shared" si="155"/>
        <v>18.175098738793025</v>
      </c>
    </row>
    <row r="514" spans="1:45">
      <c r="A514" s="19">
        <v>122.3555667</v>
      </c>
      <c r="B514" s="19">
        <v>197.54004</v>
      </c>
      <c r="C514" s="19">
        <v>-792.21488680000004</v>
      </c>
      <c r="E514" s="9">
        <f t="shared" si="145"/>
        <v>-762.45996000000002</v>
      </c>
      <c r="F514" s="9">
        <f t="shared" si="146"/>
        <v>-252.21488680000004</v>
      </c>
      <c r="I514">
        <v>1</v>
      </c>
      <c r="J514">
        <f t="shared" si="141"/>
        <v>0.49238876161820999</v>
      </c>
      <c r="K514">
        <f t="shared" si="147"/>
        <v>-2.8221319485470788</v>
      </c>
      <c r="O514">
        <f t="shared" si="148"/>
        <v>-0.44881430347186446</v>
      </c>
      <c r="P514">
        <f t="shared" si="149"/>
        <v>-0.14846372882895684</v>
      </c>
      <c r="Q514">
        <f t="shared" si="150"/>
        <v>0.88120612924631159</v>
      </c>
      <c r="R514">
        <f t="shared" si="140"/>
        <v>1</v>
      </c>
      <c r="AG514" s="8">
        <f t="shared" si="142"/>
        <v>-0.3169109304660106</v>
      </c>
      <c r="AH514" s="8">
        <f t="shared" si="143"/>
        <v>0.89569765346712671</v>
      </c>
      <c r="AI514" s="8">
        <f t="shared" si="144"/>
        <v>0.31191854020665472</v>
      </c>
      <c r="AJ514" s="8"/>
      <c r="AK514" s="8"/>
      <c r="AL514" s="8"/>
      <c r="AN514" s="8">
        <f t="shared" si="151"/>
        <v>1</v>
      </c>
      <c r="AO514" s="8">
        <f t="shared" si="152"/>
        <v>1.9108654266267775</v>
      </c>
      <c r="AP514" s="8">
        <f t="shared" si="153"/>
        <v>1.2535846772168555</v>
      </c>
      <c r="AQ514" s="8"/>
      <c r="AR514" s="8">
        <f t="shared" si="154"/>
        <v>109.48452416317983</v>
      </c>
      <c r="AS514" s="8">
        <f t="shared" si="155"/>
        <v>18.174888733204568</v>
      </c>
    </row>
    <row r="515" spans="1:45">
      <c r="A515" s="19">
        <v>122.38893330000001</v>
      </c>
      <c r="B515" s="19">
        <v>197.53269710000001</v>
      </c>
      <c r="C515" s="19">
        <v>-792.22013990000005</v>
      </c>
      <c r="E515" s="9">
        <f t="shared" si="145"/>
        <v>-762.46730290000005</v>
      </c>
      <c r="F515" s="9">
        <f t="shared" si="146"/>
        <v>-252.22013990000005</v>
      </c>
      <c r="I515">
        <v>1</v>
      </c>
      <c r="J515">
        <f t="shared" si="141"/>
        <v>0.49239329164513229</v>
      </c>
      <c r="K515">
        <f t="shared" si="147"/>
        <v>-2.8221286099294556</v>
      </c>
      <c r="O515">
        <f t="shared" si="148"/>
        <v>-0.44881759771459045</v>
      </c>
      <c r="P515">
        <f t="shared" si="149"/>
        <v>-0.14846648092921921</v>
      </c>
      <c r="Q515">
        <f t="shared" si="150"/>
        <v>0.8812039877475577</v>
      </c>
      <c r="R515">
        <f t="shared" si="140"/>
        <v>1</v>
      </c>
      <c r="AG515" s="8">
        <f t="shared" si="142"/>
        <v>-0.31690893068141474</v>
      </c>
      <c r="AH515" s="8">
        <f t="shared" si="143"/>
        <v>0.89569970154656353</v>
      </c>
      <c r="AI515" s="8">
        <f t="shared" si="144"/>
        <v>0.31191469074694</v>
      </c>
      <c r="AJ515" s="8"/>
      <c r="AK515" s="8"/>
      <c r="AL515" s="8"/>
      <c r="AN515" s="8">
        <f t="shared" si="151"/>
        <v>0.99999999999999989</v>
      </c>
      <c r="AO515" s="8">
        <f t="shared" si="152"/>
        <v>1.9108627233594282</v>
      </c>
      <c r="AP515" s="8">
        <f t="shared" si="153"/>
        <v>1.2535887288127965</v>
      </c>
      <c r="AQ515" s="8"/>
      <c r="AR515" s="8">
        <f t="shared" si="154"/>
        <v>109.48436927736982</v>
      </c>
      <c r="AS515" s="8">
        <f t="shared" si="155"/>
        <v>18.174656593856866</v>
      </c>
    </row>
    <row r="516" spans="1:45">
      <c r="A516" s="19">
        <v>122.42230000000001</v>
      </c>
      <c r="B516" s="19">
        <v>196.7135955</v>
      </c>
      <c r="C516" s="19">
        <v>-792.19815000000006</v>
      </c>
      <c r="E516" s="9">
        <f t="shared" si="145"/>
        <v>-763.2864045</v>
      </c>
      <c r="F516" s="9">
        <f t="shared" si="146"/>
        <v>-252.19815000000006</v>
      </c>
      <c r="I516">
        <v>1</v>
      </c>
      <c r="J516">
        <f t="shared" si="141"/>
        <v>0.49279822609670954</v>
      </c>
      <c r="K516">
        <f t="shared" si="147"/>
        <v>-2.8224745885844853</v>
      </c>
      <c r="O516">
        <f t="shared" si="148"/>
        <v>-0.44920771467250259</v>
      </c>
      <c r="P516">
        <f t="shared" si="149"/>
        <v>-0.14842312654624656</v>
      </c>
      <c r="Q516">
        <f t="shared" si="150"/>
        <v>0.88101248832519075</v>
      </c>
      <c r="R516">
        <f t="shared" si="140"/>
        <v>1</v>
      </c>
      <c r="AG516" s="8">
        <f t="shared" si="142"/>
        <v>-0.31652677774514631</v>
      </c>
      <c r="AH516" s="8">
        <f t="shared" si="143"/>
        <v>0.89587563737626208</v>
      </c>
      <c r="AI516" s="8">
        <f t="shared" si="144"/>
        <v>0.31179743636847107</v>
      </c>
      <c r="AJ516" s="8"/>
      <c r="AK516" s="8"/>
      <c r="AL516" s="8"/>
      <c r="AN516" s="8">
        <f t="shared" si="151"/>
        <v>0.99999999999999989</v>
      </c>
      <c r="AO516" s="8">
        <f t="shared" si="152"/>
        <v>1.9104217909028167</v>
      </c>
      <c r="AP516" s="8">
        <f t="shared" si="153"/>
        <v>1.2537121376704063</v>
      </c>
      <c r="AQ516" s="8"/>
      <c r="AR516" s="8">
        <f t="shared" si="154"/>
        <v>109.45910570855565</v>
      </c>
      <c r="AS516" s="8">
        <f t="shared" si="155"/>
        <v>18.167585787161286</v>
      </c>
    </row>
    <row r="517" spans="1:45">
      <c r="A517" s="19">
        <v>122.55576670000001</v>
      </c>
      <c r="B517" s="19">
        <v>195.19888259999999</v>
      </c>
      <c r="C517" s="19">
        <v>-791.99395849999996</v>
      </c>
      <c r="E517" s="9">
        <f t="shared" si="145"/>
        <v>-764.80111740000007</v>
      </c>
      <c r="F517" s="9">
        <f t="shared" si="146"/>
        <v>-251.99395849999996</v>
      </c>
      <c r="I517">
        <v>1</v>
      </c>
      <c r="J517">
        <f t="shared" si="141"/>
        <v>0.49351986249354562</v>
      </c>
      <c r="K517">
        <f t="shared" si="147"/>
        <v>-2.8233055047662408</v>
      </c>
      <c r="O517">
        <f t="shared" si="148"/>
        <v>-0.44993460743197167</v>
      </c>
      <c r="P517">
        <f t="shared" si="149"/>
        <v>-0.14824874103005078</v>
      </c>
      <c r="Q517">
        <f t="shared" si="150"/>
        <v>0.88067085782262744</v>
      </c>
      <c r="R517">
        <f t="shared" si="140"/>
        <v>1</v>
      </c>
      <c r="AG517" s="8">
        <f t="shared" si="142"/>
        <v>-0.3157775508635412</v>
      </c>
      <c r="AH517" s="8">
        <f t="shared" si="143"/>
        <v>0.89618624595339491</v>
      </c>
      <c r="AI517" s="8">
        <f t="shared" si="144"/>
        <v>0.31166448455764861</v>
      </c>
      <c r="AJ517" s="8"/>
      <c r="AK517" s="8"/>
      <c r="AL517" s="8"/>
      <c r="AN517" s="8">
        <f t="shared" si="151"/>
        <v>1</v>
      </c>
      <c r="AO517" s="8">
        <f t="shared" si="152"/>
        <v>1.909569431746081</v>
      </c>
      <c r="AP517" s="8">
        <f t="shared" si="153"/>
        <v>1.2538520618456368</v>
      </c>
      <c r="AQ517" s="8"/>
      <c r="AR517" s="8">
        <f t="shared" si="154"/>
        <v>109.41026912624535</v>
      </c>
      <c r="AS517" s="8">
        <f t="shared" si="155"/>
        <v>18.159568722468734</v>
      </c>
    </row>
    <row r="518" spans="1:45">
      <c r="A518" s="19">
        <v>122.5891333</v>
      </c>
      <c r="B518" s="19">
        <v>194.4675321</v>
      </c>
      <c r="C518" s="19">
        <v>-792.11190480000005</v>
      </c>
      <c r="E518" s="9">
        <f t="shared" si="145"/>
        <v>-765.53246790000003</v>
      </c>
      <c r="F518" s="9">
        <f t="shared" si="146"/>
        <v>-252.11190480000005</v>
      </c>
      <c r="I518">
        <v>1</v>
      </c>
      <c r="J518">
        <f t="shared" si="141"/>
        <v>0.49390372189939791</v>
      </c>
      <c r="K518">
        <f t="shared" si="147"/>
        <v>-2.8234504799347766</v>
      </c>
      <c r="O518">
        <f t="shared" si="148"/>
        <v>-0.45027715157277598</v>
      </c>
      <c r="P518">
        <f t="shared" si="149"/>
        <v>-0.14828924327969825</v>
      </c>
      <c r="Q518">
        <f t="shared" si="150"/>
        <v>0.88048894774383268</v>
      </c>
      <c r="R518">
        <f t="shared" si="140"/>
        <v>1</v>
      </c>
      <c r="AG518" s="8">
        <f t="shared" si="142"/>
        <v>-0.3154725936261647</v>
      </c>
      <c r="AH518" s="8">
        <f t="shared" si="143"/>
        <v>0.89635458105935328</v>
      </c>
      <c r="AI518" s="8">
        <f t="shared" si="144"/>
        <v>0.31148917747602711</v>
      </c>
      <c r="AJ518" s="8"/>
      <c r="AK518" s="8"/>
      <c r="AL518" s="8"/>
      <c r="AN518" s="8">
        <f t="shared" si="151"/>
        <v>0.99999999999999989</v>
      </c>
      <c r="AO518" s="8">
        <f t="shared" si="152"/>
        <v>1.9092078770306167</v>
      </c>
      <c r="AP518" s="8">
        <f t="shared" si="153"/>
        <v>1.2540365527049118</v>
      </c>
      <c r="AQ518" s="8"/>
      <c r="AR518" s="8">
        <f t="shared" si="154"/>
        <v>109.38955356698621</v>
      </c>
      <c r="AS518" s="8">
        <f t="shared" si="155"/>
        <v>18.14899817487354</v>
      </c>
    </row>
    <row r="519" spans="1:45">
      <c r="A519" s="19">
        <v>122.6225</v>
      </c>
      <c r="B519" s="19">
        <v>194.78098679999999</v>
      </c>
      <c r="C519" s="19">
        <v>-792.19640660000005</v>
      </c>
      <c r="E519" s="9">
        <f t="shared" si="145"/>
        <v>-765.21901320000006</v>
      </c>
      <c r="F519" s="9">
        <f t="shared" si="146"/>
        <v>-252.19640660000005</v>
      </c>
      <c r="I519">
        <v>1</v>
      </c>
      <c r="J519">
        <f t="shared" si="141"/>
        <v>0.4937613945577608</v>
      </c>
      <c r="K519">
        <f t="shared" si="147"/>
        <v>-2.8232291701456806</v>
      </c>
      <c r="O519">
        <f t="shared" si="148"/>
        <v>-0.45012529781865679</v>
      </c>
      <c r="P519">
        <f t="shared" si="149"/>
        <v>-0.14834966286958967</v>
      </c>
      <c r="Q519">
        <f t="shared" si="150"/>
        <v>0.88055641147523578</v>
      </c>
      <c r="R519">
        <f t="shared" si="140"/>
        <v>1</v>
      </c>
      <c r="AG519" s="8">
        <f t="shared" si="142"/>
        <v>-0.31563863146550208</v>
      </c>
      <c r="AH519" s="8">
        <f t="shared" si="143"/>
        <v>0.89629409407906513</v>
      </c>
      <c r="AI519" s="8">
        <f t="shared" si="144"/>
        <v>0.31149502603664952</v>
      </c>
      <c r="AJ519" s="8"/>
      <c r="AK519" s="8"/>
      <c r="AL519" s="8"/>
      <c r="AN519" s="8">
        <f t="shared" si="151"/>
        <v>1</v>
      </c>
      <c r="AO519" s="8">
        <f t="shared" si="152"/>
        <v>1.9093938303478304</v>
      </c>
      <c r="AP519" s="8">
        <f t="shared" si="153"/>
        <v>1.254030397936831</v>
      </c>
      <c r="AQ519" s="8"/>
      <c r="AR519" s="8">
        <f t="shared" si="154"/>
        <v>109.40020790724901</v>
      </c>
      <c r="AS519" s="8">
        <f t="shared" si="155"/>
        <v>18.149350817108441</v>
      </c>
    </row>
    <row r="520" spans="1:45">
      <c r="A520" s="19">
        <v>122.88943329999999</v>
      </c>
      <c r="B520" s="19">
        <v>191.49798620000001</v>
      </c>
      <c r="C520" s="19">
        <v>-792.63609199999996</v>
      </c>
      <c r="E520" s="9">
        <f t="shared" si="145"/>
        <v>-768.50201379999999</v>
      </c>
      <c r="F520" s="9">
        <f t="shared" si="146"/>
        <v>-252.63609199999996</v>
      </c>
      <c r="I520">
        <v>1</v>
      </c>
      <c r="J520">
        <f t="shared" si="141"/>
        <v>0.49546824300385628</v>
      </c>
      <c r="K520">
        <f t="shared" si="147"/>
        <v>-2.8239832597266239</v>
      </c>
      <c r="O520">
        <f t="shared" si="148"/>
        <v>-0.45166418676752906</v>
      </c>
      <c r="P520">
        <f t="shared" si="149"/>
        <v>-0.14847934422069403</v>
      </c>
      <c r="Q520">
        <f t="shared" si="150"/>
        <v>0.87974618312978159</v>
      </c>
      <c r="R520">
        <f t="shared" si="140"/>
        <v>1</v>
      </c>
      <c r="AG520" s="8">
        <f t="shared" si="142"/>
        <v>-0.31424696194323887</v>
      </c>
      <c r="AH520" s="8">
        <f t="shared" si="143"/>
        <v>0.89703988122922784</v>
      </c>
      <c r="AI520" s="8">
        <f t="shared" si="144"/>
        <v>0.31075440205039301</v>
      </c>
      <c r="AJ520" s="8"/>
      <c r="AK520" s="8"/>
      <c r="AL520" s="8"/>
      <c r="AN520" s="8">
        <f t="shared" si="151"/>
        <v>0.99999999999999989</v>
      </c>
      <c r="AO520" s="8">
        <f t="shared" si="152"/>
        <v>1.9077521750887394</v>
      </c>
      <c r="AP520" s="8">
        <f t="shared" si="153"/>
        <v>1.2548096993858491</v>
      </c>
      <c r="AQ520" s="8"/>
      <c r="AR520" s="8">
        <f t="shared" si="154"/>
        <v>109.30614798948764</v>
      </c>
      <c r="AS520" s="8">
        <f t="shared" si="155"/>
        <v>18.10470013311128</v>
      </c>
    </row>
    <row r="521" spans="1:45">
      <c r="A521" s="19">
        <v>123.0896333</v>
      </c>
      <c r="B521" s="19">
        <v>189.4973463</v>
      </c>
      <c r="C521" s="19">
        <v>-792.93509749999998</v>
      </c>
      <c r="E521" s="9">
        <f t="shared" si="145"/>
        <v>-770.5026537</v>
      </c>
      <c r="F521" s="9">
        <f t="shared" si="146"/>
        <v>-252.93509749999998</v>
      </c>
      <c r="I521">
        <v>1</v>
      </c>
      <c r="J521">
        <f t="shared" si="141"/>
        <v>0.49651207427177729</v>
      </c>
      <c r="K521">
        <f t="shared" si="147"/>
        <v>-2.8244034327101826</v>
      </c>
      <c r="O521">
        <f t="shared" si="148"/>
        <v>-0.45259878527549974</v>
      </c>
      <c r="P521">
        <f t="shared" si="149"/>
        <v>-0.14857589046878589</v>
      </c>
      <c r="Q521">
        <f t="shared" si="150"/>
        <v>0.87924942100552417</v>
      </c>
      <c r="R521">
        <f t="shared" si="140"/>
        <v>1</v>
      </c>
      <c r="AG521" s="8">
        <f t="shared" si="142"/>
        <v>-0.31340775578686575</v>
      </c>
      <c r="AH521" s="8">
        <f t="shared" si="143"/>
        <v>0.89749503511272422</v>
      </c>
      <c r="AI521" s="8">
        <f t="shared" si="144"/>
        <v>0.31028735159630699</v>
      </c>
      <c r="AJ521" s="8"/>
      <c r="AK521" s="8"/>
      <c r="AL521" s="8"/>
      <c r="AN521" s="8">
        <f t="shared" si="151"/>
        <v>1</v>
      </c>
      <c r="AO521" s="8">
        <f t="shared" si="152"/>
        <v>1.9067607459782054</v>
      </c>
      <c r="AP521" s="8">
        <f t="shared" si="153"/>
        <v>1.2553010384250332</v>
      </c>
      <c r="AQ521" s="8"/>
      <c r="AR521" s="8">
        <f t="shared" si="154"/>
        <v>109.24934328576764</v>
      </c>
      <c r="AS521" s="8">
        <f t="shared" si="155"/>
        <v>18.076548479856015</v>
      </c>
    </row>
    <row r="522" spans="1:45">
      <c r="A522" s="19">
        <v>123.3232</v>
      </c>
      <c r="B522" s="19">
        <v>193.7088138</v>
      </c>
      <c r="C522" s="19">
        <v>-800.45320660000004</v>
      </c>
      <c r="E522" s="9">
        <f t="shared" si="145"/>
        <v>-766.29118619999997</v>
      </c>
      <c r="F522" s="9">
        <f t="shared" si="146"/>
        <v>-260.45320660000004</v>
      </c>
      <c r="I522">
        <v>1</v>
      </c>
      <c r="J522">
        <f t="shared" si="141"/>
        <v>0.49566814584765989</v>
      </c>
      <c r="K522">
        <f t="shared" si="147"/>
        <v>-2.8139545119982095</v>
      </c>
      <c r="O522">
        <f t="shared" si="148"/>
        <v>-0.45031893649705018</v>
      </c>
      <c r="P522">
        <f t="shared" si="149"/>
        <v>-0.15305801908668556</v>
      </c>
      <c r="Q522">
        <f t="shared" si="150"/>
        <v>0.8796511230172025</v>
      </c>
      <c r="R522">
        <f t="shared" si="140"/>
        <v>1</v>
      </c>
      <c r="AG522" s="8">
        <f t="shared" si="142"/>
        <v>-0.31730163650885479</v>
      </c>
      <c r="AH522" s="8">
        <f t="shared" si="143"/>
        <v>0.8972260144698424</v>
      </c>
      <c r="AI522" s="8">
        <f t="shared" si="144"/>
        <v>0.30709143659074056</v>
      </c>
      <c r="AJ522" s="8"/>
      <c r="AK522" s="8"/>
      <c r="AL522" s="8"/>
      <c r="AN522" s="8">
        <f t="shared" si="151"/>
        <v>1.0000000000000002</v>
      </c>
      <c r="AO522" s="8">
        <f t="shared" si="152"/>
        <v>1.9107167870766277</v>
      </c>
      <c r="AP522" s="8">
        <f t="shared" si="153"/>
        <v>1.2586610485680585</v>
      </c>
      <c r="AQ522" s="8"/>
      <c r="AR522" s="8">
        <f t="shared" si="154"/>
        <v>109.47600774428753</v>
      </c>
      <c r="AS522" s="8">
        <f t="shared" si="155"/>
        <v>17.884034079539518</v>
      </c>
    </row>
    <row r="523" spans="1:45">
      <c r="A523" s="19">
        <v>123.3565667</v>
      </c>
      <c r="B523" s="19">
        <v>193.71908869999999</v>
      </c>
      <c r="C523" s="19">
        <v>-800.50021690000005</v>
      </c>
      <c r="E523" s="9">
        <f t="shared" si="145"/>
        <v>-766.28091130000007</v>
      </c>
      <c r="F523" s="9">
        <f t="shared" si="146"/>
        <v>-260.50021690000005</v>
      </c>
      <c r="I523">
        <v>1</v>
      </c>
      <c r="J523">
        <f t="shared" si="141"/>
        <v>0.4956709743005091</v>
      </c>
      <c r="K523">
        <f t="shared" si="147"/>
        <v>-2.8138954322994545</v>
      </c>
      <c r="O523">
        <f t="shared" si="148"/>
        <v>-0.45031224874032055</v>
      </c>
      <c r="P523">
        <f t="shared" si="149"/>
        <v>-0.15308542433944916</v>
      </c>
      <c r="Q523">
        <f t="shared" si="150"/>
        <v>0.87964977774637476</v>
      </c>
      <c r="R523">
        <f t="shared" si="140"/>
        <v>1</v>
      </c>
      <c r="AG523" s="8">
        <f t="shared" si="142"/>
        <v>-0.31731859484585945</v>
      </c>
      <c r="AH523" s="8">
        <f t="shared" si="143"/>
        <v>0.89722772405463669</v>
      </c>
      <c r="AI523" s="8">
        <f t="shared" si="144"/>
        <v>0.30706891824602833</v>
      </c>
      <c r="AJ523" s="8"/>
      <c r="AK523" s="8"/>
      <c r="AL523" s="8"/>
      <c r="AN523" s="8">
        <f t="shared" si="151"/>
        <v>1</v>
      </c>
      <c r="AO523" s="8">
        <f t="shared" si="152"/>
        <v>1.9107329877815902</v>
      </c>
      <c r="AP523" s="8">
        <f t="shared" si="153"/>
        <v>1.2586847101543173</v>
      </c>
      <c r="AQ523" s="8"/>
      <c r="AR523" s="8">
        <f t="shared" si="154"/>
        <v>109.476935976307</v>
      </c>
      <c r="AS523" s="8">
        <f t="shared" si="155"/>
        <v>17.882678370510305</v>
      </c>
    </row>
    <row r="524" spans="1:45">
      <c r="A524" s="19">
        <v>123.3899333</v>
      </c>
      <c r="B524" s="19">
        <v>193.7613255</v>
      </c>
      <c r="C524" s="19">
        <v>-800.5912601</v>
      </c>
      <c r="E524" s="9">
        <f t="shared" si="145"/>
        <v>-766.2386745</v>
      </c>
      <c r="F524" s="9">
        <f t="shared" si="146"/>
        <v>-260.5912601</v>
      </c>
      <c r="I524">
        <v>1</v>
      </c>
      <c r="J524">
        <f t="shared" si="141"/>
        <v>0.4956653818804132</v>
      </c>
      <c r="K524">
        <f t="shared" si="147"/>
        <v>-2.8137721305322652</v>
      </c>
      <c r="O524">
        <f t="shared" si="148"/>
        <v>-0.45028871221027245</v>
      </c>
      <c r="P524">
        <f t="shared" si="149"/>
        <v>-0.15313936352827784</v>
      </c>
      <c r="Q524">
        <f t="shared" si="150"/>
        <v>0.8796524376105419</v>
      </c>
      <c r="R524">
        <f t="shared" si="140"/>
        <v>1</v>
      </c>
      <c r="AG524" s="8">
        <f t="shared" si="142"/>
        <v>-0.31736169339802955</v>
      </c>
      <c r="AH524" s="8">
        <f t="shared" si="143"/>
        <v>0.8972262150918181</v>
      </c>
      <c r="AI524" s="8">
        <f t="shared" si="144"/>
        <v>0.307028784506511</v>
      </c>
      <c r="AJ524" s="8"/>
      <c r="AK524" s="8"/>
      <c r="AL524" s="8"/>
      <c r="AN524" s="8">
        <f t="shared" si="151"/>
        <v>1</v>
      </c>
      <c r="AO524" s="8">
        <f t="shared" si="152"/>
        <v>1.9107762108466888</v>
      </c>
      <c r="AP524" s="8">
        <f t="shared" si="153"/>
        <v>1.2587268810095111</v>
      </c>
      <c r="AQ524" s="8"/>
      <c r="AR524" s="8">
        <f t="shared" si="154"/>
        <v>109.47941247551478</v>
      </c>
      <c r="AS524" s="8">
        <f t="shared" si="155"/>
        <v>17.880262158489245</v>
      </c>
    </row>
    <row r="525" spans="1:45">
      <c r="A525" s="19">
        <v>123.4233</v>
      </c>
      <c r="B525" s="19">
        <v>192.94715909999999</v>
      </c>
      <c r="C525" s="19">
        <v>-800.70011390000002</v>
      </c>
      <c r="E525" s="9">
        <f t="shared" si="145"/>
        <v>-767.05284089999998</v>
      </c>
      <c r="F525" s="9">
        <f t="shared" si="146"/>
        <v>-260.70011390000002</v>
      </c>
      <c r="I525">
        <v>1</v>
      </c>
      <c r="J525">
        <f t="shared" si="141"/>
        <v>0.49608729021685677</v>
      </c>
      <c r="K525">
        <f t="shared" si="147"/>
        <v>-2.8139685011957378</v>
      </c>
      <c r="O525">
        <f t="shared" si="148"/>
        <v>-0.45067012749763491</v>
      </c>
      <c r="P525">
        <f t="shared" si="149"/>
        <v>-0.15317035190444991</v>
      </c>
      <c r="Q525">
        <f t="shared" si="150"/>
        <v>0.87945169252138711</v>
      </c>
      <c r="R525">
        <f t="shared" si="140"/>
        <v>1</v>
      </c>
      <c r="AG525" s="8">
        <f t="shared" si="142"/>
        <v>-0.31701623912554289</v>
      </c>
      <c r="AH525" s="8">
        <f t="shared" si="143"/>
        <v>0.89741077991068452</v>
      </c>
      <c r="AI525" s="8">
        <f t="shared" si="144"/>
        <v>0.30684620941245716</v>
      </c>
      <c r="AJ525" s="8"/>
      <c r="AK525" s="8"/>
      <c r="AL525" s="8"/>
      <c r="AN525" s="8">
        <f t="shared" si="151"/>
        <v>0.99999999999999989</v>
      </c>
      <c r="AO525" s="8">
        <f t="shared" si="152"/>
        <v>1.9103693563856941</v>
      </c>
      <c r="AP525" s="8">
        <f t="shared" si="153"/>
        <v>1.2589187160435018</v>
      </c>
      <c r="AQ525" s="8"/>
      <c r="AR525" s="8">
        <f t="shared" si="154"/>
        <v>109.45610143202371</v>
      </c>
      <c r="AS525" s="8">
        <f t="shared" si="155"/>
        <v>17.869270820678821</v>
      </c>
    </row>
    <row r="526" spans="1:45">
      <c r="A526" s="19">
        <v>123.4566667</v>
      </c>
      <c r="B526" s="19">
        <v>192.8982</v>
      </c>
      <c r="C526" s="19">
        <v>-800.66786009999998</v>
      </c>
      <c r="E526" s="9">
        <f t="shared" si="145"/>
        <v>-767.10180000000003</v>
      </c>
      <c r="F526" s="9">
        <f t="shared" si="146"/>
        <v>-260.66786009999998</v>
      </c>
      <c r="I526">
        <v>1</v>
      </c>
      <c r="J526">
        <f t="shared" si="141"/>
        <v>0.49610612140149773</v>
      </c>
      <c r="K526">
        <f t="shared" si="147"/>
        <v>-2.8140256402615318</v>
      </c>
      <c r="O526">
        <f t="shared" si="148"/>
        <v>-0.45069455922125162</v>
      </c>
      <c r="P526">
        <f t="shared" si="149"/>
        <v>-0.15314992913706676</v>
      </c>
      <c r="Q526">
        <f t="shared" si="150"/>
        <v>0.87944272894468412</v>
      </c>
      <c r="R526">
        <f t="shared" si="140"/>
        <v>1</v>
      </c>
      <c r="AG526" s="8">
        <f t="shared" si="142"/>
        <v>-0.3169853677269967</v>
      </c>
      <c r="AH526" s="8">
        <f t="shared" si="143"/>
        <v>0.89741863392247057</v>
      </c>
      <c r="AI526" s="8">
        <f t="shared" si="144"/>
        <v>0.30685513216452398</v>
      </c>
      <c r="AJ526" s="8"/>
      <c r="AK526" s="8"/>
      <c r="AL526" s="8"/>
      <c r="AN526" s="8">
        <f t="shared" si="151"/>
        <v>1</v>
      </c>
      <c r="AO526" s="8">
        <f t="shared" si="152"/>
        <v>1.9103360236930866</v>
      </c>
      <c r="AP526" s="8">
        <f t="shared" si="153"/>
        <v>1.2589093410183971</v>
      </c>
      <c r="AQ526" s="8"/>
      <c r="AR526" s="8">
        <f t="shared" si="154"/>
        <v>109.45419160941751</v>
      </c>
      <c r="AS526" s="8">
        <f t="shared" si="155"/>
        <v>17.869807970050161</v>
      </c>
    </row>
    <row r="527" spans="1:45">
      <c r="A527" s="19">
        <v>123.5234</v>
      </c>
      <c r="B527" s="19">
        <v>191.85850970000001</v>
      </c>
      <c r="C527" s="19">
        <v>-800.64895000000001</v>
      </c>
      <c r="E527" s="9">
        <f t="shared" si="145"/>
        <v>-768.14149029999999</v>
      </c>
      <c r="F527" s="9">
        <f t="shared" si="146"/>
        <v>-260.64895000000001</v>
      </c>
      <c r="I527">
        <v>1</v>
      </c>
      <c r="J527">
        <f t="shared" si="141"/>
        <v>0.49661809300676907</v>
      </c>
      <c r="K527">
        <f t="shared" si="147"/>
        <v>-2.8144600987044965</v>
      </c>
      <c r="O527">
        <f t="shared" si="148"/>
        <v>-0.45118736676550603</v>
      </c>
      <c r="P527">
        <f t="shared" si="149"/>
        <v>-0.15309876485745411</v>
      </c>
      <c r="Q527">
        <f t="shared" si="150"/>
        <v>0.87919891280092621</v>
      </c>
      <c r="R527">
        <f t="shared" si="140"/>
        <v>1</v>
      </c>
      <c r="AG527" s="8">
        <f t="shared" si="142"/>
        <v>-0.31650325962685433</v>
      </c>
      <c r="AH527" s="8">
        <f t="shared" si="143"/>
        <v>0.89764077654471741</v>
      </c>
      <c r="AI527" s="8">
        <f t="shared" si="144"/>
        <v>0.30670298813310026</v>
      </c>
      <c r="AJ527" s="8"/>
      <c r="AK527" s="8"/>
      <c r="AL527" s="8"/>
      <c r="AN527" s="8">
        <f t="shared" si="151"/>
        <v>0.99999999999999978</v>
      </c>
      <c r="AO527" s="8">
        <f t="shared" si="152"/>
        <v>1.9097806906319856</v>
      </c>
      <c r="AP527" s="8">
        <f t="shared" si="153"/>
        <v>1.2590691929912521</v>
      </c>
      <c r="AQ527" s="8"/>
      <c r="AR527" s="8">
        <f t="shared" si="154"/>
        <v>109.42237336879234</v>
      </c>
      <c r="AS527" s="8">
        <f t="shared" si="155"/>
        <v>17.860649126658728</v>
      </c>
    </row>
    <row r="528" spans="1:45">
      <c r="A528" s="19">
        <v>123.5567667</v>
      </c>
      <c r="B528" s="19">
        <v>191.79930809999999</v>
      </c>
      <c r="C528" s="19">
        <v>-800.61700770000004</v>
      </c>
      <c r="E528" s="9">
        <f t="shared" si="145"/>
        <v>-768.20069190000004</v>
      </c>
      <c r="F528" s="9">
        <f t="shared" si="146"/>
        <v>-260.61700770000004</v>
      </c>
      <c r="I528">
        <v>1</v>
      </c>
      <c r="J528">
        <f t="shared" si="141"/>
        <v>0.49664205194861982</v>
      </c>
      <c r="K528">
        <f t="shared" si="147"/>
        <v>-2.8145208373765875</v>
      </c>
      <c r="O528">
        <f t="shared" si="148"/>
        <v>-0.45121661279642655</v>
      </c>
      <c r="P528">
        <f t="shared" si="149"/>
        <v>-0.15307812748864597</v>
      </c>
      <c r="Q528">
        <f t="shared" si="150"/>
        <v>0.87918749719334022</v>
      </c>
      <c r="R528">
        <f t="shared" si="140"/>
        <v>1</v>
      </c>
      <c r="AG528" s="8">
        <f t="shared" si="142"/>
        <v>-0.31646777743777399</v>
      </c>
      <c r="AH528" s="8">
        <f t="shared" si="143"/>
        <v>0.89765083929353184</v>
      </c>
      <c r="AI528" s="8">
        <f t="shared" si="144"/>
        <v>0.30671015072738217</v>
      </c>
      <c r="AJ528" s="8"/>
      <c r="AK528" s="8"/>
      <c r="AL528" s="8"/>
      <c r="AN528" s="8">
        <f t="shared" si="151"/>
        <v>1</v>
      </c>
      <c r="AO528" s="8">
        <f t="shared" si="152"/>
        <v>1.9097420175437865</v>
      </c>
      <c r="AP528" s="8">
        <f t="shared" si="153"/>
        <v>1.259061667709378</v>
      </c>
      <c r="AQ528" s="8"/>
      <c r="AR528" s="8">
        <f t="shared" si="154"/>
        <v>109.42015756405779</v>
      </c>
      <c r="AS528" s="8">
        <f t="shared" si="155"/>
        <v>17.861080293549762</v>
      </c>
    </row>
    <row r="529" spans="1:45">
      <c r="A529" s="19">
        <v>123.59013330000001</v>
      </c>
      <c r="B529" s="19">
        <v>191.77237880000001</v>
      </c>
      <c r="C529" s="19">
        <v>-800.61623729999997</v>
      </c>
      <c r="E529" s="9">
        <f t="shared" si="145"/>
        <v>-768.22762119999993</v>
      </c>
      <c r="F529" s="9">
        <f t="shared" si="146"/>
        <v>-260.61623729999997</v>
      </c>
      <c r="I529">
        <v>1</v>
      </c>
      <c r="J529">
        <f t="shared" si="141"/>
        <v>0.49665526285906242</v>
      </c>
      <c r="K529">
        <f t="shared" si="147"/>
        <v>-2.8145324015095503</v>
      </c>
      <c r="O529">
        <f t="shared" si="148"/>
        <v>-0.4512293821158514</v>
      </c>
      <c r="P529">
        <f t="shared" si="149"/>
        <v>-0.15307664093429138</v>
      </c>
      <c r="Q529">
        <f t="shared" si="150"/>
        <v>0.87918120243532338</v>
      </c>
      <c r="R529">
        <f t="shared" si="140"/>
        <v>1</v>
      </c>
      <c r="AG529" s="8">
        <f t="shared" si="142"/>
        <v>-0.31645521955602285</v>
      </c>
      <c r="AH529" s="8">
        <f t="shared" si="143"/>
        <v>0.89765656387655157</v>
      </c>
      <c r="AI529" s="8">
        <f t="shared" si="144"/>
        <v>0.30670635361056975</v>
      </c>
      <c r="AJ529" s="8"/>
      <c r="AK529" s="8"/>
      <c r="AL529" s="8"/>
      <c r="AN529" s="8">
        <f t="shared" si="151"/>
        <v>1</v>
      </c>
      <c r="AO529" s="8">
        <f t="shared" si="152"/>
        <v>1.9097275746635802</v>
      </c>
      <c r="AP529" s="8">
        <f t="shared" si="153"/>
        <v>1.2590656571005785</v>
      </c>
      <c r="AQ529" s="8"/>
      <c r="AR529" s="8">
        <f t="shared" si="154"/>
        <v>109.41933004797795</v>
      </c>
      <c r="AS529" s="8">
        <f t="shared" si="155"/>
        <v>17.860851718271135</v>
      </c>
    </row>
    <row r="530" spans="1:45">
      <c r="A530" s="19">
        <v>123.62350000000001</v>
      </c>
      <c r="B530" s="19">
        <v>191.2754372</v>
      </c>
      <c r="C530" s="19">
        <v>-800.49835040000005</v>
      </c>
      <c r="E530" s="9">
        <f t="shared" si="145"/>
        <v>-768.72456280000006</v>
      </c>
      <c r="F530" s="9">
        <f t="shared" si="146"/>
        <v>-260.49835040000005</v>
      </c>
      <c r="I530">
        <v>1</v>
      </c>
      <c r="J530">
        <f t="shared" si="141"/>
        <v>0.49688162445486034</v>
      </c>
      <c r="K530">
        <f t="shared" si="147"/>
        <v>-2.8148666357027023</v>
      </c>
      <c r="O530">
        <f t="shared" si="148"/>
        <v>-0.45146899351313641</v>
      </c>
      <c r="P530">
        <f t="shared" si="149"/>
        <v>-0.15298968415754707</v>
      </c>
      <c r="Q530">
        <f t="shared" si="150"/>
        <v>0.87907332142296846</v>
      </c>
      <c r="R530">
        <f t="shared" si="140"/>
        <v>1</v>
      </c>
      <c r="AG530" s="8">
        <f t="shared" si="142"/>
        <v>-0.316196512984948</v>
      </c>
      <c r="AH530" s="8">
        <f t="shared" si="143"/>
        <v>0.89775350670367526</v>
      </c>
      <c r="AI530" s="8">
        <f t="shared" si="144"/>
        <v>0.30668942984298275</v>
      </c>
      <c r="AJ530" s="8"/>
      <c r="AK530" s="8"/>
      <c r="AL530" s="8"/>
      <c r="AN530" s="8">
        <f t="shared" si="151"/>
        <v>1.0000000000000002</v>
      </c>
      <c r="AO530" s="8">
        <f t="shared" si="152"/>
        <v>1.9094373691722579</v>
      </c>
      <c r="AP530" s="8">
        <f t="shared" si="153"/>
        <v>1.2590834377736571</v>
      </c>
      <c r="AQ530" s="8"/>
      <c r="AR530" s="8">
        <f t="shared" si="154"/>
        <v>109.40270249813366</v>
      </c>
      <c r="AS530" s="8">
        <f t="shared" si="155"/>
        <v>17.859832960746843</v>
      </c>
    </row>
    <row r="531" spans="1:45">
      <c r="A531" s="19">
        <v>123.65686669999999</v>
      </c>
      <c r="B531" s="19">
        <v>190.9036854</v>
      </c>
      <c r="C531" s="19">
        <v>-800.62158139999997</v>
      </c>
      <c r="E531" s="9">
        <f t="shared" si="145"/>
        <v>-769.09631460000003</v>
      </c>
      <c r="F531" s="9">
        <f t="shared" si="146"/>
        <v>-260.62158139999997</v>
      </c>
      <c r="I531">
        <v>1</v>
      </c>
      <c r="J531">
        <f t="shared" si="141"/>
        <v>0.49708642311817475</v>
      </c>
      <c r="K531">
        <f t="shared" si="147"/>
        <v>-2.8148698370180352</v>
      </c>
      <c r="O531">
        <f t="shared" si="148"/>
        <v>-0.45163998296102792</v>
      </c>
      <c r="P531">
        <f t="shared" si="149"/>
        <v>-0.15304601562678222</v>
      </c>
      <c r="Q531">
        <f t="shared" si="150"/>
        <v>0.8789756782139817</v>
      </c>
      <c r="R531">
        <f t="shared" si="140"/>
        <v>1</v>
      </c>
      <c r="AG531" s="8">
        <f t="shared" si="142"/>
        <v>-0.31605804197136378</v>
      </c>
      <c r="AH531" s="8">
        <f t="shared" si="143"/>
        <v>0.89784360634400717</v>
      </c>
      <c r="AI531" s="8">
        <f t="shared" si="144"/>
        <v>0.30656838169063549</v>
      </c>
      <c r="AJ531" s="8"/>
      <c r="AK531" s="8"/>
      <c r="AL531" s="8"/>
      <c r="AN531" s="8">
        <f t="shared" si="151"/>
        <v>1</v>
      </c>
      <c r="AO531" s="8">
        <f t="shared" si="152"/>
        <v>1.9092687095457122</v>
      </c>
      <c r="AP531" s="8">
        <f t="shared" si="153"/>
        <v>1.259210612018705</v>
      </c>
      <c r="AQ531" s="8"/>
      <c r="AR531" s="8">
        <f t="shared" si="154"/>
        <v>109.39303901335833</v>
      </c>
      <c r="AS531" s="8">
        <f t="shared" si="155"/>
        <v>17.852546413242834</v>
      </c>
    </row>
    <row r="532" spans="1:45">
      <c r="A532" s="19">
        <v>123.6902333</v>
      </c>
      <c r="B532" s="19">
        <v>190.93827580000001</v>
      </c>
      <c r="C532" s="19">
        <v>-800.68787829999997</v>
      </c>
      <c r="E532" s="9">
        <f t="shared" si="145"/>
        <v>-769.06172419999996</v>
      </c>
      <c r="F532" s="9">
        <f t="shared" si="146"/>
        <v>-260.68787829999997</v>
      </c>
      <c r="I532">
        <v>1</v>
      </c>
      <c r="J532">
        <f t="shared" si="141"/>
        <v>0.49708042060327401</v>
      </c>
      <c r="K532">
        <f t="shared" si="147"/>
        <v>-2.8147788428194982</v>
      </c>
      <c r="O532">
        <f t="shared" si="148"/>
        <v>-0.45162105798108509</v>
      </c>
      <c r="P532">
        <f t="shared" si="149"/>
        <v>-0.15308541784881938</v>
      </c>
      <c r="Q532">
        <f t="shared" si="150"/>
        <v>0.87897854059703739</v>
      </c>
      <c r="R532">
        <f t="shared" si="140"/>
        <v>1</v>
      </c>
      <c r="AG532" s="8">
        <f t="shared" si="142"/>
        <v>-0.31609116787999375</v>
      </c>
      <c r="AH532" s="8">
        <f t="shared" si="143"/>
        <v>0.89784170978753053</v>
      </c>
      <c r="AI532" s="8">
        <f t="shared" si="144"/>
        <v>0.30653978168268037</v>
      </c>
      <c r="AJ532" s="8"/>
      <c r="AK532" s="8"/>
      <c r="AL532" s="8"/>
      <c r="AN532" s="8">
        <f t="shared" si="151"/>
        <v>0.99999999999999989</v>
      </c>
      <c r="AO532" s="8">
        <f t="shared" si="152"/>
        <v>1.9093021979381637</v>
      </c>
      <c r="AP532" s="8">
        <f t="shared" si="153"/>
        <v>1.2592406586757774</v>
      </c>
      <c r="AQ532" s="8"/>
      <c r="AR532" s="8">
        <f t="shared" si="154"/>
        <v>109.39495775690848</v>
      </c>
      <c r="AS532" s="8">
        <f t="shared" si="155"/>
        <v>17.8508248666041</v>
      </c>
    </row>
    <row r="533" spans="1:45">
      <c r="A533" s="19">
        <v>123.7236</v>
      </c>
      <c r="B533" s="19">
        <v>192.87003290000001</v>
      </c>
      <c r="C533" s="19">
        <v>-798.61499270000002</v>
      </c>
      <c r="E533" s="9">
        <f t="shared" si="145"/>
        <v>-767.12996709999993</v>
      </c>
      <c r="F533" s="9">
        <f t="shared" si="146"/>
        <v>-258.61499270000002</v>
      </c>
      <c r="I533">
        <v>1</v>
      </c>
      <c r="J533">
        <f t="shared" si="141"/>
        <v>0.49577554521909112</v>
      </c>
      <c r="K533">
        <f t="shared" si="147"/>
        <v>-2.8164378176802809</v>
      </c>
      <c r="O533">
        <f t="shared" si="148"/>
        <v>-0.45078715850277096</v>
      </c>
      <c r="P533">
        <f t="shared" si="149"/>
        <v>-0.1519694480795207</v>
      </c>
      <c r="Q533">
        <f t="shared" si="150"/>
        <v>0.87960003670952835</v>
      </c>
      <c r="R533">
        <f t="shared" si="140"/>
        <v>1</v>
      </c>
      <c r="AG533" s="8">
        <f t="shared" si="142"/>
        <v>-0.31643767494105018</v>
      </c>
      <c r="AH533" s="8">
        <f t="shared" si="143"/>
        <v>0.89725277552015492</v>
      </c>
      <c r="AI533" s="8">
        <f t="shared" si="144"/>
        <v>0.30790364515426077</v>
      </c>
      <c r="AJ533" s="8"/>
      <c r="AK533" s="8"/>
      <c r="AL533" s="8"/>
      <c r="AN533" s="8">
        <f t="shared" si="151"/>
        <v>1.0000000000000002</v>
      </c>
      <c r="AO533" s="8">
        <f t="shared" si="152"/>
        <v>1.9098512898211188</v>
      </c>
      <c r="AP533" s="8">
        <f t="shared" si="153"/>
        <v>1.2578074837992255</v>
      </c>
      <c r="AQ533" s="8"/>
      <c r="AR533" s="8">
        <f t="shared" si="154"/>
        <v>109.42641840436671</v>
      </c>
      <c r="AS533" s="8">
        <f t="shared" si="155"/>
        <v>17.93293973833471</v>
      </c>
    </row>
    <row r="534" spans="1:45">
      <c r="A534" s="19">
        <v>123.75696670000001</v>
      </c>
      <c r="B534" s="19">
        <v>192.8398334</v>
      </c>
      <c r="C534" s="19">
        <v>-798.58555139999999</v>
      </c>
      <c r="E534" s="9">
        <f t="shared" si="145"/>
        <v>-767.16016660000003</v>
      </c>
      <c r="F534" s="9">
        <f t="shared" si="146"/>
        <v>-258.58555139999999</v>
      </c>
      <c r="I534">
        <v>1</v>
      </c>
      <c r="J534">
        <f t="shared" si="141"/>
        <v>0.49578560491735263</v>
      </c>
      <c r="K534">
        <f t="shared" si="147"/>
        <v>-2.8164841954835973</v>
      </c>
      <c r="O534">
        <f t="shared" si="148"/>
        <v>-0.45080259099568398</v>
      </c>
      <c r="P534">
        <f t="shared" si="149"/>
        <v>-0.15195136770695775</v>
      </c>
      <c r="Q534">
        <f t="shared" si="150"/>
        <v>0.87959525112608639</v>
      </c>
      <c r="R534">
        <f t="shared" si="140"/>
        <v>1</v>
      </c>
      <c r="AG534" s="8">
        <f t="shared" si="142"/>
        <v>-0.31641613910506078</v>
      </c>
      <c r="AH534" s="8">
        <f t="shared" si="143"/>
        <v>0.89725680517313045</v>
      </c>
      <c r="AI534" s="8">
        <f t="shared" si="144"/>
        <v>0.3079140342439004</v>
      </c>
      <c r="AJ534" s="8"/>
      <c r="AK534" s="8"/>
      <c r="AL534" s="8"/>
      <c r="AN534" s="8">
        <f t="shared" si="151"/>
        <v>1</v>
      </c>
      <c r="AO534" s="8">
        <f t="shared" si="152"/>
        <v>1.9098285341855152</v>
      </c>
      <c r="AP534" s="8">
        <f t="shared" si="153"/>
        <v>1.257796564189797</v>
      </c>
      <c r="AQ534" s="8"/>
      <c r="AR534" s="8">
        <f t="shared" si="154"/>
        <v>109.42511460248649</v>
      </c>
      <c r="AS534" s="8">
        <f t="shared" si="155"/>
        <v>17.933565385868889</v>
      </c>
    </row>
    <row r="535" spans="1:45">
      <c r="A535" s="19">
        <v>123.7903333</v>
      </c>
      <c r="B535" s="19">
        <v>191.90990239999999</v>
      </c>
      <c r="C535" s="19">
        <v>-799.52748929999996</v>
      </c>
      <c r="E535" s="9">
        <f t="shared" si="145"/>
        <v>-768.09009760000004</v>
      </c>
      <c r="F535" s="9">
        <f t="shared" si="146"/>
        <v>-259.52748929999996</v>
      </c>
      <c r="I535">
        <v>1</v>
      </c>
      <c r="J535">
        <f t="shared" si="141"/>
        <v>0.49640444702298631</v>
      </c>
      <c r="K535">
        <f t="shared" si="147"/>
        <v>-2.8157496111676985</v>
      </c>
      <c r="O535">
        <f t="shared" si="148"/>
        <v>-0.45120645050696084</v>
      </c>
      <c r="P535">
        <f t="shared" si="149"/>
        <v>-0.15245669436688783</v>
      </c>
      <c r="Q535">
        <f t="shared" si="150"/>
        <v>0.87930068541064543</v>
      </c>
      <c r="R535">
        <f t="shared" si="140"/>
        <v>1</v>
      </c>
      <c r="AG535" s="8">
        <f t="shared" si="142"/>
        <v>-0.31623480370716006</v>
      </c>
      <c r="AH535" s="8">
        <f t="shared" si="143"/>
        <v>0.89753598829374237</v>
      </c>
      <c r="AI535" s="8">
        <f t="shared" si="144"/>
        <v>0.30728602090213786</v>
      </c>
      <c r="AJ535" s="8"/>
      <c r="AK535" s="8"/>
      <c r="AL535" s="8"/>
      <c r="AN535" s="8">
        <f t="shared" si="151"/>
        <v>1</v>
      </c>
      <c r="AO535" s="8">
        <f t="shared" si="152"/>
        <v>1.909551256263776</v>
      </c>
      <c r="AP535" s="8">
        <f t="shared" si="153"/>
        <v>1.2584565778117978</v>
      </c>
      <c r="AQ535" s="8"/>
      <c r="AR535" s="8">
        <f t="shared" si="154"/>
        <v>109.40922774781866</v>
      </c>
      <c r="AS535" s="8">
        <f t="shared" si="155"/>
        <v>17.895749390907113</v>
      </c>
    </row>
    <row r="536" spans="1:45">
      <c r="A536" s="19">
        <v>123.8237</v>
      </c>
      <c r="B536" s="19">
        <v>191.8249787</v>
      </c>
      <c r="C536" s="19">
        <v>-799.32292059999997</v>
      </c>
      <c r="E536" s="9">
        <f t="shared" si="145"/>
        <v>-768.17502130000003</v>
      </c>
      <c r="F536" s="9">
        <f t="shared" si="146"/>
        <v>-259.32292059999997</v>
      </c>
      <c r="I536">
        <v>1</v>
      </c>
      <c r="J536">
        <f t="shared" si="141"/>
        <v>0.49641229640413714</v>
      </c>
      <c r="K536">
        <f t="shared" si="147"/>
        <v>-2.8160221797115317</v>
      </c>
      <c r="O536">
        <f t="shared" si="148"/>
        <v>-0.4512545280258477</v>
      </c>
      <c r="P536">
        <f t="shared" si="149"/>
        <v>-0.15233591160462454</v>
      </c>
      <c r="Q536">
        <f t="shared" si="150"/>
        <v>0.87929694698193817</v>
      </c>
      <c r="R536">
        <f t="shared" si="140"/>
        <v>1</v>
      </c>
      <c r="AG536" s="8">
        <f t="shared" si="142"/>
        <v>-0.31614254174724377</v>
      </c>
      <c r="AH536" s="8">
        <f t="shared" si="143"/>
        <v>0.89753710704817002</v>
      </c>
      <c r="AI536" s="8">
        <f t="shared" si="144"/>
        <v>0.30737767448074993</v>
      </c>
      <c r="AJ536" s="8"/>
      <c r="AK536" s="8"/>
      <c r="AL536" s="8"/>
      <c r="AN536" s="8">
        <f t="shared" si="151"/>
        <v>0.99999999999999989</v>
      </c>
      <c r="AO536" s="8">
        <f t="shared" si="152"/>
        <v>1.9094594198307935</v>
      </c>
      <c r="AP536" s="8">
        <f t="shared" si="153"/>
        <v>1.2583602628190356</v>
      </c>
      <c r="AQ536" s="8"/>
      <c r="AR536" s="8">
        <f t="shared" si="154"/>
        <v>109.40396590780324</v>
      </c>
      <c r="AS536" s="8">
        <f t="shared" si="155"/>
        <v>17.90126783349622</v>
      </c>
    </row>
    <row r="537" spans="1:45">
      <c r="A537" s="19">
        <v>123.8570667</v>
      </c>
      <c r="B537" s="19">
        <v>190.89948219999999</v>
      </c>
      <c r="C537" s="19">
        <v>-799.09180649999996</v>
      </c>
      <c r="E537" s="9">
        <f t="shared" si="145"/>
        <v>-769.10051780000003</v>
      </c>
      <c r="F537" s="9">
        <f t="shared" si="146"/>
        <v>-259.09180649999996</v>
      </c>
      <c r="I537">
        <v>1</v>
      </c>
      <c r="J537">
        <f t="shared" si="141"/>
        <v>0.4968324334623318</v>
      </c>
      <c r="K537">
        <f t="shared" si="147"/>
        <v>-2.8166567441424131</v>
      </c>
      <c r="O537">
        <f t="shared" si="148"/>
        <v>-0.45170115792063931</v>
      </c>
      <c r="P537">
        <f t="shared" si="149"/>
        <v>-0.15216745574241547</v>
      </c>
      <c r="Q537">
        <f t="shared" si="150"/>
        <v>0.87909676904538425</v>
      </c>
      <c r="R537">
        <f t="shared" si="140"/>
        <v>1</v>
      </c>
      <c r="AG537" s="8">
        <f t="shared" si="142"/>
        <v>-0.31565771500590267</v>
      </c>
      <c r="AH537" s="8">
        <f t="shared" si="143"/>
        <v>0.89771656338383465</v>
      </c>
      <c r="AI537" s="8">
        <f t="shared" si="144"/>
        <v>0.30735188104771693</v>
      </c>
      <c r="AJ537" s="8"/>
      <c r="AK537" s="8"/>
      <c r="AL537" s="8"/>
      <c r="AN537" s="8">
        <f t="shared" si="151"/>
        <v>1</v>
      </c>
      <c r="AO537" s="8">
        <f t="shared" si="152"/>
        <v>1.9089162180762986</v>
      </c>
      <c r="AP537" s="8">
        <f t="shared" si="153"/>
        <v>1.2583873683845679</v>
      </c>
      <c r="AQ537" s="8"/>
      <c r="AR537" s="8">
        <f t="shared" si="154"/>
        <v>109.37284273984658</v>
      </c>
      <c r="AS537" s="8">
        <f t="shared" si="155"/>
        <v>17.899714798989891</v>
      </c>
    </row>
    <row r="538" spans="1:45">
      <c r="A538" s="19">
        <v>123.8904333</v>
      </c>
      <c r="B538" s="19">
        <v>190.80973789999999</v>
      </c>
      <c r="C538" s="19">
        <v>-799.32293700000002</v>
      </c>
      <c r="E538" s="9">
        <f t="shared" si="145"/>
        <v>-769.19026210000004</v>
      </c>
      <c r="F538" s="9">
        <f t="shared" si="146"/>
        <v>-259.32293700000002</v>
      </c>
      <c r="I538">
        <v>1</v>
      </c>
      <c r="J538">
        <f t="shared" si="141"/>
        <v>0.49691551515466365</v>
      </c>
      <c r="K538">
        <f t="shared" si="147"/>
        <v>-2.8164222012065201</v>
      </c>
      <c r="O538">
        <f t="shared" si="148"/>
        <v>-0.45173466358133302</v>
      </c>
      <c r="P538">
        <f t="shared" si="149"/>
        <v>-0.15229672745049472</v>
      </c>
      <c r="Q538">
        <f t="shared" si="150"/>
        <v>0.87905716567634529</v>
      </c>
      <c r="R538">
        <f t="shared" si="140"/>
        <v>1</v>
      </c>
      <c r="AG538" s="8">
        <f t="shared" si="142"/>
        <v>-0.31567676399754596</v>
      </c>
      <c r="AH538" s="8">
        <f t="shared" si="143"/>
        <v>0.89775520558339494</v>
      </c>
      <c r="AI538" s="8">
        <f t="shared" si="144"/>
        <v>0.3072194191778147</v>
      </c>
      <c r="AJ538" s="8"/>
      <c r="AK538" s="8"/>
      <c r="AL538" s="8"/>
      <c r="AN538" s="8">
        <f t="shared" si="151"/>
        <v>0.99999999999999978</v>
      </c>
      <c r="AO538" s="8">
        <f t="shared" si="152"/>
        <v>1.9089216321878426</v>
      </c>
      <c r="AP538" s="8">
        <f t="shared" si="153"/>
        <v>1.2585265649574504</v>
      </c>
      <c r="AQ538" s="8"/>
      <c r="AR538" s="8">
        <f t="shared" si="154"/>
        <v>109.37315294558786</v>
      </c>
      <c r="AS538" s="8">
        <f t="shared" si="155"/>
        <v>17.891739422841042</v>
      </c>
    </row>
    <row r="539" spans="1:45">
      <c r="A539" s="19">
        <v>123.9238</v>
      </c>
      <c r="B539" s="19">
        <v>190.6856263</v>
      </c>
      <c r="C539" s="19">
        <v>-799.17756459999998</v>
      </c>
      <c r="E539" s="9">
        <f t="shared" si="145"/>
        <v>-769.31437370000003</v>
      </c>
      <c r="F539" s="9">
        <f t="shared" si="146"/>
        <v>-259.17756459999998</v>
      </c>
      <c r="I539">
        <v>1</v>
      </c>
      <c r="J539">
        <f t="shared" si="141"/>
        <v>0.49695274194741812</v>
      </c>
      <c r="K539">
        <f t="shared" si="147"/>
        <v>-2.816640733526961</v>
      </c>
      <c r="O539">
        <f t="shared" si="148"/>
        <v>-0.45179894611725097</v>
      </c>
      <c r="P539">
        <f t="shared" si="149"/>
        <v>-0.15220845280758821</v>
      </c>
      <c r="Q539">
        <f t="shared" si="150"/>
        <v>0.87903941844564715</v>
      </c>
      <c r="R539">
        <f t="shared" ref="R539:R602" si="156">SQRT(O539^2+P539^2+Q539^2)</f>
        <v>1</v>
      </c>
      <c r="AG539" s="8">
        <f t="shared" si="142"/>
        <v>-0.31558196087846252</v>
      </c>
      <c r="AH539" s="8">
        <f t="shared" si="143"/>
        <v>0.8977696564055937</v>
      </c>
      <c r="AI539" s="8">
        <f t="shared" si="144"/>
        <v>0.30727458405388275</v>
      </c>
      <c r="AJ539" s="8"/>
      <c r="AK539" s="8"/>
      <c r="AL539" s="8"/>
      <c r="AN539" s="8">
        <f t="shared" si="151"/>
        <v>0.99999999999999989</v>
      </c>
      <c r="AO539" s="8">
        <f t="shared" si="152"/>
        <v>1.9088226129144512</v>
      </c>
      <c r="AP539" s="8">
        <f t="shared" si="153"/>
        <v>1.2584685961170841</v>
      </c>
      <c r="AQ539" s="8"/>
      <c r="AR539" s="8">
        <f t="shared" si="154"/>
        <v>109.36747955913208</v>
      </c>
      <c r="AS539" s="8">
        <f t="shared" si="155"/>
        <v>17.895060792737297</v>
      </c>
    </row>
    <row r="540" spans="1:45">
      <c r="A540" s="19">
        <v>123.9571667</v>
      </c>
      <c r="B540" s="19">
        <v>190.51675109999999</v>
      </c>
      <c r="C540" s="19">
        <v>-799.17756889999998</v>
      </c>
      <c r="E540" s="9">
        <f t="shared" si="145"/>
        <v>-769.48324890000004</v>
      </c>
      <c r="F540" s="9">
        <f t="shared" si="146"/>
        <v>-259.17756889999998</v>
      </c>
      <c r="I540">
        <v>1</v>
      </c>
      <c r="J540">
        <f t="shared" si="141"/>
        <v>0.49703643122116292</v>
      </c>
      <c r="K540">
        <f t="shared" si="147"/>
        <v>-2.8167071304299762</v>
      </c>
      <c r="O540">
        <f t="shared" si="148"/>
        <v>-0.45187876743251781</v>
      </c>
      <c r="P540">
        <f t="shared" si="149"/>
        <v>-0.15220193623202397</v>
      </c>
      <c r="Q540">
        <f t="shared" si="150"/>
        <v>0.87899951658171649</v>
      </c>
      <c r="R540">
        <f t="shared" si="156"/>
        <v>1</v>
      </c>
      <c r="AG540" s="8">
        <f t="shared" si="142"/>
        <v>-0.31550450215467069</v>
      </c>
      <c r="AH540" s="8">
        <f t="shared" si="143"/>
        <v>0.89780589159298696</v>
      </c>
      <c r="AI540" s="8">
        <f t="shared" si="144"/>
        <v>0.30724825490318869</v>
      </c>
      <c r="AJ540" s="8"/>
      <c r="AK540" s="8"/>
      <c r="AL540" s="8"/>
      <c r="AN540" s="8">
        <f t="shared" si="151"/>
        <v>0.99999999999999967</v>
      </c>
      <c r="AO540" s="8">
        <f t="shared" si="152"/>
        <v>1.9087331958207365</v>
      </c>
      <c r="AP540" s="8">
        <f t="shared" si="153"/>
        <v>1.2584962636821779</v>
      </c>
      <c r="AQ540" s="8"/>
      <c r="AR540" s="8">
        <f t="shared" si="154"/>
        <v>109.36235633704591</v>
      </c>
      <c r="AS540" s="8">
        <f t="shared" si="155"/>
        <v>17.893475558028015</v>
      </c>
    </row>
    <row r="541" spans="1:45">
      <c r="A541" s="19">
        <v>123.9905333</v>
      </c>
      <c r="B541" s="19">
        <v>190.4338789</v>
      </c>
      <c r="C541" s="19">
        <v>-799.19562229999997</v>
      </c>
      <c r="E541" s="9">
        <f t="shared" si="145"/>
        <v>-769.56612110000003</v>
      </c>
      <c r="F541" s="9">
        <f t="shared" si="146"/>
        <v>-259.19562229999997</v>
      </c>
      <c r="I541">
        <v>1</v>
      </c>
      <c r="J541">
        <f t="shared" si="141"/>
        <v>0.49708051069916159</v>
      </c>
      <c r="K541">
        <f t="shared" si="147"/>
        <v>-2.8167186370247541</v>
      </c>
      <c r="O541">
        <f t="shared" si="148"/>
        <v>-0.45191723737123651</v>
      </c>
      <c r="P541">
        <f t="shared" si="149"/>
        <v>-0.15220910374940172</v>
      </c>
      <c r="Q541">
        <f t="shared" si="150"/>
        <v>0.87897849763378932</v>
      </c>
      <c r="R541">
        <f t="shared" si="156"/>
        <v>1</v>
      </c>
      <c r="AG541" s="8">
        <f t="shared" si="142"/>
        <v>-0.3154711951849678</v>
      </c>
      <c r="AH541" s="8">
        <f t="shared" si="143"/>
        <v>0.89782518287155177</v>
      </c>
      <c r="AI541" s="8">
        <f t="shared" si="144"/>
        <v>0.30722608289374226</v>
      </c>
      <c r="AJ541" s="8"/>
      <c r="AK541" s="8"/>
      <c r="AL541" s="8"/>
      <c r="AN541" s="8">
        <f t="shared" si="151"/>
        <v>1</v>
      </c>
      <c r="AO541" s="8">
        <f t="shared" si="152"/>
        <v>1.9086934548011014</v>
      </c>
      <c r="AP541" s="8">
        <f t="shared" si="153"/>
        <v>1.2585195625904688</v>
      </c>
      <c r="AQ541" s="8"/>
      <c r="AR541" s="8">
        <f t="shared" si="154"/>
        <v>109.36007934434727</v>
      </c>
      <c r="AS541" s="8">
        <f t="shared" si="155"/>
        <v>17.892140628915683</v>
      </c>
    </row>
    <row r="542" spans="1:45">
      <c r="A542" s="19">
        <v>124.0239</v>
      </c>
      <c r="B542" s="19">
        <v>190.16411790000001</v>
      </c>
      <c r="C542" s="19">
        <v>-799.21649730000001</v>
      </c>
      <c r="E542" s="9">
        <f t="shared" si="145"/>
        <v>-769.83588209999994</v>
      </c>
      <c r="F542" s="9">
        <f t="shared" si="146"/>
        <v>-259.21649730000001</v>
      </c>
      <c r="I542">
        <v>1</v>
      </c>
      <c r="J542">
        <f t="shared" si="141"/>
        <v>0.49721766005712686</v>
      </c>
      <c r="K542">
        <f t="shared" si="147"/>
        <v>-2.8168002833871975</v>
      </c>
      <c r="O542">
        <f t="shared" si="148"/>
        <v>-0.45204390748542733</v>
      </c>
      <c r="P542">
        <f t="shared" si="149"/>
        <v>-0.15221067379262104</v>
      </c>
      <c r="Q542">
        <f t="shared" si="150"/>
        <v>0.87891308813153002</v>
      </c>
      <c r="R542">
        <f t="shared" si="156"/>
        <v>1</v>
      </c>
      <c r="AG542" s="8">
        <f t="shared" si="142"/>
        <v>-0.31535291130310578</v>
      </c>
      <c r="AH542" s="8">
        <f t="shared" si="143"/>
        <v>0.89788478441007857</v>
      </c>
      <c r="AI542" s="8">
        <f t="shared" si="144"/>
        <v>0.30717333096726046</v>
      </c>
      <c r="AJ542" s="8"/>
      <c r="AK542" s="8"/>
      <c r="AL542" s="8"/>
      <c r="AN542" s="8">
        <f t="shared" si="151"/>
        <v>0.99999999999999989</v>
      </c>
      <c r="AO542" s="8">
        <f t="shared" si="152"/>
        <v>1.9085554281830719</v>
      </c>
      <c r="AP542" s="8">
        <f t="shared" si="153"/>
        <v>1.2585749949445366</v>
      </c>
      <c r="AQ542" s="8"/>
      <c r="AR542" s="8">
        <f t="shared" si="154"/>
        <v>109.35217100167371</v>
      </c>
      <c r="AS542" s="8">
        <f t="shared" si="155"/>
        <v>17.888964588979135</v>
      </c>
    </row>
    <row r="543" spans="1:45">
      <c r="A543" s="19">
        <v>124.0572667</v>
      </c>
      <c r="B543" s="19">
        <v>189.60578820000001</v>
      </c>
      <c r="C543" s="19">
        <v>-799.1728253</v>
      </c>
      <c r="E543" s="9">
        <f t="shared" si="145"/>
        <v>-770.39421179999999</v>
      </c>
      <c r="F543" s="9">
        <f t="shared" si="146"/>
        <v>-259.1728253</v>
      </c>
      <c r="I543">
        <v>1</v>
      </c>
      <c r="J543">
        <f t="shared" si="141"/>
        <v>0.49748698645729494</v>
      </c>
      <c r="K543">
        <f t="shared" si="147"/>
        <v>-2.8170704024510727</v>
      </c>
      <c r="O543">
        <f t="shared" si="148"/>
        <v>-0.45230934835013714</v>
      </c>
      <c r="P543">
        <f t="shared" si="149"/>
        <v>-0.15216403488755662</v>
      </c>
      <c r="Q543">
        <f t="shared" si="150"/>
        <v>0.87878459242399831</v>
      </c>
      <c r="R543">
        <f t="shared" si="156"/>
        <v>1</v>
      </c>
      <c r="AG543" s="8">
        <f t="shared" si="142"/>
        <v>-0.31508549814569514</v>
      </c>
      <c r="AH543" s="8">
        <f t="shared" si="143"/>
        <v>0.89800077648319609</v>
      </c>
      <c r="AI543" s="8">
        <f t="shared" si="144"/>
        <v>0.30710866854235142</v>
      </c>
      <c r="AJ543" s="8"/>
      <c r="AK543" s="8"/>
      <c r="AL543" s="8"/>
      <c r="AN543" s="8">
        <f t="shared" si="151"/>
        <v>0.99999999999999978</v>
      </c>
      <c r="AO543" s="8">
        <f t="shared" si="152"/>
        <v>1.9082499235768289</v>
      </c>
      <c r="AP543" s="8">
        <f t="shared" si="153"/>
        <v>1.2586429416395795</v>
      </c>
      <c r="AQ543" s="8"/>
      <c r="AR543" s="8">
        <f t="shared" si="154"/>
        <v>109.33466687711417</v>
      </c>
      <c r="AS543" s="8">
        <f t="shared" si="155"/>
        <v>17.885071530121309</v>
      </c>
    </row>
    <row r="544" spans="1:45">
      <c r="A544" s="19">
        <v>124.09063329999999</v>
      </c>
      <c r="B544" s="19">
        <v>189.504671</v>
      </c>
      <c r="C544" s="19">
        <v>-799.1777482</v>
      </c>
      <c r="E544" s="9">
        <f t="shared" si="145"/>
        <v>-770.49532899999997</v>
      </c>
      <c r="F544" s="9">
        <f t="shared" si="146"/>
        <v>-259.1777482</v>
      </c>
      <c r="I544">
        <v>1</v>
      </c>
      <c r="J544">
        <f t="shared" ref="J544:J607" si="157">ATAN((SQRT(E544^2+F544^2)^$B$16)/($F$24))</f>
        <v>0.49753789650238578</v>
      </c>
      <c r="K544">
        <f t="shared" si="147"/>
        <v>-2.8171043245400136</v>
      </c>
      <c r="O544">
        <f t="shared" si="148"/>
        <v>-0.45235691344059037</v>
      </c>
      <c r="P544">
        <f t="shared" si="149"/>
        <v>-0.15216295517378089</v>
      </c>
      <c r="Q544">
        <f t="shared" si="150"/>
        <v>0.87876029606217654</v>
      </c>
      <c r="R544">
        <f t="shared" si="156"/>
        <v>1</v>
      </c>
      <c r="AG544" s="8">
        <f t="shared" ref="AG544:AG607" si="158">$O544*$Z$27+$P544*$Z$31+$Q544*$Z$35</f>
        <v>-0.31504041582547609</v>
      </c>
      <c r="AH544" s="8">
        <f t="shared" ref="AH544:AH607" si="159">$O544*$AA$27+$P544*$AA$31+$Q544*$AA$35</f>
        <v>0.89802284695123302</v>
      </c>
      <c r="AI544" s="8">
        <f t="shared" ref="AI544:AI607" si="160">$AB$27*$O544+$P544*$AB$31+$AB$35*$Q544</f>
        <v>0.30709038205406813</v>
      </c>
      <c r="AJ544" s="8"/>
      <c r="AK544" s="8"/>
      <c r="AL544" s="8"/>
      <c r="AN544" s="8">
        <f t="shared" si="151"/>
        <v>1</v>
      </c>
      <c r="AO544" s="8">
        <f t="shared" si="152"/>
        <v>1.9081975457773517</v>
      </c>
      <c r="AP544" s="8">
        <f t="shared" si="153"/>
        <v>1.2586621566468961</v>
      </c>
      <c r="AQ544" s="8"/>
      <c r="AR544" s="8">
        <f t="shared" si="154"/>
        <v>109.33166585026396</v>
      </c>
      <c r="AS544" s="8">
        <f t="shared" si="155"/>
        <v>17.883970591298763</v>
      </c>
    </row>
    <row r="545" spans="1:45">
      <c r="A545" s="19">
        <v>124.124</v>
      </c>
      <c r="B545" s="19">
        <v>188.6255294</v>
      </c>
      <c r="C545" s="19">
        <v>-799.16388470000004</v>
      </c>
      <c r="E545" s="9">
        <f t="shared" ref="E545:E608" si="161">(B545-($B$15/2))</f>
        <v>-771.3744706</v>
      </c>
      <c r="F545" s="9">
        <f t="shared" ref="F545:F608" si="162">(($C$15/2)+C545)</f>
        <v>-259.16388470000004</v>
      </c>
      <c r="I545">
        <v>1</v>
      </c>
      <c r="J545">
        <f t="shared" si="157"/>
        <v>0.49797099991534138</v>
      </c>
      <c r="K545">
        <f t="shared" ref="K545:K608" si="163">ATAN2(E545,F545)</f>
        <v>-2.8174649172960522</v>
      </c>
      <c r="O545">
        <f t="shared" ref="O545:O608" si="164">COS(K545)*SIN(J545)</f>
        <v>-0.45277248657278479</v>
      </c>
      <c r="P545">
        <f t="shared" ref="P545:P608" si="165">SIN(K545)*SIN(J545)</f>
        <v>-0.15212102678768841</v>
      </c>
      <c r="Q545">
        <f t="shared" ref="Q545:Q608" si="166">COS(J545)</f>
        <v>0.87855350924787545</v>
      </c>
      <c r="R545">
        <f t="shared" si="156"/>
        <v>1</v>
      </c>
      <c r="AG545" s="8">
        <f t="shared" si="158"/>
        <v>-0.31463375987511766</v>
      </c>
      <c r="AH545" s="8">
        <f t="shared" si="159"/>
        <v>0.89820982781356096</v>
      </c>
      <c r="AI545" s="8">
        <f t="shared" si="160"/>
        <v>0.30696042475534191</v>
      </c>
      <c r="AJ545" s="8"/>
      <c r="AK545" s="8"/>
      <c r="AL545" s="8"/>
      <c r="AN545" s="8">
        <f t="shared" ref="AN545:AN608" si="167">AG545^2+AH545^2+AI545^2</f>
        <v>0.99999999999999989</v>
      </c>
      <c r="AO545" s="8">
        <f t="shared" ref="AO545:AO608" si="168">IF(ATAN2(AG545,AH545)&gt;=0,ATAN2(AG545,AH545),ATAN2(AG545,AH545)+2*PI())</f>
        <v>1.9077293153427288</v>
      </c>
      <c r="AP545" s="8">
        <f t="shared" ref="AP545:AP608" si="169">ACOS(AI545/AN545)</f>
        <v>1.2587987092566137</v>
      </c>
      <c r="AQ545" s="8"/>
      <c r="AR545" s="8">
        <f t="shared" ref="AR545:AR608" si="170">DEGREES(AO545)</f>
        <v>109.30483822252049</v>
      </c>
      <c r="AS545" s="8">
        <f t="shared" ref="AS545:AS608" si="171">90-DEGREES(AP545)</f>
        <v>17.876146703080437</v>
      </c>
    </row>
    <row r="546" spans="1:45">
      <c r="A546" s="19">
        <v>124.1573667</v>
      </c>
      <c r="B546" s="19">
        <v>188.47861109999999</v>
      </c>
      <c r="C546" s="19">
        <v>-799.18223980000005</v>
      </c>
      <c r="E546" s="9">
        <f t="shared" si="161"/>
        <v>-771.52138890000003</v>
      </c>
      <c r="F546" s="9">
        <f t="shared" si="162"/>
        <v>-259.18223980000005</v>
      </c>
      <c r="I546">
        <v>1</v>
      </c>
      <c r="J546">
        <f t="shared" si="157"/>
        <v>0.49804680276793761</v>
      </c>
      <c r="K546">
        <f t="shared" si="163"/>
        <v>-2.8175010295845486</v>
      </c>
      <c r="O546">
        <f t="shared" si="164"/>
        <v>-0.45284110827039564</v>
      </c>
      <c r="P546">
        <f t="shared" si="165"/>
        <v>-0.15212588322713119</v>
      </c>
      <c r="Q546">
        <f t="shared" si="166"/>
        <v>0.87851729995077787</v>
      </c>
      <c r="R546">
        <f t="shared" si="156"/>
        <v>1</v>
      </c>
      <c r="AG546" s="8">
        <f t="shared" si="158"/>
        <v>-0.3145711975332911</v>
      </c>
      <c r="AH546" s="8">
        <f t="shared" si="159"/>
        <v>0.8982427801621089</v>
      </c>
      <c r="AI546" s="8">
        <f t="shared" si="160"/>
        <v>0.30692811791870167</v>
      </c>
      <c r="AJ546" s="8"/>
      <c r="AK546" s="8"/>
      <c r="AL546" s="8"/>
      <c r="AN546" s="8">
        <f t="shared" si="167"/>
        <v>1</v>
      </c>
      <c r="AO546" s="8">
        <f t="shared" si="168"/>
        <v>1.9076558298953703</v>
      </c>
      <c r="AP546" s="8">
        <f t="shared" si="169"/>
        <v>1.2588326547262974</v>
      </c>
      <c r="AQ546" s="8"/>
      <c r="AR546" s="8">
        <f t="shared" si="170"/>
        <v>109.30062781653122</v>
      </c>
      <c r="AS546" s="8">
        <f t="shared" si="171"/>
        <v>17.874201770933979</v>
      </c>
    </row>
    <row r="547" spans="1:45">
      <c r="A547" s="19">
        <v>124.19073330000001</v>
      </c>
      <c r="B547" s="19">
        <v>188.21336919999999</v>
      </c>
      <c r="C547" s="19">
        <v>-799.20709160000001</v>
      </c>
      <c r="E547" s="9">
        <f t="shared" si="161"/>
        <v>-771.78663080000001</v>
      </c>
      <c r="F547" s="9">
        <f t="shared" si="162"/>
        <v>-259.20709160000001</v>
      </c>
      <c r="I547">
        <v>1</v>
      </c>
      <c r="J547">
        <f t="shared" si="157"/>
        <v>0.49818226319594661</v>
      </c>
      <c r="K547">
        <f t="shared" si="163"/>
        <v>-2.8175758408097069</v>
      </c>
      <c r="O547">
        <f t="shared" si="164"/>
        <v>-0.45296529541672309</v>
      </c>
      <c r="P547">
        <f t="shared" si="165"/>
        <v>-0.15212989203894317</v>
      </c>
      <c r="Q547">
        <f t="shared" si="166"/>
        <v>0.87845258101747314</v>
      </c>
      <c r="R547">
        <f t="shared" si="156"/>
        <v>1</v>
      </c>
      <c r="AG547" s="8">
        <f t="shared" si="158"/>
        <v>-0.3144560987886999</v>
      </c>
      <c r="AH547" s="8">
        <f t="shared" si="159"/>
        <v>0.89830155672831591</v>
      </c>
      <c r="AI547" s="8">
        <f t="shared" si="160"/>
        <v>0.3068740378625659</v>
      </c>
      <c r="AJ547" s="8"/>
      <c r="AK547" s="8"/>
      <c r="AL547" s="8"/>
      <c r="AN547" s="8">
        <f t="shared" si="167"/>
        <v>1</v>
      </c>
      <c r="AO547" s="8">
        <f t="shared" si="168"/>
        <v>1.9075212809291555</v>
      </c>
      <c r="AP547" s="8">
        <f t="shared" si="169"/>
        <v>1.2588894769419468</v>
      </c>
      <c r="AQ547" s="8"/>
      <c r="AR547" s="8">
        <f t="shared" si="170"/>
        <v>109.29291872862926</v>
      </c>
      <c r="AS547" s="8">
        <f t="shared" si="171"/>
        <v>17.870946097794686</v>
      </c>
    </row>
    <row r="548" spans="1:45">
      <c r="A548" s="19">
        <v>124.22410000000001</v>
      </c>
      <c r="B548" s="19">
        <v>187.80521590000001</v>
      </c>
      <c r="C548" s="19">
        <v>-799.15498449999996</v>
      </c>
      <c r="E548" s="9">
        <f t="shared" si="161"/>
        <v>-772.19478409999999</v>
      </c>
      <c r="F548" s="9">
        <f t="shared" si="162"/>
        <v>-259.15498449999996</v>
      </c>
      <c r="I548">
        <v>1</v>
      </c>
      <c r="J548">
        <f t="shared" si="157"/>
        <v>0.49837566354194657</v>
      </c>
      <c r="K548">
        <f t="shared" si="163"/>
        <v>-2.8177960217930433</v>
      </c>
      <c r="O548">
        <f t="shared" si="164"/>
        <v>-0.45315983649333658</v>
      </c>
      <c r="P548">
        <f t="shared" si="165"/>
        <v>-0.15208420572191381</v>
      </c>
      <c r="Q548">
        <f t="shared" si="166"/>
        <v>0.87836015219229235</v>
      </c>
      <c r="R548">
        <f t="shared" si="156"/>
        <v>1</v>
      </c>
      <c r="AG548" s="8">
        <f t="shared" si="158"/>
        <v>-0.31425547107619078</v>
      </c>
      <c r="AH548" s="8">
        <f t="shared" si="159"/>
        <v>0.89838438216334804</v>
      </c>
      <c r="AI548" s="8">
        <f t="shared" si="160"/>
        <v>0.30683709160344497</v>
      </c>
      <c r="AJ548" s="8"/>
      <c r="AK548" s="8"/>
      <c r="AL548" s="8"/>
      <c r="AN548" s="8">
        <f t="shared" si="167"/>
        <v>1</v>
      </c>
      <c r="AO548" s="8">
        <f t="shared" si="168"/>
        <v>1.9072935704853644</v>
      </c>
      <c r="AP548" s="8">
        <f t="shared" si="169"/>
        <v>1.258928295983252</v>
      </c>
      <c r="AQ548" s="8"/>
      <c r="AR548" s="8">
        <f t="shared" si="170"/>
        <v>109.27987188124898</v>
      </c>
      <c r="AS548" s="8">
        <f t="shared" si="171"/>
        <v>17.868721930563154</v>
      </c>
    </row>
    <row r="549" spans="1:45">
      <c r="A549" s="19">
        <v>124.25746669999999</v>
      </c>
      <c r="B549" s="19">
        <v>187.51254689999999</v>
      </c>
      <c r="C549" s="19">
        <v>-799.18350659999999</v>
      </c>
      <c r="E549" s="9">
        <f t="shared" si="161"/>
        <v>-772.48745310000004</v>
      </c>
      <c r="F549" s="9">
        <f t="shared" si="162"/>
        <v>-259.18350659999999</v>
      </c>
      <c r="I549">
        <v>1</v>
      </c>
      <c r="J549">
        <f t="shared" si="157"/>
        <v>0.49852527129325541</v>
      </c>
      <c r="K549">
        <f t="shared" si="163"/>
        <v>-2.8178771181879676</v>
      </c>
      <c r="O549">
        <f t="shared" si="164"/>
        <v>-0.45329674750164234</v>
      </c>
      <c r="P549">
        <f t="shared" si="165"/>
        <v>-0.15208925410551824</v>
      </c>
      <c r="Q549">
        <f t="shared" si="166"/>
        <v>0.87828862994465517</v>
      </c>
      <c r="R549">
        <f t="shared" si="156"/>
        <v>1</v>
      </c>
      <c r="AG549" s="8">
        <f t="shared" si="158"/>
        <v>-0.31412878729105409</v>
      </c>
      <c r="AH549" s="8">
        <f t="shared" si="159"/>
        <v>0.89844925562780054</v>
      </c>
      <c r="AI549" s="8">
        <f t="shared" si="160"/>
        <v>0.30677685710774044</v>
      </c>
      <c r="AJ549" s="8"/>
      <c r="AK549" s="8"/>
      <c r="AL549" s="8"/>
      <c r="AN549" s="8">
        <f t="shared" si="167"/>
        <v>1</v>
      </c>
      <c r="AO549" s="8">
        <f t="shared" si="168"/>
        <v>1.9071454281991789</v>
      </c>
      <c r="AP549" s="8">
        <f t="shared" si="169"/>
        <v>1.2589915826853135</v>
      </c>
      <c r="AQ549" s="8"/>
      <c r="AR549" s="8">
        <f t="shared" si="170"/>
        <v>109.27138395348312</v>
      </c>
      <c r="AS549" s="8">
        <f t="shared" si="171"/>
        <v>17.865095869635724</v>
      </c>
    </row>
    <row r="550" spans="1:45">
      <c r="A550" s="19">
        <v>124.2908333</v>
      </c>
      <c r="B550" s="19">
        <v>187.26148599999999</v>
      </c>
      <c r="C550" s="19">
        <v>-799.18877850000001</v>
      </c>
      <c r="E550" s="9">
        <f t="shared" si="161"/>
        <v>-772.73851400000001</v>
      </c>
      <c r="F550" s="9">
        <f t="shared" si="162"/>
        <v>-259.18877850000001</v>
      </c>
      <c r="I550">
        <v>1</v>
      </c>
      <c r="J550">
        <f t="shared" si="157"/>
        <v>0.49865040644602227</v>
      </c>
      <c r="K550">
        <f t="shared" si="163"/>
        <v>-2.8179689682236444</v>
      </c>
      <c r="O550">
        <f t="shared" si="164"/>
        <v>-0.45341491099102205</v>
      </c>
      <c r="P550">
        <f t="shared" si="165"/>
        <v>-0.15208256713531584</v>
      </c>
      <c r="Q550">
        <f t="shared" si="166"/>
        <v>0.87822879209493909</v>
      </c>
      <c r="R550">
        <f t="shared" si="156"/>
        <v>1</v>
      </c>
      <c r="AG550" s="8">
        <f t="shared" si="158"/>
        <v>-0.31401512393512465</v>
      </c>
      <c r="AH550" s="8">
        <f t="shared" si="159"/>
        <v>0.89850327306443822</v>
      </c>
      <c r="AI550" s="8">
        <f t="shared" si="160"/>
        <v>0.30673501631294076</v>
      </c>
      <c r="AJ550" s="8"/>
      <c r="AK550" s="8"/>
      <c r="AL550" s="8"/>
      <c r="AN550" s="8">
        <f t="shared" si="167"/>
        <v>1.0000000000000002</v>
      </c>
      <c r="AO550" s="8">
        <f t="shared" si="168"/>
        <v>1.9070139687828478</v>
      </c>
      <c r="AP550" s="8">
        <f t="shared" si="169"/>
        <v>1.2590355428798157</v>
      </c>
      <c r="AQ550" s="8"/>
      <c r="AR550" s="8">
        <f t="shared" si="170"/>
        <v>109.26385188375011</v>
      </c>
      <c r="AS550" s="8">
        <f t="shared" si="171"/>
        <v>17.862577136024171</v>
      </c>
    </row>
    <row r="551" spans="1:45">
      <c r="A551" s="19">
        <v>124.3242</v>
      </c>
      <c r="B551" s="19">
        <v>186.81188549999999</v>
      </c>
      <c r="C551" s="19">
        <v>-799.12355930000001</v>
      </c>
      <c r="E551" s="9">
        <f t="shared" si="161"/>
        <v>-773.18811449999998</v>
      </c>
      <c r="F551" s="9">
        <f t="shared" si="162"/>
        <v>-259.12355930000001</v>
      </c>
      <c r="I551">
        <v>1</v>
      </c>
      <c r="J551">
        <f t="shared" si="157"/>
        <v>0.49886208314615782</v>
      </c>
      <c r="K551">
        <f t="shared" si="163"/>
        <v>-2.8182201271322289</v>
      </c>
      <c r="O551">
        <f t="shared" si="164"/>
        <v>-0.45362934860675719</v>
      </c>
      <c r="P551">
        <f t="shared" si="165"/>
        <v>-0.15202775263809806</v>
      </c>
      <c r="Q551">
        <f t="shared" si="166"/>
        <v>0.87812754000225868</v>
      </c>
      <c r="R551">
        <f t="shared" si="156"/>
        <v>1</v>
      </c>
      <c r="AG551" s="8">
        <f t="shared" si="158"/>
        <v>-0.31379215212265005</v>
      </c>
      <c r="AH551" s="8">
        <f t="shared" si="159"/>
        <v>0.89859369647062204</v>
      </c>
      <c r="AI551" s="8">
        <f t="shared" si="160"/>
        <v>0.30669831093356065</v>
      </c>
      <c r="AJ551" s="8"/>
      <c r="AK551" s="8"/>
      <c r="AL551" s="8"/>
      <c r="AN551" s="8">
        <f t="shared" si="167"/>
        <v>0.99999999999999967</v>
      </c>
      <c r="AO551" s="8">
        <f t="shared" si="168"/>
        <v>1.9067614807168864</v>
      </c>
      <c r="AP551" s="8">
        <f t="shared" si="169"/>
        <v>1.2590741070172309</v>
      </c>
      <c r="AQ551" s="8"/>
      <c r="AR551" s="8">
        <f t="shared" si="170"/>
        <v>109.2493853831931</v>
      </c>
      <c r="AS551" s="8">
        <f t="shared" si="171"/>
        <v>17.860367573709723</v>
      </c>
    </row>
    <row r="552" spans="1:45">
      <c r="A552" s="19">
        <v>124.35756670000001</v>
      </c>
      <c r="B552" s="19">
        <v>186.49757959999999</v>
      </c>
      <c r="C552" s="19">
        <v>-799.16817490000005</v>
      </c>
      <c r="E552" s="9">
        <f t="shared" si="161"/>
        <v>-773.50242040000001</v>
      </c>
      <c r="F552" s="9">
        <f t="shared" si="162"/>
        <v>-259.16817490000005</v>
      </c>
      <c r="I552">
        <v>1</v>
      </c>
      <c r="J552">
        <f t="shared" si="157"/>
        <v>0.49902500179759923</v>
      </c>
      <c r="K552">
        <f t="shared" si="163"/>
        <v>-2.8182907020548926</v>
      </c>
      <c r="O552">
        <f t="shared" si="164"/>
        <v>-0.45377572226857782</v>
      </c>
      <c r="P552">
        <f t="shared" si="165"/>
        <v>-0.15204118649487902</v>
      </c>
      <c r="Q552">
        <f t="shared" si="166"/>
        <v>0.87804958373024689</v>
      </c>
      <c r="R552">
        <f t="shared" si="156"/>
        <v>1</v>
      </c>
      <c r="AG552" s="8">
        <f t="shared" si="158"/>
        <v>-0.31365979226245261</v>
      </c>
      <c r="AH552" s="8">
        <f t="shared" si="159"/>
        <v>0.89866442265398838</v>
      </c>
      <c r="AI552" s="8">
        <f t="shared" si="160"/>
        <v>0.30662646685152367</v>
      </c>
      <c r="AJ552" s="8"/>
      <c r="AK552" s="8"/>
      <c r="AL552" s="8"/>
      <c r="AN552" s="8">
        <f t="shared" si="167"/>
        <v>0.99999999999999967</v>
      </c>
      <c r="AO552" s="8">
        <f t="shared" si="168"/>
        <v>1.9066056997312109</v>
      </c>
      <c r="AP552" s="8">
        <f t="shared" si="169"/>
        <v>1.2591495878920727</v>
      </c>
      <c r="AQ552" s="8"/>
      <c r="AR552" s="8">
        <f t="shared" si="170"/>
        <v>109.2404597901855</v>
      </c>
      <c r="AS552" s="8">
        <f t="shared" si="171"/>
        <v>17.856042838147332</v>
      </c>
    </row>
    <row r="553" spans="1:45">
      <c r="A553" s="19">
        <v>124.3909333</v>
      </c>
      <c r="B553" s="19">
        <v>186.30038999999999</v>
      </c>
      <c r="C553" s="19">
        <v>-799.18883430000005</v>
      </c>
      <c r="E553" s="9">
        <f t="shared" si="161"/>
        <v>-773.69961000000001</v>
      </c>
      <c r="F553" s="9">
        <f t="shared" si="162"/>
        <v>-259.18883430000005</v>
      </c>
      <c r="I553">
        <v>1</v>
      </c>
      <c r="J553">
        <f t="shared" si="157"/>
        <v>0.49912598551640563</v>
      </c>
      <c r="K553">
        <f t="shared" si="163"/>
        <v>-2.8183434717111706</v>
      </c>
      <c r="O553">
        <f t="shared" si="164"/>
        <v>-0.4538678188951637</v>
      </c>
      <c r="P553">
        <f t="shared" si="165"/>
        <v>-0.15204540545874262</v>
      </c>
      <c r="Q553">
        <f t="shared" si="166"/>
        <v>0.87800125150835262</v>
      </c>
      <c r="R553">
        <f t="shared" si="156"/>
        <v>1</v>
      </c>
      <c r="AG553" s="8">
        <f t="shared" si="158"/>
        <v>-0.31357484979140654</v>
      </c>
      <c r="AH553" s="8">
        <f t="shared" si="159"/>
        <v>0.89870816203662929</v>
      </c>
      <c r="AI553" s="8">
        <f t="shared" si="160"/>
        <v>0.30658514815144011</v>
      </c>
      <c r="AJ553" s="8"/>
      <c r="AK553" s="8"/>
      <c r="AL553" s="8"/>
      <c r="AN553" s="8">
        <f t="shared" si="167"/>
        <v>1</v>
      </c>
      <c r="AO553" s="8">
        <f t="shared" si="168"/>
        <v>1.9065063015298778</v>
      </c>
      <c r="AP553" s="8">
        <f t="shared" si="169"/>
        <v>1.2591929973395239</v>
      </c>
      <c r="AQ553" s="8"/>
      <c r="AR553" s="8">
        <f t="shared" si="170"/>
        <v>109.23476469275792</v>
      </c>
      <c r="AS553" s="8">
        <f t="shared" si="171"/>
        <v>17.853555660017378</v>
      </c>
    </row>
    <row r="554" spans="1:45">
      <c r="A554" s="19">
        <v>124.4243</v>
      </c>
      <c r="B554" s="19">
        <v>186.22809380000001</v>
      </c>
      <c r="C554" s="19">
        <v>-799.18346940000004</v>
      </c>
      <c r="E554" s="9">
        <f t="shared" si="161"/>
        <v>-773.77190619999999</v>
      </c>
      <c r="F554" s="9">
        <f t="shared" si="162"/>
        <v>-259.18346940000004</v>
      </c>
      <c r="I554">
        <v>1</v>
      </c>
      <c r="J554">
        <f t="shared" si="157"/>
        <v>0.49916086284289107</v>
      </c>
      <c r="K554">
        <f t="shared" si="163"/>
        <v>-2.818377847889697</v>
      </c>
      <c r="O554">
        <f t="shared" si="164"/>
        <v>-0.45390208177952257</v>
      </c>
      <c r="P554">
        <f t="shared" si="165"/>
        <v>-0.15203952919568967</v>
      </c>
      <c r="Q554">
        <f t="shared" si="166"/>
        <v>0.8779845566512936</v>
      </c>
      <c r="R554">
        <f t="shared" si="156"/>
        <v>1</v>
      </c>
      <c r="AG554" s="8">
        <f t="shared" si="158"/>
        <v>-0.31354033839133166</v>
      </c>
      <c r="AH554" s="8">
        <f t="shared" si="159"/>
        <v>0.89872311115878845</v>
      </c>
      <c r="AI554" s="8">
        <f t="shared" si="160"/>
        <v>0.30657662283761483</v>
      </c>
      <c r="AJ554" s="8"/>
      <c r="AK554" s="8"/>
      <c r="AL554" s="8"/>
      <c r="AN554" s="8">
        <f t="shared" si="167"/>
        <v>0.99999999999999989</v>
      </c>
      <c r="AO554" s="8">
        <f t="shared" si="168"/>
        <v>1.9064668942185234</v>
      </c>
      <c r="AP554" s="8">
        <f t="shared" si="169"/>
        <v>1.2592019539630526</v>
      </c>
      <c r="AQ554" s="8"/>
      <c r="AR554" s="8">
        <f t="shared" si="170"/>
        <v>109.23250682013536</v>
      </c>
      <c r="AS554" s="8">
        <f t="shared" si="171"/>
        <v>17.853042483290508</v>
      </c>
    </row>
    <row r="555" spans="1:45">
      <c r="A555" s="19">
        <v>124.4576667</v>
      </c>
      <c r="B555" s="19">
        <v>186.0919087</v>
      </c>
      <c r="C555" s="19">
        <v>-799.17636830000004</v>
      </c>
      <c r="E555" s="9">
        <f t="shared" si="161"/>
        <v>-773.90809130000002</v>
      </c>
      <c r="F555" s="9">
        <f t="shared" si="162"/>
        <v>-259.17636830000004</v>
      </c>
      <c r="I555">
        <v>1</v>
      </c>
      <c r="J555">
        <f t="shared" si="157"/>
        <v>0.49922705728791322</v>
      </c>
      <c r="K555">
        <f t="shared" si="163"/>
        <v>-2.8184390962394903</v>
      </c>
      <c r="O555">
        <f t="shared" si="164"/>
        <v>-0.45396650155641938</v>
      </c>
      <c r="P555">
        <f t="shared" si="165"/>
        <v>-0.15203018359145193</v>
      </c>
      <c r="Q555">
        <f t="shared" si="166"/>
        <v>0.87795286817788509</v>
      </c>
      <c r="R555">
        <f t="shared" si="156"/>
        <v>1</v>
      </c>
      <c r="AG555" s="8">
        <f t="shared" si="158"/>
        <v>-0.31347611368327877</v>
      </c>
      <c r="AH555" s="8">
        <f t="shared" si="159"/>
        <v>0.89875151748558824</v>
      </c>
      <c r="AI555" s="8">
        <f t="shared" si="160"/>
        <v>0.30655902525840018</v>
      </c>
      <c r="AJ555" s="8"/>
      <c r="AK555" s="8"/>
      <c r="AL555" s="8"/>
      <c r="AN555" s="8">
        <f t="shared" si="167"/>
        <v>1</v>
      </c>
      <c r="AO555" s="8">
        <f t="shared" si="168"/>
        <v>1.9063933560620541</v>
      </c>
      <c r="AP555" s="8">
        <f t="shared" si="169"/>
        <v>1.2592204417511468</v>
      </c>
      <c r="AQ555" s="8"/>
      <c r="AR555" s="8">
        <f t="shared" si="170"/>
        <v>109.22829339413649</v>
      </c>
      <c r="AS555" s="8">
        <f t="shared" si="171"/>
        <v>17.851983211060173</v>
      </c>
    </row>
    <row r="556" spans="1:45">
      <c r="A556" s="19">
        <v>124.4910333</v>
      </c>
      <c r="B556" s="19">
        <v>185.8942764</v>
      </c>
      <c r="C556" s="19">
        <v>-799.23345240000003</v>
      </c>
      <c r="E556" s="9">
        <f t="shared" si="161"/>
        <v>-774.10572360000003</v>
      </c>
      <c r="F556" s="9">
        <f t="shared" si="162"/>
        <v>-259.23345240000003</v>
      </c>
      <c r="I556">
        <v>1</v>
      </c>
      <c r="J556">
        <f t="shared" si="157"/>
        <v>0.49933427486399307</v>
      </c>
      <c r="K556">
        <f t="shared" si="163"/>
        <v>-2.8184496681307785</v>
      </c>
      <c r="O556">
        <f t="shared" si="164"/>
        <v>-0.45405736606863417</v>
      </c>
      <c r="P556">
        <f t="shared" si="165"/>
        <v>-0.1520552748870318</v>
      </c>
      <c r="Q556">
        <f t="shared" si="166"/>
        <v>0.87790153303080842</v>
      </c>
      <c r="R556">
        <f t="shared" si="156"/>
        <v>1</v>
      </c>
      <c r="AG556" s="8">
        <f t="shared" si="158"/>
        <v>-0.31340046690461387</v>
      </c>
      <c r="AH556" s="8">
        <f t="shared" si="159"/>
        <v>0.89879837154573139</v>
      </c>
      <c r="AI556" s="8">
        <f t="shared" si="160"/>
        <v>0.30649899616591136</v>
      </c>
      <c r="AJ556" s="8"/>
      <c r="AK556" s="8"/>
      <c r="AL556" s="8"/>
      <c r="AN556" s="8">
        <f t="shared" si="167"/>
        <v>0.99999999999999989</v>
      </c>
      <c r="AO556" s="8">
        <f t="shared" si="168"/>
        <v>1.9063021070121715</v>
      </c>
      <c r="AP556" s="8">
        <f t="shared" si="169"/>
        <v>1.2592835067076376</v>
      </c>
      <c r="AQ556" s="8"/>
      <c r="AR556" s="8">
        <f t="shared" si="170"/>
        <v>109.22306520869364</v>
      </c>
      <c r="AS556" s="8">
        <f t="shared" si="171"/>
        <v>17.848369855218081</v>
      </c>
    </row>
    <row r="557" spans="1:45">
      <c r="A557" s="19">
        <v>124.5244</v>
      </c>
      <c r="B557" s="19">
        <v>185.118911</v>
      </c>
      <c r="C557" s="19">
        <v>-799.16720050000004</v>
      </c>
      <c r="E557" s="9">
        <f t="shared" si="161"/>
        <v>-774.88108899999997</v>
      </c>
      <c r="F557" s="9">
        <f t="shared" si="162"/>
        <v>-259.16720050000004</v>
      </c>
      <c r="I557">
        <v>1</v>
      </c>
      <c r="J557">
        <f t="shared" si="157"/>
        <v>0.4997067804462173</v>
      </c>
      <c r="K557">
        <f t="shared" si="163"/>
        <v>-2.8188278949260552</v>
      </c>
      <c r="O557">
        <f t="shared" si="164"/>
        <v>-0.45442494988134979</v>
      </c>
      <c r="P557">
        <f t="shared" si="165"/>
        <v>-0.15198724523021925</v>
      </c>
      <c r="Q557">
        <f t="shared" si="166"/>
        <v>0.87772310110459206</v>
      </c>
      <c r="R557">
        <f t="shared" si="156"/>
        <v>1</v>
      </c>
      <c r="AG557" s="8">
        <f t="shared" si="158"/>
        <v>-0.31302815696589714</v>
      </c>
      <c r="AH557" s="8">
        <f t="shared" si="159"/>
        <v>0.89895775703940339</v>
      </c>
      <c r="AI557" s="8">
        <f t="shared" si="160"/>
        <v>0.30641201674415214</v>
      </c>
      <c r="AJ557" s="8"/>
      <c r="AK557" s="8"/>
      <c r="AL557" s="8"/>
      <c r="AN557" s="8">
        <f t="shared" si="167"/>
        <v>1</v>
      </c>
      <c r="AO557" s="8">
        <f t="shared" si="168"/>
        <v>1.9058776622219993</v>
      </c>
      <c r="AP557" s="8">
        <f t="shared" si="169"/>
        <v>1.2593748826861124</v>
      </c>
      <c r="AQ557" s="8"/>
      <c r="AR557" s="8">
        <f t="shared" si="170"/>
        <v>109.19874631358046</v>
      </c>
      <c r="AS557" s="8">
        <f t="shared" si="171"/>
        <v>17.843134397302592</v>
      </c>
    </row>
    <row r="558" spans="1:45">
      <c r="A558" s="19">
        <v>124.5577667</v>
      </c>
      <c r="B558" s="19">
        <v>173.6780564</v>
      </c>
      <c r="C558" s="19">
        <v>-793.19734960000005</v>
      </c>
      <c r="E558" s="9">
        <f t="shared" si="161"/>
        <v>-786.32194359999994</v>
      </c>
      <c r="F558" s="9">
        <f t="shared" si="162"/>
        <v>-253.19734960000005</v>
      </c>
      <c r="I558">
        <v>1</v>
      </c>
      <c r="J558">
        <f t="shared" si="157"/>
        <v>0.50439247174491764</v>
      </c>
      <c r="K558">
        <f t="shared" si="163"/>
        <v>-2.8300746000125585</v>
      </c>
      <c r="O558">
        <f t="shared" si="164"/>
        <v>-0.46001529954606313</v>
      </c>
      <c r="P558">
        <f t="shared" si="165"/>
        <v>-0.14812591149022242</v>
      </c>
      <c r="Q558">
        <f t="shared" si="166"/>
        <v>0.8754682395888137</v>
      </c>
      <c r="R558">
        <f t="shared" si="156"/>
        <v>1</v>
      </c>
      <c r="AG558" s="8">
        <f t="shared" si="158"/>
        <v>-0.30624350765711456</v>
      </c>
      <c r="AH558" s="8">
        <f t="shared" si="159"/>
        <v>0.90086226654217016</v>
      </c>
      <c r="AI558" s="8">
        <f t="shared" si="160"/>
        <v>0.30767205062918973</v>
      </c>
      <c r="AJ558" s="8"/>
      <c r="AK558" s="8"/>
      <c r="AL558" s="8"/>
      <c r="AN558" s="8">
        <f t="shared" si="167"/>
        <v>1</v>
      </c>
      <c r="AO558" s="8">
        <f t="shared" si="168"/>
        <v>1.8984854169530545</v>
      </c>
      <c r="AP558" s="8">
        <f t="shared" si="169"/>
        <v>1.2580508947044129</v>
      </c>
      <c r="AQ558" s="8"/>
      <c r="AR558" s="8">
        <f t="shared" si="170"/>
        <v>108.77520185854438</v>
      </c>
      <c r="AS558" s="8">
        <f t="shared" si="171"/>
        <v>17.918993320780018</v>
      </c>
    </row>
    <row r="559" spans="1:45">
      <c r="A559" s="19">
        <v>124.5911333</v>
      </c>
      <c r="B559" s="19">
        <v>173.80244709999999</v>
      </c>
      <c r="C559" s="19">
        <v>-793.05004529999997</v>
      </c>
      <c r="E559" s="9">
        <f t="shared" si="161"/>
        <v>-786.19755290000001</v>
      </c>
      <c r="F559" s="9">
        <f t="shared" si="162"/>
        <v>-253.05004529999997</v>
      </c>
      <c r="I559">
        <v>1</v>
      </c>
      <c r="J559">
        <f t="shared" si="157"/>
        <v>0.50430761557940496</v>
      </c>
      <c r="K559">
        <f t="shared" si="163"/>
        <v>-2.8301982057218269</v>
      </c>
      <c r="O559">
        <f t="shared" si="164"/>
        <v>-0.45996288746222025</v>
      </c>
      <c r="P559">
        <f t="shared" si="165"/>
        <v>-0.14804628821254845</v>
      </c>
      <c r="Q559">
        <f t="shared" si="166"/>
        <v>0.87550924535604069</v>
      </c>
      <c r="R559">
        <f t="shared" si="156"/>
        <v>1</v>
      </c>
      <c r="AG559" s="8">
        <f t="shared" si="158"/>
        <v>-0.3062617627920397</v>
      </c>
      <c r="AH559" s="8">
        <f t="shared" si="159"/>
        <v>0.90082374266018261</v>
      </c>
      <c r="AI559" s="8">
        <f t="shared" si="160"/>
        <v>0.3077666604933248</v>
      </c>
      <c r="AJ559" s="8"/>
      <c r="AK559" s="8"/>
      <c r="AL559" s="8"/>
      <c r="AN559" s="8">
        <f t="shared" si="167"/>
        <v>0.99999999999999989</v>
      </c>
      <c r="AO559" s="8">
        <f t="shared" si="168"/>
        <v>1.8985166140993961</v>
      </c>
      <c r="AP559" s="8">
        <f t="shared" si="169"/>
        <v>1.2579514599859292</v>
      </c>
      <c r="AQ559" s="8"/>
      <c r="AR559" s="8">
        <f t="shared" si="170"/>
        <v>108.7769893233626</v>
      </c>
      <c r="AS559" s="8">
        <f t="shared" si="171"/>
        <v>17.924690510486201</v>
      </c>
    </row>
    <row r="560" spans="1:45">
      <c r="A560" s="19">
        <v>124.6245</v>
      </c>
      <c r="B560" s="19">
        <v>173.8400049</v>
      </c>
      <c r="C560" s="19">
        <v>-793.10117979999995</v>
      </c>
      <c r="E560" s="9">
        <f t="shared" si="161"/>
        <v>-786.15999510000006</v>
      </c>
      <c r="F560" s="9">
        <f t="shared" si="162"/>
        <v>-253.10117979999995</v>
      </c>
      <c r="I560">
        <v>1</v>
      </c>
      <c r="J560">
        <f t="shared" si="157"/>
        <v>0.50429719528095307</v>
      </c>
      <c r="K560">
        <f t="shared" si="163"/>
        <v>-2.8301253365694841</v>
      </c>
      <c r="O560">
        <f t="shared" si="164"/>
        <v>-0.45994341409797762</v>
      </c>
      <c r="P560">
        <f t="shared" si="165"/>
        <v>-0.14807700910122043</v>
      </c>
      <c r="Q560">
        <f t="shared" si="166"/>
        <v>0.87551428041096702</v>
      </c>
      <c r="R560">
        <f t="shared" si="156"/>
        <v>1</v>
      </c>
      <c r="AG560" s="8">
        <f t="shared" si="158"/>
        <v>-0.30629224422628398</v>
      </c>
      <c r="AH560" s="8">
        <f t="shared" si="159"/>
        <v>0.90082027289900446</v>
      </c>
      <c r="AI560" s="8">
        <f t="shared" si="160"/>
        <v>0.30774648180115671</v>
      </c>
      <c r="AJ560" s="8"/>
      <c r="AK560" s="8"/>
      <c r="AL560" s="8"/>
      <c r="AN560" s="8">
        <f t="shared" si="167"/>
        <v>1.0000000000000002</v>
      </c>
      <c r="AO560" s="8">
        <f t="shared" si="168"/>
        <v>1.8985481191245868</v>
      </c>
      <c r="AP560" s="8">
        <f t="shared" si="169"/>
        <v>1.2579726680066334</v>
      </c>
      <c r="AQ560" s="8"/>
      <c r="AR560" s="8">
        <f t="shared" si="170"/>
        <v>108.77879442833948</v>
      </c>
      <c r="AS560" s="8">
        <f t="shared" si="171"/>
        <v>17.923475380408021</v>
      </c>
    </row>
    <row r="561" spans="1:45">
      <c r="A561" s="19">
        <v>124.6578667</v>
      </c>
      <c r="B561" s="19">
        <v>173.4426177</v>
      </c>
      <c r="C561" s="19">
        <v>-793.1348084</v>
      </c>
      <c r="E561" s="9">
        <f t="shared" si="161"/>
        <v>-786.55738229999997</v>
      </c>
      <c r="F561" s="9">
        <f t="shared" si="162"/>
        <v>-253.1348084</v>
      </c>
      <c r="I561">
        <v>1</v>
      </c>
      <c r="J561">
        <f t="shared" si="157"/>
        <v>0.5044987981565946</v>
      </c>
      <c r="K561">
        <f t="shared" si="163"/>
        <v>-2.8302339804651719</v>
      </c>
      <c r="O561">
        <f t="shared" si="164"/>
        <v>-0.46012750916201994</v>
      </c>
      <c r="P561">
        <f t="shared" si="165"/>
        <v>-0.14808110824757725</v>
      </c>
      <c r="Q561">
        <f t="shared" si="166"/>
        <v>0.87541684967364242</v>
      </c>
      <c r="R561">
        <f t="shared" si="156"/>
        <v>1</v>
      </c>
      <c r="AG561" s="8">
        <f t="shared" si="158"/>
        <v>-0.30611981926381276</v>
      </c>
      <c r="AH561" s="8">
        <f t="shared" si="159"/>
        <v>0.9009060270883037</v>
      </c>
      <c r="AI561" s="8">
        <f t="shared" si="160"/>
        <v>0.30766700604689368</v>
      </c>
      <c r="AJ561" s="8"/>
      <c r="AK561" s="8"/>
      <c r="AL561" s="8"/>
      <c r="AN561" s="8">
        <f t="shared" si="167"/>
        <v>1.0000000000000002</v>
      </c>
      <c r="AO561" s="8">
        <f t="shared" si="168"/>
        <v>1.8983475376324153</v>
      </c>
      <c r="AP561" s="8">
        <f t="shared" si="169"/>
        <v>1.258056196457356</v>
      </c>
      <c r="AQ561" s="8"/>
      <c r="AR561" s="8">
        <f t="shared" si="170"/>
        <v>108.76730195538961</v>
      </c>
      <c r="AS561" s="8">
        <f t="shared" si="171"/>
        <v>17.918689552712351</v>
      </c>
    </row>
    <row r="562" spans="1:45">
      <c r="A562" s="19">
        <v>124.69123329999999</v>
      </c>
      <c r="B562" s="19">
        <v>173.32922189999999</v>
      </c>
      <c r="C562" s="19">
        <v>-793.15295219999996</v>
      </c>
      <c r="E562" s="9">
        <f t="shared" si="161"/>
        <v>-786.67077810000001</v>
      </c>
      <c r="F562" s="9">
        <f t="shared" si="162"/>
        <v>-253.15295219999996</v>
      </c>
      <c r="I562">
        <v>1</v>
      </c>
      <c r="J562">
        <f t="shared" si="157"/>
        <v>0.50455767741393431</v>
      </c>
      <c r="K562">
        <f t="shared" si="163"/>
        <v>-2.8302551174952453</v>
      </c>
      <c r="O562">
        <f t="shared" si="164"/>
        <v>-0.46017970416181264</v>
      </c>
      <c r="P562">
        <f t="shared" si="165"/>
        <v>-0.14808717178036179</v>
      </c>
      <c r="Q562">
        <f t="shared" si="166"/>
        <v>0.87538838776376293</v>
      </c>
      <c r="R562">
        <f t="shared" si="156"/>
        <v>1</v>
      </c>
      <c r="AG562" s="8">
        <f t="shared" si="158"/>
        <v>-0.3060728537149458</v>
      </c>
      <c r="AH562" s="8">
        <f t="shared" si="159"/>
        <v>0.90093121633899509</v>
      </c>
      <c r="AI562" s="8">
        <f t="shared" si="160"/>
        <v>0.30763997081772121</v>
      </c>
      <c r="AJ562" s="8"/>
      <c r="AK562" s="8"/>
      <c r="AL562" s="8"/>
      <c r="AN562" s="8">
        <f t="shared" si="167"/>
        <v>1.0000000000000002</v>
      </c>
      <c r="AO562" s="8">
        <f t="shared" si="168"/>
        <v>1.8982922855068207</v>
      </c>
      <c r="AP562" s="8">
        <f t="shared" si="169"/>
        <v>1.2580846097760694</v>
      </c>
      <c r="AQ562" s="8"/>
      <c r="AR562" s="8">
        <f t="shared" si="170"/>
        <v>108.76413624178392</v>
      </c>
      <c r="AS562" s="8">
        <f t="shared" si="171"/>
        <v>17.917061589468119</v>
      </c>
    </row>
    <row r="563" spans="1:45">
      <c r="A563" s="19">
        <v>124.7246</v>
      </c>
      <c r="B563" s="19">
        <v>173.2311637</v>
      </c>
      <c r="C563" s="19">
        <v>-793.16416140000001</v>
      </c>
      <c r="E563" s="9">
        <f t="shared" si="161"/>
        <v>-786.76883629999998</v>
      </c>
      <c r="F563" s="9">
        <f t="shared" si="162"/>
        <v>-253.16416140000001</v>
      </c>
      <c r="I563">
        <v>1</v>
      </c>
      <c r="J563">
        <f t="shared" si="157"/>
        <v>0.50460787808743068</v>
      </c>
      <c r="K563">
        <f t="shared" si="163"/>
        <v>-2.8302785514149322</v>
      </c>
      <c r="O563">
        <f t="shared" si="164"/>
        <v>-0.46022500644695358</v>
      </c>
      <c r="P563">
        <f t="shared" si="165"/>
        <v>-0.14808984855117699</v>
      </c>
      <c r="Q563">
        <f t="shared" si="166"/>
        <v>0.87536411863691954</v>
      </c>
      <c r="R563">
        <f t="shared" si="156"/>
        <v>1</v>
      </c>
      <c r="AG563" s="8">
        <f t="shared" si="158"/>
        <v>-0.30603107208536412</v>
      </c>
      <c r="AH563" s="8">
        <f t="shared" si="159"/>
        <v>0.90095261229726076</v>
      </c>
      <c r="AI563" s="8">
        <f t="shared" si="160"/>
        <v>0.30761887671764282</v>
      </c>
      <c r="AJ563" s="8"/>
      <c r="AK563" s="8"/>
      <c r="AL563" s="8"/>
      <c r="AN563" s="8">
        <f t="shared" si="167"/>
        <v>0.99999999999999989</v>
      </c>
      <c r="AO563" s="8">
        <f t="shared" si="168"/>
        <v>1.8982434752054722</v>
      </c>
      <c r="AP563" s="8">
        <f t="shared" si="169"/>
        <v>1.2581067789422211</v>
      </c>
      <c r="AQ563" s="8"/>
      <c r="AR563" s="8">
        <f t="shared" si="170"/>
        <v>108.76133961751988</v>
      </c>
      <c r="AS563" s="8">
        <f t="shared" si="171"/>
        <v>17.915791389812298</v>
      </c>
    </row>
    <row r="564" spans="1:45">
      <c r="A564" s="19">
        <v>124.7579667</v>
      </c>
      <c r="B564" s="19">
        <v>172.02814810000001</v>
      </c>
      <c r="C564" s="19">
        <v>-793.18244279999999</v>
      </c>
      <c r="E564" s="9">
        <f t="shared" si="161"/>
        <v>-787.97185190000005</v>
      </c>
      <c r="F564" s="9">
        <f t="shared" si="162"/>
        <v>-253.18244279999999</v>
      </c>
      <c r="I564">
        <v>1</v>
      </c>
      <c r="J564">
        <f t="shared" si="157"/>
        <v>0.50520464624010186</v>
      </c>
      <c r="K564">
        <f t="shared" si="163"/>
        <v>-2.8307027570336833</v>
      </c>
      <c r="O564">
        <f t="shared" si="164"/>
        <v>-0.46078505056937041</v>
      </c>
      <c r="P564">
        <f t="shared" si="165"/>
        <v>-0.1480543809116677</v>
      </c>
      <c r="Q564">
        <f t="shared" si="166"/>
        <v>0.8750754467271068</v>
      </c>
      <c r="R564">
        <f t="shared" si="156"/>
        <v>1</v>
      </c>
      <c r="AG564" s="8">
        <f t="shared" si="158"/>
        <v>-0.30548746280821526</v>
      </c>
      <c r="AH564" s="8">
        <f t="shared" si="159"/>
        <v>0.90120464794070609</v>
      </c>
      <c r="AI564" s="8">
        <f t="shared" si="160"/>
        <v>0.30742087209079871</v>
      </c>
      <c r="AJ564" s="8"/>
      <c r="AK564" s="8"/>
      <c r="AL564" s="8"/>
      <c r="AN564" s="8">
        <f t="shared" si="167"/>
        <v>0.99999999999999989</v>
      </c>
      <c r="AO564" s="8">
        <f t="shared" si="168"/>
        <v>1.8976173682452748</v>
      </c>
      <c r="AP564" s="8">
        <f t="shared" si="169"/>
        <v>1.2583148671805611</v>
      </c>
      <c r="AQ564" s="8"/>
      <c r="AR564" s="8">
        <f t="shared" si="170"/>
        <v>108.72546633117682</v>
      </c>
      <c r="AS564" s="8">
        <f t="shared" si="171"/>
        <v>17.903868811989099</v>
      </c>
    </row>
    <row r="565" spans="1:45">
      <c r="A565" s="19">
        <v>124.79133330000001</v>
      </c>
      <c r="B565" s="19">
        <v>172.27578690000001</v>
      </c>
      <c r="C565" s="19">
        <v>-793.1815388</v>
      </c>
      <c r="E565" s="9">
        <f t="shared" si="161"/>
        <v>-787.72421310000004</v>
      </c>
      <c r="F565" s="9">
        <f t="shared" si="162"/>
        <v>-253.1815388</v>
      </c>
      <c r="I565">
        <v>1</v>
      </c>
      <c r="J565">
        <f t="shared" si="157"/>
        <v>0.50508228105751152</v>
      </c>
      <c r="K565">
        <f t="shared" si="163"/>
        <v>-2.8306122416127986</v>
      </c>
      <c r="O565">
        <f t="shared" si="164"/>
        <v>-0.46066970139799818</v>
      </c>
      <c r="P565">
        <f t="shared" si="165"/>
        <v>-0.1480633220851312</v>
      </c>
      <c r="Q565">
        <f t="shared" si="166"/>
        <v>0.87513466327588341</v>
      </c>
      <c r="R565">
        <f t="shared" si="156"/>
        <v>1</v>
      </c>
      <c r="AG565" s="8">
        <f t="shared" si="158"/>
        <v>-0.30560009216067829</v>
      </c>
      <c r="AH565" s="8">
        <f t="shared" si="159"/>
        <v>0.90115305327536843</v>
      </c>
      <c r="AI565" s="8">
        <f t="shared" si="160"/>
        <v>0.30746017342717058</v>
      </c>
      <c r="AJ565" s="8"/>
      <c r="AK565" s="8"/>
      <c r="AL565" s="8"/>
      <c r="AN565" s="8">
        <f t="shared" si="167"/>
        <v>0.99999999999999989</v>
      </c>
      <c r="AO565" s="8">
        <f t="shared" si="168"/>
        <v>1.8977468725718714</v>
      </c>
      <c r="AP565" s="8">
        <f t="shared" si="169"/>
        <v>1.2582735654918551</v>
      </c>
      <c r="AQ565" s="8"/>
      <c r="AR565" s="8">
        <f t="shared" si="170"/>
        <v>108.73288638251948</v>
      </c>
      <c r="AS565" s="8">
        <f t="shared" si="171"/>
        <v>17.906235224438717</v>
      </c>
    </row>
    <row r="566" spans="1:45">
      <c r="A566" s="19">
        <v>124.82470000000001</v>
      </c>
      <c r="B566" s="19">
        <v>172.5314913</v>
      </c>
      <c r="C566" s="19">
        <v>-793.1899118</v>
      </c>
      <c r="E566" s="9">
        <f t="shared" si="161"/>
        <v>-787.46850870000003</v>
      </c>
      <c r="F566" s="9">
        <f t="shared" si="162"/>
        <v>-253.1899118</v>
      </c>
      <c r="I566">
        <v>1</v>
      </c>
      <c r="J566">
        <f t="shared" si="157"/>
        <v>0.50495739424676933</v>
      </c>
      <c r="K566">
        <f t="shared" si="163"/>
        <v>-2.8305080129465909</v>
      </c>
      <c r="O566">
        <f t="shared" si="164"/>
        <v>-0.46055021590446049</v>
      </c>
      <c r="P566">
        <f t="shared" si="165"/>
        <v>-0.14807788153563456</v>
      </c>
      <c r="Q566">
        <f t="shared" si="166"/>
        <v>0.87519508661227841</v>
      </c>
      <c r="R566">
        <f t="shared" si="156"/>
        <v>1</v>
      </c>
      <c r="AG566" s="8">
        <f t="shared" si="158"/>
        <v>-0.30571882991202259</v>
      </c>
      <c r="AH566" s="8">
        <f t="shared" si="159"/>
        <v>0.90110054913541848</v>
      </c>
      <c r="AI566" s="8">
        <f t="shared" si="160"/>
        <v>0.30749601198238474</v>
      </c>
      <c r="AJ566" s="8"/>
      <c r="AK566" s="8"/>
      <c r="AL566" s="8"/>
      <c r="AN566" s="8">
        <f t="shared" si="167"/>
        <v>0.99999999999999989</v>
      </c>
      <c r="AO566" s="8">
        <f t="shared" si="168"/>
        <v>1.8978827665208546</v>
      </c>
      <c r="AP566" s="8">
        <f t="shared" si="169"/>
        <v>1.2582359023518461</v>
      </c>
      <c r="AQ566" s="8"/>
      <c r="AR566" s="8">
        <f t="shared" si="170"/>
        <v>108.74067253225759</v>
      </c>
      <c r="AS566" s="8">
        <f t="shared" si="171"/>
        <v>17.90839316340444</v>
      </c>
    </row>
    <row r="567" spans="1:45">
      <c r="A567" s="19">
        <v>124.8914333</v>
      </c>
      <c r="B567" s="19">
        <v>171.61241050000001</v>
      </c>
      <c r="C567" s="19">
        <v>-793.19395469999995</v>
      </c>
      <c r="E567" s="9">
        <f t="shared" si="161"/>
        <v>-788.38758949999999</v>
      </c>
      <c r="F567" s="9">
        <f t="shared" si="162"/>
        <v>-253.19395469999995</v>
      </c>
      <c r="I567">
        <v>1</v>
      </c>
      <c r="J567">
        <f t="shared" si="157"/>
        <v>0.50541162912093296</v>
      </c>
      <c r="K567">
        <f t="shared" si="163"/>
        <v>-2.8308431072267499</v>
      </c>
      <c r="O567">
        <f t="shared" si="164"/>
        <v>-0.46097826618035609</v>
      </c>
      <c r="P567">
        <f t="shared" si="165"/>
        <v>-0.14804508822744941</v>
      </c>
      <c r="Q567">
        <f t="shared" si="166"/>
        <v>0.87497525105632534</v>
      </c>
      <c r="R567">
        <f t="shared" si="156"/>
        <v>1</v>
      </c>
      <c r="AG567" s="8">
        <f t="shared" si="158"/>
        <v>-0.30530101083649325</v>
      </c>
      <c r="AH567" s="8">
        <f t="shared" si="159"/>
        <v>0.90129206845940346</v>
      </c>
      <c r="AI567" s="8">
        <f t="shared" si="160"/>
        <v>0.30734980090181491</v>
      </c>
      <c r="AJ567" s="8"/>
      <c r="AK567" s="8"/>
      <c r="AL567" s="8"/>
      <c r="AN567" s="8">
        <f t="shared" si="167"/>
        <v>0.99999999999999978</v>
      </c>
      <c r="AO567" s="8">
        <f t="shared" si="168"/>
        <v>1.8974023111583636</v>
      </c>
      <c r="AP567" s="8">
        <f t="shared" si="169"/>
        <v>1.2583895543388093</v>
      </c>
      <c r="AQ567" s="8"/>
      <c r="AR567" s="8">
        <f t="shared" si="170"/>
        <v>108.71314446774242</v>
      </c>
      <c r="AS567" s="8">
        <f t="shared" si="171"/>
        <v>17.899589553037657</v>
      </c>
    </row>
    <row r="568" spans="1:45">
      <c r="A568" s="19">
        <v>124.9248</v>
      </c>
      <c r="B568" s="19">
        <v>171.15386950000001</v>
      </c>
      <c r="C568" s="19">
        <v>-793.25137059999997</v>
      </c>
      <c r="E568" s="9">
        <f t="shared" si="161"/>
        <v>-788.84613049999996</v>
      </c>
      <c r="F568" s="9">
        <f t="shared" si="162"/>
        <v>-253.25137059999997</v>
      </c>
      <c r="I568">
        <v>1</v>
      </c>
      <c r="J568">
        <f t="shared" si="157"/>
        <v>0.50564696073204907</v>
      </c>
      <c r="K568">
        <f t="shared" si="163"/>
        <v>-2.8309463577809373</v>
      </c>
      <c r="O568">
        <f t="shared" si="164"/>
        <v>-0.46118959042853708</v>
      </c>
      <c r="P568">
        <f t="shared" si="165"/>
        <v>-0.14806042822121665</v>
      </c>
      <c r="Q568">
        <f t="shared" si="166"/>
        <v>0.87486128687655862</v>
      </c>
      <c r="R568">
        <f t="shared" si="156"/>
        <v>1</v>
      </c>
      <c r="AG568" s="8">
        <f t="shared" si="158"/>
        <v>-0.30510706843848756</v>
      </c>
      <c r="AH568" s="8">
        <f t="shared" si="159"/>
        <v>0.9013922310267084</v>
      </c>
      <c r="AI568" s="8">
        <f t="shared" si="160"/>
        <v>0.30724863324930374</v>
      </c>
      <c r="AJ568" s="8"/>
      <c r="AK568" s="8"/>
      <c r="AL568" s="8"/>
      <c r="AN568" s="8">
        <f t="shared" si="167"/>
        <v>1</v>
      </c>
      <c r="AO568" s="8">
        <f t="shared" si="168"/>
        <v>1.8971755157503938</v>
      </c>
      <c r="AP568" s="8">
        <f t="shared" si="169"/>
        <v>1.2584958661049903</v>
      </c>
      <c r="AQ568" s="8"/>
      <c r="AR568" s="8">
        <f t="shared" si="170"/>
        <v>108.70015004805281</v>
      </c>
      <c r="AS568" s="8">
        <f t="shared" si="171"/>
        <v>17.8934983375229</v>
      </c>
    </row>
    <row r="569" spans="1:45">
      <c r="A569" s="19">
        <v>124.95816670000001</v>
      </c>
      <c r="B569" s="19">
        <v>170.6538166</v>
      </c>
      <c r="C569" s="19">
        <v>-793.26475879999998</v>
      </c>
      <c r="E569" s="9">
        <f t="shared" si="161"/>
        <v>-789.34618339999997</v>
      </c>
      <c r="F569" s="9">
        <f t="shared" si="162"/>
        <v>-253.26475879999998</v>
      </c>
      <c r="I569">
        <v>1</v>
      </c>
      <c r="J569">
        <f t="shared" si="157"/>
        <v>0.50589574353987188</v>
      </c>
      <c r="K569">
        <f t="shared" si="163"/>
        <v>-2.8311153673435352</v>
      </c>
      <c r="O569">
        <f t="shared" si="164"/>
        <v>-0.46142183730876501</v>
      </c>
      <c r="P569">
        <f t="shared" si="165"/>
        <v>-0.14804897114684309</v>
      </c>
      <c r="Q569">
        <f t="shared" si="166"/>
        <v>0.8747407559940058</v>
      </c>
      <c r="R569">
        <f t="shared" si="156"/>
        <v>1</v>
      </c>
      <c r="AG569" s="8">
        <f t="shared" si="158"/>
        <v>-0.30488275293458988</v>
      </c>
      <c r="AH569" s="8">
        <f t="shared" si="159"/>
        <v>0.90149717656030848</v>
      </c>
      <c r="AI569" s="8">
        <f t="shared" si="160"/>
        <v>0.3071633891218446</v>
      </c>
      <c r="AJ569" s="8"/>
      <c r="AK569" s="8"/>
      <c r="AL569" s="8"/>
      <c r="AN569" s="8">
        <f t="shared" si="167"/>
        <v>0.99999999999999989</v>
      </c>
      <c r="AO569" s="8">
        <f t="shared" si="168"/>
        <v>1.8969168921283432</v>
      </c>
      <c r="AP569" s="8">
        <f t="shared" si="169"/>
        <v>1.2585854418432998</v>
      </c>
      <c r="AQ569" s="8"/>
      <c r="AR569" s="8">
        <f t="shared" si="170"/>
        <v>108.68533200602693</v>
      </c>
      <c r="AS569" s="8">
        <f t="shared" si="171"/>
        <v>17.888366025771006</v>
      </c>
    </row>
    <row r="570" spans="1:45">
      <c r="A570" s="19">
        <v>124.9915333</v>
      </c>
      <c r="B570" s="19">
        <v>170.48777870000001</v>
      </c>
      <c r="C570" s="19">
        <v>-793.2742025</v>
      </c>
      <c r="E570" s="9">
        <f t="shared" si="161"/>
        <v>-789.51222129999996</v>
      </c>
      <c r="F570" s="9">
        <f t="shared" si="162"/>
        <v>-253.2742025</v>
      </c>
      <c r="I570">
        <v>1</v>
      </c>
      <c r="J570">
        <f t="shared" si="157"/>
        <v>0.5059791282987347</v>
      </c>
      <c r="K570">
        <f t="shared" si="163"/>
        <v>-2.8311657019732537</v>
      </c>
      <c r="O570">
        <f t="shared" si="164"/>
        <v>-0.46149874085906312</v>
      </c>
      <c r="P570">
        <f t="shared" si="165"/>
        <v>-0.14804802559404473</v>
      </c>
      <c r="Q570">
        <f t="shared" si="166"/>
        <v>0.87470034543448327</v>
      </c>
      <c r="R570">
        <f t="shared" si="156"/>
        <v>1</v>
      </c>
      <c r="AG570" s="8">
        <f t="shared" si="158"/>
        <v>-0.30480958448532802</v>
      </c>
      <c r="AH570" s="8">
        <f t="shared" si="159"/>
        <v>0.90153242897013053</v>
      </c>
      <c r="AI570" s="8">
        <f t="shared" si="160"/>
        <v>0.30713253933944928</v>
      </c>
      <c r="AJ570" s="8"/>
      <c r="AK570" s="8"/>
      <c r="AL570" s="8"/>
      <c r="AN570" s="8">
        <f t="shared" si="167"/>
        <v>1.0000000000000002</v>
      </c>
      <c r="AO570" s="8">
        <f t="shared" si="168"/>
        <v>1.8968321925816638</v>
      </c>
      <c r="AP570" s="8">
        <f t="shared" si="169"/>
        <v>1.2586178585939862</v>
      </c>
      <c r="AQ570" s="8"/>
      <c r="AR570" s="8">
        <f t="shared" si="170"/>
        <v>108.68047907947552</v>
      </c>
      <c r="AS570" s="8">
        <f t="shared" si="171"/>
        <v>17.886508682771137</v>
      </c>
    </row>
    <row r="571" spans="1:45">
      <c r="A571" s="19">
        <v>125.0249</v>
      </c>
      <c r="B571" s="19">
        <v>170.43714650000001</v>
      </c>
      <c r="C571" s="19">
        <v>-793.19014070000003</v>
      </c>
      <c r="E571" s="9">
        <f t="shared" si="161"/>
        <v>-789.56285349999996</v>
      </c>
      <c r="F571" s="9">
        <f t="shared" si="162"/>
        <v>-253.19014070000003</v>
      </c>
      <c r="I571">
        <v>1</v>
      </c>
      <c r="J571">
        <f t="shared" si="157"/>
        <v>0.5059908024581371</v>
      </c>
      <c r="K571">
        <f t="shared" si="163"/>
        <v>-2.8312808904863966</v>
      </c>
      <c r="O571">
        <f t="shared" si="164"/>
        <v>-0.46152551487690113</v>
      </c>
      <c r="P571">
        <f t="shared" si="165"/>
        <v>-0.14799798335285114</v>
      </c>
      <c r="Q571">
        <f t="shared" si="166"/>
        <v>0.87469468732872757</v>
      </c>
      <c r="R571">
        <f t="shared" si="156"/>
        <v>1</v>
      </c>
      <c r="AG571" s="8">
        <f t="shared" si="158"/>
        <v>-0.30476457544163121</v>
      </c>
      <c r="AH571" s="8">
        <f t="shared" si="159"/>
        <v>0.90153576420446524</v>
      </c>
      <c r="AI571" s="8">
        <f t="shared" si="160"/>
        <v>0.30716741268590519</v>
      </c>
      <c r="AJ571" s="8"/>
      <c r="AK571" s="8"/>
      <c r="AL571" s="8"/>
      <c r="AN571" s="8">
        <f t="shared" si="167"/>
        <v>1</v>
      </c>
      <c r="AO571" s="8">
        <f t="shared" si="168"/>
        <v>1.8967862661028654</v>
      </c>
      <c r="AP571" s="8">
        <f t="shared" si="169"/>
        <v>1.2585812138833523</v>
      </c>
      <c r="AQ571" s="8"/>
      <c r="AR571" s="8">
        <f t="shared" si="170"/>
        <v>108.67784768607247</v>
      </c>
      <c r="AS571" s="8">
        <f t="shared" si="171"/>
        <v>17.888608270031938</v>
      </c>
    </row>
    <row r="572" spans="1:45">
      <c r="A572" s="19">
        <v>125.0582667</v>
      </c>
      <c r="B572" s="19">
        <v>170.26805719999999</v>
      </c>
      <c r="C572" s="19">
        <v>-793.10439180000003</v>
      </c>
      <c r="E572" s="9">
        <f t="shared" si="161"/>
        <v>-789.73194280000007</v>
      </c>
      <c r="F572" s="9">
        <f t="shared" si="162"/>
        <v>-253.10439180000003</v>
      </c>
      <c r="I572">
        <v>1</v>
      </c>
      <c r="J572">
        <f t="shared" si="157"/>
        <v>0.50606063820506542</v>
      </c>
      <c r="K572">
        <f t="shared" si="163"/>
        <v>-2.8314416112875747</v>
      </c>
      <c r="O572">
        <f t="shared" si="164"/>
        <v>-0.46160746458457802</v>
      </c>
      <c r="P572">
        <f t="shared" si="165"/>
        <v>-0.14794244761049039</v>
      </c>
      <c r="Q572">
        <f t="shared" si="166"/>
        <v>0.87466083760210445</v>
      </c>
      <c r="R572">
        <f t="shared" si="156"/>
        <v>1</v>
      </c>
      <c r="AG572" s="8">
        <f t="shared" si="158"/>
        <v>-0.30466517054386544</v>
      </c>
      <c r="AH572" s="8">
        <f t="shared" si="159"/>
        <v>0.9015635185668982</v>
      </c>
      <c r="AI572" s="8">
        <f t="shared" si="160"/>
        <v>0.30718456316480436</v>
      </c>
      <c r="AJ572" s="8"/>
      <c r="AK572" s="8"/>
      <c r="AL572" s="8"/>
      <c r="AN572" s="8">
        <f t="shared" si="167"/>
        <v>1</v>
      </c>
      <c r="AO572" s="8">
        <f t="shared" si="168"/>
        <v>1.8966779721872278</v>
      </c>
      <c r="AP572" s="8">
        <f t="shared" si="169"/>
        <v>1.2585631921003886</v>
      </c>
      <c r="AQ572" s="8"/>
      <c r="AR572" s="8">
        <f t="shared" si="170"/>
        <v>108.67164290175948</v>
      </c>
      <c r="AS572" s="8">
        <f t="shared" si="171"/>
        <v>17.889640842135066</v>
      </c>
    </row>
    <row r="573" spans="1:45">
      <c r="A573" s="19">
        <v>125.0916333</v>
      </c>
      <c r="B573" s="19">
        <v>170.03335580000001</v>
      </c>
      <c r="C573" s="19">
        <v>-793.1959415</v>
      </c>
      <c r="E573" s="9">
        <f t="shared" si="161"/>
        <v>-789.96664420000002</v>
      </c>
      <c r="F573" s="9">
        <f t="shared" si="162"/>
        <v>-253.1959415</v>
      </c>
      <c r="I573">
        <v>1</v>
      </c>
      <c r="J573">
        <f t="shared" si="157"/>
        <v>0.50619085109498596</v>
      </c>
      <c r="K573">
        <f t="shared" si="163"/>
        <v>-2.8314228659928604</v>
      </c>
      <c r="O573">
        <f t="shared" si="164"/>
        <v>-0.4617131447492257</v>
      </c>
      <c r="P573">
        <f t="shared" si="165"/>
        <v>-0.14798586148671466</v>
      </c>
      <c r="Q573">
        <f t="shared" si="166"/>
        <v>0.87459771138839337</v>
      </c>
      <c r="R573">
        <f t="shared" si="156"/>
        <v>1</v>
      </c>
      <c r="AG573" s="8">
        <f t="shared" si="158"/>
        <v>-0.30458217618631422</v>
      </c>
      <c r="AH573" s="8">
        <f t="shared" si="159"/>
        <v>0.90161998405316557</v>
      </c>
      <c r="AI573" s="8">
        <f t="shared" si="160"/>
        <v>0.30710112716429194</v>
      </c>
      <c r="AJ573" s="8"/>
      <c r="AK573" s="8"/>
      <c r="AL573" s="8"/>
      <c r="AN573" s="8">
        <f t="shared" si="167"/>
        <v>1.0000000000000002</v>
      </c>
      <c r="AO573" s="8">
        <f t="shared" si="168"/>
        <v>1.8965763585354785</v>
      </c>
      <c r="AP573" s="8">
        <f t="shared" si="169"/>
        <v>1.2586508659548623</v>
      </c>
      <c r="AQ573" s="8"/>
      <c r="AR573" s="8">
        <f t="shared" si="170"/>
        <v>108.66582086837334</v>
      </c>
      <c r="AS573" s="8">
        <f t="shared" si="171"/>
        <v>17.884617500300081</v>
      </c>
    </row>
    <row r="574" spans="1:45">
      <c r="A574" s="19">
        <v>125.125</v>
      </c>
      <c r="B574" s="19">
        <v>169.65960820000001</v>
      </c>
      <c r="C574" s="19">
        <v>-793.17826839999998</v>
      </c>
      <c r="E574" s="9">
        <f t="shared" si="161"/>
        <v>-790.34039180000002</v>
      </c>
      <c r="F574" s="9">
        <f t="shared" si="162"/>
        <v>-253.17826839999998</v>
      </c>
      <c r="I574">
        <v>1</v>
      </c>
      <c r="J574">
        <f t="shared" si="157"/>
        <v>0.50637234535951881</v>
      </c>
      <c r="K574">
        <f t="shared" si="163"/>
        <v>-2.8315806016664022</v>
      </c>
      <c r="O574">
        <f t="shared" si="164"/>
        <v>-0.46188764162850093</v>
      </c>
      <c r="P574">
        <f t="shared" si="165"/>
        <v>-0.14796145371810374</v>
      </c>
      <c r="Q574">
        <f t="shared" si="166"/>
        <v>0.87450969961715519</v>
      </c>
      <c r="R574">
        <f t="shared" si="156"/>
        <v>1</v>
      </c>
      <c r="AG574" s="8">
        <f t="shared" si="158"/>
        <v>-0.30440735513256018</v>
      </c>
      <c r="AH574" s="8">
        <f t="shared" si="159"/>
        <v>0.90169592106682905</v>
      </c>
      <c r="AI574" s="8">
        <f t="shared" si="160"/>
        <v>0.30705150719812835</v>
      </c>
      <c r="AJ574" s="8"/>
      <c r="AK574" s="8"/>
      <c r="AL574" s="8"/>
      <c r="AN574" s="8">
        <f t="shared" si="167"/>
        <v>1</v>
      </c>
      <c r="AO574" s="8">
        <f t="shared" si="168"/>
        <v>1.8963767887081466</v>
      </c>
      <c r="AP574" s="8">
        <f t="shared" si="169"/>
        <v>1.2587030050258297</v>
      </c>
      <c r="AQ574" s="8"/>
      <c r="AR574" s="8">
        <f t="shared" si="170"/>
        <v>108.65438635954908</v>
      </c>
      <c r="AS574" s="8">
        <f t="shared" si="171"/>
        <v>17.88163015158591</v>
      </c>
    </row>
    <row r="575" spans="1:45">
      <c r="A575" s="19">
        <v>125.1583667</v>
      </c>
      <c r="B575" s="19">
        <v>169.4242643</v>
      </c>
      <c r="C575" s="19">
        <v>-793.16298419999998</v>
      </c>
      <c r="E575" s="9">
        <f t="shared" si="161"/>
        <v>-790.5757357</v>
      </c>
      <c r="F575" s="9">
        <f t="shared" si="162"/>
        <v>-253.16298419999998</v>
      </c>
      <c r="I575">
        <v>1</v>
      </c>
      <c r="J575">
        <f t="shared" si="157"/>
        <v>0.50648596107041854</v>
      </c>
      <c r="K575">
        <f t="shared" si="163"/>
        <v>-2.8316846249985419</v>
      </c>
      <c r="O575">
        <f t="shared" si="164"/>
        <v>-0.46199765237679868</v>
      </c>
      <c r="P575">
        <f t="shared" si="165"/>
        <v>-0.14794370619728678</v>
      </c>
      <c r="Q575">
        <f t="shared" si="166"/>
        <v>0.8744545894412914</v>
      </c>
      <c r="R575">
        <f t="shared" si="156"/>
        <v>1</v>
      </c>
      <c r="AG575" s="8">
        <f t="shared" si="158"/>
        <v>-0.30429619907770095</v>
      </c>
      <c r="AH575" s="8">
        <f t="shared" si="159"/>
        <v>0.90174335773125502</v>
      </c>
      <c r="AI575" s="8">
        <f t="shared" si="160"/>
        <v>0.30702237705813246</v>
      </c>
      <c r="AJ575" s="8"/>
      <c r="AK575" s="8"/>
      <c r="AL575" s="8"/>
      <c r="AN575" s="8">
        <f t="shared" si="167"/>
        <v>1</v>
      </c>
      <c r="AO575" s="8">
        <f t="shared" si="168"/>
        <v>1.8962501844835524</v>
      </c>
      <c r="AP575" s="8">
        <f t="shared" si="169"/>
        <v>1.2587336136352121</v>
      </c>
      <c r="AQ575" s="8"/>
      <c r="AR575" s="8">
        <f t="shared" si="170"/>
        <v>108.6471324718113</v>
      </c>
      <c r="AS575" s="8">
        <f t="shared" si="171"/>
        <v>17.879876407451533</v>
      </c>
    </row>
    <row r="576" spans="1:45">
      <c r="A576" s="19">
        <v>125.1917333</v>
      </c>
      <c r="B576" s="19">
        <v>169.06335619999999</v>
      </c>
      <c r="C576" s="19">
        <v>-793.22687629999996</v>
      </c>
      <c r="E576" s="9">
        <f t="shared" si="161"/>
        <v>-790.93664379999996</v>
      </c>
      <c r="F576" s="9">
        <f t="shared" si="162"/>
        <v>-253.22687629999996</v>
      </c>
      <c r="I576">
        <v>1</v>
      </c>
      <c r="J576">
        <f t="shared" si="157"/>
        <v>0.5066739562999143</v>
      </c>
      <c r="K576">
        <f t="shared" si="163"/>
        <v>-2.8317438893593811</v>
      </c>
      <c r="O576">
        <f t="shared" si="164"/>
        <v>-0.46216297602208739</v>
      </c>
      <c r="P576">
        <f t="shared" si="165"/>
        <v>-0.14796644924340899</v>
      </c>
      <c r="Q576">
        <f t="shared" si="166"/>
        <v>0.8743633761158488</v>
      </c>
      <c r="R576">
        <f t="shared" si="156"/>
        <v>1</v>
      </c>
      <c r="AG576" s="8">
        <f t="shared" si="158"/>
        <v>-0.30414855195364576</v>
      </c>
      <c r="AH576" s="8">
        <f t="shared" si="159"/>
        <v>0.90182350991059712</v>
      </c>
      <c r="AI576" s="8">
        <f t="shared" si="160"/>
        <v>0.30693324244374665</v>
      </c>
      <c r="AJ576" s="8"/>
      <c r="AK576" s="8"/>
      <c r="AL576" s="8"/>
      <c r="AN576" s="8">
        <f t="shared" si="167"/>
        <v>1.0000000000000002</v>
      </c>
      <c r="AO576" s="8">
        <f t="shared" si="168"/>
        <v>1.8960762653285004</v>
      </c>
      <c r="AP576" s="8">
        <f t="shared" si="169"/>
        <v>1.2588272703053363</v>
      </c>
      <c r="AQ576" s="8"/>
      <c r="AR576" s="8">
        <f t="shared" si="170"/>
        <v>108.63716763825033</v>
      </c>
      <c r="AS576" s="8">
        <f t="shared" si="171"/>
        <v>17.87451027553017</v>
      </c>
    </row>
    <row r="577" spans="1:45">
      <c r="A577" s="19">
        <v>125.2251</v>
      </c>
      <c r="B577" s="19">
        <v>168.65668650000001</v>
      </c>
      <c r="C577" s="19">
        <v>-793.23122450000005</v>
      </c>
      <c r="E577" s="9">
        <f t="shared" si="161"/>
        <v>-791.34331350000002</v>
      </c>
      <c r="F577" s="9">
        <f t="shared" si="162"/>
        <v>-253.23122450000005</v>
      </c>
      <c r="I577">
        <v>1</v>
      </c>
      <c r="J577">
        <f t="shared" si="157"/>
        <v>0.50687507546045629</v>
      </c>
      <c r="K577">
        <f t="shared" si="163"/>
        <v>-2.8318881452973499</v>
      </c>
      <c r="O577">
        <f t="shared" si="164"/>
        <v>-0.46235179177588148</v>
      </c>
      <c r="P577">
        <f t="shared" si="165"/>
        <v>-0.14795337040675649</v>
      </c>
      <c r="Q577">
        <f t="shared" si="166"/>
        <v>0.87426576098284492</v>
      </c>
      <c r="R577">
        <f t="shared" si="156"/>
        <v>0.99999999999999989</v>
      </c>
      <c r="AG577" s="8">
        <f t="shared" si="158"/>
        <v>-0.30396454917085347</v>
      </c>
      <c r="AH577" s="8">
        <f t="shared" si="159"/>
        <v>0.90190800225960277</v>
      </c>
      <c r="AI577" s="8">
        <f t="shared" si="160"/>
        <v>0.30686724867188442</v>
      </c>
      <c r="AJ577" s="8"/>
      <c r="AK577" s="8"/>
      <c r="AL577" s="8"/>
      <c r="AN577" s="8">
        <f t="shared" si="167"/>
        <v>1</v>
      </c>
      <c r="AO577" s="8">
        <f t="shared" si="168"/>
        <v>1.8958647024301307</v>
      </c>
      <c r="AP577" s="8">
        <f t="shared" si="169"/>
        <v>1.2588966103087875</v>
      </c>
      <c r="AQ577" s="8"/>
      <c r="AR577" s="8">
        <f t="shared" si="170"/>
        <v>108.6250459770722</v>
      </c>
      <c r="AS577" s="8">
        <f t="shared" si="171"/>
        <v>17.870537385980995</v>
      </c>
    </row>
    <row r="578" spans="1:45">
      <c r="A578" s="19">
        <v>125.2584667</v>
      </c>
      <c r="B578" s="19">
        <v>168.37918089999999</v>
      </c>
      <c r="C578" s="19">
        <v>-793.26778409999997</v>
      </c>
      <c r="E578" s="9">
        <f t="shared" si="161"/>
        <v>-791.62081910000006</v>
      </c>
      <c r="F578" s="9">
        <f t="shared" si="162"/>
        <v>-253.26778409999997</v>
      </c>
      <c r="I578">
        <v>1</v>
      </c>
      <c r="J578">
        <f t="shared" si="157"/>
        <v>0.50701759191689477</v>
      </c>
      <c r="K578">
        <f t="shared" si="163"/>
        <v>-2.8319480108285542</v>
      </c>
      <c r="O578">
        <f t="shared" si="164"/>
        <v>-0.46247931520977686</v>
      </c>
      <c r="P578">
        <f t="shared" si="165"/>
        <v>-0.14796365700491929</v>
      </c>
      <c r="Q578">
        <f t="shared" si="166"/>
        <v>0.87419656783175859</v>
      </c>
      <c r="R578">
        <f t="shared" si="156"/>
        <v>1</v>
      </c>
      <c r="AG578" s="8">
        <f t="shared" si="158"/>
        <v>-0.30384777154619191</v>
      </c>
      <c r="AH578" s="8">
        <f t="shared" si="159"/>
        <v>0.90196848709227861</v>
      </c>
      <c r="AI578" s="8">
        <f t="shared" si="160"/>
        <v>0.30680511732837701</v>
      </c>
      <c r="AJ578" s="8"/>
      <c r="AK578" s="8"/>
      <c r="AL578" s="8"/>
      <c r="AN578" s="8">
        <f t="shared" si="167"/>
        <v>1</v>
      </c>
      <c r="AO578" s="8">
        <f t="shared" si="168"/>
        <v>1.8957281370970163</v>
      </c>
      <c r="AP578" s="8">
        <f t="shared" si="169"/>
        <v>1.2589618906216771</v>
      </c>
      <c r="AQ578" s="8"/>
      <c r="AR578" s="8">
        <f t="shared" si="170"/>
        <v>108.61722135985694</v>
      </c>
      <c r="AS578" s="8">
        <f t="shared" si="171"/>
        <v>17.866797099567123</v>
      </c>
    </row>
    <row r="579" spans="1:45">
      <c r="A579" s="19">
        <v>125.29183329999999</v>
      </c>
      <c r="B579" s="19">
        <v>167.80662649999999</v>
      </c>
      <c r="C579" s="19">
        <v>-793.27369469999996</v>
      </c>
      <c r="E579" s="9">
        <f t="shared" si="161"/>
        <v>-792.19337350000001</v>
      </c>
      <c r="F579" s="9">
        <f t="shared" si="162"/>
        <v>-253.27369469999996</v>
      </c>
      <c r="I579">
        <v>1</v>
      </c>
      <c r="J579">
        <f t="shared" si="157"/>
        <v>0.50730061905696833</v>
      </c>
      <c r="K579">
        <f t="shared" si="163"/>
        <v>-2.8321510170096924</v>
      </c>
      <c r="O579">
        <f t="shared" si="164"/>
        <v>-0.4627449944583244</v>
      </c>
      <c r="P579">
        <f t="shared" si="165"/>
        <v>-0.14794510831690366</v>
      </c>
      <c r="Q579">
        <f t="shared" si="166"/>
        <v>0.87405910270923037</v>
      </c>
      <c r="R579">
        <f t="shared" si="156"/>
        <v>1</v>
      </c>
      <c r="AG579" s="8">
        <f t="shared" si="158"/>
        <v>-0.30358872521862651</v>
      </c>
      <c r="AH579" s="8">
        <f t="shared" si="159"/>
        <v>0.90208726902826464</v>
      </c>
      <c r="AI579" s="8">
        <f t="shared" si="160"/>
        <v>0.30671231631164819</v>
      </c>
      <c r="AJ579" s="8"/>
      <c r="AK579" s="8"/>
      <c r="AL579" s="8"/>
      <c r="AN579" s="8">
        <f t="shared" si="167"/>
        <v>1</v>
      </c>
      <c r="AO579" s="8">
        <f t="shared" si="168"/>
        <v>1.8954303740695986</v>
      </c>
      <c r="AP579" s="8">
        <f t="shared" si="169"/>
        <v>1.2590593924642479</v>
      </c>
      <c r="AQ579" s="8"/>
      <c r="AR579" s="8">
        <f t="shared" si="170"/>
        <v>108.60016079509087</v>
      </c>
      <c r="AS579" s="8">
        <f t="shared" si="171"/>
        <v>17.861210655493068</v>
      </c>
    </row>
    <row r="580" spans="1:45">
      <c r="A580" s="19">
        <v>125.3252</v>
      </c>
      <c r="B580" s="19">
        <v>167.47661360000001</v>
      </c>
      <c r="C580" s="19">
        <v>-793.20716570000002</v>
      </c>
      <c r="E580" s="9">
        <f t="shared" si="161"/>
        <v>-792.52338639999994</v>
      </c>
      <c r="F580" s="9">
        <f t="shared" si="162"/>
        <v>-253.20716570000002</v>
      </c>
      <c r="I580">
        <v>1</v>
      </c>
      <c r="J580">
        <f t="shared" si="157"/>
        <v>0.50745271316534668</v>
      </c>
      <c r="K580">
        <f t="shared" si="163"/>
        <v>-2.8323479748213463</v>
      </c>
      <c r="O580">
        <f t="shared" si="164"/>
        <v>-0.46290075217063636</v>
      </c>
      <c r="P580">
        <f t="shared" si="165"/>
        <v>-0.14789442112231524</v>
      </c>
      <c r="Q580">
        <f t="shared" si="166"/>
        <v>0.87398520230079091</v>
      </c>
      <c r="R580">
        <f t="shared" si="156"/>
        <v>1</v>
      </c>
      <c r="AG580" s="8">
        <f t="shared" si="158"/>
        <v>-0.30342118387621331</v>
      </c>
      <c r="AH580" s="8">
        <f t="shared" si="159"/>
        <v>0.90214972199792376</v>
      </c>
      <c r="AI580" s="8">
        <f t="shared" si="160"/>
        <v>0.30669441513373863</v>
      </c>
      <c r="AJ580" s="8"/>
      <c r="AK580" s="8"/>
      <c r="AL580" s="8"/>
      <c r="AN580" s="8">
        <f t="shared" si="167"/>
        <v>1</v>
      </c>
      <c r="AO580" s="8">
        <f t="shared" si="168"/>
        <v>1.8952426152375934</v>
      </c>
      <c r="AP580" s="8">
        <f t="shared" si="169"/>
        <v>1.2590782000719725</v>
      </c>
      <c r="AQ580" s="8"/>
      <c r="AR580" s="8">
        <f t="shared" si="170"/>
        <v>108.58940300645067</v>
      </c>
      <c r="AS580" s="8">
        <f t="shared" si="171"/>
        <v>17.86013305894771</v>
      </c>
    </row>
    <row r="581" spans="1:45">
      <c r="A581" s="19">
        <v>125.3585667</v>
      </c>
      <c r="B581" s="19">
        <v>167.403593</v>
      </c>
      <c r="C581" s="19">
        <v>-793.17424319999998</v>
      </c>
      <c r="E581" s="9">
        <f t="shared" si="161"/>
        <v>-792.596407</v>
      </c>
      <c r="F581" s="9">
        <f t="shared" si="162"/>
        <v>-253.17424319999998</v>
      </c>
      <c r="I581">
        <v>1</v>
      </c>
      <c r="J581">
        <f t="shared" si="157"/>
        <v>0.50748350126145492</v>
      </c>
      <c r="K581">
        <f t="shared" si="163"/>
        <v>-2.8324123746154308</v>
      </c>
      <c r="O581">
        <f t="shared" si="164"/>
        <v>-0.4629359077976401</v>
      </c>
      <c r="P581">
        <f t="shared" si="165"/>
        <v>-0.14787279764538797</v>
      </c>
      <c r="Q581">
        <f t="shared" si="166"/>
        <v>0.87397024033321702</v>
      </c>
      <c r="R581">
        <f t="shared" si="156"/>
        <v>1</v>
      </c>
      <c r="AG581" s="8">
        <f t="shared" si="158"/>
        <v>-0.30337936408109989</v>
      </c>
      <c r="AH581" s="8">
        <f t="shared" si="159"/>
        <v>0.90216198439799178</v>
      </c>
      <c r="AI581" s="8">
        <f t="shared" si="160"/>
        <v>0.30669971528650836</v>
      </c>
      <c r="AJ581" s="8"/>
      <c r="AK581" s="8"/>
      <c r="AL581" s="8"/>
      <c r="AN581" s="8">
        <f t="shared" si="167"/>
        <v>1.0000000000000002</v>
      </c>
      <c r="AO581" s="8">
        <f t="shared" si="168"/>
        <v>1.8951968632784559</v>
      </c>
      <c r="AP581" s="8">
        <f t="shared" si="169"/>
        <v>1.259072631556758</v>
      </c>
      <c r="AQ581" s="8"/>
      <c r="AR581" s="8">
        <f t="shared" si="170"/>
        <v>108.58678161228764</v>
      </c>
      <c r="AS581" s="8">
        <f t="shared" si="171"/>
        <v>17.860452111367664</v>
      </c>
    </row>
    <row r="582" spans="1:45">
      <c r="A582" s="19">
        <v>125.39193330000001</v>
      </c>
      <c r="B582" s="19">
        <v>167.15463800000001</v>
      </c>
      <c r="C582" s="19">
        <v>-793.22995289999994</v>
      </c>
      <c r="E582" s="9">
        <f t="shared" si="161"/>
        <v>-792.84536200000002</v>
      </c>
      <c r="F582" s="9">
        <f t="shared" si="162"/>
        <v>-253.22995289999994</v>
      </c>
      <c r="I582">
        <v>1</v>
      </c>
      <c r="J582">
        <f t="shared" si="157"/>
        <v>0.50761488812057853</v>
      </c>
      <c r="K582">
        <f t="shared" si="163"/>
        <v>-2.8324396283390727</v>
      </c>
      <c r="O582">
        <f t="shared" si="164"/>
        <v>-0.46304931809798677</v>
      </c>
      <c r="P582">
        <f t="shared" si="165"/>
        <v>-0.1478951162891842</v>
      </c>
      <c r="Q582">
        <f t="shared" si="166"/>
        <v>0.87390638147732858</v>
      </c>
      <c r="R582">
        <f t="shared" si="156"/>
        <v>1</v>
      </c>
      <c r="AG582" s="8">
        <f t="shared" si="158"/>
        <v>-0.30328062900548142</v>
      </c>
      <c r="AH582" s="8">
        <f t="shared" si="159"/>
        <v>0.90221808814999083</v>
      </c>
      <c r="AI582" s="8">
        <f t="shared" si="160"/>
        <v>0.30663232296190657</v>
      </c>
      <c r="AJ582" s="8"/>
      <c r="AK582" s="8"/>
      <c r="AL582" s="8"/>
      <c r="AN582" s="8">
        <f t="shared" si="167"/>
        <v>1</v>
      </c>
      <c r="AO582" s="8">
        <f t="shared" si="168"/>
        <v>1.8950797541050586</v>
      </c>
      <c r="AP582" s="8">
        <f t="shared" si="169"/>
        <v>1.2591434354103945</v>
      </c>
      <c r="AQ582" s="8"/>
      <c r="AR582" s="8">
        <f t="shared" si="170"/>
        <v>108.5800717509097</v>
      </c>
      <c r="AS582" s="8">
        <f t="shared" si="171"/>
        <v>17.856395349381017</v>
      </c>
    </row>
    <row r="583" spans="1:45">
      <c r="A583" s="19">
        <v>125.45866669999999</v>
      </c>
      <c r="B583" s="19">
        <v>166.5482634</v>
      </c>
      <c r="C583" s="19">
        <v>-793.11534080000001</v>
      </c>
      <c r="E583" s="9">
        <f t="shared" si="161"/>
        <v>-793.4517366</v>
      </c>
      <c r="F583" s="9">
        <f t="shared" si="162"/>
        <v>-253.11534080000001</v>
      </c>
      <c r="I583">
        <v>1</v>
      </c>
      <c r="J583">
        <f t="shared" si="157"/>
        <v>0.50789549191227046</v>
      </c>
      <c r="K583">
        <f t="shared" si="163"/>
        <v>-2.8327922374023564</v>
      </c>
      <c r="O583">
        <f t="shared" si="164"/>
        <v>-0.46333504241662937</v>
      </c>
      <c r="P583">
        <f t="shared" si="165"/>
        <v>-0.14780635261876077</v>
      </c>
      <c r="Q583">
        <f t="shared" si="166"/>
        <v>0.87376994717964451</v>
      </c>
      <c r="R583">
        <f t="shared" si="156"/>
        <v>1</v>
      </c>
      <c r="AG583" s="8">
        <f t="shared" si="158"/>
        <v>-0.30297485234050664</v>
      </c>
      <c r="AH583" s="8">
        <f t="shared" si="159"/>
        <v>0.90233332035122427</v>
      </c>
      <c r="AI583" s="8">
        <f t="shared" si="160"/>
        <v>0.30659552807107743</v>
      </c>
      <c r="AJ583" s="8"/>
      <c r="AK583" s="8"/>
      <c r="AL583" s="8"/>
      <c r="AN583" s="8">
        <f t="shared" si="167"/>
        <v>0.99999999999999967</v>
      </c>
      <c r="AO583" s="8">
        <f t="shared" si="168"/>
        <v>1.8947366756394954</v>
      </c>
      <c r="AP583" s="8">
        <f t="shared" si="169"/>
        <v>1.2591820922477304</v>
      </c>
      <c r="AQ583" s="8"/>
      <c r="AR583" s="8">
        <f t="shared" si="170"/>
        <v>108.56041480279112</v>
      </c>
      <c r="AS583" s="8">
        <f t="shared" si="171"/>
        <v>17.854180475752358</v>
      </c>
    </row>
    <row r="584" spans="1:45">
      <c r="A584" s="19">
        <v>125.4920333</v>
      </c>
      <c r="B584" s="19">
        <v>166.08812889999999</v>
      </c>
      <c r="C584" s="19">
        <v>-793.06180289999998</v>
      </c>
      <c r="E584" s="9">
        <f t="shared" si="161"/>
        <v>-793.91187109999998</v>
      </c>
      <c r="F584" s="9">
        <f t="shared" si="162"/>
        <v>-253.06180289999998</v>
      </c>
      <c r="I584">
        <v>1</v>
      </c>
      <c r="J584">
        <f t="shared" si="157"/>
        <v>0.50811364744829679</v>
      </c>
      <c r="K584">
        <f t="shared" si="163"/>
        <v>-2.8330212725177271</v>
      </c>
      <c r="O584">
        <f t="shared" si="164"/>
        <v>-0.46355048665283127</v>
      </c>
      <c r="P584">
        <f t="shared" si="165"/>
        <v>-0.14775811542533554</v>
      </c>
      <c r="Q584">
        <f t="shared" si="166"/>
        <v>0.87366382874070991</v>
      </c>
      <c r="R584">
        <f t="shared" si="156"/>
        <v>1</v>
      </c>
      <c r="AG584" s="8">
        <f t="shared" si="158"/>
        <v>-0.30275158567951849</v>
      </c>
      <c r="AH584" s="8">
        <f t="shared" si="159"/>
        <v>0.9024235229236488</v>
      </c>
      <c r="AI584" s="8">
        <f t="shared" si="160"/>
        <v>0.30655058741194408</v>
      </c>
      <c r="AJ584" s="8"/>
      <c r="AK584" s="8"/>
      <c r="AL584" s="8"/>
      <c r="AN584" s="8">
        <f t="shared" si="167"/>
        <v>1</v>
      </c>
      <c r="AO584" s="8">
        <f t="shared" si="168"/>
        <v>1.894484151590488</v>
      </c>
      <c r="AP584" s="8">
        <f t="shared" si="169"/>
        <v>1.2592293064039624</v>
      </c>
      <c r="AQ584" s="8"/>
      <c r="AR584" s="8">
        <f t="shared" si="170"/>
        <v>108.54594624055743</v>
      </c>
      <c r="AS584" s="8">
        <f t="shared" si="171"/>
        <v>17.851475303866991</v>
      </c>
    </row>
    <row r="585" spans="1:45">
      <c r="A585" s="19">
        <v>125.5254</v>
      </c>
      <c r="B585" s="19">
        <v>165.25919189999999</v>
      </c>
      <c r="C585" s="19">
        <v>-792.77640640000004</v>
      </c>
      <c r="E585" s="9">
        <f t="shared" si="161"/>
        <v>-794.74080809999998</v>
      </c>
      <c r="F585" s="9">
        <f t="shared" si="162"/>
        <v>-252.77640640000004</v>
      </c>
      <c r="I585">
        <v>1</v>
      </c>
      <c r="J585">
        <f t="shared" si="157"/>
        <v>0.5084769916794325</v>
      </c>
      <c r="K585">
        <f t="shared" si="163"/>
        <v>-2.8336491872600984</v>
      </c>
      <c r="O585">
        <f t="shared" si="164"/>
        <v>-0.46394565210842353</v>
      </c>
      <c r="P585">
        <f t="shared" si="165"/>
        <v>-0.14756322251180495</v>
      </c>
      <c r="Q585">
        <f t="shared" si="166"/>
        <v>0.8734869931782735</v>
      </c>
      <c r="R585">
        <f t="shared" si="156"/>
        <v>1</v>
      </c>
      <c r="AG585" s="8">
        <f t="shared" si="158"/>
        <v>-0.30230013570861058</v>
      </c>
      <c r="AH585" s="8">
        <f t="shared" si="159"/>
        <v>0.90256972366634258</v>
      </c>
      <c r="AI585" s="8">
        <f t="shared" si="160"/>
        <v>0.30656568932517136</v>
      </c>
      <c r="AJ585" s="8"/>
      <c r="AK585" s="8"/>
      <c r="AL585" s="8"/>
      <c r="AN585" s="8">
        <f t="shared" si="167"/>
        <v>1</v>
      </c>
      <c r="AO585" s="8">
        <f t="shared" si="168"/>
        <v>1.8939856410191656</v>
      </c>
      <c r="AP585" s="8">
        <f t="shared" si="169"/>
        <v>1.2592134405821276</v>
      </c>
      <c r="AQ585" s="8"/>
      <c r="AR585" s="8">
        <f t="shared" si="170"/>
        <v>108.517383688778</v>
      </c>
      <c r="AS585" s="8">
        <f t="shared" si="171"/>
        <v>17.852384348496628</v>
      </c>
    </row>
    <row r="586" spans="1:45">
      <c r="A586" s="19">
        <v>125.55876670000001</v>
      </c>
      <c r="B586" s="19">
        <v>163.7157334</v>
      </c>
      <c r="C586" s="19">
        <v>-794.46017930000005</v>
      </c>
      <c r="E586" s="9">
        <f t="shared" si="161"/>
        <v>-796.28426660000002</v>
      </c>
      <c r="F586" s="9">
        <f t="shared" si="162"/>
        <v>-254.46017930000005</v>
      </c>
      <c r="I586">
        <v>1</v>
      </c>
      <c r="J586">
        <f t="shared" si="157"/>
        <v>0.50950020151706388</v>
      </c>
      <c r="K586">
        <f t="shared" si="163"/>
        <v>-2.8322893688259096</v>
      </c>
      <c r="O586">
        <f t="shared" si="164"/>
        <v>-0.46459566899375937</v>
      </c>
      <c r="P586">
        <f t="shared" si="165"/>
        <v>-0.1484659463873873</v>
      </c>
      <c r="Q586">
        <f t="shared" si="166"/>
        <v>0.8729883888778468</v>
      </c>
      <c r="R586">
        <f t="shared" si="156"/>
        <v>1</v>
      </c>
      <c r="AG586" s="8">
        <f t="shared" si="158"/>
        <v>-0.30203779924939267</v>
      </c>
      <c r="AH586" s="8">
        <f t="shared" si="159"/>
        <v>0.90302971431726942</v>
      </c>
      <c r="AI586" s="8">
        <f t="shared" si="160"/>
        <v>0.30546767895254412</v>
      </c>
      <c r="AJ586" s="8"/>
      <c r="AK586" s="8"/>
      <c r="AL586" s="8"/>
      <c r="AN586" s="8">
        <f t="shared" si="167"/>
        <v>1.0000000000000002</v>
      </c>
      <c r="AO586" s="8">
        <f t="shared" si="168"/>
        <v>1.8935709769576996</v>
      </c>
      <c r="AP586" s="8">
        <f t="shared" si="169"/>
        <v>1.2603667812262982</v>
      </c>
      <c r="AQ586" s="8"/>
      <c r="AR586" s="8">
        <f t="shared" si="170"/>
        <v>108.49362518814024</v>
      </c>
      <c r="AS586" s="8">
        <f t="shared" si="171"/>
        <v>17.786302797244758</v>
      </c>
    </row>
    <row r="587" spans="1:45">
      <c r="A587" s="19">
        <v>125.5921333</v>
      </c>
      <c r="B587" s="19">
        <v>164.97633920000001</v>
      </c>
      <c r="C587" s="19">
        <v>-793.25865610000005</v>
      </c>
      <c r="E587" s="9">
        <f t="shared" si="161"/>
        <v>-795.02366080000002</v>
      </c>
      <c r="F587" s="9">
        <f t="shared" si="162"/>
        <v>-253.25865610000005</v>
      </c>
      <c r="I587">
        <v>1</v>
      </c>
      <c r="J587">
        <f t="shared" si="157"/>
        <v>0.5086917459374104</v>
      </c>
      <c r="K587">
        <f t="shared" si="163"/>
        <v>-2.8332011560529518</v>
      </c>
      <c r="O587">
        <f t="shared" si="164"/>
        <v>-0.46405821727512764</v>
      </c>
      <c r="P587">
        <f t="shared" si="165"/>
        <v>-0.14782800343451194</v>
      </c>
      <c r="Q587">
        <f t="shared" si="166"/>
        <v>0.87338242046654246</v>
      </c>
      <c r="R587">
        <f t="shared" si="156"/>
        <v>1</v>
      </c>
      <c r="AG587" s="8">
        <f t="shared" si="158"/>
        <v>-0.30229739692507401</v>
      </c>
      <c r="AH587" s="8">
        <f t="shared" si="159"/>
        <v>0.9026689505196368</v>
      </c>
      <c r="AI587" s="8">
        <f t="shared" si="160"/>
        <v>0.30627610024306789</v>
      </c>
      <c r="AJ587" s="8"/>
      <c r="AK587" s="8"/>
      <c r="AL587" s="8"/>
      <c r="AN587" s="8">
        <f t="shared" si="167"/>
        <v>1</v>
      </c>
      <c r="AO587" s="8">
        <f t="shared" si="168"/>
        <v>1.8939498083165887</v>
      </c>
      <c r="AP587" s="8">
        <f t="shared" si="169"/>
        <v>1.2595176639900922</v>
      </c>
      <c r="AQ587" s="8"/>
      <c r="AR587" s="8">
        <f t="shared" si="170"/>
        <v>108.51533062615179</v>
      </c>
      <c r="AS587" s="8">
        <f t="shared" si="171"/>
        <v>17.834953631191169</v>
      </c>
    </row>
    <row r="588" spans="1:45">
      <c r="A588" s="19">
        <v>125.6255</v>
      </c>
      <c r="B588" s="19">
        <v>164.7641946</v>
      </c>
      <c r="C588" s="19">
        <v>-793.28584230000001</v>
      </c>
      <c r="E588" s="9">
        <f t="shared" si="161"/>
        <v>-795.2358054</v>
      </c>
      <c r="F588" s="9">
        <f t="shared" si="162"/>
        <v>-253.28584230000001</v>
      </c>
      <c r="I588">
        <v>1</v>
      </c>
      <c r="J588">
        <f t="shared" si="157"/>
        <v>0.50880038936974403</v>
      </c>
      <c r="K588">
        <f t="shared" si="163"/>
        <v>-2.8332472714942822</v>
      </c>
      <c r="O588">
        <f t="shared" si="164"/>
        <v>-0.46415544329426706</v>
      </c>
      <c r="P588">
        <f t="shared" si="165"/>
        <v>-0.14783539877682467</v>
      </c>
      <c r="Q588">
        <f t="shared" si="166"/>
        <v>0.8733295021518509</v>
      </c>
      <c r="R588">
        <f t="shared" si="156"/>
        <v>1</v>
      </c>
      <c r="AG588" s="8">
        <f t="shared" si="158"/>
        <v>-0.30220804443593019</v>
      </c>
      <c r="AH588" s="8">
        <f t="shared" si="159"/>
        <v>0.90271484571841398</v>
      </c>
      <c r="AI588" s="8">
        <f t="shared" si="160"/>
        <v>0.30622900776672179</v>
      </c>
      <c r="AJ588" s="8"/>
      <c r="AK588" s="8"/>
      <c r="AL588" s="8"/>
      <c r="AN588" s="8">
        <f t="shared" si="167"/>
        <v>1</v>
      </c>
      <c r="AO588" s="8">
        <f t="shared" si="168"/>
        <v>1.8938454949870602</v>
      </c>
      <c r="AP588" s="8">
        <f t="shared" si="169"/>
        <v>1.2595671334596281</v>
      </c>
      <c r="AQ588" s="8"/>
      <c r="AR588" s="8">
        <f t="shared" si="170"/>
        <v>108.50935391262286</v>
      </c>
      <c r="AS588" s="8">
        <f t="shared" si="171"/>
        <v>17.832119239372005</v>
      </c>
    </row>
    <row r="589" spans="1:45">
      <c r="A589" s="19">
        <v>125.6588667</v>
      </c>
      <c r="B589" s="19">
        <v>164.4173054</v>
      </c>
      <c r="C589" s="19">
        <v>-793.61829279999995</v>
      </c>
      <c r="E589" s="9">
        <f t="shared" si="161"/>
        <v>-795.58269459999997</v>
      </c>
      <c r="F589" s="9">
        <f t="shared" si="162"/>
        <v>-253.61829279999995</v>
      </c>
      <c r="I589">
        <v>1</v>
      </c>
      <c r="J589">
        <f t="shared" si="157"/>
        <v>0.50902314649532843</v>
      </c>
      <c r="K589">
        <f t="shared" si="163"/>
        <v>-2.8329939913579252</v>
      </c>
      <c r="O589">
        <f t="shared" si="164"/>
        <v>-0.46430332342707697</v>
      </c>
      <c r="P589">
        <f t="shared" si="165"/>
        <v>-0.14801203825599341</v>
      </c>
      <c r="Q589">
        <f t="shared" si="166"/>
        <v>0.87322096881939193</v>
      </c>
      <c r="R589">
        <f t="shared" si="156"/>
        <v>1</v>
      </c>
      <c r="AG589" s="8">
        <f t="shared" si="158"/>
        <v>-0.30213709508159647</v>
      </c>
      <c r="AH589" s="8">
        <f t="shared" si="159"/>
        <v>0.90281435138695521</v>
      </c>
      <c r="AI589" s="8">
        <f t="shared" si="160"/>
        <v>0.30600559260478483</v>
      </c>
      <c r="AJ589" s="8"/>
      <c r="AK589" s="8"/>
      <c r="AL589" s="8"/>
      <c r="AN589" s="8">
        <f t="shared" si="167"/>
        <v>0.99999999999999978</v>
      </c>
      <c r="AO589" s="8">
        <f t="shared" si="168"/>
        <v>1.8937416449805862</v>
      </c>
      <c r="AP589" s="8">
        <f t="shared" si="169"/>
        <v>1.2598018147802452</v>
      </c>
      <c r="AQ589" s="8"/>
      <c r="AR589" s="8">
        <f t="shared" si="170"/>
        <v>108.50340374554949</v>
      </c>
      <c r="AS589" s="8">
        <f t="shared" si="171"/>
        <v>17.8186729901701</v>
      </c>
    </row>
    <row r="590" spans="1:45">
      <c r="A590" s="19">
        <v>125.6922333</v>
      </c>
      <c r="B590" s="19">
        <v>163.61723169999999</v>
      </c>
      <c r="C590" s="19">
        <v>-793.52864580000005</v>
      </c>
      <c r="E590" s="9">
        <f t="shared" si="161"/>
        <v>-796.38276829999995</v>
      </c>
      <c r="F590" s="9">
        <f t="shared" si="162"/>
        <v>-253.52864580000005</v>
      </c>
      <c r="I590">
        <v>1</v>
      </c>
      <c r="J590">
        <f t="shared" si="157"/>
        <v>0.50940256263033301</v>
      </c>
      <c r="K590">
        <f t="shared" si="163"/>
        <v>-2.8333869411896195</v>
      </c>
      <c r="O590">
        <f t="shared" si="164"/>
        <v>-0.46467711785761734</v>
      </c>
      <c r="P590">
        <f t="shared" si="165"/>
        <v>-0.14793007221410628</v>
      </c>
      <c r="Q590">
        <f t="shared" si="166"/>
        <v>0.87303600720375063</v>
      </c>
      <c r="R590">
        <f t="shared" si="156"/>
        <v>1</v>
      </c>
      <c r="AG590" s="8">
        <f t="shared" si="158"/>
        <v>-0.30175007497925338</v>
      </c>
      <c r="AH590" s="8">
        <f t="shared" si="159"/>
        <v>0.90297084098194569</v>
      </c>
      <c r="AI590" s="8">
        <f t="shared" si="160"/>
        <v>0.30592573050721439</v>
      </c>
      <c r="AJ590" s="8"/>
      <c r="AK590" s="8"/>
      <c r="AL590" s="8"/>
      <c r="AN590" s="8">
        <f t="shared" si="167"/>
        <v>1</v>
      </c>
      <c r="AO590" s="8">
        <f t="shared" si="168"/>
        <v>1.8933039848011781</v>
      </c>
      <c r="AP590" s="8">
        <f t="shared" si="169"/>
        <v>1.2598856997890993</v>
      </c>
      <c r="AQ590" s="8"/>
      <c r="AR590" s="8">
        <f t="shared" si="170"/>
        <v>108.47832766440847</v>
      </c>
      <c r="AS590" s="8">
        <f t="shared" si="171"/>
        <v>17.813866733198338</v>
      </c>
    </row>
    <row r="591" spans="1:45">
      <c r="A591" s="19">
        <v>125.7256</v>
      </c>
      <c r="B591" s="19">
        <v>163.02105639999999</v>
      </c>
      <c r="C591" s="19">
        <v>-793.39926590000005</v>
      </c>
      <c r="E591" s="9">
        <f t="shared" si="161"/>
        <v>-796.97894359999998</v>
      </c>
      <c r="F591" s="9">
        <f t="shared" si="162"/>
        <v>-253.39926590000005</v>
      </c>
      <c r="I591">
        <v>1</v>
      </c>
      <c r="J591">
        <f t="shared" si="157"/>
        <v>0.50967544338489801</v>
      </c>
      <c r="K591">
        <f t="shared" si="163"/>
        <v>-2.8337506088510582</v>
      </c>
      <c r="O591">
        <f t="shared" si="164"/>
        <v>-0.46495790243424234</v>
      </c>
      <c r="P591">
        <f t="shared" si="165"/>
        <v>-0.1478332546893161</v>
      </c>
      <c r="Q591">
        <f t="shared" si="166"/>
        <v>0.87290290283164562</v>
      </c>
      <c r="R591">
        <f t="shared" si="156"/>
        <v>1</v>
      </c>
      <c r="AG591" s="8">
        <f t="shared" si="158"/>
        <v>-0.30144542757349885</v>
      </c>
      <c r="AH591" s="8">
        <f t="shared" si="159"/>
        <v>0.90308197987485017</v>
      </c>
      <c r="AI591" s="8">
        <f t="shared" si="160"/>
        <v>0.30589800885319796</v>
      </c>
      <c r="AJ591" s="8"/>
      <c r="AK591" s="8"/>
      <c r="AL591" s="8"/>
      <c r="AN591" s="8">
        <f t="shared" si="167"/>
        <v>1</v>
      </c>
      <c r="AO591" s="8">
        <f t="shared" si="168"/>
        <v>1.8929634973836675</v>
      </c>
      <c r="AP591" s="8">
        <f t="shared" si="169"/>
        <v>1.2599148173435011</v>
      </c>
      <c r="AQ591" s="8"/>
      <c r="AR591" s="8">
        <f t="shared" si="170"/>
        <v>108.4588191724078</v>
      </c>
      <c r="AS591" s="8">
        <f t="shared" si="171"/>
        <v>17.812198420221378</v>
      </c>
    </row>
    <row r="592" spans="1:45">
      <c r="A592" s="19">
        <v>125.7589667</v>
      </c>
      <c r="B592" s="19">
        <v>162.31258930000001</v>
      </c>
      <c r="C592" s="19">
        <v>-794.60049370000002</v>
      </c>
      <c r="E592" s="9">
        <f t="shared" si="161"/>
        <v>-797.68741069999999</v>
      </c>
      <c r="F592" s="9">
        <f t="shared" si="162"/>
        <v>-254.60049370000002</v>
      </c>
      <c r="I592">
        <v>1</v>
      </c>
      <c r="J592">
        <f t="shared" si="157"/>
        <v>0.51021161548660021</v>
      </c>
      <c r="K592">
        <f t="shared" si="163"/>
        <v>-2.8326398318052508</v>
      </c>
      <c r="O592">
        <f t="shared" si="164"/>
        <v>-0.46523920532625629</v>
      </c>
      <c r="P592">
        <f t="shared" si="165"/>
        <v>-0.14849191522367908</v>
      </c>
      <c r="Q592">
        <f t="shared" si="166"/>
        <v>0.87264118223964038</v>
      </c>
      <c r="R592">
        <f t="shared" si="156"/>
        <v>1</v>
      </c>
      <c r="AG592" s="8">
        <f t="shared" si="158"/>
        <v>-0.30143685087678262</v>
      </c>
      <c r="AH592" s="8">
        <f t="shared" si="159"/>
        <v>0.90332888087437158</v>
      </c>
      <c r="AI592" s="8">
        <f t="shared" si="160"/>
        <v>0.3051766011864997</v>
      </c>
      <c r="AJ592" s="8"/>
      <c r="AK592" s="8"/>
      <c r="AL592" s="8"/>
      <c r="AN592" s="8">
        <f t="shared" si="167"/>
        <v>1.0000000000000002</v>
      </c>
      <c r="AO592" s="8">
        <f t="shared" si="168"/>
        <v>1.8928728638118253</v>
      </c>
      <c r="AP592" s="8">
        <f t="shared" si="169"/>
        <v>1.2606724551941</v>
      </c>
      <c r="AQ592" s="8"/>
      <c r="AR592" s="8">
        <f t="shared" si="170"/>
        <v>108.45362625125904</v>
      </c>
      <c r="AS592" s="8">
        <f t="shared" si="171"/>
        <v>17.76878896898269</v>
      </c>
    </row>
    <row r="593" spans="1:45">
      <c r="A593" s="19">
        <v>125.7923333</v>
      </c>
      <c r="B593" s="19">
        <v>161.85186189999999</v>
      </c>
      <c r="C593" s="19">
        <v>-793.5490992</v>
      </c>
      <c r="E593" s="9">
        <f t="shared" si="161"/>
        <v>-798.14813809999998</v>
      </c>
      <c r="F593" s="9">
        <f t="shared" si="162"/>
        <v>-253.5490992</v>
      </c>
      <c r="I593">
        <v>1</v>
      </c>
      <c r="J593">
        <f t="shared" si="157"/>
        <v>0.51027348353997548</v>
      </c>
      <c r="K593">
        <f t="shared" si="163"/>
        <v>-2.834003136043155</v>
      </c>
      <c r="O593">
        <f t="shared" si="164"/>
        <v>-0.46549266640106329</v>
      </c>
      <c r="P593">
        <f t="shared" si="165"/>
        <v>-0.14787386027255051</v>
      </c>
      <c r="Q593">
        <f t="shared" si="166"/>
        <v>0.87261096656810511</v>
      </c>
      <c r="R593">
        <f t="shared" si="156"/>
        <v>1</v>
      </c>
      <c r="AG593" s="8">
        <f t="shared" si="158"/>
        <v>-0.30095341229154976</v>
      </c>
      <c r="AH593" s="8">
        <f t="shared" si="159"/>
        <v>0.9033338872875647</v>
      </c>
      <c r="AI593" s="8">
        <f t="shared" si="160"/>
        <v>0.30563856384299726</v>
      </c>
      <c r="AJ593" s="8"/>
      <c r="AK593" s="8"/>
      <c r="AL593" s="8"/>
      <c r="AN593" s="8">
        <f t="shared" si="167"/>
        <v>1.0000000000000002</v>
      </c>
      <c r="AO593" s="8">
        <f t="shared" si="168"/>
        <v>1.892389572165883</v>
      </c>
      <c r="AP593" s="8">
        <f t="shared" si="169"/>
        <v>1.260187313286941</v>
      </c>
      <c r="AQ593" s="8"/>
      <c r="AR593" s="8">
        <f t="shared" si="170"/>
        <v>108.42593567967262</v>
      </c>
      <c r="AS593" s="8">
        <f t="shared" si="171"/>
        <v>17.796585552727834</v>
      </c>
    </row>
    <row r="594" spans="1:45">
      <c r="A594" s="19">
        <v>125.8257</v>
      </c>
      <c r="B594" s="19">
        <v>161.70004220000001</v>
      </c>
      <c r="C594" s="19">
        <v>-793.22742189999997</v>
      </c>
      <c r="E594" s="9">
        <f t="shared" si="161"/>
        <v>-798.29995780000002</v>
      </c>
      <c r="F594" s="9">
        <f t="shared" si="162"/>
        <v>-253.22742189999997</v>
      </c>
      <c r="I594">
        <v>1</v>
      </c>
      <c r="J594">
        <f t="shared" si="157"/>
        <v>0.51029790763507177</v>
      </c>
      <c r="K594">
        <f t="shared" si="163"/>
        <v>-2.8344240851048261</v>
      </c>
      <c r="O594">
        <f t="shared" si="164"/>
        <v>-0.46557518753974536</v>
      </c>
      <c r="P594">
        <f t="shared" si="165"/>
        <v>-0.1476843425699336</v>
      </c>
      <c r="Q594">
        <f t="shared" si="166"/>
        <v>0.87259903719120469</v>
      </c>
      <c r="R594">
        <f t="shared" si="156"/>
        <v>1</v>
      </c>
      <c r="AG594" s="8">
        <f t="shared" si="158"/>
        <v>-0.30080054962928987</v>
      </c>
      <c r="AH594" s="8">
        <f t="shared" si="159"/>
        <v>0.90333755762753398</v>
      </c>
      <c r="AI594" s="8">
        <f t="shared" si="160"/>
        <v>0.30577816521497886</v>
      </c>
      <c r="AJ594" s="8"/>
      <c r="AK594" s="8"/>
      <c r="AL594" s="8"/>
      <c r="AN594" s="8">
        <f t="shared" si="167"/>
        <v>1</v>
      </c>
      <c r="AO594" s="8">
        <f t="shared" si="168"/>
        <v>1.892236032048682</v>
      </c>
      <c r="AP594" s="8">
        <f t="shared" si="169"/>
        <v>1.2600406924725849</v>
      </c>
      <c r="AQ594" s="8"/>
      <c r="AR594" s="8">
        <f t="shared" si="170"/>
        <v>108.41713847897105</v>
      </c>
      <c r="AS594" s="8">
        <f t="shared" si="171"/>
        <v>17.80498630657921</v>
      </c>
    </row>
    <row r="595" spans="1:45">
      <c r="A595" s="19">
        <v>125.8590667</v>
      </c>
      <c r="B595" s="19">
        <v>161.53021029999999</v>
      </c>
      <c r="C595" s="19">
        <v>-793.1210112</v>
      </c>
      <c r="E595" s="9">
        <f t="shared" si="161"/>
        <v>-798.46978969999998</v>
      </c>
      <c r="F595" s="9">
        <f t="shared" si="162"/>
        <v>-253.1210112</v>
      </c>
      <c r="I595">
        <v>1</v>
      </c>
      <c r="J595">
        <f t="shared" si="157"/>
        <v>0.51036477993129481</v>
      </c>
      <c r="K595">
        <f t="shared" si="163"/>
        <v>-2.8346064812677163</v>
      </c>
      <c r="O595">
        <f t="shared" si="164"/>
        <v>-0.46565774044444402</v>
      </c>
      <c r="P595">
        <f t="shared" si="165"/>
        <v>-0.14761705408878389</v>
      </c>
      <c r="Q595">
        <f t="shared" si="166"/>
        <v>0.87256637232151213</v>
      </c>
      <c r="R595">
        <f t="shared" si="156"/>
        <v>0.99999999999999989</v>
      </c>
      <c r="AG595" s="8">
        <f t="shared" si="158"/>
        <v>-0.30069566517676705</v>
      </c>
      <c r="AH595" s="8">
        <f t="shared" si="159"/>
        <v>0.90336319560382705</v>
      </c>
      <c r="AI595" s="8">
        <f t="shared" si="160"/>
        <v>0.3058055816566192</v>
      </c>
      <c r="AJ595" s="8"/>
      <c r="AK595" s="8"/>
      <c r="AL595" s="8"/>
      <c r="AN595" s="8">
        <f t="shared" si="167"/>
        <v>0.99999999999999989</v>
      </c>
      <c r="AO595" s="8">
        <f t="shared" si="168"/>
        <v>1.8921230050627942</v>
      </c>
      <c r="AP595" s="8">
        <f t="shared" si="169"/>
        <v>1.2600118966651948</v>
      </c>
      <c r="AQ595" s="8"/>
      <c r="AR595" s="8">
        <f t="shared" si="170"/>
        <v>108.4106625097086</v>
      </c>
      <c r="AS595" s="8">
        <f t="shared" si="171"/>
        <v>17.80663618481033</v>
      </c>
    </row>
    <row r="596" spans="1:45">
      <c r="A596" s="19">
        <v>125.89243329999999</v>
      </c>
      <c r="B596" s="19">
        <v>161.47070289999999</v>
      </c>
      <c r="C596" s="19">
        <v>-794.03923610000004</v>
      </c>
      <c r="E596" s="9">
        <f t="shared" si="161"/>
        <v>-798.52929710000001</v>
      </c>
      <c r="F596" s="9">
        <f t="shared" si="162"/>
        <v>-254.03923610000004</v>
      </c>
      <c r="I596">
        <v>1</v>
      </c>
      <c r="J596">
        <f t="shared" si="157"/>
        <v>0.51053726550769196</v>
      </c>
      <c r="K596">
        <f t="shared" si="163"/>
        <v>-2.833583390038164</v>
      </c>
      <c r="O596">
        <f t="shared" si="164"/>
        <v>-0.46564988631497151</v>
      </c>
      <c r="P596">
        <f t="shared" si="165"/>
        <v>-0.14813901235572755</v>
      </c>
      <c r="Q596">
        <f t="shared" si="166"/>
        <v>0.87248210090128708</v>
      </c>
      <c r="R596">
        <f t="shared" si="156"/>
        <v>1</v>
      </c>
      <c r="AG596" s="8">
        <f t="shared" si="158"/>
        <v>-0.30090814711883251</v>
      </c>
      <c r="AH596" s="8">
        <f t="shared" si="159"/>
        <v>0.90345335958552364</v>
      </c>
      <c r="AI596" s="8">
        <f t="shared" si="160"/>
        <v>0.30532984467808172</v>
      </c>
      <c r="AJ596" s="8"/>
      <c r="AK596" s="8"/>
      <c r="AL596" s="8"/>
      <c r="AN596" s="8">
        <f t="shared" si="167"/>
        <v>1</v>
      </c>
      <c r="AO596" s="8">
        <f t="shared" si="168"/>
        <v>1.8923048176621176</v>
      </c>
      <c r="AP596" s="8">
        <f t="shared" si="169"/>
        <v>1.2605115309856041</v>
      </c>
      <c r="AQ596" s="8"/>
      <c r="AR596" s="8">
        <f t="shared" si="170"/>
        <v>108.42107960431214</v>
      </c>
      <c r="AS596" s="8">
        <f t="shared" si="171"/>
        <v>17.778009246950987</v>
      </c>
    </row>
    <row r="597" spans="1:45">
      <c r="A597" s="19">
        <v>125.9258</v>
      </c>
      <c r="B597" s="19">
        <v>161.0288563</v>
      </c>
      <c r="C597" s="19">
        <v>-793.34850960000006</v>
      </c>
      <c r="E597" s="9">
        <f t="shared" si="161"/>
        <v>-798.97114369999997</v>
      </c>
      <c r="F597" s="9">
        <f t="shared" si="162"/>
        <v>-253.34850960000006</v>
      </c>
      <c r="I597">
        <v>1</v>
      </c>
      <c r="J597">
        <f t="shared" si="157"/>
        <v>0.51064653423729611</v>
      </c>
      <c r="K597">
        <f t="shared" si="163"/>
        <v>-2.834528502689444</v>
      </c>
      <c r="O597">
        <f t="shared" si="164"/>
        <v>-0.46588055932229983</v>
      </c>
      <c r="P597">
        <f t="shared" si="165"/>
        <v>-0.14772766987469249</v>
      </c>
      <c r="Q597">
        <f t="shared" si="166"/>
        <v>0.87242870195732036</v>
      </c>
      <c r="R597">
        <f t="shared" si="156"/>
        <v>1</v>
      </c>
      <c r="AG597" s="8">
        <f t="shared" si="158"/>
        <v>-0.30052737151499043</v>
      </c>
      <c r="AH597" s="8">
        <f t="shared" si="159"/>
        <v>0.90348490015463057</v>
      </c>
      <c r="AI597" s="8">
        <f t="shared" si="160"/>
        <v>0.30561141039376782</v>
      </c>
      <c r="AJ597" s="8"/>
      <c r="AK597" s="8"/>
      <c r="AL597" s="8"/>
      <c r="AN597" s="8">
        <f t="shared" si="167"/>
        <v>0.99999999999999989</v>
      </c>
      <c r="AO597" s="8">
        <f t="shared" si="168"/>
        <v>1.8919149327737552</v>
      </c>
      <c r="AP597" s="8">
        <f t="shared" si="169"/>
        <v>1.2602158312653591</v>
      </c>
      <c r="AQ597" s="8"/>
      <c r="AR597" s="8">
        <f t="shared" si="170"/>
        <v>108.39874084571305</v>
      </c>
      <c r="AS597" s="8">
        <f t="shared" si="171"/>
        <v>17.794951592924235</v>
      </c>
    </row>
    <row r="598" spans="1:45">
      <c r="A598" s="19">
        <v>125.9591667</v>
      </c>
      <c r="B598" s="19">
        <v>160.54860790000001</v>
      </c>
      <c r="C598" s="19">
        <v>-793.26596359999996</v>
      </c>
      <c r="E598" s="9">
        <f t="shared" si="161"/>
        <v>-799.45139210000002</v>
      </c>
      <c r="F598" s="9">
        <f t="shared" si="162"/>
        <v>-253.26596359999996</v>
      </c>
      <c r="I598">
        <v>1</v>
      </c>
      <c r="J598">
        <f t="shared" si="157"/>
        <v>0.51086957372288666</v>
      </c>
      <c r="K598">
        <f t="shared" si="163"/>
        <v>-2.8347954272075939</v>
      </c>
      <c r="O598">
        <f t="shared" si="164"/>
        <v>-0.46610546326470492</v>
      </c>
      <c r="P598">
        <f t="shared" si="165"/>
        <v>-0.14766207234047046</v>
      </c>
      <c r="Q598">
        <f t="shared" si="166"/>
        <v>0.87231967162669932</v>
      </c>
      <c r="R598">
        <f t="shared" si="156"/>
        <v>1</v>
      </c>
      <c r="AG598" s="8">
        <f t="shared" si="158"/>
        <v>-0.30028781500748603</v>
      </c>
      <c r="AH598" s="8">
        <f t="shared" si="159"/>
        <v>0.90357584129274593</v>
      </c>
      <c r="AI598" s="8">
        <f t="shared" si="160"/>
        <v>0.30557802144482898</v>
      </c>
      <c r="AJ598" s="8"/>
      <c r="AK598" s="8"/>
      <c r="AL598" s="8"/>
      <c r="AN598" s="8">
        <f t="shared" si="167"/>
        <v>1</v>
      </c>
      <c r="AO598" s="8">
        <f t="shared" si="168"/>
        <v>1.8916460569740166</v>
      </c>
      <c r="AP598" s="8">
        <f t="shared" si="169"/>
        <v>1.2602508977352194</v>
      </c>
      <c r="AQ598" s="8"/>
      <c r="AR598" s="8">
        <f t="shared" si="170"/>
        <v>108.38333539717482</v>
      </c>
      <c r="AS598" s="8">
        <f t="shared" si="171"/>
        <v>17.792942432198814</v>
      </c>
    </row>
    <row r="599" spans="1:45">
      <c r="A599" s="19">
        <v>125.99253330000001</v>
      </c>
      <c r="B599" s="19">
        <v>159.98342020000001</v>
      </c>
      <c r="C599" s="19">
        <v>-793.24034619999998</v>
      </c>
      <c r="E599" s="9">
        <f t="shared" si="161"/>
        <v>-800.01657980000004</v>
      </c>
      <c r="F599" s="9">
        <f t="shared" si="162"/>
        <v>-253.24034619999998</v>
      </c>
      <c r="I599">
        <v>1</v>
      </c>
      <c r="J599">
        <f t="shared" si="157"/>
        <v>0.51114314757567181</v>
      </c>
      <c r="K599">
        <f t="shared" si="163"/>
        <v>-2.8350279410487342</v>
      </c>
      <c r="O599">
        <f t="shared" si="164"/>
        <v>-0.46636728399570981</v>
      </c>
      <c r="P599">
        <f t="shared" si="165"/>
        <v>-0.14762570606343228</v>
      </c>
      <c r="Q599">
        <f t="shared" si="166"/>
        <v>0.87218587888576715</v>
      </c>
      <c r="R599">
        <f t="shared" si="156"/>
        <v>1</v>
      </c>
      <c r="AG599" s="8">
        <f t="shared" si="158"/>
        <v>-0.30002459581022617</v>
      </c>
      <c r="AH599" s="8">
        <f t="shared" si="159"/>
        <v>0.90368884433359109</v>
      </c>
      <c r="AI599" s="8">
        <f t="shared" si="160"/>
        <v>0.30550239693974413</v>
      </c>
      <c r="AJ599" s="8"/>
      <c r="AK599" s="8"/>
      <c r="AL599" s="8"/>
      <c r="AN599" s="8">
        <f t="shared" si="167"/>
        <v>1</v>
      </c>
      <c r="AO599" s="8">
        <f t="shared" si="168"/>
        <v>1.8913463013979157</v>
      </c>
      <c r="AP599" s="8">
        <f t="shared" si="169"/>
        <v>1.2603303202925775</v>
      </c>
      <c r="AQ599" s="8"/>
      <c r="AR599" s="8">
        <f t="shared" si="170"/>
        <v>108.36616066777873</v>
      </c>
      <c r="AS599" s="8">
        <f t="shared" si="171"/>
        <v>17.788391854864059</v>
      </c>
    </row>
    <row r="600" spans="1:45">
      <c r="A600" s="19">
        <v>126.02589999999999</v>
      </c>
      <c r="B600" s="19">
        <v>159.68569110000001</v>
      </c>
      <c r="C600" s="19">
        <v>-793.21083320000002</v>
      </c>
      <c r="E600" s="9">
        <f t="shared" si="161"/>
        <v>-800.31430890000001</v>
      </c>
      <c r="F600" s="9">
        <f t="shared" si="162"/>
        <v>-253.21083320000002</v>
      </c>
      <c r="I600">
        <v>1</v>
      </c>
      <c r="J600">
        <f t="shared" si="157"/>
        <v>0.51128474875747143</v>
      </c>
      <c r="K600">
        <f t="shared" si="163"/>
        <v>-2.8351684998330122</v>
      </c>
      <c r="O600">
        <f t="shared" si="164"/>
        <v>-0.46650577439741275</v>
      </c>
      <c r="P600">
        <f t="shared" si="165"/>
        <v>-0.14759740581189576</v>
      </c>
      <c r="Q600">
        <f t="shared" si="166"/>
        <v>0.87211660243998845</v>
      </c>
      <c r="R600">
        <f t="shared" si="156"/>
        <v>1</v>
      </c>
      <c r="AG600" s="8">
        <f t="shared" si="158"/>
        <v>-0.29988177974598851</v>
      </c>
      <c r="AH600" s="8">
        <f t="shared" si="159"/>
        <v>0.90374696449196834</v>
      </c>
      <c r="AI600" s="8">
        <f t="shared" si="160"/>
        <v>0.30547068983444453</v>
      </c>
      <c r="AJ600" s="8"/>
      <c r="AK600" s="8"/>
      <c r="AL600" s="8"/>
      <c r="AN600" s="8">
        <f t="shared" si="167"/>
        <v>1.0000000000000002</v>
      </c>
      <c r="AO600" s="8">
        <f t="shared" si="168"/>
        <v>1.8911847238959689</v>
      </c>
      <c r="AP600" s="8">
        <f t="shared" si="169"/>
        <v>1.2603636192060346</v>
      </c>
      <c r="AQ600" s="8"/>
      <c r="AR600" s="8">
        <f t="shared" si="170"/>
        <v>108.3569029588529</v>
      </c>
      <c r="AS600" s="8">
        <f t="shared" si="171"/>
        <v>17.786483967660601</v>
      </c>
    </row>
    <row r="601" spans="1:45">
      <c r="A601" s="19">
        <v>126.05926669999999</v>
      </c>
      <c r="B601" s="19">
        <v>159.6808695</v>
      </c>
      <c r="C601" s="19">
        <v>-793.20455440000001</v>
      </c>
      <c r="E601" s="9">
        <f t="shared" si="161"/>
        <v>-800.31913050000003</v>
      </c>
      <c r="F601" s="9">
        <f t="shared" si="162"/>
        <v>-253.20455440000001</v>
      </c>
      <c r="I601">
        <v>1</v>
      </c>
      <c r="J601">
        <f t="shared" si="157"/>
        <v>0.51128614072925604</v>
      </c>
      <c r="K601">
        <f t="shared" si="163"/>
        <v>-2.8351773640237505</v>
      </c>
      <c r="O601">
        <f t="shared" si="164"/>
        <v>-0.46650824012676673</v>
      </c>
      <c r="P601">
        <f t="shared" si="165"/>
        <v>-0.1475936367926497</v>
      </c>
      <c r="Q601">
        <f t="shared" si="166"/>
        <v>0.8721159213499925</v>
      </c>
      <c r="R601">
        <f t="shared" si="156"/>
        <v>1</v>
      </c>
      <c r="AG601" s="8">
        <f t="shared" si="158"/>
        <v>-0.29987795385997645</v>
      </c>
      <c r="AH601" s="8">
        <f t="shared" si="159"/>
        <v>0.90374741218626853</v>
      </c>
      <c r="AI601" s="8">
        <f t="shared" si="160"/>
        <v>0.3054731211667836</v>
      </c>
      <c r="AJ601" s="8"/>
      <c r="AK601" s="8"/>
      <c r="AL601" s="8"/>
      <c r="AN601" s="8">
        <f t="shared" si="167"/>
        <v>0.99999999999999978</v>
      </c>
      <c r="AO601" s="8">
        <f t="shared" si="168"/>
        <v>1.891180762343007</v>
      </c>
      <c r="AP601" s="8">
        <f t="shared" si="169"/>
        <v>1.2603610658248572</v>
      </c>
      <c r="AQ601" s="8"/>
      <c r="AR601" s="8">
        <f t="shared" si="170"/>
        <v>108.35667597858787</v>
      </c>
      <c r="AS601" s="8">
        <f t="shared" si="171"/>
        <v>17.786630265625547</v>
      </c>
    </row>
    <row r="602" spans="1:45">
      <c r="A602" s="19">
        <v>126.0926333</v>
      </c>
      <c r="B602" s="19">
        <v>159.24167360000001</v>
      </c>
      <c r="C602" s="19">
        <v>-793.24634939999999</v>
      </c>
      <c r="E602" s="9">
        <f t="shared" si="161"/>
        <v>-800.75832639999999</v>
      </c>
      <c r="F602" s="9">
        <f t="shared" si="162"/>
        <v>-253.24634939999999</v>
      </c>
      <c r="I602">
        <v>1</v>
      </c>
      <c r="J602">
        <f t="shared" si="157"/>
        <v>0.51150824544256168</v>
      </c>
      <c r="K602">
        <f t="shared" si="163"/>
        <v>-2.8352876600253052</v>
      </c>
      <c r="O602">
        <f t="shared" si="164"/>
        <v>-0.4667091898663015</v>
      </c>
      <c r="P602">
        <f t="shared" si="165"/>
        <v>-0.14760058642965912</v>
      </c>
      <c r="Q602">
        <f t="shared" si="166"/>
        <v>0.87200722415583298</v>
      </c>
      <c r="R602">
        <f t="shared" si="156"/>
        <v>1</v>
      </c>
      <c r="AG602" s="8">
        <f t="shared" si="158"/>
        <v>-0.29968956295114546</v>
      </c>
      <c r="AH602" s="8">
        <f t="shared" si="159"/>
        <v>0.90384034581419725</v>
      </c>
      <c r="AI602" s="8">
        <f t="shared" si="160"/>
        <v>0.30538303020407576</v>
      </c>
      <c r="AJ602" s="8"/>
      <c r="AK602" s="8"/>
      <c r="AL602" s="8"/>
      <c r="AN602" s="8">
        <f t="shared" si="167"/>
        <v>0.99999999999999978</v>
      </c>
      <c r="AO602" s="8">
        <f t="shared" si="168"/>
        <v>1.8909622517517448</v>
      </c>
      <c r="AP602" s="8">
        <f t="shared" si="169"/>
        <v>1.2604556778070513</v>
      </c>
      <c r="AQ602" s="8"/>
      <c r="AR602" s="8">
        <f t="shared" si="170"/>
        <v>108.34415624392963</v>
      </c>
      <c r="AS602" s="8">
        <f t="shared" si="171"/>
        <v>17.781209398354463</v>
      </c>
    </row>
    <row r="603" spans="1:45">
      <c r="A603" s="19">
        <v>126.126</v>
      </c>
      <c r="B603" s="19">
        <v>158.67704860000001</v>
      </c>
      <c r="C603" s="19">
        <v>-793.30185549999999</v>
      </c>
      <c r="E603" s="9">
        <f t="shared" si="161"/>
        <v>-801.32295139999997</v>
      </c>
      <c r="F603" s="9">
        <f t="shared" si="162"/>
        <v>-253.30185549999999</v>
      </c>
      <c r="I603">
        <v>1</v>
      </c>
      <c r="J603">
        <f t="shared" si="157"/>
        <v>0.5117939844982119</v>
      </c>
      <c r="K603">
        <f t="shared" si="163"/>
        <v>-2.8354272751026146</v>
      </c>
      <c r="O603">
        <f t="shared" si="164"/>
        <v>-0.46696735289616403</v>
      </c>
      <c r="P603">
        <f t="shared" si="165"/>
        <v>-0.14761051925427449</v>
      </c>
      <c r="Q603">
        <f t="shared" si="166"/>
        <v>0.87186732129070699</v>
      </c>
      <c r="R603">
        <f t="shared" ref="R603:R666" si="172">SQRT(O603^2+P603^2+Q603^2)</f>
        <v>1</v>
      </c>
      <c r="AG603" s="8">
        <f t="shared" si="158"/>
        <v>-0.29944787652745514</v>
      </c>
      <c r="AH603" s="8">
        <f t="shared" si="159"/>
        <v>0.90395986857261068</v>
      </c>
      <c r="AI603" s="8">
        <f t="shared" si="160"/>
        <v>0.30526631857017328</v>
      </c>
      <c r="AJ603" s="8"/>
      <c r="AK603" s="8"/>
      <c r="AL603" s="8"/>
      <c r="AN603" s="8">
        <f t="shared" si="167"/>
        <v>1</v>
      </c>
      <c r="AO603" s="8">
        <f t="shared" si="168"/>
        <v>1.8906818457506591</v>
      </c>
      <c r="AP603" s="8">
        <f t="shared" si="169"/>
        <v>1.2605782420928753</v>
      </c>
      <c r="AQ603" s="8"/>
      <c r="AR603" s="8">
        <f t="shared" si="170"/>
        <v>108.32809016351729</v>
      </c>
      <c r="AS603" s="8">
        <f t="shared" si="171"/>
        <v>17.774186982057714</v>
      </c>
    </row>
    <row r="604" spans="1:45">
      <c r="A604" s="19">
        <v>126.15936670000001</v>
      </c>
      <c r="B604" s="19">
        <v>158.5455766</v>
      </c>
      <c r="C604" s="19">
        <v>-793.20230530000003</v>
      </c>
      <c r="E604" s="9">
        <f t="shared" si="161"/>
        <v>-801.4544234</v>
      </c>
      <c r="F604" s="9">
        <f t="shared" si="162"/>
        <v>-253.20230530000003</v>
      </c>
      <c r="I604">
        <v>1</v>
      </c>
      <c r="J604">
        <f t="shared" si="157"/>
        <v>0.51184306527078327</v>
      </c>
      <c r="K604">
        <f t="shared" si="163"/>
        <v>-2.8355873547936881</v>
      </c>
      <c r="O604">
        <f t="shared" si="164"/>
        <v>-0.46703177980203897</v>
      </c>
      <c r="P604">
        <f t="shared" si="165"/>
        <v>-0.14754865634476497</v>
      </c>
      <c r="Q604">
        <f t="shared" si="166"/>
        <v>0.87184328331747452</v>
      </c>
      <c r="R604">
        <f t="shared" si="172"/>
        <v>1</v>
      </c>
      <c r="AG604" s="8">
        <f t="shared" si="158"/>
        <v>-0.29936227170014584</v>
      </c>
      <c r="AH604" s="8">
        <f t="shared" si="159"/>
        <v>0.90397812286122115</v>
      </c>
      <c r="AI604" s="8">
        <f t="shared" si="160"/>
        <v>0.30529622282437557</v>
      </c>
      <c r="AJ604" s="8"/>
      <c r="AK604" s="8"/>
      <c r="AL604" s="8"/>
      <c r="AN604" s="8">
        <f t="shared" si="167"/>
        <v>0.99999999999999978</v>
      </c>
      <c r="AO604" s="8">
        <f t="shared" si="168"/>
        <v>1.8905904813584424</v>
      </c>
      <c r="AP604" s="8">
        <f t="shared" si="169"/>
        <v>1.2605468387111083</v>
      </c>
      <c r="AQ604" s="8"/>
      <c r="AR604" s="8">
        <f t="shared" si="170"/>
        <v>108.32285536944549</v>
      </c>
      <c r="AS604" s="8">
        <f t="shared" si="171"/>
        <v>17.775986263295394</v>
      </c>
    </row>
    <row r="605" spans="1:45">
      <c r="A605" s="19">
        <v>126.1927333</v>
      </c>
      <c r="B605" s="19">
        <v>158.4002395</v>
      </c>
      <c r="C605" s="19">
        <v>-793.16501119999998</v>
      </c>
      <c r="E605" s="9">
        <f t="shared" si="161"/>
        <v>-801.5997605</v>
      </c>
      <c r="F605" s="9">
        <f t="shared" si="162"/>
        <v>-253.16501119999998</v>
      </c>
      <c r="I605">
        <v>1</v>
      </c>
      <c r="J605">
        <f t="shared" si="157"/>
        <v>0.51190860630434054</v>
      </c>
      <c r="K605">
        <f t="shared" si="163"/>
        <v>-2.8356817422155176</v>
      </c>
      <c r="O605">
        <f t="shared" si="164"/>
        <v>-0.46710019205767572</v>
      </c>
      <c r="P605">
        <f t="shared" si="165"/>
        <v>-0.14752178229200411</v>
      </c>
      <c r="Q605">
        <f t="shared" si="166"/>
        <v>0.87181118043362638</v>
      </c>
      <c r="R605">
        <f t="shared" si="172"/>
        <v>1</v>
      </c>
      <c r="AG605" s="8">
        <f t="shared" si="158"/>
        <v>-0.29928661812725277</v>
      </c>
      <c r="AH605" s="8">
        <f t="shared" si="159"/>
        <v>0.90400447872366185</v>
      </c>
      <c r="AI605" s="8">
        <f t="shared" si="160"/>
        <v>0.30529235604173327</v>
      </c>
      <c r="AJ605" s="8"/>
      <c r="AK605" s="8"/>
      <c r="AL605" s="8"/>
      <c r="AN605" s="8">
        <f t="shared" si="167"/>
        <v>1</v>
      </c>
      <c r="AO605" s="8">
        <f t="shared" si="168"/>
        <v>1.8905063619131732</v>
      </c>
      <c r="AP605" s="8">
        <f t="shared" si="169"/>
        <v>1.2605508993568919</v>
      </c>
      <c r="AQ605" s="8"/>
      <c r="AR605" s="8">
        <f t="shared" si="170"/>
        <v>108.31803568025659</v>
      </c>
      <c r="AS605" s="8">
        <f t="shared" si="171"/>
        <v>17.775753605429898</v>
      </c>
    </row>
    <row r="606" spans="1:45">
      <c r="A606" s="19">
        <v>126.2261</v>
      </c>
      <c r="B606" s="19">
        <v>157.97334849999999</v>
      </c>
      <c r="C606" s="19">
        <v>-793.13812959999996</v>
      </c>
      <c r="E606" s="9">
        <f t="shared" si="161"/>
        <v>-802.02665150000007</v>
      </c>
      <c r="F606" s="9">
        <f t="shared" si="162"/>
        <v>-253.13812959999996</v>
      </c>
      <c r="I606">
        <v>1</v>
      </c>
      <c r="J606">
        <f t="shared" si="157"/>
        <v>0.51211391047161625</v>
      </c>
      <c r="K606">
        <f t="shared" si="163"/>
        <v>-2.8358650858711796</v>
      </c>
      <c r="O606">
        <f t="shared" si="164"/>
        <v>-0.46729790809041666</v>
      </c>
      <c r="P606">
        <f t="shared" si="165"/>
        <v>-0.14749000946385732</v>
      </c>
      <c r="Q606">
        <f t="shared" si="166"/>
        <v>0.87171059544017926</v>
      </c>
      <c r="R606">
        <f t="shared" si="172"/>
        <v>1</v>
      </c>
      <c r="AG606" s="8">
        <f t="shared" si="158"/>
        <v>-0.29908598497166211</v>
      </c>
      <c r="AH606" s="8">
        <f t="shared" si="159"/>
        <v>0.90408887688296669</v>
      </c>
      <c r="AI606" s="8">
        <f t="shared" si="160"/>
        <v>0.30523904778063154</v>
      </c>
      <c r="AJ606" s="8"/>
      <c r="AK606" s="8"/>
      <c r="AL606" s="8"/>
      <c r="AN606" s="8">
        <f t="shared" si="167"/>
        <v>1</v>
      </c>
      <c r="AO606" s="8">
        <f t="shared" si="168"/>
        <v>1.8902784951459453</v>
      </c>
      <c r="AP606" s="8">
        <f t="shared" si="169"/>
        <v>1.2606068797163945</v>
      </c>
      <c r="AQ606" s="8"/>
      <c r="AR606" s="8">
        <f t="shared" si="170"/>
        <v>108.30497987620313</v>
      </c>
      <c r="AS606" s="8">
        <f t="shared" si="171"/>
        <v>17.772546167094774</v>
      </c>
    </row>
    <row r="607" spans="1:45">
      <c r="A607" s="19">
        <v>126.2594667</v>
      </c>
      <c r="B607" s="19">
        <v>157.69183050000001</v>
      </c>
      <c r="C607" s="19">
        <v>-793.13884489999998</v>
      </c>
      <c r="E607" s="9">
        <f t="shared" si="161"/>
        <v>-802.30816949999996</v>
      </c>
      <c r="F607" s="9">
        <f t="shared" si="162"/>
        <v>-253.13884489999998</v>
      </c>
      <c r="I607">
        <v>1</v>
      </c>
      <c r="J607">
        <f t="shared" si="157"/>
        <v>0.51225213787573309</v>
      </c>
      <c r="K607">
        <f t="shared" si="163"/>
        <v>-2.8359649927150539</v>
      </c>
      <c r="O607">
        <f t="shared" si="164"/>
        <v>-0.46742754693507188</v>
      </c>
      <c r="P607">
        <f t="shared" si="165"/>
        <v>-0.14747957680566109</v>
      </c>
      <c r="Q607">
        <f t="shared" si="166"/>
        <v>0.8716428527737059</v>
      </c>
      <c r="R607">
        <f t="shared" si="172"/>
        <v>1</v>
      </c>
      <c r="AG607" s="8">
        <f t="shared" si="158"/>
        <v>-0.2989585016087517</v>
      </c>
      <c r="AH607" s="8">
        <f t="shared" si="159"/>
        <v>0.90414606695591204</v>
      </c>
      <c r="AI607" s="8">
        <f t="shared" si="160"/>
        <v>0.30519453455788748</v>
      </c>
      <c r="AJ607" s="8"/>
      <c r="AK607" s="8"/>
      <c r="AL607" s="8"/>
      <c r="AN607" s="8">
        <f t="shared" si="167"/>
        <v>1</v>
      </c>
      <c r="AO607" s="8">
        <f t="shared" si="168"/>
        <v>1.8901325370445752</v>
      </c>
      <c r="AP607" s="8">
        <f t="shared" si="169"/>
        <v>1.2606536234130683</v>
      </c>
      <c r="AQ607" s="8"/>
      <c r="AR607" s="8">
        <f t="shared" si="170"/>
        <v>108.29661709300889</v>
      </c>
      <c r="AS607" s="8">
        <f t="shared" si="171"/>
        <v>17.769867950556517</v>
      </c>
    </row>
    <row r="608" spans="1:45">
      <c r="A608" s="19">
        <v>126.2928333</v>
      </c>
      <c r="B608" s="19">
        <v>157.5662207</v>
      </c>
      <c r="C608" s="19">
        <v>-793.18563849999998</v>
      </c>
      <c r="E608" s="9">
        <f t="shared" si="161"/>
        <v>-802.43377929999997</v>
      </c>
      <c r="F608" s="9">
        <f t="shared" si="162"/>
        <v>-253.18563849999998</v>
      </c>
      <c r="I608">
        <v>1</v>
      </c>
      <c r="J608">
        <f t="shared" ref="J608:J671" si="173">ATAN((SQRT(E608^2+F608^2)^$B$16)/($F$24))</f>
        <v>0.51232100051603224</v>
      </c>
      <c r="K608">
        <f t="shared" si="163"/>
        <v>-2.8359568754009628</v>
      </c>
      <c r="O608">
        <f t="shared" si="164"/>
        <v>-0.46748359055690347</v>
      </c>
      <c r="P608">
        <f t="shared" si="165"/>
        <v>-0.14750143179001421</v>
      </c>
      <c r="Q608">
        <f t="shared" si="166"/>
        <v>0.87160909826591482</v>
      </c>
      <c r="R608">
        <f t="shared" si="172"/>
        <v>1</v>
      </c>
      <c r="AG608" s="8">
        <f t="shared" ref="AG608:AG671" si="174">$O608*$Z$27+$P608*$Z$31+$Q608*$Z$35</f>
        <v>-0.29891374536002369</v>
      </c>
      <c r="AH608" s="8">
        <f t="shared" ref="AH608:AH671" si="175">$O608*$AA$27+$P608*$AA$31+$Q608*$AA$35</f>
        <v>0.9041755259249673</v>
      </c>
      <c r="AI608" s="8">
        <f t="shared" ref="AI608:AI671" si="176">$AB$27*$O608+$P608*$AB$31+$AB$35*$Q608</f>
        <v>0.30515109561191411</v>
      </c>
      <c r="AJ608" s="8"/>
      <c r="AK608" s="8"/>
      <c r="AL608" s="8"/>
      <c r="AN608" s="8">
        <f t="shared" si="167"/>
        <v>0.99999999999999978</v>
      </c>
      <c r="AO608" s="8">
        <f t="shared" si="168"/>
        <v>1.8900782037665391</v>
      </c>
      <c r="AP608" s="8">
        <f t="shared" si="169"/>
        <v>1.2606992383278857</v>
      </c>
      <c r="AQ608" s="8"/>
      <c r="AR608" s="8">
        <f t="shared" si="170"/>
        <v>108.29350402549031</v>
      </c>
      <c r="AS608" s="8">
        <f t="shared" si="171"/>
        <v>17.767254408454633</v>
      </c>
    </row>
    <row r="609" spans="1:45">
      <c r="A609" s="19">
        <v>126.3262</v>
      </c>
      <c r="B609" s="19">
        <v>157.17955459999999</v>
      </c>
      <c r="C609" s="19">
        <v>-793.21354369999995</v>
      </c>
      <c r="E609" s="9">
        <f t="shared" ref="E609:E672" si="177">(B609-($B$15/2))</f>
        <v>-802.82044540000004</v>
      </c>
      <c r="F609" s="9">
        <f t="shared" ref="F609:F672" si="178">(($C$15/2)+C609)</f>
        <v>-253.21354369999995</v>
      </c>
      <c r="I609">
        <v>1</v>
      </c>
      <c r="J609">
        <f t="shared" si="173"/>
        <v>0.51251497913314237</v>
      </c>
      <c r="K609">
        <f t="shared" ref="K609:K672" si="179">ATAN2(E609,F609)</f>
        <v>-2.8360634743936779</v>
      </c>
      <c r="O609">
        <f t="shared" ref="O609:O672" si="180">COS(K609)*SIN(J609)</f>
        <v>-0.46766054598750234</v>
      </c>
      <c r="P609">
        <f t="shared" ref="P609:P672" si="181">SIN(K609)*SIN(J609)</f>
        <v>-0.14750245185792607</v>
      </c>
      <c r="Q609">
        <f t="shared" ref="Q609:Q672" si="182">COS(J609)</f>
        <v>0.87151399324541623</v>
      </c>
      <c r="R609">
        <f t="shared" si="172"/>
        <v>1</v>
      </c>
      <c r="AG609" s="8">
        <f t="shared" si="174"/>
        <v>-0.29874569594825173</v>
      </c>
      <c r="AH609" s="8">
        <f t="shared" si="175"/>
        <v>0.9042563013721745</v>
      </c>
      <c r="AI609" s="8">
        <f t="shared" si="176"/>
        <v>0.30507630288357351</v>
      </c>
      <c r="AJ609" s="8"/>
      <c r="AK609" s="8"/>
      <c r="AL609" s="8"/>
      <c r="AN609" s="8">
        <f t="shared" ref="AN609:AN672" si="183">AG609^2+AH609^2+AI609^2</f>
        <v>1</v>
      </c>
      <c r="AO609" s="8">
        <f t="shared" ref="AO609:AO672" si="184">IF(ATAN2(AG609,AH609)&gt;=0,ATAN2(AG609,AH609),ATAN2(AG609,AH609)+2*PI())</f>
        <v>1.8898840368629124</v>
      </c>
      <c r="AP609" s="8">
        <f t="shared" ref="AP609:AP672" si="185">ACOS(AI609/AN609)</f>
        <v>1.2607777760547152</v>
      </c>
      <c r="AQ609" s="8"/>
      <c r="AR609" s="8">
        <f t="shared" ref="AR609:AR672" si="186">DEGREES(AO609)</f>
        <v>108.28237908139137</v>
      </c>
      <c r="AS609" s="8">
        <f t="shared" ref="AS609:AS672" si="187">90-DEGREES(AP609)</f>
        <v>17.762754528174753</v>
      </c>
    </row>
    <row r="610" spans="1:45">
      <c r="A610" s="19">
        <v>126.3595667</v>
      </c>
      <c r="B610" s="19">
        <v>156.8515404</v>
      </c>
      <c r="C610" s="19">
        <v>-793.256576</v>
      </c>
      <c r="E610" s="9">
        <f t="shared" si="177"/>
        <v>-803.14845960000002</v>
      </c>
      <c r="F610" s="9">
        <f t="shared" si="178"/>
        <v>-253.256576</v>
      </c>
      <c r="I610">
        <v>1</v>
      </c>
      <c r="J610">
        <f t="shared" si="173"/>
        <v>0.5126824989752865</v>
      </c>
      <c r="K610">
        <f t="shared" si="179"/>
        <v>-2.8361319038005672</v>
      </c>
      <c r="O610">
        <f t="shared" si="180"/>
        <v>-0.46780986935183488</v>
      </c>
      <c r="P610">
        <f t="shared" si="181"/>
        <v>-0.14751435343604954</v>
      </c>
      <c r="Q610">
        <f t="shared" si="182"/>
        <v>0.87143183420584513</v>
      </c>
      <c r="R610">
        <f t="shared" si="172"/>
        <v>1</v>
      </c>
      <c r="AG610" s="8">
        <f t="shared" si="174"/>
        <v>-0.29860820443937625</v>
      </c>
      <c r="AH610" s="8">
        <f t="shared" si="175"/>
        <v>0.90432642713281208</v>
      </c>
      <c r="AI610" s="8">
        <f t="shared" si="176"/>
        <v>0.30500303839584042</v>
      </c>
      <c r="AJ610" s="8"/>
      <c r="AK610" s="8"/>
      <c r="AL610" s="8"/>
      <c r="AN610" s="8">
        <f t="shared" si="183"/>
        <v>1</v>
      </c>
      <c r="AO610" s="8">
        <f t="shared" si="184"/>
        <v>1.8897238547081163</v>
      </c>
      <c r="AP610" s="8">
        <f t="shared" si="185"/>
        <v>1.2608547071035754</v>
      </c>
      <c r="AQ610" s="8"/>
      <c r="AR610" s="8">
        <f t="shared" si="186"/>
        <v>108.27320131996825</v>
      </c>
      <c r="AS610" s="8">
        <f t="shared" si="187"/>
        <v>17.758346703761546</v>
      </c>
    </row>
    <row r="611" spans="1:45">
      <c r="A611" s="19">
        <v>126.3929333</v>
      </c>
      <c r="B611" s="19">
        <v>156.64173009999999</v>
      </c>
      <c r="C611" s="19">
        <v>-793.25147300000003</v>
      </c>
      <c r="E611" s="9">
        <f t="shared" si="177"/>
        <v>-803.35826989999998</v>
      </c>
      <c r="F611" s="9">
        <f t="shared" si="178"/>
        <v>-253.25147300000003</v>
      </c>
      <c r="I611">
        <v>1</v>
      </c>
      <c r="J611">
        <f t="shared" si="173"/>
        <v>0.51278459220394157</v>
      </c>
      <c r="K611">
        <f t="shared" si="179"/>
        <v>-2.8362125889596332</v>
      </c>
      <c r="O611">
        <f t="shared" si="180"/>
        <v>-0.46790661862787947</v>
      </c>
      <c r="P611">
        <f t="shared" si="181"/>
        <v>-0.14750335539423781</v>
      </c>
      <c r="Q611">
        <f t="shared" si="182"/>
        <v>0.87138175123860917</v>
      </c>
      <c r="R611">
        <f t="shared" si="172"/>
        <v>1</v>
      </c>
      <c r="AG611" s="8">
        <f t="shared" si="174"/>
        <v>-0.29851175957723974</v>
      </c>
      <c r="AH611" s="8">
        <f t="shared" si="175"/>
        <v>0.90436848982515738</v>
      </c>
      <c r="AI611" s="8">
        <f t="shared" si="176"/>
        <v>0.30497272665840852</v>
      </c>
      <c r="AJ611" s="8"/>
      <c r="AK611" s="8"/>
      <c r="AL611" s="8"/>
      <c r="AN611" s="8">
        <f t="shared" si="183"/>
        <v>1</v>
      </c>
      <c r="AO611" s="8">
        <f t="shared" si="184"/>
        <v>1.8896138438591825</v>
      </c>
      <c r="AP611" s="8">
        <f t="shared" si="185"/>
        <v>1.2608865352540444</v>
      </c>
      <c r="AQ611" s="8"/>
      <c r="AR611" s="8">
        <f t="shared" si="186"/>
        <v>108.26689816262369</v>
      </c>
      <c r="AS611" s="8">
        <f t="shared" si="187"/>
        <v>17.756523085069972</v>
      </c>
    </row>
    <row r="612" spans="1:45">
      <c r="A612" s="19">
        <v>126.4263</v>
      </c>
      <c r="B612" s="19">
        <v>156.3322144</v>
      </c>
      <c r="C612" s="19">
        <v>-793.20601550000003</v>
      </c>
      <c r="E612" s="9">
        <f t="shared" si="177"/>
        <v>-803.6677856</v>
      </c>
      <c r="F612" s="9">
        <f t="shared" si="178"/>
        <v>-253.20601550000003</v>
      </c>
      <c r="I612">
        <v>1</v>
      </c>
      <c r="J612">
        <f t="shared" si="173"/>
        <v>0.51292932678870962</v>
      </c>
      <c r="K612">
        <f t="shared" si="179"/>
        <v>-2.8363744807188764</v>
      </c>
      <c r="O612">
        <f t="shared" si="180"/>
        <v>-0.46805077720284599</v>
      </c>
      <c r="P612">
        <f t="shared" si="181"/>
        <v>-0.14746550063435923</v>
      </c>
      <c r="Q612">
        <f t="shared" si="182"/>
        <v>0.87131073451580388</v>
      </c>
      <c r="R612">
        <f t="shared" si="172"/>
        <v>1</v>
      </c>
      <c r="AG612" s="8">
        <f t="shared" si="174"/>
        <v>-0.29835960431112929</v>
      </c>
      <c r="AH612" s="8">
        <f t="shared" si="175"/>
        <v>0.90442729062433025</v>
      </c>
      <c r="AI612" s="8">
        <f t="shared" si="176"/>
        <v>0.30494724541998997</v>
      </c>
      <c r="AJ612" s="8"/>
      <c r="AK612" s="8"/>
      <c r="AL612" s="8"/>
      <c r="AN612" s="8">
        <f t="shared" si="183"/>
        <v>0.99999999999999989</v>
      </c>
      <c r="AO612" s="8">
        <f t="shared" si="184"/>
        <v>1.8894427774198177</v>
      </c>
      <c r="AP612" s="8">
        <f t="shared" si="185"/>
        <v>1.2609132909979168</v>
      </c>
      <c r="AQ612" s="8"/>
      <c r="AR612" s="8">
        <f t="shared" si="186"/>
        <v>108.25709677763176</v>
      </c>
      <c r="AS612" s="8">
        <f t="shared" si="187"/>
        <v>17.754990093868344</v>
      </c>
    </row>
    <row r="613" spans="1:45">
      <c r="A613" s="19">
        <v>126.4596667</v>
      </c>
      <c r="B613" s="19">
        <v>155.7800541</v>
      </c>
      <c r="C613" s="19">
        <v>-793.18493980000005</v>
      </c>
      <c r="E613" s="9">
        <f t="shared" si="177"/>
        <v>-804.21994589999997</v>
      </c>
      <c r="F613" s="9">
        <f t="shared" si="178"/>
        <v>-253.18493980000005</v>
      </c>
      <c r="I613">
        <v>1</v>
      </c>
      <c r="J613">
        <f t="shared" si="173"/>
        <v>0.51319675794163144</v>
      </c>
      <c r="K613">
        <f t="shared" si="179"/>
        <v>-2.8365951180384665</v>
      </c>
      <c r="O613">
        <f t="shared" si="180"/>
        <v>-0.46830554688675918</v>
      </c>
      <c r="P613">
        <f t="shared" si="181"/>
        <v>-0.14743219476338817</v>
      </c>
      <c r="Q613">
        <f t="shared" si="182"/>
        <v>0.87117946641455213</v>
      </c>
      <c r="R613">
        <f t="shared" si="172"/>
        <v>1</v>
      </c>
      <c r="AG613" s="8">
        <f t="shared" si="174"/>
        <v>-0.29810385728943317</v>
      </c>
      <c r="AH613" s="8">
        <f t="shared" si="175"/>
        <v>0.90453720368094226</v>
      </c>
      <c r="AI613" s="8">
        <f t="shared" si="176"/>
        <v>0.30487134569556162</v>
      </c>
      <c r="AJ613" s="8"/>
      <c r="AK613" s="8"/>
      <c r="AL613" s="8"/>
      <c r="AN613" s="8">
        <f t="shared" si="183"/>
        <v>0.99999999999999978</v>
      </c>
      <c r="AO613" s="8">
        <f t="shared" si="184"/>
        <v>1.889151609418066</v>
      </c>
      <c r="AP613" s="8">
        <f t="shared" si="185"/>
        <v>1.2609929856715587</v>
      </c>
      <c r="AQ613" s="8"/>
      <c r="AR613" s="8">
        <f t="shared" si="186"/>
        <v>108.24041408000213</v>
      </c>
      <c r="AS613" s="8">
        <f t="shared" si="187"/>
        <v>17.750423925419</v>
      </c>
    </row>
    <row r="614" spans="1:45">
      <c r="A614" s="19">
        <v>126.49303329999999</v>
      </c>
      <c r="B614" s="19">
        <v>155.80465620000001</v>
      </c>
      <c r="C614" s="19">
        <v>-793.18386629999998</v>
      </c>
      <c r="E614" s="9">
        <f t="shared" si="177"/>
        <v>-804.19534380000005</v>
      </c>
      <c r="F614" s="9">
        <f t="shared" si="178"/>
        <v>-253.18386629999998</v>
      </c>
      <c r="I614">
        <v>1</v>
      </c>
      <c r="J614">
        <f t="shared" si="173"/>
        <v>0.51318453289467003</v>
      </c>
      <c r="K614">
        <f t="shared" si="179"/>
        <v>-2.8365875699848657</v>
      </c>
      <c r="O614">
        <f t="shared" si="180"/>
        <v>-0.46829427535832796</v>
      </c>
      <c r="P614">
        <f t="shared" si="181"/>
        <v>-0.14743253130655384</v>
      </c>
      <c r="Q614">
        <f t="shared" si="182"/>
        <v>0.87118546841597433</v>
      </c>
      <c r="R614">
        <f t="shared" si="172"/>
        <v>1</v>
      </c>
      <c r="AG614" s="8">
        <f t="shared" si="174"/>
        <v>-0.29811472650555731</v>
      </c>
      <c r="AH614" s="8">
        <f t="shared" si="175"/>
        <v>0.90453213768686969</v>
      </c>
      <c r="AI614" s="8">
        <f t="shared" si="176"/>
        <v>0.30487574802227013</v>
      </c>
      <c r="AJ614" s="8"/>
      <c r="AK614" s="8"/>
      <c r="AL614" s="8"/>
      <c r="AN614" s="8">
        <f t="shared" si="183"/>
        <v>1.0000000000000002</v>
      </c>
      <c r="AO614" s="8">
        <f t="shared" si="184"/>
        <v>1.8891641134434447</v>
      </c>
      <c r="AP614" s="8">
        <f t="shared" si="185"/>
        <v>1.2609883632862082</v>
      </c>
      <c r="AQ614" s="8"/>
      <c r="AR614" s="8">
        <f t="shared" si="186"/>
        <v>108.24113050788324</v>
      </c>
      <c r="AS614" s="8">
        <f t="shared" si="187"/>
        <v>17.750688768590862</v>
      </c>
    </row>
    <row r="615" spans="1:45">
      <c r="A615" s="19">
        <v>130.19673330000001</v>
      </c>
      <c r="B615" s="19">
        <v>118.1135507</v>
      </c>
      <c r="C615" s="19">
        <v>-795.44238010000004</v>
      </c>
      <c r="E615" s="9">
        <f t="shared" si="177"/>
        <v>-841.88644929999998</v>
      </c>
      <c r="F615" s="9">
        <f t="shared" si="178"/>
        <v>-255.44238010000004</v>
      </c>
      <c r="I615">
        <v>1</v>
      </c>
      <c r="J615">
        <f t="shared" si="173"/>
        <v>0.53183789531495784</v>
      </c>
      <c r="K615">
        <f t="shared" si="179"/>
        <v>-2.8470042577019612</v>
      </c>
      <c r="O615">
        <f t="shared" si="180"/>
        <v>-0.48527245980063927</v>
      </c>
      <c r="P615">
        <f t="shared" si="181"/>
        <v>-0.14723975214415774</v>
      </c>
      <c r="Q615">
        <f t="shared" si="182"/>
        <v>0.8618764964584914</v>
      </c>
      <c r="R615">
        <f t="shared" si="172"/>
        <v>1</v>
      </c>
      <c r="AG615" s="8">
        <f t="shared" si="174"/>
        <v>-0.28173740851992707</v>
      </c>
      <c r="AH615" s="8">
        <f t="shared" si="175"/>
        <v>0.91209486736493195</v>
      </c>
      <c r="AI615" s="8">
        <f t="shared" si="176"/>
        <v>0.29783717962508122</v>
      </c>
      <c r="AJ615" s="8"/>
      <c r="AK615" s="8"/>
      <c r="AL615" s="8"/>
      <c r="AN615" s="8">
        <f t="shared" si="183"/>
        <v>1</v>
      </c>
      <c r="AO615" s="8">
        <f t="shared" si="184"/>
        <v>1.8703894231605256</v>
      </c>
      <c r="AP615" s="8">
        <f t="shared" si="185"/>
        <v>1.2683701188028897</v>
      </c>
      <c r="AQ615" s="8"/>
      <c r="AR615" s="8">
        <f t="shared" si="186"/>
        <v>107.16541999300671</v>
      </c>
      <c r="AS615" s="8">
        <f t="shared" si="187"/>
        <v>17.327745332087602</v>
      </c>
    </row>
    <row r="616" spans="1:45">
      <c r="A616" s="19">
        <v>130.23009999999999</v>
      </c>
      <c r="B616" s="19">
        <v>118.534494</v>
      </c>
      <c r="C616" s="19">
        <v>-794.88112249999995</v>
      </c>
      <c r="E616" s="9">
        <f t="shared" si="177"/>
        <v>-841.465506</v>
      </c>
      <c r="F616" s="9">
        <f t="shared" si="178"/>
        <v>-254.88112249999995</v>
      </c>
      <c r="I616">
        <v>1</v>
      </c>
      <c r="J616">
        <f t="shared" si="173"/>
        <v>0.53155317313229955</v>
      </c>
      <c r="K616">
        <f t="shared" si="179"/>
        <v>-2.8474761079750959</v>
      </c>
      <c r="O616">
        <f t="shared" si="180"/>
        <v>-0.4851070034817615</v>
      </c>
      <c r="P616">
        <f t="shared" si="181"/>
        <v>-0.146939615110073</v>
      </c>
      <c r="Q616">
        <f t="shared" si="182"/>
        <v>0.86202084933268852</v>
      </c>
      <c r="R616">
        <f t="shared" si="172"/>
        <v>0.99999999999999989</v>
      </c>
      <c r="AG616" s="8">
        <f t="shared" si="174"/>
        <v>-0.2817798451470358</v>
      </c>
      <c r="AH616" s="8">
        <f t="shared" si="175"/>
        <v>0.9119683374482479</v>
      </c>
      <c r="AI616" s="8">
        <f t="shared" si="176"/>
        <v>0.29818428925882579</v>
      </c>
      <c r="AJ616" s="8"/>
      <c r="AK616" s="8"/>
      <c r="AL616" s="8"/>
      <c r="AN616" s="8">
        <f t="shared" si="183"/>
        <v>0.99999999999999989</v>
      </c>
      <c r="AO616" s="8">
        <f t="shared" si="184"/>
        <v>1.8704710246663423</v>
      </c>
      <c r="AP616" s="8">
        <f t="shared" si="185"/>
        <v>1.2680064866369429</v>
      </c>
      <c r="AQ616" s="8"/>
      <c r="AR616" s="8">
        <f t="shared" si="186"/>
        <v>107.17009541489192</v>
      </c>
      <c r="AS616" s="8">
        <f t="shared" si="187"/>
        <v>17.348579920491545</v>
      </c>
    </row>
    <row r="617" spans="1:45">
      <c r="A617" s="19">
        <v>130.26346670000001</v>
      </c>
      <c r="B617" s="19">
        <v>117.6029391</v>
      </c>
      <c r="C617" s="19">
        <v>-794.97835859999998</v>
      </c>
      <c r="E617" s="9">
        <f t="shared" si="177"/>
        <v>-842.39706090000004</v>
      </c>
      <c r="F617" s="9">
        <f t="shared" si="178"/>
        <v>-254.97835859999998</v>
      </c>
      <c r="I617">
        <v>1</v>
      </c>
      <c r="J617">
        <f t="shared" si="173"/>
        <v>0.53201607296059505</v>
      </c>
      <c r="K617">
        <f t="shared" si="179"/>
        <v>-2.8476772031466413</v>
      </c>
      <c r="O617">
        <f t="shared" si="180"/>
        <v>-0.48551840821988457</v>
      </c>
      <c r="P617">
        <f t="shared" si="181"/>
        <v>-0.1469576433062684</v>
      </c>
      <c r="Q617">
        <f t="shared" si="182"/>
        <v>0.86178612564458068</v>
      </c>
      <c r="R617">
        <f t="shared" si="172"/>
        <v>1</v>
      </c>
      <c r="AG617" s="8">
        <f t="shared" si="174"/>
        <v>-0.28138874323186797</v>
      </c>
      <c r="AH617" s="8">
        <f t="shared" si="175"/>
        <v>0.91215259513255675</v>
      </c>
      <c r="AI617" s="8">
        <f t="shared" si="176"/>
        <v>0.29798996354798896</v>
      </c>
      <c r="AJ617" s="8"/>
      <c r="AK617" s="8"/>
      <c r="AL617" s="8"/>
      <c r="AN617" s="8">
        <f t="shared" si="183"/>
        <v>0.99999999999999989</v>
      </c>
      <c r="AO617" s="8">
        <f t="shared" si="184"/>
        <v>1.8700225855012127</v>
      </c>
      <c r="AP617" s="8">
        <f t="shared" si="185"/>
        <v>1.2682100674013193</v>
      </c>
      <c r="AQ617" s="8"/>
      <c r="AR617" s="8">
        <f t="shared" si="186"/>
        <v>107.14440174336161</v>
      </c>
      <c r="AS617" s="8">
        <f t="shared" si="187"/>
        <v>17.336915601902746</v>
      </c>
    </row>
    <row r="618" spans="1:45">
      <c r="A618" s="19">
        <v>130.2968333</v>
      </c>
      <c r="B618" s="19">
        <v>117.5942806</v>
      </c>
      <c r="C618" s="19">
        <v>-794.86933079999994</v>
      </c>
      <c r="E618" s="9">
        <f t="shared" si="177"/>
        <v>-842.40571939999995</v>
      </c>
      <c r="F618" s="9">
        <f t="shared" si="178"/>
        <v>-254.86933079999994</v>
      </c>
      <c r="I618">
        <v>1</v>
      </c>
      <c r="J618">
        <f t="shared" si="173"/>
        <v>0.53200435356082987</v>
      </c>
      <c r="K618">
        <f t="shared" si="179"/>
        <v>-2.8477986196697995</v>
      </c>
      <c r="O618">
        <f t="shared" si="180"/>
        <v>-0.4855265808253878</v>
      </c>
      <c r="P618">
        <f t="shared" si="181"/>
        <v>-0.14689576755095657</v>
      </c>
      <c r="Q618">
        <f t="shared" si="182"/>
        <v>0.86179207050635098</v>
      </c>
      <c r="R618">
        <f t="shared" si="172"/>
        <v>1</v>
      </c>
      <c r="AG618" s="8">
        <f t="shared" si="174"/>
        <v>-0.28135656520868702</v>
      </c>
      <c r="AH618" s="8">
        <f t="shared" si="175"/>
        <v>0.91214511184551217</v>
      </c>
      <c r="AI618" s="8">
        <f t="shared" si="176"/>
        <v>0.29804324879169453</v>
      </c>
      <c r="AJ618" s="8"/>
      <c r="AK618" s="8"/>
      <c r="AL618" s="8"/>
      <c r="AN618" s="8">
        <f t="shared" si="183"/>
        <v>0.99999999999999989</v>
      </c>
      <c r="AO618" s="8">
        <f t="shared" si="184"/>
        <v>1.8699926843047718</v>
      </c>
      <c r="AP618" s="8">
        <f t="shared" si="185"/>
        <v>1.2681542456557564</v>
      </c>
      <c r="AQ618" s="8"/>
      <c r="AR618" s="8">
        <f t="shared" si="186"/>
        <v>107.14268853100316</v>
      </c>
      <c r="AS618" s="8">
        <f t="shared" si="187"/>
        <v>17.340113952328551</v>
      </c>
    </row>
    <row r="619" spans="1:45">
      <c r="A619" s="19">
        <v>130.33019999999999</v>
      </c>
      <c r="B619" s="19">
        <v>117.60186210000001</v>
      </c>
      <c r="C619" s="19">
        <v>-794.80812730000002</v>
      </c>
      <c r="E619" s="9">
        <f t="shared" si="177"/>
        <v>-842.39813789999994</v>
      </c>
      <c r="F619" s="9">
        <f t="shared" si="178"/>
        <v>-254.80812730000002</v>
      </c>
      <c r="I619">
        <v>1</v>
      </c>
      <c r="J619">
        <f t="shared" si="173"/>
        <v>0.53199178535707947</v>
      </c>
      <c r="K619">
        <f t="shared" si="179"/>
        <v>-2.8478626874794126</v>
      </c>
      <c r="O619">
        <f t="shared" si="180"/>
        <v>-0.48552562379495562</v>
      </c>
      <c r="P619">
        <f t="shared" si="181"/>
        <v>-0.14686152472246228</v>
      </c>
      <c r="Q619">
        <f t="shared" si="182"/>
        <v>0.86179844580662412</v>
      </c>
      <c r="R619">
        <f t="shared" si="172"/>
        <v>1</v>
      </c>
      <c r="AG619" s="8">
        <f t="shared" si="174"/>
        <v>-0.28134406095743053</v>
      </c>
      <c r="AH619" s="8">
        <f t="shared" si="175"/>
        <v>0.9121385590843385</v>
      </c>
      <c r="AI619" s="8">
        <f t="shared" si="176"/>
        <v>0.29807510529316006</v>
      </c>
      <c r="AJ619" s="8"/>
      <c r="AK619" s="8"/>
      <c r="AL619" s="8"/>
      <c r="AN619" s="8">
        <f t="shared" si="183"/>
        <v>1</v>
      </c>
      <c r="AO619" s="8">
        <f t="shared" si="184"/>
        <v>1.8699821899660622</v>
      </c>
      <c r="AP619" s="8">
        <f t="shared" si="185"/>
        <v>1.2681208722458295</v>
      </c>
      <c r="AQ619" s="8"/>
      <c r="AR619" s="8">
        <f t="shared" si="186"/>
        <v>107.14208724968633</v>
      </c>
      <c r="AS619" s="8">
        <f t="shared" si="187"/>
        <v>17.342026107865323</v>
      </c>
    </row>
    <row r="620" spans="1:45">
      <c r="A620" s="19">
        <v>130.36356670000001</v>
      </c>
      <c r="B620" s="19">
        <v>117.1215136</v>
      </c>
      <c r="C620" s="19">
        <v>-794.96132869999997</v>
      </c>
      <c r="E620" s="9">
        <f t="shared" si="177"/>
        <v>-842.87848640000004</v>
      </c>
      <c r="F620" s="9">
        <f t="shared" si="178"/>
        <v>-254.96132869999997</v>
      </c>
      <c r="I620">
        <v>1</v>
      </c>
      <c r="J620">
        <f t="shared" si="173"/>
        <v>0.53224540922969621</v>
      </c>
      <c r="K620">
        <f t="shared" si="179"/>
        <v>-2.84785409415657</v>
      </c>
      <c r="O620">
        <f t="shared" si="180"/>
        <v>-0.48573355691455244</v>
      </c>
      <c r="P620">
        <f t="shared" si="181"/>
        <v>-0.14692897619686043</v>
      </c>
      <c r="Q620">
        <f t="shared" si="182"/>
        <v>0.86166976716192134</v>
      </c>
      <c r="R620">
        <f t="shared" si="172"/>
        <v>1</v>
      </c>
      <c r="AG620" s="8">
        <f t="shared" si="174"/>
        <v>-0.28116921082230584</v>
      </c>
      <c r="AH620" s="8">
        <f t="shared" si="175"/>
        <v>0.91224207527551393</v>
      </c>
      <c r="AI620" s="8">
        <f t="shared" si="176"/>
        <v>0.29792326358071686</v>
      </c>
      <c r="AJ620" s="8"/>
      <c r="AK620" s="8"/>
      <c r="AL620" s="8"/>
      <c r="AN620" s="8">
        <f t="shared" si="183"/>
        <v>1</v>
      </c>
      <c r="AO620" s="8">
        <f t="shared" si="184"/>
        <v>1.8697751970489873</v>
      </c>
      <c r="AP620" s="8">
        <f t="shared" si="185"/>
        <v>1.2682799410717078</v>
      </c>
      <c r="AQ620" s="8"/>
      <c r="AR620" s="8">
        <f t="shared" si="186"/>
        <v>107.13022742914883</v>
      </c>
      <c r="AS620" s="8">
        <f t="shared" si="187"/>
        <v>17.332912135490389</v>
      </c>
    </row>
    <row r="621" spans="1:45">
      <c r="A621" s="19">
        <v>130.3969333</v>
      </c>
      <c r="B621" s="19">
        <v>115.9735428</v>
      </c>
      <c r="C621" s="19">
        <v>-794.86045200000001</v>
      </c>
      <c r="E621" s="9">
        <f t="shared" si="177"/>
        <v>-844.02645719999998</v>
      </c>
      <c r="F621" s="9">
        <f t="shared" si="178"/>
        <v>-254.86045200000001</v>
      </c>
      <c r="I621">
        <v>1</v>
      </c>
      <c r="J621">
        <f t="shared" si="173"/>
        <v>0.53278332035650044</v>
      </c>
      <c r="K621">
        <f t="shared" si="179"/>
        <v>-2.8483405948809022</v>
      </c>
      <c r="O621">
        <f t="shared" si="180"/>
        <v>-0.48624862452256257</v>
      </c>
      <c r="P621">
        <f t="shared" si="181"/>
        <v>-0.14682661091136073</v>
      </c>
      <c r="Q621">
        <f t="shared" si="182"/>
        <v>0.86139666906611601</v>
      </c>
      <c r="R621">
        <f t="shared" si="172"/>
        <v>1</v>
      </c>
      <c r="AG621" s="8">
        <f t="shared" si="174"/>
        <v>-0.28063024643077461</v>
      </c>
      <c r="AH621" s="8">
        <f t="shared" si="175"/>
        <v>0.91245008538245509</v>
      </c>
      <c r="AI621" s="8">
        <f t="shared" si="176"/>
        <v>0.29779440302623689</v>
      </c>
      <c r="AJ621" s="8"/>
      <c r="AK621" s="8"/>
      <c r="AL621" s="8"/>
      <c r="AN621" s="8">
        <f t="shared" si="183"/>
        <v>0.99999999999999967</v>
      </c>
      <c r="AO621" s="8">
        <f t="shared" si="184"/>
        <v>1.8691714835916828</v>
      </c>
      <c r="AP621" s="8">
        <f t="shared" si="185"/>
        <v>1.2684149287255873</v>
      </c>
      <c r="AQ621" s="8"/>
      <c r="AR621" s="8">
        <f t="shared" si="186"/>
        <v>107.09563719601003</v>
      </c>
      <c r="AS621" s="8">
        <f t="shared" si="187"/>
        <v>17.325177912636718</v>
      </c>
    </row>
    <row r="622" spans="1:45">
      <c r="A622" s="19">
        <v>130.43029999999999</v>
      </c>
      <c r="B622" s="19">
        <v>115.6662515</v>
      </c>
      <c r="C622" s="19">
        <v>-794.89197390000004</v>
      </c>
      <c r="E622" s="9">
        <f t="shared" si="177"/>
        <v>-844.33374849999996</v>
      </c>
      <c r="F622" s="9">
        <f t="shared" si="178"/>
        <v>-254.89197390000004</v>
      </c>
      <c r="I622">
        <v>1</v>
      </c>
      <c r="J622">
        <f t="shared" si="173"/>
        <v>0.5329357712862034</v>
      </c>
      <c r="K622">
        <f t="shared" si="179"/>
        <v>-2.848407095594891</v>
      </c>
      <c r="O622">
        <f t="shared" si="180"/>
        <v>-0.48638409888868206</v>
      </c>
      <c r="P622">
        <f t="shared" si="181"/>
        <v>-0.14683222512372326</v>
      </c>
      <c r="Q622">
        <f t="shared" si="182"/>
        <v>0.8613192242214619</v>
      </c>
      <c r="R622">
        <f t="shared" si="172"/>
        <v>1</v>
      </c>
      <c r="AG622" s="8">
        <f t="shared" si="174"/>
        <v>-0.28050120811837254</v>
      </c>
      <c r="AH622" s="8">
        <f t="shared" si="175"/>
        <v>0.91251058382116823</v>
      </c>
      <c r="AI622" s="8">
        <f t="shared" si="176"/>
        <v>0.29773059409218267</v>
      </c>
      <c r="AJ622" s="8"/>
      <c r="AK622" s="8"/>
      <c r="AL622" s="8"/>
      <c r="AN622" s="8">
        <f t="shared" si="183"/>
        <v>0.99999999999999989</v>
      </c>
      <c r="AO622" s="8">
        <f t="shared" si="184"/>
        <v>1.8690236583212159</v>
      </c>
      <c r="AP622" s="8">
        <f t="shared" si="185"/>
        <v>1.2684817695611903</v>
      </c>
      <c r="AQ622" s="8"/>
      <c r="AR622" s="8">
        <f t="shared" si="186"/>
        <v>107.08716743190689</v>
      </c>
      <c r="AS622" s="8">
        <f t="shared" si="187"/>
        <v>17.321348214857537</v>
      </c>
    </row>
    <row r="623" spans="1:45">
      <c r="A623" s="19">
        <v>130.4636667</v>
      </c>
      <c r="B623" s="19">
        <v>115.61875809999999</v>
      </c>
      <c r="C623" s="19">
        <v>-794.91441769999994</v>
      </c>
      <c r="E623" s="9">
        <f t="shared" si="177"/>
        <v>-844.38124189999996</v>
      </c>
      <c r="F623" s="9">
        <f t="shared" si="178"/>
        <v>-254.91441769999994</v>
      </c>
      <c r="I623">
        <v>1</v>
      </c>
      <c r="J623">
        <f t="shared" si="173"/>
        <v>0.53296188351991958</v>
      </c>
      <c r="K623">
        <f t="shared" si="179"/>
        <v>-2.8483982972436692</v>
      </c>
      <c r="O623">
        <f t="shared" si="180"/>
        <v>-0.48640433800181571</v>
      </c>
      <c r="P623">
        <f t="shared" si="181"/>
        <v>-0.14684300460001351</v>
      </c>
      <c r="Q623">
        <f t="shared" si="182"/>
        <v>0.86130595723764491</v>
      </c>
      <c r="R623">
        <f t="shared" si="172"/>
        <v>1</v>
      </c>
      <c r="AG623" s="8">
        <f t="shared" si="174"/>
        <v>-0.28048582771540104</v>
      </c>
      <c r="AH623" s="8">
        <f t="shared" si="175"/>
        <v>0.91252140033203444</v>
      </c>
      <c r="AI623" s="8">
        <f t="shared" si="176"/>
        <v>0.29771193188528616</v>
      </c>
      <c r="AJ623" s="8"/>
      <c r="AK623" s="8"/>
      <c r="AL623" s="8"/>
      <c r="AN623" s="8">
        <f t="shared" si="183"/>
        <v>1</v>
      </c>
      <c r="AO623" s="8">
        <f t="shared" si="184"/>
        <v>1.8690049294034696</v>
      </c>
      <c r="AP623" s="8">
        <f t="shared" si="185"/>
        <v>1.268501318245348</v>
      </c>
      <c r="AQ623" s="8"/>
      <c r="AR623" s="8">
        <f t="shared" si="186"/>
        <v>107.08609434396519</v>
      </c>
      <c r="AS623" s="8">
        <f t="shared" si="187"/>
        <v>17.320228157760269</v>
      </c>
    </row>
    <row r="624" spans="1:45">
      <c r="A624" s="19">
        <v>130.4970333</v>
      </c>
      <c r="B624" s="19">
        <v>115.5288527</v>
      </c>
      <c r="C624" s="19">
        <v>-794.90102360000003</v>
      </c>
      <c r="E624" s="9">
        <f t="shared" si="177"/>
        <v>-844.47114729999998</v>
      </c>
      <c r="F624" s="9">
        <f t="shared" si="178"/>
        <v>-254.90102360000003</v>
      </c>
      <c r="I624">
        <v>1</v>
      </c>
      <c r="J624">
        <f t="shared" si="173"/>
        <v>0.53300319583507372</v>
      </c>
      <c r="K624">
        <f t="shared" si="179"/>
        <v>-2.8484422900892299</v>
      </c>
      <c r="O624">
        <f t="shared" si="180"/>
        <v>-0.4864448616879033</v>
      </c>
      <c r="P624">
        <f t="shared" si="181"/>
        <v>-0.14683188829559557</v>
      </c>
      <c r="Q624">
        <f t="shared" si="182"/>
        <v>0.86128496626667439</v>
      </c>
      <c r="R624">
        <f t="shared" si="172"/>
        <v>1</v>
      </c>
      <c r="AG624" s="8">
        <f t="shared" si="174"/>
        <v>-0.28044220684613286</v>
      </c>
      <c r="AH624" s="8">
        <f t="shared" si="175"/>
        <v>0.91253720203549493</v>
      </c>
      <c r="AI624" s="8">
        <f t="shared" si="176"/>
        <v>0.29770459103027136</v>
      </c>
      <c r="AJ624" s="8"/>
      <c r="AK624" s="8"/>
      <c r="AL624" s="8"/>
      <c r="AN624" s="8">
        <f t="shared" si="183"/>
        <v>1</v>
      </c>
      <c r="AO624" s="8">
        <f t="shared" si="184"/>
        <v>1.8689563902363446</v>
      </c>
      <c r="AP624" s="8">
        <f t="shared" si="185"/>
        <v>1.268509007767141</v>
      </c>
      <c r="AQ624" s="8"/>
      <c r="AR624" s="8">
        <f t="shared" si="186"/>
        <v>107.08331325454785</v>
      </c>
      <c r="AS624" s="8">
        <f t="shared" si="187"/>
        <v>17.319787580615056</v>
      </c>
    </row>
    <row r="625" spans="1:45">
      <c r="A625" s="19">
        <v>130.53039999999999</v>
      </c>
      <c r="B625" s="19">
        <v>115.4838396</v>
      </c>
      <c r="C625" s="19">
        <v>-794.89410280000004</v>
      </c>
      <c r="E625" s="9">
        <f t="shared" si="177"/>
        <v>-844.51616039999999</v>
      </c>
      <c r="F625" s="9">
        <f t="shared" si="178"/>
        <v>-254.89410280000004</v>
      </c>
      <c r="I625">
        <v>1</v>
      </c>
      <c r="J625">
        <f t="shared" si="173"/>
        <v>0.53302384814615478</v>
      </c>
      <c r="K625">
        <f t="shared" si="179"/>
        <v>-2.8484645460457689</v>
      </c>
      <c r="O625">
        <f t="shared" si="180"/>
        <v>-0.48646515814063723</v>
      </c>
      <c r="P625">
        <f t="shared" si="181"/>
        <v>-0.14682620160754226</v>
      </c>
      <c r="Q625">
        <f t="shared" si="182"/>
        <v>0.86127447218450992</v>
      </c>
      <c r="R625">
        <f t="shared" si="172"/>
        <v>1</v>
      </c>
      <c r="AG625" s="8">
        <f t="shared" si="174"/>
        <v>-0.28042031189353045</v>
      </c>
      <c r="AH625" s="8">
        <f t="shared" si="175"/>
        <v>0.91254509451124932</v>
      </c>
      <c r="AI625" s="8">
        <f t="shared" si="176"/>
        <v>0.29770102311041874</v>
      </c>
      <c r="AJ625" s="8"/>
      <c r="AK625" s="8"/>
      <c r="AL625" s="8"/>
      <c r="AN625" s="8">
        <f t="shared" si="183"/>
        <v>0.99999999999999989</v>
      </c>
      <c r="AO625" s="8">
        <f t="shared" si="184"/>
        <v>1.8689320386907478</v>
      </c>
      <c r="AP625" s="8">
        <f t="shared" si="185"/>
        <v>1.2685127451449434</v>
      </c>
      <c r="AQ625" s="8"/>
      <c r="AR625" s="8">
        <f t="shared" si="186"/>
        <v>107.08191801376053</v>
      </c>
      <c r="AS625" s="8">
        <f t="shared" si="187"/>
        <v>17.31957344464054</v>
      </c>
    </row>
    <row r="626" spans="1:45">
      <c r="A626" s="19">
        <v>130.5637667</v>
      </c>
      <c r="B626" s="19">
        <v>114.83033380000001</v>
      </c>
      <c r="C626" s="19">
        <v>-794.88463309999997</v>
      </c>
      <c r="E626" s="9">
        <f t="shared" si="177"/>
        <v>-845.16966619999994</v>
      </c>
      <c r="F626" s="9">
        <f t="shared" si="178"/>
        <v>-254.88463309999997</v>
      </c>
      <c r="I626">
        <v>1</v>
      </c>
      <c r="J626">
        <f t="shared" si="173"/>
        <v>0.53333684950474902</v>
      </c>
      <c r="K626">
        <f t="shared" si="179"/>
        <v>-2.8486887219830903</v>
      </c>
      <c r="O626">
        <f t="shared" si="180"/>
        <v>-0.4867561354990414</v>
      </c>
      <c r="P626">
        <f t="shared" si="181"/>
        <v>-0.14679497379936493</v>
      </c>
      <c r="Q626">
        <f t="shared" si="182"/>
        <v>0.86111538147990518</v>
      </c>
      <c r="R626">
        <f t="shared" si="172"/>
        <v>1</v>
      </c>
      <c r="AG626" s="8">
        <f t="shared" si="174"/>
        <v>-0.28012610338964938</v>
      </c>
      <c r="AH626" s="8">
        <f t="shared" si="175"/>
        <v>0.91266720961201386</v>
      </c>
      <c r="AI626" s="8">
        <f t="shared" si="176"/>
        <v>0.29760364698496494</v>
      </c>
      <c r="AJ626" s="8"/>
      <c r="AK626" s="8"/>
      <c r="AL626" s="8"/>
      <c r="AN626" s="8">
        <f t="shared" si="183"/>
        <v>0.99999999999999978</v>
      </c>
      <c r="AO626" s="8">
        <f t="shared" si="184"/>
        <v>1.8685998891815989</v>
      </c>
      <c r="AP626" s="8">
        <f t="shared" si="185"/>
        <v>1.2686147444570191</v>
      </c>
      <c r="AQ626" s="8"/>
      <c r="AR626" s="8">
        <f t="shared" si="186"/>
        <v>107.06288724871895</v>
      </c>
      <c r="AS626" s="8">
        <f t="shared" si="187"/>
        <v>17.313729314545355</v>
      </c>
    </row>
    <row r="627" spans="1:45">
      <c r="A627" s="19">
        <v>130.5971333</v>
      </c>
      <c r="B627" s="19">
        <v>113.75810869999999</v>
      </c>
      <c r="C627" s="19">
        <v>-794.79654319999997</v>
      </c>
      <c r="E627" s="9">
        <f t="shared" si="177"/>
        <v>-846.24189130000002</v>
      </c>
      <c r="F627" s="9">
        <f t="shared" si="178"/>
        <v>-254.79654319999997</v>
      </c>
      <c r="I627">
        <v>1</v>
      </c>
      <c r="J627">
        <f t="shared" si="173"/>
        <v>0.5338396995066842</v>
      </c>
      <c r="K627">
        <f t="shared" si="179"/>
        <v>-2.8491344559757525</v>
      </c>
      <c r="O627">
        <f t="shared" si="180"/>
        <v>-0.48723608243125138</v>
      </c>
      <c r="P627">
        <f t="shared" si="181"/>
        <v>-0.14670281724659073</v>
      </c>
      <c r="Q627">
        <f t="shared" si="182"/>
        <v>0.8608596188630061</v>
      </c>
      <c r="R627">
        <f t="shared" si="172"/>
        <v>1</v>
      </c>
      <c r="AG627" s="8">
        <f t="shared" si="174"/>
        <v>-0.27962471557580254</v>
      </c>
      <c r="AH627" s="8">
        <f t="shared" si="175"/>
        <v>0.91286118808263206</v>
      </c>
      <c r="AI627" s="8">
        <f t="shared" si="176"/>
        <v>0.29748020057058727</v>
      </c>
      <c r="AJ627" s="8"/>
      <c r="AK627" s="8"/>
      <c r="AL627" s="8"/>
      <c r="AN627" s="8">
        <f t="shared" si="183"/>
        <v>0.99999999999999989</v>
      </c>
      <c r="AO627" s="8">
        <f t="shared" si="184"/>
        <v>1.8680382257680339</v>
      </c>
      <c r="AP627" s="8">
        <f t="shared" si="185"/>
        <v>1.2687440471517564</v>
      </c>
      <c r="AQ627" s="8"/>
      <c r="AR627" s="8">
        <f t="shared" si="186"/>
        <v>107.03070630561477</v>
      </c>
      <c r="AS627" s="8">
        <f t="shared" si="187"/>
        <v>17.306320815857248</v>
      </c>
    </row>
    <row r="628" spans="1:45">
      <c r="A628" s="19">
        <v>130.63050000000001</v>
      </c>
      <c r="B628" s="19">
        <v>113.7227754</v>
      </c>
      <c r="C628" s="19">
        <v>-794.84325020000006</v>
      </c>
      <c r="E628" s="9">
        <f t="shared" si="177"/>
        <v>-846.27722459999995</v>
      </c>
      <c r="F628" s="9">
        <f t="shared" si="178"/>
        <v>-254.84325020000006</v>
      </c>
      <c r="I628">
        <v>1</v>
      </c>
      <c r="J628">
        <f t="shared" si="173"/>
        <v>0.53386344812091957</v>
      </c>
      <c r="K628">
        <f t="shared" si="179"/>
        <v>-2.8490953789435167</v>
      </c>
      <c r="O628">
        <f t="shared" si="180"/>
        <v>-0.48724992510228765</v>
      </c>
      <c r="P628">
        <f t="shared" si="181"/>
        <v>-0.14672775180906564</v>
      </c>
      <c r="Q628">
        <f t="shared" si="182"/>
        <v>0.86084753431538175</v>
      </c>
      <c r="R628">
        <f t="shared" si="172"/>
        <v>1</v>
      </c>
      <c r="AG628" s="8">
        <f t="shared" si="174"/>
        <v>-0.27962107375551976</v>
      </c>
      <c r="AH628" s="8">
        <f t="shared" si="175"/>
        <v>0.91287172081476187</v>
      </c>
      <c r="AI628" s="8">
        <f t="shared" si="176"/>
        <v>0.29745130096959654</v>
      </c>
      <c r="AJ628" s="8"/>
      <c r="AK628" s="8"/>
      <c r="AL628" s="8"/>
      <c r="AN628" s="8">
        <f t="shared" si="183"/>
        <v>0.99999999999999978</v>
      </c>
      <c r="AO628" s="8">
        <f t="shared" si="184"/>
        <v>1.8680313474449983</v>
      </c>
      <c r="AP628" s="8">
        <f t="shared" si="185"/>
        <v>1.2687743169930996</v>
      </c>
      <c r="AQ628" s="8"/>
      <c r="AR628" s="8">
        <f t="shared" si="186"/>
        <v>107.03031220673471</v>
      </c>
      <c r="AS628" s="8">
        <f t="shared" si="187"/>
        <v>17.304586481701747</v>
      </c>
    </row>
    <row r="629" spans="1:45">
      <c r="A629" s="19">
        <v>130.6638667</v>
      </c>
      <c r="B629" s="19">
        <v>113.45899900000001</v>
      </c>
      <c r="C629" s="19">
        <v>-794.8674714</v>
      </c>
      <c r="E629" s="9">
        <f t="shared" si="177"/>
        <v>-846.54100100000005</v>
      </c>
      <c r="F629" s="9">
        <f t="shared" si="178"/>
        <v>-254.8674714</v>
      </c>
      <c r="I629">
        <v>1</v>
      </c>
      <c r="J629">
        <f t="shared" si="173"/>
        <v>0.53399375807749316</v>
      </c>
      <c r="K629">
        <f t="shared" si="179"/>
        <v>-2.8491551769977312</v>
      </c>
      <c r="O629">
        <f t="shared" si="180"/>
        <v>-0.487366108548896</v>
      </c>
      <c r="P629">
        <f t="shared" si="181"/>
        <v>-0.14673095288377538</v>
      </c>
      <c r="Q629">
        <f t="shared" si="182"/>
        <v>0.86078121709510191</v>
      </c>
      <c r="R629">
        <f t="shared" si="172"/>
        <v>1</v>
      </c>
      <c r="AG629" s="8">
        <f t="shared" si="174"/>
        <v>-0.2795096722353535</v>
      </c>
      <c r="AH629" s="8">
        <f t="shared" si="175"/>
        <v>0.91292321409438326</v>
      </c>
      <c r="AI629" s="8">
        <f t="shared" si="176"/>
        <v>0.29739796282837255</v>
      </c>
      <c r="AJ629" s="8"/>
      <c r="AK629" s="8"/>
      <c r="AL629" s="8"/>
      <c r="AN629" s="8">
        <f t="shared" si="183"/>
        <v>1</v>
      </c>
      <c r="AO629" s="8">
        <f t="shared" si="184"/>
        <v>1.8679039870617282</v>
      </c>
      <c r="AP629" s="8">
        <f t="shared" si="185"/>
        <v>1.2688301833495188</v>
      </c>
      <c r="AQ629" s="8"/>
      <c r="AR629" s="8">
        <f t="shared" si="186"/>
        <v>107.02301499429616</v>
      </c>
      <c r="AS629" s="8">
        <f t="shared" si="187"/>
        <v>17.301385575262159</v>
      </c>
    </row>
    <row r="630" spans="1:45">
      <c r="A630" s="19">
        <v>130.69723329999999</v>
      </c>
      <c r="B630" s="19">
        <v>113.453999</v>
      </c>
      <c r="C630" s="19">
        <v>-794.87302810000006</v>
      </c>
      <c r="E630" s="9">
        <f t="shared" si="177"/>
        <v>-846.54600100000005</v>
      </c>
      <c r="F630" s="9">
        <f t="shared" si="178"/>
        <v>-254.87302810000006</v>
      </c>
      <c r="I630">
        <v>1</v>
      </c>
      <c r="J630">
        <f t="shared" si="173"/>
        <v>0.53399696572068933</v>
      </c>
      <c r="K630">
        <f t="shared" si="179"/>
        <v>-2.8491507889986396</v>
      </c>
      <c r="O630">
        <f t="shared" si="180"/>
        <v>-0.48736810853763635</v>
      </c>
      <c r="P630">
        <f t="shared" si="181"/>
        <v>-0.14673388743863075</v>
      </c>
      <c r="Q630">
        <f t="shared" si="182"/>
        <v>0.8607795844800189</v>
      </c>
      <c r="R630">
        <f t="shared" si="172"/>
        <v>1</v>
      </c>
      <c r="AG630" s="8">
        <f t="shared" si="174"/>
        <v>-0.27950888377537653</v>
      </c>
      <c r="AH630" s="8">
        <f t="shared" si="175"/>
        <v>0.91292461596458552</v>
      </c>
      <c r="AI630" s="8">
        <f t="shared" si="176"/>
        <v>0.29739440051311833</v>
      </c>
      <c r="AJ630" s="8"/>
      <c r="AK630" s="8"/>
      <c r="AL630" s="8"/>
      <c r="AN630" s="8">
        <f t="shared" si="183"/>
        <v>1</v>
      </c>
      <c r="AO630" s="8">
        <f t="shared" si="184"/>
        <v>1.867902767564195</v>
      </c>
      <c r="AP630" s="8">
        <f t="shared" si="185"/>
        <v>1.2688339144830332</v>
      </c>
      <c r="AQ630" s="8"/>
      <c r="AR630" s="8">
        <f t="shared" si="186"/>
        <v>107.02294512223438</v>
      </c>
      <c r="AS630" s="8">
        <f t="shared" si="187"/>
        <v>17.301171797058984</v>
      </c>
    </row>
    <row r="631" spans="1:45">
      <c r="A631" s="19">
        <v>130.73060000000001</v>
      </c>
      <c r="B631" s="19">
        <v>113.4461311</v>
      </c>
      <c r="C631" s="19">
        <v>-794.87821780000002</v>
      </c>
      <c r="E631" s="9">
        <f t="shared" si="177"/>
        <v>-846.5538689</v>
      </c>
      <c r="F631" s="9">
        <f t="shared" si="178"/>
        <v>-254.87821780000002</v>
      </c>
      <c r="I631">
        <v>1</v>
      </c>
      <c r="J631">
        <f t="shared" si="173"/>
        <v>0.53400149881302461</v>
      </c>
      <c r="K631">
        <f t="shared" si="179"/>
        <v>-2.8491477337546605</v>
      </c>
      <c r="O631">
        <f t="shared" si="180"/>
        <v>-0.48737139654457107</v>
      </c>
      <c r="P631">
        <f t="shared" si="181"/>
        <v>-0.14673650138695549</v>
      </c>
      <c r="Q631">
        <f t="shared" si="182"/>
        <v>0.86077727722733854</v>
      </c>
      <c r="R631">
        <f t="shared" si="172"/>
        <v>1</v>
      </c>
      <c r="AG631" s="8">
        <f t="shared" si="174"/>
        <v>-0.27950672056536374</v>
      </c>
      <c r="AH631" s="8">
        <f t="shared" si="175"/>
        <v>0.91292652485231385</v>
      </c>
      <c r="AI631" s="8">
        <f t="shared" si="176"/>
        <v>0.29739057379122358</v>
      </c>
      <c r="AJ631" s="8"/>
      <c r="AK631" s="8"/>
      <c r="AL631" s="8"/>
      <c r="AN631" s="8">
        <f t="shared" si="183"/>
        <v>1</v>
      </c>
      <c r="AO631" s="8">
        <f t="shared" si="184"/>
        <v>1.8679000157924479</v>
      </c>
      <c r="AP631" s="8">
        <f t="shared" si="185"/>
        <v>1.268837922548598</v>
      </c>
      <c r="AQ631" s="8"/>
      <c r="AR631" s="8">
        <f t="shared" si="186"/>
        <v>107.02278745732708</v>
      </c>
      <c r="AS631" s="8">
        <f t="shared" si="187"/>
        <v>17.300942151818106</v>
      </c>
    </row>
    <row r="632" spans="1:45">
      <c r="A632" s="19">
        <v>130.7639667</v>
      </c>
      <c r="B632" s="19">
        <v>113.1155248</v>
      </c>
      <c r="C632" s="19">
        <v>-794.89030100000002</v>
      </c>
      <c r="E632" s="9">
        <f t="shared" si="177"/>
        <v>-846.8844752</v>
      </c>
      <c r="F632" s="9">
        <f t="shared" si="178"/>
        <v>-254.89030100000002</v>
      </c>
      <c r="I632">
        <v>1</v>
      </c>
      <c r="J632">
        <f t="shared" si="173"/>
        <v>0.53416215319563032</v>
      </c>
      <c r="K632">
        <f t="shared" si="179"/>
        <v>-2.8492424201973017</v>
      </c>
      <c r="O632">
        <f t="shared" si="180"/>
        <v>-0.48751770201018835</v>
      </c>
      <c r="P632">
        <f t="shared" si="181"/>
        <v>-0.14673020635885345</v>
      </c>
      <c r="Q632">
        <f t="shared" si="182"/>
        <v>0.86069549596160511</v>
      </c>
      <c r="R632">
        <f t="shared" si="172"/>
        <v>1</v>
      </c>
      <c r="AG632" s="8">
        <f t="shared" si="174"/>
        <v>-0.27936236858302593</v>
      </c>
      <c r="AH632" s="8">
        <f t="shared" si="175"/>
        <v>0.91298950174937299</v>
      </c>
      <c r="AI632" s="8">
        <f t="shared" si="176"/>
        <v>0.29733287190472751</v>
      </c>
      <c r="AJ632" s="8"/>
      <c r="AK632" s="8"/>
      <c r="AL632" s="8"/>
      <c r="AN632" s="8">
        <f t="shared" si="183"/>
        <v>0.99999999999999978</v>
      </c>
      <c r="AO632" s="8">
        <f t="shared" si="184"/>
        <v>1.8677361400218668</v>
      </c>
      <c r="AP632" s="8">
        <f t="shared" si="185"/>
        <v>1.2688983582503879</v>
      </c>
      <c r="AQ632" s="8"/>
      <c r="AR632" s="8">
        <f t="shared" si="186"/>
        <v>107.01339806730833</v>
      </c>
      <c r="AS632" s="8">
        <f t="shared" si="187"/>
        <v>17.297479441173635</v>
      </c>
    </row>
    <row r="633" spans="1:45">
      <c r="A633" s="19">
        <v>130.79733329999999</v>
      </c>
      <c r="B633" s="19">
        <v>111.9432395</v>
      </c>
      <c r="C633" s="19">
        <v>-794.87138530000004</v>
      </c>
      <c r="E633" s="9">
        <f t="shared" si="177"/>
        <v>-848.0567605</v>
      </c>
      <c r="F633" s="9">
        <f t="shared" si="178"/>
        <v>-254.87138530000004</v>
      </c>
      <c r="I633">
        <v>1</v>
      </c>
      <c r="J633">
        <f t="shared" si="173"/>
        <v>0.5347226868824031</v>
      </c>
      <c r="K633">
        <f t="shared" si="179"/>
        <v>-2.8496444062393151</v>
      </c>
      <c r="O633">
        <f t="shared" si="180"/>
        <v>-0.48803860346622552</v>
      </c>
      <c r="P633">
        <f t="shared" si="181"/>
        <v>-0.14667305390263954</v>
      </c>
      <c r="Q633">
        <f t="shared" si="182"/>
        <v>0.86040998180263439</v>
      </c>
      <c r="R633">
        <f t="shared" si="172"/>
        <v>1</v>
      </c>
      <c r="AG633" s="8">
        <f t="shared" si="174"/>
        <v>-0.27883463909780687</v>
      </c>
      <c r="AH633" s="8">
        <f t="shared" si="175"/>
        <v>0.91320734927055902</v>
      </c>
      <c r="AI633" s="8">
        <f t="shared" si="176"/>
        <v>0.29715918508004258</v>
      </c>
      <c r="AJ633" s="8"/>
      <c r="AK633" s="8"/>
      <c r="AL633" s="8"/>
      <c r="AN633" s="8">
        <f t="shared" si="183"/>
        <v>1</v>
      </c>
      <c r="AO633" s="8">
        <f t="shared" si="184"/>
        <v>1.8671408753776209</v>
      </c>
      <c r="AP633" s="8">
        <f t="shared" si="185"/>
        <v>1.2690802671920247</v>
      </c>
      <c r="AQ633" s="8"/>
      <c r="AR633" s="8">
        <f t="shared" si="186"/>
        <v>106.97929191549969</v>
      </c>
      <c r="AS633" s="8">
        <f t="shared" si="187"/>
        <v>17.28705682656215</v>
      </c>
    </row>
    <row r="634" spans="1:45">
      <c r="A634" s="19">
        <v>130.83070000000001</v>
      </c>
      <c r="B634" s="19">
        <v>111.75960619999999</v>
      </c>
      <c r="C634" s="19">
        <v>-794.90047149999998</v>
      </c>
      <c r="E634" s="9">
        <f t="shared" si="177"/>
        <v>-848.24039379999999</v>
      </c>
      <c r="F634" s="9">
        <f t="shared" si="178"/>
        <v>-254.90047149999998</v>
      </c>
      <c r="I634">
        <v>1</v>
      </c>
      <c r="J634">
        <f t="shared" si="173"/>
        <v>0.53481509125136606</v>
      </c>
      <c r="K634">
        <f t="shared" si="179"/>
        <v>-2.8496726294708306</v>
      </c>
      <c r="O634">
        <f t="shared" si="180"/>
        <v>-0.48811888277786908</v>
      </c>
      <c r="P634">
        <f t="shared" si="181"/>
        <v>-0.14668216024320641</v>
      </c>
      <c r="Q634">
        <f t="shared" si="182"/>
        <v>0.86036288863599364</v>
      </c>
      <c r="R634">
        <f t="shared" si="172"/>
        <v>1</v>
      </c>
      <c r="AG634" s="8">
        <f t="shared" si="174"/>
        <v>-0.27876031137671847</v>
      </c>
      <c r="AH634" s="8">
        <f t="shared" si="175"/>
        <v>0.91324410921140231</v>
      </c>
      <c r="AI634" s="8">
        <f t="shared" si="176"/>
        <v>0.29711594671411901</v>
      </c>
      <c r="AJ634" s="8"/>
      <c r="AK634" s="8"/>
      <c r="AL634" s="8"/>
      <c r="AN634" s="8">
        <f t="shared" si="183"/>
        <v>0.99999999999999989</v>
      </c>
      <c r="AO634" s="8">
        <f t="shared" si="184"/>
        <v>1.8670551829656121</v>
      </c>
      <c r="AP634" s="8">
        <f t="shared" si="185"/>
        <v>1.2691255508068902</v>
      </c>
      <c r="AQ634" s="8"/>
      <c r="AR634" s="8">
        <f t="shared" si="186"/>
        <v>106.97438210195529</v>
      </c>
      <c r="AS634" s="8">
        <f t="shared" si="187"/>
        <v>17.284462266549269</v>
      </c>
    </row>
    <row r="635" spans="1:45">
      <c r="A635" s="19">
        <v>130.89743329999999</v>
      </c>
      <c r="B635" s="19">
        <v>111.1943133</v>
      </c>
      <c r="C635" s="19">
        <v>-795.02568029999998</v>
      </c>
      <c r="E635" s="9">
        <f t="shared" si="177"/>
        <v>-848.80568670000002</v>
      </c>
      <c r="F635" s="9">
        <f t="shared" si="178"/>
        <v>-255.02568029999998</v>
      </c>
      <c r="I635">
        <v>1</v>
      </c>
      <c r="J635">
        <f t="shared" si="173"/>
        <v>0.53510463289064547</v>
      </c>
      <c r="K635">
        <f t="shared" si="179"/>
        <v>-2.8497208923862933</v>
      </c>
      <c r="O635">
        <f t="shared" si="180"/>
        <v>-0.48836451627930261</v>
      </c>
      <c r="P635">
        <f t="shared" si="181"/>
        <v>-0.14673027637540875</v>
      </c>
      <c r="Q635">
        <f t="shared" si="182"/>
        <v>0.86021527842399947</v>
      </c>
      <c r="R635">
        <f t="shared" si="172"/>
        <v>1</v>
      </c>
      <c r="AG635" s="8">
        <f t="shared" si="174"/>
        <v>-0.27854079252527719</v>
      </c>
      <c r="AH635" s="8">
        <f t="shared" si="175"/>
        <v>0.91336017353702936</v>
      </c>
      <c r="AI635" s="8">
        <f t="shared" si="176"/>
        <v>0.2969650152725033</v>
      </c>
      <c r="AJ635" s="8"/>
      <c r="AK635" s="8"/>
      <c r="AL635" s="8"/>
      <c r="AN635" s="8">
        <f t="shared" si="183"/>
        <v>1</v>
      </c>
      <c r="AO635" s="8">
        <f t="shared" si="184"/>
        <v>1.8667998233815866</v>
      </c>
      <c r="AP635" s="8">
        <f t="shared" si="185"/>
        <v>1.269283616564522</v>
      </c>
      <c r="AQ635" s="8"/>
      <c r="AR635" s="8">
        <f t="shared" si="186"/>
        <v>106.95975107553241</v>
      </c>
      <c r="AS635" s="8">
        <f t="shared" si="187"/>
        <v>17.275405765751415</v>
      </c>
    </row>
    <row r="636" spans="1:45">
      <c r="A636" s="19">
        <v>130.9308</v>
      </c>
      <c r="B636" s="19">
        <v>111.20506450000001</v>
      </c>
      <c r="C636" s="19">
        <v>-794.95698179999999</v>
      </c>
      <c r="E636" s="9">
        <f t="shared" si="177"/>
        <v>-848.79493549999995</v>
      </c>
      <c r="F636" s="9">
        <f t="shared" si="178"/>
        <v>-254.95698179999999</v>
      </c>
      <c r="I636">
        <v>1</v>
      </c>
      <c r="J636">
        <f t="shared" si="173"/>
        <v>0.53508956080330428</v>
      </c>
      <c r="K636">
        <f t="shared" si="179"/>
        <v>-2.8497916385099042</v>
      </c>
      <c r="O636">
        <f t="shared" si="180"/>
        <v>-0.48836247843561564</v>
      </c>
      <c r="P636">
        <f t="shared" si="181"/>
        <v>-0.1466919962864365</v>
      </c>
      <c r="Q636">
        <f t="shared" si="182"/>
        <v>0.86022296405160159</v>
      </c>
      <c r="R636">
        <f t="shared" si="172"/>
        <v>1</v>
      </c>
      <c r="AG636" s="8">
        <f t="shared" si="174"/>
        <v>-0.2785277590066228</v>
      </c>
      <c r="AH636" s="8">
        <f t="shared" si="175"/>
        <v>0.91335243015943979</v>
      </c>
      <c r="AI636" s="8">
        <f t="shared" si="176"/>
        <v>0.29700105350754952</v>
      </c>
      <c r="AJ636" s="8"/>
      <c r="AK636" s="8"/>
      <c r="AL636" s="8"/>
      <c r="AN636" s="8">
        <f t="shared" si="183"/>
        <v>1</v>
      </c>
      <c r="AO636" s="8">
        <f t="shared" si="184"/>
        <v>1.8667891330560578</v>
      </c>
      <c r="AP636" s="8">
        <f t="shared" si="185"/>
        <v>1.2692458755593243</v>
      </c>
      <c r="AQ636" s="8"/>
      <c r="AR636" s="8">
        <f t="shared" si="186"/>
        <v>106.95913856499799</v>
      </c>
      <c r="AS636" s="8">
        <f t="shared" si="187"/>
        <v>17.27756816606383</v>
      </c>
    </row>
    <row r="637" spans="1:45">
      <c r="A637" s="19">
        <v>130.96416669999999</v>
      </c>
      <c r="B637" s="19">
        <v>110.6102317</v>
      </c>
      <c r="C637" s="19">
        <v>-794.91027240000005</v>
      </c>
      <c r="E637" s="9">
        <f t="shared" si="177"/>
        <v>-849.38976830000001</v>
      </c>
      <c r="F637" s="9">
        <f t="shared" si="178"/>
        <v>-254.91027240000005</v>
      </c>
      <c r="I637">
        <v>1</v>
      </c>
      <c r="J637">
        <f t="shared" si="173"/>
        <v>0.53536841730807483</v>
      </c>
      <c r="K637">
        <f t="shared" si="179"/>
        <v>-2.8500350429816734</v>
      </c>
      <c r="O637">
        <f t="shared" si="180"/>
        <v>-0.4886279057043062</v>
      </c>
      <c r="P637">
        <f t="shared" si="181"/>
        <v>-0.14664206845182245</v>
      </c>
      <c r="Q637">
        <f t="shared" si="182"/>
        <v>0.86008073663301787</v>
      </c>
      <c r="R637">
        <f t="shared" si="172"/>
        <v>1</v>
      </c>
      <c r="AG637" s="8">
        <f t="shared" si="174"/>
        <v>-0.27825051961140984</v>
      </c>
      <c r="AH637" s="8">
        <f t="shared" si="175"/>
        <v>0.9134595423448757</v>
      </c>
      <c r="AI637" s="8">
        <f t="shared" si="176"/>
        <v>0.29693149518882422</v>
      </c>
      <c r="AJ637" s="8"/>
      <c r="AK637" s="8"/>
      <c r="AL637" s="8"/>
      <c r="AN637" s="8">
        <f t="shared" si="183"/>
        <v>1</v>
      </c>
      <c r="AO637" s="8">
        <f t="shared" si="184"/>
        <v>1.866478705799294</v>
      </c>
      <c r="AP637" s="8">
        <f t="shared" si="185"/>
        <v>1.2693187200406231</v>
      </c>
      <c r="AQ637" s="8"/>
      <c r="AR637" s="8">
        <f t="shared" si="186"/>
        <v>106.9413523933396</v>
      </c>
      <c r="AS637" s="8">
        <f t="shared" si="187"/>
        <v>17.273394484724591</v>
      </c>
    </row>
    <row r="638" spans="1:45">
      <c r="A638" s="19">
        <v>130.99753329999999</v>
      </c>
      <c r="B638" s="19">
        <v>110.4155265</v>
      </c>
      <c r="C638" s="19">
        <v>-794.90557509999996</v>
      </c>
      <c r="E638" s="9">
        <f t="shared" si="177"/>
        <v>-849.58447350000006</v>
      </c>
      <c r="F638" s="9">
        <f t="shared" si="178"/>
        <v>-254.90557509999996</v>
      </c>
      <c r="I638">
        <v>1</v>
      </c>
      <c r="J638">
        <f t="shared" si="173"/>
        <v>0.53546120636685046</v>
      </c>
      <c r="K638">
        <f t="shared" si="179"/>
        <v>-2.8501032120093517</v>
      </c>
      <c r="O638">
        <f t="shared" si="180"/>
        <v>-0.48871433852691604</v>
      </c>
      <c r="P638">
        <f t="shared" si="181"/>
        <v>-0.14663169279519511</v>
      </c>
      <c r="Q638">
        <f t="shared" si="182"/>
        <v>0.86003339585519267</v>
      </c>
      <c r="R638">
        <f t="shared" si="172"/>
        <v>1</v>
      </c>
      <c r="AG638" s="8">
        <f t="shared" si="174"/>
        <v>-0.27816253343745889</v>
      </c>
      <c r="AH638" s="8">
        <f t="shared" si="175"/>
        <v>0.91349546164357387</v>
      </c>
      <c r="AI638" s="8">
        <f t="shared" si="176"/>
        <v>0.2969034296673726</v>
      </c>
      <c r="AJ638" s="8"/>
      <c r="AK638" s="8"/>
      <c r="AL638" s="8"/>
      <c r="AN638" s="8">
        <f t="shared" si="183"/>
        <v>1</v>
      </c>
      <c r="AO638" s="8">
        <f t="shared" si="184"/>
        <v>1.8663796024786941</v>
      </c>
      <c r="AP638" s="8">
        <f t="shared" si="185"/>
        <v>1.2693481110019322</v>
      </c>
      <c r="AQ638" s="8"/>
      <c r="AR638" s="8">
        <f t="shared" si="186"/>
        <v>106.93567419133349</v>
      </c>
      <c r="AS638" s="8">
        <f t="shared" si="187"/>
        <v>17.27171050668575</v>
      </c>
    </row>
    <row r="639" spans="1:45">
      <c r="A639" s="19">
        <v>131.0309</v>
      </c>
      <c r="B639" s="19">
        <v>110.5409038</v>
      </c>
      <c r="C639" s="19">
        <v>-794.88851069999998</v>
      </c>
      <c r="E639" s="9">
        <f t="shared" si="177"/>
        <v>-849.45909619999998</v>
      </c>
      <c r="F639" s="9">
        <f t="shared" si="178"/>
        <v>-254.88851069999998</v>
      </c>
      <c r="I639">
        <v>1</v>
      </c>
      <c r="J639">
        <f t="shared" si="173"/>
        <v>0.53539856344028203</v>
      </c>
      <c r="K639">
        <f t="shared" si="179"/>
        <v>-2.8500810147084024</v>
      </c>
      <c r="O639">
        <f t="shared" si="180"/>
        <v>-0.48865948056936342</v>
      </c>
      <c r="P639">
        <f t="shared" si="181"/>
        <v>-0.14662705691061939</v>
      </c>
      <c r="Q639">
        <f t="shared" si="182"/>
        <v>0.86006535695341779</v>
      </c>
      <c r="R639">
        <f t="shared" si="172"/>
        <v>1</v>
      </c>
      <c r="AG639" s="8">
        <f t="shared" si="174"/>
        <v>-0.27821397729810426</v>
      </c>
      <c r="AH639" s="8">
        <f t="shared" si="175"/>
        <v>0.91347065583410192</v>
      </c>
      <c r="AI639" s="8">
        <f t="shared" si="176"/>
        <v>0.29693154727308035</v>
      </c>
      <c r="AJ639" s="8"/>
      <c r="AK639" s="8"/>
      <c r="AL639" s="8"/>
      <c r="AN639" s="8">
        <f t="shared" si="183"/>
        <v>1</v>
      </c>
      <c r="AO639" s="8">
        <f t="shared" si="184"/>
        <v>1.8664387069046713</v>
      </c>
      <c r="AP639" s="8">
        <f t="shared" si="185"/>
        <v>1.2693186654963535</v>
      </c>
      <c r="AQ639" s="8"/>
      <c r="AR639" s="8">
        <f t="shared" si="186"/>
        <v>106.93906062549253</v>
      </c>
      <c r="AS639" s="8">
        <f t="shared" si="187"/>
        <v>17.27339760988103</v>
      </c>
    </row>
    <row r="640" spans="1:45">
      <c r="A640" s="19">
        <v>131.06426669999999</v>
      </c>
      <c r="B640" s="19">
        <v>109.9481973</v>
      </c>
      <c r="C640" s="19">
        <v>-794.88399849999996</v>
      </c>
      <c r="E640" s="9">
        <f t="shared" si="177"/>
        <v>-850.05180270000005</v>
      </c>
      <c r="F640" s="9">
        <f t="shared" si="178"/>
        <v>-254.88399849999996</v>
      </c>
      <c r="I640">
        <v>1</v>
      </c>
      <c r="J640">
        <f t="shared" si="173"/>
        <v>0.53568240284866597</v>
      </c>
      <c r="K640">
        <f t="shared" si="179"/>
        <v>-2.8502778341742259</v>
      </c>
      <c r="O640">
        <f t="shared" si="180"/>
        <v>-0.488922145407722</v>
      </c>
      <c r="P640">
        <f t="shared" si="181"/>
        <v>-0.14660098476457073</v>
      </c>
      <c r="Q640">
        <f t="shared" si="182"/>
        <v>0.8599205120218778</v>
      </c>
      <c r="R640">
        <f t="shared" si="172"/>
        <v>1</v>
      </c>
      <c r="AG640" s="8">
        <f t="shared" si="174"/>
        <v>-0.27794870406959632</v>
      </c>
      <c r="AH640" s="8">
        <f t="shared" si="175"/>
        <v>0.91358076219467832</v>
      </c>
      <c r="AI640" s="8">
        <f t="shared" si="176"/>
        <v>0.29684121825282717</v>
      </c>
      <c r="AJ640" s="8"/>
      <c r="AK640" s="8"/>
      <c r="AL640" s="8"/>
      <c r="AN640" s="8">
        <f t="shared" si="183"/>
        <v>1</v>
      </c>
      <c r="AO640" s="8">
        <f t="shared" si="184"/>
        <v>1.8661393704938225</v>
      </c>
      <c r="AP640" s="8">
        <f t="shared" si="185"/>
        <v>1.2694132594941507</v>
      </c>
      <c r="AQ640" s="8"/>
      <c r="AR640" s="8">
        <f t="shared" si="186"/>
        <v>106.9219099124963</v>
      </c>
      <c r="AS640" s="8">
        <f t="shared" si="187"/>
        <v>17.267977773039988</v>
      </c>
    </row>
    <row r="641" spans="1:45">
      <c r="A641" s="19">
        <v>131.09763330000001</v>
      </c>
      <c r="B641" s="19">
        <v>109.54748189999999</v>
      </c>
      <c r="C641" s="19">
        <v>-794.87661560000004</v>
      </c>
      <c r="E641" s="9">
        <f t="shared" si="177"/>
        <v>-850.45251810000002</v>
      </c>
      <c r="F641" s="9">
        <f t="shared" si="178"/>
        <v>-254.87661560000004</v>
      </c>
      <c r="I641">
        <v>1</v>
      </c>
      <c r="J641">
        <f t="shared" si="173"/>
        <v>0.53587363412939915</v>
      </c>
      <c r="K641">
        <f t="shared" si="179"/>
        <v>-2.8504154313301826</v>
      </c>
      <c r="O641">
        <f t="shared" si="180"/>
        <v>-0.48909982542017288</v>
      </c>
      <c r="P641">
        <f t="shared" si="181"/>
        <v>-0.14658091491356653</v>
      </c>
      <c r="Q641">
        <f t="shared" si="182"/>
        <v>0.85982288650457439</v>
      </c>
      <c r="R641">
        <f t="shared" si="172"/>
        <v>1</v>
      </c>
      <c r="AG641" s="8">
        <f t="shared" si="174"/>
        <v>-0.27776826954358269</v>
      </c>
      <c r="AH641" s="8">
        <f t="shared" si="175"/>
        <v>0.91365477350234592</v>
      </c>
      <c r="AI641" s="8">
        <f t="shared" si="176"/>
        <v>0.29678231633832342</v>
      </c>
      <c r="AJ641" s="8"/>
      <c r="AK641" s="8"/>
      <c r="AL641" s="8"/>
      <c r="AN641" s="8">
        <f t="shared" si="183"/>
        <v>1.0000000000000002</v>
      </c>
      <c r="AO641" s="8">
        <f t="shared" si="184"/>
        <v>1.8659360452430751</v>
      </c>
      <c r="AP641" s="8">
        <f t="shared" si="185"/>
        <v>1.2694749410248192</v>
      </c>
      <c r="AQ641" s="8"/>
      <c r="AR641" s="8">
        <f t="shared" si="186"/>
        <v>106.91026023376003</v>
      </c>
      <c r="AS641" s="8">
        <f t="shared" si="187"/>
        <v>17.264443681658776</v>
      </c>
    </row>
    <row r="642" spans="1:45">
      <c r="A642" s="19">
        <v>131.131</v>
      </c>
      <c r="B642" s="19">
        <v>109.42215160000001</v>
      </c>
      <c r="C642" s="19">
        <v>-794.87018079999996</v>
      </c>
      <c r="E642" s="9">
        <f t="shared" si="177"/>
        <v>-850.57784839999999</v>
      </c>
      <c r="F642" s="9">
        <f t="shared" si="178"/>
        <v>-254.87018079999996</v>
      </c>
      <c r="I642">
        <v>1</v>
      </c>
      <c r="J642">
        <f t="shared" si="173"/>
        <v>0.53593284471916147</v>
      </c>
      <c r="K642">
        <f t="shared" si="179"/>
        <v>-2.8504628936175207</v>
      </c>
      <c r="O642">
        <f t="shared" si="180"/>
        <v>-0.48915554938920031</v>
      </c>
      <c r="P642">
        <f t="shared" si="181"/>
        <v>-0.14657231380603722</v>
      </c>
      <c r="Q642">
        <f t="shared" si="182"/>
        <v>0.85979265251995152</v>
      </c>
      <c r="R642">
        <f t="shared" si="172"/>
        <v>1</v>
      </c>
      <c r="AG642" s="8">
        <f t="shared" si="174"/>
        <v>-0.27771077104542552</v>
      </c>
      <c r="AH642" s="8">
        <f t="shared" si="175"/>
        <v>0.91367756613231621</v>
      </c>
      <c r="AI642" s="8">
        <f t="shared" si="176"/>
        <v>0.2967659562548951</v>
      </c>
      <c r="AJ642" s="8"/>
      <c r="AK642" s="8"/>
      <c r="AL642" s="8"/>
      <c r="AN642" s="8">
        <f t="shared" si="183"/>
        <v>1.0000000000000002</v>
      </c>
      <c r="AO642" s="8">
        <f t="shared" si="184"/>
        <v>1.8658714951545148</v>
      </c>
      <c r="AP642" s="8">
        <f t="shared" si="185"/>
        <v>1.2694920729404289</v>
      </c>
      <c r="AQ642" s="8"/>
      <c r="AR642" s="8">
        <f t="shared" si="186"/>
        <v>106.90656178611833</v>
      </c>
      <c r="AS642" s="8">
        <f t="shared" si="187"/>
        <v>17.263462095199372</v>
      </c>
    </row>
    <row r="643" spans="1:45">
      <c r="A643" s="19">
        <v>131.16436669999999</v>
      </c>
      <c r="B643" s="19">
        <v>108.5772343</v>
      </c>
      <c r="C643" s="19">
        <v>-794.84679310000001</v>
      </c>
      <c r="E643" s="9">
        <f t="shared" si="177"/>
        <v>-851.42276570000001</v>
      </c>
      <c r="F643" s="9">
        <f t="shared" si="178"/>
        <v>-254.84679310000001</v>
      </c>
      <c r="I643">
        <v>1</v>
      </c>
      <c r="J643">
        <f t="shared" si="173"/>
        <v>0.53633480454615146</v>
      </c>
      <c r="K643">
        <f t="shared" si="179"/>
        <v>-2.8507609814688766</v>
      </c>
      <c r="O643">
        <f t="shared" si="180"/>
        <v>-0.48953026834926544</v>
      </c>
      <c r="P643">
        <f t="shared" si="181"/>
        <v>-0.14652558522043374</v>
      </c>
      <c r="Q643">
        <f t="shared" si="182"/>
        <v>0.85958732496803691</v>
      </c>
      <c r="R643">
        <f t="shared" si="172"/>
        <v>1</v>
      </c>
      <c r="AG643" s="8">
        <f t="shared" si="174"/>
        <v>-0.27732840265680314</v>
      </c>
      <c r="AH643" s="8">
        <f t="shared" si="175"/>
        <v>0.91383275412839138</v>
      </c>
      <c r="AI643" s="8">
        <f t="shared" si="176"/>
        <v>0.29664567173977946</v>
      </c>
      <c r="AJ643" s="8"/>
      <c r="AK643" s="8"/>
      <c r="AL643" s="8"/>
      <c r="AN643" s="8">
        <f t="shared" si="183"/>
        <v>0.99999999999999989</v>
      </c>
      <c r="AO643" s="8">
        <f t="shared" si="184"/>
        <v>1.8654411513072191</v>
      </c>
      <c r="AP643" s="8">
        <f t="shared" si="185"/>
        <v>1.2696180294100721</v>
      </c>
      <c r="AQ643" s="8"/>
      <c r="AR643" s="8">
        <f t="shared" si="186"/>
        <v>106.88190489992887</v>
      </c>
      <c r="AS643" s="8">
        <f t="shared" si="187"/>
        <v>17.256245321086439</v>
      </c>
    </row>
    <row r="644" spans="1:45">
      <c r="A644" s="19">
        <v>131.19773330000001</v>
      </c>
      <c r="B644" s="19">
        <v>108.7159522</v>
      </c>
      <c r="C644" s="19">
        <v>-794.84984789999999</v>
      </c>
      <c r="E644" s="9">
        <f t="shared" si="177"/>
        <v>-851.28404780000005</v>
      </c>
      <c r="F644" s="9">
        <f t="shared" si="178"/>
        <v>-254.84984789999999</v>
      </c>
      <c r="I644">
        <v>1</v>
      </c>
      <c r="J644">
        <f t="shared" si="173"/>
        <v>0.53626870849853292</v>
      </c>
      <c r="K644">
        <f t="shared" si="179"/>
        <v>-2.8507129248376541</v>
      </c>
      <c r="O644">
        <f t="shared" si="180"/>
        <v>-0.48946879656529801</v>
      </c>
      <c r="P644">
        <f t="shared" si="181"/>
        <v>-0.14653281554944494</v>
      </c>
      <c r="Q644">
        <f t="shared" si="182"/>
        <v>0.85962109743541726</v>
      </c>
      <c r="R644">
        <f t="shared" si="172"/>
        <v>1</v>
      </c>
      <c r="AG644" s="8">
        <f t="shared" si="174"/>
        <v>-0.27739096736299301</v>
      </c>
      <c r="AH644" s="8">
        <f t="shared" si="175"/>
        <v>0.91380722647570889</v>
      </c>
      <c r="AI644" s="8">
        <f t="shared" si="176"/>
        <v>0.2966658120953527</v>
      </c>
      <c r="AJ644" s="8"/>
      <c r="AK644" s="8"/>
      <c r="AL644" s="8"/>
      <c r="AN644" s="8">
        <f t="shared" si="183"/>
        <v>0.99999999999999967</v>
      </c>
      <c r="AO644" s="8">
        <f t="shared" si="184"/>
        <v>1.8655116047580045</v>
      </c>
      <c r="AP644" s="8">
        <f t="shared" si="185"/>
        <v>1.2695969396899311</v>
      </c>
      <c r="AQ644" s="8"/>
      <c r="AR644" s="8">
        <f t="shared" si="186"/>
        <v>106.885941585311</v>
      </c>
      <c r="AS644" s="8">
        <f t="shared" si="187"/>
        <v>17.257453673041624</v>
      </c>
    </row>
    <row r="645" spans="1:45">
      <c r="A645" s="19">
        <v>131.2311</v>
      </c>
      <c r="B645" s="19">
        <v>107.9203407</v>
      </c>
      <c r="C645" s="19">
        <v>-794.848793</v>
      </c>
      <c r="E645" s="9">
        <f t="shared" si="177"/>
        <v>-852.0796593</v>
      </c>
      <c r="F645" s="9">
        <f t="shared" si="178"/>
        <v>-254.848793</v>
      </c>
      <c r="I645">
        <v>1</v>
      </c>
      <c r="J645">
        <f t="shared" si="173"/>
        <v>0.5366501063869108</v>
      </c>
      <c r="K645">
        <f t="shared" si="179"/>
        <v>-2.8509706205335554</v>
      </c>
      <c r="O645">
        <f t="shared" si="180"/>
        <v>-0.48982061480640882</v>
      </c>
      <c r="P645">
        <f t="shared" si="181"/>
        <v>-0.14650061306765799</v>
      </c>
      <c r="Q645">
        <f t="shared" si="182"/>
        <v>0.85942616650964965</v>
      </c>
      <c r="R645">
        <f t="shared" si="172"/>
        <v>1</v>
      </c>
      <c r="AG645" s="8">
        <f t="shared" si="174"/>
        <v>-0.27703644715014974</v>
      </c>
      <c r="AH645" s="8">
        <f t="shared" si="175"/>
        <v>0.91395492570095638</v>
      </c>
      <c r="AI645" s="8">
        <f t="shared" si="176"/>
        <v>0.29654207245748709</v>
      </c>
      <c r="AJ645" s="8"/>
      <c r="AK645" s="8"/>
      <c r="AL645" s="8"/>
      <c r="AN645" s="8">
        <f t="shared" si="183"/>
        <v>1</v>
      </c>
      <c r="AO645" s="8">
        <f t="shared" si="184"/>
        <v>1.8651114697460869</v>
      </c>
      <c r="AP645" s="8">
        <f t="shared" si="185"/>
        <v>1.2697265099132391</v>
      </c>
      <c r="AQ645" s="8"/>
      <c r="AR645" s="8">
        <f t="shared" si="186"/>
        <v>106.86301553789271</v>
      </c>
      <c r="AS645" s="8">
        <f t="shared" si="187"/>
        <v>17.250029846095515</v>
      </c>
    </row>
    <row r="646" spans="1:45">
      <c r="A646" s="19">
        <v>131.29783330000001</v>
      </c>
      <c r="B646" s="19">
        <v>107.5879199</v>
      </c>
      <c r="C646" s="19">
        <v>-795.01487380000003</v>
      </c>
      <c r="E646" s="9">
        <f t="shared" si="177"/>
        <v>-852.41208010000003</v>
      </c>
      <c r="F646" s="9">
        <f t="shared" si="178"/>
        <v>-255.01487380000003</v>
      </c>
      <c r="I646">
        <v>1</v>
      </c>
      <c r="J646">
        <f t="shared" si="173"/>
        <v>0.53683329435508476</v>
      </c>
      <c r="K646">
        <f t="shared" si="179"/>
        <v>-2.8508988448703221</v>
      </c>
      <c r="O646">
        <f t="shared" si="180"/>
        <v>-0.48996092146935727</v>
      </c>
      <c r="P646">
        <f t="shared" si="181"/>
        <v>-0.14658089141672165</v>
      </c>
      <c r="Q646">
        <f t="shared" si="182"/>
        <v>0.85933249543141188</v>
      </c>
      <c r="R646">
        <f t="shared" si="172"/>
        <v>1</v>
      </c>
      <c r="AG646" s="8">
        <f t="shared" si="174"/>
        <v>-0.27693155028251881</v>
      </c>
      <c r="AH646" s="8">
        <f t="shared" si="175"/>
        <v>0.91403046855676662</v>
      </c>
      <c r="AI646" s="8">
        <f t="shared" si="176"/>
        <v>0.29640718447436182</v>
      </c>
      <c r="AJ646" s="8"/>
      <c r="AK646" s="8"/>
      <c r="AL646" s="8"/>
      <c r="AN646" s="8">
        <f t="shared" si="183"/>
        <v>0.99999999999999989</v>
      </c>
      <c r="AO646" s="8">
        <f t="shared" si="184"/>
        <v>1.8649834149534266</v>
      </c>
      <c r="AP646" s="8">
        <f t="shared" si="185"/>
        <v>1.2698677478511902</v>
      </c>
      <c r="AQ646" s="8"/>
      <c r="AR646" s="8">
        <f t="shared" si="186"/>
        <v>106.85567853872685</v>
      </c>
      <c r="AS646" s="8">
        <f t="shared" si="187"/>
        <v>17.241937508343796</v>
      </c>
    </row>
    <row r="647" spans="1:45">
      <c r="A647" s="19">
        <v>131.3312</v>
      </c>
      <c r="B647" s="19">
        <v>106.5657345</v>
      </c>
      <c r="C647" s="19">
        <v>-794.9602691</v>
      </c>
      <c r="E647" s="9">
        <f t="shared" si="177"/>
        <v>-853.43426550000004</v>
      </c>
      <c r="F647" s="9">
        <f t="shared" si="178"/>
        <v>-254.9602691</v>
      </c>
      <c r="I647">
        <v>1</v>
      </c>
      <c r="J647">
        <f t="shared" si="173"/>
        <v>0.5373153643218147</v>
      </c>
      <c r="K647">
        <f t="shared" si="179"/>
        <v>-2.8512865036599493</v>
      </c>
      <c r="O647">
        <f t="shared" si="180"/>
        <v>-0.49041457534818739</v>
      </c>
      <c r="P647">
        <f t="shared" si="181"/>
        <v>-0.14650950536662771</v>
      </c>
      <c r="Q647">
        <f t="shared" si="182"/>
        <v>0.8590858566658417</v>
      </c>
      <c r="R647">
        <f t="shared" si="172"/>
        <v>1</v>
      </c>
      <c r="AG647" s="8">
        <f t="shared" si="174"/>
        <v>-0.27646247637402444</v>
      </c>
      <c r="AH647" s="8">
        <f t="shared" si="175"/>
        <v>0.91421535622395589</v>
      </c>
      <c r="AI647" s="8">
        <f t="shared" si="176"/>
        <v>0.29627484132380744</v>
      </c>
      <c r="AJ647" s="8"/>
      <c r="AK647" s="8"/>
      <c r="AL647" s="8"/>
      <c r="AN647" s="8">
        <f t="shared" si="183"/>
        <v>0.99999999999999978</v>
      </c>
      <c r="AO647" s="8">
        <f t="shared" si="184"/>
        <v>1.8644572599806029</v>
      </c>
      <c r="AP647" s="8">
        <f t="shared" si="185"/>
        <v>1.2700063151399854</v>
      </c>
      <c r="AQ647" s="8"/>
      <c r="AR647" s="8">
        <f t="shared" si="186"/>
        <v>106.82553207941423</v>
      </c>
      <c r="AS647" s="8">
        <f t="shared" si="187"/>
        <v>17.233998187517258</v>
      </c>
    </row>
    <row r="648" spans="1:45">
      <c r="A648" s="19">
        <v>131.36456670000001</v>
      </c>
      <c r="B648" s="19">
        <v>106.7021986</v>
      </c>
      <c r="C648" s="19">
        <v>-794.96036059999994</v>
      </c>
      <c r="E648" s="9">
        <f t="shared" si="177"/>
        <v>-853.29780140000003</v>
      </c>
      <c r="F648" s="9">
        <f t="shared" si="178"/>
        <v>-254.96036059999994</v>
      </c>
      <c r="I648">
        <v>1</v>
      </c>
      <c r="J648">
        <f t="shared" si="173"/>
        <v>0.5372499879649546</v>
      </c>
      <c r="K648">
        <f t="shared" si="179"/>
        <v>-2.8512425433381732</v>
      </c>
      <c r="O648">
        <f t="shared" si="180"/>
        <v>-0.49035432013088986</v>
      </c>
      <c r="P648">
        <f t="shared" si="181"/>
        <v>-0.14651498465977361</v>
      </c>
      <c r="Q648">
        <f t="shared" si="182"/>
        <v>0.85911931650913254</v>
      </c>
      <c r="R648">
        <f t="shared" si="172"/>
        <v>1</v>
      </c>
      <c r="AG648" s="8">
        <f t="shared" si="174"/>
        <v>-0.27652322106875332</v>
      </c>
      <c r="AH648" s="8">
        <f t="shared" si="175"/>
        <v>0.91419009318728106</v>
      </c>
      <c r="AI648" s="8">
        <f t="shared" si="176"/>
        <v>0.29629610481407254</v>
      </c>
      <c r="AJ648" s="8"/>
      <c r="AK648" s="8"/>
      <c r="AL648" s="8"/>
      <c r="AN648" s="8">
        <f t="shared" si="183"/>
        <v>1.0000000000000002</v>
      </c>
      <c r="AO648" s="8">
        <f t="shared" si="184"/>
        <v>1.8645257942845304</v>
      </c>
      <c r="AP648" s="8">
        <f t="shared" si="185"/>
        <v>1.2699840520230474</v>
      </c>
      <c r="AQ648" s="8"/>
      <c r="AR648" s="8">
        <f t="shared" si="186"/>
        <v>106.82945880578114</v>
      </c>
      <c r="AS648" s="8">
        <f t="shared" si="187"/>
        <v>17.23527377015661</v>
      </c>
    </row>
    <row r="649" spans="1:45">
      <c r="A649" s="19">
        <v>131.39793330000001</v>
      </c>
      <c r="B649" s="19">
        <v>105.68411020000001</v>
      </c>
      <c r="C649" s="19">
        <v>-794.74015220000001</v>
      </c>
      <c r="E649" s="9">
        <f t="shared" si="177"/>
        <v>-854.31588980000004</v>
      </c>
      <c r="F649" s="9">
        <f t="shared" si="178"/>
        <v>-254.74015220000001</v>
      </c>
      <c r="I649">
        <v>1</v>
      </c>
      <c r="J649">
        <f t="shared" si="173"/>
        <v>0.53770626123499621</v>
      </c>
      <c r="K649">
        <f t="shared" si="179"/>
        <v>-2.8518061609606278</v>
      </c>
      <c r="O649">
        <f t="shared" si="180"/>
        <v>-0.49081241859341079</v>
      </c>
      <c r="P649">
        <f t="shared" si="181"/>
        <v>-0.14635058496150141</v>
      </c>
      <c r="Q649">
        <f t="shared" si="182"/>
        <v>0.85888571768071265</v>
      </c>
      <c r="R649">
        <f t="shared" si="172"/>
        <v>1</v>
      </c>
      <c r="AG649" s="8">
        <f t="shared" si="174"/>
        <v>-0.27601317844668005</v>
      </c>
      <c r="AH649" s="8">
        <f t="shared" si="175"/>
        <v>0.91436010112510147</v>
      </c>
      <c r="AI649" s="8">
        <f t="shared" si="176"/>
        <v>0.29624707727546518</v>
      </c>
      <c r="AJ649" s="8"/>
      <c r="AK649" s="8"/>
      <c r="AL649" s="8"/>
      <c r="AN649" s="8">
        <f t="shared" si="183"/>
        <v>1</v>
      </c>
      <c r="AO649" s="8">
        <f t="shared" si="184"/>
        <v>1.8639631171748243</v>
      </c>
      <c r="AP649" s="8">
        <f t="shared" si="185"/>
        <v>1.2700353841839687</v>
      </c>
      <c r="AQ649" s="8"/>
      <c r="AR649" s="8">
        <f t="shared" si="186"/>
        <v>106.79721978216637</v>
      </c>
      <c r="AS649" s="8">
        <f t="shared" si="187"/>
        <v>17.232332653982525</v>
      </c>
    </row>
    <row r="650" spans="1:45">
      <c r="A650" s="19">
        <v>131.46466670000001</v>
      </c>
      <c r="B650" s="19">
        <v>105.258804</v>
      </c>
      <c r="C650" s="19">
        <v>-794.9272168</v>
      </c>
      <c r="E650" s="9">
        <f t="shared" si="177"/>
        <v>-854.74119599999995</v>
      </c>
      <c r="F650" s="9">
        <f t="shared" si="178"/>
        <v>-254.9272168</v>
      </c>
      <c r="I650">
        <v>1</v>
      </c>
      <c r="J650">
        <f t="shared" si="173"/>
        <v>0.53793667642516274</v>
      </c>
      <c r="K650">
        <f t="shared" si="179"/>
        <v>-2.8517414321678514</v>
      </c>
      <c r="O650">
        <f t="shared" si="180"/>
        <v>-0.49099257662122403</v>
      </c>
      <c r="P650">
        <f t="shared" si="181"/>
        <v>-0.14643891228510461</v>
      </c>
      <c r="Q650">
        <f t="shared" si="182"/>
        <v>0.8587676837606355</v>
      </c>
      <c r="R650">
        <f t="shared" si="172"/>
        <v>1</v>
      </c>
      <c r="AG650" s="8">
        <f t="shared" si="174"/>
        <v>-0.27587253900319719</v>
      </c>
      <c r="AH650" s="8">
        <f t="shared" si="175"/>
        <v>0.91445430130901673</v>
      </c>
      <c r="AI650" s="8">
        <f t="shared" si="176"/>
        <v>0.29608727267710711</v>
      </c>
      <c r="AJ650" s="8"/>
      <c r="AK650" s="8"/>
      <c r="AL650" s="8"/>
      <c r="AN650" s="8">
        <f t="shared" si="183"/>
        <v>1</v>
      </c>
      <c r="AO650" s="8">
        <f t="shared" si="184"/>
        <v>1.8637936574235285</v>
      </c>
      <c r="AP650" s="8">
        <f t="shared" si="185"/>
        <v>1.2702026949950016</v>
      </c>
      <c r="AQ650" s="8"/>
      <c r="AR650" s="8">
        <f t="shared" si="186"/>
        <v>106.78751045361977</v>
      </c>
      <c r="AS650" s="8">
        <f t="shared" si="187"/>
        <v>17.222746450643427</v>
      </c>
    </row>
    <row r="651" spans="1:45">
      <c r="A651" s="19">
        <v>131.4980333</v>
      </c>
      <c r="B651" s="19">
        <v>105.21774449999999</v>
      </c>
      <c r="C651" s="19">
        <v>-794.90998790000003</v>
      </c>
      <c r="E651" s="9">
        <f t="shared" si="177"/>
        <v>-854.78225550000002</v>
      </c>
      <c r="F651" s="9">
        <f t="shared" si="178"/>
        <v>-254.90998790000003</v>
      </c>
      <c r="I651">
        <v>1</v>
      </c>
      <c r="J651">
        <f t="shared" si="173"/>
        <v>0.53795387807388961</v>
      </c>
      <c r="K651">
        <f t="shared" si="179"/>
        <v>-2.8517730980800851</v>
      </c>
      <c r="O651">
        <f t="shared" si="180"/>
        <v>-0.49101136957552716</v>
      </c>
      <c r="P651">
        <f t="shared" si="181"/>
        <v>-0.14642758605704359</v>
      </c>
      <c r="Q651">
        <f t="shared" si="182"/>
        <v>0.85875887010794372</v>
      </c>
      <c r="R651">
        <f t="shared" si="172"/>
        <v>1</v>
      </c>
      <c r="AG651" s="8">
        <f t="shared" si="174"/>
        <v>-0.27584981114103702</v>
      </c>
      <c r="AH651" s="8">
        <f t="shared" si="175"/>
        <v>0.91446044857599129</v>
      </c>
      <c r="AI651" s="8">
        <f t="shared" si="176"/>
        <v>0.29608946229754762</v>
      </c>
      <c r="AJ651" s="8"/>
      <c r="AK651" s="8"/>
      <c r="AL651" s="8"/>
      <c r="AN651" s="8">
        <f t="shared" si="183"/>
        <v>0.99999999999999989</v>
      </c>
      <c r="AO651" s="8">
        <f t="shared" si="184"/>
        <v>1.8637690178609783</v>
      </c>
      <c r="AP651" s="8">
        <f t="shared" si="185"/>
        <v>1.2702004025841207</v>
      </c>
      <c r="AQ651" s="8"/>
      <c r="AR651" s="8">
        <f t="shared" si="186"/>
        <v>106.7860987106766</v>
      </c>
      <c r="AS651" s="8">
        <f t="shared" si="187"/>
        <v>17.222877796111817</v>
      </c>
    </row>
    <row r="652" spans="1:45">
      <c r="A652" s="19">
        <v>131.53139999999999</v>
      </c>
      <c r="B652" s="19">
        <v>104.9609576</v>
      </c>
      <c r="C652" s="19">
        <v>-794.99121660000003</v>
      </c>
      <c r="E652" s="9">
        <f t="shared" si="177"/>
        <v>-855.03904239999997</v>
      </c>
      <c r="F652" s="9">
        <f t="shared" si="178"/>
        <v>-254.99121660000003</v>
      </c>
      <c r="I652">
        <v>1</v>
      </c>
      <c r="J652">
        <f t="shared" si="173"/>
        <v>0.53808843464017131</v>
      </c>
      <c r="K652">
        <f t="shared" si="179"/>
        <v>-2.8517681031741455</v>
      </c>
      <c r="O652">
        <f t="shared" si="180"/>
        <v>-0.49112136618356395</v>
      </c>
      <c r="P652">
        <f t="shared" si="181"/>
        <v>-0.14646306010762949</v>
      </c>
      <c r="Q652">
        <f t="shared" si="182"/>
        <v>0.85868991824866481</v>
      </c>
      <c r="R652">
        <f t="shared" si="172"/>
        <v>1</v>
      </c>
      <c r="AG652" s="8">
        <f t="shared" si="174"/>
        <v>-0.27575668612721638</v>
      </c>
      <c r="AH652" s="8">
        <f t="shared" si="175"/>
        <v>0.91451464056493026</v>
      </c>
      <c r="AI652" s="8">
        <f t="shared" si="176"/>
        <v>0.29600882123432093</v>
      </c>
      <c r="AJ652" s="8"/>
      <c r="AK652" s="8"/>
      <c r="AL652" s="8"/>
      <c r="AN652" s="8">
        <f t="shared" si="183"/>
        <v>0.99999999999999989</v>
      </c>
      <c r="AO652" s="8">
        <f t="shared" si="184"/>
        <v>1.863659293025151</v>
      </c>
      <c r="AP652" s="8">
        <f t="shared" si="185"/>
        <v>1.2702848282198462</v>
      </c>
      <c r="AQ652" s="8"/>
      <c r="AR652" s="8">
        <f t="shared" si="186"/>
        <v>106.77981194067593</v>
      </c>
      <c r="AS652" s="8">
        <f t="shared" si="187"/>
        <v>17.218040563502043</v>
      </c>
    </row>
    <row r="653" spans="1:45">
      <c r="A653" s="19">
        <v>131.56476670000001</v>
      </c>
      <c r="B653" s="19">
        <v>104.6014023</v>
      </c>
      <c r="C653" s="19">
        <v>-794.9216404</v>
      </c>
      <c r="E653" s="9">
        <f t="shared" si="177"/>
        <v>-855.39859769999998</v>
      </c>
      <c r="F653" s="9">
        <f t="shared" si="178"/>
        <v>-254.9216404</v>
      </c>
      <c r="I653">
        <v>1</v>
      </c>
      <c r="J653">
        <f t="shared" si="173"/>
        <v>0.53825064525321475</v>
      </c>
      <c r="K653">
        <f t="shared" si="179"/>
        <v>-2.8519579241607085</v>
      </c>
      <c r="O653">
        <f t="shared" si="180"/>
        <v>-0.49128263964066476</v>
      </c>
      <c r="P653">
        <f t="shared" si="181"/>
        <v>-0.14640961153546711</v>
      </c>
      <c r="Q653">
        <f t="shared" si="182"/>
        <v>0.85860677474483882</v>
      </c>
      <c r="R653">
        <f t="shared" si="172"/>
        <v>1</v>
      </c>
      <c r="AG653" s="8">
        <f t="shared" si="174"/>
        <v>-0.27557877270969156</v>
      </c>
      <c r="AH653" s="8">
        <f t="shared" si="175"/>
        <v>0.91457519767572593</v>
      </c>
      <c r="AI653" s="8">
        <f t="shared" si="176"/>
        <v>0.29598741160432329</v>
      </c>
      <c r="AJ653" s="8"/>
      <c r="AK653" s="8"/>
      <c r="AL653" s="8"/>
      <c r="AN653" s="8">
        <f t="shared" si="183"/>
        <v>1</v>
      </c>
      <c r="AO653" s="8">
        <f t="shared" si="184"/>
        <v>1.8634626617435877</v>
      </c>
      <c r="AP653" s="8">
        <f t="shared" si="185"/>
        <v>1.2703072422558985</v>
      </c>
      <c r="AQ653" s="8"/>
      <c r="AR653" s="8">
        <f t="shared" si="186"/>
        <v>106.7685457981221</v>
      </c>
      <c r="AS653" s="8">
        <f t="shared" si="187"/>
        <v>17.216756333834383</v>
      </c>
    </row>
    <row r="654" spans="1:45">
      <c r="A654" s="19">
        <v>131.5981333</v>
      </c>
      <c r="B654" s="19">
        <v>104.2955901</v>
      </c>
      <c r="C654" s="19">
        <v>-794.89777919999995</v>
      </c>
      <c r="E654" s="9">
        <f t="shared" si="177"/>
        <v>-855.70440989999997</v>
      </c>
      <c r="F654" s="9">
        <f t="shared" si="178"/>
        <v>-254.89777919999995</v>
      </c>
      <c r="I654">
        <v>1</v>
      </c>
      <c r="J654">
        <f t="shared" si="173"/>
        <v>0.53839363375485505</v>
      </c>
      <c r="K654">
        <f t="shared" si="179"/>
        <v>-2.852081356391023</v>
      </c>
      <c r="O654">
        <f t="shared" si="180"/>
        <v>-0.49141836414218376</v>
      </c>
      <c r="P654">
        <f t="shared" si="181"/>
        <v>-0.14638401792574374</v>
      </c>
      <c r="Q654">
        <f t="shared" si="182"/>
        <v>0.85853346509017092</v>
      </c>
      <c r="R654">
        <f t="shared" si="172"/>
        <v>1</v>
      </c>
      <c r="AG654" s="8">
        <f t="shared" si="174"/>
        <v>-0.27543662854677714</v>
      </c>
      <c r="AH654" s="8">
        <f t="shared" si="175"/>
        <v>0.91462961365926498</v>
      </c>
      <c r="AI654" s="8">
        <f t="shared" si="176"/>
        <v>0.29595157284983037</v>
      </c>
      <c r="AJ654" s="8"/>
      <c r="AK654" s="8"/>
      <c r="AL654" s="8"/>
      <c r="AN654" s="8">
        <f t="shared" si="183"/>
        <v>1</v>
      </c>
      <c r="AO654" s="8">
        <f t="shared" si="184"/>
        <v>1.8633037434082007</v>
      </c>
      <c r="AP654" s="8">
        <f t="shared" si="185"/>
        <v>1.270344761992402</v>
      </c>
      <c r="AQ654" s="8"/>
      <c r="AR654" s="8">
        <f t="shared" si="186"/>
        <v>106.75944044821719</v>
      </c>
      <c r="AS654" s="8">
        <f t="shared" si="187"/>
        <v>17.214606611284296</v>
      </c>
    </row>
    <row r="655" spans="1:45">
      <c r="A655" s="19">
        <v>131.63149999999999</v>
      </c>
      <c r="B655" s="19">
        <v>103.8665257</v>
      </c>
      <c r="C655" s="19">
        <v>-794.93370789999994</v>
      </c>
      <c r="E655" s="9">
        <f t="shared" si="177"/>
        <v>-856.13347429999999</v>
      </c>
      <c r="F655" s="9">
        <f t="shared" si="178"/>
        <v>-254.93370789999994</v>
      </c>
      <c r="I655">
        <v>1</v>
      </c>
      <c r="J655">
        <f t="shared" si="173"/>
        <v>0.53860411205129988</v>
      </c>
      <c r="K655">
        <f t="shared" si="179"/>
        <v>-2.8521799337020943</v>
      </c>
      <c r="O655">
        <f t="shared" si="180"/>
        <v>-0.49160596854519317</v>
      </c>
      <c r="P655">
        <f t="shared" si="181"/>
        <v>-0.14638714189918564</v>
      </c>
      <c r="Q655">
        <f t="shared" si="182"/>
        <v>0.85842552174159537</v>
      </c>
      <c r="R655">
        <f t="shared" si="172"/>
        <v>1</v>
      </c>
      <c r="AG655" s="8">
        <f t="shared" si="174"/>
        <v>-0.27525522153481241</v>
      </c>
      <c r="AH655" s="8">
        <f t="shared" si="175"/>
        <v>0.91471169527798346</v>
      </c>
      <c r="AI655" s="8">
        <f t="shared" si="176"/>
        <v>0.29586665499765047</v>
      </c>
      <c r="AJ655" s="8"/>
      <c r="AK655" s="8"/>
      <c r="AL655" s="8"/>
      <c r="AN655" s="8">
        <f t="shared" si="183"/>
        <v>0.99999999999999978</v>
      </c>
      <c r="AO655" s="8">
        <f t="shared" si="184"/>
        <v>1.8630971227353785</v>
      </c>
      <c r="AP655" s="8">
        <f t="shared" si="185"/>
        <v>1.2704336610931197</v>
      </c>
      <c r="AQ655" s="8"/>
      <c r="AR655" s="8">
        <f t="shared" si="186"/>
        <v>106.74760195570433</v>
      </c>
      <c r="AS655" s="8">
        <f t="shared" si="187"/>
        <v>17.209513068010665</v>
      </c>
    </row>
    <row r="656" spans="1:45">
      <c r="A656" s="19">
        <v>131.6648667</v>
      </c>
      <c r="B656" s="19">
        <v>103.53406510000001</v>
      </c>
      <c r="C656" s="19">
        <v>-794.88965559999997</v>
      </c>
      <c r="E656" s="9">
        <f t="shared" si="177"/>
        <v>-856.46593489999998</v>
      </c>
      <c r="F656" s="9">
        <f t="shared" si="178"/>
        <v>-254.88965559999997</v>
      </c>
      <c r="I656">
        <v>1</v>
      </c>
      <c r="J656">
        <f t="shared" si="173"/>
        <v>0.53875692967671351</v>
      </c>
      <c r="K656">
        <f t="shared" si="179"/>
        <v>-2.8523333609047397</v>
      </c>
      <c r="O656">
        <f t="shared" si="180"/>
        <v>-0.49175414941339562</v>
      </c>
      <c r="P656">
        <f t="shared" si="181"/>
        <v>-0.14634913156059878</v>
      </c>
      <c r="Q656">
        <f t="shared" si="182"/>
        <v>0.85834712571672678</v>
      </c>
      <c r="R656">
        <f t="shared" si="172"/>
        <v>1</v>
      </c>
      <c r="AG656" s="8">
        <f t="shared" si="174"/>
        <v>-0.27509603871462041</v>
      </c>
      <c r="AH656" s="8">
        <f t="shared" si="175"/>
        <v>0.91476925960499633</v>
      </c>
      <c r="AI656" s="8">
        <f t="shared" si="176"/>
        <v>0.2958367305884293</v>
      </c>
      <c r="AJ656" s="8"/>
      <c r="AK656" s="8"/>
      <c r="AL656" s="8"/>
      <c r="AN656" s="8">
        <f t="shared" si="183"/>
        <v>1</v>
      </c>
      <c r="AO656" s="8">
        <f t="shared" si="184"/>
        <v>1.8629201843641758</v>
      </c>
      <c r="AP656" s="8">
        <f t="shared" si="185"/>
        <v>1.270464987880914</v>
      </c>
      <c r="AQ656" s="8"/>
      <c r="AR656" s="8">
        <f t="shared" si="186"/>
        <v>106.73746413380049</v>
      </c>
      <c r="AS656" s="8">
        <f t="shared" si="187"/>
        <v>17.207718175284342</v>
      </c>
    </row>
    <row r="657" spans="1:45">
      <c r="A657" s="19">
        <v>131.6982333</v>
      </c>
      <c r="B657" s="19">
        <v>103.53372160000001</v>
      </c>
      <c r="C657" s="19">
        <v>-794.88644020000004</v>
      </c>
      <c r="E657" s="9">
        <f t="shared" si="177"/>
        <v>-856.46627839999996</v>
      </c>
      <c r="F657" s="9">
        <f t="shared" si="178"/>
        <v>-254.88644020000004</v>
      </c>
      <c r="I657">
        <v>1</v>
      </c>
      <c r="J657">
        <f t="shared" si="173"/>
        <v>0.53875663615623004</v>
      </c>
      <c r="K657">
        <f t="shared" si="179"/>
        <v>-2.8523369193614205</v>
      </c>
      <c r="O657">
        <f t="shared" si="180"/>
        <v>-0.49175442871143082</v>
      </c>
      <c r="P657">
        <f t="shared" si="181"/>
        <v>-0.14634730981002189</v>
      </c>
      <c r="Q657">
        <f t="shared" si="182"/>
        <v>0.85834727631306884</v>
      </c>
      <c r="R657">
        <f t="shared" si="172"/>
        <v>1</v>
      </c>
      <c r="AG657" s="8">
        <f t="shared" si="174"/>
        <v>-0.27509505230503051</v>
      </c>
      <c r="AH657" s="8">
        <f t="shared" si="175"/>
        <v>0.91476905476434967</v>
      </c>
      <c r="AI657" s="8">
        <f t="shared" si="176"/>
        <v>0.29583828123289052</v>
      </c>
      <c r="AJ657" s="8"/>
      <c r="AK657" s="8"/>
      <c r="AL657" s="8"/>
      <c r="AN657" s="8">
        <f t="shared" si="183"/>
        <v>1</v>
      </c>
      <c r="AO657" s="8">
        <f t="shared" si="184"/>
        <v>1.8629192572357325</v>
      </c>
      <c r="AP657" s="8">
        <f t="shared" si="185"/>
        <v>1.2704633645744627</v>
      </c>
      <c r="AQ657" s="8"/>
      <c r="AR657" s="8">
        <f t="shared" si="186"/>
        <v>106.73741101325362</v>
      </c>
      <c r="AS657" s="8">
        <f t="shared" si="187"/>
        <v>17.207811183892858</v>
      </c>
    </row>
    <row r="658" spans="1:45">
      <c r="A658" s="19">
        <v>131.73159999999999</v>
      </c>
      <c r="B658" s="19">
        <v>103.0999091</v>
      </c>
      <c r="C658" s="19">
        <v>-795.86332340000001</v>
      </c>
      <c r="E658" s="9">
        <f t="shared" si="177"/>
        <v>-856.90009090000001</v>
      </c>
      <c r="F658" s="9">
        <f t="shared" si="178"/>
        <v>-255.86332340000001</v>
      </c>
      <c r="I658">
        <v>1</v>
      </c>
      <c r="J658">
        <f t="shared" si="173"/>
        <v>0.53910344116727671</v>
      </c>
      <c r="K658">
        <f t="shared" si="179"/>
        <v>-2.8514283043028037</v>
      </c>
      <c r="O658">
        <f t="shared" si="180"/>
        <v>-0.49190645801431138</v>
      </c>
      <c r="P658">
        <f t="shared" si="181"/>
        <v>-0.14687922487821536</v>
      </c>
      <c r="Q658">
        <f t="shared" si="182"/>
        <v>0.8581692897459039</v>
      </c>
      <c r="R658">
        <f t="shared" si="172"/>
        <v>1</v>
      </c>
      <c r="AG658" s="8">
        <f t="shared" si="174"/>
        <v>-0.27515550733449406</v>
      </c>
      <c r="AH658" s="8">
        <f t="shared" si="175"/>
        <v>0.91493020066079911</v>
      </c>
      <c r="AI658" s="8">
        <f t="shared" si="176"/>
        <v>0.29528321100646249</v>
      </c>
      <c r="AJ658" s="8"/>
      <c r="AK658" s="8"/>
      <c r="AL658" s="8"/>
      <c r="AN658" s="8">
        <f t="shared" si="183"/>
        <v>0.99999999999999989</v>
      </c>
      <c r="AO658" s="8">
        <f t="shared" si="184"/>
        <v>1.8629312793980524</v>
      </c>
      <c r="AP658" s="8">
        <f t="shared" si="185"/>
        <v>1.2710443928609636</v>
      </c>
      <c r="AQ658" s="8"/>
      <c r="AR658" s="8">
        <f t="shared" si="186"/>
        <v>106.73809983241517</v>
      </c>
      <c r="AS658" s="8">
        <f t="shared" si="187"/>
        <v>17.174520715298641</v>
      </c>
    </row>
    <row r="659" spans="1:45">
      <c r="A659" s="19">
        <v>131.7649667</v>
      </c>
      <c r="B659" s="19">
        <v>102.9595946</v>
      </c>
      <c r="C659" s="19">
        <v>-796.56489539999995</v>
      </c>
      <c r="E659" s="9">
        <f t="shared" si="177"/>
        <v>-857.04040540000005</v>
      </c>
      <c r="F659" s="9">
        <f t="shared" si="178"/>
        <v>-256.56489539999995</v>
      </c>
      <c r="I659">
        <v>1</v>
      </c>
      <c r="J659">
        <f t="shared" si="173"/>
        <v>0.53927080198969402</v>
      </c>
      <c r="K659">
        <f t="shared" si="179"/>
        <v>-2.8507217481615035</v>
      </c>
      <c r="O659">
        <f t="shared" si="180"/>
        <v>-0.49194014085116788</v>
      </c>
      <c r="P659">
        <f t="shared" si="181"/>
        <v>-0.14726793507668276</v>
      </c>
      <c r="Q659">
        <f t="shared" si="182"/>
        <v>0.85808336023814324</v>
      </c>
      <c r="R659">
        <f t="shared" si="172"/>
        <v>1</v>
      </c>
      <c r="AG659" s="8">
        <f t="shared" si="174"/>
        <v>-0.27527494015308152</v>
      </c>
      <c r="AH659" s="8">
        <f t="shared" si="175"/>
        <v>0.91501421392581017</v>
      </c>
      <c r="AI659" s="8">
        <f t="shared" si="176"/>
        <v>0.29491133521356699</v>
      </c>
      <c r="AJ659" s="8"/>
      <c r="AK659" s="8"/>
      <c r="AL659" s="8"/>
      <c r="AN659" s="8">
        <f t="shared" si="183"/>
        <v>0.99999999999999978</v>
      </c>
      <c r="AO659" s="8">
        <f t="shared" si="184"/>
        <v>1.863025653725142</v>
      </c>
      <c r="AP659" s="8">
        <f t="shared" si="185"/>
        <v>1.27143360118751</v>
      </c>
      <c r="AQ659" s="8"/>
      <c r="AR659" s="8">
        <f t="shared" si="186"/>
        <v>106.7435070830518</v>
      </c>
      <c r="AS659" s="8">
        <f t="shared" si="187"/>
        <v>17.152220720836183</v>
      </c>
    </row>
    <row r="660" spans="1:45">
      <c r="A660" s="19">
        <v>131.7983333</v>
      </c>
      <c r="B660" s="19">
        <v>102.398337</v>
      </c>
      <c r="C660" s="19">
        <v>-796.14395219999994</v>
      </c>
      <c r="E660" s="9">
        <f t="shared" si="177"/>
        <v>-857.60166300000003</v>
      </c>
      <c r="F660" s="9">
        <f t="shared" si="178"/>
        <v>-256.14395219999994</v>
      </c>
      <c r="I660">
        <v>1</v>
      </c>
      <c r="J660">
        <f t="shared" si="173"/>
        <v>0.53947890459521552</v>
      </c>
      <c r="K660">
        <f t="shared" si="179"/>
        <v>-2.8513521386400171</v>
      </c>
      <c r="O660">
        <f t="shared" si="180"/>
        <v>-0.49220396947854955</v>
      </c>
      <c r="P660">
        <f t="shared" si="181"/>
        <v>-0.14700889173854578</v>
      </c>
      <c r="Q660">
        <f t="shared" si="182"/>
        <v>0.85797647880309846</v>
      </c>
      <c r="R660">
        <f t="shared" si="172"/>
        <v>1</v>
      </c>
      <c r="AG660" s="8">
        <f t="shared" si="174"/>
        <v>-0.27491651484287993</v>
      </c>
      <c r="AH660" s="8">
        <f t="shared" si="175"/>
        <v>0.91508248462281405</v>
      </c>
      <c r="AI660" s="8">
        <f t="shared" si="176"/>
        <v>0.29503382213431367</v>
      </c>
      <c r="AJ660" s="8"/>
      <c r="AK660" s="8"/>
      <c r="AL660" s="8"/>
      <c r="AN660" s="8">
        <f t="shared" si="183"/>
        <v>1</v>
      </c>
      <c r="AO660" s="8">
        <f t="shared" si="184"/>
        <v>1.8626458499724334</v>
      </c>
      <c r="AP660" s="8">
        <f t="shared" si="185"/>
        <v>1.2713054105147594</v>
      </c>
      <c r="AQ660" s="8"/>
      <c r="AR660" s="8">
        <f t="shared" si="186"/>
        <v>106.72174593097836</v>
      </c>
      <c r="AS660" s="8">
        <f t="shared" si="187"/>
        <v>17.159565505357733</v>
      </c>
    </row>
    <row r="661" spans="1:45">
      <c r="A661" s="19">
        <v>131.83170000000001</v>
      </c>
      <c r="B661" s="19">
        <v>102.2580226</v>
      </c>
      <c r="C661" s="19">
        <v>-795.86332340000001</v>
      </c>
      <c r="E661" s="9">
        <f t="shared" si="177"/>
        <v>-857.7419774</v>
      </c>
      <c r="F661" s="9">
        <f t="shared" si="178"/>
        <v>-255.86332340000001</v>
      </c>
      <c r="I661">
        <v>1</v>
      </c>
      <c r="J661">
        <f t="shared" si="173"/>
        <v>0.53950593425958948</v>
      </c>
      <c r="K661">
        <f t="shared" si="179"/>
        <v>-2.8516974076536967</v>
      </c>
      <c r="O661">
        <f t="shared" si="180"/>
        <v>-0.4922769207269852</v>
      </c>
      <c r="P661">
        <f t="shared" si="181"/>
        <v>-0.14684556928427742</v>
      </c>
      <c r="Q661">
        <f t="shared" si="182"/>
        <v>0.8579625936491253</v>
      </c>
      <c r="R661">
        <f t="shared" si="172"/>
        <v>1</v>
      </c>
      <c r="AG661" s="8">
        <f t="shared" si="174"/>
        <v>-0.27478146682573151</v>
      </c>
      <c r="AH661" s="8">
        <f t="shared" si="175"/>
        <v>0.91508496623005475</v>
      </c>
      <c r="AI661" s="8">
        <f t="shared" si="176"/>
        <v>0.29515191015617548</v>
      </c>
      <c r="AJ661" s="8"/>
      <c r="AK661" s="8"/>
      <c r="AL661" s="8"/>
      <c r="AN661" s="8">
        <f t="shared" si="183"/>
        <v>1.0000000000000002</v>
      </c>
      <c r="AO661" s="8">
        <f t="shared" si="184"/>
        <v>1.8625097347777093</v>
      </c>
      <c r="AP661" s="8">
        <f t="shared" si="185"/>
        <v>1.2711818187767534</v>
      </c>
      <c r="AQ661" s="8"/>
      <c r="AR661" s="8">
        <f t="shared" si="186"/>
        <v>106.71394710479306</v>
      </c>
      <c r="AS661" s="8">
        <f t="shared" si="187"/>
        <v>17.166646790328173</v>
      </c>
    </row>
    <row r="662" spans="1:45">
      <c r="A662" s="19">
        <v>131.8650667</v>
      </c>
      <c r="B662" s="19">
        <v>101.67337139999999</v>
      </c>
      <c r="C662" s="19">
        <v>-795.83864329999994</v>
      </c>
      <c r="E662" s="9">
        <f t="shared" si="177"/>
        <v>-858.32662860000005</v>
      </c>
      <c r="F662" s="9">
        <f t="shared" si="178"/>
        <v>-255.83864329999994</v>
      </c>
      <c r="I662">
        <v>1</v>
      </c>
      <c r="J662">
        <f t="shared" si="173"/>
        <v>0.5397818392578978</v>
      </c>
      <c r="K662">
        <f t="shared" si="179"/>
        <v>-2.8519104096253605</v>
      </c>
      <c r="O662">
        <f t="shared" si="180"/>
        <v>-0.49253502252974013</v>
      </c>
      <c r="P662">
        <f t="shared" si="181"/>
        <v>-0.14680832184744791</v>
      </c>
      <c r="Q662">
        <f t="shared" si="182"/>
        <v>0.85782082524147463</v>
      </c>
      <c r="R662">
        <f t="shared" si="172"/>
        <v>1</v>
      </c>
      <c r="AG662" s="8">
        <f t="shared" si="174"/>
        <v>-0.27451539123259838</v>
      </c>
      <c r="AH662" s="8">
        <f t="shared" si="175"/>
        <v>0.91519025394702336</v>
      </c>
      <c r="AI662" s="8">
        <f t="shared" si="176"/>
        <v>0.29507304020665187</v>
      </c>
      <c r="AJ662" s="8"/>
      <c r="AK662" s="8"/>
      <c r="AL662" s="8"/>
      <c r="AN662" s="8">
        <f t="shared" si="183"/>
        <v>1</v>
      </c>
      <c r="AO662" s="8">
        <f t="shared" si="184"/>
        <v>1.8622113337274782</v>
      </c>
      <c r="AP662" s="8">
        <f t="shared" si="185"/>
        <v>1.271264365133002</v>
      </c>
      <c r="AQ662" s="8"/>
      <c r="AR662" s="8">
        <f t="shared" si="186"/>
        <v>106.69684998401254</v>
      </c>
      <c r="AS662" s="8">
        <f t="shared" si="187"/>
        <v>17.16191723250094</v>
      </c>
    </row>
    <row r="663" spans="1:45">
      <c r="A663" s="19">
        <v>131.89843329999999</v>
      </c>
      <c r="B663" s="19">
        <v>101.4220275</v>
      </c>
      <c r="C663" s="19">
        <v>-795.85300440000003</v>
      </c>
      <c r="E663" s="9">
        <f t="shared" si="177"/>
        <v>-858.57797249999999</v>
      </c>
      <c r="F663" s="9">
        <f t="shared" si="178"/>
        <v>-255.85300440000003</v>
      </c>
      <c r="I663">
        <v>1</v>
      </c>
      <c r="J663">
        <f t="shared" si="173"/>
        <v>0.53990398617448498</v>
      </c>
      <c r="K663">
        <f t="shared" si="179"/>
        <v>-2.8519751867125374</v>
      </c>
      <c r="O663">
        <f t="shared" si="180"/>
        <v>-0.49264494404641407</v>
      </c>
      <c r="P663">
        <f t="shared" si="181"/>
        <v>-0.14680633917235161</v>
      </c>
      <c r="Q663">
        <f t="shared" si="182"/>
        <v>0.85775804157368174</v>
      </c>
      <c r="R663">
        <f t="shared" si="172"/>
        <v>1</v>
      </c>
      <c r="AG663" s="8">
        <f t="shared" si="174"/>
        <v>-0.27440749343374815</v>
      </c>
      <c r="AH663" s="8">
        <f t="shared" si="175"/>
        <v>0.91523755611118163</v>
      </c>
      <c r="AI663" s="8">
        <f t="shared" si="176"/>
        <v>0.29502668257471076</v>
      </c>
      <c r="AJ663" s="8"/>
      <c r="AK663" s="8"/>
      <c r="AL663" s="8"/>
      <c r="AN663" s="8">
        <f t="shared" si="183"/>
        <v>1</v>
      </c>
      <c r="AO663" s="8">
        <f t="shared" si="184"/>
        <v>1.8620889472578774</v>
      </c>
      <c r="AP663" s="8">
        <f t="shared" si="185"/>
        <v>1.2713128826758535</v>
      </c>
      <c r="AQ663" s="8"/>
      <c r="AR663" s="8">
        <f t="shared" si="186"/>
        <v>106.68983775583493</v>
      </c>
      <c r="AS663" s="8">
        <f t="shared" si="187"/>
        <v>17.159137382063207</v>
      </c>
    </row>
    <row r="664" spans="1:45">
      <c r="A664" s="19">
        <v>131.93180000000001</v>
      </c>
      <c r="B664" s="19">
        <v>101.0573484</v>
      </c>
      <c r="C664" s="19">
        <v>-795.79531899999995</v>
      </c>
      <c r="E664" s="9">
        <f t="shared" si="177"/>
        <v>-858.94265159999998</v>
      </c>
      <c r="F664" s="9">
        <f t="shared" si="178"/>
        <v>-255.79531899999995</v>
      </c>
      <c r="I664">
        <v>1</v>
      </c>
      <c r="J664">
        <f t="shared" si="173"/>
        <v>0.5400700104507169</v>
      </c>
      <c r="K664">
        <f t="shared" si="179"/>
        <v>-2.8521530780369502</v>
      </c>
      <c r="O664">
        <f t="shared" si="180"/>
        <v>-0.49280753005939087</v>
      </c>
      <c r="P664">
        <f t="shared" si="181"/>
        <v>-0.14675934315559841</v>
      </c>
      <c r="Q664">
        <f t="shared" si="182"/>
        <v>0.85767268436933441</v>
      </c>
      <c r="R664">
        <f t="shared" si="172"/>
        <v>1</v>
      </c>
      <c r="AG664" s="8">
        <f t="shared" si="174"/>
        <v>-0.27423061634681023</v>
      </c>
      <c r="AH664" s="8">
        <f t="shared" si="175"/>
        <v>0.91529962902389617</v>
      </c>
      <c r="AI664" s="8">
        <f t="shared" si="176"/>
        <v>0.29499857316056055</v>
      </c>
      <c r="AJ664" s="8"/>
      <c r="AK664" s="8"/>
      <c r="AL664" s="8"/>
      <c r="AN664" s="8">
        <f t="shared" si="183"/>
        <v>1</v>
      </c>
      <c r="AO664" s="8">
        <f t="shared" si="184"/>
        <v>1.8618929733413034</v>
      </c>
      <c r="AP664" s="8">
        <f t="shared" si="185"/>
        <v>1.2713423014196219</v>
      </c>
      <c r="AQ664" s="8"/>
      <c r="AR664" s="8">
        <f t="shared" si="186"/>
        <v>106.67860927752058</v>
      </c>
      <c r="AS664" s="8">
        <f t="shared" si="187"/>
        <v>17.157451812206702</v>
      </c>
    </row>
    <row r="665" spans="1:45">
      <c r="A665" s="19">
        <v>131.9651667</v>
      </c>
      <c r="B665" s="19">
        <v>100.64748350000001</v>
      </c>
      <c r="C665" s="19">
        <v>-795.86045149999995</v>
      </c>
      <c r="E665" s="9">
        <f t="shared" si="177"/>
        <v>-859.35251649999998</v>
      </c>
      <c r="F665" s="9">
        <f t="shared" si="178"/>
        <v>-255.86045149999995</v>
      </c>
      <c r="I665">
        <v>1</v>
      </c>
      <c r="J665">
        <f t="shared" si="173"/>
        <v>0.54027506264084468</v>
      </c>
      <c r="K665">
        <f t="shared" si="179"/>
        <v>-2.8522139261072881</v>
      </c>
      <c r="O665">
        <f t="shared" si="180"/>
        <v>-0.49298500412960772</v>
      </c>
      <c r="P665">
        <f t="shared" si="181"/>
        <v>-0.14677953845187908</v>
      </c>
      <c r="Q665">
        <f t="shared" si="182"/>
        <v>0.85756722931510398</v>
      </c>
      <c r="R665">
        <f t="shared" si="172"/>
        <v>1</v>
      </c>
      <c r="AG665" s="8">
        <f t="shared" si="174"/>
        <v>-0.27406552641570908</v>
      </c>
      <c r="AH665" s="8">
        <f t="shared" si="175"/>
        <v>0.91538013249196259</v>
      </c>
      <c r="AI665" s="8">
        <f t="shared" si="176"/>
        <v>0.29490218763087772</v>
      </c>
      <c r="AJ665" s="8"/>
      <c r="AK665" s="8"/>
      <c r="AL665" s="8"/>
      <c r="AN665" s="8">
        <f t="shared" si="183"/>
        <v>1</v>
      </c>
      <c r="AO665" s="8">
        <f t="shared" si="184"/>
        <v>1.8617032882817444</v>
      </c>
      <c r="AP665" s="8">
        <f t="shared" si="185"/>
        <v>1.2714431745349246</v>
      </c>
      <c r="AQ665" s="8"/>
      <c r="AR665" s="8">
        <f t="shared" si="186"/>
        <v>106.66774112417116</v>
      </c>
      <c r="AS665" s="8">
        <f t="shared" si="187"/>
        <v>17.15167220843351</v>
      </c>
    </row>
    <row r="666" spans="1:45">
      <c r="A666" s="19">
        <v>131.99853329999999</v>
      </c>
      <c r="B666" s="19">
        <v>100.2249795</v>
      </c>
      <c r="C666" s="19">
        <v>-795.84688359999996</v>
      </c>
      <c r="E666" s="9">
        <f t="shared" si="177"/>
        <v>-859.77502049999998</v>
      </c>
      <c r="F666" s="9">
        <f t="shared" si="178"/>
        <v>-255.84688359999996</v>
      </c>
      <c r="I666">
        <v>1</v>
      </c>
      <c r="J666">
        <f t="shared" si="173"/>
        <v>0.54047491757490862</v>
      </c>
      <c r="K666">
        <f t="shared" si="179"/>
        <v>-2.852362825827977</v>
      </c>
      <c r="O666">
        <f t="shared" si="180"/>
        <v>-0.49317111444646938</v>
      </c>
      <c r="P666">
        <f t="shared" si="181"/>
        <v>-0.14675501114150838</v>
      </c>
      <c r="Q666">
        <f t="shared" si="182"/>
        <v>0.85746441242799298</v>
      </c>
      <c r="R666">
        <f t="shared" si="172"/>
        <v>1</v>
      </c>
      <c r="AG666" s="8">
        <f t="shared" si="174"/>
        <v>-0.27387446448339703</v>
      </c>
      <c r="AH666" s="8">
        <f t="shared" si="175"/>
        <v>0.91545635750144239</v>
      </c>
      <c r="AI666" s="8">
        <f t="shared" si="176"/>
        <v>0.29484306879105021</v>
      </c>
      <c r="AJ666" s="8"/>
      <c r="AK666" s="8"/>
      <c r="AL666" s="8"/>
      <c r="AN666" s="8">
        <f t="shared" si="183"/>
        <v>1</v>
      </c>
      <c r="AO666" s="8">
        <f t="shared" si="184"/>
        <v>1.8614888587133318</v>
      </c>
      <c r="AP666" s="8">
        <f t="shared" si="185"/>
        <v>1.2715050443176292</v>
      </c>
      <c r="AQ666" s="8"/>
      <c r="AR666" s="8">
        <f t="shared" si="186"/>
        <v>106.65545521489831</v>
      </c>
      <c r="AS666" s="8">
        <f t="shared" si="187"/>
        <v>17.148127331005142</v>
      </c>
    </row>
    <row r="667" spans="1:45">
      <c r="A667" s="19">
        <v>132.03190000000001</v>
      </c>
      <c r="B667" s="19">
        <v>100.19292280000001</v>
      </c>
      <c r="C667" s="19">
        <v>-795.8586464</v>
      </c>
      <c r="E667" s="9">
        <f t="shared" si="177"/>
        <v>-859.80707719999998</v>
      </c>
      <c r="F667" s="9">
        <f t="shared" si="178"/>
        <v>-255.8586464</v>
      </c>
      <c r="I667">
        <v>1</v>
      </c>
      <c r="J667">
        <f t="shared" si="173"/>
        <v>0.54049189746926696</v>
      </c>
      <c r="K667">
        <f t="shared" si="179"/>
        <v>-2.8523604500956972</v>
      </c>
      <c r="O667">
        <f t="shared" si="180"/>
        <v>-0.49318472061623664</v>
      </c>
      <c r="P667">
        <f t="shared" si="181"/>
        <v>-0.1467603354149648</v>
      </c>
      <c r="Q667">
        <f t="shared" si="182"/>
        <v>0.85745567541393741</v>
      </c>
      <c r="R667">
        <f t="shared" ref="R667:R730" si="188">SQRT(O667^2+P667^2+Q667^2)</f>
        <v>1</v>
      </c>
      <c r="AG667" s="8">
        <f t="shared" si="174"/>
        <v>-0.27386328357782669</v>
      </c>
      <c r="AH667" s="8">
        <f t="shared" si="175"/>
        <v>0.91546320048816665</v>
      </c>
      <c r="AI667" s="8">
        <f t="shared" si="176"/>
        <v>0.29483220729752957</v>
      </c>
      <c r="AJ667" s="8"/>
      <c r="AK667" s="8"/>
      <c r="AL667" s="8"/>
      <c r="AN667" s="8">
        <f t="shared" si="183"/>
        <v>0.99999999999999978</v>
      </c>
      <c r="AO667" s="8">
        <f t="shared" si="184"/>
        <v>1.8614755960497493</v>
      </c>
      <c r="AP667" s="8">
        <f t="shared" si="185"/>
        <v>1.2715164110943227</v>
      </c>
      <c r="AQ667" s="8"/>
      <c r="AR667" s="8">
        <f t="shared" si="186"/>
        <v>106.65469532024993</v>
      </c>
      <c r="AS667" s="8">
        <f t="shared" si="187"/>
        <v>17.147476062673945</v>
      </c>
    </row>
    <row r="668" spans="1:45">
      <c r="A668" s="19">
        <v>132.0652667</v>
      </c>
      <c r="B668" s="19">
        <v>100.1240525</v>
      </c>
      <c r="C668" s="19">
        <v>-795.86452750000001</v>
      </c>
      <c r="E668" s="9">
        <f t="shared" si="177"/>
        <v>-859.87594749999994</v>
      </c>
      <c r="F668" s="9">
        <f t="shared" si="178"/>
        <v>-255.86452750000001</v>
      </c>
      <c r="I668">
        <v>1</v>
      </c>
      <c r="J668">
        <f t="shared" si="173"/>
        <v>0.54052562055525644</v>
      </c>
      <c r="K668">
        <f t="shared" si="179"/>
        <v>-2.8523760621312624</v>
      </c>
      <c r="O668">
        <f t="shared" si="180"/>
        <v>-0.49321472660169119</v>
      </c>
      <c r="P668">
        <f t="shared" si="181"/>
        <v>-0.14676088259578107</v>
      </c>
      <c r="Q668">
        <f t="shared" si="182"/>
        <v>0.85743832244828333</v>
      </c>
      <c r="R668">
        <f t="shared" si="188"/>
        <v>1</v>
      </c>
      <c r="AG668" s="8">
        <f t="shared" si="174"/>
        <v>-0.27383423957281894</v>
      </c>
      <c r="AH668" s="8">
        <f t="shared" si="175"/>
        <v>0.91547629096092886</v>
      </c>
      <c r="AI668" s="8">
        <f t="shared" si="176"/>
        <v>0.29481853728352408</v>
      </c>
      <c r="AJ668" s="8"/>
      <c r="AK668" s="8"/>
      <c r="AL668" s="8"/>
      <c r="AN668" s="8">
        <f t="shared" si="183"/>
        <v>0.99999999999999989</v>
      </c>
      <c r="AO668" s="8">
        <f t="shared" si="184"/>
        <v>1.861442549894168</v>
      </c>
      <c r="AP668" s="8">
        <f t="shared" si="185"/>
        <v>1.2715307169888934</v>
      </c>
      <c r="AQ668" s="8"/>
      <c r="AR668" s="8">
        <f t="shared" si="186"/>
        <v>106.65280191500599</v>
      </c>
      <c r="AS668" s="8">
        <f t="shared" si="187"/>
        <v>17.146656395292879</v>
      </c>
    </row>
    <row r="669" spans="1:45">
      <c r="A669" s="19">
        <v>132.09863329999999</v>
      </c>
      <c r="B669" s="19">
        <v>99.457756250000003</v>
      </c>
      <c r="C669" s="19">
        <v>-795.94972180000002</v>
      </c>
      <c r="E669" s="9">
        <f t="shared" si="177"/>
        <v>-860.54224375000001</v>
      </c>
      <c r="F669" s="9">
        <f t="shared" si="178"/>
        <v>-255.94972180000002</v>
      </c>
      <c r="I669">
        <v>1</v>
      </c>
      <c r="J669">
        <f t="shared" si="173"/>
        <v>0.5408558338567131</v>
      </c>
      <c r="K669">
        <f t="shared" si="179"/>
        <v>-2.8524967714029121</v>
      </c>
      <c r="O669">
        <f t="shared" si="180"/>
        <v>-0.49350379941431355</v>
      </c>
      <c r="P669">
        <f t="shared" si="181"/>
        <v>-0.14678205641236605</v>
      </c>
      <c r="Q669">
        <f t="shared" si="182"/>
        <v>0.85726835231390297</v>
      </c>
      <c r="R669">
        <f t="shared" si="188"/>
        <v>1</v>
      </c>
      <c r="AG669" s="8">
        <f t="shared" si="174"/>
        <v>-0.27356062120550728</v>
      </c>
      <c r="AH669" s="8">
        <f t="shared" si="175"/>
        <v>0.91560520130494361</v>
      </c>
      <c r="AI669" s="8">
        <f t="shared" si="176"/>
        <v>0.29467219391892174</v>
      </c>
      <c r="AJ669" s="8"/>
      <c r="AK669" s="8"/>
      <c r="AL669" s="8"/>
      <c r="AN669" s="8">
        <f t="shared" si="183"/>
        <v>1</v>
      </c>
      <c r="AO669" s="8">
        <f t="shared" si="184"/>
        <v>1.8611295684866989</v>
      </c>
      <c r="AP669" s="8">
        <f t="shared" si="185"/>
        <v>1.2716838637722101</v>
      </c>
      <c r="AQ669" s="8"/>
      <c r="AR669" s="8">
        <f t="shared" si="186"/>
        <v>106.63486940129195</v>
      </c>
      <c r="AS669" s="8">
        <f t="shared" si="187"/>
        <v>17.137881730962832</v>
      </c>
    </row>
    <row r="670" spans="1:45">
      <c r="A670" s="19">
        <v>132.13200000000001</v>
      </c>
      <c r="B670" s="19">
        <v>99.050310600000003</v>
      </c>
      <c r="C670" s="19">
        <v>-795.97605450000003</v>
      </c>
      <c r="E670" s="9">
        <f t="shared" si="177"/>
        <v>-860.94968940000001</v>
      </c>
      <c r="F670" s="9">
        <f t="shared" si="178"/>
        <v>-255.97605450000003</v>
      </c>
      <c r="I670">
        <v>1</v>
      </c>
      <c r="J670">
        <f t="shared" si="173"/>
        <v>0.54105404624419684</v>
      </c>
      <c r="K670">
        <f t="shared" si="179"/>
        <v>-2.8525979930563086</v>
      </c>
      <c r="O670">
        <f t="shared" si="180"/>
        <v>-0.49368151943502331</v>
      </c>
      <c r="P670">
        <f t="shared" si="181"/>
        <v>-0.14678052513452994</v>
      </c>
      <c r="Q670">
        <f t="shared" si="182"/>
        <v>0.85716628189025157</v>
      </c>
      <c r="R670">
        <f t="shared" si="188"/>
        <v>1</v>
      </c>
      <c r="AG670" s="8">
        <f t="shared" si="174"/>
        <v>-0.27338666415860963</v>
      </c>
      <c r="AH670" s="8">
        <f t="shared" si="175"/>
        <v>0.91568181827100537</v>
      </c>
      <c r="AI670" s="8">
        <f t="shared" si="176"/>
        <v>0.29459555249211222</v>
      </c>
      <c r="AJ670" s="8"/>
      <c r="AK670" s="8"/>
      <c r="AL670" s="8"/>
      <c r="AN670" s="8">
        <f t="shared" si="183"/>
        <v>0.99999999999999978</v>
      </c>
      <c r="AO670" s="8">
        <f t="shared" si="184"/>
        <v>1.8609321997140946</v>
      </c>
      <c r="AP670" s="8">
        <f t="shared" si="185"/>
        <v>1.2717640653290032</v>
      </c>
      <c r="AQ670" s="8"/>
      <c r="AR670" s="8">
        <f t="shared" si="186"/>
        <v>106.62356100361404</v>
      </c>
      <c r="AS670" s="8">
        <f t="shared" si="187"/>
        <v>17.133286520248205</v>
      </c>
    </row>
    <row r="671" spans="1:45">
      <c r="A671" s="19">
        <v>132.16536669999999</v>
      </c>
      <c r="B671" s="19">
        <v>98.654440289999997</v>
      </c>
      <c r="C671" s="19">
        <v>-795.94965000000002</v>
      </c>
      <c r="E671" s="9">
        <f t="shared" si="177"/>
        <v>-861.34555970999997</v>
      </c>
      <c r="F671" s="9">
        <f t="shared" si="178"/>
        <v>-255.94965000000002</v>
      </c>
      <c r="I671">
        <v>1</v>
      </c>
      <c r="J671">
        <f t="shared" si="173"/>
        <v>0.54123921547251075</v>
      </c>
      <c r="K671">
        <f t="shared" si="179"/>
        <v>-2.8527517131259534</v>
      </c>
      <c r="O671">
        <f t="shared" si="180"/>
        <v>-0.49385621400606755</v>
      </c>
      <c r="P671">
        <f t="shared" si="181"/>
        <v>-0.14674984238350927</v>
      </c>
      <c r="Q671">
        <f t="shared" si="182"/>
        <v>0.8570708976788376</v>
      </c>
      <c r="R671">
        <f t="shared" si="188"/>
        <v>1</v>
      </c>
      <c r="AG671" s="8">
        <f t="shared" si="174"/>
        <v>-0.27320421003562301</v>
      </c>
      <c r="AH671" s="8">
        <f t="shared" si="175"/>
        <v>0.91575189211429953</v>
      </c>
      <c r="AI671" s="8">
        <f t="shared" si="176"/>
        <v>0.29454699405679174</v>
      </c>
      <c r="AJ671" s="8"/>
      <c r="AK671" s="8"/>
      <c r="AL671" s="8"/>
      <c r="AN671" s="8">
        <f t="shared" si="183"/>
        <v>1.0000000000000002</v>
      </c>
      <c r="AO671" s="8">
        <f t="shared" si="184"/>
        <v>1.8607282777726806</v>
      </c>
      <c r="AP671" s="8">
        <f t="shared" si="185"/>
        <v>1.2718148783634455</v>
      </c>
      <c r="AQ671" s="8"/>
      <c r="AR671" s="8">
        <f t="shared" si="186"/>
        <v>106.61187713702091</v>
      </c>
      <c r="AS671" s="8">
        <f t="shared" si="187"/>
        <v>17.130375147830406</v>
      </c>
    </row>
    <row r="672" spans="1:45">
      <c r="A672" s="19">
        <v>132.19873329999999</v>
      </c>
      <c r="B672" s="19">
        <v>98.231410740000001</v>
      </c>
      <c r="C672" s="19">
        <v>-795.91773490000003</v>
      </c>
      <c r="E672" s="9">
        <f t="shared" si="177"/>
        <v>-861.76858926</v>
      </c>
      <c r="F672" s="9">
        <f t="shared" si="178"/>
        <v>-255.91773490000003</v>
      </c>
      <c r="I672">
        <v>1</v>
      </c>
      <c r="J672">
        <f t="shared" ref="J672:J735" si="189">ATAN((SQRT(E672^2+F672^2)^$B$16)/($F$24))</f>
        <v>0.54143653162999406</v>
      </c>
      <c r="K672">
        <f t="shared" si="179"/>
        <v>-2.852919783338447</v>
      </c>
      <c r="O672">
        <f t="shared" si="180"/>
        <v>-0.49404297812160203</v>
      </c>
      <c r="P672">
        <f t="shared" si="181"/>
        <v>-0.14671497833623737</v>
      </c>
      <c r="Q672">
        <f t="shared" si="182"/>
        <v>0.85696922401013664</v>
      </c>
      <c r="R672">
        <f t="shared" si="188"/>
        <v>1</v>
      </c>
      <c r="AG672" s="8">
        <f t="shared" ref="AG672:AG735" si="190">$O672*$Z$27+$P672*$Z$31+$Q672*$Z$35</f>
        <v>-0.27300831138251908</v>
      </c>
      <c r="AH672" s="8">
        <f t="shared" ref="AH672:AH735" si="191">$O672*$AA$27+$P672*$AA$31+$Q672*$AA$35</f>
        <v>0.91582640877083499</v>
      </c>
      <c r="AI672" s="8">
        <f t="shared" ref="AI672:AI735" si="192">$AB$27*$O672+$P672*$AB$31+$AB$35*$Q672</f>
        <v>0.29449694550874578</v>
      </c>
      <c r="AJ672" s="8"/>
      <c r="AK672" s="8"/>
      <c r="AL672" s="8"/>
      <c r="AN672" s="8">
        <f t="shared" si="183"/>
        <v>1.0000000000000002</v>
      </c>
      <c r="AO672" s="8">
        <f t="shared" si="184"/>
        <v>1.8605095519704264</v>
      </c>
      <c r="AP672" s="8">
        <f t="shared" si="185"/>
        <v>1.271867249864691</v>
      </c>
      <c r="AQ672" s="8"/>
      <c r="AR672" s="8">
        <f t="shared" si="186"/>
        <v>106.59934507168113</v>
      </c>
      <c r="AS672" s="8">
        <f t="shared" si="187"/>
        <v>17.127374481842281</v>
      </c>
    </row>
    <row r="673" spans="1:45">
      <c r="A673" s="19">
        <v>132.2321</v>
      </c>
      <c r="B673" s="19">
        <v>98.174591829999997</v>
      </c>
      <c r="C673" s="19">
        <v>-795.88914139999997</v>
      </c>
      <c r="E673" s="9">
        <f t="shared" ref="E673:E736" si="193">(B673-($B$15/2))</f>
        <v>-861.82540816999995</v>
      </c>
      <c r="F673" s="9">
        <f t="shared" ref="F673:F736" si="194">(($C$15/2)+C673)</f>
        <v>-255.88914139999997</v>
      </c>
      <c r="I673">
        <v>1</v>
      </c>
      <c r="J673">
        <f t="shared" si="189"/>
        <v>0.54145958822738349</v>
      </c>
      <c r="K673">
        <f t="shared" ref="K673:K736" si="195">ATAN2(E673,F673)</f>
        <v>-2.8529682650084416</v>
      </c>
      <c r="O673">
        <f t="shared" ref="O673:O736" si="196">COS(K673)*SIN(J673)</f>
        <v>-0.49406903189490453</v>
      </c>
      <c r="P673">
        <f t="shared" ref="P673:P736" si="197">SIN(K673)*SIN(J673)</f>
        <v>-0.14669665011660685</v>
      </c>
      <c r="Q673">
        <f t="shared" ref="Q673:Q736" si="198">COS(J673)</f>
        <v>0.85695734115940547</v>
      </c>
      <c r="R673">
        <f t="shared" si="188"/>
        <v>1</v>
      </c>
      <c r="AG673" s="8">
        <f t="shared" si="190"/>
        <v>-0.27297570576892727</v>
      </c>
      <c r="AH673" s="8">
        <f t="shared" si="191"/>
        <v>0.91583439623630025</v>
      </c>
      <c r="AI673" s="8">
        <f t="shared" si="192"/>
        <v>0.2945023306027435</v>
      </c>
      <c r="AJ673" s="8"/>
      <c r="AK673" s="8"/>
      <c r="AL673" s="8"/>
      <c r="AN673" s="8">
        <f t="shared" ref="AN673:AN736" si="199">AG673^2+AH673^2+AI673^2</f>
        <v>1.0000000000000002</v>
      </c>
      <c r="AO673" s="8">
        <f t="shared" ref="AO673:AO736" si="200">IF(ATAN2(AG673,AH673)&gt;=0,ATAN2(AG673,AH673),ATAN2(AG673,AH673)+2*PI())</f>
        <v>1.8604744673538738</v>
      </c>
      <c r="AP673" s="8">
        <f t="shared" ref="AP673:AP736" si="201">ACOS(AI673/AN673)</f>
        <v>1.2718616148675341</v>
      </c>
      <c r="AQ673" s="8"/>
      <c r="AR673" s="8">
        <f t="shared" ref="AR673:AR736" si="202">DEGREES(AO673)</f>
        <v>106.59733487122683</v>
      </c>
      <c r="AS673" s="8">
        <f t="shared" ref="AS673:AS736" si="203">90-DEGREES(AP673)</f>
        <v>17.127697343396932</v>
      </c>
    </row>
    <row r="674" spans="1:45">
      <c r="A674" s="19">
        <v>132.26546669999999</v>
      </c>
      <c r="B674" s="19">
        <v>98.144129199999995</v>
      </c>
      <c r="C674" s="19">
        <v>-795.87613009999995</v>
      </c>
      <c r="E674" s="9">
        <f t="shared" si="193"/>
        <v>-861.85587080000005</v>
      </c>
      <c r="F674" s="9">
        <f t="shared" si="194"/>
        <v>-255.87613009999995</v>
      </c>
      <c r="I674">
        <v>1</v>
      </c>
      <c r="J674">
        <f t="shared" si="189"/>
        <v>0.54147227827703048</v>
      </c>
      <c r="K674">
        <f t="shared" si="195"/>
        <v>-2.8529917832735787</v>
      </c>
      <c r="O674">
        <f t="shared" si="196"/>
        <v>-0.49408290685024381</v>
      </c>
      <c r="P674">
        <f t="shared" si="197"/>
        <v>-0.14668812551691363</v>
      </c>
      <c r="Q674">
        <f t="shared" si="198"/>
        <v>0.85695080079940844</v>
      </c>
      <c r="R674">
        <f t="shared" si="188"/>
        <v>1</v>
      </c>
      <c r="AG674" s="8">
        <f t="shared" si="190"/>
        <v>-0.27295882557441009</v>
      </c>
      <c r="AH674" s="8">
        <f t="shared" si="191"/>
        <v>0.9158388704654068</v>
      </c>
      <c r="AI674" s="8">
        <f t="shared" si="192"/>
        <v>0.29450406259623402</v>
      </c>
      <c r="AJ674" s="8"/>
      <c r="AK674" s="8"/>
      <c r="AL674" s="8"/>
      <c r="AN674" s="8">
        <f t="shared" si="199"/>
        <v>0.99999999999999989</v>
      </c>
      <c r="AO674" s="8">
        <f t="shared" si="200"/>
        <v>1.8604562023746687</v>
      </c>
      <c r="AP674" s="8">
        <f t="shared" si="201"/>
        <v>1.2718598024962737</v>
      </c>
      <c r="AQ674" s="8"/>
      <c r="AR674" s="8">
        <f t="shared" si="202"/>
        <v>106.59628836500548</v>
      </c>
      <c r="AS674" s="8">
        <f t="shared" si="203"/>
        <v>17.127801184621077</v>
      </c>
    </row>
    <row r="675" spans="1:45">
      <c r="A675" s="19">
        <v>132.29883330000001</v>
      </c>
      <c r="B675" s="19">
        <v>97.73717422</v>
      </c>
      <c r="C675" s="19">
        <v>-795.87415480000004</v>
      </c>
      <c r="E675" s="9">
        <f t="shared" si="193"/>
        <v>-862.26282577999996</v>
      </c>
      <c r="F675" s="9">
        <f t="shared" si="194"/>
        <v>-255.87415480000004</v>
      </c>
      <c r="I675">
        <v>1</v>
      </c>
      <c r="J675">
        <f t="shared" si="189"/>
        <v>0.54166612866554076</v>
      </c>
      <c r="K675">
        <f t="shared" si="195"/>
        <v>-2.8531226639127176</v>
      </c>
      <c r="O675">
        <f t="shared" si="196"/>
        <v>-0.49426134817028788</v>
      </c>
      <c r="P675">
        <f t="shared" si="197"/>
        <v>-0.14667071446455768</v>
      </c>
      <c r="Q675">
        <f t="shared" si="198"/>
        <v>0.85685087455364461</v>
      </c>
      <c r="R675">
        <f t="shared" si="188"/>
        <v>1</v>
      </c>
      <c r="AG675" s="8">
        <f t="shared" si="190"/>
        <v>-0.27277784874148958</v>
      </c>
      <c r="AH675" s="8">
        <f t="shared" si="191"/>
        <v>0.91591287080161798</v>
      </c>
      <c r="AI675" s="8">
        <f t="shared" si="192"/>
        <v>0.29444160428836086</v>
      </c>
      <c r="AJ675" s="8"/>
      <c r="AK675" s="8"/>
      <c r="AL675" s="8"/>
      <c r="AN675" s="8">
        <f t="shared" si="199"/>
        <v>1</v>
      </c>
      <c r="AO675" s="8">
        <f t="shared" si="200"/>
        <v>1.8602526027186428</v>
      </c>
      <c r="AP675" s="8">
        <f t="shared" si="201"/>
        <v>1.2719251587083584</v>
      </c>
      <c r="AQ675" s="8"/>
      <c r="AR675" s="8">
        <f t="shared" si="202"/>
        <v>106.58462296400488</v>
      </c>
      <c r="AS675" s="8">
        <f t="shared" si="203"/>
        <v>17.124056549503649</v>
      </c>
    </row>
    <row r="676" spans="1:45">
      <c r="A676" s="19">
        <v>132.3322</v>
      </c>
      <c r="B676" s="19">
        <v>97.244734679999993</v>
      </c>
      <c r="C676" s="19">
        <v>-795.86729609999998</v>
      </c>
      <c r="E676" s="9">
        <f t="shared" si="193"/>
        <v>-862.75526532000003</v>
      </c>
      <c r="F676" s="9">
        <f t="shared" si="194"/>
        <v>-255.86729609999998</v>
      </c>
      <c r="I676">
        <v>1</v>
      </c>
      <c r="J676">
        <f t="shared" si="189"/>
        <v>0.54190001834776447</v>
      </c>
      <c r="K676">
        <f t="shared" si="195"/>
        <v>-2.8532856462670115</v>
      </c>
      <c r="O676">
        <f t="shared" si="196"/>
        <v>-0.4944773698611431</v>
      </c>
      <c r="P676">
        <f t="shared" si="197"/>
        <v>-0.14664713470289087</v>
      </c>
      <c r="Q676">
        <f t="shared" si="198"/>
        <v>0.85673026594059254</v>
      </c>
      <c r="R676">
        <f t="shared" si="188"/>
        <v>1</v>
      </c>
      <c r="AG676" s="8">
        <f t="shared" si="190"/>
        <v>-0.27255773803081706</v>
      </c>
      <c r="AH676" s="8">
        <f t="shared" si="191"/>
        <v>0.91600197080935963</v>
      </c>
      <c r="AI676" s="8">
        <f t="shared" si="192"/>
        <v>0.29436825391487698</v>
      </c>
      <c r="AJ676" s="8"/>
      <c r="AK676" s="8"/>
      <c r="AL676" s="8"/>
      <c r="AN676" s="8">
        <f t="shared" si="199"/>
        <v>0.99999999999999989</v>
      </c>
      <c r="AO676" s="8">
        <f t="shared" si="200"/>
        <v>1.8600052575112209</v>
      </c>
      <c r="AP676" s="8">
        <f t="shared" si="201"/>
        <v>1.2720019106695428</v>
      </c>
      <c r="AQ676" s="8"/>
      <c r="AR676" s="8">
        <f t="shared" si="202"/>
        <v>106.57045112753683</v>
      </c>
      <c r="AS676" s="8">
        <f t="shared" si="203"/>
        <v>17.11965898605844</v>
      </c>
    </row>
    <row r="677" spans="1:45">
      <c r="A677" s="19">
        <v>132.36556669999999</v>
      </c>
      <c r="B677" s="19">
        <v>96.514186559999999</v>
      </c>
      <c r="C677" s="19">
        <v>-795.82284279999999</v>
      </c>
      <c r="E677" s="9">
        <f t="shared" si="193"/>
        <v>-863.48581344000002</v>
      </c>
      <c r="F677" s="9">
        <f t="shared" si="194"/>
        <v>-255.82284279999999</v>
      </c>
      <c r="I677">
        <v>1</v>
      </c>
      <c r="J677">
        <f t="shared" si="189"/>
        <v>0.54224206217729309</v>
      </c>
      <c r="K677">
        <f t="shared" si="195"/>
        <v>-2.8535636155865367</v>
      </c>
      <c r="O677">
        <f t="shared" si="196"/>
        <v>-0.494799052955397</v>
      </c>
      <c r="P677">
        <f t="shared" si="197"/>
        <v>-0.14659291255465789</v>
      </c>
      <c r="Q677">
        <f t="shared" si="198"/>
        <v>0.85655380168625994</v>
      </c>
      <c r="R677">
        <f t="shared" si="188"/>
        <v>1</v>
      </c>
      <c r="AG677" s="8">
        <f t="shared" si="190"/>
        <v>-0.27222239931846204</v>
      </c>
      <c r="AH677" s="8">
        <f t="shared" si="191"/>
        <v>0.91613116050784171</v>
      </c>
      <c r="AI677" s="8">
        <f t="shared" si="192"/>
        <v>0.29427650612282119</v>
      </c>
      <c r="AJ677" s="8"/>
      <c r="AK677" s="8"/>
      <c r="AL677" s="8"/>
      <c r="AN677" s="8">
        <f t="shared" si="199"/>
        <v>0.99999999999999978</v>
      </c>
      <c r="AO677" s="8">
        <f t="shared" si="200"/>
        <v>1.859630402899447</v>
      </c>
      <c r="AP677" s="8">
        <f t="shared" si="201"/>
        <v>1.2720979106665156</v>
      </c>
      <c r="AQ677" s="8"/>
      <c r="AR677" s="8">
        <f t="shared" si="202"/>
        <v>106.54897354035117</v>
      </c>
      <c r="AS677" s="8">
        <f t="shared" si="203"/>
        <v>17.114158591398635</v>
      </c>
    </row>
    <row r="678" spans="1:45">
      <c r="A678" s="19">
        <v>132.39893330000001</v>
      </c>
      <c r="B678" s="19">
        <v>95.989768889999993</v>
      </c>
      <c r="C678" s="19">
        <v>-795.79300290000003</v>
      </c>
      <c r="E678" s="9">
        <f t="shared" si="193"/>
        <v>-864.01023110999995</v>
      </c>
      <c r="F678" s="9">
        <f t="shared" si="194"/>
        <v>-255.79300290000003</v>
      </c>
      <c r="I678">
        <v>1</v>
      </c>
      <c r="J678">
        <f t="shared" si="189"/>
        <v>0.54248782405471041</v>
      </c>
      <c r="K678">
        <f t="shared" si="195"/>
        <v>-2.8537606885234008</v>
      </c>
      <c r="O678">
        <f t="shared" si="196"/>
        <v>-0.49502976618922817</v>
      </c>
      <c r="P678">
        <f t="shared" si="197"/>
        <v>-0.14655515161637783</v>
      </c>
      <c r="Q678">
        <f t="shared" si="198"/>
        <v>0.85642694850252032</v>
      </c>
      <c r="R678">
        <f t="shared" si="188"/>
        <v>1</v>
      </c>
      <c r="AG678" s="8">
        <f t="shared" si="190"/>
        <v>-0.27198227482963155</v>
      </c>
      <c r="AH678" s="8">
        <f t="shared" si="191"/>
        <v>0.91622396036213893</v>
      </c>
      <c r="AI678" s="8">
        <f t="shared" si="192"/>
        <v>0.2942096134337156</v>
      </c>
      <c r="AJ678" s="8"/>
      <c r="AK678" s="8"/>
      <c r="AL678" s="8"/>
      <c r="AN678" s="8">
        <f t="shared" si="199"/>
        <v>0.99999999999999989</v>
      </c>
      <c r="AO678" s="8">
        <f t="shared" si="200"/>
        <v>1.8593619092660951</v>
      </c>
      <c r="AP678" s="8">
        <f t="shared" si="201"/>
        <v>1.2721679018204928</v>
      </c>
      <c r="AQ678" s="8"/>
      <c r="AR678" s="8">
        <f t="shared" si="202"/>
        <v>106.53358998833397</v>
      </c>
      <c r="AS678" s="8">
        <f t="shared" si="203"/>
        <v>17.110148393672489</v>
      </c>
    </row>
    <row r="679" spans="1:45">
      <c r="A679" s="19">
        <v>132.4323</v>
      </c>
      <c r="B679" s="19">
        <v>96.254611240000003</v>
      </c>
      <c r="C679" s="19">
        <v>-795.86367680000001</v>
      </c>
      <c r="E679" s="9">
        <f t="shared" si="193"/>
        <v>-863.74538875999997</v>
      </c>
      <c r="F679" s="9">
        <f t="shared" si="194"/>
        <v>-255.86367680000001</v>
      </c>
      <c r="I679">
        <v>1</v>
      </c>
      <c r="J679">
        <f t="shared" si="189"/>
        <v>0.54237156612352855</v>
      </c>
      <c r="K679">
        <f t="shared" si="195"/>
        <v>-2.8536020060588569</v>
      </c>
      <c r="O679">
        <f t="shared" si="196"/>
        <v>-0.49491103494589705</v>
      </c>
      <c r="P679">
        <f t="shared" si="197"/>
        <v>-0.14660542184999828</v>
      </c>
      <c r="Q679">
        <f t="shared" si="198"/>
        <v>0.85648696299066052</v>
      </c>
      <c r="R679">
        <f t="shared" si="188"/>
        <v>1</v>
      </c>
      <c r="AG679" s="8">
        <f t="shared" si="190"/>
        <v>-0.27211793729773615</v>
      </c>
      <c r="AH679" s="8">
        <f t="shared" si="191"/>
        <v>0.91618171821097916</v>
      </c>
      <c r="AI679" s="8">
        <f t="shared" si="192"/>
        <v>0.29421571578826861</v>
      </c>
      <c r="AJ679" s="8"/>
      <c r="AK679" s="8"/>
      <c r="AL679" s="8"/>
      <c r="AN679" s="8">
        <f t="shared" si="199"/>
        <v>1</v>
      </c>
      <c r="AO679" s="8">
        <f t="shared" si="200"/>
        <v>1.8595105632367992</v>
      </c>
      <c r="AP679" s="8">
        <f t="shared" si="201"/>
        <v>1.2721615168678013</v>
      </c>
      <c r="AQ679" s="8"/>
      <c r="AR679" s="8">
        <f t="shared" si="202"/>
        <v>106.54210723346317</v>
      </c>
      <c r="AS679" s="8">
        <f t="shared" si="203"/>
        <v>17.110514224514091</v>
      </c>
    </row>
    <row r="680" spans="1:45">
      <c r="A680" s="19">
        <v>132.46566670000001</v>
      </c>
      <c r="B680" s="19">
        <v>96.002306419999996</v>
      </c>
      <c r="C680" s="19">
        <v>-795.88186280000002</v>
      </c>
      <c r="E680" s="9">
        <f t="shared" si="193"/>
        <v>-863.99769358000003</v>
      </c>
      <c r="F680" s="9">
        <f t="shared" si="194"/>
        <v>-255.88186280000002</v>
      </c>
      <c r="I680">
        <v>1</v>
      </c>
      <c r="J680">
        <f t="shared" si="189"/>
        <v>0.54249438906787317</v>
      </c>
      <c r="K680">
        <f t="shared" si="195"/>
        <v>-2.8536621820640806</v>
      </c>
      <c r="O680">
        <f t="shared" si="196"/>
        <v>-0.49502071814578091</v>
      </c>
      <c r="P680">
        <f t="shared" si="197"/>
        <v>-0.14660551113150372</v>
      </c>
      <c r="Q680">
        <f t="shared" si="198"/>
        <v>0.85642355917636093</v>
      </c>
      <c r="R680">
        <f t="shared" si="188"/>
        <v>1</v>
      </c>
      <c r="AG680" s="8">
        <f t="shared" si="190"/>
        <v>-0.27201084294420053</v>
      </c>
      <c r="AH680" s="8">
        <f t="shared" si="191"/>
        <v>0.9162290540843645</v>
      </c>
      <c r="AI680" s="8">
        <f t="shared" si="192"/>
        <v>0.29416733634524428</v>
      </c>
      <c r="AJ680" s="8"/>
      <c r="AK680" s="8"/>
      <c r="AL680" s="8"/>
      <c r="AN680" s="8">
        <f t="shared" si="199"/>
        <v>1</v>
      </c>
      <c r="AO680" s="8">
        <f t="shared" si="200"/>
        <v>1.8593890473729235</v>
      </c>
      <c r="AP680" s="8">
        <f t="shared" si="201"/>
        <v>1.2722121364031349</v>
      </c>
      <c r="AQ680" s="8"/>
      <c r="AR680" s="8">
        <f t="shared" si="202"/>
        <v>106.53514488731921</v>
      </c>
      <c r="AS680" s="8">
        <f t="shared" si="203"/>
        <v>17.10761393877857</v>
      </c>
    </row>
    <row r="681" spans="1:45">
      <c r="A681" s="19">
        <v>132.49903330000001</v>
      </c>
      <c r="B681" s="19">
        <v>95.546939010000003</v>
      </c>
      <c r="C681" s="19">
        <v>-795.83149609999998</v>
      </c>
      <c r="E681" s="9">
        <f t="shared" si="193"/>
        <v>-864.45306099000004</v>
      </c>
      <c r="F681" s="9">
        <f t="shared" si="194"/>
        <v>-255.83149609999998</v>
      </c>
      <c r="I681">
        <v>1</v>
      </c>
      <c r="J681">
        <f t="shared" si="189"/>
        <v>0.54270428974344109</v>
      </c>
      <c r="K681">
        <f t="shared" si="195"/>
        <v>-2.8538591874778021</v>
      </c>
      <c r="O681">
        <f t="shared" si="196"/>
        <v>-0.49522195341864811</v>
      </c>
      <c r="P681">
        <f t="shared" si="197"/>
        <v>-0.14655899662101254</v>
      </c>
      <c r="Q681">
        <f t="shared" si="198"/>
        <v>0.85631517408116764</v>
      </c>
      <c r="R681">
        <f t="shared" si="188"/>
        <v>1</v>
      </c>
      <c r="AG681" s="8">
        <f t="shared" si="190"/>
        <v>-0.27179604096594284</v>
      </c>
      <c r="AH681" s="8">
        <f t="shared" si="191"/>
        <v>0.91630753429734502</v>
      </c>
      <c r="AI681" s="8">
        <f t="shared" si="192"/>
        <v>0.29412142850387357</v>
      </c>
      <c r="AJ681" s="8"/>
      <c r="AK681" s="8"/>
      <c r="AL681" s="8"/>
      <c r="AN681" s="8">
        <f t="shared" si="199"/>
        <v>0.99999999999999978</v>
      </c>
      <c r="AO681" s="8">
        <f t="shared" si="200"/>
        <v>1.8591502293324285</v>
      </c>
      <c r="AP681" s="8">
        <f t="shared" si="201"/>
        <v>1.2722601691660831</v>
      </c>
      <c r="AQ681" s="8"/>
      <c r="AR681" s="8">
        <f t="shared" si="202"/>
        <v>106.52146162152725</v>
      </c>
      <c r="AS681" s="8">
        <f t="shared" si="203"/>
        <v>17.104861864183292</v>
      </c>
    </row>
    <row r="682" spans="1:45">
      <c r="A682" s="19">
        <v>132.5324</v>
      </c>
      <c r="B682" s="19">
        <v>95.186676160000005</v>
      </c>
      <c r="C682" s="19">
        <v>-795.83820300000002</v>
      </c>
      <c r="E682" s="9">
        <f t="shared" si="193"/>
        <v>-864.81332383999995</v>
      </c>
      <c r="F682" s="9">
        <f t="shared" si="194"/>
        <v>-255.83820300000002</v>
      </c>
      <c r="I682">
        <v>1</v>
      </c>
      <c r="J682">
        <f t="shared" si="189"/>
        <v>0.54287688865169326</v>
      </c>
      <c r="K682">
        <f t="shared" si="195"/>
        <v>-2.8539654166564348</v>
      </c>
      <c r="O682">
        <f t="shared" si="196"/>
        <v>-0.49537923951936103</v>
      </c>
      <c r="P682">
        <f t="shared" si="197"/>
        <v>-0.14654831389437253</v>
      </c>
      <c r="Q682">
        <f t="shared" si="198"/>
        <v>0.85622602199882714</v>
      </c>
      <c r="R682">
        <f t="shared" si="188"/>
        <v>1</v>
      </c>
      <c r="AG682" s="8">
        <f t="shared" si="190"/>
        <v>-0.27163818327479905</v>
      </c>
      <c r="AH682" s="8">
        <f t="shared" si="191"/>
        <v>0.91637343577399555</v>
      </c>
      <c r="AI682" s="8">
        <f t="shared" si="192"/>
        <v>0.29406193836491251</v>
      </c>
      <c r="AJ682" s="8"/>
      <c r="AK682" s="8"/>
      <c r="AL682" s="8"/>
      <c r="AN682" s="8">
        <f t="shared" si="199"/>
        <v>1</v>
      </c>
      <c r="AO682" s="8">
        <f t="shared" si="200"/>
        <v>1.8589722806086162</v>
      </c>
      <c r="AP682" s="8">
        <f t="shared" si="201"/>
        <v>1.2723224118499812</v>
      </c>
      <c r="AQ682" s="8"/>
      <c r="AR682" s="8">
        <f t="shared" si="202"/>
        <v>106.51126591068308</v>
      </c>
      <c r="AS682" s="8">
        <f t="shared" si="203"/>
        <v>17.101295621090358</v>
      </c>
    </row>
    <row r="683" spans="1:45">
      <c r="A683" s="19">
        <v>132.56576670000001</v>
      </c>
      <c r="B683" s="19">
        <v>94.765642139999997</v>
      </c>
      <c r="C683" s="19">
        <v>-795.86244039999997</v>
      </c>
      <c r="E683" s="9">
        <f t="shared" si="193"/>
        <v>-865.23435786000005</v>
      </c>
      <c r="F683" s="9">
        <f t="shared" si="194"/>
        <v>-255.86244039999997</v>
      </c>
      <c r="I683">
        <v>1</v>
      </c>
      <c r="J683">
        <f t="shared" si="189"/>
        <v>0.54308087433244778</v>
      </c>
      <c r="K683">
        <f t="shared" si="195"/>
        <v>-2.8540720321562865</v>
      </c>
      <c r="O683">
        <f t="shared" si="196"/>
        <v>-0.49556233884589784</v>
      </c>
      <c r="P683">
        <f t="shared" si="197"/>
        <v>-0.14654502359458943</v>
      </c>
      <c r="Q683">
        <f t="shared" si="198"/>
        <v>0.85612062489887764</v>
      </c>
      <c r="R683">
        <f t="shared" si="188"/>
        <v>1</v>
      </c>
      <c r="AG683" s="8">
        <f t="shared" si="190"/>
        <v>-0.27145797277161543</v>
      </c>
      <c r="AH683" s="8">
        <f t="shared" si="191"/>
        <v>0.9164517586061709</v>
      </c>
      <c r="AI683" s="8">
        <f t="shared" si="192"/>
        <v>0.29398425666416506</v>
      </c>
      <c r="AJ683" s="8"/>
      <c r="AK683" s="8"/>
      <c r="AL683" s="8"/>
      <c r="AN683" s="8">
        <f t="shared" si="199"/>
        <v>1.0000000000000002</v>
      </c>
      <c r="AO683" s="8">
        <f t="shared" si="200"/>
        <v>1.8587682244473287</v>
      </c>
      <c r="AP683" s="8">
        <f t="shared" si="201"/>
        <v>1.2724036860054082</v>
      </c>
      <c r="AQ683" s="8"/>
      <c r="AR683" s="8">
        <f t="shared" si="202"/>
        <v>106.49957435385767</v>
      </c>
      <c r="AS683" s="8">
        <f t="shared" si="203"/>
        <v>17.096638955000898</v>
      </c>
    </row>
    <row r="684" spans="1:45">
      <c r="A684" s="19">
        <v>132.59913330000001</v>
      </c>
      <c r="B684" s="19">
        <v>94.277628640000003</v>
      </c>
      <c r="C684" s="19">
        <v>-795.70951979999995</v>
      </c>
      <c r="E684" s="9">
        <f t="shared" si="193"/>
        <v>-865.72237136000001</v>
      </c>
      <c r="F684" s="9">
        <f t="shared" si="194"/>
        <v>-255.70951979999995</v>
      </c>
      <c r="I684">
        <v>1</v>
      </c>
      <c r="J684">
        <f t="shared" si="189"/>
        <v>0.54329178440265669</v>
      </c>
      <c r="K684">
        <f t="shared" si="195"/>
        <v>-2.8543877878847019</v>
      </c>
      <c r="O684">
        <f t="shared" si="196"/>
        <v>-0.4957817439807603</v>
      </c>
      <c r="P684">
        <f t="shared" si="197"/>
        <v>-0.14643968536907367</v>
      </c>
      <c r="Q684">
        <f t="shared" si="198"/>
        <v>0.85601161258735414</v>
      </c>
      <c r="R684">
        <f t="shared" si="188"/>
        <v>1</v>
      </c>
      <c r="AG684" s="8">
        <f t="shared" si="190"/>
        <v>-0.27120226138963455</v>
      </c>
      <c r="AH684" s="8">
        <f t="shared" si="191"/>
        <v>0.91652745621322229</v>
      </c>
      <c r="AI684" s="8">
        <f t="shared" si="192"/>
        <v>0.29398427751236633</v>
      </c>
      <c r="AJ684" s="8"/>
      <c r="AK684" s="8"/>
      <c r="AL684" s="8"/>
      <c r="AN684" s="8">
        <f t="shared" si="199"/>
        <v>0.99999999999999978</v>
      </c>
      <c r="AO684" s="8">
        <f t="shared" si="200"/>
        <v>1.8584892146714007</v>
      </c>
      <c r="AP684" s="8">
        <f t="shared" si="201"/>
        <v>1.2724036641933372</v>
      </c>
      <c r="AQ684" s="8"/>
      <c r="AR684" s="8">
        <f t="shared" si="202"/>
        <v>106.48358827125409</v>
      </c>
      <c r="AS684" s="8">
        <f t="shared" si="203"/>
        <v>17.09664020474051</v>
      </c>
    </row>
    <row r="685" spans="1:45">
      <c r="A685" s="19">
        <v>132.63249999999999</v>
      </c>
      <c r="B685" s="19">
        <v>94.386955229999998</v>
      </c>
      <c r="C685" s="19">
        <v>-795.87703850000003</v>
      </c>
      <c r="E685" s="9">
        <f t="shared" si="193"/>
        <v>-865.61304476999999</v>
      </c>
      <c r="F685" s="9">
        <f t="shared" si="194"/>
        <v>-255.87703850000003</v>
      </c>
      <c r="I685">
        <v>1</v>
      </c>
      <c r="J685">
        <f t="shared" si="189"/>
        <v>0.54326329202646506</v>
      </c>
      <c r="K685">
        <f t="shared" si="195"/>
        <v>-2.854175492540441</v>
      </c>
      <c r="O685">
        <f t="shared" si="196"/>
        <v>-0.49572725482734992</v>
      </c>
      <c r="P685">
        <f t="shared" si="197"/>
        <v>-0.14653802023358023</v>
      </c>
      <c r="Q685">
        <f t="shared" si="198"/>
        <v>0.85602634156161483</v>
      </c>
      <c r="R685">
        <f t="shared" si="188"/>
        <v>1</v>
      </c>
      <c r="AG685" s="8">
        <f t="shared" si="190"/>
        <v>-0.27129404936555546</v>
      </c>
      <c r="AH685" s="8">
        <f t="shared" si="191"/>
        <v>0.91652155579850869</v>
      </c>
      <c r="AI685" s="8">
        <f t="shared" si="192"/>
        <v>0.29391797586319973</v>
      </c>
      <c r="AJ685" s="8"/>
      <c r="AK685" s="8"/>
      <c r="AL685" s="8"/>
      <c r="AN685" s="8">
        <f t="shared" si="199"/>
        <v>0.99999999999999978</v>
      </c>
      <c r="AO685" s="8">
        <f t="shared" si="200"/>
        <v>1.8585830490495083</v>
      </c>
      <c r="AP685" s="8">
        <f t="shared" si="201"/>
        <v>1.272473030410699</v>
      </c>
      <c r="AQ685" s="8"/>
      <c r="AR685" s="8">
        <f t="shared" si="202"/>
        <v>106.4889645850929</v>
      </c>
      <c r="AS685" s="8">
        <f t="shared" si="203"/>
        <v>17.092665813244892</v>
      </c>
    </row>
    <row r="686" spans="1:45">
      <c r="A686" s="19">
        <v>132.66586670000001</v>
      </c>
      <c r="B686" s="19">
        <v>94.208944619999997</v>
      </c>
      <c r="C686" s="19">
        <v>-795.78830389999996</v>
      </c>
      <c r="E686" s="9">
        <f t="shared" si="193"/>
        <v>-865.79105537999999</v>
      </c>
      <c r="F686" s="9">
        <f t="shared" si="194"/>
        <v>-255.78830389999996</v>
      </c>
      <c r="I686">
        <v>1</v>
      </c>
      <c r="J686">
        <f t="shared" si="189"/>
        <v>0.54333557775415708</v>
      </c>
      <c r="K686">
        <f t="shared" si="195"/>
        <v>-2.8543256460534576</v>
      </c>
      <c r="O686">
        <f t="shared" si="196"/>
        <v>-0.49580859396026739</v>
      </c>
      <c r="P686">
        <f t="shared" si="197"/>
        <v>-0.1464811151837066</v>
      </c>
      <c r="Q686">
        <f t="shared" si="198"/>
        <v>0.85598897250471662</v>
      </c>
      <c r="R686">
        <f t="shared" si="188"/>
        <v>1</v>
      </c>
      <c r="AG686" s="8">
        <f t="shared" si="190"/>
        <v>-0.27119224917990398</v>
      </c>
      <c r="AH686" s="8">
        <f t="shared" si="191"/>
        <v>0.91654642289314814</v>
      </c>
      <c r="AI686" s="8">
        <f t="shared" si="192"/>
        <v>0.29393437816376555</v>
      </c>
      <c r="AJ686" s="8"/>
      <c r="AK686" s="8"/>
      <c r="AL686" s="8"/>
      <c r="AN686" s="8">
        <f t="shared" si="199"/>
        <v>1.0000000000000002</v>
      </c>
      <c r="AO686" s="8">
        <f t="shared" si="200"/>
        <v>1.858473539911039</v>
      </c>
      <c r="AP686" s="8">
        <f t="shared" si="201"/>
        <v>1.2724558701073394</v>
      </c>
      <c r="AQ686" s="8"/>
      <c r="AR686" s="8">
        <f t="shared" si="202"/>
        <v>106.48269017364049</v>
      </c>
      <c r="AS686" s="8">
        <f t="shared" si="203"/>
        <v>17.093649026202556</v>
      </c>
    </row>
    <row r="687" spans="1:45">
      <c r="A687" s="19">
        <v>132.6992333</v>
      </c>
      <c r="B687" s="19">
        <v>93.853997640000003</v>
      </c>
      <c r="C687" s="19">
        <v>-796.09686839999995</v>
      </c>
      <c r="E687" s="9">
        <f t="shared" si="193"/>
        <v>-866.14600236000001</v>
      </c>
      <c r="F687" s="9">
        <f t="shared" si="194"/>
        <v>-256.09686839999995</v>
      </c>
      <c r="I687">
        <v>1</v>
      </c>
      <c r="J687">
        <f t="shared" si="189"/>
        <v>0.54354800734215558</v>
      </c>
      <c r="K687">
        <f t="shared" si="195"/>
        <v>-2.8541093603589158</v>
      </c>
      <c r="O687">
        <f t="shared" si="196"/>
        <v>-0.49595126427537517</v>
      </c>
      <c r="P687">
        <f t="shared" si="197"/>
        <v>-0.14663990287304252</v>
      </c>
      <c r="Q687">
        <f t="shared" si="198"/>
        <v>0.85587912835227009</v>
      </c>
      <c r="R687">
        <f t="shared" si="188"/>
        <v>1</v>
      </c>
      <c r="AG687" s="8">
        <f t="shared" si="190"/>
        <v>-0.27111498370922671</v>
      </c>
      <c r="AH687" s="8">
        <f t="shared" si="191"/>
        <v>0.91663621759772484</v>
      </c>
      <c r="AI687" s="8">
        <f t="shared" si="192"/>
        <v>0.29372556953129247</v>
      </c>
      <c r="AJ687" s="8"/>
      <c r="AK687" s="8"/>
      <c r="AL687" s="8"/>
      <c r="AN687" s="8">
        <f t="shared" si="199"/>
        <v>1</v>
      </c>
      <c r="AO687" s="8">
        <f t="shared" si="200"/>
        <v>1.8583693779589878</v>
      </c>
      <c r="AP687" s="8">
        <f t="shared" si="201"/>
        <v>1.2726743216954466</v>
      </c>
      <c r="AQ687" s="8"/>
      <c r="AR687" s="8">
        <f t="shared" si="202"/>
        <v>106.47672213340212</v>
      </c>
      <c r="AS687" s="8">
        <f t="shared" si="203"/>
        <v>17.081132672176096</v>
      </c>
    </row>
    <row r="688" spans="1:45">
      <c r="A688" s="19">
        <v>132.73259999999999</v>
      </c>
      <c r="B688" s="19">
        <v>93.612315229999993</v>
      </c>
      <c r="C688" s="19">
        <v>-795.98996320000003</v>
      </c>
      <c r="E688" s="9">
        <f t="shared" si="193"/>
        <v>-866.38768476999996</v>
      </c>
      <c r="F688" s="9">
        <f t="shared" si="194"/>
        <v>-255.98996320000003</v>
      </c>
      <c r="I688">
        <v>1</v>
      </c>
      <c r="J688">
        <f t="shared" si="189"/>
        <v>0.54364801901271298</v>
      </c>
      <c r="K688">
        <f t="shared" si="195"/>
        <v>-2.8542986913337005</v>
      </c>
      <c r="O688">
        <f t="shared" si="196"/>
        <v>-0.49606110598120512</v>
      </c>
      <c r="P688">
        <f t="shared" si="197"/>
        <v>-0.14657025543800428</v>
      </c>
      <c r="Q688">
        <f t="shared" si="198"/>
        <v>0.85582740044563999</v>
      </c>
      <c r="R688">
        <f t="shared" si="188"/>
        <v>1</v>
      </c>
      <c r="AG688" s="8">
        <f t="shared" si="190"/>
        <v>-0.27098031196974293</v>
      </c>
      <c r="AH688" s="8">
        <f t="shared" si="191"/>
        <v>0.91667106585909264</v>
      </c>
      <c r="AI688" s="8">
        <f t="shared" si="192"/>
        <v>0.29374108929725151</v>
      </c>
      <c r="AJ688" s="8"/>
      <c r="AK688" s="8"/>
      <c r="AL688" s="8"/>
      <c r="AN688" s="8">
        <f t="shared" si="199"/>
        <v>1</v>
      </c>
      <c r="AO688" s="8">
        <f t="shared" si="200"/>
        <v>1.8582239364956903</v>
      </c>
      <c r="AP688" s="8">
        <f t="shared" si="201"/>
        <v>1.2726580857184093</v>
      </c>
      <c r="AQ688" s="8"/>
      <c r="AR688" s="8">
        <f t="shared" si="202"/>
        <v>106.46838895138896</v>
      </c>
      <c r="AS688" s="8">
        <f t="shared" si="203"/>
        <v>17.082062925136597</v>
      </c>
    </row>
    <row r="689" spans="1:45">
      <c r="A689" s="19">
        <v>132.76596670000001</v>
      </c>
      <c r="B689" s="19">
        <v>93.016737230000004</v>
      </c>
      <c r="C689" s="19">
        <v>-795.92799100000002</v>
      </c>
      <c r="E689" s="9">
        <f t="shared" si="193"/>
        <v>-866.98326277000001</v>
      </c>
      <c r="F689" s="9">
        <f t="shared" si="194"/>
        <v>-255.92799100000002</v>
      </c>
      <c r="I689">
        <v>1</v>
      </c>
      <c r="J689">
        <f t="shared" si="189"/>
        <v>0.54392279110234287</v>
      </c>
      <c r="K689">
        <f t="shared" si="195"/>
        <v>-2.8545511272133512</v>
      </c>
      <c r="O689">
        <f t="shared" si="196"/>
        <v>-0.49632360720687307</v>
      </c>
      <c r="P689">
        <f t="shared" si="197"/>
        <v>-0.14651159847364412</v>
      </c>
      <c r="Q689">
        <f t="shared" si="198"/>
        <v>0.85568523911649619</v>
      </c>
      <c r="R689">
        <f t="shared" si="188"/>
        <v>1</v>
      </c>
      <c r="AG689" s="8">
        <f t="shared" si="190"/>
        <v>-0.27070064579872294</v>
      </c>
      <c r="AH689" s="8">
        <f t="shared" si="191"/>
        <v>0.91677354917162468</v>
      </c>
      <c r="AI689" s="8">
        <f t="shared" si="192"/>
        <v>0.29367911043078426</v>
      </c>
      <c r="AJ689" s="8"/>
      <c r="AK689" s="8"/>
      <c r="AL689" s="8"/>
      <c r="AN689" s="8">
        <f t="shared" si="199"/>
        <v>0.99999999999999978</v>
      </c>
      <c r="AO689" s="8">
        <f t="shared" si="200"/>
        <v>1.8579129786734967</v>
      </c>
      <c r="AP689" s="8">
        <f t="shared" si="201"/>
        <v>1.2727229243210965</v>
      </c>
      <c r="AQ689" s="8"/>
      <c r="AR689" s="8">
        <f t="shared" si="202"/>
        <v>106.45057238057069</v>
      </c>
      <c r="AS689" s="8">
        <f t="shared" si="203"/>
        <v>17.0783479468531</v>
      </c>
    </row>
    <row r="690" spans="1:45">
      <c r="A690" s="19">
        <v>132.7993333</v>
      </c>
      <c r="B690" s="19">
        <v>92.30993264</v>
      </c>
      <c r="C690" s="19">
        <v>-795.89682779999998</v>
      </c>
      <c r="E690" s="9">
        <f t="shared" si="193"/>
        <v>-867.69006736000006</v>
      </c>
      <c r="F690" s="9">
        <f t="shared" si="194"/>
        <v>-255.89682779999998</v>
      </c>
      <c r="I690">
        <v>1</v>
      </c>
      <c r="J690">
        <f t="shared" si="189"/>
        <v>0.54425474578356259</v>
      </c>
      <c r="K690">
        <f t="shared" si="195"/>
        <v>-2.854805368126029</v>
      </c>
      <c r="O690">
        <f t="shared" si="196"/>
        <v>-0.49663326054779694</v>
      </c>
      <c r="P690">
        <f t="shared" si="197"/>
        <v>-0.14646574939001167</v>
      </c>
      <c r="Q690">
        <f t="shared" si="198"/>
        <v>0.8555134065421105</v>
      </c>
      <c r="R690">
        <f t="shared" si="188"/>
        <v>1</v>
      </c>
      <c r="AG690" s="8">
        <f t="shared" si="190"/>
        <v>-0.27037980658878713</v>
      </c>
      <c r="AH690" s="8">
        <f t="shared" si="191"/>
        <v>0.91689853060523152</v>
      </c>
      <c r="AI690" s="8">
        <f t="shared" si="192"/>
        <v>0.29358447636579399</v>
      </c>
      <c r="AJ690" s="8"/>
      <c r="AK690" s="8"/>
      <c r="AL690" s="8"/>
      <c r="AN690" s="8">
        <f t="shared" si="199"/>
        <v>1</v>
      </c>
      <c r="AO690" s="8">
        <f t="shared" si="200"/>
        <v>1.8575540636926167</v>
      </c>
      <c r="AP690" s="8">
        <f t="shared" si="201"/>
        <v>1.2728219223582053</v>
      </c>
      <c r="AQ690" s="8"/>
      <c r="AR690" s="8">
        <f t="shared" si="202"/>
        <v>106.43000806696224</v>
      </c>
      <c r="AS690" s="8">
        <f t="shared" si="203"/>
        <v>17.072675777146685</v>
      </c>
    </row>
    <row r="691" spans="1:45">
      <c r="A691" s="19">
        <v>132.83269999999999</v>
      </c>
      <c r="B691" s="19">
        <v>92.284477989999999</v>
      </c>
      <c r="C691" s="19">
        <v>-795.88028729999996</v>
      </c>
      <c r="E691" s="9">
        <f t="shared" si="193"/>
        <v>-867.71552200999997</v>
      </c>
      <c r="F691" s="9">
        <f t="shared" si="194"/>
        <v>-255.88028729999996</v>
      </c>
      <c r="I691">
        <v>1</v>
      </c>
      <c r="J691">
        <f t="shared" si="189"/>
        <v>0.54426453559576882</v>
      </c>
      <c r="K691">
        <f t="shared" si="195"/>
        <v>-2.8548308643635756</v>
      </c>
      <c r="O691">
        <f t="shared" si="196"/>
        <v>-0.49664502799621474</v>
      </c>
      <c r="P691">
        <f t="shared" si="197"/>
        <v>-0.14645545599485471</v>
      </c>
      <c r="Q691">
        <f t="shared" si="198"/>
        <v>0.85550833752569488</v>
      </c>
      <c r="R691">
        <f t="shared" si="188"/>
        <v>1</v>
      </c>
      <c r="AG691" s="8">
        <f t="shared" si="190"/>
        <v>-0.27036426231980026</v>
      </c>
      <c r="AH691" s="8">
        <f t="shared" si="191"/>
        <v>0.91690175100449389</v>
      </c>
      <c r="AI691" s="8">
        <f t="shared" si="192"/>
        <v>0.29358873388664525</v>
      </c>
      <c r="AJ691" s="8"/>
      <c r="AK691" s="8"/>
      <c r="AL691" s="8"/>
      <c r="AN691" s="8">
        <f t="shared" si="199"/>
        <v>1</v>
      </c>
      <c r="AO691" s="8">
        <f t="shared" si="200"/>
        <v>1.8575375139727182</v>
      </c>
      <c r="AP691" s="8">
        <f t="shared" si="201"/>
        <v>1.2728174685699485</v>
      </c>
      <c r="AQ691" s="8"/>
      <c r="AR691" s="8">
        <f t="shared" si="202"/>
        <v>106.42905983785994</v>
      </c>
      <c r="AS691" s="8">
        <f t="shared" si="203"/>
        <v>17.072930960416642</v>
      </c>
    </row>
    <row r="692" spans="1:45">
      <c r="A692" s="19">
        <v>132.8660667</v>
      </c>
      <c r="B692" s="19">
        <v>92.272151890000004</v>
      </c>
      <c r="C692" s="19">
        <v>-795.87233560000004</v>
      </c>
      <c r="E692" s="9">
        <f t="shared" si="193"/>
        <v>-867.72784810999997</v>
      </c>
      <c r="F692" s="9">
        <f t="shared" si="194"/>
        <v>-255.87233560000004</v>
      </c>
      <c r="I692">
        <v>1</v>
      </c>
      <c r="J692">
        <f t="shared" si="189"/>
        <v>0.54426928436912092</v>
      </c>
      <c r="K692">
        <f t="shared" si="195"/>
        <v>-2.8548431488850072</v>
      </c>
      <c r="O692">
        <f t="shared" si="196"/>
        <v>-0.49665072382003117</v>
      </c>
      <c r="P692">
        <f t="shared" si="197"/>
        <v>-0.14645050398930198</v>
      </c>
      <c r="Q692">
        <f t="shared" si="198"/>
        <v>0.85550587865327876</v>
      </c>
      <c r="R692">
        <f t="shared" si="188"/>
        <v>1</v>
      </c>
      <c r="AG692" s="8">
        <f t="shared" si="190"/>
        <v>-0.27035675020743116</v>
      </c>
      <c r="AH692" s="8">
        <f t="shared" si="191"/>
        <v>0.91690331513345236</v>
      </c>
      <c r="AI692" s="8">
        <f t="shared" si="192"/>
        <v>0.29359076673928541</v>
      </c>
      <c r="AJ692" s="8"/>
      <c r="AK692" s="8"/>
      <c r="AL692" s="8"/>
      <c r="AN692" s="8">
        <f t="shared" si="199"/>
        <v>0.99999999999999989</v>
      </c>
      <c r="AO692" s="8">
        <f t="shared" si="200"/>
        <v>1.8575295136300969</v>
      </c>
      <c r="AP692" s="8">
        <f t="shared" si="201"/>
        <v>1.2728153420027086</v>
      </c>
      <c r="AQ692" s="8"/>
      <c r="AR692" s="8">
        <f t="shared" si="202"/>
        <v>106.42860145199307</v>
      </c>
      <c r="AS692" s="8">
        <f t="shared" si="203"/>
        <v>17.073052803744332</v>
      </c>
    </row>
    <row r="693" spans="1:45">
      <c r="A693" s="19">
        <v>132.8994333</v>
      </c>
      <c r="B693" s="19">
        <v>92.288660919999998</v>
      </c>
      <c r="C693" s="19">
        <v>-795.88572169999998</v>
      </c>
      <c r="E693" s="9">
        <f t="shared" si="193"/>
        <v>-867.71133908000002</v>
      </c>
      <c r="F693" s="9">
        <f t="shared" si="194"/>
        <v>-255.88572169999998</v>
      </c>
      <c r="I693">
        <v>1</v>
      </c>
      <c r="J693">
        <f t="shared" si="189"/>
        <v>0.54426330794171962</v>
      </c>
      <c r="K693">
        <f t="shared" si="195"/>
        <v>-2.8548237946868804</v>
      </c>
      <c r="O693">
        <f t="shared" si="196"/>
        <v>-0.49664298521242117</v>
      </c>
      <c r="P693">
        <f t="shared" si="197"/>
        <v>-0.14645867003773944</v>
      </c>
      <c r="Q693">
        <f t="shared" si="198"/>
        <v>0.85550897319085517</v>
      </c>
      <c r="R693">
        <f t="shared" si="188"/>
        <v>1</v>
      </c>
      <c r="AG693" s="8">
        <f t="shared" si="190"/>
        <v>-0.27036751986442742</v>
      </c>
      <c r="AH693" s="8">
        <f t="shared" si="191"/>
        <v>0.91690144689743758</v>
      </c>
      <c r="AI693" s="8">
        <f t="shared" si="192"/>
        <v>0.29358668375753005</v>
      </c>
      <c r="AJ693" s="8"/>
      <c r="AK693" s="8"/>
      <c r="AL693" s="8"/>
      <c r="AN693" s="8">
        <f t="shared" si="199"/>
        <v>1</v>
      </c>
      <c r="AO693" s="8">
        <f t="shared" si="200"/>
        <v>1.8575408725271474</v>
      </c>
      <c r="AP693" s="8">
        <f t="shared" si="201"/>
        <v>1.2728196132087031</v>
      </c>
      <c r="AQ693" s="8"/>
      <c r="AR693" s="8">
        <f t="shared" si="202"/>
        <v>106.429252268854</v>
      </c>
      <c r="AS693" s="8">
        <f t="shared" si="203"/>
        <v>17.072808081667418</v>
      </c>
    </row>
    <row r="694" spans="1:45">
      <c r="A694" s="19">
        <v>132.9661667</v>
      </c>
      <c r="B694" s="19">
        <v>90.776319450000003</v>
      </c>
      <c r="C694" s="19">
        <v>-795.87338539999996</v>
      </c>
      <c r="E694" s="9">
        <f t="shared" si="193"/>
        <v>-869.22368055000004</v>
      </c>
      <c r="F694" s="9">
        <f t="shared" si="194"/>
        <v>-255.87338539999996</v>
      </c>
      <c r="I694">
        <v>1</v>
      </c>
      <c r="J694">
        <f t="shared" si="189"/>
        <v>0.54498084954148618</v>
      </c>
      <c r="K694">
        <f t="shared" si="195"/>
        <v>-2.8553089554190416</v>
      </c>
      <c r="O694">
        <f t="shared" si="196"/>
        <v>-0.49730273383947265</v>
      </c>
      <c r="P694">
        <f t="shared" si="197"/>
        <v>-0.14639101179993858</v>
      </c>
      <c r="Q694">
        <f t="shared" si="198"/>
        <v>0.85513721856786051</v>
      </c>
      <c r="R694">
        <f t="shared" si="188"/>
        <v>1</v>
      </c>
      <c r="AG694" s="8">
        <f t="shared" si="190"/>
        <v>-0.26969539944381171</v>
      </c>
      <c r="AH694" s="8">
        <f t="shared" si="191"/>
        <v>0.91717280301682114</v>
      </c>
      <c r="AI694" s="8">
        <f t="shared" si="192"/>
        <v>0.29335719000070593</v>
      </c>
      <c r="AJ694" s="8"/>
      <c r="AK694" s="8"/>
      <c r="AL694" s="8"/>
      <c r="AN694" s="8">
        <f t="shared" si="199"/>
        <v>1</v>
      </c>
      <c r="AO694" s="8">
        <f t="shared" si="200"/>
        <v>1.856786245547186</v>
      </c>
      <c r="AP694" s="8">
        <f t="shared" si="201"/>
        <v>1.2730596775541723</v>
      </c>
      <c r="AQ694" s="8"/>
      <c r="AR694" s="8">
        <f t="shared" si="202"/>
        <v>106.3860153277955</v>
      </c>
      <c r="AS694" s="8">
        <f t="shared" si="203"/>
        <v>17.059053407860475</v>
      </c>
    </row>
    <row r="695" spans="1:45">
      <c r="A695" s="19">
        <v>132.9995333</v>
      </c>
      <c r="B695" s="19">
        <v>90.927048589999998</v>
      </c>
      <c r="C695" s="19">
        <v>-795.8668467</v>
      </c>
      <c r="E695" s="9">
        <f t="shared" si="193"/>
        <v>-869.07295140999997</v>
      </c>
      <c r="F695" s="9">
        <f t="shared" si="194"/>
        <v>-255.8668467</v>
      </c>
      <c r="I695">
        <v>1</v>
      </c>
      <c r="J695">
        <f t="shared" si="189"/>
        <v>0.54490827012463716</v>
      </c>
      <c r="K695">
        <f t="shared" si="195"/>
        <v>-2.8552688963973676</v>
      </c>
      <c r="O695">
        <f t="shared" si="196"/>
        <v>-0.49723732925532371</v>
      </c>
      <c r="P695">
        <f t="shared" si="197"/>
        <v>-0.14639340378926158</v>
      </c>
      <c r="Q695">
        <f t="shared" si="198"/>
        <v>0.85517484160961321</v>
      </c>
      <c r="R695">
        <f t="shared" si="188"/>
        <v>1</v>
      </c>
      <c r="AG695" s="8">
        <f t="shared" si="190"/>
        <v>-0.2697603579436838</v>
      </c>
      <c r="AH695" s="8">
        <f t="shared" si="191"/>
        <v>0.91714514859170992</v>
      </c>
      <c r="AI695" s="8">
        <f t="shared" si="192"/>
        <v>0.29338392201479935</v>
      </c>
      <c r="AJ695" s="8"/>
      <c r="AK695" s="8"/>
      <c r="AL695" s="8"/>
      <c r="AN695" s="8">
        <f t="shared" si="199"/>
        <v>1</v>
      </c>
      <c r="AO695" s="8">
        <f t="shared" si="200"/>
        <v>1.8568595948935036</v>
      </c>
      <c r="AP695" s="8">
        <f t="shared" si="201"/>
        <v>1.2730317151614059</v>
      </c>
      <c r="AQ695" s="8"/>
      <c r="AR695" s="8">
        <f t="shared" si="202"/>
        <v>106.39021793576954</v>
      </c>
      <c r="AS695" s="8">
        <f t="shared" si="203"/>
        <v>17.060655534951067</v>
      </c>
    </row>
    <row r="696" spans="1:45">
      <c r="A696" s="19">
        <v>133.03290000000001</v>
      </c>
      <c r="B696" s="19">
        <v>90.882772639999999</v>
      </c>
      <c r="C696" s="19">
        <v>-795.86847220000004</v>
      </c>
      <c r="E696" s="9">
        <f t="shared" si="193"/>
        <v>-869.11722736000002</v>
      </c>
      <c r="F696" s="9">
        <f t="shared" si="194"/>
        <v>-255.86847220000004</v>
      </c>
      <c r="I696">
        <v>1</v>
      </c>
      <c r="J696">
        <f t="shared" si="189"/>
        <v>0.5449295492241728</v>
      </c>
      <c r="K696">
        <f t="shared" si="195"/>
        <v>-2.8552809774593495</v>
      </c>
      <c r="O696">
        <f t="shared" si="196"/>
        <v>-0.49725655426779614</v>
      </c>
      <c r="P696">
        <f t="shared" si="197"/>
        <v>-0.14639253581293482</v>
      </c>
      <c r="Q696">
        <f t="shared" si="198"/>
        <v>0.85516381161504773</v>
      </c>
      <c r="R696">
        <f t="shared" si="188"/>
        <v>1</v>
      </c>
      <c r="AG696" s="8">
        <f t="shared" si="190"/>
        <v>-0.26974119987362188</v>
      </c>
      <c r="AH696" s="8">
        <f t="shared" si="191"/>
        <v>0.91715324827738609</v>
      </c>
      <c r="AI696" s="8">
        <f t="shared" si="192"/>
        <v>0.29337621625649579</v>
      </c>
      <c r="AJ696" s="8"/>
      <c r="AK696" s="8"/>
      <c r="AL696" s="8"/>
      <c r="AN696" s="8">
        <f t="shared" si="199"/>
        <v>1</v>
      </c>
      <c r="AO696" s="8">
        <f t="shared" si="200"/>
        <v>1.8568379786368578</v>
      </c>
      <c r="AP696" s="8">
        <f t="shared" si="201"/>
        <v>1.2730397756127241</v>
      </c>
      <c r="AQ696" s="8"/>
      <c r="AR696" s="8">
        <f t="shared" si="202"/>
        <v>106.38897941549487</v>
      </c>
      <c r="AS696" s="8">
        <f t="shared" si="203"/>
        <v>17.060193705109569</v>
      </c>
    </row>
    <row r="697" spans="1:45">
      <c r="A697" s="19">
        <v>133.0662667</v>
      </c>
      <c r="B697" s="19">
        <v>90.410010400000004</v>
      </c>
      <c r="C697" s="19">
        <v>-795.8726719</v>
      </c>
      <c r="E697" s="9">
        <f t="shared" si="193"/>
        <v>-869.58998959999997</v>
      </c>
      <c r="F697" s="9">
        <f t="shared" si="194"/>
        <v>-255.8726719</v>
      </c>
      <c r="I697">
        <v>1</v>
      </c>
      <c r="J697">
        <f t="shared" si="189"/>
        <v>0.5451548899899209</v>
      </c>
      <c r="K697">
        <f t="shared" si="195"/>
        <v>-2.8554238274783876</v>
      </c>
      <c r="O697">
        <f t="shared" si="196"/>
        <v>-0.49746231522718215</v>
      </c>
      <c r="P697">
        <f t="shared" si="197"/>
        <v>-0.14637589356943911</v>
      </c>
      <c r="Q697">
        <f t="shared" si="198"/>
        <v>0.85504698275039837</v>
      </c>
      <c r="R697">
        <f t="shared" si="188"/>
        <v>1</v>
      </c>
      <c r="AG697" s="8">
        <f t="shared" si="190"/>
        <v>-0.26953325340163631</v>
      </c>
      <c r="AH697" s="8">
        <f t="shared" si="191"/>
        <v>0.91723860314612304</v>
      </c>
      <c r="AI697" s="8">
        <f t="shared" si="192"/>
        <v>0.29330047768334505</v>
      </c>
      <c r="AJ697" s="8"/>
      <c r="AK697" s="8"/>
      <c r="AL697" s="8"/>
      <c r="AN697" s="8">
        <f t="shared" si="199"/>
        <v>1</v>
      </c>
      <c r="AO697" s="8">
        <f t="shared" si="200"/>
        <v>1.8566041125632953</v>
      </c>
      <c r="AP697" s="8">
        <f t="shared" si="201"/>
        <v>1.273118999341563</v>
      </c>
      <c r="AQ697" s="8"/>
      <c r="AR697" s="8">
        <f t="shared" si="202"/>
        <v>106.37557987650844</v>
      </c>
      <c r="AS697" s="8">
        <f t="shared" si="203"/>
        <v>17.055654519809806</v>
      </c>
    </row>
    <row r="698" spans="1:45">
      <c r="A698" s="19">
        <v>133.09963329999999</v>
      </c>
      <c r="B698" s="19">
        <v>90.239273749999995</v>
      </c>
      <c r="C698" s="19">
        <v>-795.86641429999997</v>
      </c>
      <c r="E698" s="9">
        <f t="shared" si="193"/>
        <v>-869.76072625000006</v>
      </c>
      <c r="F698" s="9">
        <f t="shared" si="194"/>
        <v>-255.86641429999997</v>
      </c>
      <c r="I698">
        <v>1</v>
      </c>
      <c r="J698">
        <f t="shared" si="189"/>
        <v>0.54523517152228118</v>
      </c>
      <c r="K698">
        <f t="shared" si="195"/>
        <v>-2.855483608597178</v>
      </c>
      <c r="O698">
        <f t="shared" si="196"/>
        <v>-0.49753691728182747</v>
      </c>
      <c r="P698">
        <f t="shared" si="197"/>
        <v>-0.14636552693710095</v>
      </c>
      <c r="Q698">
        <f t="shared" si="198"/>
        <v>0.85500534996344946</v>
      </c>
      <c r="R698">
        <f t="shared" si="188"/>
        <v>1</v>
      </c>
      <c r="AG698" s="8">
        <f t="shared" si="190"/>
        <v>-0.26945615182268429</v>
      </c>
      <c r="AH698" s="8">
        <f t="shared" si="191"/>
        <v>0.91726876659966572</v>
      </c>
      <c r="AI698" s="8">
        <f t="shared" si="192"/>
        <v>0.29327698863981516</v>
      </c>
      <c r="AJ698" s="8"/>
      <c r="AK698" s="8"/>
      <c r="AL698" s="8"/>
      <c r="AN698" s="8">
        <f t="shared" si="199"/>
        <v>0.99999999999999978</v>
      </c>
      <c r="AO698" s="8">
        <f t="shared" si="200"/>
        <v>1.8565178410363945</v>
      </c>
      <c r="AP698" s="8">
        <f t="shared" si="201"/>
        <v>1.2731435688562505</v>
      </c>
      <c r="AQ698" s="8"/>
      <c r="AR698" s="8">
        <f t="shared" si="202"/>
        <v>106.37063688212487</v>
      </c>
      <c r="AS698" s="8">
        <f t="shared" si="203"/>
        <v>17.054246790313528</v>
      </c>
    </row>
    <row r="699" spans="1:45">
      <c r="A699" s="19">
        <v>133.13300000000001</v>
      </c>
      <c r="B699" s="19">
        <v>89.247562549999998</v>
      </c>
      <c r="C699" s="19">
        <v>-795.86527599999999</v>
      </c>
      <c r="E699" s="9">
        <f t="shared" si="193"/>
        <v>-870.75243745</v>
      </c>
      <c r="F699" s="9">
        <f t="shared" si="194"/>
        <v>-255.86527599999999</v>
      </c>
      <c r="I699">
        <v>1</v>
      </c>
      <c r="J699">
        <f t="shared" si="189"/>
        <v>0.5457062765610935</v>
      </c>
      <c r="K699">
        <f t="shared" si="195"/>
        <v>-2.8557931995279833</v>
      </c>
      <c r="O699">
        <f t="shared" si="196"/>
        <v>-0.49796861013501192</v>
      </c>
      <c r="P699">
        <f t="shared" si="197"/>
        <v>-0.14632502924098617</v>
      </c>
      <c r="Q699">
        <f t="shared" si="198"/>
        <v>0.85476093098469874</v>
      </c>
      <c r="R699">
        <f t="shared" si="188"/>
        <v>1</v>
      </c>
      <c r="AG699" s="8">
        <f t="shared" si="190"/>
        <v>-0.26901752914582711</v>
      </c>
      <c r="AH699" s="8">
        <f t="shared" si="191"/>
        <v>0.91744669375738264</v>
      </c>
      <c r="AI699" s="8">
        <f t="shared" si="192"/>
        <v>0.29312306822548312</v>
      </c>
      <c r="AJ699" s="8"/>
      <c r="AK699" s="8"/>
      <c r="AL699" s="8"/>
      <c r="AN699" s="8">
        <f t="shared" si="199"/>
        <v>0.99999999999999989</v>
      </c>
      <c r="AO699" s="8">
        <f t="shared" si="200"/>
        <v>1.856025213194159</v>
      </c>
      <c r="AP699" s="8">
        <f t="shared" si="201"/>
        <v>1.2733045648651315</v>
      </c>
      <c r="AQ699" s="8"/>
      <c r="AR699" s="8">
        <f t="shared" si="202"/>
        <v>106.34241138589415</v>
      </c>
      <c r="AS699" s="8">
        <f t="shared" si="203"/>
        <v>17.045022398486196</v>
      </c>
    </row>
    <row r="700" spans="1:45">
      <c r="A700" s="19">
        <v>133.1663667</v>
      </c>
      <c r="B700" s="19">
        <v>89.252321609999996</v>
      </c>
      <c r="C700" s="19">
        <v>-795.86497770000005</v>
      </c>
      <c r="E700" s="9">
        <f t="shared" si="193"/>
        <v>-870.74767839000003</v>
      </c>
      <c r="F700" s="9">
        <f t="shared" si="194"/>
        <v>-255.86497770000005</v>
      </c>
      <c r="I700">
        <v>1</v>
      </c>
      <c r="J700">
        <f t="shared" si="189"/>
        <v>0.54570397392375591</v>
      </c>
      <c r="K700">
        <f t="shared" si="195"/>
        <v>-2.8557920365261817</v>
      </c>
      <c r="O700">
        <f t="shared" si="196"/>
        <v>-0.4979665515904092</v>
      </c>
      <c r="P700">
        <f t="shared" si="197"/>
        <v>-0.14632505349151131</v>
      </c>
      <c r="Q700">
        <f t="shared" si="198"/>
        <v>0.85476212610167901</v>
      </c>
      <c r="R700">
        <f t="shared" si="188"/>
        <v>1</v>
      </c>
      <c r="AG700" s="8">
        <f t="shared" si="190"/>
        <v>-0.26901955499117608</v>
      </c>
      <c r="AH700" s="8">
        <f t="shared" si="191"/>
        <v>0.91744581553862692</v>
      </c>
      <c r="AI700" s="8">
        <f t="shared" si="192"/>
        <v>0.29312395770904376</v>
      </c>
      <c r="AJ700" s="8"/>
      <c r="AK700" s="8"/>
      <c r="AL700" s="8"/>
      <c r="AN700" s="8">
        <f t="shared" si="199"/>
        <v>0.99999999999999989</v>
      </c>
      <c r="AO700" s="8">
        <f t="shared" si="200"/>
        <v>1.8560275049679116</v>
      </c>
      <c r="AP700" s="8">
        <f t="shared" si="201"/>
        <v>1.2733036345155777</v>
      </c>
      <c r="AQ700" s="8"/>
      <c r="AR700" s="8">
        <f t="shared" si="202"/>
        <v>106.34254269485777</v>
      </c>
      <c r="AS700" s="8">
        <f t="shared" si="203"/>
        <v>17.045075703589106</v>
      </c>
    </row>
    <row r="701" spans="1:45">
      <c r="A701" s="19">
        <v>133.19973329999999</v>
      </c>
      <c r="B701" s="19">
        <v>89.254785440000006</v>
      </c>
      <c r="C701" s="19">
        <v>-795.86438520000002</v>
      </c>
      <c r="E701" s="9">
        <f t="shared" si="193"/>
        <v>-870.74521456000002</v>
      </c>
      <c r="F701" s="9">
        <f t="shared" si="194"/>
        <v>-255.86438520000002</v>
      </c>
      <c r="I701">
        <v>1</v>
      </c>
      <c r="J701">
        <f t="shared" si="189"/>
        <v>0.54570272065905645</v>
      </c>
      <c r="K701">
        <f t="shared" si="195"/>
        <v>-2.8557918975259153</v>
      </c>
      <c r="O701">
        <f t="shared" si="196"/>
        <v>-0.49796550346128077</v>
      </c>
      <c r="P701">
        <f t="shared" si="197"/>
        <v>-0.14632482069776534</v>
      </c>
      <c r="Q701">
        <f t="shared" si="198"/>
        <v>0.85476277657038857</v>
      </c>
      <c r="R701">
        <f t="shared" si="188"/>
        <v>1</v>
      </c>
      <c r="AG701" s="8">
        <f t="shared" si="190"/>
        <v>-0.26902049043122056</v>
      </c>
      <c r="AH701" s="8">
        <f t="shared" si="191"/>
        <v>0.91744532459311245</v>
      </c>
      <c r="AI701" s="8">
        <f t="shared" si="192"/>
        <v>0.29312463579573828</v>
      </c>
      <c r="AJ701" s="8"/>
      <c r="AK701" s="8"/>
      <c r="AL701" s="8"/>
      <c r="AN701" s="8">
        <f t="shared" si="199"/>
        <v>1</v>
      </c>
      <c r="AO701" s="8">
        <f t="shared" si="200"/>
        <v>1.8560285883430059</v>
      </c>
      <c r="AP701" s="8">
        <f t="shared" si="201"/>
        <v>1.273302925275025</v>
      </c>
      <c r="AQ701" s="8"/>
      <c r="AR701" s="8">
        <f t="shared" si="202"/>
        <v>106.3426047676783</v>
      </c>
      <c r="AS701" s="8">
        <f t="shared" si="203"/>
        <v>17.045116340079431</v>
      </c>
    </row>
    <row r="702" spans="1:45">
      <c r="A702" s="19">
        <v>133.23310000000001</v>
      </c>
      <c r="B702" s="19">
        <v>89.131856260000006</v>
      </c>
      <c r="C702" s="19">
        <v>-795.80840390000003</v>
      </c>
      <c r="E702" s="9">
        <f t="shared" si="193"/>
        <v>-870.86814374000005</v>
      </c>
      <c r="F702" s="9">
        <f t="shared" si="194"/>
        <v>-255.80840390000003</v>
      </c>
      <c r="I702">
        <v>1</v>
      </c>
      <c r="J702">
        <f t="shared" si="189"/>
        <v>0.54575330893961216</v>
      </c>
      <c r="K702">
        <f t="shared" si="195"/>
        <v>-2.8558892547487105</v>
      </c>
      <c r="O702">
        <f t="shared" si="196"/>
        <v>-0.49802123438989637</v>
      </c>
      <c r="P702">
        <f t="shared" si="197"/>
        <v>-0.14628852598795059</v>
      </c>
      <c r="Q702">
        <f t="shared" si="198"/>
        <v>0.85473651920403904</v>
      </c>
      <c r="R702">
        <f t="shared" si="188"/>
        <v>1</v>
      </c>
      <c r="AG702" s="8">
        <f t="shared" si="190"/>
        <v>-0.26895168119812352</v>
      </c>
      <c r="AH702" s="8">
        <f t="shared" si="191"/>
        <v>0.91746273285645308</v>
      </c>
      <c r="AI702" s="8">
        <f t="shared" si="192"/>
        <v>0.29313329220726814</v>
      </c>
      <c r="AJ702" s="8"/>
      <c r="AK702" s="8"/>
      <c r="AL702" s="8"/>
      <c r="AN702" s="8">
        <f t="shared" si="199"/>
        <v>1</v>
      </c>
      <c r="AO702" s="8">
        <f t="shared" si="200"/>
        <v>1.8559544020253094</v>
      </c>
      <c r="AP702" s="8">
        <f t="shared" si="201"/>
        <v>1.2732938711417747</v>
      </c>
      <c r="AQ702" s="8"/>
      <c r="AR702" s="8">
        <f t="shared" si="202"/>
        <v>106.33835420477668</v>
      </c>
      <c r="AS702" s="8">
        <f t="shared" si="203"/>
        <v>17.045635103701827</v>
      </c>
    </row>
    <row r="703" spans="1:45">
      <c r="A703" s="19">
        <v>133.2664667</v>
      </c>
      <c r="B703" s="19">
        <v>88.924988490000004</v>
      </c>
      <c r="C703" s="19">
        <v>-795.73756309999999</v>
      </c>
      <c r="E703" s="9">
        <f t="shared" si="193"/>
        <v>-871.07501150999997</v>
      </c>
      <c r="F703" s="9">
        <f t="shared" si="194"/>
        <v>-255.73756309999999</v>
      </c>
      <c r="I703">
        <v>1</v>
      </c>
      <c r="J703">
        <f t="shared" si="189"/>
        <v>0.54584170136179067</v>
      </c>
      <c r="K703">
        <f t="shared" si="195"/>
        <v>-2.8560283444794621</v>
      </c>
      <c r="O703">
        <f t="shared" si="196"/>
        <v>-0.49811406743889713</v>
      </c>
      <c r="P703">
        <f t="shared" si="197"/>
        <v>-0.14624053734686923</v>
      </c>
      <c r="Q703">
        <f t="shared" si="198"/>
        <v>0.85469063470707152</v>
      </c>
      <c r="R703">
        <f t="shared" si="188"/>
        <v>1</v>
      </c>
      <c r="AG703" s="8">
        <f t="shared" si="190"/>
        <v>-0.26884194075110379</v>
      </c>
      <c r="AH703" s="8">
        <f t="shared" si="191"/>
        <v>0.9174939507253248</v>
      </c>
      <c r="AI703" s="8">
        <f t="shared" si="192"/>
        <v>0.29313625036084329</v>
      </c>
      <c r="AJ703" s="8"/>
      <c r="AK703" s="8"/>
      <c r="AL703" s="8"/>
      <c r="AN703" s="8">
        <f t="shared" si="199"/>
        <v>0.99999999999999978</v>
      </c>
      <c r="AO703" s="8">
        <f t="shared" si="200"/>
        <v>1.8558350691190357</v>
      </c>
      <c r="AP703" s="8">
        <f t="shared" si="201"/>
        <v>1.2732907770690831</v>
      </c>
      <c r="AQ703" s="8"/>
      <c r="AR703" s="8">
        <f t="shared" si="202"/>
        <v>106.33151693289017</v>
      </c>
      <c r="AS703" s="8">
        <f t="shared" si="203"/>
        <v>17.04581238100856</v>
      </c>
    </row>
    <row r="704" spans="1:45">
      <c r="A704" s="19">
        <v>133.29983329999999</v>
      </c>
      <c r="B704" s="19">
        <v>88.366526460000003</v>
      </c>
      <c r="C704" s="19">
        <v>-795.91138839999996</v>
      </c>
      <c r="E704" s="9">
        <f t="shared" si="193"/>
        <v>-871.63347353999995</v>
      </c>
      <c r="F704" s="9">
        <f t="shared" si="194"/>
        <v>-255.91138839999996</v>
      </c>
      <c r="I704">
        <v>1</v>
      </c>
      <c r="J704">
        <f t="shared" si="189"/>
        <v>0.54613119139654465</v>
      </c>
      <c r="K704">
        <f t="shared" si="195"/>
        <v>-2.8560179223722457</v>
      </c>
      <c r="O704">
        <f t="shared" si="196"/>
        <v>-0.49834992611070866</v>
      </c>
      <c r="P704">
        <f t="shared" si="197"/>
        <v>-0.14631542428272321</v>
      </c>
      <c r="Q704">
        <f t="shared" si="198"/>
        <v>0.85454031371399786</v>
      </c>
      <c r="R704">
        <f t="shared" si="188"/>
        <v>1</v>
      </c>
      <c r="AG704" s="8">
        <f t="shared" si="190"/>
        <v>-0.26864019890155827</v>
      </c>
      <c r="AH704" s="8">
        <f t="shared" si="191"/>
        <v>0.91760839175097408</v>
      </c>
      <c r="AI704" s="8">
        <f t="shared" si="192"/>
        <v>0.29296293779644222</v>
      </c>
      <c r="AJ704" s="8"/>
      <c r="AK704" s="8"/>
      <c r="AL704" s="8"/>
      <c r="AN704" s="8">
        <f t="shared" si="199"/>
        <v>1</v>
      </c>
      <c r="AO704" s="8">
        <f t="shared" si="200"/>
        <v>1.8555989261388117</v>
      </c>
      <c r="AP704" s="8">
        <f t="shared" si="201"/>
        <v>1.2734720479243506</v>
      </c>
      <c r="AQ704" s="8"/>
      <c r="AR704" s="8">
        <f t="shared" si="202"/>
        <v>106.31798693676168</v>
      </c>
      <c r="AS704" s="8">
        <f t="shared" si="203"/>
        <v>17.035426326052999</v>
      </c>
    </row>
    <row r="705" spans="1:45">
      <c r="A705" s="19">
        <v>133.36656669999999</v>
      </c>
      <c r="B705" s="19">
        <v>87.368482569999998</v>
      </c>
      <c r="C705" s="19">
        <v>-795.89184939999996</v>
      </c>
      <c r="E705" s="9">
        <f t="shared" si="193"/>
        <v>-872.63151743000003</v>
      </c>
      <c r="F705" s="9">
        <f t="shared" si="194"/>
        <v>-255.89184939999996</v>
      </c>
      <c r="I705">
        <v>1</v>
      </c>
      <c r="J705">
        <f t="shared" si="189"/>
        <v>0.54660231482599342</v>
      </c>
      <c r="K705">
        <f t="shared" si="195"/>
        <v>-2.8563477147413616</v>
      </c>
      <c r="O705">
        <f t="shared" si="196"/>
        <v>-0.49878442364468195</v>
      </c>
      <c r="P705">
        <f t="shared" si="197"/>
        <v>-0.14626433502453617</v>
      </c>
      <c r="Q705">
        <f t="shared" si="198"/>
        <v>0.85429552441135537</v>
      </c>
      <c r="R705">
        <f t="shared" si="188"/>
        <v>1</v>
      </c>
      <c r="AG705" s="8">
        <f t="shared" si="190"/>
        <v>-0.26819435106978001</v>
      </c>
      <c r="AH705" s="8">
        <f t="shared" si="191"/>
        <v>0.91778531098552318</v>
      </c>
      <c r="AI705" s="8">
        <f t="shared" si="192"/>
        <v>0.29281720064481509</v>
      </c>
      <c r="AJ705" s="8"/>
      <c r="AK705" s="8"/>
      <c r="AL705" s="8"/>
      <c r="AN705" s="8">
        <f t="shared" si="199"/>
        <v>0.99999999999999989</v>
      </c>
      <c r="AO705" s="8">
        <f t="shared" si="200"/>
        <v>1.8550994362497679</v>
      </c>
      <c r="AP705" s="8">
        <f t="shared" si="201"/>
        <v>1.2736244693465537</v>
      </c>
      <c r="AQ705" s="8"/>
      <c r="AR705" s="8">
        <f t="shared" si="202"/>
        <v>106.28936827421002</v>
      </c>
      <c r="AS705" s="8">
        <f t="shared" si="203"/>
        <v>17.026693221853378</v>
      </c>
    </row>
    <row r="706" spans="1:45">
      <c r="A706" s="19">
        <v>133.39993329999999</v>
      </c>
      <c r="B706" s="19">
        <v>87.322323600000004</v>
      </c>
      <c r="C706" s="19">
        <v>-795.88100780000002</v>
      </c>
      <c r="E706" s="9">
        <f t="shared" si="193"/>
        <v>-872.6776764</v>
      </c>
      <c r="F706" s="9">
        <f t="shared" si="194"/>
        <v>-255.88100780000002</v>
      </c>
      <c r="I706">
        <v>1</v>
      </c>
      <c r="J706">
        <f t="shared" si="189"/>
        <v>0.54662271568421417</v>
      </c>
      <c r="K706">
        <f t="shared" si="195"/>
        <v>-2.8563734370212872</v>
      </c>
      <c r="O706">
        <f t="shared" si="196"/>
        <v>-0.49880490988401505</v>
      </c>
      <c r="P706">
        <f t="shared" si="197"/>
        <v>-0.14625640885330435</v>
      </c>
      <c r="Q706">
        <f t="shared" si="198"/>
        <v>0.85428492012029267</v>
      </c>
      <c r="R706">
        <f t="shared" si="188"/>
        <v>1</v>
      </c>
      <c r="AG706" s="8">
        <f t="shared" si="190"/>
        <v>-0.26817116387253581</v>
      </c>
      <c r="AH706" s="8">
        <f t="shared" si="191"/>
        <v>0.91779266287730832</v>
      </c>
      <c r="AI706" s="8">
        <f t="shared" si="192"/>
        <v>0.29281539378220717</v>
      </c>
      <c r="AJ706" s="8"/>
      <c r="AK706" s="8"/>
      <c r="AL706" s="8"/>
      <c r="AN706" s="8">
        <f t="shared" si="199"/>
        <v>1</v>
      </c>
      <c r="AO706" s="8">
        <f t="shared" si="200"/>
        <v>1.8550740029593691</v>
      </c>
      <c r="AP706" s="8">
        <f t="shared" si="201"/>
        <v>1.2736263590367047</v>
      </c>
      <c r="AQ706" s="8"/>
      <c r="AR706" s="8">
        <f t="shared" si="202"/>
        <v>106.28791105401103</v>
      </c>
      <c r="AS706" s="8">
        <f t="shared" si="203"/>
        <v>17.026584950583143</v>
      </c>
    </row>
    <row r="707" spans="1:45">
      <c r="A707" s="19">
        <v>133.46666669999999</v>
      </c>
      <c r="B707" s="19">
        <v>87.266226560000007</v>
      </c>
      <c r="C707" s="19">
        <v>-795.87091420000002</v>
      </c>
      <c r="E707" s="9">
        <f t="shared" si="193"/>
        <v>-872.73377344000005</v>
      </c>
      <c r="F707" s="9">
        <f t="shared" si="194"/>
        <v>-255.87091420000002</v>
      </c>
      <c r="I707">
        <v>1</v>
      </c>
      <c r="J707">
        <f t="shared" si="189"/>
        <v>0.54664793751379448</v>
      </c>
      <c r="K707">
        <f t="shared" si="195"/>
        <v>-2.8564014420611739</v>
      </c>
      <c r="O707">
        <f t="shared" si="196"/>
        <v>-0.49882968176085807</v>
      </c>
      <c r="P707">
        <f t="shared" si="197"/>
        <v>-0.1462485016469009</v>
      </c>
      <c r="Q707">
        <f t="shared" si="198"/>
        <v>0.85427180941454306</v>
      </c>
      <c r="R707">
        <f t="shared" si="188"/>
        <v>1</v>
      </c>
      <c r="AG707" s="8">
        <f t="shared" si="190"/>
        <v>-0.26814378247316284</v>
      </c>
      <c r="AH707" s="8">
        <f t="shared" si="191"/>
        <v>0.91780185178887608</v>
      </c>
      <c r="AI707" s="8">
        <f t="shared" si="192"/>
        <v>0.29281166775573508</v>
      </c>
      <c r="AJ707" s="8"/>
      <c r="AK707" s="8"/>
      <c r="AL707" s="8"/>
      <c r="AN707" s="8">
        <f t="shared" si="199"/>
        <v>0.99999999999999989</v>
      </c>
      <c r="AO707" s="8">
        <f t="shared" si="200"/>
        <v>1.8550438204714237</v>
      </c>
      <c r="AP707" s="8">
        <f t="shared" si="201"/>
        <v>1.2736302558627597</v>
      </c>
      <c r="AQ707" s="8"/>
      <c r="AR707" s="8">
        <f t="shared" si="202"/>
        <v>106.28618172483657</v>
      </c>
      <c r="AS707" s="8">
        <f t="shared" si="203"/>
        <v>17.026361678896691</v>
      </c>
    </row>
    <row r="708" spans="1:45">
      <c r="A708" s="19">
        <v>133.50003330000001</v>
      </c>
      <c r="B708" s="19">
        <v>86.317726609999994</v>
      </c>
      <c r="C708" s="19">
        <v>-795.86986479999996</v>
      </c>
      <c r="E708" s="9">
        <f t="shared" si="193"/>
        <v>-873.68227338999998</v>
      </c>
      <c r="F708" s="9">
        <f t="shared" si="194"/>
        <v>-255.86986479999996</v>
      </c>
      <c r="I708">
        <v>1</v>
      </c>
      <c r="J708">
        <f t="shared" si="189"/>
        <v>0.54709789234722861</v>
      </c>
      <c r="K708">
        <f t="shared" si="195"/>
        <v>-2.8566956699149286</v>
      </c>
      <c r="O708">
        <f t="shared" si="196"/>
        <v>-0.49924152949454359</v>
      </c>
      <c r="P708">
        <f t="shared" si="197"/>
        <v>-0.14620974528722328</v>
      </c>
      <c r="Q708">
        <f t="shared" si="198"/>
        <v>0.85403782446153642</v>
      </c>
      <c r="R708">
        <f t="shared" si="188"/>
        <v>1</v>
      </c>
      <c r="AG708" s="8">
        <f t="shared" si="190"/>
        <v>-0.26772478450650161</v>
      </c>
      <c r="AH708" s="8">
        <f t="shared" si="191"/>
        <v>0.91797110144333371</v>
      </c>
      <c r="AI708" s="8">
        <f t="shared" si="192"/>
        <v>0.29266447798778028</v>
      </c>
      <c r="AJ708" s="8"/>
      <c r="AK708" s="8"/>
      <c r="AL708" s="8"/>
      <c r="AN708" s="8">
        <f t="shared" si="199"/>
        <v>0.99999999999999989</v>
      </c>
      <c r="AO708" s="8">
        <f t="shared" si="200"/>
        <v>1.8545735828116623</v>
      </c>
      <c r="AP708" s="8">
        <f t="shared" si="201"/>
        <v>1.2737841890321691</v>
      </c>
      <c r="AQ708" s="8"/>
      <c r="AR708" s="8">
        <f t="shared" si="202"/>
        <v>106.25923909156413</v>
      </c>
      <c r="AS708" s="8">
        <f t="shared" si="203"/>
        <v>17.017541957962464</v>
      </c>
    </row>
    <row r="709" spans="1:45">
      <c r="A709" s="19">
        <v>133.5334</v>
      </c>
      <c r="B709" s="19">
        <v>86.39495805</v>
      </c>
      <c r="C709" s="19">
        <v>-795.86521019999998</v>
      </c>
      <c r="E709" s="9">
        <f t="shared" si="193"/>
        <v>-873.60504194999999</v>
      </c>
      <c r="F709" s="9">
        <f t="shared" si="194"/>
        <v>-255.86521019999998</v>
      </c>
      <c r="I709">
        <v>1</v>
      </c>
      <c r="J709">
        <f t="shared" si="189"/>
        <v>0.54706060371994047</v>
      </c>
      <c r="K709">
        <f t="shared" si="195"/>
        <v>-2.8566767316373349</v>
      </c>
      <c r="O709">
        <f t="shared" si="196"/>
        <v>-0.49920819805726913</v>
      </c>
      <c r="P709">
        <f t="shared" si="197"/>
        <v>-0.14621024879203595</v>
      </c>
      <c r="Q709">
        <f t="shared" si="198"/>
        <v>0.85405722181864685</v>
      </c>
      <c r="R709">
        <f t="shared" si="188"/>
        <v>1</v>
      </c>
      <c r="AG709" s="8">
        <f t="shared" si="190"/>
        <v>-0.26775766895148578</v>
      </c>
      <c r="AH709" s="8">
        <f t="shared" si="191"/>
        <v>0.91795693917860388</v>
      </c>
      <c r="AI709" s="8">
        <f t="shared" si="192"/>
        <v>0.29267881462708489</v>
      </c>
      <c r="AJ709" s="8"/>
      <c r="AK709" s="8"/>
      <c r="AL709" s="8"/>
      <c r="AN709" s="8">
        <f t="shared" si="199"/>
        <v>1</v>
      </c>
      <c r="AO709" s="8">
        <f t="shared" si="200"/>
        <v>1.8546107445201681</v>
      </c>
      <c r="AP709" s="8">
        <f t="shared" si="201"/>
        <v>1.2737691958881132</v>
      </c>
      <c r="AQ709" s="8"/>
      <c r="AR709" s="8">
        <f t="shared" si="202"/>
        <v>106.261368300621</v>
      </c>
      <c r="AS709" s="8">
        <f t="shared" si="203"/>
        <v>17.018401001838498</v>
      </c>
    </row>
    <row r="710" spans="1:45">
      <c r="A710" s="19">
        <v>133.56676669999999</v>
      </c>
      <c r="B710" s="19">
        <v>85.425390870000001</v>
      </c>
      <c r="C710" s="19">
        <v>-795.86709829999995</v>
      </c>
      <c r="E710" s="9">
        <f t="shared" si="193"/>
        <v>-874.57460913</v>
      </c>
      <c r="F710" s="9">
        <f t="shared" si="194"/>
        <v>-255.86709829999995</v>
      </c>
      <c r="I710">
        <v>1</v>
      </c>
      <c r="J710">
        <f t="shared" si="189"/>
        <v>0.54752077259415977</v>
      </c>
      <c r="K710">
        <f t="shared" si="195"/>
        <v>-2.8569738129719902</v>
      </c>
      <c r="O710">
        <f t="shared" si="196"/>
        <v>-0.4996287587342596</v>
      </c>
      <c r="P710">
        <f t="shared" si="197"/>
        <v>-0.14617227551544837</v>
      </c>
      <c r="Q710">
        <f t="shared" si="198"/>
        <v>0.85381776118578079</v>
      </c>
      <c r="R710">
        <f t="shared" si="188"/>
        <v>1</v>
      </c>
      <c r="AG710" s="8">
        <f t="shared" si="190"/>
        <v>-0.26733028462950759</v>
      </c>
      <c r="AH710" s="8">
        <f t="shared" si="191"/>
        <v>0.91812991027763957</v>
      </c>
      <c r="AI710" s="8">
        <f t="shared" si="192"/>
        <v>0.29252689923061803</v>
      </c>
      <c r="AJ710" s="8"/>
      <c r="AK710" s="8"/>
      <c r="AL710" s="8"/>
      <c r="AN710" s="8">
        <f t="shared" si="199"/>
        <v>1.0000000000000002</v>
      </c>
      <c r="AO710" s="8">
        <f t="shared" si="200"/>
        <v>1.854131039090485</v>
      </c>
      <c r="AP710" s="8">
        <f t="shared" si="201"/>
        <v>1.2739280643114483</v>
      </c>
      <c r="AQ710" s="8"/>
      <c r="AR710" s="8">
        <f t="shared" si="202"/>
        <v>106.23388320409066</v>
      </c>
      <c r="AS710" s="8">
        <f t="shared" si="203"/>
        <v>17.009298511683497</v>
      </c>
    </row>
    <row r="711" spans="1:45">
      <c r="A711" s="19">
        <v>133.60013330000001</v>
      </c>
      <c r="B711" s="19">
        <v>84.955993710000001</v>
      </c>
      <c r="C711" s="19">
        <v>-795.86460060000002</v>
      </c>
      <c r="E711" s="9">
        <f t="shared" si="193"/>
        <v>-875.04400628999997</v>
      </c>
      <c r="F711" s="9">
        <f t="shared" si="194"/>
        <v>-255.86460060000002</v>
      </c>
      <c r="I711">
        <v>1</v>
      </c>
      <c r="J711">
        <f t="shared" si="189"/>
        <v>0.54774300516871766</v>
      </c>
      <c r="K711">
        <f t="shared" si="195"/>
        <v>-2.8571210130286637</v>
      </c>
      <c r="O711">
        <f t="shared" si="196"/>
        <v>-0.49983237778497713</v>
      </c>
      <c r="P711">
        <f t="shared" si="197"/>
        <v>-0.14615197726012144</v>
      </c>
      <c r="Q711">
        <f t="shared" si="198"/>
        <v>0.85370205204202998</v>
      </c>
      <c r="R711">
        <f t="shared" si="188"/>
        <v>1</v>
      </c>
      <c r="AG711" s="8">
        <f t="shared" si="190"/>
        <v>-0.26712255307252308</v>
      </c>
      <c r="AH711" s="8">
        <f t="shared" si="191"/>
        <v>0.91821325694281741</v>
      </c>
      <c r="AI711" s="8">
        <f t="shared" si="192"/>
        <v>0.2924550502461542</v>
      </c>
      <c r="AJ711" s="8"/>
      <c r="AK711" s="8"/>
      <c r="AL711" s="8"/>
      <c r="AN711" s="8">
        <f t="shared" si="199"/>
        <v>0.99999999999999989</v>
      </c>
      <c r="AO711" s="8">
        <f t="shared" si="200"/>
        <v>1.8538981057734092</v>
      </c>
      <c r="AP711" s="8">
        <f t="shared" si="201"/>
        <v>1.2740031990678111</v>
      </c>
      <c r="AQ711" s="8"/>
      <c r="AR711" s="8">
        <f t="shared" si="202"/>
        <v>106.22053710811423</v>
      </c>
      <c r="AS711" s="8">
        <f t="shared" si="203"/>
        <v>17.004993607249162</v>
      </c>
    </row>
    <row r="712" spans="1:45">
      <c r="A712" s="19">
        <v>133.6335</v>
      </c>
      <c r="B712" s="19">
        <v>85.106780459999996</v>
      </c>
      <c r="C712" s="19">
        <v>-795.86537999999996</v>
      </c>
      <c r="E712" s="9">
        <f t="shared" si="193"/>
        <v>-874.89321954000002</v>
      </c>
      <c r="F712" s="9">
        <f t="shared" si="194"/>
        <v>-255.86537999999996</v>
      </c>
      <c r="I712">
        <v>1</v>
      </c>
      <c r="J712">
        <f t="shared" si="189"/>
        <v>0.5476716184756647</v>
      </c>
      <c r="K712">
        <f t="shared" si="195"/>
        <v>-2.8570737672349527</v>
      </c>
      <c r="O712">
        <f t="shared" si="196"/>
        <v>-0.49976697802272763</v>
      </c>
      <c r="P712">
        <f t="shared" si="197"/>
        <v>-0.14615848527260236</v>
      </c>
      <c r="Q712">
        <f t="shared" si="198"/>
        <v>0.85373922532635749</v>
      </c>
      <c r="R712">
        <f t="shared" si="188"/>
        <v>1</v>
      </c>
      <c r="AG712" s="8">
        <f t="shared" si="190"/>
        <v>-0.26718927342320431</v>
      </c>
      <c r="AH712" s="8">
        <f t="shared" si="191"/>
        <v>0.91818648912003975</v>
      </c>
      <c r="AI712" s="8">
        <f t="shared" si="192"/>
        <v>0.2924781416875375</v>
      </c>
      <c r="AJ712" s="8"/>
      <c r="AK712" s="8"/>
      <c r="AL712" s="8"/>
      <c r="AN712" s="8">
        <f t="shared" si="199"/>
        <v>1</v>
      </c>
      <c r="AO712" s="8">
        <f t="shared" si="200"/>
        <v>1.853972918836404</v>
      </c>
      <c r="AP712" s="8">
        <f t="shared" si="201"/>
        <v>1.2739790518052314</v>
      </c>
      <c r="AQ712" s="8"/>
      <c r="AR712" s="8">
        <f t="shared" si="202"/>
        <v>106.22482358087628</v>
      </c>
      <c r="AS712" s="8">
        <f t="shared" si="203"/>
        <v>17.006377143481785</v>
      </c>
    </row>
    <row r="713" spans="1:45">
      <c r="A713" s="19">
        <v>133.66686670000001</v>
      </c>
      <c r="B713" s="19">
        <v>85.137371639999998</v>
      </c>
      <c r="C713" s="19">
        <v>-795.86292330000003</v>
      </c>
      <c r="E713" s="9">
        <f t="shared" si="193"/>
        <v>-874.86262836000003</v>
      </c>
      <c r="F713" s="9">
        <f t="shared" si="194"/>
        <v>-255.86292330000003</v>
      </c>
      <c r="I713">
        <v>1</v>
      </c>
      <c r="J713">
        <f t="shared" si="189"/>
        <v>0.54765677251747569</v>
      </c>
      <c r="K713">
        <f t="shared" si="195"/>
        <v>-2.857066933650747</v>
      </c>
      <c r="O713">
        <f t="shared" si="196"/>
        <v>-0.49975381417555398</v>
      </c>
      <c r="P713">
        <f t="shared" si="197"/>
        <v>-0.14615834267030234</v>
      </c>
      <c r="Q713">
        <f t="shared" si="198"/>
        <v>0.85374695553475122</v>
      </c>
      <c r="R713">
        <f t="shared" si="188"/>
        <v>1</v>
      </c>
      <c r="AG713" s="8">
        <f t="shared" si="190"/>
        <v>-0.26720213354404998</v>
      </c>
      <c r="AH713" s="8">
        <f t="shared" si="191"/>
        <v>0.91818084128610611</v>
      </c>
      <c r="AI713" s="8">
        <f t="shared" si="192"/>
        <v>0.29248412354287934</v>
      </c>
      <c r="AJ713" s="8"/>
      <c r="AK713" s="8"/>
      <c r="AL713" s="8"/>
      <c r="AN713" s="8">
        <f t="shared" si="199"/>
        <v>1.0000000000000002</v>
      </c>
      <c r="AO713" s="8">
        <f t="shared" si="200"/>
        <v>1.8539874816448043</v>
      </c>
      <c r="AP713" s="8">
        <f t="shared" si="201"/>
        <v>1.2739727964095278</v>
      </c>
      <c r="AQ713" s="8"/>
      <c r="AR713" s="8">
        <f t="shared" si="202"/>
        <v>106.22565796833547</v>
      </c>
      <c r="AS713" s="8">
        <f t="shared" si="203"/>
        <v>17.006735551254778</v>
      </c>
    </row>
    <row r="714" spans="1:45">
      <c r="A714" s="19">
        <v>133.70023330000001</v>
      </c>
      <c r="B714" s="19">
        <v>84.644244560000004</v>
      </c>
      <c r="C714" s="19">
        <v>-795.86986249999995</v>
      </c>
      <c r="E714" s="9">
        <f t="shared" si="193"/>
        <v>-875.35575543999994</v>
      </c>
      <c r="F714" s="9">
        <f t="shared" si="194"/>
        <v>-255.86986249999995</v>
      </c>
      <c r="I714">
        <v>1</v>
      </c>
      <c r="J714">
        <f t="shared" si="189"/>
        <v>0.54789153234464971</v>
      </c>
      <c r="K714">
        <f t="shared" si="195"/>
        <v>-2.8572114115181462</v>
      </c>
      <c r="O714">
        <f t="shared" si="196"/>
        <v>-0.4999672873173</v>
      </c>
      <c r="P714">
        <f t="shared" si="197"/>
        <v>-0.14614236584995433</v>
      </c>
      <c r="Q714">
        <f t="shared" si="198"/>
        <v>0.85362469535291596</v>
      </c>
      <c r="R714">
        <f t="shared" si="188"/>
        <v>1</v>
      </c>
      <c r="AG714" s="8">
        <f t="shared" si="190"/>
        <v>-0.26698640077791996</v>
      </c>
      <c r="AH714" s="8">
        <f t="shared" si="191"/>
        <v>0.91826914377513091</v>
      </c>
      <c r="AI714" s="8">
        <f t="shared" si="192"/>
        <v>0.29240390111990622</v>
      </c>
      <c r="AJ714" s="8"/>
      <c r="AK714" s="8"/>
      <c r="AL714" s="8"/>
      <c r="AN714" s="8">
        <f t="shared" si="199"/>
        <v>1</v>
      </c>
      <c r="AO714" s="8">
        <f t="shared" si="200"/>
        <v>1.853745073765672</v>
      </c>
      <c r="AP714" s="8">
        <f t="shared" si="201"/>
        <v>1.2740566862754705</v>
      </c>
      <c r="AQ714" s="8"/>
      <c r="AR714" s="8">
        <f t="shared" si="202"/>
        <v>106.21176901994046</v>
      </c>
      <c r="AS714" s="8">
        <f t="shared" si="203"/>
        <v>17.001929015992346</v>
      </c>
    </row>
    <row r="715" spans="1:45">
      <c r="A715" s="19">
        <v>133.86706670000001</v>
      </c>
      <c r="B715" s="19">
        <v>83.11610623</v>
      </c>
      <c r="C715" s="19">
        <v>-796.04492879999998</v>
      </c>
      <c r="E715" s="9">
        <f t="shared" si="193"/>
        <v>-876.88389376999999</v>
      </c>
      <c r="F715" s="9">
        <f t="shared" si="194"/>
        <v>-256.04492879999998</v>
      </c>
      <c r="I715">
        <v>1</v>
      </c>
      <c r="J715">
        <f t="shared" si="189"/>
        <v>0.54863989950086578</v>
      </c>
      <c r="K715">
        <f t="shared" si="195"/>
        <v>-2.8574968026774017</v>
      </c>
      <c r="O715">
        <f t="shared" si="196"/>
        <v>-0.50062205231972412</v>
      </c>
      <c r="P715">
        <f t="shared" si="197"/>
        <v>-0.14617868870965348</v>
      </c>
      <c r="Q715">
        <f t="shared" si="198"/>
        <v>0.85323464047020126</v>
      </c>
      <c r="R715">
        <f t="shared" si="188"/>
        <v>1</v>
      </c>
      <c r="AG715" s="8">
        <f t="shared" si="190"/>
        <v>-0.26635786352882374</v>
      </c>
      <c r="AH715" s="8">
        <f t="shared" si="191"/>
        <v>0.91855496579766527</v>
      </c>
      <c r="AI715" s="8">
        <f t="shared" si="192"/>
        <v>0.29207920731337678</v>
      </c>
      <c r="AJ715" s="8"/>
      <c r="AK715" s="8"/>
      <c r="AL715" s="8"/>
      <c r="AN715" s="8">
        <f t="shared" si="199"/>
        <v>1</v>
      </c>
      <c r="AO715" s="8">
        <f t="shared" si="200"/>
        <v>1.8530305748644074</v>
      </c>
      <c r="AP715" s="8">
        <f t="shared" si="201"/>
        <v>1.2743962017909236</v>
      </c>
      <c r="AQ715" s="8"/>
      <c r="AR715" s="8">
        <f t="shared" si="202"/>
        <v>106.17083124843127</v>
      </c>
      <c r="AS715" s="8">
        <f t="shared" si="203"/>
        <v>16.982476209877674</v>
      </c>
    </row>
    <row r="716" spans="1:45">
      <c r="A716" s="19">
        <v>134.03389999999999</v>
      </c>
      <c r="B716" s="19">
        <v>81.570238549999999</v>
      </c>
      <c r="C716" s="19">
        <v>-795.81834270000002</v>
      </c>
      <c r="E716" s="9">
        <f t="shared" si="193"/>
        <v>-878.42976145</v>
      </c>
      <c r="F716" s="9">
        <f t="shared" si="194"/>
        <v>-255.81834270000002</v>
      </c>
      <c r="I716">
        <v>1</v>
      </c>
      <c r="J716">
        <f t="shared" si="189"/>
        <v>0.54934061742506091</v>
      </c>
      <c r="K716">
        <f t="shared" si="195"/>
        <v>-2.858208114063987</v>
      </c>
      <c r="O716">
        <f t="shared" si="196"/>
        <v>-0.50129981150174663</v>
      </c>
      <c r="P716">
        <f t="shared" si="197"/>
        <v>-0.14598968819375413</v>
      </c>
      <c r="Q716">
        <f t="shared" si="198"/>
        <v>0.85286898755283846</v>
      </c>
      <c r="R716">
        <f t="shared" si="188"/>
        <v>1</v>
      </c>
      <c r="AG716" s="8">
        <f t="shared" si="190"/>
        <v>-0.26561806588836745</v>
      </c>
      <c r="AH716" s="8">
        <f t="shared" si="191"/>
        <v>0.91880994732604004</v>
      </c>
      <c r="AI716" s="8">
        <f t="shared" si="192"/>
        <v>0.2919508927344503</v>
      </c>
      <c r="AJ716" s="8"/>
      <c r="AK716" s="8"/>
      <c r="AL716" s="8"/>
      <c r="AN716" s="8">
        <f t="shared" si="199"/>
        <v>1</v>
      </c>
      <c r="AO716" s="8">
        <f t="shared" si="200"/>
        <v>1.8522134337429799</v>
      </c>
      <c r="AP716" s="8">
        <f t="shared" si="201"/>
        <v>1.27453036400116</v>
      </c>
      <c r="AQ716" s="8"/>
      <c r="AR716" s="8">
        <f t="shared" si="202"/>
        <v>106.12401251090689</v>
      </c>
      <c r="AS716" s="8">
        <f t="shared" si="203"/>
        <v>16.974789281460986</v>
      </c>
    </row>
    <row r="717" spans="1:45">
      <c r="A717" s="19">
        <v>134.0672667</v>
      </c>
      <c r="B717" s="19">
        <v>81.764193430000006</v>
      </c>
      <c r="C717" s="19">
        <v>-795.7688541</v>
      </c>
      <c r="E717" s="9">
        <f t="shared" si="193"/>
        <v>-878.23580657000002</v>
      </c>
      <c r="F717" s="9">
        <f t="shared" si="194"/>
        <v>-255.7688541</v>
      </c>
      <c r="I717">
        <v>1</v>
      </c>
      <c r="J717">
        <f t="shared" si="189"/>
        <v>0.54924197585696355</v>
      </c>
      <c r="K717">
        <f t="shared" si="195"/>
        <v>-2.8582007715315152</v>
      </c>
      <c r="O717">
        <f t="shared" si="196"/>
        <v>-0.50121796444623623</v>
      </c>
      <c r="P717">
        <f t="shared" si="197"/>
        <v>-0.14596984484318051</v>
      </c>
      <c r="Q717">
        <f t="shared" si="198"/>
        <v>0.85292048662980846</v>
      </c>
      <c r="R717">
        <f t="shared" si="188"/>
        <v>1</v>
      </c>
      <c r="AG717" s="8">
        <f t="shared" si="190"/>
        <v>-0.26569071198491762</v>
      </c>
      <c r="AH717" s="8">
        <f t="shared" si="191"/>
        <v>0.91877155587128179</v>
      </c>
      <c r="AI717" s="8">
        <f t="shared" si="192"/>
        <v>0.29200560557429667</v>
      </c>
      <c r="AJ717" s="8"/>
      <c r="AK717" s="8"/>
      <c r="AL717" s="8"/>
      <c r="AN717" s="8">
        <f t="shared" si="199"/>
        <v>1</v>
      </c>
      <c r="AO717" s="8">
        <f t="shared" si="200"/>
        <v>1.8522975502004284</v>
      </c>
      <c r="AP717" s="8">
        <f t="shared" si="201"/>
        <v>1.2744731584260167</v>
      </c>
      <c r="AQ717" s="8"/>
      <c r="AR717" s="8">
        <f t="shared" si="202"/>
        <v>106.12883202890629</v>
      </c>
      <c r="AS717" s="8">
        <f t="shared" si="203"/>
        <v>16.978066919481307</v>
      </c>
    </row>
    <row r="718" spans="1:45">
      <c r="A718" s="19">
        <v>134.23410000000001</v>
      </c>
      <c r="B718" s="19">
        <v>78.624093490000007</v>
      </c>
      <c r="C718" s="19">
        <v>-795.77696370000001</v>
      </c>
      <c r="E718" s="9">
        <f t="shared" si="193"/>
        <v>-881.37590651000005</v>
      </c>
      <c r="F718" s="9">
        <f t="shared" si="194"/>
        <v>-255.77696370000001</v>
      </c>
      <c r="I718">
        <v>1</v>
      </c>
      <c r="J718">
        <f t="shared" si="189"/>
        <v>0.55072859130136997</v>
      </c>
      <c r="K718">
        <f t="shared" si="195"/>
        <v>-2.8591490031726052</v>
      </c>
      <c r="O718">
        <f t="shared" si="196"/>
        <v>-0.50257332238529095</v>
      </c>
      <c r="P718">
        <f t="shared" si="197"/>
        <v>-0.14584773362519027</v>
      </c>
      <c r="Q718">
        <f t="shared" si="198"/>
        <v>0.85214347044556171</v>
      </c>
      <c r="R718">
        <f t="shared" si="188"/>
        <v>1</v>
      </c>
      <c r="AG718" s="8">
        <f t="shared" si="190"/>
        <v>-0.26431032832794127</v>
      </c>
      <c r="AH718" s="8">
        <f t="shared" si="191"/>
        <v>0.91932600220723448</v>
      </c>
      <c r="AI718" s="8">
        <f t="shared" si="192"/>
        <v>0.29151286764882234</v>
      </c>
      <c r="AJ718" s="8"/>
      <c r="AK718" s="8"/>
      <c r="AL718" s="8"/>
      <c r="AN718" s="8">
        <f t="shared" si="199"/>
        <v>1</v>
      </c>
      <c r="AO718" s="8">
        <f t="shared" si="200"/>
        <v>1.8507502713227244</v>
      </c>
      <c r="AP718" s="8">
        <f t="shared" si="201"/>
        <v>1.2749883096658376</v>
      </c>
      <c r="AQ718" s="8"/>
      <c r="AR718" s="8">
        <f t="shared" si="202"/>
        <v>106.04017947948411</v>
      </c>
      <c r="AS718" s="8">
        <f t="shared" si="203"/>
        <v>16.948550927628645</v>
      </c>
    </row>
    <row r="719" spans="1:45">
      <c r="A719" s="19">
        <v>134.2674667</v>
      </c>
      <c r="B719" s="19">
        <v>78.42857352</v>
      </c>
      <c r="C719" s="19">
        <v>-795.83355540000002</v>
      </c>
      <c r="E719" s="9">
        <f t="shared" si="193"/>
        <v>-881.57142648000001</v>
      </c>
      <c r="F719" s="9">
        <f t="shared" si="194"/>
        <v>-255.83355540000002</v>
      </c>
      <c r="I719">
        <v>1</v>
      </c>
      <c r="J719">
        <f t="shared" si="189"/>
        <v>0.55082877458161039</v>
      </c>
      <c r="K719">
        <f t="shared" si="195"/>
        <v>-2.8591491586075346</v>
      </c>
      <c r="O719">
        <f t="shared" si="196"/>
        <v>-0.50265533044985611</v>
      </c>
      <c r="P719">
        <f t="shared" si="197"/>
        <v>-0.14587144781134309</v>
      </c>
      <c r="Q719">
        <f t="shared" si="198"/>
        <v>0.85209103943403175</v>
      </c>
      <c r="R719">
        <f t="shared" si="188"/>
        <v>1</v>
      </c>
      <c r="AG719" s="8">
        <f t="shared" si="190"/>
        <v>-0.26423893606985627</v>
      </c>
      <c r="AH719" s="8">
        <f t="shared" si="191"/>
        <v>0.91936505246773081</v>
      </c>
      <c r="AI719" s="8">
        <f t="shared" si="192"/>
        <v>0.29145443034148066</v>
      </c>
      <c r="AJ719" s="8"/>
      <c r="AK719" s="8"/>
      <c r="AL719" s="8"/>
      <c r="AN719" s="8">
        <f t="shared" si="199"/>
        <v>1</v>
      </c>
      <c r="AO719" s="8">
        <f t="shared" si="200"/>
        <v>1.8506672647086535</v>
      </c>
      <c r="AP719" s="8">
        <f t="shared" si="201"/>
        <v>1.2750493997610248</v>
      </c>
      <c r="AQ719" s="8"/>
      <c r="AR719" s="8">
        <f t="shared" si="202"/>
        <v>106.03542355082617</v>
      </c>
      <c r="AS719" s="8">
        <f t="shared" si="203"/>
        <v>16.945050723004357</v>
      </c>
    </row>
    <row r="720" spans="1:45">
      <c r="A720" s="19">
        <v>134.30083329999999</v>
      </c>
      <c r="B720" s="19">
        <v>78.404625210000006</v>
      </c>
      <c r="C720" s="19">
        <v>-795.84830629999999</v>
      </c>
      <c r="E720" s="9">
        <f t="shared" si="193"/>
        <v>-881.59537479000005</v>
      </c>
      <c r="F720" s="9">
        <f t="shared" si="194"/>
        <v>-255.84830629999999</v>
      </c>
      <c r="I720">
        <v>1</v>
      </c>
      <c r="J720">
        <f t="shared" si="189"/>
        <v>0.55084211726994969</v>
      </c>
      <c r="K720">
        <f t="shared" si="195"/>
        <v>-2.8591409971636863</v>
      </c>
      <c r="O720">
        <f t="shared" si="196"/>
        <v>-0.50266505854820076</v>
      </c>
      <c r="P720">
        <f t="shared" si="197"/>
        <v>-0.14587871890364906</v>
      </c>
      <c r="Q720">
        <f t="shared" si="198"/>
        <v>0.85208405588050062</v>
      </c>
      <c r="R720">
        <f t="shared" si="188"/>
        <v>1</v>
      </c>
      <c r="AG720" s="8">
        <f t="shared" si="190"/>
        <v>-0.26423221327066787</v>
      </c>
      <c r="AH720" s="8">
        <f t="shared" si="191"/>
        <v>0.91937048061450144</v>
      </c>
      <c r="AI720" s="8">
        <f t="shared" si="192"/>
        <v>0.29144340247249534</v>
      </c>
      <c r="AJ720" s="8"/>
      <c r="AK720" s="8"/>
      <c r="AL720" s="8"/>
      <c r="AN720" s="8">
        <f t="shared" si="199"/>
        <v>1</v>
      </c>
      <c r="AO720" s="8">
        <f t="shared" si="200"/>
        <v>1.8506589427899609</v>
      </c>
      <c r="AP720" s="8">
        <f t="shared" si="201"/>
        <v>1.275060928117538</v>
      </c>
      <c r="AQ720" s="8"/>
      <c r="AR720" s="8">
        <f t="shared" si="202"/>
        <v>106.03494674000763</v>
      </c>
      <c r="AS720" s="8">
        <f t="shared" si="203"/>
        <v>16.944390196831435</v>
      </c>
    </row>
    <row r="721" spans="1:45">
      <c r="A721" s="19">
        <v>134.50103329999999</v>
      </c>
      <c r="B721" s="19">
        <v>76.256571390000005</v>
      </c>
      <c r="C721" s="19">
        <v>-796.51805090000005</v>
      </c>
      <c r="E721" s="9">
        <f t="shared" si="193"/>
        <v>-883.74342861000002</v>
      </c>
      <c r="F721" s="9">
        <f t="shared" si="194"/>
        <v>-256.51805090000005</v>
      </c>
      <c r="I721">
        <v>1</v>
      </c>
      <c r="J721">
        <f t="shared" si="189"/>
        <v>0.55194853399063992</v>
      </c>
      <c r="K721">
        <f t="shared" si="195"/>
        <v>-2.8590926176522062</v>
      </c>
      <c r="O721">
        <f t="shared" si="196"/>
        <v>-0.50356308305493824</v>
      </c>
      <c r="P721">
        <f t="shared" si="197"/>
        <v>-0.14616574945696395</v>
      </c>
      <c r="Q721">
        <f t="shared" si="198"/>
        <v>0.85150443044642432</v>
      </c>
      <c r="R721">
        <f t="shared" si="188"/>
        <v>1</v>
      </c>
      <c r="AG721" s="8">
        <f t="shared" si="190"/>
        <v>-0.26346067252702643</v>
      </c>
      <c r="AH721" s="8">
        <f t="shared" si="191"/>
        <v>0.91980251978749772</v>
      </c>
      <c r="AI721" s="8">
        <f t="shared" si="192"/>
        <v>0.29077791976726308</v>
      </c>
      <c r="AJ721" s="8"/>
      <c r="AK721" s="8"/>
      <c r="AL721" s="8"/>
      <c r="AN721" s="8">
        <f t="shared" si="199"/>
        <v>1</v>
      </c>
      <c r="AO721" s="8">
        <f t="shared" si="200"/>
        <v>1.8497592033123578</v>
      </c>
      <c r="AP721" s="8">
        <f t="shared" si="201"/>
        <v>1.275756538136315</v>
      </c>
      <c r="AQ721" s="8"/>
      <c r="AR721" s="8">
        <f t="shared" si="202"/>
        <v>105.98339546527967</v>
      </c>
      <c r="AS721" s="8">
        <f t="shared" si="203"/>
        <v>16.904534678568496</v>
      </c>
    </row>
    <row r="722" spans="1:45">
      <c r="A722" s="19">
        <v>134.53440000000001</v>
      </c>
      <c r="B722" s="19">
        <v>76.296077010000005</v>
      </c>
      <c r="C722" s="19">
        <v>-796.6009219</v>
      </c>
      <c r="E722" s="9">
        <f t="shared" si="193"/>
        <v>-883.70392299000002</v>
      </c>
      <c r="F722" s="9">
        <f t="shared" si="194"/>
        <v>-256.6009219</v>
      </c>
      <c r="I722">
        <v>1</v>
      </c>
      <c r="J722">
        <f t="shared" si="189"/>
        <v>0.55194124288709256</v>
      </c>
      <c r="K722">
        <f t="shared" si="195"/>
        <v>-2.8589941628095641</v>
      </c>
      <c r="O722">
        <f t="shared" si="196"/>
        <v>-0.50354272773026454</v>
      </c>
      <c r="P722">
        <f t="shared" si="197"/>
        <v>-0.14621359574194029</v>
      </c>
      <c r="Q722">
        <f t="shared" si="198"/>
        <v>0.85150825349504222</v>
      </c>
      <c r="R722">
        <f t="shared" si="188"/>
        <v>1</v>
      </c>
      <c r="AG722" s="8">
        <f t="shared" si="190"/>
        <v>-0.26349944794903313</v>
      </c>
      <c r="AH722" s="8">
        <f t="shared" si="191"/>
        <v>0.91980242967204973</v>
      </c>
      <c r="AI722" s="8">
        <f t="shared" si="192"/>
        <v>0.29074306750109918</v>
      </c>
      <c r="AJ722" s="8"/>
      <c r="AK722" s="8"/>
      <c r="AL722" s="8"/>
      <c r="AN722" s="8">
        <f t="shared" si="199"/>
        <v>0.99999999999999989</v>
      </c>
      <c r="AO722" s="8">
        <f t="shared" si="200"/>
        <v>1.8497981886723567</v>
      </c>
      <c r="AP722" s="8">
        <f t="shared" si="201"/>
        <v>1.2757929641570449</v>
      </c>
      <c r="AQ722" s="8"/>
      <c r="AR722" s="8">
        <f t="shared" si="202"/>
        <v>105.98562916187041</v>
      </c>
      <c r="AS722" s="8">
        <f t="shared" si="203"/>
        <v>16.902447621316213</v>
      </c>
    </row>
    <row r="723" spans="1:45">
      <c r="A723" s="19">
        <v>134.56776669999999</v>
      </c>
      <c r="B723" s="19">
        <v>75.59464869</v>
      </c>
      <c r="C723" s="19">
        <v>-796.79151309999997</v>
      </c>
      <c r="E723" s="9">
        <f t="shared" si="193"/>
        <v>-884.40535131000001</v>
      </c>
      <c r="F723" s="9">
        <f t="shared" si="194"/>
        <v>-256.79151309999997</v>
      </c>
      <c r="I723">
        <v>1</v>
      </c>
      <c r="J723">
        <f t="shared" si="189"/>
        <v>0.5522983684935</v>
      </c>
      <c r="K723">
        <f t="shared" si="195"/>
        <v>-2.85900780494178</v>
      </c>
      <c r="O723">
        <f t="shared" si="196"/>
        <v>-0.50383672456810957</v>
      </c>
      <c r="P723">
        <f t="shared" si="197"/>
        <v>-0.146291510635424</v>
      </c>
      <c r="Q723">
        <f t="shared" si="198"/>
        <v>0.85132094352980914</v>
      </c>
      <c r="R723">
        <f t="shared" si="188"/>
        <v>1</v>
      </c>
      <c r="AG723" s="8">
        <f t="shared" si="190"/>
        <v>-0.26324039129505572</v>
      </c>
      <c r="AH723" s="8">
        <f t="shared" si="191"/>
        <v>0.91994083027747542</v>
      </c>
      <c r="AI723" s="8">
        <f t="shared" si="192"/>
        <v>0.29053978243816297</v>
      </c>
      <c r="AJ723" s="8"/>
      <c r="AK723" s="8"/>
      <c r="AL723" s="8"/>
      <c r="AN723" s="8">
        <f t="shared" si="199"/>
        <v>0.99999999999999989</v>
      </c>
      <c r="AO723" s="8">
        <f t="shared" si="200"/>
        <v>1.8494980890991166</v>
      </c>
      <c r="AP723" s="8">
        <f t="shared" si="201"/>
        <v>1.2760054205275377</v>
      </c>
      <c r="AQ723" s="8"/>
      <c r="AR723" s="8">
        <f t="shared" si="202"/>
        <v>105.96843472289007</v>
      </c>
      <c r="AS723" s="8">
        <f t="shared" si="203"/>
        <v>16.890274767956313</v>
      </c>
    </row>
    <row r="724" spans="1:45">
      <c r="A724" s="19">
        <v>134.60113329999999</v>
      </c>
      <c r="B724" s="19">
        <v>74.945377730000004</v>
      </c>
      <c r="C724" s="19">
        <v>-796.80248619999998</v>
      </c>
      <c r="E724" s="9">
        <f t="shared" si="193"/>
        <v>-885.05462226999998</v>
      </c>
      <c r="F724" s="9">
        <f t="shared" si="194"/>
        <v>-256.80248619999998</v>
      </c>
      <c r="I724">
        <v>1</v>
      </c>
      <c r="J724">
        <f t="shared" si="189"/>
        <v>0.55260615365018229</v>
      </c>
      <c r="K724">
        <f t="shared" si="195"/>
        <v>-2.8591928221796028</v>
      </c>
      <c r="O724">
        <f t="shared" si="196"/>
        <v>-0.50411540356677387</v>
      </c>
      <c r="P724">
        <f t="shared" si="197"/>
        <v>-0.14627129864101265</v>
      </c>
      <c r="Q724">
        <f t="shared" si="198"/>
        <v>0.85115942518460108</v>
      </c>
      <c r="R724">
        <f t="shared" si="188"/>
        <v>1</v>
      </c>
      <c r="AG724" s="8">
        <f t="shared" si="190"/>
        <v>-0.262957937137549</v>
      </c>
      <c r="AH724" s="8">
        <f t="shared" si="191"/>
        <v>0.92005517551225413</v>
      </c>
      <c r="AI724" s="8">
        <f t="shared" si="192"/>
        <v>0.29043346451378549</v>
      </c>
      <c r="AJ724" s="8"/>
      <c r="AK724" s="8"/>
      <c r="AL724" s="8"/>
      <c r="AN724" s="8">
        <f t="shared" si="199"/>
        <v>1.0000000000000002</v>
      </c>
      <c r="AO724" s="8">
        <f t="shared" si="200"/>
        <v>1.8491814269606262</v>
      </c>
      <c r="AP724" s="8">
        <f t="shared" si="201"/>
        <v>1.2761165295795567</v>
      </c>
      <c r="AQ724" s="8"/>
      <c r="AR724" s="8">
        <f t="shared" si="202"/>
        <v>105.95029131882298</v>
      </c>
      <c r="AS724" s="8">
        <f t="shared" si="203"/>
        <v>16.883908688209928</v>
      </c>
    </row>
    <row r="725" spans="1:45">
      <c r="A725" s="19">
        <v>134.6345</v>
      </c>
      <c r="B725" s="19">
        <v>75.028587959999996</v>
      </c>
      <c r="C725" s="19">
        <v>-796.83017919999998</v>
      </c>
      <c r="E725" s="9">
        <f t="shared" si="193"/>
        <v>-884.97141204000002</v>
      </c>
      <c r="F725" s="9">
        <f t="shared" si="194"/>
        <v>-256.83017919999998</v>
      </c>
      <c r="I725">
        <v>1</v>
      </c>
      <c r="J725">
        <f t="shared" si="189"/>
        <v>0.55257069663522618</v>
      </c>
      <c r="K725">
        <f t="shared" si="195"/>
        <v>-2.8591387968999902</v>
      </c>
      <c r="O725">
        <f t="shared" si="196"/>
        <v>-0.50407851647735002</v>
      </c>
      <c r="P725">
        <f t="shared" si="197"/>
        <v>-0.1462901218688141</v>
      </c>
      <c r="Q725">
        <f t="shared" si="198"/>
        <v>0.85117803629417133</v>
      </c>
      <c r="R725">
        <f t="shared" si="188"/>
        <v>1</v>
      </c>
      <c r="AG725" s="8">
        <f t="shared" si="190"/>
        <v>-0.2630016478734854</v>
      </c>
      <c r="AH725" s="8">
        <f t="shared" si="191"/>
        <v>0.92004292263213339</v>
      </c>
      <c r="AI725" s="8">
        <f t="shared" si="192"/>
        <v>0.29043270086261541</v>
      </c>
      <c r="AJ725" s="8"/>
      <c r="AK725" s="8"/>
      <c r="AL725" s="8"/>
      <c r="AN725" s="8">
        <f t="shared" si="199"/>
        <v>1</v>
      </c>
      <c r="AO725" s="8">
        <f t="shared" si="200"/>
        <v>1.8492288668625265</v>
      </c>
      <c r="AP725" s="8">
        <f t="shared" si="201"/>
        <v>1.276117327630468</v>
      </c>
      <c r="AQ725" s="8"/>
      <c r="AR725" s="8">
        <f t="shared" si="202"/>
        <v>105.95300942498238</v>
      </c>
      <c r="AS725" s="8">
        <f t="shared" si="203"/>
        <v>16.883862963260867</v>
      </c>
    </row>
    <row r="726" spans="1:45">
      <c r="A726" s="19">
        <v>134.66786669999999</v>
      </c>
      <c r="B726" s="19">
        <v>75.035716579999999</v>
      </c>
      <c r="C726" s="19">
        <v>-796.84106710000003</v>
      </c>
      <c r="E726" s="9">
        <f t="shared" si="193"/>
        <v>-884.96428342000002</v>
      </c>
      <c r="F726" s="9">
        <f t="shared" si="194"/>
        <v>-256.84106710000003</v>
      </c>
      <c r="I726">
        <v>1</v>
      </c>
      <c r="J726">
        <f t="shared" si="189"/>
        <v>0.55256882470080348</v>
      </c>
      <c r="K726">
        <f t="shared" si="195"/>
        <v>-2.8591252933263438</v>
      </c>
      <c r="O726">
        <f t="shared" si="196"/>
        <v>-0.50407501078502015</v>
      </c>
      <c r="P726">
        <f t="shared" si="197"/>
        <v>-0.14629648460854797</v>
      </c>
      <c r="Q726">
        <f t="shared" si="198"/>
        <v>0.85117901882815628</v>
      </c>
      <c r="R726">
        <f t="shared" si="188"/>
        <v>1</v>
      </c>
      <c r="AG726" s="8">
        <f t="shared" si="190"/>
        <v>-0.26300759199838675</v>
      </c>
      <c r="AH726" s="8">
        <f t="shared" si="191"/>
        <v>0.92004257327670347</v>
      </c>
      <c r="AI726" s="8">
        <f t="shared" si="192"/>
        <v>0.29042842476175068</v>
      </c>
      <c r="AJ726" s="8"/>
      <c r="AK726" s="8"/>
      <c r="AL726" s="8"/>
      <c r="AN726" s="8">
        <f t="shared" si="199"/>
        <v>1</v>
      </c>
      <c r="AO726" s="8">
        <f t="shared" si="200"/>
        <v>1.8492349398495467</v>
      </c>
      <c r="AP726" s="8">
        <f t="shared" si="201"/>
        <v>1.2761217963507399</v>
      </c>
      <c r="AQ726" s="8"/>
      <c r="AR726" s="8">
        <f t="shared" si="202"/>
        <v>105.95335738150767</v>
      </c>
      <c r="AS726" s="8">
        <f t="shared" si="203"/>
        <v>16.883606924449467</v>
      </c>
    </row>
    <row r="727" spans="1:45">
      <c r="A727" s="19">
        <v>134.80133330000001</v>
      </c>
      <c r="B727" s="19">
        <v>73.212940110000005</v>
      </c>
      <c r="C727" s="19">
        <v>-796.8455242</v>
      </c>
      <c r="E727" s="9">
        <f t="shared" si="193"/>
        <v>-886.78705989000002</v>
      </c>
      <c r="F727" s="9">
        <f t="shared" si="194"/>
        <v>-256.8455242</v>
      </c>
      <c r="I727">
        <v>1</v>
      </c>
      <c r="J727">
        <f t="shared" si="189"/>
        <v>0.5534288062406415</v>
      </c>
      <c r="K727">
        <f t="shared" si="195"/>
        <v>-2.8596709566351892</v>
      </c>
      <c r="O727">
        <f t="shared" si="196"/>
        <v>-0.50485767869625586</v>
      </c>
      <c r="P727">
        <f t="shared" si="197"/>
        <v>-0.1462249969538571</v>
      </c>
      <c r="Q727">
        <f t="shared" si="198"/>
        <v>0.85072732090092917</v>
      </c>
      <c r="R727">
        <f t="shared" si="188"/>
        <v>1</v>
      </c>
      <c r="AG727" s="8">
        <f t="shared" si="190"/>
        <v>-0.26220819799656947</v>
      </c>
      <c r="AH727" s="8">
        <f t="shared" si="191"/>
        <v>0.92036073632688287</v>
      </c>
      <c r="AI727" s="8">
        <f t="shared" si="192"/>
        <v>0.29014302668034209</v>
      </c>
      <c r="AJ727" s="8"/>
      <c r="AK727" s="8"/>
      <c r="AL727" s="8"/>
      <c r="AN727" s="8">
        <f t="shared" si="199"/>
        <v>0.99999999999999989</v>
      </c>
      <c r="AO727" s="8">
        <f t="shared" si="200"/>
        <v>1.8483404052288162</v>
      </c>
      <c r="AP727" s="8">
        <f t="shared" si="201"/>
        <v>1.2764200366557585</v>
      </c>
      <c r="AQ727" s="8"/>
      <c r="AR727" s="8">
        <f t="shared" si="202"/>
        <v>105.90210432311149</v>
      </c>
      <c r="AS727" s="8">
        <f t="shared" si="203"/>
        <v>16.866519013691203</v>
      </c>
    </row>
    <row r="728" spans="1:45">
      <c r="A728" s="19">
        <v>134.8347</v>
      </c>
      <c r="B728" s="19">
        <v>73.199202769999999</v>
      </c>
      <c r="C728" s="19">
        <v>-796.81611559999999</v>
      </c>
      <c r="E728" s="9">
        <f t="shared" si="193"/>
        <v>-886.80079722999994</v>
      </c>
      <c r="F728" s="9">
        <f t="shared" si="194"/>
        <v>-256.81611559999999</v>
      </c>
      <c r="I728">
        <v>1</v>
      </c>
      <c r="J728">
        <f t="shared" si="189"/>
        <v>0.55343126625457395</v>
      </c>
      <c r="K728">
        <f t="shared" si="195"/>
        <v>-2.8597056923662447</v>
      </c>
      <c r="O728">
        <f t="shared" si="196"/>
        <v>-0.5048647678252457</v>
      </c>
      <c r="P728">
        <f t="shared" si="197"/>
        <v>-0.14620804241625829</v>
      </c>
      <c r="Q728">
        <f t="shared" si="198"/>
        <v>0.85072602789709362</v>
      </c>
      <c r="R728">
        <f t="shared" si="188"/>
        <v>1</v>
      </c>
      <c r="AG728" s="8">
        <f t="shared" si="190"/>
        <v>-0.26219457283766678</v>
      </c>
      <c r="AH728" s="8">
        <f t="shared" si="191"/>
        <v>0.92036070909791068</v>
      </c>
      <c r="AI728" s="8">
        <f t="shared" si="192"/>
        <v>0.29015542580359344</v>
      </c>
      <c r="AJ728" s="8"/>
      <c r="AK728" s="8"/>
      <c r="AL728" s="8"/>
      <c r="AN728" s="8">
        <f t="shared" si="199"/>
        <v>1.0000000000000002</v>
      </c>
      <c r="AO728" s="8">
        <f t="shared" si="200"/>
        <v>1.8483267202125686</v>
      </c>
      <c r="AP728" s="8">
        <f t="shared" si="201"/>
        <v>1.2764070801624856</v>
      </c>
      <c r="AQ728" s="8"/>
      <c r="AR728" s="8">
        <f t="shared" si="202"/>
        <v>105.90132022943793</v>
      </c>
      <c r="AS728" s="8">
        <f t="shared" si="203"/>
        <v>16.867261366073038</v>
      </c>
    </row>
    <row r="729" spans="1:45">
      <c r="A729" s="19">
        <v>134.86806670000001</v>
      </c>
      <c r="B729" s="19">
        <v>73.181010869999994</v>
      </c>
      <c r="C729" s="19">
        <v>-796.77829199999996</v>
      </c>
      <c r="E729" s="9">
        <f t="shared" si="193"/>
        <v>-886.81898912999998</v>
      </c>
      <c r="F729" s="9">
        <f t="shared" si="194"/>
        <v>-256.77829199999996</v>
      </c>
      <c r="I729">
        <v>1</v>
      </c>
      <c r="J729">
        <f t="shared" si="189"/>
        <v>0.55343467779438527</v>
      </c>
      <c r="K729">
        <f t="shared" si="195"/>
        <v>-2.8597505246295265</v>
      </c>
      <c r="O729">
        <f t="shared" si="196"/>
        <v>-0.5048741099276175</v>
      </c>
      <c r="P729">
        <f t="shared" si="197"/>
        <v>-0.14618621523814684</v>
      </c>
      <c r="Q729">
        <f t="shared" si="198"/>
        <v>0.8507242347548013</v>
      </c>
      <c r="R729">
        <f t="shared" si="188"/>
        <v>1</v>
      </c>
      <c r="AG729" s="8">
        <f t="shared" si="190"/>
        <v>-0.26217681895219119</v>
      </c>
      <c r="AH729" s="8">
        <f t="shared" si="191"/>
        <v>0.92036076477563766</v>
      </c>
      <c r="AI729" s="8">
        <f t="shared" si="192"/>
        <v>0.2901712912500361</v>
      </c>
      <c r="AJ729" s="8"/>
      <c r="AK729" s="8"/>
      <c r="AL729" s="8"/>
      <c r="AN729" s="8">
        <f t="shared" si="199"/>
        <v>1</v>
      </c>
      <c r="AO729" s="8">
        <f t="shared" si="200"/>
        <v>1.8483088620735533</v>
      </c>
      <c r="AP729" s="8">
        <f t="shared" si="201"/>
        <v>1.276390501452334</v>
      </c>
      <c r="AQ729" s="8"/>
      <c r="AR729" s="8">
        <f t="shared" si="202"/>
        <v>105.9002970334424</v>
      </c>
      <c r="AS729" s="8">
        <f t="shared" si="203"/>
        <v>16.868211256194485</v>
      </c>
    </row>
    <row r="730" spans="1:45">
      <c r="A730" s="19">
        <v>134.90143330000001</v>
      </c>
      <c r="B730" s="19">
        <v>72.141152980000001</v>
      </c>
      <c r="C730" s="19">
        <v>-796.76939930000003</v>
      </c>
      <c r="E730" s="9">
        <f t="shared" si="193"/>
        <v>-887.85884701999998</v>
      </c>
      <c r="F730" s="9">
        <f t="shared" si="194"/>
        <v>-256.76939930000003</v>
      </c>
      <c r="I730">
        <v>1</v>
      </c>
      <c r="J730">
        <f t="shared" si="189"/>
        <v>0.55392339089975018</v>
      </c>
      <c r="K730">
        <f t="shared" si="195"/>
        <v>-2.8600726835497507</v>
      </c>
      <c r="O730">
        <f t="shared" si="196"/>
        <v>-0.50532051199273464</v>
      </c>
      <c r="P730">
        <f t="shared" si="197"/>
        <v>-0.14613904536046171</v>
      </c>
      <c r="Q730">
        <f t="shared" si="198"/>
        <v>0.85046725955825808</v>
      </c>
      <c r="R730">
        <f t="shared" si="188"/>
        <v>1</v>
      </c>
      <c r="AG730" s="8">
        <f t="shared" si="190"/>
        <v>-0.26171810813812357</v>
      </c>
      <c r="AH730" s="8">
        <f t="shared" si="191"/>
        <v>0.92054083462550851</v>
      </c>
      <c r="AI730" s="8">
        <f t="shared" si="192"/>
        <v>0.29001414389573099</v>
      </c>
      <c r="AJ730" s="8"/>
      <c r="AK730" s="8"/>
      <c r="AL730" s="8"/>
      <c r="AN730" s="8">
        <f t="shared" si="199"/>
        <v>1.0000000000000002</v>
      </c>
      <c r="AO730" s="8">
        <f t="shared" si="200"/>
        <v>1.847796341966385</v>
      </c>
      <c r="AP730" s="8">
        <f t="shared" si="201"/>
        <v>1.2765547100139296</v>
      </c>
      <c r="AQ730" s="8"/>
      <c r="AR730" s="8">
        <f t="shared" si="202"/>
        <v>105.87093179438605</v>
      </c>
      <c r="AS730" s="8">
        <f t="shared" si="203"/>
        <v>16.858802798655148</v>
      </c>
    </row>
    <row r="731" spans="1:45">
      <c r="A731" s="19">
        <v>134.9348</v>
      </c>
      <c r="B731" s="19">
        <v>72.209955699999995</v>
      </c>
      <c r="C731" s="19">
        <v>-796.83040140000003</v>
      </c>
      <c r="E731" s="9">
        <f t="shared" si="193"/>
        <v>-887.79004429999998</v>
      </c>
      <c r="F731" s="9">
        <f t="shared" si="194"/>
        <v>-256.83040140000003</v>
      </c>
      <c r="I731">
        <v>1</v>
      </c>
      <c r="J731">
        <f t="shared" si="189"/>
        <v>0.55389929387115278</v>
      </c>
      <c r="K731">
        <f t="shared" si="195"/>
        <v>-2.8599885937573717</v>
      </c>
      <c r="O731">
        <f t="shared" si="196"/>
        <v>-0.50528853475310676</v>
      </c>
      <c r="P731">
        <f t="shared" si="197"/>
        <v>-0.14617584195346708</v>
      </c>
      <c r="Q731">
        <f t="shared" si="198"/>
        <v>0.85047993502272201</v>
      </c>
      <c r="R731">
        <f t="shared" ref="R731:R772" si="204">SQRT(O731^2+P731^2+Q731^2)</f>
        <v>1</v>
      </c>
      <c r="AG731" s="8">
        <f t="shared" si="190"/>
        <v>-0.26176405199272063</v>
      </c>
      <c r="AH731" s="8">
        <f t="shared" si="191"/>
        <v>0.92053389823656451</v>
      </c>
      <c r="AI731" s="8">
        <f t="shared" si="192"/>
        <v>0.28999469526483873</v>
      </c>
      <c r="AJ731" s="8"/>
      <c r="AK731" s="8"/>
      <c r="AL731" s="8"/>
      <c r="AN731" s="8">
        <f t="shared" si="199"/>
        <v>1.0000000000000002</v>
      </c>
      <c r="AO731" s="8">
        <f t="shared" si="200"/>
        <v>1.8478445008225046</v>
      </c>
      <c r="AP731" s="8">
        <f t="shared" si="201"/>
        <v>1.2765750319748721</v>
      </c>
      <c r="AQ731" s="8"/>
      <c r="AR731" s="8">
        <f t="shared" si="202"/>
        <v>105.87369109358789</v>
      </c>
      <c r="AS731" s="8">
        <f t="shared" si="203"/>
        <v>16.857638436061706</v>
      </c>
    </row>
    <row r="732" spans="1:45">
      <c r="A732" s="19">
        <v>134.96816670000001</v>
      </c>
      <c r="B732" s="19">
        <v>72.07493685</v>
      </c>
      <c r="C732" s="19">
        <v>-796.8411079</v>
      </c>
      <c r="E732" s="9">
        <f t="shared" si="193"/>
        <v>-887.92506315000003</v>
      </c>
      <c r="F732" s="9">
        <f t="shared" si="194"/>
        <v>-256.8411079</v>
      </c>
      <c r="I732">
        <v>1</v>
      </c>
      <c r="J732">
        <f t="shared" si="189"/>
        <v>0.55396434860777222</v>
      </c>
      <c r="K732">
        <f t="shared" si="195"/>
        <v>-2.8600180601375338</v>
      </c>
      <c r="O732">
        <f t="shared" si="196"/>
        <v>-0.505345989629022</v>
      </c>
      <c r="P732">
        <f t="shared" si="197"/>
        <v>-0.14617632639930733</v>
      </c>
      <c r="Q732">
        <f t="shared" si="198"/>
        <v>0.850445713944322</v>
      </c>
      <c r="R732">
        <f t="shared" si="204"/>
        <v>1</v>
      </c>
      <c r="AG732" s="8">
        <f t="shared" si="190"/>
        <v>-0.26170756651768678</v>
      </c>
      <c r="AH732" s="8">
        <f t="shared" si="191"/>
        <v>0.92055823125962966</v>
      </c>
      <c r="AI732" s="8">
        <f t="shared" si="192"/>
        <v>0.28996843360533697</v>
      </c>
      <c r="AJ732" s="8"/>
      <c r="AK732" s="8"/>
      <c r="AL732" s="8"/>
      <c r="AN732" s="8">
        <f t="shared" si="199"/>
        <v>1</v>
      </c>
      <c r="AO732" s="8">
        <f t="shared" si="200"/>
        <v>1.8477807759355858</v>
      </c>
      <c r="AP732" s="8">
        <f t="shared" si="201"/>
        <v>1.2766024727011467</v>
      </c>
      <c r="AQ732" s="8"/>
      <c r="AR732" s="8">
        <f t="shared" si="202"/>
        <v>105.87003992651749</v>
      </c>
      <c r="AS732" s="8">
        <f t="shared" si="203"/>
        <v>16.856066198259398</v>
      </c>
    </row>
    <row r="733" spans="1:45">
      <c r="A733" s="19">
        <v>135.00153330000001</v>
      </c>
      <c r="B733" s="19">
        <v>71.655674540000007</v>
      </c>
      <c r="C733" s="19">
        <v>-796.81694909999999</v>
      </c>
      <c r="E733" s="9">
        <f t="shared" si="193"/>
        <v>-888.34432545999994</v>
      </c>
      <c r="F733" s="9">
        <f t="shared" si="194"/>
        <v>-256.81694909999999</v>
      </c>
      <c r="I733">
        <v>1</v>
      </c>
      <c r="J733">
        <f t="shared" si="189"/>
        <v>0.55415851160769358</v>
      </c>
      <c r="K733">
        <f t="shared" si="195"/>
        <v>-2.8601691403998264</v>
      </c>
      <c r="O733">
        <f t="shared" si="196"/>
        <v>-0.50552668793883915</v>
      </c>
      <c r="P733">
        <f t="shared" si="197"/>
        <v>-0.14614583328131636</v>
      </c>
      <c r="Q733">
        <f t="shared" si="198"/>
        <v>0.85034355597963884</v>
      </c>
      <c r="R733">
        <f t="shared" si="204"/>
        <v>1</v>
      </c>
      <c r="AG733" s="8">
        <f t="shared" si="190"/>
        <v>-0.26151736677183707</v>
      </c>
      <c r="AH733" s="8">
        <f t="shared" si="191"/>
        <v>0.92062903366776871</v>
      </c>
      <c r="AI733" s="8">
        <f t="shared" si="192"/>
        <v>0.28991524493319532</v>
      </c>
      <c r="AJ733" s="8"/>
      <c r="AK733" s="8"/>
      <c r="AL733" s="8"/>
      <c r="AN733" s="8">
        <f t="shared" si="199"/>
        <v>0.99999999999999989</v>
      </c>
      <c r="AO733" s="8">
        <f t="shared" si="200"/>
        <v>1.8475693856757078</v>
      </c>
      <c r="AP733" s="8">
        <f t="shared" si="201"/>
        <v>1.2766580486801895</v>
      </c>
      <c r="AQ733" s="8"/>
      <c r="AR733" s="8">
        <f t="shared" si="202"/>
        <v>105.85792815679632</v>
      </c>
      <c r="AS733" s="8">
        <f t="shared" si="203"/>
        <v>16.852881929217943</v>
      </c>
    </row>
    <row r="734" spans="1:45">
      <c r="A734" s="19">
        <v>135.03489999999999</v>
      </c>
      <c r="B734" s="19">
        <v>71.206244620000007</v>
      </c>
      <c r="C734" s="19">
        <v>-796.84198270000002</v>
      </c>
      <c r="E734" s="9">
        <f t="shared" si="193"/>
        <v>-888.79375537999999</v>
      </c>
      <c r="F734" s="9">
        <f t="shared" si="194"/>
        <v>-256.84198270000002</v>
      </c>
      <c r="I734">
        <v>1</v>
      </c>
      <c r="J734">
        <f t="shared" si="189"/>
        <v>0.55437353487369001</v>
      </c>
      <c r="K734">
        <f t="shared" si="195"/>
        <v>-2.8602780603210376</v>
      </c>
      <c r="O734">
        <f t="shared" si="196"/>
        <v>-0.50571824774936736</v>
      </c>
      <c r="P734">
        <f t="shared" si="197"/>
        <v>-0.14614152794534827</v>
      </c>
      <c r="Q734">
        <f t="shared" si="198"/>
        <v>0.85023038507401538</v>
      </c>
      <c r="R734">
        <f t="shared" si="204"/>
        <v>1</v>
      </c>
      <c r="AG734" s="8">
        <f t="shared" si="190"/>
        <v>-0.26132666681775935</v>
      </c>
      <c r="AH734" s="8">
        <f t="shared" si="191"/>
        <v>0.92070905348661958</v>
      </c>
      <c r="AI734" s="8">
        <f t="shared" si="192"/>
        <v>0.28983307616228526</v>
      </c>
      <c r="AJ734" s="8"/>
      <c r="AK734" s="8"/>
      <c r="AL734" s="8"/>
      <c r="AN734" s="8">
        <f t="shared" si="199"/>
        <v>1.0000000000000002</v>
      </c>
      <c r="AO734" s="8">
        <f t="shared" si="200"/>
        <v>1.8473548700787361</v>
      </c>
      <c r="AP734" s="8">
        <f t="shared" si="201"/>
        <v>1.2767439036543242</v>
      </c>
      <c r="AQ734" s="8"/>
      <c r="AR734" s="8">
        <f t="shared" si="202"/>
        <v>105.8456373184501</v>
      </c>
      <c r="AS734" s="8">
        <f t="shared" si="203"/>
        <v>16.847962801549826</v>
      </c>
    </row>
    <row r="735" spans="1:45">
      <c r="A735" s="19">
        <v>135.06826670000001</v>
      </c>
      <c r="B735" s="19">
        <v>71.050398979999997</v>
      </c>
      <c r="C735" s="19">
        <v>-796.85018219999995</v>
      </c>
      <c r="E735" s="9">
        <f t="shared" si="193"/>
        <v>-888.94960102000005</v>
      </c>
      <c r="F735" s="9">
        <f t="shared" si="194"/>
        <v>-256.85018219999995</v>
      </c>
      <c r="I735">
        <v>1</v>
      </c>
      <c r="J735">
        <f t="shared" si="189"/>
        <v>0.55444801971610336</v>
      </c>
      <c r="K735">
        <f t="shared" si="195"/>
        <v>-2.8603163052256466</v>
      </c>
      <c r="O735">
        <f t="shared" si="196"/>
        <v>-0.50578467570326513</v>
      </c>
      <c r="P735">
        <f t="shared" si="197"/>
        <v>-0.14613976535822615</v>
      </c>
      <c r="Q735">
        <f t="shared" si="198"/>
        <v>0.85019117309272607</v>
      </c>
      <c r="R735">
        <f t="shared" si="204"/>
        <v>1</v>
      </c>
      <c r="AG735" s="8">
        <f t="shared" si="190"/>
        <v>-0.26126042339710581</v>
      </c>
      <c r="AH735" s="8">
        <f t="shared" si="191"/>
        <v>0.92073674634484926</v>
      </c>
      <c r="AI735" s="8">
        <f t="shared" si="192"/>
        <v>0.28980482241789207</v>
      </c>
      <c r="AJ735" s="8"/>
      <c r="AK735" s="8"/>
      <c r="AL735" s="8"/>
      <c r="AN735" s="8">
        <f t="shared" si="199"/>
        <v>1.0000000000000002</v>
      </c>
      <c r="AO735" s="8">
        <f t="shared" si="200"/>
        <v>1.8472803859860876</v>
      </c>
      <c r="AP735" s="8">
        <f t="shared" si="201"/>
        <v>1.2767734243845008</v>
      </c>
      <c r="AQ735" s="8"/>
      <c r="AR735" s="8">
        <f t="shared" si="202"/>
        <v>105.84136969430048</v>
      </c>
      <c r="AS735" s="8">
        <f t="shared" si="203"/>
        <v>16.846271388302554</v>
      </c>
    </row>
    <row r="736" spans="1:45">
      <c r="A736" s="19">
        <v>135.1016333</v>
      </c>
      <c r="B736" s="19">
        <v>70.502935719999996</v>
      </c>
      <c r="C736" s="19">
        <v>-796.87809979999997</v>
      </c>
      <c r="E736" s="9">
        <f t="shared" si="193"/>
        <v>-889.49706428000002</v>
      </c>
      <c r="F736" s="9">
        <f t="shared" si="194"/>
        <v>-256.87809979999997</v>
      </c>
      <c r="I736">
        <v>1</v>
      </c>
      <c r="J736">
        <f t="shared" ref="J736:J772" si="205">ATAN((SQRT(E736^2+F736^2)^$B$16)/($F$24))</f>
        <v>0.55470950585155776</v>
      </c>
      <c r="K736">
        <f t="shared" si="195"/>
        <v>-2.8604514739779439</v>
      </c>
      <c r="O736">
        <f t="shared" si="196"/>
        <v>-0.50601799238144762</v>
      </c>
      <c r="P736">
        <f t="shared" si="197"/>
        <v>-0.14613307403411502</v>
      </c>
      <c r="Q736">
        <f t="shared" si="198"/>
        <v>0.85005347835273815</v>
      </c>
      <c r="R736">
        <f t="shared" si="204"/>
        <v>1</v>
      </c>
      <c r="AG736" s="8">
        <f t="shared" ref="AG736:AG772" si="206">$O736*$Z$27+$P736*$Z$31+$Q736*$Z$35</f>
        <v>-0.26102752579938504</v>
      </c>
      <c r="AH736" s="8">
        <f t="shared" ref="AH736:AH772" si="207">$O736*$AA$27+$P736*$AA$31+$Q736*$AA$35</f>
        <v>0.92083389135385052</v>
      </c>
      <c r="AI736" s="8">
        <f t="shared" ref="AI736:AI772" si="208">$AB$27*$O736+$P736*$AB$31+$AB$35*$Q736</f>
        <v>0.28970601531410489</v>
      </c>
      <c r="AJ736" s="8"/>
      <c r="AK736" s="8"/>
      <c r="AL736" s="8"/>
      <c r="AN736" s="8">
        <f t="shared" si="199"/>
        <v>1</v>
      </c>
      <c r="AO736" s="8">
        <f t="shared" si="200"/>
        <v>1.8470185884057171</v>
      </c>
      <c r="AP736" s="8">
        <f t="shared" si="201"/>
        <v>1.2768766602313582</v>
      </c>
      <c r="AQ736" s="8"/>
      <c r="AR736" s="8">
        <f t="shared" si="202"/>
        <v>105.82636979785852</v>
      </c>
      <c r="AS736" s="8">
        <f t="shared" si="203"/>
        <v>16.840356409983173</v>
      </c>
    </row>
    <row r="737" spans="1:45">
      <c r="A737" s="19">
        <v>135.13499999999999</v>
      </c>
      <c r="B737" s="19">
        <v>70.035606200000004</v>
      </c>
      <c r="C737" s="19">
        <v>-796.87550390000001</v>
      </c>
      <c r="E737" s="9">
        <f t="shared" ref="E737:E772" si="209">(B737-($B$15/2))</f>
        <v>-889.96439380000004</v>
      </c>
      <c r="F737" s="9">
        <f t="shared" ref="F737:F771" si="210">(($C$15/2)+C737)</f>
        <v>-256.87550390000001</v>
      </c>
      <c r="I737">
        <v>1</v>
      </c>
      <c r="J737">
        <f t="shared" si="205"/>
        <v>0.55492906934879194</v>
      </c>
      <c r="K737">
        <f t="shared" ref="K737:K772" si="211">ATAN2(E737,F737)</f>
        <v>-2.8605941452111447</v>
      </c>
      <c r="O737">
        <f t="shared" ref="O737:O772" si="212">COS(K737)*SIN(J737)</f>
        <v>-0.50621814450024138</v>
      </c>
      <c r="P737">
        <f t="shared" ref="P737:P772" si="213">SIN(K737)*SIN(J737)</f>
        <v>-0.14611263310950515</v>
      </c>
      <c r="Q737">
        <f t="shared" ref="Q737:Q772" si="214">COS(J737)</f>
        <v>0.84993781456324191</v>
      </c>
      <c r="R737">
        <f t="shared" si="204"/>
        <v>1</v>
      </c>
      <c r="AG737" s="8">
        <f t="shared" si="206"/>
        <v>-0.26082193917497154</v>
      </c>
      <c r="AH737" s="8">
        <f t="shared" si="207"/>
        <v>0.92091456810242212</v>
      </c>
      <c r="AI737" s="8">
        <f t="shared" si="208"/>
        <v>0.28963472564893977</v>
      </c>
      <c r="AJ737" s="8"/>
      <c r="AK737" s="8"/>
      <c r="AL737" s="8"/>
      <c r="AN737" s="8">
        <f t="shared" ref="AN737:AN772" si="215">AG737^2+AH737^2+AI737^2</f>
        <v>0.99999999999999989</v>
      </c>
      <c r="AO737" s="8">
        <f t="shared" ref="AO737:AO772" si="216">IF(ATAN2(AG737,AH737)&gt;=0,ATAN2(AG737,AH737),ATAN2(AG737,AH737)+2*PI())</f>
        <v>1.8467889496819734</v>
      </c>
      <c r="AP737" s="8">
        <f t="shared" ref="AP737:AP772" si="217">ACOS(AI737/AN737)</f>
        <v>1.2769511432464471</v>
      </c>
      <c r="AQ737" s="8"/>
      <c r="AR737" s="8">
        <f t="shared" ref="AR737:AR772" si="218">DEGREES(AO737)</f>
        <v>105.81321246817524</v>
      </c>
      <c r="AS737" s="8">
        <f t="shared" ref="AS737:AS772" si="219">90-DEGREES(AP737)</f>
        <v>16.836088847573166</v>
      </c>
    </row>
    <row r="738" spans="1:45">
      <c r="A738" s="19">
        <v>135.16836670000001</v>
      </c>
      <c r="B738" s="19">
        <v>70.052924680000004</v>
      </c>
      <c r="C738" s="19">
        <v>-796.82827459999999</v>
      </c>
      <c r="E738" s="9">
        <f t="shared" si="209"/>
        <v>-889.94707531999995</v>
      </c>
      <c r="F738" s="9">
        <f t="shared" si="210"/>
        <v>-256.82827459999999</v>
      </c>
      <c r="I738">
        <v>1</v>
      </c>
      <c r="J738">
        <f t="shared" si="205"/>
        <v>0.55491450656843433</v>
      </c>
      <c r="K738">
        <f t="shared" si="211"/>
        <v>-2.8606379493608025</v>
      </c>
      <c r="O738">
        <f t="shared" si="212"/>
        <v>-0.50621265214855959</v>
      </c>
      <c r="P738">
        <f t="shared" si="213"/>
        <v>-0.14608702656307604</v>
      </c>
      <c r="Q738">
        <f t="shared" si="214"/>
        <v>0.84994548735473652</v>
      </c>
      <c r="R738">
        <f t="shared" si="204"/>
        <v>1</v>
      </c>
      <c r="AG738" s="8">
        <f t="shared" si="206"/>
        <v>-0.26081734063897721</v>
      </c>
      <c r="AH738" s="8">
        <f t="shared" si="207"/>
        <v>0.92090769112280457</v>
      </c>
      <c r="AI738" s="8">
        <f t="shared" si="208"/>
        <v>0.28966073129245007</v>
      </c>
      <c r="AJ738" s="8"/>
      <c r="AK738" s="8"/>
      <c r="AL738" s="8"/>
      <c r="AN738" s="8">
        <f t="shared" si="215"/>
        <v>1</v>
      </c>
      <c r="AO738" s="8">
        <f t="shared" si="216"/>
        <v>1.8467862849287198</v>
      </c>
      <c r="AP738" s="8">
        <f t="shared" si="217"/>
        <v>1.2769239729004236</v>
      </c>
      <c r="AQ738" s="8"/>
      <c r="AR738" s="8">
        <f t="shared" si="218"/>
        <v>105.81305978906036</v>
      </c>
      <c r="AS738" s="8">
        <f t="shared" si="219"/>
        <v>16.837645593728226</v>
      </c>
    </row>
    <row r="739" spans="1:45">
      <c r="A739" s="19">
        <v>135.2017333</v>
      </c>
      <c r="B739" s="19">
        <v>69.982339800000005</v>
      </c>
      <c r="C739" s="19">
        <v>-796.8022575</v>
      </c>
      <c r="E739" s="9">
        <f t="shared" si="209"/>
        <v>-890.01766020000002</v>
      </c>
      <c r="F739" s="9">
        <f t="shared" si="210"/>
        <v>-256.8022575</v>
      </c>
      <c r="I739">
        <v>1</v>
      </c>
      <c r="J739">
        <f t="shared" si="205"/>
        <v>0.5549441867691427</v>
      </c>
      <c r="K739">
        <f t="shared" si="211"/>
        <v>-2.8606860623480639</v>
      </c>
      <c r="O739">
        <f t="shared" si="212"/>
        <v>-0.50624391780828393</v>
      </c>
      <c r="P739">
        <f t="shared" si="213"/>
        <v>-0.14606966440373534</v>
      </c>
      <c r="Q739">
        <f t="shared" si="214"/>
        <v>0.84992984935410965</v>
      </c>
      <c r="R739">
        <f t="shared" si="204"/>
        <v>1</v>
      </c>
      <c r="AG739" s="8">
        <f t="shared" si="206"/>
        <v>-0.26077967757798565</v>
      </c>
      <c r="AH739" s="8">
        <f t="shared" si="207"/>
        <v>0.92091776498570688</v>
      </c>
      <c r="AI739" s="8">
        <f t="shared" si="208"/>
        <v>0.2896626139080638</v>
      </c>
      <c r="AJ739" s="8"/>
      <c r="AK739" s="8"/>
      <c r="AL739" s="8"/>
      <c r="AN739" s="8">
        <f t="shared" si="215"/>
        <v>0.99999999999999978</v>
      </c>
      <c r="AO739" s="8">
        <f t="shared" si="216"/>
        <v>1.8467455559702048</v>
      </c>
      <c r="AP739" s="8">
        <f t="shared" si="217"/>
        <v>1.2769220059603186</v>
      </c>
      <c r="AQ739" s="8"/>
      <c r="AR739" s="8">
        <f t="shared" si="218"/>
        <v>105.81072619163349</v>
      </c>
      <c r="AS739" s="8">
        <f t="shared" si="219"/>
        <v>16.837758291094801</v>
      </c>
    </row>
    <row r="740" spans="1:45">
      <c r="A740" s="19">
        <v>135.23509999999999</v>
      </c>
      <c r="B740" s="19">
        <v>69.234266320000003</v>
      </c>
      <c r="C740" s="19">
        <v>-796.85503889999995</v>
      </c>
      <c r="E740" s="9">
        <f t="shared" si="209"/>
        <v>-890.76573368000004</v>
      </c>
      <c r="F740" s="9">
        <f t="shared" si="210"/>
        <v>-256.85503889999995</v>
      </c>
      <c r="I740">
        <v>1</v>
      </c>
      <c r="J740">
        <f t="shared" si="205"/>
        <v>0.55530327319277439</v>
      </c>
      <c r="K740">
        <f t="shared" si="211"/>
        <v>-2.8608550628664524</v>
      </c>
      <c r="O740">
        <f t="shared" si="212"/>
        <v>-0.50656181394799782</v>
      </c>
      <c r="P740">
        <f t="shared" si="213"/>
        <v>-0.1460686570074208</v>
      </c>
      <c r="Q740">
        <f t="shared" si="214"/>
        <v>0.84974059341057873</v>
      </c>
      <c r="R740">
        <f t="shared" si="204"/>
        <v>1</v>
      </c>
      <c r="AG740" s="8">
        <f t="shared" si="206"/>
        <v>-0.26046537567535977</v>
      </c>
      <c r="AH740" s="8">
        <f t="shared" si="207"/>
        <v>0.92105142550846664</v>
      </c>
      <c r="AI740" s="8">
        <f t="shared" si="208"/>
        <v>0.28952039590176559</v>
      </c>
      <c r="AJ740" s="8"/>
      <c r="AK740" s="8"/>
      <c r="AL740" s="8"/>
      <c r="AN740" s="8">
        <f t="shared" si="215"/>
        <v>0.99999999999999978</v>
      </c>
      <c r="AO740" s="8">
        <f t="shared" si="216"/>
        <v>1.8463915671590625</v>
      </c>
      <c r="AP740" s="8">
        <f t="shared" si="217"/>
        <v>1.2770705907766597</v>
      </c>
      <c r="AQ740" s="8"/>
      <c r="AR740" s="8">
        <f t="shared" si="218"/>
        <v>105.79044412676018</v>
      </c>
      <c r="AS740" s="8">
        <f t="shared" si="219"/>
        <v>16.82924500821872</v>
      </c>
    </row>
    <row r="741" spans="1:45">
      <c r="A741" s="19">
        <v>135.2684667</v>
      </c>
      <c r="B741" s="19">
        <v>68.523019680000004</v>
      </c>
      <c r="C741" s="19">
        <v>-796.89619149999999</v>
      </c>
      <c r="E741" s="9">
        <f t="shared" si="209"/>
        <v>-891.47698031999994</v>
      </c>
      <c r="F741" s="9">
        <f t="shared" si="210"/>
        <v>-256.89619149999999</v>
      </c>
      <c r="I741">
        <v>1</v>
      </c>
      <c r="J741">
        <f t="shared" si="205"/>
        <v>0.55564332572934683</v>
      </c>
      <c r="K741">
        <f t="shared" si="211"/>
        <v>-2.861024848907074</v>
      </c>
      <c r="O741">
        <f t="shared" si="212"/>
        <v>-0.50686423554578841</v>
      </c>
      <c r="P741">
        <f t="shared" si="213"/>
        <v>-0.14606265174960781</v>
      </c>
      <c r="Q741">
        <f t="shared" si="214"/>
        <v>0.84956126823699796</v>
      </c>
      <c r="R741">
        <f t="shared" si="204"/>
        <v>1</v>
      </c>
      <c r="AG741" s="8">
        <f t="shared" si="206"/>
        <v>-0.26016430897639714</v>
      </c>
      <c r="AH741" s="8">
        <f t="shared" si="207"/>
        <v>0.9211775937023281</v>
      </c>
      <c r="AI741" s="8">
        <f t="shared" si="208"/>
        <v>0.28938965633833957</v>
      </c>
      <c r="AJ741" s="8"/>
      <c r="AK741" s="8"/>
      <c r="AL741" s="8"/>
      <c r="AN741" s="8">
        <f t="shared" si="215"/>
        <v>1</v>
      </c>
      <c r="AO741" s="8">
        <f t="shared" si="216"/>
        <v>1.8460530438875669</v>
      </c>
      <c r="AP741" s="8">
        <f t="shared" si="217"/>
        <v>1.277207177392657</v>
      </c>
      <c r="AQ741" s="8"/>
      <c r="AR741" s="8">
        <f t="shared" si="218"/>
        <v>105.77104817203652</v>
      </c>
      <c r="AS741" s="8">
        <f t="shared" si="219"/>
        <v>16.821419171584097</v>
      </c>
    </row>
    <row r="742" spans="1:45">
      <c r="A742" s="19">
        <v>135.3018333</v>
      </c>
      <c r="B742" s="19">
        <v>68.228718420000007</v>
      </c>
      <c r="C742" s="19">
        <v>-796.86724430000004</v>
      </c>
      <c r="E742" s="9">
        <f t="shared" si="209"/>
        <v>-891.77128158000005</v>
      </c>
      <c r="F742" s="9">
        <f t="shared" si="210"/>
        <v>-256.86724430000004</v>
      </c>
      <c r="I742">
        <v>1</v>
      </c>
      <c r="J742">
        <f t="shared" si="205"/>
        <v>0.55577777006438989</v>
      </c>
      <c r="K742">
        <f t="shared" si="211"/>
        <v>-2.8611426337853025</v>
      </c>
      <c r="O742">
        <f t="shared" si="212"/>
        <v>-0.50699118770672646</v>
      </c>
      <c r="P742">
        <f t="shared" si="213"/>
        <v>-0.14603456285324237</v>
      </c>
      <c r="Q742">
        <f t="shared" si="214"/>
        <v>0.8494903425230832</v>
      </c>
      <c r="R742">
        <f t="shared" si="204"/>
        <v>1</v>
      </c>
      <c r="AG742" s="8">
        <f t="shared" si="206"/>
        <v>-0.26002789419191635</v>
      </c>
      <c r="AH742" s="8">
        <f t="shared" si="207"/>
        <v>0.9212259757899075</v>
      </c>
      <c r="AI742" s="8">
        <f t="shared" si="208"/>
        <v>0.2893582481493317</v>
      </c>
      <c r="AJ742" s="8"/>
      <c r="AK742" s="8"/>
      <c r="AL742" s="8"/>
      <c r="AN742" s="8">
        <f t="shared" si="215"/>
        <v>0.99999999999999989</v>
      </c>
      <c r="AO742" s="8">
        <f t="shared" si="216"/>
        <v>1.8459021597213932</v>
      </c>
      <c r="AP742" s="8">
        <f t="shared" si="217"/>
        <v>1.2772399894066733</v>
      </c>
      <c r="AQ742" s="8"/>
      <c r="AR742" s="8">
        <f t="shared" si="218"/>
        <v>105.76240314611941</v>
      </c>
      <c r="AS742" s="8">
        <f t="shared" si="219"/>
        <v>16.819539181663643</v>
      </c>
    </row>
    <row r="743" spans="1:45">
      <c r="A743" s="19">
        <v>135.33519999999999</v>
      </c>
      <c r="B743" s="19">
        <v>68.141724460000006</v>
      </c>
      <c r="C743" s="19">
        <v>-796.86807899999997</v>
      </c>
      <c r="E743" s="9">
        <f t="shared" si="209"/>
        <v>-891.85827554000002</v>
      </c>
      <c r="F743" s="9">
        <f t="shared" si="210"/>
        <v>-256.86807899999997</v>
      </c>
      <c r="I743">
        <v>1</v>
      </c>
      <c r="J743">
        <f t="shared" si="205"/>
        <v>0.55581877965540971</v>
      </c>
      <c r="K743">
        <f t="shared" si="211"/>
        <v>-2.8611677135151239</v>
      </c>
      <c r="O743">
        <f t="shared" si="212"/>
        <v>-0.50702832606423232</v>
      </c>
      <c r="P743">
        <f t="shared" si="213"/>
        <v>-0.14603148918010322</v>
      </c>
      <c r="Q743">
        <f t="shared" si="214"/>
        <v>0.84946870497761362</v>
      </c>
      <c r="R743">
        <f t="shared" si="204"/>
        <v>1</v>
      </c>
      <c r="AG743" s="8">
        <f t="shared" si="206"/>
        <v>-0.25998999754699453</v>
      </c>
      <c r="AH743" s="8">
        <f t="shared" si="207"/>
        <v>0.92124104320378408</v>
      </c>
      <c r="AI743" s="8">
        <f t="shared" si="208"/>
        <v>0.28934433032689144</v>
      </c>
      <c r="AJ743" s="8"/>
      <c r="AK743" s="8"/>
      <c r="AL743" s="8"/>
      <c r="AN743" s="8">
        <f t="shared" si="215"/>
        <v>1</v>
      </c>
      <c r="AO743" s="8">
        <f t="shared" si="216"/>
        <v>1.8458597823932119</v>
      </c>
      <c r="AP743" s="8">
        <f t="shared" si="217"/>
        <v>1.2772545291980766</v>
      </c>
      <c r="AQ743" s="8"/>
      <c r="AR743" s="8">
        <f t="shared" si="218"/>
        <v>105.75997510406759</v>
      </c>
      <c r="AS743" s="8">
        <f t="shared" si="219"/>
        <v>16.818706112981232</v>
      </c>
    </row>
    <row r="744" spans="1:45">
      <c r="A744" s="19">
        <v>135.3685667</v>
      </c>
      <c r="B744" s="19">
        <v>67.988986080000004</v>
      </c>
      <c r="C744" s="19">
        <v>-796.87511219999999</v>
      </c>
      <c r="E744" s="9">
        <f t="shared" si="209"/>
        <v>-892.01101391999998</v>
      </c>
      <c r="F744" s="9">
        <f t="shared" si="210"/>
        <v>-256.87511219999999</v>
      </c>
      <c r="I744">
        <v>1</v>
      </c>
      <c r="J744">
        <f t="shared" si="205"/>
        <v>0.55589153106505029</v>
      </c>
      <c r="K744">
        <f t="shared" si="211"/>
        <v>-2.8612059721718208</v>
      </c>
      <c r="O744">
        <f t="shared" si="212"/>
        <v>-0.50709329798145641</v>
      </c>
      <c r="P744">
        <f t="shared" si="213"/>
        <v>-0.14602919222086758</v>
      </c>
      <c r="Q744">
        <f t="shared" si="214"/>
        <v>0.84943031624825516</v>
      </c>
      <c r="R744">
        <f t="shared" si="204"/>
        <v>1</v>
      </c>
      <c r="AG744" s="8">
        <f t="shared" si="206"/>
        <v>-0.25992490132246548</v>
      </c>
      <c r="AH744" s="8">
        <f t="shared" si="207"/>
        <v>0.92126794887813168</v>
      </c>
      <c r="AI744" s="8">
        <f t="shared" si="208"/>
        <v>0.28931714785402318</v>
      </c>
      <c r="AJ744" s="8"/>
      <c r="AK744" s="8"/>
      <c r="AL744" s="8"/>
      <c r="AN744" s="8">
        <f t="shared" si="215"/>
        <v>1</v>
      </c>
      <c r="AO744" s="8">
        <f t="shared" si="216"/>
        <v>1.845786699977759</v>
      </c>
      <c r="AP744" s="8">
        <f t="shared" si="217"/>
        <v>1.2772829262352077</v>
      </c>
      <c r="AQ744" s="8"/>
      <c r="AR744" s="8">
        <f t="shared" si="218"/>
        <v>105.75578779010552</v>
      </c>
      <c r="AS744" s="8">
        <f t="shared" si="219"/>
        <v>16.817079082602945</v>
      </c>
    </row>
    <row r="745" spans="1:45">
      <c r="A745" s="19">
        <v>135.4019333</v>
      </c>
      <c r="B745" s="19">
        <v>67.795591790000003</v>
      </c>
      <c r="C745" s="19">
        <v>-796.8827417</v>
      </c>
      <c r="E745" s="9">
        <f t="shared" si="209"/>
        <v>-892.20440821</v>
      </c>
      <c r="F745" s="9">
        <f t="shared" si="210"/>
        <v>-256.8827417</v>
      </c>
      <c r="I745">
        <v>1</v>
      </c>
      <c r="J745">
        <f t="shared" si="205"/>
        <v>0.55598346653547914</v>
      </c>
      <c r="K745">
        <f t="shared" si="211"/>
        <v>-2.8612557174093727</v>
      </c>
      <c r="O745">
        <f t="shared" si="212"/>
        <v>-0.50717560367873205</v>
      </c>
      <c r="P745">
        <f t="shared" si="213"/>
        <v>-0.14602557261259341</v>
      </c>
      <c r="Q745">
        <f t="shared" si="214"/>
        <v>0.84938179823697535</v>
      </c>
      <c r="R745">
        <f t="shared" si="204"/>
        <v>1</v>
      </c>
      <c r="AG745" s="8">
        <f t="shared" si="206"/>
        <v>-0.25984215460932258</v>
      </c>
      <c r="AH745" s="8">
        <f t="shared" si="207"/>
        <v>0.92130190060286998</v>
      </c>
      <c r="AI745" s="8">
        <f t="shared" si="208"/>
        <v>0.2892833604504832</v>
      </c>
      <c r="AJ745" s="8"/>
      <c r="AK745" s="8"/>
      <c r="AL745" s="8"/>
      <c r="AN745" s="8">
        <f t="shared" si="215"/>
        <v>0.99999999999999967</v>
      </c>
      <c r="AO745" s="8">
        <f t="shared" si="216"/>
        <v>1.8456938741611821</v>
      </c>
      <c r="AP745" s="8">
        <f t="shared" si="217"/>
        <v>1.2773182229840481</v>
      </c>
      <c r="AQ745" s="8"/>
      <c r="AR745" s="8">
        <f t="shared" si="218"/>
        <v>105.7504692625858</v>
      </c>
      <c r="AS745" s="8">
        <f t="shared" si="219"/>
        <v>16.815056727863862</v>
      </c>
    </row>
    <row r="746" spans="1:45">
      <c r="A746" s="19">
        <v>135.43530000000001</v>
      </c>
      <c r="B746" s="19">
        <v>67.513351409999999</v>
      </c>
      <c r="C746" s="19">
        <v>-796.86630520000006</v>
      </c>
      <c r="E746" s="9">
        <f t="shared" si="209"/>
        <v>-892.48664858999996</v>
      </c>
      <c r="F746" s="9">
        <f t="shared" si="210"/>
        <v>-256.86630520000006</v>
      </c>
      <c r="I746">
        <v>1</v>
      </c>
      <c r="J746">
        <f t="shared" si="205"/>
        <v>0.55611389175102055</v>
      </c>
      <c r="K746">
        <f t="shared" si="211"/>
        <v>-2.8613568086003145</v>
      </c>
      <c r="O746">
        <f t="shared" si="212"/>
        <v>-0.50729681794300552</v>
      </c>
      <c r="P746">
        <f t="shared" si="213"/>
        <v>-0.14600493964879355</v>
      </c>
      <c r="Q746">
        <f t="shared" si="214"/>
        <v>0.84931295533687301</v>
      </c>
      <c r="R746">
        <f t="shared" si="204"/>
        <v>1</v>
      </c>
      <c r="AG746" s="8">
        <f t="shared" si="206"/>
        <v>-0.25971429088890163</v>
      </c>
      <c r="AH746" s="8">
        <f t="shared" si="207"/>
        <v>0.92134916406838574</v>
      </c>
      <c r="AI746" s="8">
        <f t="shared" si="208"/>
        <v>0.28924765336742447</v>
      </c>
      <c r="AJ746" s="8"/>
      <c r="AK746" s="8"/>
      <c r="AL746" s="8"/>
      <c r="AN746" s="8">
        <f t="shared" si="215"/>
        <v>0.99999999999999989</v>
      </c>
      <c r="AO746" s="8">
        <f t="shared" si="216"/>
        <v>1.8455519135428209</v>
      </c>
      <c r="AP746" s="8">
        <f t="shared" si="217"/>
        <v>1.2773555247588186</v>
      </c>
      <c r="AQ746" s="8"/>
      <c r="AR746" s="8">
        <f t="shared" si="218"/>
        <v>105.74233551829664</v>
      </c>
      <c r="AS746" s="8">
        <f t="shared" si="219"/>
        <v>16.812919493601157</v>
      </c>
    </row>
    <row r="747" spans="1:45">
      <c r="A747" s="19">
        <v>135.4686667</v>
      </c>
      <c r="B747" s="19">
        <v>67.204682289999994</v>
      </c>
      <c r="C747" s="19">
        <v>-796.84635519999995</v>
      </c>
      <c r="E747" s="9">
        <f t="shared" si="209"/>
        <v>-892.79531771000006</v>
      </c>
      <c r="F747" s="9">
        <f t="shared" si="210"/>
        <v>-256.84635519999995</v>
      </c>
      <c r="I747">
        <v>1</v>
      </c>
      <c r="J747">
        <f t="shared" si="205"/>
        <v>0.55625624462724244</v>
      </c>
      <c r="K747">
        <f t="shared" si="211"/>
        <v>-2.8614693418747832</v>
      </c>
      <c r="O747">
        <f t="shared" si="212"/>
        <v>-0.50742942954430825</v>
      </c>
      <c r="P747">
        <f t="shared" si="213"/>
        <v>-0.14598127579114986</v>
      </c>
      <c r="Q747">
        <f t="shared" si="214"/>
        <v>0.84923780011886318</v>
      </c>
      <c r="R747">
        <f t="shared" si="204"/>
        <v>1</v>
      </c>
      <c r="AG747" s="8">
        <f t="shared" si="206"/>
        <v>-0.25957396169617031</v>
      </c>
      <c r="AH747" s="8">
        <f t="shared" si="207"/>
        <v>0.92140066161577727</v>
      </c>
      <c r="AI747" s="8">
        <f t="shared" si="208"/>
        <v>0.28920957657616225</v>
      </c>
      <c r="AJ747" s="8"/>
      <c r="AK747" s="8"/>
      <c r="AL747" s="8"/>
      <c r="AN747" s="8">
        <f t="shared" si="215"/>
        <v>1</v>
      </c>
      <c r="AO747" s="8">
        <f t="shared" si="216"/>
        <v>1.8453962226703537</v>
      </c>
      <c r="AP747" s="8">
        <f t="shared" si="217"/>
        <v>1.2773953016106392</v>
      </c>
      <c r="AQ747" s="8"/>
      <c r="AR747" s="8">
        <f t="shared" si="218"/>
        <v>105.73341508839556</v>
      </c>
      <c r="AS747" s="8">
        <f t="shared" si="219"/>
        <v>16.810640447869531</v>
      </c>
    </row>
    <row r="748" spans="1:45">
      <c r="A748" s="19">
        <v>135.50203329999999</v>
      </c>
      <c r="B748" s="19">
        <v>66.347069989999994</v>
      </c>
      <c r="C748" s="19">
        <v>-796.83521959999996</v>
      </c>
      <c r="E748" s="9">
        <f t="shared" si="209"/>
        <v>-893.65293000999998</v>
      </c>
      <c r="F748" s="9">
        <f t="shared" si="210"/>
        <v>-256.83521959999996</v>
      </c>
      <c r="I748">
        <v>1</v>
      </c>
      <c r="J748">
        <f t="shared" si="205"/>
        <v>0.55665764036674448</v>
      </c>
      <c r="K748">
        <f t="shared" si="211"/>
        <v>-2.8617358526924521</v>
      </c>
      <c r="O748">
        <f t="shared" si="212"/>
        <v>-0.50779589470436937</v>
      </c>
      <c r="P748">
        <f t="shared" si="213"/>
        <v>-0.14594018074434773</v>
      </c>
      <c r="Q748">
        <f t="shared" si="214"/>
        <v>0.84902579051857785</v>
      </c>
      <c r="R748">
        <f t="shared" si="204"/>
        <v>1</v>
      </c>
      <c r="AG748" s="8">
        <f t="shared" si="206"/>
        <v>-0.25919559172162743</v>
      </c>
      <c r="AH748" s="8">
        <f t="shared" si="207"/>
        <v>0.92154721876694856</v>
      </c>
      <c r="AI748" s="8">
        <f t="shared" si="208"/>
        <v>0.2890819413505058</v>
      </c>
      <c r="AJ748" s="8"/>
      <c r="AK748" s="8"/>
      <c r="AL748" s="8"/>
      <c r="AN748" s="8">
        <f t="shared" si="215"/>
        <v>1</v>
      </c>
      <c r="AO748" s="8">
        <f t="shared" si="216"/>
        <v>1.8449742726459373</v>
      </c>
      <c r="AP748" s="8">
        <f t="shared" si="217"/>
        <v>1.277528632034405</v>
      </c>
      <c r="AQ748" s="8"/>
      <c r="AR748" s="8">
        <f t="shared" si="218"/>
        <v>105.70923913283106</v>
      </c>
      <c r="AS748" s="8">
        <f t="shared" si="219"/>
        <v>16.803001177307053</v>
      </c>
    </row>
    <row r="749" spans="1:45">
      <c r="A749" s="19">
        <v>135.53540000000001</v>
      </c>
      <c r="B749" s="19">
        <v>66.274716369999993</v>
      </c>
      <c r="C749" s="19">
        <v>-796.83998759999997</v>
      </c>
      <c r="E749" s="9">
        <f t="shared" si="209"/>
        <v>-893.72528363000004</v>
      </c>
      <c r="F749" s="9">
        <f t="shared" si="210"/>
        <v>-256.83998759999997</v>
      </c>
      <c r="I749">
        <v>1</v>
      </c>
      <c r="J749">
        <f t="shared" si="205"/>
        <v>0.55669226754664369</v>
      </c>
      <c r="K749">
        <f t="shared" si="211"/>
        <v>-2.8617524167249822</v>
      </c>
      <c r="O749">
        <f t="shared" si="212"/>
        <v>-0.50782656740908805</v>
      </c>
      <c r="P749">
        <f t="shared" si="213"/>
        <v>-0.14593988965662794</v>
      </c>
      <c r="Q749">
        <f t="shared" si="214"/>
        <v>0.84900749469042625</v>
      </c>
      <c r="R749">
        <f t="shared" si="204"/>
        <v>1</v>
      </c>
      <c r="AG749" s="8">
        <f t="shared" si="206"/>
        <v>-0.25916514898084331</v>
      </c>
      <c r="AH749" s="8">
        <f t="shared" si="207"/>
        <v>0.92156004096801625</v>
      </c>
      <c r="AI749" s="8">
        <f t="shared" si="208"/>
        <v>0.28906835946669318</v>
      </c>
      <c r="AJ749" s="8"/>
      <c r="AK749" s="8"/>
      <c r="AL749" s="8"/>
      <c r="AN749" s="8">
        <f t="shared" si="215"/>
        <v>0.99999999999999989</v>
      </c>
      <c r="AO749" s="8">
        <f t="shared" si="216"/>
        <v>1.8449400335978685</v>
      </c>
      <c r="AP749" s="8">
        <f t="shared" si="217"/>
        <v>1.2775428196379868</v>
      </c>
      <c r="AQ749" s="8"/>
      <c r="AR749" s="8">
        <f t="shared" si="218"/>
        <v>105.70727737988217</v>
      </c>
      <c r="AS749" s="8">
        <f t="shared" si="219"/>
        <v>16.802188287500414</v>
      </c>
    </row>
    <row r="750" spans="1:45">
      <c r="A750" s="19">
        <v>135.5687667</v>
      </c>
      <c r="B750" s="19">
        <v>66.187681209999994</v>
      </c>
      <c r="C750" s="19">
        <v>-796.842895</v>
      </c>
      <c r="E750" s="9">
        <f t="shared" si="209"/>
        <v>-893.81231879000006</v>
      </c>
      <c r="F750" s="9">
        <f t="shared" si="210"/>
        <v>-256.842895</v>
      </c>
      <c r="I750">
        <v>1</v>
      </c>
      <c r="J750">
        <f t="shared" si="205"/>
        <v>0.55673353760924338</v>
      </c>
      <c r="K750">
        <f t="shared" si="211"/>
        <v>-2.8617752612168101</v>
      </c>
      <c r="O750">
        <f t="shared" si="212"/>
        <v>-0.50786357656418935</v>
      </c>
      <c r="P750">
        <f t="shared" si="213"/>
        <v>-0.1459379654180484</v>
      </c>
      <c r="Q750">
        <f t="shared" si="214"/>
        <v>0.84898568765855542</v>
      </c>
      <c r="R750">
        <f t="shared" si="204"/>
        <v>1</v>
      </c>
      <c r="AG750" s="8">
        <f t="shared" si="206"/>
        <v>-0.2591278005107141</v>
      </c>
      <c r="AH750" s="8">
        <f t="shared" si="207"/>
        <v>0.92157523051185208</v>
      </c>
      <c r="AI750" s="8">
        <f t="shared" si="208"/>
        <v>0.28905341636020532</v>
      </c>
      <c r="AJ750" s="8"/>
      <c r="AK750" s="8"/>
      <c r="AL750" s="8"/>
      <c r="AN750" s="8">
        <f t="shared" si="215"/>
        <v>1</v>
      </c>
      <c r="AO750" s="8">
        <f t="shared" si="216"/>
        <v>1.8448981811046348</v>
      </c>
      <c r="AP750" s="8">
        <f t="shared" si="217"/>
        <v>1.2775584291013198</v>
      </c>
      <c r="AQ750" s="8"/>
      <c r="AR750" s="8">
        <f t="shared" si="218"/>
        <v>105.70487940865777</v>
      </c>
      <c r="AS750" s="8">
        <f t="shared" si="219"/>
        <v>16.801293931130971</v>
      </c>
    </row>
    <row r="751" spans="1:45">
      <c r="A751" s="19">
        <v>135.60213329999999</v>
      </c>
      <c r="B751" s="19">
        <v>66.059564699999996</v>
      </c>
      <c r="C751" s="19">
        <v>-796.84369030000005</v>
      </c>
      <c r="E751" s="9">
        <f t="shared" si="209"/>
        <v>-893.94043529999999</v>
      </c>
      <c r="F751" s="9">
        <f t="shared" si="210"/>
        <v>-256.84369030000005</v>
      </c>
      <c r="I751">
        <v>1</v>
      </c>
      <c r="J751">
        <f t="shared" si="205"/>
        <v>0.55679381399960648</v>
      </c>
      <c r="K751">
        <f t="shared" si="211"/>
        <v>-2.861812481543236</v>
      </c>
      <c r="O751">
        <f t="shared" si="212"/>
        <v>-0.50791819110792791</v>
      </c>
      <c r="P751">
        <f t="shared" si="213"/>
        <v>-0.14593319355878676</v>
      </c>
      <c r="Q751">
        <f t="shared" si="214"/>
        <v>0.84895383511671829</v>
      </c>
      <c r="R751">
        <f t="shared" si="204"/>
        <v>1</v>
      </c>
      <c r="AG751" s="8">
        <f t="shared" si="206"/>
        <v>-0.25907192668687179</v>
      </c>
      <c r="AH751" s="8">
        <f t="shared" si="207"/>
        <v>0.92159729910620003</v>
      </c>
      <c r="AI751" s="8">
        <f t="shared" si="208"/>
        <v>0.28903313838193273</v>
      </c>
      <c r="AJ751" s="8"/>
      <c r="AK751" s="8"/>
      <c r="AL751" s="8"/>
      <c r="AN751" s="8">
        <f t="shared" si="215"/>
        <v>1.0000000000000002</v>
      </c>
      <c r="AO751" s="8">
        <f t="shared" si="216"/>
        <v>1.8448357551460417</v>
      </c>
      <c r="AP751" s="8">
        <f t="shared" si="217"/>
        <v>1.2775796112163267</v>
      </c>
      <c r="AQ751" s="8"/>
      <c r="AR751" s="8">
        <f t="shared" si="218"/>
        <v>105.70130266469833</v>
      </c>
      <c r="AS751" s="8">
        <f t="shared" si="219"/>
        <v>16.800080285339916</v>
      </c>
    </row>
    <row r="752" spans="1:45">
      <c r="A752" s="19">
        <v>135.63550000000001</v>
      </c>
      <c r="B752" s="19">
        <v>65.505117409999997</v>
      </c>
      <c r="C752" s="19">
        <v>-796.85847539999997</v>
      </c>
      <c r="E752" s="9">
        <f t="shared" si="209"/>
        <v>-894.49488258999997</v>
      </c>
      <c r="F752" s="9">
        <f t="shared" si="210"/>
        <v>-256.85847539999997</v>
      </c>
      <c r="I752">
        <v>1</v>
      </c>
      <c r="J752">
        <f t="shared" si="205"/>
        <v>0.55705615651111007</v>
      </c>
      <c r="K752">
        <f t="shared" si="211"/>
        <v>-2.8619617302066516</v>
      </c>
      <c r="O752">
        <f t="shared" si="212"/>
        <v>-0.50815401408281657</v>
      </c>
      <c r="P752">
        <f t="shared" si="213"/>
        <v>-0.14591885081306732</v>
      </c>
      <c r="Q752">
        <f t="shared" si="214"/>
        <v>0.8488151665403455</v>
      </c>
      <c r="R752">
        <f t="shared" si="204"/>
        <v>1</v>
      </c>
      <c r="AG752" s="8">
        <f t="shared" si="206"/>
        <v>-0.2588330842212806</v>
      </c>
      <c r="AH752" s="8">
        <f t="shared" si="207"/>
        <v>0.92169367470424213</v>
      </c>
      <c r="AI752" s="8">
        <f t="shared" si="208"/>
        <v>0.28893979394103936</v>
      </c>
      <c r="AJ752" s="8"/>
      <c r="AK752" s="8"/>
      <c r="AL752" s="8"/>
      <c r="AN752" s="8">
        <f t="shared" si="215"/>
        <v>1</v>
      </c>
      <c r="AO752" s="8">
        <f t="shared" si="216"/>
        <v>1.8445683374585233</v>
      </c>
      <c r="AP752" s="8">
        <f t="shared" si="217"/>
        <v>1.2776771158705513</v>
      </c>
      <c r="AQ752" s="8"/>
      <c r="AR752" s="8">
        <f t="shared" si="218"/>
        <v>105.68598075983638</v>
      </c>
      <c r="AS752" s="8">
        <f t="shared" si="219"/>
        <v>16.79449368016995</v>
      </c>
    </row>
    <row r="753" spans="1:45">
      <c r="A753" s="19">
        <v>135.6688667</v>
      </c>
      <c r="B753" s="19">
        <v>65.329049420000004</v>
      </c>
      <c r="C753" s="19">
        <v>-796.85018730000002</v>
      </c>
      <c r="E753" s="9">
        <f t="shared" si="209"/>
        <v>-894.67095057999995</v>
      </c>
      <c r="F753" s="9">
        <f t="shared" si="210"/>
        <v>-256.85018730000002</v>
      </c>
      <c r="I753">
        <v>1</v>
      </c>
      <c r="J753">
        <f t="shared" si="205"/>
        <v>0.55713769963872628</v>
      </c>
      <c r="K753">
        <f t="shared" si="211"/>
        <v>-2.8620224956349829</v>
      </c>
      <c r="O753">
        <f t="shared" si="212"/>
        <v>-0.50822940598636412</v>
      </c>
      <c r="P753">
        <f t="shared" si="213"/>
        <v>-0.1459070712358988</v>
      </c>
      <c r="Q753">
        <f t="shared" si="214"/>
        <v>0.84877205270561884</v>
      </c>
      <c r="R753">
        <f t="shared" si="204"/>
        <v>1</v>
      </c>
      <c r="AG753" s="8">
        <f t="shared" si="206"/>
        <v>-0.25875390046934776</v>
      </c>
      <c r="AH753" s="8">
        <f t="shared" si="207"/>
        <v>0.921723192773237</v>
      </c>
      <c r="AI753" s="8">
        <f t="shared" si="208"/>
        <v>0.28891655351642476</v>
      </c>
      <c r="AJ753" s="8"/>
      <c r="AK753" s="8"/>
      <c r="AL753" s="8"/>
      <c r="AN753" s="8">
        <f t="shared" si="215"/>
        <v>1</v>
      </c>
      <c r="AO753" s="8">
        <f t="shared" si="216"/>
        <v>1.8444803706150812</v>
      </c>
      <c r="AP753" s="8">
        <f t="shared" si="217"/>
        <v>1.2777013916377737</v>
      </c>
      <c r="AQ753" s="8"/>
      <c r="AR753" s="8">
        <f t="shared" si="218"/>
        <v>105.68094063097006</v>
      </c>
      <c r="AS753" s="8">
        <f t="shared" si="219"/>
        <v>16.793102781163668</v>
      </c>
    </row>
    <row r="754" spans="1:45">
      <c r="A754" s="19">
        <v>135.70223329999999</v>
      </c>
      <c r="B754" s="19">
        <v>65.057399970000006</v>
      </c>
      <c r="C754" s="19">
        <v>-796.82768620000002</v>
      </c>
      <c r="E754" s="9">
        <f t="shared" si="209"/>
        <v>-894.94260002999999</v>
      </c>
      <c r="F754" s="9">
        <f t="shared" si="210"/>
        <v>-256.82768620000002</v>
      </c>
      <c r="I754">
        <v>1</v>
      </c>
      <c r="J754">
        <f t="shared" si="205"/>
        <v>0.55726218870566468</v>
      </c>
      <c r="K754">
        <f t="shared" si="211"/>
        <v>-2.8621262339041404</v>
      </c>
      <c r="O754">
        <f t="shared" si="212"/>
        <v>-0.50834609887437487</v>
      </c>
      <c r="P754">
        <f t="shared" si="213"/>
        <v>-0.14588349281655136</v>
      </c>
      <c r="Q754">
        <f t="shared" si="214"/>
        <v>0.84870622142343666</v>
      </c>
      <c r="R754">
        <f t="shared" si="204"/>
        <v>1</v>
      </c>
      <c r="AG754" s="8">
        <f t="shared" si="206"/>
        <v>-0.25862923576881314</v>
      </c>
      <c r="AH754" s="8">
        <f t="shared" si="207"/>
        <v>0.92176791826629434</v>
      </c>
      <c r="AI754" s="8">
        <f t="shared" si="208"/>
        <v>0.28888548468322506</v>
      </c>
      <c r="AJ754" s="8"/>
      <c r="AK754" s="8"/>
      <c r="AL754" s="8"/>
      <c r="AN754" s="8">
        <f t="shared" si="215"/>
        <v>1</v>
      </c>
      <c r="AO754" s="8">
        <f t="shared" si="216"/>
        <v>1.8443423736195863</v>
      </c>
      <c r="AP754" s="8">
        <f t="shared" si="217"/>
        <v>1.2777338442852257</v>
      </c>
      <c r="AQ754" s="8"/>
      <c r="AR754" s="8">
        <f t="shared" si="218"/>
        <v>105.67303398554272</v>
      </c>
      <c r="AS754" s="8">
        <f t="shared" si="219"/>
        <v>16.791243381430647</v>
      </c>
    </row>
    <row r="755" spans="1:45">
      <c r="A755" s="19">
        <v>135.73560000000001</v>
      </c>
      <c r="B755" s="19">
        <v>63.946029490000001</v>
      </c>
      <c r="C755" s="19">
        <v>-796.65279959999998</v>
      </c>
      <c r="E755" s="9">
        <f t="shared" si="209"/>
        <v>-896.05397051</v>
      </c>
      <c r="F755" s="9">
        <f t="shared" si="210"/>
        <v>-256.65279959999998</v>
      </c>
      <c r="I755">
        <v>1</v>
      </c>
      <c r="J755">
        <f t="shared" si="205"/>
        <v>0.55776021902179107</v>
      </c>
      <c r="K755">
        <f t="shared" si="211"/>
        <v>-2.8626354844594966</v>
      </c>
      <c r="O755">
        <f t="shared" si="212"/>
        <v>-0.50882660301243865</v>
      </c>
      <c r="P755">
        <f t="shared" si="213"/>
        <v>-0.14574096703100645</v>
      </c>
      <c r="Q755">
        <f t="shared" si="214"/>
        <v>0.84844272558357714</v>
      </c>
      <c r="R755">
        <f t="shared" si="204"/>
        <v>1</v>
      </c>
      <c r="AG755" s="8">
        <f t="shared" si="206"/>
        <v>-0.25809798463385564</v>
      </c>
      <c r="AH755" s="8">
        <f t="shared" si="207"/>
        <v>0.92194385006921908</v>
      </c>
      <c r="AI755" s="8">
        <f t="shared" si="208"/>
        <v>0.28879918221402068</v>
      </c>
      <c r="AJ755" s="8"/>
      <c r="AK755" s="8"/>
      <c r="AL755" s="8"/>
      <c r="AN755" s="8">
        <f t="shared" si="215"/>
        <v>0.99999999999999978</v>
      </c>
      <c r="AO755" s="8">
        <f t="shared" si="216"/>
        <v>1.8437584669566485</v>
      </c>
      <c r="AP755" s="8">
        <f t="shared" si="217"/>
        <v>1.2778239890224974</v>
      </c>
      <c r="AQ755" s="8"/>
      <c r="AR755" s="8">
        <f t="shared" si="218"/>
        <v>105.6395785981268</v>
      </c>
      <c r="AS755" s="8">
        <f t="shared" si="219"/>
        <v>16.786078468439669</v>
      </c>
    </row>
    <row r="756" spans="1:45">
      <c r="A756" s="19">
        <v>135.76896669999999</v>
      </c>
      <c r="B756" s="19">
        <v>64.239871070000007</v>
      </c>
      <c r="C756" s="19">
        <v>-796.83849299999997</v>
      </c>
      <c r="E756" s="9">
        <f t="shared" si="209"/>
        <v>-895.76012892999995</v>
      </c>
      <c r="F756" s="9">
        <f t="shared" si="210"/>
        <v>-256.83849299999997</v>
      </c>
      <c r="I756">
        <v>1</v>
      </c>
      <c r="J756">
        <f t="shared" si="205"/>
        <v>0.55764731702203307</v>
      </c>
      <c r="K756">
        <f t="shared" si="211"/>
        <v>-2.8623570875589803</v>
      </c>
      <c r="O756">
        <f t="shared" si="212"/>
        <v>-0.50869392566267402</v>
      </c>
      <c r="P756">
        <f t="shared" si="213"/>
        <v>-0.14585621423172901</v>
      </c>
      <c r="Q756">
        <f t="shared" si="214"/>
        <v>0.84850247775942633</v>
      </c>
      <c r="R756">
        <f t="shared" si="204"/>
        <v>1</v>
      </c>
      <c r="AG756" s="8">
        <f t="shared" si="206"/>
        <v>-0.25827439908595018</v>
      </c>
      <c r="AH756" s="8">
        <f t="shared" si="207"/>
        <v>0.9219088210880334</v>
      </c>
      <c r="AI756" s="8">
        <f t="shared" si="208"/>
        <v>0.28875328634816189</v>
      </c>
      <c r="AJ756" s="8"/>
      <c r="AK756" s="8"/>
      <c r="AL756" s="8"/>
      <c r="AN756" s="8">
        <f t="shared" si="215"/>
        <v>0.99999999999999978</v>
      </c>
      <c r="AO756" s="8">
        <f t="shared" si="216"/>
        <v>1.8439457717544188</v>
      </c>
      <c r="AP756" s="8">
        <f t="shared" si="217"/>
        <v>1.2778719272175385</v>
      </c>
      <c r="AQ756" s="8"/>
      <c r="AR756" s="8">
        <f t="shared" si="218"/>
        <v>105.6503103725216</v>
      </c>
      <c r="AS756" s="8">
        <f t="shared" si="219"/>
        <v>16.783331812186333</v>
      </c>
    </row>
    <row r="757" spans="1:45">
      <c r="A757" s="19">
        <v>135.80233329999999</v>
      </c>
      <c r="B757" s="19">
        <v>63.748326939999998</v>
      </c>
      <c r="C757" s="19">
        <v>-796.81927819999999</v>
      </c>
      <c r="E757" s="9">
        <f t="shared" si="209"/>
        <v>-896.25167306000003</v>
      </c>
      <c r="F757" s="9">
        <f t="shared" si="210"/>
        <v>-256.81927819999999</v>
      </c>
      <c r="I757">
        <v>1</v>
      </c>
      <c r="J757">
        <f t="shared" si="205"/>
        <v>0.55787534593172849</v>
      </c>
      <c r="K757">
        <f t="shared" si="211"/>
        <v>-2.8625222134258386</v>
      </c>
      <c r="O757">
        <f t="shared" si="212"/>
        <v>-0.50890398773755718</v>
      </c>
      <c r="P757">
        <f t="shared" si="213"/>
        <v>-0.14582550720115831</v>
      </c>
      <c r="Q757">
        <f t="shared" si="214"/>
        <v>0.84838178476104564</v>
      </c>
      <c r="R757">
        <f t="shared" si="204"/>
        <v>1</v>
      </c>
      <c r="AG757" s="8">
        <f t="shared" si="206"/>
        <v>-0.25805447791690495</v>
      </c>
      <c r="AH757" s="8">
        <f t="shared" si="207"/>
        <v>0.92199132556542673</v>
      </c>
      <c r="AI757" s="8">
        <f t="shared" si="208"/>
        <v>0.28868647701120465</v>
      </c>
      <c r="AJ757" s="8"/>
      <c r="AK757" s="8"/>
      <c r="AL757" s="8"/>
      <c r="AN757" s="8">
        <f t="shared" si="215"/>
        <v>0.99999999999999989</v>
      </c>
      <c r="AO757" s="8">
        <f t="shared" si="216"/>
        <v>1.8437013400694588</v>
      </c>
      <c r="AP757" s="8">
        <f t="shared" si="217"/>
        <v>1.2779417082776126</v>
      </c>
      <c r="AQ757" s="8"/>
      <c r="AR757" s="8">
        <f t="shared" si="218"/>
        <v>105.63630546859413</v>
      </c>
      <c r="AS757" s="8">
        <f t="shared" si="219"/>
        <v>16.779333651954147</v>
      </c>
    </row>
    <row r="758" spans="1:45">
      <c r="A758" s="19">
        <v>135.8357</v>
      </c>
      <c r="B758" s="19">
        <v>64.198960700000001</v>
      </c>
      <c r="C758" s="19">
        <v>-796.88726329999997</v>
      </c>
      <c r="E758" s="9">
        <f t="shared" si="209"/>
        <v>-895.80103929999996</v>
      </c>
      <c r="F758" s="9">
        <f t="shared" si="210"/>
        <v>-256.88726329999997</v>
      </c>
      <c r="I758">
        <v>1</v>
      </c>
      <c r="J758">
        <f t="shared" si="205"/>
        <v>0.55767307405312549</v>
      </c>
      <c r="K758">
        <f t="shared" si="211"/>
        <v>-2.8623188804202941</v>
      </c>
      <c r="O758">
        <f t="shared" si="212"/>
        <v>-0.50870936052972704</v>
      </c>
      <c r="P758">
        <f t="shared" si="213"/>
        <v>-0.14588167428750889</v>
      </c>
      <c r="Q758">
        <f t="shared" si="214"/>
        <v>0.84848884707844541</v>
      </c>
      <c r="R758">
        <f t="shared" si="204"/>
        <v>1</v>
      </c>
      <c r="AG758" s="8">
        <f t="shared" si="206"/>
        <v>-0.25826908755367728</v>
      </c>
      <c r="AH758" s="8">
        <f t="shared" si="207"/>
        <v>0.92191982405341233</v>
      </c>
      <c r="AI758" s="8">
        <f t="shared" si="208"/>
        <v>0.28872290596957556</v>
      </c>
      <c r="AJ758" s="8"/>
      <c r="AK758" s="8"/>
      <c r="AL758" s="8"/>
      <c r="AN758" s="8">
        <f t="shared" si="215"/>
        <v>1.0000000000000002</v>
      </c>
      <c r="AO758" s="8">
        <f t="shared" si="216"/>
        <v>1.8439373293838905</v>
      </c>
      <c r="AP758" s="8">
        <f t="shared" si="217"/>
        <v>1.2779036591173354</v>
      </c>
      <c r="AQ758" s="8"/>
      <c r="AR758" s="8">
        <f t="shared" si="218"/>
        <v>105.64982666032125</v>
      </c>
      <c r="AS758" s="8">
        <f t="shared" si="219"/>
        <v>16.781513708252035</v>
      </c>
    </row>
    <row r="759" spans="1:45">
      <c r="A759" s="19">
        <v>135.86906669999999</v>
      </c>
      <c r="B759" s="19">
        <v>63.887075850000002</v>
      </c>
      <c r="C759" s="19">
        <v>-796.82037649999995</v>
      </c>
      <c r="E759" s="9">
        <f t="shared" si="209"/>
        <v>-896.11292415000003</v>
      </c>
      <c r="F759" s="9">
        <f t="shared" si="210"/>
        <v>-256.82037649999995</v>
      </c>
      <c r="I759">
        <v>1</v>
      </c>
      <c r="J759">
        <f t="shared" si="205"/>
        <v>0.55781040345441668</v>
      </c>
      <c r="K759">
        <f t="shared" si="211"/>
        <v>-2.862480080432269</v>
      </c>
      <c r="O759">
        <f t="shared" si="212"/>
        <v>-0.50884487833173908</v>
      </c>
      <c r="P759">
        <f t="shared" si="213"/>
        <v>-0.14583176931323796</v>
      </c>
      <c r="Q759">
        <f t="shared" si="214"/>
        <v>0.84841616253730578</v>
      </c>
      <c r="R759">
        <f t="shared" si="204"/>
        <v>1</v>
      </c>
      <c r="AG759" s="8">
        <f t="shared" si="206"/>
        <v>-0.2581154349831658</v>
      </c>
      <c r="AH759" s="8">
        <f t="shared" si="207"/>
        <v>0.92196768981536059</v>
      </c>
      <c r="AI759" s="8">
        <f t="shared" si="208"/>
        <v>0.28870746640843592</v>
      </c>
      <c r="AJ759" s="8"/>
      <c r="AK759" s="8"/>
      <c r="AL759" s="8"/>
      <c r="AN759" s="8">
        <f t="shared" si="215"/>
        <v>1</v>
      </c>
      <c r="AO759" s="8">
        <f t="shared" si="216"/>
        <v>1.8437693059470388</v>
      </c>
      <c r="AP759" s="8">
        <f t="shared" si="217"/>
        <v>1.2779197854164248</v>
      </c>
      <c r="AQ759" s="8"/>
      <c r="AR759" s="8">
        <f t="shared" si="218"/>
        <v>105.64019962653036</v>
      </c>
      <c r="AS759" s="8">
        <f t="shared" si="219"/>
        <v>16.780589739375046</v>
      </c>
    </row>
    <row r="760" spans="1:45">
      <c r="A760" s="19">
        <v>135.90243330000001</v>
      </c>
      <c r="B760" s="19">
        <v>62.646698639999997</v>
      </c>
      <c r="C760" s="19">
        <v>-796.73650710000004</v>
      </c>
      <c r="E760" s="9">
        <f t="shared" si="209"/>
        <v>-897.35330136000005</v>
      </c>
      <c r="F760" s="9">
        <f t="shared" si="210"/>
        <v>-256.73650710000004</v>
      </c>
      <c r="I760">
        <v>1</v>
      </c>
      <c r="J760">
        <f t="shared" si="205"/>
        <v>0.5583808825926474</v>
      </c>
      <c r="K760">
        <f t="shared" si="211"/>
        <v>-2.8629325874777853</v>
      </c>
      <c r="O760">
        <f t="shared" si="212"/>
        <v>-0.50937606651612022</v>
      </c>
      <c r="P760">
        <f t="shared" si="213"/>
        <v>-0.14573460856441606</v>
      </c>
      <c r="Q760">
        <f t="shared" si="214"/>
        <v>0.84811405290039943</v>
      </c>
      <c r="R760">
        <f t="shared" si="204"/>
        <v>1</v>
      </c>
      <c r="AG760" s="8">
        <f t="shared" si="206"/>
        <v>-0.25755152200883341</v>
      </c>
      <c r="AH760" s="8">
        <f t="shared" si="207"/>
        <v>0.92217268984019785</v>
      </c>
      <c r="AI760" s="8">
        <f t="shared" si="208"/>
        <v>0.28855630927745729</v>
      </c>
      <c r="AJ760" s="8"/>
      <c r="AK760" s="8"/>
      <c r="AL760" s="8"/>
      <c r="AN760" s="8">
        <f t="shared" si="215"/>
        <v>1</v>
      </c>
      <c r="AO760" s="8">
        <f t="shared" si="216"/>
        <v>1.8431444248709379</v>
      </c>
      <c r="AP760" s="8">
        <f t="shared" si="217"/>
        <v>1.2780776617409111</v>
      </c>
      <c r="AQ760" s="8"/>
      <c r="AR760" s="8">
        <f t="shared" si="218"/>
        <v>105.60439657817219</v>
      </c>
      <c r="AS760" s="8">
        <f t="shared" si="219"/>
        <v>16.771544092296949</v>
      </c>
    </row>
    <row r="761" spans="1:45">
      <c r="A761" s="19">
        <v>135.9358</v>
      </c>
      <c r="B761" s="19">
        <v>62.427362359999996</v>
      </c>
      <c r="C761" s="19">
        <v>-796.96727139999996</v>
      </c>
      <c r="E761" s="9">
        <f t="shared" si="209"/>
        <v>-897.57263764000004</v>
      </c>
      <c r="F761" s="9">
        <f t="shared" si="210"/>
        <v>-256.96727139999996</v>
      </c>
      <c r="I761">
        <v>1</v>
      </c>
      <c r="J761">
        <f t="shared" si="205"/>
        <v>0.55851467522705267</v>
      </c>
      <c r="K761">
        <f t="shared" si="211"/>
        <v>-2.8627595747556827</v>
      </c>
      <c r="O761">
        <f t="shared" si="212"/>
        <v>-0.50945992922965444</v>
      </c>
      <c r="P761">
        <f t="shared" si="213"/>
        <v>-0.14585396480667781</v>
      </c>
      <c r="Q761">
        <f t="shared" si="214"/>
        <v>0.84804316013955794</v>
      </c>
      <c r="R761">
        <f t="shared" si="204"/>
        <v>1</v>
      </c>
      <c r="AG761" s="8">
        <f t="shared" si="206"/>
        <v>-0.25751517964056447</v>
      </c>
      <c r="AH761" s="8">
        <f t="shared" si="207"/>
        <v>0.92222903561819525</v>
      </c>
      <c r="AI761" s="8">
        <f t="shared" si="208"/>
        <v>0.28840863044891929</v>
      </c>
      <c r="AJ761" s="8"/>
      <c r="AK761" s="8"/>
      <c r="AL761" s="8"/>
      <c r="AN761" s="8">
        <f t="shared" si="215"/>
        <v>1</v>
      </c>
      <c r="AO761" s="8">
        <f t="shared" si="216"/>
        <v>1.8430920393557564</v>
      </c>
      <c r="AP761" s="8">
        <f t="shared" si="217"/>
        <v>1.2782318978922782</v>
      </c>
      <c r="AQ761" s="8"/>
      <c r="AR761" s="8">
        <f t="shared" si="218"/>
        <v>105.60139510924466</v>
      </c>
      <c r="AS761" s="8">
        <f t="shared" si="219"/>
        <v>16.762707011775277</v>
      </c>
    </row>
    <row r="762" spans="1:45">
      <c r="A762" s="19">
        <v>135.96916669999999</v>
      </c>
      <c r="B762" s="19">
        <v>62.21556228</v>
      </c>
      <c r="C762" s="19">
        <v>-796.86282979999999</v>
      </c>
      <c r="E762" s="9">
        <f t="shared" si="209"/>
        <v>-897.78443772000003</v>
      </c>
      <c r="F762" s="9">
        <f t="shared" si="210"/>
        <v>-256.86282979999999</v>
      </c>
      <c r="I762">
        <v>1</v>
      </c>
      <c r="J762">
        <f t="shared" si="205"/>
        <v>0.55859994668947144</v>
      </c>
      <c r="K762">
        <f t="shared" si="211"/>
        <v>-2.8629295267589803</v>
      </c>
      <c r="O762">
        <f t="shared" si="212"/>
        <v>-0.50955423249563991</v>
      </c>
      <c r="P762">
        <f t="shared" si="213"/>
        <v>-0.14578726985710758</v>
      </c>
      <c r="Q762">
        <f t="shared" si="214"/>
        <v>0.84799796939225647</v>
      </c>
      <c r="R762">
        <f t="shared" si="204"/>
        <v>1</v>
      </c>
      <c r="AG762" s="8">
        <f t="shared" si="206"/>
        <v>-0.25739568290098475</v>
      </c>
      <c r="AH762" s="8">
        <f t="shared" si="207"/>
        <v>0.92225658513569519</v>
      </c>
      <c r="AI762" s="8">
        <f t="shared" si="208"/>
        <v>0.28842720675723688</v>
      </c>
      <c r="AJ762" s="8"/>
      <c r="AK762" s="8"/>
      <c r="AL762" s="8"/>
      <c r="AN762" s="8">
        <f t="shared" si="215"/>
        <v>1</v>
      </c>
      <c r="AO762" s="8">
        <f t="shared" si="216"/>
        <v>1.8429640988564755</v>
      </c>
      <c r="AP762" s="8">
        <f t="shared" si="217"/>
        <v>1.278212497141765</v>
      </c>
      <c r="AQ762" s="8"/>
      <c r="AR762" s="8">
        <f t="shared" si="218"/>
        <v>105.59406465860707</v>
      </c>
      <c r="AS762" s="8">
        <f t="shared" si="219"/>
        <v>16.763818592899071</v>
      </c>
    </row>
    <row r="763" spans="1:45">
      <c r="A763" s="19">
        <v>136.00253330000001</v>
      </c>
      <c r="B763" s="19">
        <v>62.105561899999998</v>
      </c>
      <c r="C763" s="19">
        <v>-796.84962310000003</v>
      </c>
      <c r="E763" s="9">
        <f t="shared" si="209"/>
        <v>-897.8944381</v>
      </c>
      <c r="F763" s="9">
        <f t="shared" si="210"/>
        <v>-256.84962310000003</v>
      </c>
      <c r="I763">
        <v>1</v>
      </c>
      <c r="J763">
        <f t="shared" si="205"/>
        <v>0.55864973672137597</v>
      </c>
      <c r="K763">
        <f t="shared" si="211"/>
        <v>-2.8629755217170452</v>
      </c>
      <c r="O763">
        <f t="shared" si="212"/>
        <v>-0.50960153043588907</v>
      </c>
      <c r="P763">
        <f t="shared" si="213"/>
        <v>-0.1457754447177719</v>
      </c>
      <c r="Q763">
        <f t="shared" si="214"/>
        <v>0.84797157965036507</v>
      </c>
      <c r="R763">
        <f t="shared" si="204"/>
        <v>1</v>
      </c>
      <c r="AG763" s="8">
        <f t="shared" si="206"/>
        <v>-0.2573442081704474</v>
      </c>
      <c r="AH763" s="8">
        <f t="shared" si="207"/>
        <v>0.92227425283592379</v>
      </c>
      <c r="AI763" s="8">
        <f t="shared" si="208"/>
        <v>0.28841664493760422</v>
      </c>
      <c r="AJ763" s="8"/>
      <c r="AK763" s="8"/>
      <c r="AL763" s="8"/>
      <c r="AN763" s="8">
        <f t="shared" si="215"/>
        <v>1</v>
      </c>
      <c r="AO763" s="8">
        <f t="shared" si="216"/>
        <v>1.8429073582662303</v>
      </c>
      <c r="AP763" s="8">
        <f t="shared" si="217"/>
        <v>1.278223527723432</v>
      </c>
      <c r="AQ763" s="8"/>
      <c r="AR763" s="8">
        <f t="shared" si="218"/>
        <v>105.59081366225894</v>
      </c>
      <c r="AS763" s="8">
        <f t="shared" si="219"/>
        <v>16.763186587123968</v>
      </c>
    </row>
    <row r="764" spans="1:45">
      <c r="A764" s="19">
        <v>136.0359</v>
      </c>
      <c r="B764" s="19">
        <v>62.148074299999998</v>
      </c>
      <c r="C764" s="19">
        <v>-796.85078629999998</v>
      </c>
      <c r="E764" s="9">
        <f t="shared" si="209"/>
        <v>-897.85192570000004</v>
      </c>
      <c r="F764" s="9">
        <f t="shared" si="210"/>
        <v>-256.85078629999998</v>
      </c>
      <c r="I764">
        <v>1</v>
      </c>
      <c r="J764">
        <f t="shared" si="205"/>
        <v>0.55862996592210645</v>
      </c>
      <c r="K764">
        <f t="shared" si="211"/>
        <v>-2.8629618041818179</v>
      </c>
      <c r="O764">
        <f t="shared" si="212"/>
        <v>-0.50958341211285318</v>
      </c>
      <c r="P764">
        <f t="shared" si="213"/>
        <v>-0.14577782409340923</v>
      </c>
      <c r="Q764">
        <f t="shared" si="214"/>
        <v>0.84798205883262234</v>
      </c>
      <c r="R764">
        <f t="shared" si="204"/>
        <v>0.99999999999999989</v>
      </c>
      <c r="AG764" s="8">
        <f t="shared" si="206"/>
        <v>-0.25736308519667972</v>
      </c>
      <c r="AH764" s="8">
        <f t="shared" si="207"/>
        <v>0.9222671019191202</v>
      </c>
      <c r="AI764" s="8">
        <f t="shared" si="208"/>
        <v>0.28842266744441858</v>
      </c>
      <c r="AJ764" s="8"/>
      <c r="AK764" s="8"/>
      <c r="AL764" s="8"/>
      <c r="AN764" s="8">
        <f t="shared" si="215"/>
        <v>1</v>
      </c>
      <c r="AO764" s="8">
        <f t="shared" si="216"/>
        <v>1.8429283549352913</v>
      </c>
      <c r="AP764" s="8">
        <f t="shared" si="217"/>
        <v>1.278217237926017</v>
      </c>
      <c r="AQ764" s="8"/>
      <c r="AR764" s="8">
        <f t="shared" si="218"/>
        <v>105.59201668277997</v>
      </c>
      <c r="AS764" s="8">
        <f t="shared" si="219"/>
        <v>16.763546965969837</v>
      </c>
    </row>
    <row r="765" spans="1:45">
      <c r="A765" s="19">
        <v>136.06926669999999</v>
      </c>
      <c r="B765" s="19">
        <v>61.283892160000001</v>
      </c>
      <c r="C765" s="19">
        <v>-796.85465590000001</v>
      </c>
      <c r="E765" s="9">
        <f t="shared" si="209"/>
        <v>-898.71610783999995</v>
      </c>
      <c r="F765" s="9">
        <f t="shared" si="210"/>
        <v>-256.85465590000001</v>
      </c>
      <c r="I765">
        <v>1</v>
      </c>
      <c r="J765">
        <f t="shared" si="205"/>
        <v>0.55903546940671256</v>
      </c>
      <c r="K765">
        <f t="shared" si="211"/>
        <v>-2.8632121131594879</v>
      </c>
      <c r="O765">
        <f t="shared" si="212"/>
        <v>-0.50995046541358768</v>
      </c>
      <c r="P765">
        <f t="shared" si="213"/>
        <v>-0.1457447465080611</v>
      </c>
      <c r="Q765">
        <f t="shared" si="214"/>
        <v>0.84776706216375641</v>
      </c>
      <c r="R765">
        <f t="shared" si="204"/>
        <v>1</v>
      </c>
      <c r="AG765" s="8">
        <f t="shared" si="206"/>
        <v>-0.25698651967409653</v>
      </c>
      <c r="AH765" s="8">
        <f t="shared" si="207"/>
        <v>0.92241460646812179</v>
      </c>
      <c r="AI765" s="8">
        <f t="shared" si="208"/>
        <v>0.2882867018786251</v>
      </c>
      <c r="AJ765" s="8"/>
      <c r="AK765" s="8"/>
      <c r="AL765" s="8"/>
      <c r="AN765" s="8">
        <f t="shared" si="215"/>
        <v>1</v>
      </c>
      <c r="AO765" s="8">
        <f t="shared" si="216"/>
        <v>1.8425081601700828</v>
      </c>
      <c r="AP765" s="8">
        <f t="shared" si="217"/>
        <v>1.2783592350070339</v>
      </c>
      <c r="AQ765" s="8"/>
      <c r="AR765" s="8">
        <f t="shared" si="218"/>
        <v>105.56794129616003</v>
      </c>
      <c r="AS765" s="8">
        <f t="shared" si="219"/>
        <v>16.755411132524401</v>
      </c>
    </row>
    <row r="766" spans="1:45">
      <c r="A766" s="19">
        <v>136.10263330000001</v>
      </c>
      <c r="B766" s="19">
        <v>60.949312509999999</v>
      </c>
      <c r="C766" s="19">
        <v>-796.79166380000004</v>
      </c>
      <c r="E766" s="9">
        <f t="shared" si="209"/>
        <v>-899.05068748999997</v>
      </c>
      <c r="F766" s="9">
        <f t="shared" si="210"/>
        <v>-256.79166380000004</v>
      </c>
      <c r="I766">
        <v>1</v>
      </c>
      <c r="J766">
        <f t="shared" si="205"/>
        <v>0.55918378896099796</v>
      </c>
      <c r="K766">
        <f t="shared" si="211"/>
        <v>-2.8633752236819974</v>
      </c>
      <c r="O766">
        <f t="shared" si="212"/>
        <v>-0.51009513079918389</v>
      </c>
      <c r="P766">
        <f t="shared" si="213"/>
        <v>-0.14569609829218683</v>
      </c>
      <c r="Q766">
        <f t="shared" si="214"/>
        <v>0.84768838878292829</v>
      </c>
      <c r="R766">
        <f t="shared" si="204"/>
        <v>1</v>
      </c>
      <c r="AG766" s="8">
        <f t="shared" si="206"/>
        <v>-0.25682413365499757</v>
      </c>
      <c r="AH766" s="8">
        <f t="shared" si="207"/>
        <v>0.92246636100336044</v>
      </c>
      <c r="AI766" s="8">
        <f t="shared" si="208"/>
        <v>0.28826580995598117</v>
      </c>
      <c r="AJ766" s="8"/>
      <c r="AK766" s="8"/>
      <c r="AL766" s="8"/>
      <c r="AN766" s="8">
        <f t="shared" si="215"/>
        <v>1</v>
      </c>
      <c r="AO766" s="8">
        <f t="shared" si="216"/>
        <v>1.8423302912380226</v>
      </c>
      <c r="AP766" s="8">
        <f t="shared" si="217"/>
        <v>1.2783810531699622</v>
      </c>
      <c r="AQ766" s="8"/>
      <c r="AR766" s="8">
        <f t="shared" si="218"/>
        <v>105.55775015704648</v>
      </c>
      <c r="AS766" s="8">
        <f t="shared" si="219"/>
        <v>16.754161043871875</v>
      </c>
    </row>
    <row r="767" spans="1:45">
      <c r="A767" s="19">
        <v>136.136</v>
      </c>
      <c r="B767" s="19">
        <v>60.536716720000001</v>
      </c>
      <c r="C767" s="19">
        <v>-796.71546999999998</v>
      </c>
      <c r="E767" s="9">
        <f t="shared" si="209"/>
        <v>-899.46328328000004</v>
      </c>
      <c r="F767" s="9">
        <f t="shared" si="210"/>
        <v>-256.71546999999998</v>
      </c>
      <c r="I767">
        <v>1</v>
      </c>
      <c r="J767">
        <f t="shared" si="205"/>
        <v>0.5593668715243858</v>
      </c>
      <c r="K767">
        <f t="shared" si="211"/>
        <v>-2.8635746933166564</v>
      </c>
      <c r="O767">
        <f t="shared" si="212"/>
        <v>-0.51027341164954954</v>
      </c>
      <c r="P767">
        <f t="shared" si="213"/>
        <v>-0.14563693831106539</v>
      </c>
      <c r="Q767">
        <f t="shared" si="214"/>
        <v>0.84759125028689875</v>
      </c>
      <c r="R767">
        <f t="shared" si="204"/>
        <v>1</v>
      </c>
      <c r="AG767" s="8">
        <f t="shared" si="206"/>
        <v>-0.25662429603768855</v>
      </c>
      <c r="AH767" s="8">
        <f t="shared" si="207"/>
        <v>0.92253025513211906</v>
      </c>
      <c r="AI767" s="8">
        <f t="shared" si="208"/>
        <v>0.28823930864652753</v>
      </c>
      <c r="AJ767" s="8"/>
      <c r="AK767" s="8"/>
      <c r="AL767" s="8"/>
      <c r="AN767" s="8">
        <f t="shared" si="215"/>
        <v>1</v>
      </c>
      <c r="AO767" s="8">
        <f t="shared" si="216"/>
        <v>1.8421113461568488</v>
      </c>
      <c r="AP767" s="8">
        <f t="shared" si="217"/>
        <v>1.2784087292048447</v>
      </c>
      <c r="AQ767" s="8"/>
      <c r="AR767" s="8">
        <f t="shared" si="218"/>
        <v>105.54520552795007</v>
      </c>
      <c r="AS767" s="8">
        <f t="shared" si="219"/>
        <v>16.752575323879455</v>
      </c>
    </row>
    <row r="768" spans="1:45">
      <c r="A768" s="19">
        <v>136.16936670000001</v>
      </c>
      <c r="B768" s="19">
        <v>60.334686220000002</v>
      </c>
      <c r="C768" s="19">
        <v>-796.78478380000001</v>
      </c>
      <c r="E768" s="9">
        <f t="shared" si="209"/>
        <v>-899.66531378000002</v>
      </c>
      <c r="F768" s="9">
        <f t="shared" si="210"/>
        <v>-256.78478380000001</v>
      </c>
      <c r="I768">
        <v>1</v>
      </c>
      <c r="J768">
        <f t="shared" si="205"/>
        <v>0.55947076077494884</v>
      </c>
      <c r="K768">
        <f t="shared" si="211"/>
        <v>-2.863562717055991</v>
      </c>
      <c r="O768">
        <f t="shared" si="212"/>
        <v>-0.51035633878203723</v>
      </c>
      <c r="P768">
        <f t="shared" si="213"/>
        <v>-0.145667216583557</v>
      </c>
      <c r="Q768">
        <f t="shared" si="214"/>
        <v>0.84753611691643771</v>
      </c>
      <c r="R768">
        <f t="shared" si="204"/>
        <v>1</v>
      </c>
      <c r="AG768" s="8">
        <f t="shared" si="206"/>
        <v>-0.25655395143533244</v>
      </c>
      <c r="AH768" s="8">
        <f t="shared" si="207"/>
        <v>0.92257026755188287</v>
      </c>
      <c r="AI768" s="8">
        <f t="shared" si="208"/>
        <v>0.28817385626070313</v>
      </c>
      <c r="AJ768" s="8"/>
      <c r="AK768" s="8"/>
      <c r="AL768" s="8"/>
      <c r="AN768" s="8">
        <f t="shared" si="215"/>
        <v>1</v>
      </c>
      <c r="AO768" s="8">
        <f t="shared" si="216"/>
        <v>1.8420293741282336</v>
      </c>
      <c r="AP768" s="8">
        <f t="shared" si="217"/>
        <v>1.2784770819153668</v>
      </c>
      <c r="AQ768" s="8"/>
      <c r="AR768" s="8">
        <f t="shared" si="218"/>
        <v>105.54050887667231</v>
      </c>
      <c r="AS768" s="8">
        <f t="shared" si="219"/>
        <v>16.748659002048257</v>
      </c>
    </row>
    <row r="769" spans="1:45">
      <c r="A769" s="19">
        <v>137.8043333</v>
      </c>
      <c r="B769" s="19">
        <v>43.325971160000002</v>
      </c>
      <c r="C769" s="19">
        <v>-797.82772509999995</v>
      </c>
      <c r="E769" s="9">
        <f t="shared" si="209"/>
        <v>-916.67402884000001</v>
      </c>
      <c r="F769" s="9">
        <f t="shared" si="210"/>
        <v>-257.82772509999995</v>
      </c>
      <c r="I769">
        <v>1</v>
      </c>
      <c r="J769">
        <f t="shared" si="205"/>
        <v>0.56753911627320375</v>
      </c>
      <c r="K769">
        <f t="shared" si="211"/>
        <v>-2.8674119042015227</v>
      </c>
      <c r="O769">
        <f t="shared" si="212"/>
        <v>-0.51747935273871659</v>
      </c>
      <c r="P769">
        <f t="shared" si="213"/>
        <v>-0.14554849390865798</v>
      </c>
      <c r="Q769">
        <f t="shared" si="214"/>
        <v>0.84322639629582297</v>
      </c>
      <c r="R769">
        <f t="shared" si="204"/>
        <v>1</v>
      </c>
      <c r="AG769" s="8">
        <f t="shared" si="206"/>
        <v>-0.24942264295926675</v>
      </c>
      <c r="AH769" s="8">
        <f t="shared" si="207"/>
        <v>0.92549840921994564</v>
      </c>
      <c r="AI769" s="8">
        <f t="shared" si="208"/>
        <v>0.28502813845402009</v>
      </c>
      <c r="AJ769" s="8"/>
      <c r="AK769" s="8"/>
      <c r="AL769" s="8"/>
      <c r="AN769" s="8">
        <f t="shared" si="215"/>
        <v>0.99999999999999989</v>
      </c>
      <c r="AO769" s="8">
        <f t="shared" si="216"/>
        <v>1.8340429036899537</v>
      </c>
      <c r="AP769" s="8">
        <f t="shared" si="217"/>
        <v>1.2817605425764811</v>
      </c>
      <c r="AQ769" s="8"/>
      <c r="AR769" s="8">
        <f t="shared" si="218"/>
        <v>105.08291782735286</v>
      </c>
      <c r="AS769" s="8">
        <f t="shared" si="219"/>
        <v>16.560530563969166</v>
      </c>
    </row>
    <row r="770" spans="1:45">
      <c r="A770" s="19">
        <v>140.03989999999999</v>
      </c>
      <c r="B770" s="19">
        <v>22.699753149999999</v>
      </c>
      <c r="C770" s="19">
        <v>-798.95024039999998</v>
      </c>
      <c r="E770" s="9">
        <f t="shared" si="209"/>
        <v>-937.30024685000001</v>
      </c>
      <c r="F770" s="9">
        <f t="shared" si="210"/>
        <v>-258.95024039999998</v>
      </c>
      <c r="I770">
        <v>1</v>
      </c>
      <c r="J770">
        <f t="shared" si="205"/>
        <v>0.57720633490662099</v>
      </c>
      <c r="K770">
        <f t="shared" si="211"/>
        <v>-2.872043836550207</v>
      </c>
      <c r="O770">
        <f t="shared" si="212"/>
        <v>-0.525980942947335</v>
      </c>
      <c r="P770">
        <f t="shared" si="213"/>
        <v>-0.14531404646458843</v>
      </c>
      <c r="Q770">
        <f t="shared" si="214"/>
        <v>0.83799037915498764</v>
      </c>
      <c r="R770">
        <f t="shared" si="204"/>
        <v>1</v>
      </c>
      <c r="AG770" s="8">
        <f t="shared" si="206"/>
        <v>-0.24081020167417683</v>
      </c>
      <c r="AH770" s="8">
        <f t="shared" si="207"/>
        <v>0.92891407385906366</v>
      </c>
      <c r="AI770" s="8">
        <f t="shared" si="208"/>
        <v>0.28129893379854909</v>
      </c>
      <c r="AJ770" s="8"/>
      <c r="AK770" s="8"/>
      <c r="AL770" s="8"/>
      <c r="AN770" s="8">
        <f t="shared" si="215"/>
        <v>1.0000000000000002</v>
      </c>
      <c r="AO770" s="8">
        <f t="shared" si="216"/>
        <v>1.8244508807926372</v>
      </c>
      <c r="AP770" s="8">
        <f t="shared" si="217"/>
        <v>1.2856488940418491</v>
      </c>
      <c r="AQ770" s="8"/>
      <c r="AR770" s="8">
        <f t="shared" si="218"/>
        <v>104.53333539834378</v>
      </c>
      <c r="AS770" s="8">
        <f t="shared" si="219"/>
        <v>16.337744435740078</v>
      </c>
    </row>
    <row r="771" spans="1:45">
      <c r="A771" s="19">
        <v>142.24209999999999</v>
      </c>
      <c r="B771" s="19">
        <v>7.6861114720000003</v>
      </c>
      <c r="C771" s="19">
        <v>-800.35338439999998</v>
      </c>
      <c r="E771" s="9">
        <f t="shared" si="209"/>
        <v>-952.31388852800001</v>
      </c>
      <c r="F771" s="9">
        <f t="shared" si="210"/>
        <v>-260.35338439999998</v>
      </c>
      <c r="I771">
        <v>1</v>
      </c>
      <c r="J771">
        <f t="shared" si="205"/>
        <v>0.58424788532825045</v>
      </c>
      <c r="K771">
        <f t="shared" si="211"/>
        <v>-2.8747235783687519</v>
      </c>
      <c r="O771">
        <f t="shared" si="212"/>
        <v>-0.532047234010537</v>
      </c>
      <c r="P771">
        <f t="shared" si="213"/>
        <v>-0.14545655555797285</v>
      </c>
      <c r="Q771">
        <f t="shared" si="214"/>
        <v>0.83412716729941561</v>
      </c>
      <c r="R771">
        <f t="shared" si="204"/>
        <v>1</v>
      </c>
      <c r="AG771" s="8">
        <f t="shared" si="206"/>
        <v>-0.23474192246147474</v>
      </c>
      <c r="AH771" s="8">
        <f t="shared" si="207"/>
        <v>0.931363763040163</v>
      </c>
      <c r="AI771" s="8">
        <f t="shared" si="208"/>
        <v>0.27831236180730112</v>
      </c>
      <c r="AJ771" s="8"/>
      <c r="AK771" s="8"/>
      <c r="AL771" s="8"/>
      <c r="AN771" s="8">
        <f t="shared" si="215"/>
        <v>1</v>
      </c>
      <c r="AO771" s="8">
        <f t="shared" si="216"/>
        <v>1.8176950755917216</v>
      </c>
      <c r="AP771" s="8">
        <f t="shared" si="217"/>
        <v>1.2887597244877369</v>
      </c>
      <c r="AQ771" s="8"/>
      <c r="AR771" s="8">
        <f t="shared" si="218"/>
        <v>104.14625627311878</v>
      </c>
      <c r="AS771" s="8">
        <f t="shared" si="219"/>
        <v>16.159506980409901</v>
      </c>
    </row>
    <row r="772" spans="1:45">
      <c r="A772" s="19">
        <v>142.27546670000001</v>
      </c>
      <c r="B772" s="19">
        <v>7.2651682470000001</v>
      </c>
      <c r="C772" s="19">
        <v>-799.79212680000001</v>
      </c>
      <c r="E772" s="9">
        <f t="shared" si="209"/>
        <v>-952.73483175299998</v>
      </c>
      <c r="F772" s="9">
        <f>(($C$15/2)+C772)</f>
        <v>-259.79212680000001</v>
      </c>
      <c r="I772">
        <v>1</v>
      </c>
      <c r="J772">
        <f t="shared" si="205"/>
        <v>0.5843697879523686</v>
      </c>
      <c r="K772">
        <f t="shared" si="211"/>
        <v>-2.875384221137999</v>
      </c>
      <c r="O772">
        <f t="shared" si="212"/>
        <v>-0.53224130932739988</v>
      </c>
      <c r="P772">
        <f t="shared" si="213"/>
        <v>-0.14513177970681104</v>
      </c>
      <c r="Q772">
        <f t="shared" si="214"/>
        <v>0.83405992300588849</v>
      </c>
      <c r="R772">
        <f t="shared" si="204"/>
        <v>1</v>
      </c>
      <c r="AG772" s="8">
        <f t="shared" si="206"/>
        <v>-0.23441874337180074</v>
      </c>
      <c r="AH772" s="8">
        <f t="shared" si="207"/>
        <v>0.93138328812238957</v>
      </c>
      <c r="AI772" s="8">
        <f t="shared" si="208"/>
        <v>0.27851934109198145</v>
      </c>
      <c r="AJ772" s="8"/>
      <c r="AK772" s="8"/>
      <c r="AL772" s="8"/>
      <c r="AN772" s="8">
        <f t="shared" si="215"/>
        <v>0.99999999999999989</v>
      </c>
      <c r="AO772" s="8">
        <f t="shared" si="216"/>
        <v>1.8173638173207001</v>
      </c>
      <c r="AP772" s="8">
        <f t="shared" si="217"/>
        <v>1.2885442244665724</v>
      </c>
      <c r="AQ772" s="8"/>
      <c r="AR772" s="8">
        <f t="shared" si="218"/>
        <v>104.12727657226046</v>
      </c>
      <c r="AS772" s="8">
        <f t="shared" si="219"/>
        <v>16.171854222107612</v>
      </c>
    </row>
    <row r="773" spans="1:45">
      <c r="A773" s="19"/>
      <c r="B773" s="19"/>
      <c r="C773" s="19"/>
      <c r="E773" s="9"/>
      <c r="F773" s="9"/>
      <c r="AG773" s="8"/>
      <c r="AH773" s="8"/>
      <c r="AI773" s="8"/>
      <c r="AJ773" s="8"/>
      <c r="AK773" s="8"/>
      <c r="AL773" s="8"/>
      <c r="AN773" s="8"/>
      <c r="AO773" s="8"/>
      <c r="AP773" s="8"/>
      <c r="AQ773" s="8"/>
      <c r="AR773" s="8"/>
      <c r="AS773" s="8"/>
    </row>
    <row r="774" spans="1:45">
      <c r="A774" s="19"/>
      <c r="B774" s="19"/>
      <c r="C774" s="19"/>
      <c r="E774" s="9"/>
      <c r="F774" s="9"/>
      <c r="AG774" s="8"/>
      <c r="AH774" s="8"/>
      <c r="AI774" s="8"/>
      <c r="AJ774" s="8"/>
      <c r="AK774" s="8"/>
      <c r="AL774" s="8"/>
      <c r="AN774" s="8"/>
      <c r="AO774" s="8"/>
      <c r="AP774" s="8"/>
      <c r="AQ774" s="8"/>
      <c r="AR774" s="8"/>
      <c r="AS774" s="8"/>
    </row>
    <row r="775" spans="1:45">
      <c r="A775" s="19"/>
      <c r="B775" s="19"/>
      <c r="C775" s="19"/>
      <c r="E775" s="9"/>
      <c r="F775" s="9"/>
      <c r="AG775" s="8"/>
      <c r="AH775" s="8"/>
      <c r="AI775" s="8"/>
      <c r="AJ775" s="8"/>
      <c r="AK775" s="8"/>
      <c r="AL775" s="8"/>
      <c r="AN775" s="8"/>
      <c r="AO775" s="8"/>
      <c r="AP775" s="8"/>
      <c r="AQ775" s="8"/>
      <c r="AR775" s="8"/>
      <c r="AS775" s="8"/>
    </row>
    <row r="776" spans="1:45">
      <c r="A776" s="19"/>
      <c r="B776" s="19"/>
      <c r="C776" s="19"/>
      <c r="E776" s="9"/>
      <c r="F776" s="9"/>
      <c r="AG776" s="8"/>
      <c r="AH776" s="8"/>
      <c r="AI776" s="8"/>
      <c r="AJ776" s="8"/>
      <c r="AK776" s="8"/>
      <c r="AL776" s="8"/>
      <c r="AN776" s="8"/>
      <c r="AO776" s="8"/>
      <c r="AP776" s="8"/>
      <c r="AQ776" s="8"/>
      <c r="AR776" s="8"/>
      <c r="AS776" s="8"/>
    </row>
    <row r="777" spans="1:45">
      <c r="A777" s="19"/>
      <c r="B777" s="19"/>
      <c r="C777" s="19"/>
      <c r="E777" s="9"/>
      <c r="F777" s="9"/>
      <c r="AG777" s="8"/>
      <c r="AH777" s="8"/>
      <c r="AI777" s="8"/>
      <c r="AJ777" s="8"/>
      <c r="AK777" s="8"/>
      <c r="AL777" s="8"/>
      <c r="AN777" s="8"/>
      <c r="AO777" s="8"/>
      <c r="AP777" s="8"/>
      <c r="AQ777" s="8"/>
      <c r="AR777" s="8"/>
      <c r="AS777" s="8"/>
    </row>
    <row r="778" spans="1:45">
      <c r="A778" s="19"/>
      <c r="B778" s="19"/>
      <c r="C778" s="19"/>
      <c r="E778" s="9"/>
      <c r="F778" s="9"/>
      <c r="AG778" s="8"/>
      <c r="AH778" s="8"/>
      <c r="AI778" s="8"/>
      <c r="AJ778" s="8"/>
      <c r="AK778" s="8"/>
      <c r="AL778" s="8"/>
      <c r="AN778" s="8"/>
      <c r="AO778" s="8"/>
      <c r="AP778" s="8"/>
      <c r="AQ778" s="8"/>
      <c r="AR778" s="8"/>
      <c r="AS778" s="8"/>
    </row>
    <row r="779" spans="1:45">
      <c r="A779" s="19"/>
      <c r="B779" s="19"/>
      <c r="C779" s="19"/>
      <c r="E779" s="9"/>
      <c r="F779" s="9"/>
      <c r="AG779" s="8"/>
      <c r="AH779" s="8"/>
      <c r="AI779" s="8"/>
      <c r="AJ779" s="8"/>
      <c r="AK779" s="8"/>
      <c r="AL779" s="8"/>
      <c r="AN779" s="8"/>
      <c r="AO779" s="8"/>
      <c r="AP779" s="8"/>
      <c r="AQ779" s="8"/>
      <c r="AR779" s="8"/>
      <c r="AS779" s="8"/>
    </row>
    <row r="780" spans="1:45">
      <c r="A780" s="19"/>
      <c r="B780" s="19"/>
      <c r="C780" s="19"/>
      <c r="E780" s="9"/>
      <c r="F780" s="9"/>
      <c r="AG780" s="8"/>
      <c r="AH780" s="8"/>
      <c r="AI780" s="8"/>
      <c r="AJ780" s="8"/>
      <c r="AK780" s="8"/>
      <c r="AL780" s="8"/>
      <c r="AN780" s="8"/>
      <c r="AO780" s="8"/>
      <c r="AP780" s="8"/>
      <c r="AQ780" s="8"/>
      <c r="AR780" s="8"/>
      <c r="AS780" s="8"/>
    </row>
    <row r="781" spans="1:45">
      <c r="A781" s="19"/>
      <c r="B781" s="19"/>
      <c r="C781" s="19"/>
      <c r="E781" s="9"/>
      <c r="F781" s="9"/>
      <c r="AG781" s="8"/>
      <c r="AH781" s="8"/>
      <c r="AI781" s="8"/>
      <c r="AJ781" s="8"/>
      <c r="AK781" s="8"/>
      <c r="AL781" s="8"/>
      <c r="AN781" s="8"/>
      <c r="AO781" s="8"/>
      <c r="AP781" s="8"/>
      <c r="AQ781" s="8"/>
      <c r="AR781" s="8"/>
      <c r="AS781" s="8"/>
    </row>
    <row r="782" spans="1:45">
      <c r="A782" s="19"/>
      <c r="B782" s="19"/>
      <c r="C782" s="19"/>
      <c r="E782" s="9"/>
      <c r="F782" s="9"/>
      <c r="AG782" s="8"/>
      <c r="AH782" s="8"/>
      <c r="AI782" s="8"/>
      <c r="AJ782" s="8"/>
      <c r="AK782" s="8"/>
      <c r="AL782" s="8"/>
      <c r="AN782" s="8"/>
      <c r="AO782" s="8"/>
      <c r="AP782" s="8"/>
      <c r="AQ782" s="8"/>
      <c r="AR782" s="8"/>
      <c r="AS782" s="8"/>
    </row>
    <row r="783" spans="1:45">
      <c r="A783" s="19"/>
      <c r="B783" s="19"/>
      <c r="C783" s="19"/>
      <c r="E783" s="9"/>
      <c r="F783" s="9"/>
      <c r="AG783" s="8"/>
      <c r="AH783" s="8"/>
      <c r="AI783" s="8"/>
      <c r="AJ783" s="8"/>
      <c r="AK783" s="8"/>
      <c r="AL783" s="8"/>
      <c r="AN783" s="8"/>
      <c r="AO783" s="8"/>
      <c r="AP783" s="8"/>
      <c r="AQ783" s="8"/>
      <c r="AR783" s="8"/>
      <c r="AS783" s="8"/>
    </row>
    <row r="784" spans="1:45">
      <c r="A784" s="19"/>
      <c r="B784" s="19"/>
      <c r="C784" s="19"/>
      <c r="E784" s="9"/>
      <c r="F784" s="9"/>
      <c r="AG784" s="8"/>
      <c r="AH784" s="8"/>
      <c r="AI784" s="8"/>
      <c r="AJ784" s="8"/>
      <c r="AK784" s="8"/>
      <c r="AL784" s="8"/>
      <c r="AN784" s="8"/>
      <c r="AO784" s="8"/>
      <c r="AP784" s="8"/>
      <c r="AQ784" s="8"/>
      <c r="AR784" s="8"/>
      <c r="AS784" s="8"/>
    </row>
    <row r="785" spans="1:45">
      <c r="A785" s="19"/>
      <c r="B785" s="19"/>
      <c r="C785" s="19"/>
      <c r="E785" s="9"/>
      <c r="F785" s="9"/>
      <c r="AG785" s="8"/>
      <c r="AH785" s="8"/>
      <c r="AI785" s="8"/>
      <c r="AJ785" s="8"/>
      <c r="AK785" s="8"/>
      <c r="AL785" s="8"/>
      <c r="AN785" s="8"/>
      <c r="AO785" s="8"/>
      <c r="AP785" s="8"/>
      <c r="AQ785" s="8"/>
      <c r="AR785" s="8"/>
      <c r="AS785" s="8"/>
    </row>
    <row r="786" spans="1:45">
      <c r="A786" s="19"/>
      <c r="B786" s="19"/>
      <c r="C786" s="19"/>
      <c r="E786" s="9"/>
      <c r="F786" s="9"/>
      <c r="AG786" s="8"/>
      <c r="AH786" s="8"/>
      <c r="AI786" s="8"/>
      <c r="AJ786" s="8"/>
      <c r="AK786" s="8"/>
      <c r="AL786" s="8"/>
      <c r="AN786" s="8"/>
      <c r="AO786" s="8"/>
      <c r="AP786" s="8"/>
      <c r="AQ786" s="8"/>
      <c r="AR786" s="8"/>
      <c r="AS786" s="8"/>
    </row>
    <row r="787" spans="1:45">
      <c r="A787" s="19"/>
      <c r="B787" s="19"/>
      <c r="C787" s="19"/>
      <c r="E787" s="9"/>
      <c r="F787" s="9"/>
      <c r="AG787" s="8"/>
      <c r="AH787" s="8"/>
      <c r="AI787" s="8"/>
      <c r="AJ787" s="8"/>
      <c r="AK787" s="8"/>
      <c r="AL787" s="8"/>
      <c r="AN787" s="8"/>
      <c r="AO787" s="8"/>
      <c r="AP787" s="8"/>
      <c r="AQ787" s="8"/>
      <c r="AR787" s="8"/>
      <c r="AS787" s="8"/>
    </row>
    <row r="788" spans="1:45">
      <c r="A788" s="19"/>
      <c r="B788" s="19"/>
      <c r="C788" s="19"/>
      <c r="E788" s="9"/>
      <c r="F788" s="9"/>
      <c r="AG788" s="8"/>
      <c r="AH788" s="8"/>
      <c r="AI788" s="8"/>
      <c r="AJ788" s="8"/>
      <c r="AK788" s="8"/>
      <c r="AL788" s="8"/>
      <c r="AN788" s="8"/>
      <c r="AO788" s="8"/>
      <c r="AP788" s="8"/>
      <c r="AQ788" s="8"/>
      <c r="AR788" s="8"/>
      <c r="AS788" s="8"/>
    </row>
    <row r="789" spans="1:45">
      <c r="A789" s="19"/>
      <c r="B789" s="19"/>
      <c r="C789" s="19"/>
      <c r="E789" s="9"/>
      <c r="F789" s="9"/>
      <c r="AG789" s="8"/>
      <c r="AH789" s="8"/>
      <c r="AI789" s="8"/>
      <c r="AJ789" s="8"/>
      <c r="AK789" s="8"/>
      <c r="AL789" s="8"/>
      <c r="AN789" s="8"/>
      <c r="AO789" s="8"/>
      <c r="AP789" s="8"/>
      <c r="AQ789" s="8"/>
      <c r="AR789" s="8"/>
      <c r="AS789" s="8"/>
    </row>
    <row r="790" spans="1:45">
      <c r="A790" s="19"/>
      <c r="B790" s="19"/>
      <c r="C790" s="19"/>
      <c r="E790" s="9"/>
      <c r="F790" s="9"/>
      <c r="AG790" s="8"/>
      <c r="AH790" s="8"/>
      <c r="AI790" s="8"/>
      <c r="AJ790" s="8"/>
      <c r="AK790" s="8"/>
      <c r="AL790" s="8"/>
      <c r="AN790" s="8"/>
      <c r="AO790" s="8"/>
      <c r="AP790" s="8"/>
      <c r="AQ790" s="8"/>
      <c r="AR790" s="8"/>
      <c r="AS790" s="8"/>
    </row>
    <row r="791" spans="1:45">
      <c r="A791" s="19"/>
      <c r="B791" s="19"/>
      <c r="C791" s="19"/>
      <c r="E791" s="9"/>
      <c r="F791" s="9"/>
      <c r="AG791" s="8"/>
      <c r="AH791" s="8"/>
      <c r="AI791" s="8"/>
      <c r="AJ791" s="8"/>
      <c r="AK791" s="8"/>
      <c r="AL791" s="8"/>
      <c r="AN791" s="8"/>
      <c r="AO791" s="8"/>
      <c r="AP791" s="8"/>
      <c r="AQ791" s="8"/>
      <c r="AR791" s="8"/>
      <c r="AS791" s="8"/>
    </row>
    <row r="792" spans="1:45">
      <c r="A792" s="19"/>
      <c r="B792" s="19"/>
      <c r="C792" s="19"/>
      <c r="E792" s="9"/>
      <c r="F792" s="9"/>
      <c r="AG792" s="8"/>
      <c r="AH792" s="8"/>
      <c r="AI792" s="8"/>
      <c r="AJ792" s="8"/>
      <c r="AK792" s="8"/>
      <c r="AL792" s="8"/>
      <c r="AN792" s="8"/>
      <c r="AO792" s="8"/>
      <c r="AP792" s="8"/>
      <c r="AQ792" s="8"/>
      <c r="AR792" s="8"/>
      <c r="AS792" s="8"/>
    </row>
    <row r="793" spans="1:45">
      <c r="A793" s="19"/>
      <c r="B793" s="19"/>
      <c r="C793" s="19"/>
      <c r="E793" s="9"/>
      <c r="F793" s="9"/>
      <c r="AG793" s="8"/>
      <c r="AH793" s="8"/>
      <c r="AI793" s="8"/>
      <c r="AJ793" s="8"/>
      <c r="AK793" s="8"/>
      <c r="AL793" s="8"/>
      <c r="AN793" s="8"/>
      <c r="AO793" s="8"/>
      <c r="AP793" s="8"/>
      <c r="AQ793" s="8"/>
      <c r="AR793" s="8"/>
      <c r="AS793" s="8"/>
    </row>
    <row r="794" spans="1:45">
      <c r="A794" s="19"/>
      <c r="B794" s="19"/>
      <c r="C794" s="19"/>
      <c r="E794" s="9"/>
      <c r="F794" s="9"/>
      <c r="AG794" s="8"/>
      <c r="AH794" s="8"/>
      <c r="AI794" s="8"/>
      <c r="AJ794" s="8"/>
      <c r="AK794" s="8"/>
      <c r="AL794" s="8"/>
      <c r="AN794" s="8"/>
      <c r="AO794" s="8"/>
      <c r="AP794" s="8"/>
      <c r="AQ794" s="8"/>
      <c r="AR794" s="8"/>
      <c r="AS794" s="8"/>
    </row>
    <row r="795" spans="1:45">
      <c r="A795" s="19"/>
      <c r="B795" s="19"/>
      <c r="C795" s="19"/>
      <c r="E795" s="9"/>
      <c r="F795" s="9"/>
      <c r="AG795" s="8"/>
      <c r="AH795" s="8"/>
      <c r="AI795" s="8"/>
      <c r="AJ795" s="8"/>
      <c r="AK795" s="8"/>
      <c r="AL795" s="8"/>
      <c r="AN795" s="8"/>
      <c r="AO795" s="8"/>
      <c r="AP795" s="8"/>
      <c r="AQ795" s="8"/>
      <c r="AR795" s="8"/>
      <c r="AS795" s="8"/>
    </row>
    <row r="796" spans="1:45">
      <c r="A796" s="19"/>
      <c r="B796" s="19"/>
      <c r="C796" s="19"/>
      <c r="E796" s="9"/>
      <c r="F796" s="9"/>
      <c r="AG796" s="8"/>
      <c r="AH796" s="8"/>
      <c r="AI796" s="8"/>
      <c r="AJ796" s="8"/>
      <c r="AK796" s="8"/>
      <c r="AL796" s="8"/>
      <c r="AN796" s="8"/>
      <c r="AO796" s="8"/>
      <c r="AP796" s="8"/>
      <c r="AQ796" s="8"/>
      <c r="AR796" s="8"/>
      <c r="AS796" s="8"/>
    </row>
    <row r="797" spans="1:45">
      <c r="A797" s="19"/>
      <c r="B797" s="19"/>
      <c r="C797" s="19"/>
      <c r="E797" s="9"/>
      <c r="F797" s="9"/>
      <c r="AG797" s="8"/>
      <c r="AH797" s="8"/>
      <c r="AI797" s="8"/>
      <c r="AJ797" s="8"/>
      <c r="AK797" s="8"/>
      <c r="AL797" s="8"/>
      <c r="AN797" s="8"/>
      <c r="AO797" s="8"/>
      <c r="AP797" s="8"/>
      <c r="AQ797" s="8"/>
      <c r="AR797" s="8"/>
      <c r="AS797" s="8"/>
    </row>
    <row r="798" spans="1:45">
      <c r="A798" s="19"/>
      <c r="B798" s="19"/>
      <c r="C798" s="19"/>
      <c r="E798" s="9"/>
      <c r="F798" s="9"/>
      <c r="AG798" s="8"/>
      <c r="AH798" s="8"/>
      <c r="AI798" s="8"/>
      <c r="AJ798" s="8"/>
      <c r="AK798" s="8"/>
      <c r="AL798" s="8"/>
      <c r="AN798" s="8"/>
      <c r="AO798" s="8"/>
      <c r="AP798" s="8"/>
      <c r="AQ798" s="8"/>
      <c r="AR798" s="8"/>
      <c r="AS798" s="8"/>
    </row>
    <row r="799" spans="1:45">
      <c r="A799" s="19"/>
      <c r="B799" s="19"/>
      <c r="C799" s="19"/>
      <c r="E799" s="9"/>
      <c r="F799" s="9"/>
      <c r="AG799" s="8"/>
      <c r="AH799" s="8"/>
      <c r="AI799" s="8"/>
      <c r="AJ799" s="8"/>
      <c r="AK799" s="8"/>
      <c r="AL799" s="8"/>
      <c r="AN799" s="8"/>
      <c r="AO799" s="8"/>
      <c r="AP799" s="8"/>
      <c r="AQ799" s="8"/>
      <c r="AR799" s="8"/>
      <c r="AS799" s="8"/>
    </row>
    <row r="800" spans="1:45">
      <c r="A800" s="19"/>
      <c r="B800" s="19"/>
      <c r="C800" s="19"/>
      <c r="E800" s="9"/>
      <c r="F800" s="9"/>
      <c r="AG800" s="8"/>
      <c r="AH800" s="8"/>
      <c r="AI800" s="8"/>
      <c r="AJ800" s="8"/>
      <c r="AK800" s="8"/>
      <c r="AL800" s="8"/>
      <c r="AN800" s="8"/>
      <c r="AO800" s="8"/>
      <c r="AP800" s="8"/>
      <c r="AQ800" s="8"/>
      <c r="AR800" s="8"/>
      <c r="AS800" s="8"/>
    </row>
    <row r="801" spans="1:45">
      <c r="A801" s="19"/>
      <c r="B801" s="19"/>
      <c r="C801" s="19"/>
      <c r="E801" s="9"/>
      <c r="F801" s="9"/>
      <c r="AG801" s="8"/>
      <c r="AH801" s="8"/>
      <c r="AI801" s="8"/>
      <c r="AJ801" s="8"/>
      <c r="AK801" s="8"/>
      <c r="AL801" s="8"/>
      <c r="AN801" s="8"/>
      <c r="AO801" s="8"/>
      <c r="AP801" s="8"/>
      <c r="AQ801" s="8"/>
      <c r="AR801" s="8"/>
      <c r="AS801" s="8"/>
    </row>
    <row r="802" spans="1:45">
      <c r="A802" s="19"/>
      <c r="B802" s="19"/>
      <c r="C802" s="19"/>
      <c r="E802" s="9"/>
      <c r="F802" s="9"/>
      <c r="AG802" s="8"/>
      <c r="AH802" s="8"/>
      <c r="AI802" s="8"/>
      <c r="AJ802" s="8"/>
      <c r="AK802" s="8"/>
      <c r="AL802" s="8"/>
      <c r="AN802" s="8"/>
      <c r="AO802" s="8"/>
      <c r="AP802" s="8"/>
      <c r="AQ802" s="8"/>
      <c r="AR802" s="8"/>
      <c r="AS802" s="8"/>
    </row>
    <row r="803" spans="1:45">
      <c r="A803" s="19"/>
      <c r="B803" s="19"/>
      <c r="C803" s="19"/>
      <c r="E803" s="9"/>
      <c r="F803" s="9"/>
      <c r="AG803" s="8"/>
      <c r="AH803" s="8"/>
      <c r="AI803" s="8"/>
      <c r="AJ803" s="8"/>
      <c r="AK803" s="8"/>
      <c r="AL803" s="8"/>
      <c r="AN803" s="8"/>
      <c r="AO803" s="8"/>
      <c r="AP803" s="8"/>
      <c r="AQ803" s="8"/>
      <c r="AR803" s="8"/>
      <c r="AS803" s="8"/>
    </row>
    <row r="804" spans="1:45">
      <c r="A804" s="19"/>
      <c r="B804" s="19"/>
      <c r="C804" s="19"/>
      <c r="E804" s="9"/>
      <c r="F804" s="9"/>
      <c r="AG804" s="8"/>
      <c r="AH804" s="8"/>
      <c r="AI804" s="8"/>
      <c r="AJ804" s="8"/>
      <c r="AK804" s="8"/>
      <c r="AL804" s="8"/>
      <c r="AN804" s="8"/>
      <c r="AO804" s="8"/>
      <c r="AP804" s="8"/>
      <c r="AQ804" s="8"/>
      <c r="AR804" s="8"/>
      <c r="AS804" s="8"/>
    </row>
    <row r="805" spans="1:45">
      <c r="A805" s="19"/>
      <c r="B805" s="19"/>
      <c r="C805" s="19"/>
      <c r="E805" s="9"/>
      <c r="F805" s="9"/>
      <c r="AG805" s="8"/>
      <c r="AH805" s="8"/>
      <c r="AI805" s="8"/>
      <c r="AJ805" s="8"/>
      <c r="AK805" s="8"/>
      <c r="AL805" s="8"/>
      <c r="AN805" s="8"/>
      <c r="AO805" s="8"/>
      <c r="AP805" s="8"/>
      <c r="AQ805" s="8"/>
      <c r="AR805" s="8"/>
      <c r="AS805" s="8"/>
    </row>
    <row r="806" spans="1:45">
      <c r="A806" s="19"/>
      <c r="B806" s="19"/>
      <c r="C806" s="19"/>
      <c r="E806" s="9"/>
      <c r="F806" s="9"/>
      <c r="AG806" s="8"/>
      <c r="AH806" s="8"/>
      <c r="AI806" s="8"/>
      <c r="AJ806" s="8"/>
      <c r="AK806" s="8"/>
      <c r="AL806" s="8"/>
      <c r="AN806" s="8"/>
      <c r="AO806" s="8"/>
      <c r="AP806" s="8"/>
      <c r="AQ806" s="8"/>
      <c r="AR806" s="8"/>
      <c r="AS806" s="8"/>
    </row>
    <row r="807" spans="1:45">
      <c r="A807" s="19"/>
      <c r="B807" s="19"/>
      <c r="C807" s="19"/>
      <c r="E807" s="9"/>
      <c r="F807" s="9"/>
      <c r="AG807" s="8"/>
      <c r="AH807" s="8"/>
      <c r="AI807" s="8"/>
      <c r="AJ807" s="8"/>
      <c r="AK807" s="8"/>
      <c r="AL807" s="8"/>
      <c r="AN807" s="8"/>
      <c r="AO807" s="8"/>
      <c r="AP807" s="8"/>
      <c r="AQ807" s="8"/>
      <c r="AR807" s="8"/>
      <c r="AS807" s="8"/>
    </row>
    <row r="808" spans="1:45">
      <c r="A808" s="19"/>
      <c r="B808" s="19"/>
      <c r="C808" s="19"/>
      <c r="E808" s="9"/>
      <c r="F808" s="9"/>
      <c r="AG808" s="8"/>
      <c r="AH808" s="8"/>
      <c r="AI808" s="8"/>
      <c r="AJ808" s="8"/>
      <c r="AK808" s="8"/>
      <c r="AL808" s="8"/>
      <c r="AN808" s="8"/>
      <c r="AO808" s="8"/>
      <c r="AP808" s="8"/>
      <c r="AQ808" s="8"/>
      <c r="AR808" s="8"/>
      <c r="AS808" s="8"/>
    </row>
    <row r="809" spans="1:45">
      <c r="A809" s="19"/>
      <c r="B809" s="19"/>
      <c r="C809" s="19"/>
      <c r="E809" s="9"/>
      <c r="F809" s="9"/>
      <c r="AG809" s="8"/>
      <c r="AH809" s="8"/>
      <c r="AI809" s="8"/>
      <c r="AJ809" s="8"/>
      <c r="AK809" s="8"/>
      <c r="AL809" s="8"/>
      <c r="AN809" s="8"/>
      <c r="AO809" s="8"/>
      <c r="AP809" s="8"/>
      <c r="AQ809" s="8"/>
      <c r="AR809" s="8"/>
      <c r="AS809" s="8"/>
    </row>
    <row r="810" spans="1:45">
      <c r="A810" s="19"/>
      <c r="B810" s="19"/>
      <c r="C810" s="19"/>
      <c r="E810" s="9"/>
      <c r="F810" s="9"/>
      <c r="AG810" s="8"/>
      <c r="AH810" s="8"/>
      <c r="AI810" s="8"/>
      <c r="AJ810" s="8"/>
      <c r="AK810" s="8"/>
      <c r="AL810" s="8"/>
      <c r="AN810" s="8"/>
      <c r="AO810" s="8"/>
      <c r="AP810" s="8"/>
      <c r="AQ810" s="8"/>
      <c r="AR810" s="8"/>
      <c r="AS810" s="8"/>
    </row>
    <row r="811" spans="1:45">
      <c r="A811" s="19"/>
      <c r="B811" s="19"/>
      <c r="C811" s="19"/>
      <c r="E811" s="9"/>
      <c r="F811" s="9"/>
      <c r="AG811" s="8"/>
      <c r="AH811" s="8"/>
      <c r="AI811" s="8"/>
      <c r="AJ811" s="8"/>
      <c r="AK811" s="8"/>
      <c r="AL811" s="8"/>
      <c r="AN811" s="8"/>
      <c r="AO811" s="8"/>
      <c r="AP811" s="8"/>
      <c r="AQ811" s="8"/>
      <c r="AR811" s="8"/>
      <c r="AS811" s="8"/>
    </row>
    <row r="812" spans="1:45">
      <c r="A812" s="19"/>
      <c r="B812" s="19"/>
      <c r="C812" s="19"/>
      <c r="E812" s="9"/>
      <c r="F812" s="9"/>
      <c r="AG812" s="8"/>
      <c r="AH812" s="8"/>
      <c r="AI812" s="8"/>
      <c r="AJ812" s="8"/>
      <c r="AK812" s="8"/>
      <c r="AL812" s="8"/>
      <c r="AN812" s="8"/>
      <c r="AO812" s="8"/>
      <c r="AP812" s="8"/>
      <c r="AQ812" s="8"/>
      <c r="AR812" s="8"/>
      <c r="AS812" s="8"/>
    </row>
    <row r="813" spans="1:45">
      <c r="A813" s="19"/>
      <c r="B813" s="19"/>
      <c r="C813" s="19"/>
      <c r="E813" s="9"/>
      <c r="F813" s="9"/>
      <c r="AG813" s="8"/>
      <c r="AH813" s="8"/>
      <c r="AI813" s="8"/>
      <c r="AJ813" s="8"/>
      <c r="AK813" s="8"/>
      <c r="AL813" s="8"/>
      <c r="AN813" s="8"/>
      <c r="AO813" s="8"/>
      <c r="AP813" s="8"/>
      <c r="AQ813" s="8"/>
      <c r="AR813" s="8"/>
      <c r="AS813" s="8"/>
    </row>
    <row r="814" spans="1:45">
      <c r="A814" s="19"/>
      <c r="B814" s="19"/>
      <c r="C814" s="19"/>
      <c r="E814" s="9"/>
      <c r="F814" s="9"/>
      <c r="AG814" s="8"/>
      <c r="AH814" s="8"/>
      <c r="AI814" s="8"/>
      <c r="AJ814" s="8"/>
      <c r="AK814" s="8"/>
      <c r="AL814" s="8"/>
      <c r="AN814" s="8"/>
      <c r="AO814" s="8"/>
      <c r="AP814" s="8"/>
      <c r="AQ814" s="8"/>
      <c r="AR814" s="8"/>
      <c r="AS814" s="8"/>
    </row>
    <row r="815" spans="1:45">
      <c r="A815" s="19"/>
      <c r="B815" s="19"/>
      <c r="C815" s="19"/>
      <c r="E815" s="9"/>
      <c r="F815" s="9"/>
      <c r="AG815" s="8"/>
      <c r="AH815" s="8"/>
      <c r="AI815" s="8"/>
      <c r="AJ815" s="8"/>
      <c r="AK815" s="8"/>
      <c r="AL815" s="8"/>
      <c r="AN815" s="8"/>
      <c r="AO815" s="8"/>
      <c r="AP815" s="8"/>
      <c r="AQ815" s="8"/>
      <c r="AR815" s="8"/>
      <c r="AS815" s="8"/>
    </row>
    <row r="816" spans="1:45">
      <c r="A816" s="19"/>
      <c r="B816" s="19"/>
      <c r="C816" s="19"/>
      <c r="E816" s="9"/>
      <c r="F816" s="9"/>
      <c r="AG816" s="8"/>
      <c r="AH816" s="8"/>
      <c r="AI816" s="8"/>
      <c r="AJ816" s="8"/>
      <c r="AK816" s="8"/>
      <c r="AL816" s="8"/>
      <c r="AN816" s="8"/>
      <c r="AO816" s="8"/>
      <c r="AP816" s="8"/>
      <c r="AQ816" s="8"/>
      <c r="AR816" s="8"/>
      <c r="AS816" s="8"/>
    </row>
    <row r="817" spans="1:45">
      <c r="A817" s="19"/>
      <c r="B817" s="19"/>
      <c r="C817" s="19"/>
      <c r="E817" s="9"/>
      <c r="F817" s="9"/>
      <c r="AG817" s="8"/>
      <c r="AH817" s="8"/>
      <c r="AI817" s="8"/>
      <c r="AJ817" s="8"/>
      <c r="AK817" s="8"/>
      <c r="AL817" s="8"/>
      <c r="AN817" s="8"/>
      <c r="AO817" s="8"/>
      <c r="AP817" s="8"/>
      <c r="AQ817" s="8"/>
      <c r="AR817" s="8"/>
      <c r="AS817" s="8"/>
    </row>
    <row r="818" spans="1:45">
      <c r="A818" s="19"/>
      <c r="B818" s="19"/>
      <c r="C818" s="19"/>
      <c r="E818" s="9"/>
      <c r="F818" s="9"/>
      <c r="AG818" s="8"/>
      <c r="AH818" s="8"/>
      <c r="AI818" s="8"/>
      <c r="AJ818" s="8"/>
      <c r="AK818" s="8"/>
      <c r="AL818" s="8"/>
      <c r="AN818" s="8"/>
      <c r="AO818" s="8"/>
      <c r="AP818" s="8"/>
      <c r="AQ818" s="8"/>
      <c r="AR818" s="8"/>
      <c r="AS818" s="8"/>
    </row>
    <row r="819" spans="1:45">
      <c r="A819" s="19"/>
      <c r="B819" s="19"/>
      <c r="C819" s="19"/>
      <c r="E819" s="9"/>
      <c r="F819" s="9"/>
      <c r="AG819" s="8"/>
      <c r="AH819" s="8"/>
      <c r="AI819" s="8"/>
      <c r="AJ819" s="8"/>
      <c r="AK819" s="8"/>
      <c r="AL819" s="8"/>
      <c r="AN819" s="8"/>
      <c r="AO819" s="8"/>
      <c r="AP819" s="8"/>
      <c r="AQ819" s="8"/>
      <c r="AR819" s="8"/>
      <c r="AS819" s="8"/>
    </row>
    <row r="820" spans="1:45">
      <c r="A820" s="19"/>
      <c r="B820" s="19"/>
      <c r="C820" s="19"/>
      <c r="E820" s="9"/>
      <c r="F820" s="9"/>
      <c r="AG820" s="8"/>
      <c r="AH820" s="8"/>
      <c r="AI820" s="8"/>
      <c r="AJ820" s="8"/>
      <c r="AK820" s="8"/>
      <c r="AL820" s="8"/>
      <c r="AN820" s="8"/>
      <c r="AO820" s="8"/>
      <c r="AP820" s="8"/>
      <c r="AQ820" s="8"/>
      <c r="AR820" s="8"/>
      <c r="AS820" s="8"/>
    </row>
    <row r="821" spans="1:45">
      <c r="A821" s="19"/>
      <c r="B821" s="19"/>
      <c r="C821" s="19"/>
      <c r="E821" s="9"/>
      <c r="F821" s="9"/>
      <c r="AG821" s="8"/>
      <c r="AH821" s="8"/>
      <c r="AI821" s="8"/>
      <c r="AJ821" s="8"/>
      <c r="AK821" s="8"/>
      <c r="AL821" s="8"/>
      <c r="AN821" s="8"/>
      <c r="AO821" s="8"/>
      <c r="AP821" s="8"/>
      <c r="AQ821" s="8"/>
      <c r="AR821" s="8"/>
      <c r="AS821" s="8"/>
    </row>
    <row r="822" spans="1:45">
      <c r="A822" s="19"/>
      <c r="B822" s="19"/>
      <c r="C822" s="19"/>
      <c r="E822" s="9"/>
      <c r="F822" s="9"/>
      <c r="AG822" s="8"/>
      <c r="AH822" s="8"/>
      <c r="AI822" s="8"/>
      <c r="AJ822" s="8"/>
      <c r="AK822" s="8"/>
      <c r="AL822" s="8"/>
      <c r="AN822" s="8"/>
      <c r="AO822" s="8"/>
      <c r="AP822" s="8"/>
      <c r="AQ822" s="8"/>
      <c r="AR822" s="8"/>
      <c r="AS822" s="8"/>
    </row>
    <row r="823" spans="1:45">
      <c r="A823" s="19"/>
      <c r="B823" s="19"/>
      <c r="C823" s="19"/>
      <c r="E823" s="9"/>
      <c r="F823" s="9"/>
      <c r="AG823" s="8"/>
      <c r="AH823" s="8"/>
      <c r="AI823" s="8"/>
      <c r="AJ823" s="8"/>
      <c r="AK823" s="8"/>
      <c r="AL823" s="8"/>
      <c r="AN823" s="8"/>
      <c r="AO823" s="8"/>
      <c r="AP823" s="8"/>
      <c r="AQ823" s="8"/>
      <c r="AR823" s="8"/>
      <c r="AS823" s="8"/>
    </row>
    <row r="824" spans="1:45">
      <c r="A824" s="19"/>
      <c r="B824" s="19"/>
      <c r="C824" s="19"/>
      <c r="E824" s="9"/>
      <c r="F824" s="9"/>
      <c r="AG824" s="8"/>
      <c r="AH824" s="8"/>
      <c r="AI824" s="8"/>
      <c r="AJ824" s="8"/>
      <c r="AK824" s="8"/>
      <c r="AL824" s="8"/>
      <c r="AN824" s="8"/>
      <c r="AO824" s="8"/>
      <c r="AP824" s="8"/>
      <c r="AQ824" s="8"/>
      <c r="AR824" s="8"/>
      <c r="AS824" s="8"/>
    </row>
    <row r="825" spans="1:45">
      <c r="A825" s="19"/>
      <c r="B825" s="19"/>
      <c r="C825" s="19"/>
      <c r="E825" s="9"/>
      <c r="F825" s="9"/>
      <c r="AG825" s="8"/>
      <c r="AH825" s="8"/>
      <c r="AI825" s="8"/>
      <c r="AJ825" s="8"/>
      <c r="AK825" s="8"/>
      <c r="AL825" s="8"/>
      <c r="AN825" s="8"/>
      <c r="AO825" s="8"/>
      <c r="AP825" s="8"/>
      <c r="AQ825" s="8"/>
      <c r="AR825" s="8"/>
      <c r="AS825" s="8"/>
    </row>
    <row r="826" spans="1:45">
      <c r="A826" s="19"/>
      <c r="B826" s="19"/>
      <c r="C826" s="19"/>
      <c r="E826" s="9"/>
      <c r="F826" s="9"/>
      <c r="AG826" s="8"/>
      <c r="AH826" s="8"/>
      <c r="AI826" s="8"/>
      <c r="AJ826" s="8"/>
      <c r="AK826" s="8"/>
      <c r="AL826" s="8"/>
      <c r="AN826" s="8"/>
      <c r="AO826" s="8"/>
      <c r="AP826" s="8"/>
      <c r="AQ826" s="8"/>
      <c r="AR826" s="8"/>
      <c r="AS826" s="8"/>
    </row>
    <row r="827" spans="1:45">
      <c r="A827" s="19"/>
      <c r="B827" s="19"/>
      <c r="C827" s="19"/>
      <c r="E827" s="9"/>
      <c r="F827" s="9"/>
      <c r="AG827" s="8"/>
      <c r="AH827" s="8"/>
      <c r="AI827" s="8"/>
      <c r="AJ827" s="8"/>
      <c r="AK827" s="8"/>
      <c r="AL827" s="8"/>
      <c r="AN827" s="8"/>
      <c r="AO827" s="8"/>
      <c r="AP827" s="8"/>
      <c r="AQ827" s="8"/>
      <c r="AR827" s="8"/>
      <c r="AS827" s="8"/>
    </row>
    <row r="828" spans="1:45">
      <c r="A828" s="19"/>
      <c r="B828" s="19"/>
      <c r="C828" s="19"/>
      <c r="E828" s="9"/>
      <c r="F828" s="9"/>
      <c r="AG828" s="8"/>
      <c r="AH828" s="8"/>
      <c r="AI828" s="8"/>
      <c r="AJ828" s="8"/>
      <c r="AK828" s="8"/>
      <c r="AL828" s="8"/>
      <c r="AN828" s="8"/>
      <c r="AO828" s="8"/>
      <c r="AP828" s="8"/>
      <c r="AQ828" s="8"/>
      <c r="AR828" s="8"/>
      <c r="AS828" s="8"/>
    </row>
    <row r="829" spans="1:45">
      <c r="A829" s="19"/>
      <c r="B829" s="19"/>
      <c r="C829" s="19"/>
      <c r="E829" s="9"/>
      <c r="F829" s="9"/>
      <c r="AG829" s="8"/>
      <c r="AH829" s="8"/>
      <c r="AI829" s="8"/>
      <c r="AJ829" s="8"/>
      <c r="AK829" s="8"/>
      <c r="AL829" s="8"/>
      <c r="AN829" s="8"/>
      <c r="AO829" s="8"/>
      <c r="AP829" s="8"/>
      <c r="AQ829" s="8"/>
      <c r="AR829" s="8"/>
      <c r="AS829" s="8"/>
    </row>
    <row r="830" spans="1:45">
      <c r="A830" s="19"/>
      <c r="B830" s="19"/>
      <c r="C830" s="19"/>
      <c r="E830" s="9"/>
      <c r="F830" s="9"/>
      <c r="AG830" s="8"/>
      <c r="AH830" s="8"/>
      <c r="AI830" s="8"/>
      <c r="AJ830" s="8"/>
      <c r="AK830" s="8"/>
      <c r="AL830" s="8"/>
      <c r="AN830" s="8"/>
      <c r="AO830" s="8"/>
      <c r="AP830" s="8"/>
      <c r="AQ830" s="8"/>
      <c r="AR830" s="8"/>
      <c r="AS830" s="8"/>
    </row>
    <row r="831" spans="1:45">
      <c r="A831" s="19"/>
      <c r="B831" s="19"/>
      <c r="C831" s="19"/>
      <c r="E831" s="9"/>
      <c r="F831" s="9"/>
      <c r="AG831" s="8"/>
      <c r="AH831" s="8"/>
      <c r="AI831" s="8"/>
      <c r="AJ831" s="8"/>
      <c r="AK831" s="8"/>
      <c r="AL831" s="8"/>
      <c r="AN831" s="8"/>
      <c r="AO831" s="8"/>
      <c r="AP831" s="8"/>
      <c r="AQ831" s="8"/>
      <c r="AR831" s="8"/>
      <c r="AS831" s="8"/>
    </row>
    <row r="832" spans="1:45">
      <c r="A832" s="19"/>
      <c r="B832" s="19"/>
      <c r="C832" s="19"/>
      <c r="E832" s="9"/>
      <c r="F832" s="9"/>
      <c r="AG832" s="8"/>
      <c r="AH832" s="8"/>
      <c r="AI832" s="8"/>
      <c r="AJ832" s="8"/>
      <c r="AK832" s="8"/>
      <c r="AL832" s="8"/>
      <c r="AN832" s="8"/>
      <c r="AO832" s="8"/>
      <c r="AP832" s="8"/>
      <c r="AQ832" s="8"/>
      <c r="AR832" s="8"/>
      <c r="AS832" s="8"/>
    </row>
    <row r="833" spans="1:45">
      <c r="A833" s="19"/>
      <c r="B833" s="19"/>
      <c r="C833" s="19"/>
      <c r="E833" s="9"/>
      <c r="F833" s="9"/>
      <c r="AG833" s="8"/>
      <c r="AH833" s="8"/>
      <c r="AI833" s="8"/>
      <c r="AJ833" s="8"/>
      <c r="AK833" s="8"/>
      <c r="AL833" s="8"/>
      <c r="AN833" s="8"/>
      <c r="AO833" s="8"/>
      <c r="AP833" s="8"/>
      <c r="AQ833" s="8"/>
      <c r="AR833" s="8"/>
      <c r="AS833" s="8"/>
    </row>
    <row r="834" spans="1:45">
      <c r="A834" s="19"/>
      <c r="B834" s="19"/>
      <c r="C834" s="19"/>
      <c r="E834" s="9"/>
      <c r="F834" s="9"/>
      <c r="AG834" s="8"/>
      <c r="AH834" s="8"/>
      <c r="AI834" s="8"/>
      <c r="AJ834" s="8"/>
      <c r="AK834" s="8"/>
      <c r="AL834" s="8"/>
      <c r="AN834" s="8"/>
      <c r="AO834" s="8"/>
      <c r="AP834" s="8"/>
      <c r="AQ834" s="8"/>
      <c r="AR834" s="8"/>
      <c r="AS834" s="8"/>
    </row>
    <row r="835" spans="1:45">
      <c r="A835" s="19"/>
      <c r="B835" s="19"/>
      <c r="C835" s="19"/>
      <c r="E835" s="9"/>
      <c r="F835" s="9"/>
      <c r="AG835" s="8"/>
      <c r="AH835" s="8"/>
      <c r="AI835" s="8"/>
      <c r="AJ835" s="8"/>
      <c r="AK835" s="8"/>
      <c r="AL835" s="8"/>
      <c r="AN835" s="8"/>
      <c r="AO835" s="8"/>
      <c r="AP835" s="8"/>
      <c r="AQ835" s="8"/>
      <c r="AR835" s="8"/>
      <c r="AS835" s="8"/>
    </row>
    <row r="836" spans="1:45">
      <c r="A836" s="19"/>
      <c r="B836" s="19"/>
      <c r="C836" s="19"/>
      <c r="E836" s="9"/>
      <c r="F836" s="9"/>
      <c r="AG836" s="8"/>
      <c r="AH836" s="8"/>
      <c r="AI836" s="8"/>
      <c r="AJ836" s="8"/>
      <c r="AK836" s="8"/>
      <c r="AL836" s="8"/>
      <c r="AN836" s="8"/>
      <c r="AO836" s="8"/>
      <c r="AP836" s="8"/>
      <c r="AQ836" s="8"/>
      <c r="AR836" s="8"/>
      <c r="AS836" s="8"/>
    </row>
    <row r="837" spans="1:45">
      <c r="A837" s="19"/>
      <c r="B837" s="19"/>
      <c r="C837" s="19"/>
      <c r="E837" s="9"/>
      <c r="F837" s="9"/>
      <c r="AG837" s="8"/>
      <c r="AH837" s="8"/>
      <c r="AI837" s="8"/>
      <c r="AJ837" s="8"/>
      <c r="AK837" s="8"/>
      <c r="AL837" s="8"/>
      <c r="AN837" s="8"/>
      <c r="AO837" s="8"/>
      <c r="AP837" s="8"/>
      <c r="AQ837" s="8"/>
      <c r="AR837" s="8"/>
      <c r="AS837" s="8"/>
    </row>
    <row r="838" spans="1:45">
      <c r="A838" s="19"/>
      <c r="B838" s="19"/>
      <c r="C838" s="19"/>
      <c r="E838" s="9"/>
      <c r="F838" s="9"/>
      <c r="AG838" s="8"/>
      <c r="AH838" s="8"/>
      <c r="AI838" s="8"/>
      <c r="AJ838" s="8"/>
      <c r="AK838" s="8"/>
      <c r="AL838" s="8"/>
      <c r="AN838" s="8"/>
      <c r="AO838" s="8"/>
      <c r="AP838" s="8"/>
      <c r="AQ838" s="8"/>
      <c r="AR838" s="8"/>
      <c r="AS838" s="8"/>
    </row>
    <row r="839" spans="1:45">
      <c r="A839" s="19"/>
      <c r="B839" s="19"/>
      <c r="C839" s="19"/>
      <c r="E839" s="9"/>
      <c r="F839" s="9"/>
      <c r="AG839" s="8"/>
      <c r="AH839" s="8"/>
      <c r="AI839" s="8"/>
      <c r="AJ839" s="8"/>
      <c r="AK839" s="8"/>
      <c r="AL839" s="8"/>
      <c r="AN839" s="8"/>
      <c r="AO839" s="8"/>
      <c r="AP839" s="8"/>
      <c r="AQ839" s="8"/>
      <c r="AR839" s="8"/>
      <c r="AS839" s="8"/>
    </row>
    <row r="840" spans="1:45">
      <c r="A840" s="19"/>
      <c r="B840" s="19"/>
      <c r="C840" s="19"/>
      <c r="E840" s="9"/>
      <c r="F840" s="9"/>
      <c r="AG840" s="8"/>
      <c r="AH840" s="8"/>
      <c r="AI840" s="8"/>
      <c r="AJ840" s="8"/>
      <c r="AK840" s="8"/>
      <c r="AL840" s="8"/>
      <c r="AN840" s="8"/>
      <c r="AO840" s="8"/>
      <c r="AP840" s="8"/>
      <c r="AQ840" s="8"/>
      <c r="AR840" s="8"/>
      <c r="AS840" s="8"/>
    </row>
    <row r="841" spans="1:45">
      <c r="A841" s="19"/>
      <c r="B841" s="19"/>
      <c r="C841" s="19"/>
      <c r="E841" s="9"/>
      <c r="F841" s="9"/>
      <c r="AG841" s="8"/>
      <c r="AH841" s="8"/>
      <c r="AI841" s="8"/>
      <c r="AJ841" s="8"/>
      <c r="AK841" s="8"/>
      <c r="AL841" s="8"/>
      <c r="AN841" s="8"/>
      <c r="AO841" s="8"/>
      <c r="AP841" s="8"/>
      <c r="AQ841" s="8"/>
      <c r="AR841" s="8"/>
      <c r="AS841" s="8"/>
    </row>
    <row r="842" spans="1:45">
      <c r="A842" s="19"/>
      <c r="B842" s="19"/>
      <c r="C842" s="19"/>
      <c r="E842" s="9"/>
      <c r="F842" s="9"/>
      <c r="AG842" s="8"/>
      <c r="AH842" s="8"/>
      <c r="AI842" s="8"/>
      <c r="AJ842" s="8"/>
      <c r="AK842" s="8"/>
      <c r="AL842" s="8"/>
      <c r="AN842" s="8"/>
      <c r="AO842" s="8"/>
      <c r="AP842" s="8"/>
      <c r="AQ842" s="8"/>
      <c r="AR842" s="8"/>
      <c r="AS842" s="8"/>
    </row>
    <row r="843" spans="1:45">
      <c r="A843" s="19"/>
      <c r="B843" s="19"/>
      <c r="C843" s="19"/>
      <c r="E843" s="9"/>
      <c r="F843" s="9"/>
      <c r="AG843" s="8"/>
      <c r="AH843" s="8"/>
      <c r="AI843" s="8"/>
      <c r="AJ843" s="8"/>
      <c r="AK843" s="8"/>
      <c r="AL843" s="8"/>
      <c r="AN843" s="8"/>
      <c r="AO843" s="8"/>
      <c r="AP843" s="8"/>
      <c r="AQ843" s="8"/>
      <c r="AR843" s="8"/>
      <c r="AS843" s="8"/>
    </row>
    <row r="844" spans="1:45">
      <c r="A844" s="19"/>
      <c r="B844" s="19"/>
      <c r="C844" s="19"/>
      <c r="E844" s="9"/>
      <c r="F844" s="9"/>
      <c r="AG844" s="8"/>
      <c r="AH844" s="8"/>
      <c r="AI844" s="8"/>
      <c r="AJ844" s="8"/>
      <c r="AK844" s="8"/>
      <c r="AL844" s="8"/>
      <c r="AN844" s="8"/>
      <c r="AO844" s="8"/>
      <c r="AP844" s="8"/>
      <c r="AQ844" s="8"/>
      <c r="AR844" s="8"/>
      <c r="AS844" s="8"/>
    </row>
    <row r="845" spans="1:45">
      <c r="A845" s="19"/>
      <c r="B845" s="19"/>
      <c r="C845" s="19"/>
      <c r="E845" s="9"/>
      <c r="F845" s="9"/>
      <c r="AG845" s="8"/>
      <c r="AH845" s="8"/>
      <c r="AI845" s="8"/>
      <c r="AJ845" s="8"/>
      <c r="AK845" s="8"/>
      <c r="AL845" s="8"/>
      <c r="AN845" s="8"/>
      <c r="AO845" s="8"/>
      <c r="AP845" s="8"/>
      <c r="AQ845" s="8"/>
      <c r="AR845" s="8"/>
      <c r="AS845" s="8"/>
    </row>
    <row r="846" spans="1:45">
      <c r="A846" s="19"/>
      <c r="B846" s="19"/>
      <c r="C846" s="19"/>
      <c r="E846" s="9"/>
      <c r="F846" s="9"/>
      <c r="AG846" s="8"/>
      <c r="AH846" s="8"/>
      <c r="AI846" s="8"/>
      <c r="AJ846" s="8"/>
      <c r="AK846" s="8"/>
      <c r="AL846" s="8"/>
      <c r="AN846" s="8"/>
      <c r="AO846" s="8"/>
      <c r="AP846" s="8"/>
      <c r="AQ846" s="8"/>
      <c r="AR846" s="8"/>
      <c r="AS846" s="8"/>
    </row>
    <row r="847" spans="1:45">
      <c r="A847" s="19"/>
      <c r="B847" s="19"/>
      <c r="C847" s="19"/>
      <c r="E847" s="9"/>
      <c r="F847" s="9"/>
      <c r="AG847" s="8"/>
      <c r="AH847" s="8"/>
      <c r="AI847" s="8"/>
      <c r="AJ847" s="8"/>
      <c r="AK847" s="8"/>
      <c r="AL847" s="8"/>
      <c r="AN847" s="8"/>
      <c r="AO847" s="8"/>
      <c r="AP847" s="8"/>
      <c r="AQ847" s="8"/>
      <c r="AR847" s="8"/>
      <c r="AS847" s="8"/>
    </row>
    <row r="848" spans="1:45">
      <c r="A848" s="19"/>
      <c r="B848" s="19"/>
      <c r="C848" s="19"/>
      <c r="E848" s="9"/>
      <c r="F848" s="9"/>
      <c r="AG848" s="8"/>
      <c r="AH848" s="8"/>
      <c r="AI848" s="8"/>
      <c r="AJ848" s="8"/>
      <c r="AK848" s="8"/>
      <c r="AL848" s="8"/>
      <c r="AN848" s="8"/>
      <c r="AO848" s="8"/>
      <c r="AP848" s="8"/>
      <c r="AQ848" s="8"/>
      <c r="AR848" s="8"/>
      <c r="AS848" s="8"/>
    </row>
    <row r="849" spans="1:45">
      <c r="A849" s="19"/>
      <c r="B849" s="19"/>
      <c r="C849" s="19"/>
      <c r="E849" s="9"/>
      <c r="F849" s="9"/>
      <c r="AG849" s="8"/>
      <c r="AH849" s="8"/>
      <c r="AI849" s="8"/>
      <c r="AJ849" s="8"/>
      <c r="AK849" s="8"/>
      <c r="AL849" s="8"/>
      <c r="AN849" s="8"/>
      <c r="AO849" s="8"/>
      <c r="AP849" s="8"/>
      <c r="AQ849" s="8"/>
      <c r="AR849" s="8"/>
      <c r="AS849" s="8"/>
    </row>
    <row r="850" spans="1:45">
      <c r="A850" s="19"/>
      <c r="B850" s="19"/>
      <c r="C850" s="19"/>
      <c r="E850" s="9"/>
      <c r="F850" s="9"/>
      <c r="AG850" s="8"/>
      <c r="AH850" s="8"/>
      <c r="AI850" s="8"/>
      <c r="AJ850" s="8"/>
      <c r="AK850" s="8"/>
      <c r="AL850" s="8"/>
      <c r="AN850" s="8"/>
      <c r="AO850" s="8"/>
      <c r="AP850" s="8"/>
      <c r="AQ850" s="8"/>
      <c r="AR850" s="8"/>
      <c r="AS850" s="8"/>
    </row>
    <row r="851" spans="1:45">
      <c r="A851" s="19"/>
      <c r="B851" s="19"/>
      <c r="C851" s="19"/>
      <c r="E851" s="9"/>
      <c r="F851" s="9"/>
      <c r="AG851" s="8"/>
      <c r="AH851" s="8"/>
      <c r="AI851" s="8"/>
      <c r="AJ851" s="8"/>
      <c r="AK851" s="8"/>
      <c r="AL851" s="8"/>
      <c r="AN851" s="8"/>
      <c r="AO851" s="8"/>
      <c r="AP851" s="8"/>
      <c r="AQ851" s="8"/>
      <c r="AR851" s="8"/>
      <c r="AS851" s="8"/>
    </row>
    <row r="852" spans="1:45">
      <c r="A852" s="19"/>
      <c r="B852" s="19"/>
      <c r="C852" s="19"/>
      <c r="E852" s="9"/>
      <c r="F852" s="9"/>
      <c r="AG852" s="8"/>
      <c r="AH852" s="8"/>
      <c r="AI852" s="8"/>
      <c r="AJ852" s="8"/>
      <c r="AK852" s="8"/>
      <c r="AL852" s="8"/>
      <c r="AN852" s="8"/>
      <c r="AO852" s="8"/>
      <c r="AP852" s="8"/>
      <c r="AQ852" s="8"/>
      <c r="AR852" s="8"/>
      <c r="AS852" s="8"/>
    </row>
    <row r="853" spans="1:45">
      <c r="A853" s="19"/>
      <c r="B853" s="19"/>
      <c r="C853" s="19"/>
      <c r="E853" s="9"/>
      <c r="F853" s="9"/>
      <c r="AG853" s="8"/>
      <c r="AH853" s="8"/>
      <c r="AI853" s="8"/>
      <c r="AJ853" s="8"/>
      <c r="AK853" s="8"/>
      <c r="AL853" s="8"/>
      <c r="AN853" s="8"/>
      <c r="AO853" s="8"/>
      <c r="AP853" s="8"/>
      <c r="AQ853" s="8"/>
      <c r="AR853" s="8"/>
      <c r="AS853" s="8"/>
    </row>
    <row r="854" spans="1:45">
      <c r="A854" s="19"/>
      <c r="B854" s="19"/>
      <c r="C854" s="19"/>
      <c r="E854" s="9"/>
      <c r="F854" s="9"/>
      <c r="AG854" s="8"/>
      <c r="AH854" s="8"/>
      <c r="AI854" s="8"/>
      <c r="AJ854" s="8"/>
      <c r="AK854" s="8"/>
      <c r="AL854" s="8"/>
      <c r="AN854" s="8"/>
      <c r="AO854" s="8"/>
      <c r="AP854" s="8"/>
      <c r="AQ854" s="8"/>
      <c r="AR854" s="8"/>
      <c r="AS854" s="8"/>
    </row>
    <row r="855" spans="1:45">
      <c r="A855" s="19"/>
      <c r="B855" s="19"/>
      <c r="C855" s="19"/>
      <c r="E855" s="9"/>
      <c r="F855" s="9"/>
      <c r="AG855" s="8"/>
      <c r="AH855" s="8"/>
      <c r="AI855" s="8"/>
      <c r="AJ855" s="8"/>
      <c r="AK855" s="8"/>
      <c r="AL855" s="8"/>
      <c r="AN855" s="8"/>
      <c r="AO855" s="8"/>
      <c r="AP855" s="8"/>
      <c r="AQ855" s="8"/>
      <c r="AR855" s="8"/>
      <c r="AS855" s="8"/>
    </row>
    <row r="856" spans="1:45">
      <c r="A856" s="19"/>
      <c r="B856" s="19"/>
      <c r="C856" s="19"/>
      <c r="E856" s="9"/>
      <c r="F856" s="9"/>
      <c r="AG856" s="8"/>
      <c r="AH856" s="8"/>
      <c r="AI856" s="8"/>
      <c r="AJ856" s="8"/>
      <c r="AK856" s="8"/>
      <c r="AL856" s="8"/>
      <c r="AN856" s="8"/>
      <c r="AO856" s="8"/>
      <c r="AP856" s="8"/>
      <c r="AQ856" s="8"/>
      <c r="AR856" s="8"/>
      <c r="AS856" s="8"/>
    </row>
    <row r="857" spans="1:45">
      <c r="A857" s="19"/>
      <c r="B857" s="19"/>
      <c r="C857" s="19"/>
      <c r="E857" s="9"/>
      <c r="F857" s="9"/>
      <c r="AG857" s="8"/>
      <c r="AH857" s="8"/>
      <c r="AI857" s="8"/>
      <c r="AJ857" s="8"/>
      <c r="AK857" s="8"/>
      <c r="AL857" s="8"/>
      <c r="AN857" s="8"/>
      <c r="AO857" s="8"/>
      <c r="AP857" s="8"/>
      <c r="AQ857" s="8"/>
      <c r="AR857" s="8"/>
      <c r="AS857" s="8"/>
    </row>
    <row r="858" spans="1:45">
      <c r="A858" s="19"/>
      <c r="B858" s="19"/>
      <c r="C858" s="19"/>
      <c r="E858" s="9"/>
      <c r="F858" s="9"/>
      <c r="AG858" s="8"/>
      <c r="AH858" s="8"/>
      <c r="AI858" s="8"/>
      <c r="AJ858" s="8"/>
      <c r="AK858" s="8"/>
      <c r="AL858" s="8"/>
      <c r="AN858" s="8"/>
      <c r="AO858" s="8"/>
      <c r="AP858" s="8"/>
      <c r="AQ858" s="8"/>
      <c r="AR858" s="8"/>
      <c r="AS858" s="8"/>
    </row>
    <row r="859" spans="1:45">
      <c r="A859" s="19"/>
      <c r="B859" s="19"/>
      <c r="C859" s="19"/>
      <c r="E859" s="9"/>
      <c r="F859" s="9"/>
      <c r="AG859" s="8"/>
      <c r="AH859" s="8"/>
      <c r="AI859" s="8"/>
      <c r="AJ859" s="8"/>
      <c r="AK859" s="8"/>
      <c r="AL859" s="8"/>
      <c r="AN859" s="8"/>
      <c r="AO859" s="8"/>
      <c r="AP859" s="8"/>
      <c r="AQ859" s="8"/>
      <c r="AR859" s="8"/>
      <c r="AS859" s="8"/>
    </row>
    <row r="860" spans="1:45">
      <c r="A860" s="19"/>
      <c r="B860" s="19"/>
      <c r="C860" s="19"/>
      <c r="E860" s="9"/>
      <c r="F860" s="9"/>
      <c r="AG860" s="8"/>
      <c r="AH860" s="8"/>
      <c r="AI860" s="8"/>
      <c r="AJ860" s="8"/>
      <c r="AK860" s="8"/>
      <c r="AL860" s="8"/>
      <c r="AN860" s="8"/>
      <c r="AO860" s="8"/>
      <c r="AP860" s="8"/>
      <c r="AQ860" s="8"/>
      <c r="AR860" s="8"/>
      <c r="AS860" s="8"/>
    </row>
    <row r="861" spans="1:45">
      <c r="A861" s="19"/>
      <c r="B861" s="19"/>
      <c r="C861" s="19"/>
      <c r="E861" s="9"/>
      <c r="F861" s="9"/>
      <c r="AG861" s="8"/>
      <c r="AH861" s="8"/>
      <c r="AI861" s="8"/>
      <c r="AJ861" s="8"/>
      <c r="AK861" s="8"/>
      <c r="AL861" s="8"/>
      <c r="AN861" s="8"/>
      <c r="AO861" s="8"/>
      <c r="AP861" s="8"/>
      <c r="AQ861" s="8"/>
      <c r="AR861" s="8"/>
      <c r="AS861" s="8"/>
    </row>
    <row r="862" spans="1:45">
      <c r="A862" s="19"/>
      <c r="B862" s="19"/>
      <c r="C862" s="19"/>
      <c r="E862" s="9"/>
      <c r="F862" s="9"/>
      <c r="AG862" s="8"/>
      <c r="AH862" s="8"/>
      <c r="AI862" s="8"/>
      <c r="AJ862" s="8"/>
      <c r="AK862" s="8"/>
      <c r="AL862" s="8"/>
      <c r="AN862" s="8"/>
      <c r="AO862" s="8"/>
      <c r="AP862" s="8"/>
      <c r="AQ862" s="8"/>
      <c r="AR862" s="8"/>
      <c r="AS862" s="8"/>
    </row>
    <row r="863" spans="1:45">
      <c r="A863" s="19"/>
      <c r="B863" s="19"/>
      <c r="C863" s="19"/>
      <c r="E863" s="9"/>
      <c r="F863" s="9"/>
      <c r="AG863" s="8"/>
      <c r="AH863" s="8"/>
      <c r="AI863" s="8"/>
      <c r="AJ863" s="8"/>
      <c r="AK863" s="8"/>
      <c r="AL863" s="8"/>
      <c r="AN863" s="8"/>
      <c r="AO863" s="8"/>
      <c r="AP863" s="8"/>
      <c r="AQ863" s="8"/>
      <c r="AR863" s="8"/>
      <c r="AS863" s="8"/>
    </row>
    <row r="864" spans="1:45">
      <c r="A864" s="19"/>
      <c r="B864" s="19"/>
      <c r="C864" s="19"/>
      <c r="E864" s="9"/>
      <c r="F864" s="9"/>
      <c r="AG864" s="8"/>
      <c r="AH864" s="8"/>
      <c r="AI864" s="8"/>
      <c r="AJ864" s="8"/>
      <c r="AK864" s="8"/>
      <c r="AL864" s="8"/>
      <c r="AN864" s="8"/>
      <c r="AO864" s="8"/>
      <c r="AP864" s="8"/>
      <c r="AQ864" s="8"/>
      <c r="AR864" s="8"/>
      <c r="AS864" s="8"/>
    </row>
    <row r="865" spans="1:45">
      <c r="A865" s="19"/>
      <c r="B865" s="19"/>
      <c r="C865" s="19"/>
      <c r="E865" s="9"/>
      <c r="F865" s="9"/>
      <c r="AG865" s="8"/>
      <c r="AH865" s="8"/>
      <c r="AI865" s="8"/>
      <c r="AJ865" s="8"/>
      <c r="AK865" s="8"/>
      <c r="AL865" s="8"/>
      <c r="AN865" s="8"/>
      <c r="AO865" s="8"/>
      <c r="AP865" s="8"/>
      <c r="AQ865" s="8"/>
      <c r="AR865" s="8"/>
      <c r="AS865" s="8"/>
    </row>
    <row r="866" spans="1:45">
      <c r="A866" s="19"/>
      <c r="B866" s="19"/>
      <c r="C866" s="19"/>
      <c r="E866" s="9"/>
      <c r="F866" s="9"/>
      <c r="AG866" s="8"/>
      <c r="AH866" s="8"/>
      <c r="AI866" s="8"/>
      <c r="AJ866" s="8"/>
      <c r="AK866" s="8"/>
      <c r="AL866" s="8"/>
      <c r="AN866" s="8"/>
      <c r="AO866" s="8"/>
      <c r="AP866" s="8"/>
      <c r="AQ866" s="8"/>
      <c r="AR866" s="8"/>
      <c r="AS866" s="8"/>
    </row>
    <row r="867" spans="1:45">
      <c r="A867" s="19"/>
      <c r="B867" s="19"/>
      <c r="C867" s="19"/>
      <c r="E867" s="9"/>
      <c r="F867" s="9"/>
      <c r="AG867" s="8"/>
      <c r="AH867" s="8"/>
      <c r="AI867" s="8"/>
      <c r="AJ867" s="8"/>
      <c r="AK867" s="8"/>
      <c r="AL867" s="8"/>
      <c r="AN867" s="8"/>
      <c r="AO867" s="8"/>
      <c r="AP867" s="8"/>
      <c r="AQ867" s="8"/>
      <c r="AR867" s="8"/>
      <c r="AS867" s="8"/>
    </row>
    <row r="868" spans="1:45">
      <c r="A868" s="19"/>
      <c r="B868" s="19"/>
      <c r="C868" s="19"/>
      <c r="E868" s="9"/>
      <c r="F868" s="9"/>
      <c r="AG868" s="8"/>
      <c r="AH868" s="8"/>
      <c r="AI868" s="8"/>
      <c r="AJ868" s="8"/>
      <c r="AK868" s="8"/>
      <c r="AL868" s="8"/>
      <c r="AN868" s="8"/>
      <c r="AO868" s="8"/>
      <c r="AP868" s="8"/>
      <c r="AQ868" s="8"/>
      <c r="AR868" s="8"/>
      <c r="AS868" s="8"/>
    </row>
    <row r="869" spans="1:45">
      <c r="A869" s="19"/>
      <c r="B869" s="19"/>
      <c r="C869" s="19"/>
      <c r="E869" s="9"/>
      <c r="F869" s="9"/>
      <c r="AG869" s="8"/>
      <c r="AH869" s="8"/>
      <c r="AI869" s="8"/>
      <c r="AJ869" s="8"/>
      <c r="AK869" s="8"/>
      <c r="AL869" s="8"/>
      <c r="AN869" s="8"/>
      <c r="AO869" s="8"/>
      <c r="AP869" s="8"/>
      <c r="AQ869" s="8"/>
      <c r="AR869" s="8"/>
      <c r="AS869" s="8"/>
    </row>
    <row r="870" spans="1:45">
      <c r="A870" s="19"/>
      <c r="B870" s="19"/>
      <c r="C870" s="19"/>
      <c r="E870" s="9"/>
      <c r="F870" s="9"/>
      <c r="AG870" s="8"/>
      <c r="AH870" s="8"/>
      <c r="AI870" s="8"/>
      <c r="AJ870" s="8"/>
      <c r="AK870" s="8"/>
      <c r="AL870" s="8"/>
      <c r="AN870" s="8"/>
      <c r="AO870" s="8"/>
      <c r="AP870" s="8"/>
      <c r="AQ870" s="8"/>
      <c r="AR870" s="8"/>
      <c r="AS870" s="8"/>
    </row>
    <row r="871" spans="1:45">
      <c r="A871" s="19"/>
      <c r="B871" s="19"/>
      <c r="C871" s="19"/>
      <c r="E871" s="9"/>
      <c r="F871" s="9"/>
      <c r="AG871" s="8"/>
      <c r="AH871" s="8"/>
      <c r="AI871" s="8"/>
      <c r="AJ871" s="8"/>
      <c r="AK871" s="8"/>
      <c r="AL871" s="8"/>
      <c r="AN871" s="8"/>
      <c r="AO871" s="8"/>
      <c r="AP871" s="8"/>
      <c r="AQ871" s="8"/>
      <c r="AR871" s="8"/>
      <c r="AS871" s="8"/>
    </row>
    <row r="872" spans="1:45">
      <c r="A872" s="19"/>
      <c r="B872" s="19"/>
      <c r="C872" s="19"/>
      <c r="E872" s="9"/>
      <c r="F872" s="9"/>
      <c r="AG872" s="8"/>
      <c r="AH872" s="8"/>
      <c r="AI872" s="8"/>
      <c r="AJ872" s="8"/>
      <c r="AK872" s="8"/>
      <c r="AL872" s="8"/>
      <c r="AN872" s="8"/>
      <c r="AO872" s="8"/>
      <c r="AP872" s="8"/>
      <c r="AQ872" s="8"/>
      <c r="AR872" s="8"/>
      <c r="AS872" s="8"/>
    </row>
    <row r="873" spans="1:45">
      <c r="A873" s="19"/>
      <c r="B873" s="19"/>
      <c r="C873" s="19"/>
      <c r="E873" s="9"/>
      <c r="F873" s="9"/>
      <c r="AG873" s="8"/>
      <c r="AH873" s="8"/>
      <c r="AI873" s="8"/>
      <c r="AJ873" s="8"/>
      <c r="AK873" s="8"/>
      <c r="AL873" s="8"/>
      <c r="AN873" s="8"/>
      <c r="AO873" s="8"/>
      <c r="AP873" s="8"/>
      <c r="AQ873" s="8"/>
      <c r="AR873" s="8"/>
      <c r="AS873" s="8"/>
    </row>
    <row r="874" spans="1:45">
      <c r="A874" s="19"/>
      <c r="B874" s="19"/>
      <c r="C874" s="19"/>
      <c r="E874" s="9"/>
      <c r="F874" s="9"/>
      <c r="AG874" s="8"/>
      <c r="AH874" s="8"/>
      <c r="AI874" s="8"/>
      <c r="AJ874" s="8"/>
      <c r="AK874" s="8"/>
      <c r="AL874" s="8"/>
      <c r="AN874" s="8"/>
      <c r="AO874" s="8"/>
      <c r="AP874" s="8"/>
      <c r="AQ874" s="8"/>
      <c r="AR874" s="8"/>
      <c r="AS874" s="8"/>
    </row>
    <row r="875" spans="1:45">
      <c r="A875" s="19"/>
      <c r="B875" s="19"/>
      <c r="C875" s="19"/>
      <c r="E875" s="9"/>
      <c r="F875" s="9"/>
      <c r="AG875" s="8"/>
      <c r="AH875" s="8"/>
      <c r="AI875" s="8"/>
      <c r="AJ875" s="8"/>
      <c r="AK875" s="8"/>
      <c r="AL875" s="8"/>
      <c r="AN875" s="8"/>
      <c r="AO875" s="8"/>
      <c r="AP875" s="8"/>
      <c r="AQ875" s="8"/>
      <c r="AR875" s="8"/>
      <c r="AS875" s="8"/>
    </row>
    <row r="876" spans="1:45">
      <c r="A876" s="19"/>
      <c r="B876" s="19"/>
      <c r="C876" s="19"/>
      <c r="E876" s="9"/>
      <c r="F876" s="9"/>
      <c r="AG876" s="8"/>
      <c r="AH876" s="8"/>
      <c r="AI876" s="8"/>
      <c r="AJ876" s="8"/>
      <c r="AK876" s="8"/>
      <c r="AL876" s="8"/>
      <c r="AN876" s="8"/>
      <c r="AO876" s="8"/>
      <c r="AP876" s="8"/>
      <c r="AQ876" s="8"/>
      <c r="AR876" s="8"/>
      <c r="AS876" s="8"/>
    </row>
    <row r="877" spans="1:45">
      <c r="A877" s="19"/>
      <c r="B877" s="19"/>
      <c r="C877" s="19"/>
      <c r="E877" s="9"/>
      <c r="F877" s="9"/>
      <c r="AG877" s="8"/>
      <c r="AH877" s="8"/>
      <c r="AI877" s="8"/>
      <c r="AJ877" s="8"/>
      <c r="AK877" s="8"/>
      <c r="AL877" s="8"/>
      <c r="AN877" s="8"/>
      <c r="AO877" s="8"/>
      <c r="AP877" s="8"/>
      <c r="AQ877" s="8"/>
      <c r="AR877" s="8"/>
      <c r="AS877" s="8"/>
    </row>
    <row r="878" spans="1:45">
      <c r="A878" s="19"/>
      <c r="B878" s="19"/>
      <c r="C878" s="19"/>
      <c r="E878" s="9"/>
      <c r="F878" s="9"/>
      <c r="AG878" s="8"/>
      <c r="AH878" s="8"/>
      <c r="AI878" s="8"/>
      <c r="AJ878" s="8"/>
      <c r="AK878" s="8"/>
      <c r="AL878" s="8"/>
      <c r="AN878" s="8"/>
      <c r="AO878" s="8"/>
      <c r="AP878" s="8"/>
      <c r="AQ878" s="8"/>
      <c r="AR878" s="8"/>
      <c r="AS878" s="8"/>
    </row>
    <row r="879" spans="1:45">
      <c r="A879" s="19"/>
      <c r="B879" s="19"/>
      <c r="C879" s="19"/>
      <c r="E879" s="9"/>
      <c r="F879" s="9"/>
      <c r="AG879" s="8"/>
      <c r="AH879" s="8"/>
      <c r="AI879" s="8"/>
      <c r="AJ879" s="8"/>
      <c r="AK879" s="8"/>
      <c r="AL879" s="8"/>
      <c r="AN879" s="8"/>
      <c r="AO879" s="8"/>
      <c r="AP879" s="8"/>
      <c r="AQ879" s="8"/>
      <c r="AR879" s="8"/>
      <c r="AS879" s="8"/>
    </row>
    <row r="880" spans="1:45">
      <c r="A880" s="19"/>
      <c r="B880" s="19"/>
      <c r="C880" s="19"/>
      <c r="E880" s="9"/>
      <c r="F880" s="9"/>
      <c r="AG880" s="8"/>
      <c r="AH880" s="8"/>
      <c r="AI880" s="8"/>
      <c r="AJ880" s="8"/>
      <c r="AK880" s="8"/>
      <c r="AL880" s="8"/>
      <c r="AN880" s="8"/>
      <c r="AO880" s="8"/>
      <c r="AP880" s="8"/>
      <c r="AQ880" s="8"/>
      <c r="AR880" s="8"/>
      <c r="AS880" s="8"/>
    </row>
    <row r="881" spans="1:45">
      <c r="A881" s="19"/>
      <c r="B881" s="19"/>
      <c r="C881" s="19"/>
      <c r="E881" s="9"/>
      <c r="F881" s="9"/>
      <c r="AG881" s="8"/>
      <c r="AH881" s="8"/>
      <c r="AI881" s="8"/>
      <c r="AJ881" s="8"/>
      <c r="AK881" s="8"/>
      <c r="AL881" s="8"/>
      <c r="AN881" s="8"/>
      <c r="AO881" s="8"/>
      <c r="AP881" s="8"/>
      <c r="AQ881" s="8"/>
      <c r="AR881" s="8"/>
      <c r="AS881" s="8"/>
    </row>
    <row r="882" spans="1:45">
      <c r="A882" s="19"/>
      <c r="B882" s="19"/>
      <c r="C882" s="19"/>
      <c r="E882" s="9"/>
      <c r="F882" s="9"/>
      <c r="AG882" s="8"/>
      <c r="AH882" s="8"/>
      <c r="AI882" s="8"/>
      <c r="AJ882" s="8"/>
      <c r="AK882" s="8"/>
      <c r="AL882" s="8"/>
      <c r="AN882" s="8"/>
      <c r="AO882" s="8"/>
      <c r="AP882" s="8"/>
      <c r="AQ882" s="8"/>
      <c r="AR882" s="8"/>
      <c r="AS882" s="8"/>
    </row>
    <row r="883" spans="1:45">
      <c r="A883" s="19"/>
      <c r="B883" s="19"/>
      <c r="C883" s="19"/>
      <c r="E883" s="9"/>
      <c r="F883" s="9"/>
      <c r="AG883" s="8"/>
      <c r="AH883" s="8"/>
      <c r="AI883" s="8"/>
      <c r="AJ883" s="8"/>
      <c r="AK883" s="8"/>
      <c r="AL883" s="8"/>
      <c r="AN883" s="8"/>
      <c r="AO883" s="8"/>
      <c r="AP883" s="8"/>
      <c r="AQ883" s="8"/>
      <c r="AR883" s="8"/>
      <c r="AS883" s="8"/>
    </row>
    <row r="884" spans="1:45">
      <c r="A884" s="19"/>
      <c r="B884" s="19"/>
      <c r="C884" s="19"/>
      <c r="E884" s="9"/>
      <c r="F884" s="9"/>
      <c r="AG884" s="8"/>
      <c r="AH884" s="8"/>
      <c r="AI884" s="8"/>
      <c r="AJ884" s="8"/>
      <c r="AK884" s="8"/>
      <c r="AL884" s="8"/>
      <c r="AN884" s="8"/>
      <c r="AO884" s="8"/>
      <c r="AP884" s="8"/>
      <c r="AQ884" s="8"/>
      <c r="AR884" s="8"/>
      <c r="AS884" s="8"/>
    </row>
    <row r="885" spans="1:45">
      <c r="A885" s="19"/>
      <c r="B885" s="19"/>
      <c r="C885" s="19"/>
      <c r="E885" s="9"/>
      <c r="F885" s="9"/>
      <c r="AG885" s="8"/>
      <c r="AH885" s="8"/>
      <c r="AI885" s="8"/>
      <c r="AJ885" s="8"/>
      <c r="AK885" s="8"/>
      <c r="AL885" s="8"/>
      <c r="AN885" s="8"/>
      <c r="AO885" s="8"/>
      <c r="AP885" s="8"/>
      <c r="AQ885" s="8"/>
      <c r="AR885" s="8"/>
      <c r="AS885" s="8"/>
    </row>
    <row r="886" spans="1:45">
      <c r="A886" s="19"/>
      <c r="B886" s="19"/>
      <c r="C886" s="19"/>
      <c r="E886" s="9"/>
      <c r="F886" s="9"/>
      <c r="AG886" s="8"/>
      <c r="AH886" s="8"/>
      <c r="AI886" s="8"/>
      <c r="AJ886" s="8"/>
      <c r="AK886" s="8"/>
      <c r="AL886" s="8"/>
      <c r="AN886" s="8"/>
      <c r="AO886" s="8"/>
      <c r="AP886" s="8"/>
      <c r="AQ886" s="8"/>
      <c r="AR886" s="8"/>
      <c r="AS886" s="8"/>
    </row>
    <row r="887" spans="1:45">
      <c r="A887" s="19"/>
      <c r="B887" s="19"/>
      <c r="C887" s="19"/>
      <c r="E887" s="9"/>
      <c r="F887" s="9"/>
      <c r="AG887" s="8"/>
      <c r="AH887" s="8"/>
      <c r="AI887" s="8"/>
      <c r="AJ887" s="8"/>
      <c r="AK887" s="8"/>
      <c r="AL887" s="8"/>
      <c r="AN887" s="8"/>
      <c r="AO887" s="8"/>
      <c r="AP887" s="8"/>
      <c r="AQ887" s="8"/>
      <c r="AR887" s="8"/>
      <c r="AS887" s="8"/>
    </row>
    <row r="888" spans="1:45">
      <c r="A888" s="19"/>
      <c r="B888" s="19"/>
      <c r="C888" s="19"/>
      <c r="E888" s="9"/>
      <c r="F888" s="9"/>
      <c r="AG888" s="8"/>
      <c r="AH888" s="8"/>
      <c r="AI888" s="8"/>
      <c r="AJ888" s="8"/>
      <c r="AK888" s="8"/>
      <c r="AL888" s="8"/>
      <c r="AN888" s="8"/>
      <c r="AO888" s="8"/>
      <c r="AP888" s="8"/>
      <c r="AQ888" s="8"/>
      <c r="AR888" s="8"/>
      <c r="AS888" s="8"/>
    </row>
    <row r="889" spans="1:45">
      <c r="A889" s="19"/>
      <c r="B889" s="19"/>
      <c r="C889" s="19"/>
      <c r="E889" s="9"/>
      <c r="F889" s="9"/>
      <c r="AG889" s="8"/>
      <c r="AH889" s="8"/>
      <c r="AI889" s="8"/>
      <c r="AJ889" s="8"/>
      <c r="AK889" s="8"/>
      <c r="AL889" s="8"/>
      <c r="AN889" s="8"/>
      <c r="AO889" s="8"/>
      <c r="AP889" s="8"/>
      <c r="AQ889" s="8"/>
      <c r="AR889" s="8"/>
      <c r="AS889" s="8"/>
    </row>
    <row r="890" spans="1:45">
      <c r="A890" s="19"/>
      <c r="B890" s="19"/>
      <c r="C890" s="19"/>
      <c r="E890" s="9"/>
      <c r="F890" s="9"/>
      <c r="AG890" s="8"/>
      <c r="AH890" s="8"/>
      <c r="AI890" s="8"/>
      <c r="AJ890" s="8"/>
      <c r="AK890" s="8"/>
      <c r="AL890" s="8"/>
      <c r="AN890" s="8"/>
      <c r="AO890" s="8"/>
      <c r="AP890" s="8"/>
      <c r="AQ890" s="8"/>
      <c r="AR890" s="8"/>
      <c r="AS890" s="8"/>
    </row>
    <row r="891" spans="1:45">
      <c r="A891" s="19"/>
      <c r="B891" s="19"/>
      <c r="C891" s="19"/>
      <c r="E891" s="9"/>
      <c r="F891" s="9"/>
      <c r="AG891" s="8"/>
      <c r="AH891" s="8"/>
      <c r="AI891" s="8"/>
      <c r="AJ891" s="8"/>
      <c r="AK891" s="8"/>
      <c r="AL891" s="8"/>
      <c r="AN891" s="8"/>
      <c r="AO891" s="8"/>
      <c r="AP891" s="8"/>
      <c r="AQ891" s="8"/>
      <c r="AR891" s="8"/>
      <c r="AS891" s="8"/>
    </row>
    <row r="892" spans="1:45">
      <c r="A892" s="19"/>
      <c r="B892" s="19"/>
      <c r="C892" s="19"/>
      <c r="E892" s="9"/>
      <c r="F892" s="9"/>
      <c r="AG892" s="8"/>
      <c r="AH892" s="8"/>
      <c r="AI892" s="8"/>
      <c r="AJ892" s="8"/>
      <c r="AK892" s="8"/>
      <c r="AL892" s="8"/>
      <c r="AN892" s="8"/>
      <c r="AO892" s="8"/>
      <c r="AP892" s="8"/>
      <c r="AQ892" s="8"/>
      <c r="AR892" s="8"/>
      <c r="AS892" s="8"/>
    </row>
    <row r="893" spans="1:45">
      <c r="A893" s="19"/>
      <c r="B893" s="19"/>
      <c r="C893" s="19"/>
      <c r="E893" s="9"/>
      <c r="F893" s="9"/>
      <c r="AG893" s="8"/>
      <c r="AH893" s="8"/>
      <c r="AI893" s="8"/>
      <c r="AJ893" s="8"/>
      <c r="AK893" s="8"/>
      <c r="AL893" s="8"/>
      <c r="AN893" s="8"/>
      <c r="AO893" s="8"/>
      <c r="AP893" s="8"/>
      <c r="AQ893" s="8"/>
      <c r="AR893" s="8"/>
      <c r="AS893" s="8"/>
    </row>
    <row r="894" spans="1:45">
      <c r="A894" s="19"/>
      <c r="B894" s="19"/>
      <c r="C894" s="19"/>
      <c r="E894" s="9"/>
      <c r="F894" s="9"/>
      <c r="AG894" s="8"/>
      <c r="AH894" s="8"/>
      <c r="AI894" s="8"/>
      <c r="AJ894" s="8"/>
      <c r="AK894" s="8"/>
      <c r="AL894" s="8"/>
      <c r="AN894" s="8"/>
      <c r="AO894" s="8"/>
      <c r="AP894" s="8"/>
      <c r="AQ894" s="8"/>
      <c r="AR894" s="8"/>
      <c r="AS894" s="8"/>
    </row>
    <row r="895" spans="1:45">
      <c r="A895" s="19"/>
      <c r="B895" s="19"/>
      <c r="C895" s="19"/>
      <c r="E895" s="9"/>
      <c r="F895" s="9"/>
      <c r="AG895" s="8"/>
      <c r="AH895" s="8"/>
      <c r="AI895" s="8"/>
      <c r="AJ895" s="8"/>
      <c r="AK895" s="8"/>
      <c r="AL895" s="8"/>
      <c r="AN895" s="8"/>
      <c r="AO895" s="8"/>
      <c r="AP895" s="8"/>
      <c r="AQ895" s="8"/>
      <c r="AR895" s="8"/>
      <c r="AS895" s="8"/>
    </row>
    <row r="896" spans="1:45">
      <c r="A896" s="19"/>
      <c r="B896" s="19"/>
      <c r="C896" s="19"/>
      <c r="E896" s="9"/>
      <c r="F896" s="9"/>
      <c r="AG896" s="8"/>
      <c r="AH896" s="8"/>
      <c r="AI896" s="8"/>
      <c r="AJ896" s="8"/>
      <c r="AK896" s="8"/>
      <c r="AL896" s="8"/>
      <c r="AN896" s="8"/>
      <c r="AO896" s="8"/>
      <c r="AP896" s="8"/>
      <c r="AQ896" s="8"/>
      <c r="AR896" s="8"/>
      <c r="AS896" s="8"/>
    </row>
    <row r="897" spans="1:45">
      <c r="A897" s="19"/>
      <c r="B897" s="19"/>
      <c r="C897" s="19"/>
      <c r="E897" s="9"/>
      <c r="F897" s="9"/>
      <c r="AG897" s="8"/>
      <c r="AH897" s="8"/>
      <c r="AI897" s="8"/>
      <c r="AJ897" s="8"/>
      <c r="AK897" s="8"/>
      <c r="AL897" s="8"/>
      <c r="AN897" s="8"/>
      <c r="AO897" s="8"/>
      <c r="AP897" s="8"/>
      <c r="AQ897" s="8"/>
      <c r="AR897" s="8"/>
      <c r="AS897" s="8"/>
    </row>
    <row r="898" spans="1:45">
      <c r="A898" s="19"/>
      <c r="B898" s="19"/>
      <c r="C898" s="19"/>
      <c r="E898" s="9"/>
      <c r="F898" s="9"/>
      <c r="AG898" s="8"/>
      <c r="AH898" s="8"/>
      <c r="AI898" s="8"/>
      <c r="AJ898" s="8"/>
      <c r="AK898" s="8"/>
      <c r="AL898" s="8"/>
      <c r="AN898" s="8"/>
      <c r="AO898" s="8"/>
      <c r="AP898" s="8"/>
      <c r="AQ898" s="8"/>
      <c r="AR898" s="8"/>
      <c r="AS898" s="8"/>
    </row>
    <row r="899" spans="1:45">
      <c r="A899" s="19"/>
      <c r="B899" s="19"/>
      <c r="C899" s="19"/>
      <c r="E899" s="9"/>
      <c r="F899" s="9"/>
      <c r="AG899" s="8"/>
      <c r="AH899" s="8"/>
      <c r="AI899" s="8"/>
      <c r="AJ899" s="8"/>
      <c r="AK899" s="8"/>
      <c r="AL899" s="8"/>
      <c r="AN899" s="8"/>
      <c r="AO899" s="8"/>
      <c r="AP899" s="8"/>
      <c r="AQ899" s="8"/>
      <c r="AR899" s="8"/>
      <c r="AS899" s="8"/>
    </row>
    <row r="900" spans="1:45">
      <c r="A900" s="19"/>
      <c r="B900" s="19"/>
      <c r="C900" s="19"/>
      <c r="E900" s="9"/>
      <c r="F900" s="9"/>
      <c r="AG900" s="8"/>
      <c r="AH900" s="8"/>
      <c r="AI900" s="8"/>
      <c r="AJ900" s="8"/>
      <c r="AK900" s="8"/>
      <c r="AL900" s="8"/>
      <c r="AN900" s="8"/>
      <c r="AO900" s="8"/>
      <c r="AP900" s="8"/>
      <c r="AQ900" s="8"/>
      <c r="AR900" s="8"/>
      <c r="AS900" s="8"/>
    </row>
    <row r="901" spans="1:45">
      <c r="A901" s="19"/>
      <c r="B901" s="19"/>
      <c r="C901" s="19"/>
      <c r="E901" s="9"/>
      <c r="F901" s="9"/>
      <c r="AG901" s="8"/>
      <c r="AH901" s="8"/>
      <c r="AI901" s="8"/>
      <c r="AJ901" s="8"/>
      <c r="AK901" s="8"/>
      <c r="AL901" s="8"/>
      <c r="AN901" s="8"/>
      <c r="AO901" s="8"/>
      <c r="AP901" s="8"/>
      <c r="AQ901" s="8"/>
      <c r="AR901" s="8"/>
      <c r="AS901" s="8"/>
    </row>
    <row r="902" spans="1:45">
      <c r="A902" s="19"/>
      <c r="B902" s="19"/>
      <c r="C902" s="19"/>
      <c r="E902" s="9"/>
      <c r="F902" s="9"/>
      <c r="AG902" s="8"/>
      <c r="AH902" s="8"/>
      <c r="AI902" s="8"/>
      <c r="AJ902" s="8"/>
      <c r="AK902" s="8"/>
      <c r="AL902" s="8"/>
      <c r="AN902" s="8"/>
      <c r="AO902" s="8"/>
      <c r="AP902" s="8"/>
      <c r="AQ902" s="8"/>
      <c r="AR902" s="8"/>
      <c r="AS902" s="8"/>
    </row>
    <row r="903" spans="1:45">
      <c r="A903" s="19"/>
      <c r="B903" s="19"/>
      <c r="C903" s="19"/>
      <c r="E903" s="9"/>
      <c r="F903" s="9"/>
      <c r="AG903" s="8"/>
      <c r="AH903" s="8"/>
      <c r="AI903" s="8"/>
      <c r="AJ903" s="8"/>
      <c r="AK903" s="8"/>
      <c r="AL903" s="8"/>
      <c r="AN903" s="8"/>
      <c r="AO903" s="8"/>
      <c r="AP903" s="8"/>
      <c r="AQ903" s="8"/>
      <c r="AR903" s="8"/>
      <c r="AS903" s="8"/>
    </row>
    <row r="904" spans="1:45">
      <c r="A904" s="19"/>
      <c r="B904" s="19"/>
      <c r="C904" s="19"/>
      <c r="E904" s="9"/>
      <c r="F904" s="9"/>
      <c r="AG904" s="8"/>
      <c r="AH904" s="8"/>
      <c r="AI904" s="8"/>
      <c r="AJ904" s="8"/>
      <c r="AK904" s="8"/>
      <c r="AL904" s="8"/>
      <c r="AN904" s="8"/>
      <c r="AO904" s="8"/>
      <c r="AP904" s="8"/>
      <c r="AQ904" s="8"/>
      <c r="AR904" s="8"/>
      <c r="AS904" s="8"/>
    </row>
    <row r="905" spans="1:45">
      <c r="A905" s="19"/>
      <c r="B905" s="19"/>
      <c r="C905" s="19"/>
      <c r="E905" s="9"/>
      <c r="F905" s="9"/>
      <c r="AG905" s="8"/>
      <c r="AH905" s="8"/>
      <c r="AI905" s="8"/>
      <c r="AJ905" s="8"/>
      <c r="AK905" s="8"/>
      <c r="AL905" s="8"/>
      <c r="AN905" s="8"/>
      <c r="AO905" s="8"/>
      <c r="AP905" s="8"/>
      <c r="AQ905" s="8"/>
      <c r="AR905" s="8"/>
      <c r="AS905" s="8"/>
    </row>
    <row r="906" spans="1:45">
      <c r="A906" s="19"/>
      <c r="B906" s="19"/>
      <c r="C906" s="19"/>
      <c r="E906" s="9"/>
      <c r="F906" s="9"/>
      <c r="AG906" s="8"/>
      <c r="AH906" s="8"/>
      <c r="AI906" s="8"/>
      <c r="AJ906" s="8"/>
      <c r="AK906" s="8"/>
      <c r="AL906" s="8"/>
      <c r="AN906" s="8"/>
      <c r="AO906" s="8"/>
      <c r="AP906" s="8"/>
      <c r="AQ906" s="8"/>
      <c r="AR906" s="8"/>
      <c r="AS906" s="8"/>
    </row>
    <row r="907" spans="1:45">
      <c r="A907" s="19"/>
      <c r="B907" s="19"/>
      <c r="C907" s="19"/>
      <c r="E907" s="9"/>
      <c r="F907" s="9"/>
      <c r="AG907" s="8"/>
      <c r="AH907" s="8"/>
      <c r="AI907" s="8"/>
      <c r="AJ907" s="8"/>
      <c r="AK907" s="8"/>
      <c r="AL907" s="8"/>
      <c r="AN907" s="8"/>
      <c r="AO907" s="8"/>
      <c r="AP907" s="8"/>
      <c r="AQ907" s="8"/>
      <c r="AR907" s="8"/>
      <c r="AS907" s="8"/>
    </row>
    <row r="908" spans="1:45">
      <c r="A908" s="19"/>
      <c r="B908" s="19"/>
      <c r="C908" s="19"/>
      <c r="E908" s="9"/>
      <c r="F908" s="9"/>
      <c r="AG908" s="8"/>
      <c r="AH908" s="8"/>
      <c r="AI908" s="8"/>
      <c r="AJ908" s="8"/>
      <c r="AK908" s="8"/>
      <c r="AL908" s="8"/>
      <c r="AN908" s="8"/>
      <c r="AO908" s="8"/>
      <c r="AP908" s="8"/>
      <c r="AQ908" s="8"/>
      <c r="AR908" s="8"/>
      <c r="AS908" s="8"/>
    </row>
    <row r="909" spans="1:45">
      <c r="A909" s="19"/>
      <c r="B909" s="19"/>
      <c r="C909" s="19"/>
      <c r="E909" s="9"/>
      <c r="F909" s="9"/>
      <c r="AG909" s="8"/>
      <c r="AH909" s="8"/>
      <c r="AI909" s="8"/>
      <c r="AJ909" s="8"/>
      <c r="AK909" s="8"/>
      <c r="AL909" s="8"/>
      <c r="AN909" s="8"/>
      <c r="AO909" s="8"/>
      <c r="AP909" s="8"/>
      <c r="AQ909" s="8"/>
      <c r="AR909" s="8"/>
      <c r="AS909" s="8"/>
    </row>
    <row r="910" spans="1:45">
      <c r="A910" s="19"/>
      <c r="B910" s="19"/>
      <c r="C910" s="19"/>
      <c r="E910" s="9"/>
      <c r="F910" s="9"/>
      <c r="AG910" s="8"/>
      <c r="AH910" s="8"/>
      <c r="AI910" s="8"/>
      <c r="AJ910" s="8"/>
      <c r="AK910" s="8"/>
      <c r="AL910" s="8"/>
      <c r="AN910" s="8"/>
      <c r="AO910" s="8"/>
      <c r="AP910" s="8"/>
      <c r="AQ910" s="8"/>
      <c r="AR910" s="8"/>
      <c r="AS910" s="8"/>
    </row>
    <row r="911" spans="1:45">
      <c r="A911" s="19"/>
      <c r="B911" s="19"/>
      <c r="C911" s="19"/>
      <c r="E911" s="9"/>
      <c r="F911" s="9"/>
      <c r="AG911" s="8"/>
      <c r="AH911" s="8"/>
      <c r="AI911" s="8"/>
      <c r="AJ911" s="8"/>
      <c r="AK911" s="8"/>
      <c r="AL911" s="8"/>
      <c r="AN911" s="8"/>
      <c r="AO911" s="8"/>
      <c r="AP911" s="8"/>
      <c r="AQ911" s="8"/>
      <c r="AR911" s="8"/>
      <c r="AS911" s="8"/>
    </row>
    <row r="912" spans="1:45">
      <c r="A912" s="19"/>
      <c r="B912" s="19"/>
      <c r="C912" s="19"/>
      <c r="E912" s="9"/>
      <c r="F912" s="9"/>
      <c r="AG912" s="8"/>
      <c r="AH912" s="8"/>
      <c r="AI912" s="8"/>
      <c r="AJ912" s="8"/>
      <c r="AK912" s="8"/>
      <c r="AL912" s="8"/>
      <c r="AN912" s="8"/>
      <c r="AO912" s="8"/>
      <c r="AP912" s="8"/>
      <c r="AQ912" s="8"/>
      <c r="AR912" s="8"/>
      <c r="AS912" s="8"/>
    </row>
    <row r="913" spans="1:45">
      <c r="A913" s="19"/>
      <c r="B913" s="19"/>
      <c r="C913" s="19"/>
      <c r="E913" s="9"/>
      <c r="F913" s="9"/>
      <c r="AG913" s="8"/>
      <c r="AH913" s="8"/>
      <c r="AI913" s="8"/>
      <c r="AJ913" s="8"/>
      <c r="AK913" s="8"/>
      <c r="AL913" s="8"/>
      <c r="AN913" s="8"/>
      <c r="AO913" s="8"/>
      <c r="AP913" s="8"/>
      <c r="AQ913" s="8"/>
      <c r="AR913" s="8"/>
      <c r="AS913" s="8"/>
    </row>
    <row r="914" spans="1:45">
      <c r="A914" s="19"/>
      <c r="B914" s="19"/>
      <c r="C914" s="19"/>
      <c r="E914" s="9"/>
      <c r="F914" s="9"/>
      <c r="AG914" s="8"/>
      <c r="AH914" s="8"/>
      <c r="AI914" s="8"/>
      <c r="AJ914" s="8"/>
      <c r="AK914" s="8"/>
      <c r="AL914" s="8"/>
      <c r="AN914" s="8"/>
      <c r="AO914" s="8"/>
      <c r="AP914" s="8"/>
      <c r="AQ914" s="8"/>
      <c r="AR914" s="8"/>
      <c r="AS914" s="8"/>
    </row>
    <row r="915" spans="1:45">
      <c r="A915" s="19"/>
      <c r="B915" s="19"/>
      <c r="C915" s="19"/>
      <c r="E915" s="9"/>
      <c r="F915" s="9"/>
      <c r="AG915" s="8"/>
      <c r="AH915" s="8"/>
      <c r="AI915" s="8"/>
      <c r="AJ915" s="8"/>
      <c r="AK915" s="8"/>
      <c r="AL915" s="8"/>
      <c r="AN915" s="8"/>
      <c r="AO915" s="8"/>
      <c r="AP915" s="8"/>
      <c r="AQ915" s="8"/>
      <c r="AR915" s="8"/>
      <c r="AS915" s="8"/>
    </row>
    <row r="916" spans="1:45">
      <c r="A916" s="19"/>
      <c r="B916" s="19"/>
      <c r="C916" s="19"/>
      <c r="E916" s="9"/>
      <c r="F916" s="9"/>
      <c r="AG916" s="8"/>
      <c r="AH916" s="8"/>
      <c r="AI916" s="8"/>
      <c r="AJ916" s="8"/>
      <c r="AK916" s="8"/>
      <c r="AL916" s="8"/>
      <c r="AN916" s="8"/>
      <c r="AO916" s="8"/>
      <c r="AP916" s="8"/>
      <c r="AQ916" s="8"/>
      <c r="AR916" s="8"/>
      <c r="AS916" s="8"/>
    </row>
    <row r="917" spans="1:45">
      <c r="A917" s="19"/>
      <c r="B917" s="19"/>
      <c r="C917" s="19"/>
      <c r="E917" s="9"/>
      <c r="F917" s="9"/>
      <c r="AG917" s="8"/>
      <c r="AH917" s="8"/>
      <c r="AI917" s="8"/>
      <c r="AJ917" s="8"/>
      <c r="AK917" s="8"/>
      <c r="AL917" s="8"/>
      <c r="AN917" s="8"/>
      <c r="AO917" s="8"/>
      <c r="AP917" s="8"/>
      <c r="AQ917" s="8"/>
      <c r="AR917" s="8"/>
      <c r="AS917" s="8"/>
    </row>
    <row r="918" spans="1:45">
      <c r="A918" s="19"/>
      <c r="B918" s="19"/>
      <c r="C918" s="19"/>
      <c r="E918" s="9"/>
      <c r="F918" s="9"/>
      <c r="AG918" s="8"/>
      <c r="AH918" s="8"/>
      <c r="AI918" s="8"/>
      <c r="AJ918" s="8"/>
      <c r="AK918" s="8"/>
      <c r="AL918" s="8"/>
      <c r="AN918" s="8"/>
      <c r="AO918" s="8"/>
      <c r="AP918" s="8"/>
      <c r="AQ918" s="8"/>
      <c r="AR918" s="8"/>
      <c r="AS918" s="8"/>
    </row>
    <row r="919" spans="1:45">
      <c r="A919" s="19"/>
      <c r="B919" s="19"/>
      <c r="C919" s="19"/>
      <c r="E919" s="9"/>
      <c r="F919" s="9"/>
      <c r="AG919" s="8"/>
      <c r="AH919" s="8"/>
      <c r="AI919" s="8"/>
      <c r="AJ919" s="8"/>
      <c r="AK919" s="8"/>
      <c r="AL919" s="8"/>
      <c r="AN919" s="8"/>
      <c r="AO919" s="8"/>
      <c r="AP919" s="8"/>
      <c r="AQ919" s="8"/>
      <c r="AR919" s="8"/>
      <c r="AS919" s="8"/>
    </row>
    <row r="920" spans="1:45">
      <c r="A920" s="19"/>
      <c r="B920" s="19"/>
      <c r="C920" s="19"/>
      <c r="E920" s="9"/>
      <c r="F920" s="9"/>
      <c r="AG920" s="8"/>
      <c r="AH920" s="8"/>
      <c r="AI920" s="8"/>
      <c r="AJ920" s="8"/>
      <c r="AK920" s="8"/>
      <c r="AL920" s="8"/>
      <c r="AN920" s="8"/>
      <c r="AO920" s="8"/>
      <c r="AP920" s="8"/>
      <c r="AQ920" s="8"/>
      <c r="AR920" s="8"/>
      <c r="AS920" s="8"/>
    </row>
    <row r="921" spans="1:45">
      <c r="A921" s="19"/>
      <c r="B921" s="19"/>
      <c r="C921" s="19"/>
      <c r="E921" s="9"/>
      <c r="F921" s="9"/>
      <c r="AG921" s="8"/>
      <c r="AH921" s="8"/>
      <c r="AI921" s="8"/>
      <c r="AJ921" s="8"/>
      <c r="AK921" s="8"/>
      <c r="AL921" s="8"/>
      <c r="AN921" s="8"/>
      <c r="AO921" s="8"/>
      <c r="AP921" s="8"/>
      <c r="AQ921" s="8"/>
      <c r="AR921" s="8"/>
      <c r="AS921" s="8"/>
    </row>
    <row r="922" spans="1:45">
      <c r="A922" s="19"/>
      <c r="B922" s="19"/>
      <c r="C922" s="19"/>
      <c r="E922" s="9"/>
      <c r="F922" s="9"/>
      <c r="AG922" s="8"/>
      <c r="AH922" s="8"/>
      <c r="AI922" s="8"/>
      <c r="AJ922" s="8"/>
      <c r="AK922" s="8"/>
      <c r="AL922" s="8"/>
      <c r="AN922" s="8"/>
      <c r="AO922" s="8"/>
      <c r="AP922" s="8"/>
      <c r="AQ922" s="8"/>
      <c r="AR922" s="8"/>
      <c r="AS922" s="8"/>
    </row>
    <row r="923" spans="1:45">
      <c r="A923" s="19"/>
      <c r="B923" s="19"/>
      <c r="C923" s="19"/>
      <c r="E923" s="9"/>
      <c r="F923" s="9"/>
      <c r="AG923" s="8"/>
      <c r="AH923" s="8"/>
      <c r="AI923" s="8"/>
      <c r="AJ923" s="8"/>
      <c r="AK923" s="8"/>
      <c r="AL923" s="8"/>
      <c r="AN923" s="8"/>
      <c r="AO923" s="8"/>
      <c r="AP923" s="8"/>
      <c r="AQ923" s="8"/>
      <c r="AR923" s="8"/>
      <c r="AS923" s="8"/>
    </row>
    <row r="924" spans="1:45">
      <c r="A924" s="19"/>
      <c r="B924" s="19"/>
      <c r="C924" s="19"/>
      <c r="E924" s="9"/>
      <c r="F924" s="9"/>
      <c r="AG924" s="8"/>
      <c r="AH924" s="8"/>
      <c r="AI924" s="8"/>
      <c r="AJ924" s="8"/>
      <c r="AK924" s="8"/>
      <c r="AL924" s="8"/>
      <c r="AN924" s="8"/>
      <c r="AO924" s="8"/>
      <c r="AP924" s="8"/>
      <c r="AQ924" s="8"/>
      <c r="AR924" s="8"/>
      <c r="AS924" s="8"/>
    </row>
    <row r="925" spans="1:45">
      <c r="A925" s="19"/>
      <c r="B925" s="19"/>
      <c r="C925" s="19"/>
      <c r="E925" s="9"/>
      <c r="F925" s="9"/>
      <c r="AG925" s="8"/>
      <c r="AH925" s="8"/>
      <c r="AI925" s="8"/>
      <c r="AJ925" s="8"/>
      <c r="AK925" s="8"/>
      <c r="AL925" s="8"/>
      <c r="AN925" s="8"/>
      <c r="AO925" s="8"/>
      <c r="AP925" s="8"/>
      <c r="AQ925" s="8"/>
      <c r="AR925" s="8"/>
      <c r="AS925" s="8"/>
    </row>
    <row r="926" spans="1:45">
      <c r="A926" s="19"/>
      <c r="B926" s="19"/>
      <c r="C926" s="19"/>
      <c r="E926" s="9"/>
      <c r="F926" s="9"/>
      <c r="AG926" s="8"/>
      <c r="AH926" s="8"/>
      <c r="AI926" s="8"/>
      <c r="AJ926" s="8"/>
      <c r="AK926" s="8"/>
      <c r="AL926" s="8"/>
      <c r="AN926" s="8"/>
      <c r="AO926" s="8"/>
      <c r="AP926" s="8"/>
      <c r="AQ926" s="8"/>
      <c r="AR926" s="8"/>
      <c r="AS926" s="8"/>
    </row>
    <row r="927" spans="1:45">
      <c r="A927" s="19"/>
      <c r="B927" s="19"/>
      <c r="C927" s="19"/>
      <c r="E927" s="9"/>
      <c r="F927" s="9"/>
      <c r="AG927" s="8"/>
      <c r="AH927" s="8"/>
      <c r="AI927" s="8"/>
      <c r="AJ927" s="8"/>
      <c r="AK927" s="8"/>
      <c r="AL927" s="8"/>
      <c r="AN927" s="8"/>
      <c r="AO927" s="8"/>
      <c r="AP927" s="8"/>
      <c r="AQ927" s="8"/>
      <c r="AR927" s="8"/>
      <c r="AS927" s="8"/>
    </row>
    <row r="928" spans="1:45">
      <c r="A928" s="19"/>
      <c r="B928" s="19"/>
      <c r="C928" s="19"/>
      <c r="E928" s="9"/>
      <c r="F928" s="9"/>
      <c r="AG928" s="8"/>
      <c r="AH928" s="8"/>
      <c r="AI928" s="8"/>
      <c r="AJ928" s="8"/>
      <c r="AK928" s="8"/>
      <c r="AL928" s="8"/>
      <c r="AN928" s="8"/>
      <c r="AO928" s="8"/>
      <c r="AP928" s="8"/>
      <c r="AQ928" s="8"/>
      <c r="AR928" s="8"/>
      <c r="AS928" s="8"/>
    </row>
    <row r="929" spans="1:45">
      <c r="A929" s="19"/>
      <c r="B929" s="19"/>
      <c r="C929" s="19"/>
      <c r="E929" s="9"/>
      <c r="F929" s="9"/>
      <c r="AG929" s="8"/>
      <c r="AH929" s="8"/>
      <c r="AI929" s="8"/>
      <c r="AJ929" s="8"/>
      <c r="AK929" s="8"/>
      <c r="AL929" s="8"/>
      <c r="AN929" s="8"/>
      <c r="AO929" s="8"/>
      <c r="AP929" s="8"/>
      <c r="AQ929" s="8"/>
      <c r="AR929" s="8"/>
      <c r="AS929" s="8"/>
    </row>
    <row r="930" spans="1:45">
      <c r="A930" s="19"/>
      <c r="B930" s="19"/>
      <c r="C930" s="19"/>
      <c r="E930" s="9"/>
      <c r="F930" s="9"/>
      <c r="AG930" s="8"/>
      <c r="AH930" s="8"/>
      <c r="AI930" s="8"/>
      <c r="AJ930" s="8"/>
      <c r="AK930" s="8"/>
      <c r="AL930" s="8"/>
      <c r="AN930" s="8"/>
      <c r="AO930" s="8"/>
      <c r="AP930" s="8"/>
      <c r="AQ930" s="8"/>
      <c r="AR930" s="8"/>
      <c r="AS930" s="8"/>
    </row>
    <row r="931" spans="1:45">
      <c r="A931" s="19"/>
      <c r="B931" s="19"/>
      <c r="C931" s="19"/>
      <c r="E931" s="9"/>
      <c r="F931" s="9"/>
      <c r="AG931" s="8"/>
      <c r="AH931" s="8"/>
      <c r="AI931" s="8"/>
      <c r="AJ931" s="8"/>
      <c r="AK931" s="8"/>
      <c r="AL931" s="8"/>
      <c r="AN931" s="8"/>
      <c r="AO931" s="8"/>
      <c r="AP931" s="8"/>
      <c r="AQ931" s="8"/>
      <c r="AR931" s="8"/>
      <c r="AS931" s="8"/>
    </row>
    <row r="932" spans="1:45">
      <c r="A932" s="19"/>
      <c r="B932" s="19"/>
      <c r="C932" s="19"/>
      <c r="E932" s="9"/>
      <c r="F932" s="9"/>
      <c r="AG932" s="8"/>
      <c r="AH932" s="8"/>
      <c r="AI932" s="8"/>
      <c r="AJ932" s="8"/>
      <c r="AK932" s="8"/>
      <c r="AL932" s="8"/>
      <c r="AN932" s="8"/>
      <c r="AO932" s="8"/>
      <c r="AP932" s="8"/>
      <c r="AQ932" s="8"/>
      <c r="AR932" s="8"/>
      <c r="AS932" s="8"/>
    </row>
    <row r="933" spans="1:45">
      <c r="A933" s="19"/>
      <c r="B933" s="19"/>
      <c r="C933" s="19"/>
      <c r="E933" s="9"/>
      <c r="F933" s="9"/>
      <c r="AG933" s="8"/>
      <c r="AH933" s="8"/>
      <c r="AI933" s="8"/>
      <c r="AJ933" s="8"/>
      <c r="AK933" s="8"/>
      <c r="AL933" s="8"/>
      <c r="AN933" s="8"/>
      <c r="AO933" s="8"/>
      <c r="AP933" s="8"/>
      <c r="AQ933" s="8"/>
      <c r="AR933" s="8"/>
      <c r="AS933" s="8"/>
    </row>
    <row r="934" spans="1:45">
      <c r="A934" s="19"/>
      <c r="B934" s="19"/>
      <c r="C934" s="19"/>
      <c r="E934" s="9"/>
      <c r="F934" s="9"/>
      <c r="AG934" s="8"/>
      <c r="AH934" s="8"/>
      <c r="AI934" s="8"/>
      <c r="AJ934" s="8"/>
      <c r="AK934" s="8"/>
      <c r="AL934" s="8"/>
      <c r="AN934" s="8"/>
      <c r="AO934" s="8"/>
      <c r="AP934" s="8"/>
      <c r="AQ934" s="8"/>
      <c r="AR934" s="8"/>
      <c r="AS934" s="8"/>
    </row>
    <row r="935" spans="1:45">
      <c r="A935" s="19"/>
      <c r="B935" s="19"/>
      <c r="C935" s="19"/>
      <c r="E935" s="9"/>
      <c r="F935" s="9"/>
      <c r="AG935" s="8"/>
      <c r="AH935" s="8"/>
      <c r="AI935" s="8"/>
      <c r="AJ935" s="8"/>
      <c r="AK935" s="8"/>
      <c r="AL935" s="8"/>
      <c r="AN935" s="8"/>
      <c r="AO935" s="8"/>
      <c r="AP935" s="8"/>
      <c r="AQ935" s="8"/>
      <c r="AR935" s="8"/>
      <c r="AS935" s="8"/>
    </row>
    <row r="936" spans="1:45">
      <c r="A936" s="19"/>
      <c r="B936" s="19"/>
      <c r="C936" s="19"/>
      <c r="E936" s="9"/>
      <c r="F936" s="9"/>
      <c r="AG936" s="8"/>
      <c r="AH936" s="8"/>
      <c r="AI936" s="8"/>
      <c r="AJ936" s="8"/>
      <c r="AK936" s="8"/>
      <c r="AL936" s="8"/>
      <c r="AN936" s="8"/>
      <c r="AO936" s="8"/>
      <c r="AP936" s="8"/>
      <c r="AQ936" s="8"/>
      <c r="AR936" s="8"/>
      <c r="AS936" s="8"/>
    </row>
    <row r="937" spans="1:45">
      <c r="A937" s="19"/>
      <c r="B937" s="19"/>
      <c r="C937" s="19"/>
      <c r="E937" s="9"/>
      <c r="F937" s="9"/>
      <c r="AG937" s="8"/>
      <c r="AH937" s="8"/>
      <c r="AI937" s="8"/>
      <c r="AJ937" s="8"/>
      <c r="AK937" s="8"/>
      <c r="AL937" s="8"/>
      <c r="AN937" s="8"/>
      <c r="AO937" s="8"/>
      <c r="AP937" s="8"/>
      <c r="AQ937" s="8"/>
      <c r="AR937" s="8"/>
      <c r="AS937" s="8"/>
    </row>
    <row r="938" spans="1:45">
      <c r="A938" s="19"/>
      <c r="B938" s="19"/>
      <c r="C938" s="19"/>
      <c r="E938" s="9"/>
      <c r="F938" s="9"/>
      <c r="AG938" s="8"/>
      <c r="AH938" s="8"/>
      <c r="AI938" s="8"/>
      <c r="AJ938" s="8"/>
      <c r="AK938" s="8"/>
      <c r="AL938" s="8"/>
      <c r="AN938" s="8"/>
      <c r="AO938" s="8"/>
      <c r="AP938" s="8"/>
      <c r="AQ938" s="8"/>
      <c r="AR938" s="8"/>
      <c r="AS938" s="8"/>
    </row>
    <row r="939" spans="1:45">
      <c r="A939" s="19"/>
      <c r="B939" s="19"/>
      <c r="C939" s="19"/>
      <c r="E939" s="9"/>
      <c r="F939" s="9"/>
      <c r="AG939" s="8"/>
      <c r="AH939" s="8"/>
      <c r="AI939" s="8"/>
      <c r="AJ939" s="8"/>
      <c r="AK939" s="8"/>
      <c r="AL939" s="8"/>
      <c r="AN939" s="8"/>
      <c r="AO939" s="8"/>
      <c r="AP939" s="8"/>
      <c r="AQ939" s="8"/>
      <c r="AR939" s="8"/>
      <c r="AS939" s="8"/>
    </row>
    <row r="940" spans="1:45">
      <c r="A940" s="19"/>
      <c r="B940" s="19"/>
      <c r="C940" s="19"/>
      <c r="E940" s="9"/>
      <c r="F940" s="9"/>
      <c r="AG940" s="8"/>
      <c r="AH940" s="8"/>
      <c r="AI940" s="8"/>
      <c r="AJ940" s="8"/>
      <c r="AK940" s="8"/>
      <c r="AL940" s="8"/>
      <c r="AN940" s="8"/>
      <c r="AO940" s="8"/>
      <c r="AP940" s="8"/>
      <c r="AQ940" s="8"/>
      <c r="AR940" s="8"/>
      <c r="AS940" s="8"/>
    </row>
    <row r="941" spans="1:45">
      <c r="A941" s="19"/>
      <c r="B941" s="19"/>
      <c r="C941" s="19"/>
      <c r="E941" s="9"/>
      <c r="F941" s="9"/>
      <c r="AG941" s="8"/>
      <c r="AH941" s="8"/>
      <c r="AI941" s="8"/>
      <c r="AJ941" s="8"/>
      <c r="AK941" s="8"/>
      <c r="AL941" s="8"/>
      <c r="AN941" s="8"/>
      <c r="AO941" s="8"/>
      <c r="AP941" s="8"/>
      <c r="AQ941" s="8"/>
      <c r="AR941" s="8"/>
      <c r="AS941" s="8"/>
    </row>
    <row r="942" spans="1:45">
      <c r="A942" s="19"/>
      <c r="B942" s="19"/>
      <c r="C942" s="19"/>
      <c r="E942" s="9"/>
      <c r="F942" s="9"/>
      <c r="AG942" s="8"/>
      <c r="AH942" s="8"/>
      <c r="AI942" s="8"/>
      <c r="AJ942" s="8"/>
      <c r="AK942" s="8"/>
      <c r="AL942" s="8"/>
      <c r="AN942" s="8"/>
      <c r="AO942" s="8"/>
      <c r="AP942" s="8"/>
      <c r="AQ942" s="8"/>
      <c r="AR942" s="8"/>
      <c r="AS942" s="8"/>
    </row>
    <row r="943" spans="1:45">
      <c r="A943" s="19"/>
      <c r="B943" s="19"/>
      <c r="C943" s="19"/>
      <c r="E943" s="9"/>
      <c r="F943" s="9"/>
      <c r="AG943" s="8"/>
      <c r="AH943" s="8"/>
      <c r="AI943" s="8"/>
      <c r="AJ943" s="8"/>
      <c r="AK943" s="8"/>
      <c r="AL943" s="8"/>
      <c r="AN943" s="8"/>
      <c r="AO943" s="8"/>
      <c r="AP943" s="8"/>
      <c r="AQ943" s="8"/>
      <c r="AR943" s="8"/>
      <c r="AS943" s="8"/>
    </row>
    <row r="944" spans="1:45">
      <c r="A944" s="19"/>
      <c r="B944" s="19"/>
      <c r="C944" s="19"/>
      <c r="E944" s="9"/>
      <c r="F944" s="9"/>
      <c r="AG944" s="8"/>
      <c r="AH944" s="8"/>
      <c r="AI944" s="8"/>
      <c r="AJ944" s="8"/>
      <c r="AK944" s="8"/>
      <c r="AL944" s="8"/>
      <c r="AN944" s="8"/>
      <c r="AO944" s="8"/>
      <c r="AP944" s="8"/>
      <c r="AQ944" s="8"/>
      <c r="AR944" s="8"/>
      <c r="AS944" s="8"/>
    </row>
    <row r="945" spans="1:45">
      <c r="A945" s="19"/>
      <c r="B945" s="19"/>
      <c r="C945" s="19"/>
      <c r="E945" s="9"/>
      <c r="F945" s="9"/>
      <c r="AG945" s="8"/>
      <c r="AH945" s="8"/>
      <c r="AI945" s="8"/>
      <c r="AJ945" s="8"/>
      <c r="AK945" s="8"/>
      <c r="AL945" s="8"/>
      <c r="AN945" s="8"/>
      <c r="AO945" s="8"/>
      <c r="AP945" s="8"/>
      <c r="AQ945" s="8"/>
      <c r="AR945" s="8"/>
      <c r="AS945" s="8"/>
    </row>
    <row r="946" spans="1:45">
      <c r="A946" s="19"/>
      <c r="B946" s="19"/>
      <c r="C946" s="19"/>
      <c r="E946" s="9"/>
      <c r="F946" s="9"/>
      <c r="AG946" s="8"/>
      <c r="AH946" s="8"/>
      <c r="AI946" s="8"/>
      <c r="AJ946" s="8"/>
      <c r="AK946" s="8"/>
      <c r="AL946" s="8"/>
      <c r="AN946" s="8"/>
      <c r="AO946" s="8"/>
      <c r="AP946" s="8"/>
      <c r="AQ946" s="8"/>
      <c r="AR946" s="8"/>
      <c r="AS946" s="8"/>
    </row>
    <row r="947" spans="1:45">
      <c r="A947" s="19"/>
      <c r="B947" s="19"/>
      <c r="C947" s="19"/>
      <c r="E947" s="9"/>
      <c r="F947" s="9"/>
      <c r="AG947" s="8"/>
      <c r="AH947" s="8"/>
      <c r="AI947" s="8"/>
      <c r="AJ947" s="8"/>
      <c r="AK947" s="8"/>
      <c r="AL947" s="8"/>
      <c r="AN947" s="8"/>
      <c r="AO947" s="8"/>
      <c r="AP947" s="8"/>
      <c r="AQ947" s="8"/>
      <c r="AR947" s="8"/>
      <c r="AS947" s="8"/>
    </row>
    <row r="948" spans="1:45">
      <c r="A948" s="19"/>
      <c r="B948" s="19"/>
      <c r="C948" s="19"/>
      <c r="E948" s="9"/>
      <c r="F948" s="9"/>
      <c r="AG948" s="8"/>
      <c r="AH948" s="8"/>
      <c r="AI948" s="8"/>
      <c r="AJ948" s="8"/>
      <c r="AK948" s="8"/>
      <c r="AL948" s="8"/>
      <c r="AN948" s="8"/>
      <c r="AO948" s="8"/>
      <c r="AP948" s="8"/>
      <c r="AQ948" s="8"/>
      <c r="AR948" s="8"/>
      <c r="AS948" s="8"/>
    </row>
    <row r="949" spans="1:45">
      <c r="A949" s="19"/>
      <c r="B949" s="19"/>
      <c r="C949" s="19"/>
      <c r="E949" s="9"/>
      <c r="F949" s="9"/>
      <c r="AG949" s="8"/>
      <c r="AH949" s="8"/>
      <c r="AI949" s="8"/>
      <c r="AJ949" s="8"/>
      <c r="AK949" s="8"/>
      <c r="AL949" s="8"/>
      <c r="AN949" s="8"/>
      <c r="AO949" s="8"/>
      <c r="AP949" s="8"/>
      <c r="AQ949" s="8"/>
      <c r="AR949" s="8"/>
      <c r="AS949" s="8"/>
    </row>
    <row r="950" spans="1:45">
      <c r="A950" s="19"/>
      <c r="B950" s="19"/>
      <c r="C950" s="19"/>
      <c r="E950" s="9"/>
      <c r="F950" s="9"/>
      <c r="AG950" s="8"/>
      <c r="AH950" s="8"/>
      <c r="AI950" s="8"/>
      <c r="AJ950" s="8"/>
      <c r="AK950" s="8"/>
      <c r="AL950" s="8"/>
      <c r="AN950" s="8"/>
      <c r="AO950" s="8"/>
      <c r="AP950" s="8"/>
      <c r="AQ950" s="8"/>
      <c r="AR950" s="8"/>
      <c r="AS950" s="8"/>
    </row>
    <row r="951" spans="1:45">
      <c r="A951" s="19"/>
      <c r="B951" s="19"/>
      <c r="C951" s="19"/>
      <c r="E951" s="9"/>
      <c r="F951" s="9"/>
      <c r="AG951" s="8"/>
      <c r="AH951" s="8"/>
      <c r="AI951" s="8"/>
      <c r="AJ951" s="8"/>
      <c r="AK951" s="8"/>
      <c r="AL951" s="8"/>
      <c r="AN951" s="8"/>
      <c r="AO951" s="8"/>
      <c r="AP951" s="8"/>
      <c r="AQ951" s="8"/>
      <c r="AR951" s="8"/>
      <c r="AS951" s="8"/>
    </row>
    <row r="952" spans="1:45">
      <c r="A952" s="19"/>
      <c r="B952" s="19"/>
      <c r="C952" s="19"/>
      <c r="E952" s="9"/>
      <c r="F952" s="9"/>
      <c r="AG952" s="8"/>
      <c r="AH952" s="8"/>
      <c r="AI952" s="8"/>
      <c r="AJ952" s="8"/>
      <c r="AK952" s="8"/>
      <c r="AL952" s="8"/>
      <c r="AN952" s="8"/>
      <c r="AO952" s="8"/>
      <c r="AP952" s="8"/>
      <c r="AQ952" s="8"/>
      <c r="AR952" s="8"/>
      <c r="AS952" s="8"/>
    </row>
    <row r="953" spans="1:45">
      <c r="A953" s="19"/>
      <c r="B953" s="19"/>
      <c r="C953" s="19"/>
      <c r="E953" s="9"/>
      <c r="F953" s="9"/>
      <c r="AG953" s="8"/>
      <c r="AH953" s="8"/>
      <c r="AI953" s="8"/>
      <c r="AJ953" s="8"/>
      <c r="AK953" s="8"/>
      <c r="AL953" s="8"/>
      <c r="AN953" s="8"/>
      <c r="AO953" s="8"/>
      <c r="AP953" s="8"/>
      <c r="AQ953" s="8"/>
      <c r="AR953" s="8"/>
      <c r="AS953" s="8"/>
    </row>
    <row r="954" spans="1:45">
      <c r="A954" s="19"/>
      <c r="B954" s="19"/>
      <c r="C954" s="19"/>
      <c r="E954" s="9"/>
      <c r="F954" s="9"/>
      <c r="AG954" s="8"/>
      <c r="AH954" s="8"/>
      <c r="AI954" s="8"/>
      <c r="AJ954" s="8"/>
      <c r="AK954" s="8"/>
      <c r="AL954" s="8"/>
      <c r="AN954" s="8"/>
      <c r="AO954" s="8"/>
      <c r="AP954" s="8"/>
      <c r="AQ954" s="8"/>
      <c r="AR954" s="8"/>
      <c r="AS954" s="8"/>
    </row>
    <row r="955" spans="1:45">
      <c r="A955" s="19"/>
      <c r="B955" s="19"/>
      <c r="C955" s="19"/>
      <c r="E955" s="9"/>
      <c r="F955" s="9"/>
      <c r="AG955" s="8"/>
      <c r="AH955" s="8"/>
      <c r="AI955" s="8"/>
      <c r="AJ955" s="8"/>
      <c r="AK955" s="8"/>
      <c r="AL955" s="8"/>
      <c r="AN955" s="8"/>
      <c r="AO955" s="8"/>
      <c r="AP955" s="8"/>
      <c r="AQ955" s="8"/>
      <c r="AR955" s="8"/>
      <c r="AS955" s="8"/>
    </row>
    <row r="956" spans="1:45">
      <c r="A956" s="19"/>
      <c r="B956" s="19"/>
      <c r="C956" s="19"/>
      <c r="E956" s="9"/>
      <c r="F956" s="9"/>
      <c r="AG956" s="8"/>
      <c r="AH956" s="8"/>
      <c r="AI956" s="8"/>
      <c r="AJ956" s="8"/>
      <c r="AK956" s="8"/>
      <c r="AL956" s="8"/>
      <c r="AN956" s="8"/>
      <c r="AO956" s="8"/>
      <c r="AP956" s="8"/>
      <c r="AQ956" s="8"/>
      <c r="AR956" s="8"/>
      <c r="AS956" s="8"/>
    </row>
    <row r="957" spans="1:45">
      <c r="A957" s="19"/>
      <c r="B957" s="19"/>
      <c r="C957" s="19"/>
      <c r="E957" s="9"/>
      <c r="F957" s="9"/>
      <c r="AG957" s="8"/>
      <c r="AH957" s="8"/>
      <c r="AI957" s="8"/>
      <c r="AJ957" s="8"/>
      <c r="AK957" s="8"/>
      <c r="AL957" s="8"/>
      <c r="AN957" s="8"/>
      <c r="AO957" s="8"/>
      <c r="AP957" s="8"/>
      <c r="AQ957" s="8"/>
      <c r="AR957" s="8"/>
      <c r="AS957" s="8"/>
    </row>
    <row r="958" spans="1:45">
      <c r="A958" s="19"/>
      <c r="B958" s="19"/>
      <c r="C958" s="19"/>
      <c r="E958" s="9"/>
      <c r="F958" s="9"/>
      <c r="AG958" s="8"/>
      <c r="AH958" s="8"/>
      <c r="AI958" s="8"/>
      <c r="AJ958" s="8"/>
      <c r="AK958" s="8"/>
      <c r="AL958" s="8"/>
      <c r="AN958" s="8"/>
      <c r="AO958" s="8"/>
      <c r="AP958" s="8"/>
      <c r="AQ958" s="8"/>
      <c r="AR958" s="8"/>
      <c r="AS958" s="8"/>
    </row>
    <row r="959" spans="1:45">
      <c r="A959" s="19"/>
      <c r="B959" s="19"/>
      <c r="C959" s="19"/>
      <c r="E959" s="9"/>
      <c r="F959" s="9"/>
      <c r="AG959" s="8"/>
      <c r="AH959" s="8"/>
      <c r="AI959" s="8"/>
      <c r="AJ959" s="8"/>
      <c r="AK959" s="8"/>
      <c r="AL959" s="8"/>
      <c r="AN959" s="8"/>
      <c r="AO959" s="8"/>
      <c r="AP959" s="8"/>
      <c r="AQ959" s="8"/>
      <c r="AR959" s="8"/>
      <c r="AS959" s="8"/>
    </row>
    <row r="960" spans="1:45">
      <c r="A960" s="19"/>
      <c r="B960" s="19"/>
      <c r="C960" s="19"/>
      <c r="E960" s="9"/>
      <c r="F960" s="9"/>
      <c r="AG960" s="8"/>
      <c r="AH960" s="8"/>
      <c r="AI960" s="8"/>
      <c r="AJ960" s="8"/>
      <c r="AK960" s="8"/>
      <c r="AL960" s="8"/>
      <c r="AN960" s="8"/>
      <c r="AO960" s="8"/>
      <c r="AP960" s="8"/>
      <c r="AQ960" s="8"/>
      <c r="AR960" s="8"/>
      <c r="AS960" s="8"/>
    </row>
    <row r="961" spans="1:45">
      <c r="A961" s="19"/>
      <c r="B961" s="19"/>
      <c r="C961" s="19"/>
      <c r="E961" s="9"/>
      <c r="F961" s="9"/>
      <c r="AG961" s="8"/>
      <c r="AH961" s="8"/>
      <c r="AI961" s="8"/>
      <c r="AJ961" s="8"/>
      <c r="AK961" s="8"/>
      <c r="AL961" s="8"/>
      <c r="AN961" s="8"/>
      <c r="AO961" s="8"/>
      <c r="AP961" s="8"/>
      <c r="AQ961" s="8"/>
      <c r="AR961" s="8"/>
      <c r="AS961" s="8"/>
    </row>
    <row r="962" spans="1:45">
      <c r="A962" s="19"/>
      <c r="B962" s="19"/>
      <c r="C962" s="19"/>
      <c r="E962" s="9"/>
      <c r="F962" s="9"/>
      <c r="AG962" s="8"/>
      <c r="AH962" s="8"/>
      <c r="AI962" s="8"/>
      <c r="AJ962" s="8"/>
      <c r="AK962" s="8"/>
      <c r="AL962" s="8"/>
      <c r="AN962" s="8"/>
      <c r="AO962" s="8"/>
      <c r="AP962" s="8"/>
      <c r="AQ962" s="8"/>
      <c r="AR962" s="8"/>
      <c r="AS962" s="8"/>
    </row>
    <row r="963" spans="1:45">
      <c r="A963" s="19"/>
      <c r="B963" s="19"/>
      <c r="C963" s="19"/>
      <c r="E963" s="9"/>
      <c r="F963" s="9"/>
      <c r="AG963" s="8"/>
      <c r="AH963" s="8"/>
      <c r="AI963" s="8"/>
      <c r="AJ963" s="8"/>
      <c r="AK963" s="8"/>
      <c r="AL963" s="8"/>
      <c r="AN963" s="8"/>
      <c r="AO963" s="8"/>
      <c r="AP963" s="8"/>
      <c r="AQ963" s="8"/>
      <c r="AR963" s="8"/>
      <c r="AS963" s="8"/>
    </row>
    <row r="964" spans="1:45">
      <c r="A964" s="19"/>
      <c r="B964" s="19"/>
      <c r="C964" s="19"/>
      <c r="E964" s="9"/>
      <c r="F964" s="9"/>
      <c r="AG964" s="8"/>
      <c r="AH964" s="8"/>
      <c r="AI964" s="8"/>
      <c r="AJ964" s="8"/>
      <c r="AK964" s="8"/>
      <c r="AL964" s="8"/>
      <c r="AN964" s="8"/>
      <c r="AO964" s="8"/>
      <c r="AP964" s="8"/>
      <c r="AQ964" s="8"/>
      <c r="AR964" s="8"/>
      <c r="AS964" s="8"/>
    </row>
    <row r="965" spans="1:45">
      <c r="A965" s="19"/>
      <c r="B965" s="19"/>
      <c r="C965" s="19"/>
      <c r="E965" s="9"/>
      <c r="F965" s="9"/>
      <c r="AG965" s="8"/>
      <c r="AH965" s="8"/>
      <c r="AI965" s="8"/>
      <c r="AJ965" s="8"/>
      <c r="AK965" s="8"/>
      <c r="AL965" s="8"/>
      <c r="AN965" s="8"/>
      <c r="AO965" s="8"/>
      <c r="AP965" s="8"/>
      <c r="AQ965" s="8"/>
      <c r="AR965" s="8"/>
      <c r="AS965" s="8"/>
    </row>
    <row r="966" spans="1:45">
      <c r="A966" s="19"/>
      <c r="B966" s="19"/>
      <c r="C966" s="19"/>
      <c r="E966" s="9"/>
      <c r="F966" s="9"/>
      <c r="AG966" s="8"/>
      <c r="AH966" s="8"/>
      <c r="AI966" s="8"/>
      <c r="AJ966" s="8"/>
      <c r="AK966" s="8"/>
      <c r="AL966" s="8"/>
      <c r="AN966" s="8"/>
      <c r="AO966" s="8"/>
      <c r="AP966" s="8"/>
      <c r="AQ966" s="8"/>
      <c r="AR966" s="8"/>
      <c r="AS966" s="8"/>
    </row>
    <row r="967" spans="1:45">
      <c r="A967" s="19"/>
      <c r="B967" s="19"/>
      <c r="C967" s="19"/>
      <c r="E967" s="9"/>
      <c r="F967" s="9"/>
      <c r="AG967" s="8"/>
      <c r="AH967" s="8"/>
      <c r="AI967" s="8"/>
      <c r="AJ967" s="8"/>
      <c r="AK967" s="8"/>
      <c r="AL967" s="8"/>
      <c r="AN967" s="8"/>
      <c r="AO967" s="8"/>
      <c r="AP967" s="8"/>
      <c r="AQ967" s="8"/>
      <c r="AR967" s="8"/>
      <c r="AS967" s="8"/>
    </row>
    <row r="968" spans="1:45">
      <c r="A968" s="19"/>
      <c r="B968" s="19"/>
      <c r="C968" s="19"/>
      <c r="E968" s="9"/>
      <c r="F968" s="9"/>
      <c r="AG968" s="8"/>
      <c r="AH968" s="8"/>
      <c r="AI968" s="8"/>
      <c r="AJ968" s="8"/>
      <c r="AK968" s="8"/>
      <c r="AL968" s="8"/>
      <c r="AN968" s="8"/>
      <c r="AO968" s="8"/>
      <c r="AP968" s="8"/>
      <c r="AQ968" s="8"/>
      <c r="AR968" s="8"/>
      <c r="AS968" s="8"/>
    </row>
    <row r="969" spans="1:45">
      <c r="A969" s="19"/>
      <c r="B969" s="19"/>
      <c r="C969" s="19"/>
      <c r="E969" s="9"/>
      <c r="F969" s="9"/>
      <c r="AG969" s="8"/>
      <c r="AH969" s="8"/>
      <c r="AI969" s="8"/>
      <c r="AJ969" s="8"/>
      <c r="AK969" s="8"/>
      <c r="AL969" s="8"/>
      <c r="AN969" s="8"/>
      <c r="AO969" s="8"/>
      <c r="AP969" s="8"/>
      <c r="AQ969" s="8"/>
      <c r="AR969" s="8"/>
      <c r="AS969" s="8"/>
    </row>
    <row r="970" spans="1:45">
      <c r="A970" s="19"/>
      <c r="B970" s="19"/>
      <c r="C970" s="19"/>
      <c r="E970" s="9"/>
      <c r="F970" s="9"/>
      <c r="AG970" s="8"/>
      <c r="AH970" s="8"/>
      <c r="AI970" s="8"/>
      <c r="AJ970" s="8"/>
      <c r="AK970" s="8"/>
      <c r="AL970" s="8"/>
      <c r="AN970" s="8"/>
      <c r="AO970" s="8"/>
      <c r="AP970" s="8"/>
      <c r="AQ970" s="8"/>
      <c r="AR970" s="8"/>
      <c r="AS970" s="8"/>
    </row>
    <row r="971" spans="1:45">
      <c r="A971" s="19"/>
      <c r="B971" s="19"/>
      <c r="C971" s="19"/>
      <c r="E971" s="9"/>
      <c r="F971" s="9"/>
      <c r="AG971" s="8"/>
      <c r="AH971" s="8"/>
      <c r="AI971" s="8"/>
      <c r="AJ971" s="8"/>
      <c r="AK971" s="8"/>
      <c r="AL971" s="8"/>
      <c r="AN971" s="8"/>
      <c r="AO971" s="8"/>
      <c r="AP971" s="8"/>
      <c r="AQ971" s="8"/>
      <c r="AR971" s="8"/>
      <c r="AS971" s="8"/>
    </row>
    <row r="972" spans="1:45">
      <c r="A972" s="19"/>
      <c r="B972" s="19"/>
      <c r="C972" s="19"/>
      <c r="E972" s="9"/>
      <c r="F972" s="9"/>
      <c r="AG972" s="8"/>
      <c r="AH972" s="8"/>
      <c r="AI972" s="8"/>
      <c r="AJ972" s="8"/>
      <c r="AK972" s="8"/>
      <c r="AL972" s="8"/>
      <c r="AN972" s="8"/>
      <c r="AO972" s="8"/>
      <c r="AP972" s="8"/>
      <c r="AQ972" s="8"/>
      <c r="AR972" s="8"/>
      <c r="AS972" s="8"/>
    </row>
    <row r="973" spans="1:45">
      <c r="A973" s="19"/>
      <c r="B973" s="19"/>
      <c r="C973" s="19"/>
      <c r="E973" s="9"/>
      <c r="F973" s="9"/>
      <c r="AG973" s="8"/>
      <c r="AH973" s="8"/>
      <c r="AI973" s="8"/>
      <c r="AJ973" s="8"/>
      <c r="AK973" s="8"/>
      <c r="AL973" s="8"/>
      <c r="AN973" s="8"/>
      <c r="AO973" s="8"/>
      <c r="AP973" s="8"/>
      <c r="AQ973" s="8"/>
      <c r="AR973" s="8"/>
      <c r="AS973" s="8"/>
    </row>
    <row r="974" spans="1:45">
      <c r="A974" s="19"/>
      <c r="B974" s="19"/>
      <c r="C974" s="19"/>
      <c r="E974" s="9"/>
      <c r="F974" s="9"/>
      <c r="AG974" s="8"/>
      <c r="AH974" s="8"/>
      <c r="AI974" s="8"/>
      <c r="AJ974" s="8"/>
      <c r="AK974" s="8"/>
      <c r="AL974" s="8"/>
      <c r="AN974" s="8"/>
      <c r="AO974" s="8"/>
      <c r="AP974" s="8"/>
      <c r="AQ974" s="8"/>
      <c r="AR974" s="8"/>
      <c r="AS974" s="8"/>
    </row>
    <row r="975" spans="1:45">
      <c r="A975" s="19"/>
      <c r="B975" s="19"/>
      <c r="C975" s="19"/>
      <c r="E975" s="9"/>
      <c r="F975" s="9"/>
      <c r="AG975" s="8"/>
      <c r="AH975" s="8"/>
      <c r="AI975" s="8"/>
      <c r="AJ975" s="8"/>
      <c r="AK975" s="8"/>
      <c r="AL975" s="8"/>
      <c r="AN975" s="8"/>
      <c r="AO975" s="8"/>
      <c r="AP975" s="8"/>
      <c r="AQ975" s="8"/>
      <c r="AR975" s="8"/>
      <c r="AS975" s="8"/>
    </row>
    <row r="976" spans="1:45">
      <c r="A976" s="19"/>
      <c r="B976" s="19"/>
      <c r="C976" s="19"/>
      <c r="E976" s="9"/>
      <c r="F976" s="9"/>
      <c r="AG976" s="8"/>
      <c r="AH976" s="8"/>
      <c r="AI976" s="8"/>
      <c r="AJ976" s="8"/>
      <c r="AK976" s="8"/>
      <c r="AL976" s="8"/>
      <c r="AN976" s="8"/>
      <c r="AO976" s="8"/>
      <c r="AP976" s="8"/>
      <c r="AQ976" s="8"/>
      <c r="AR976" s="8"/>
      <c r="AS976" s="8"/>
    </row>
    <row r="977" spans="1:45">
      <c r="A977" s="19"/>
      <c r="B977" s="19"/>
      <c r="C977" s="19"/>
      <c r="E977" s="9"/>
      <c r="F977" s="9"/>
      <c r="AG977" s="8"/>
      <c r="AH977" s="8"/>
      <c r="AI977" s="8"/>
      <c r="AJ977" s="8"/>
      <c r="AK977" s="8"/>
      <c r="AL977" s="8"/>
      <c r="AN977" s="8"/>
      <c r="AO977" s="8"/>
      <c r="AP977" s="8"/>
      <c r="AQ977" s="8"/>
      <c r="AR977" s="8"/>
      <c r="AS977" s="8"/>
    </row>
    <row r="978" spans="1:45">
      <c r="A978" s="19"/>
      <c r="B978" s="19"/>
      <c r="C978" s="19"/>
      <c r="E978" s="9"/>
      <c r="F978" s="9"/>
      <c r="AG978" s="8"/>
      <c r="AH978" s="8"/>
      <c r="AI978" s="8"/>
      <c r="AJ978" s="8"/>
      <c r="AK978" s="8"/>
      <c r="AL978" s="8"/>
      <c r="AN978" s="8"/>
      <c r="AO978" s="8"/>
      <c r="AP978" s="8"/>
      <c r="AQ978" s="8"/>
      <c r="AR978" s="8"/>
      <c r="AS978" s="8"/>
    </row>
    <row r="979" spans="1:45">
      <c r="A979" s="19"/>
      <c r="B979" s="19"/>
      <c r="C979" s="19"/>
      <c r="E979" s="9"/>
      <c r="F979" s="9"/>
      <c r="AG979" s="8"/>
      <c r="AH979" s="8"/>
      <c r="AI979" s="8"/>
      <c r="AJ979" s="8"/>
      <c r="AK979" s="8"/>
      <c r="AL979" s="8"/>
      <c r="AN979" s="8"/>
      <c r="AO979" s="8"/>
      <c r="AP979" s="8"/>
      <c r="AQ979" s="8"/>
      <c r="AR979" s="8"/>
      <c r="AS979" s="8"/>
    </row>
    <row r="980" spans="1:45">
      <c r="A980" s="19"/>
      <c r="B980" s="19"/>
      <c r="C980" s="19"/>
      <c r="E980" s="9"/>
      <c r="F980" s="9"/>
      <c r="AG980" s="8"/>
      <c r="AH980" s="8"/>
      <c r="AI980" s="8"/>
      <c r="AJ980" s="8"/>
      <c r="AK980" s="8"/>
      <c r="AL980" s="8"/>
      <c r="AN980" s="8"/>
      <c r="AO980" s="8"/>
      <c r="AP980" s="8"/>
      <c r="AQ980" s="8"/>
      <c r="AR980" s="8"/>
      <c r="AS980" s="8"/>
    </row>
    <row r="981" spans="1:45">
      <c r="A981" s="19"/>
      <c r="B981" s="19"/>
      <c r="C981" s="19"/>
      <c r="E981" s="9"/>
      <c r="F981" s="9"/>
      <c r="AG981" s="8"/>
      <c r="AH981" s="8"/>
      <c r="AI981" s="8"/>
      <c r="AJ981" s="8"/>
      <c r="AK981" s="8"/>
      <c r="AL981" s="8"/>
      <c r="AN981" s="8"/>
      <c r="AO981" s="8"/>
      <c r="AP981" s="8"/>
      <c r="AQ981" s="8"/>
      <c r="AR981" s="8"/>
      <c r="AS981" s="8"/>
    </row>
    <row r="982" spans="1:45">
      <c r="A982" s="19"/>
      <c r="B982" s="19"/>
      <c r="C982" s="19"/>
      <c r="E982" s="9"/>
      <c r="F982" s="9"/>
      <c r="AG982" s="8"/>
      <c r="AH982" s="8"/>
      <c r="AI982" s="8"/>
      <c r="AJ982" s="8"/>
      <c r="AK982" s="8"/>
      <c r="AL982" s="8"/>
      <c r="AN982" s="8"/>
      <c r="AO982" s="8"/>
      <c r="AP982" s="8"/>
      <c r="AQ982" s="8"/>
      <c r="AR982" s="8"/>
      <c r="AS982" s="8"/>
    </row>
    <row r="983" spans="1:45">
      <c r="A983" s="19"/>
      <c r="B983" s="19"/>
      <c r="C983" s="19"/>
      <c r="E983" s="9"/>
      <c r="F983" s="9"/>
      <c r="AG983" s="8"/>
      <c r="AH983" s="8"/>
      <c r="AI983" s="8"/>
      <c r="AJ983" s="8"/>
      <c r="AK983" s="8"/>
      <c r="AL983" s="8"/>
      <c r="AN983" s="8"/>
      <c r="AO983" s="8"/>
      <c r="AP983" s="8"/>
      <c r="AQ983" s="8"/>
      <c r="AR983" s="8"/>
      <c r="AS983" s="8"/>
    </row>
    <row r="984" spans="1:45">
      <c r="A984" s="19"/>
      <c r="B984" s="19"/>
      <c r="C984" s="19"/>
      <c r="E984" s="9"/>
      <c r="F984" s="9"/>
      <c r="AG984" s="8"/>
      <c r="AH984" s="8"/>
      <c r="AI984" s="8"/>
      <c r="AJ984" s="8"/>
      <c r="AK984" s="8"/>
      <c r="AL984" s="8"/>
      <c r="AN984" s="8"/>
      <c r="AO984" s="8"/>
      <c r="AP984" s="8"/>
      <c r="AQ984" s="8"/>
      <c r="AR984" s="8"/>
      <c r="AS984" s="8"/>
    </row>
    <row r="985" spans="1:45">
      <c r="A985" s="19"/>
      <c r="B985" s="19"/>
      <c r="C985" s="19"/>
      <c r="E985" s="9"/>
      <c r="F985" s="9"/>
      <c r="AG985" s="8"/>
      <c r="AH985" s="8"/>
      <c r="AI985" s="8"/>
      <c r="AJ985" s="8"/>
      <c r="AK985" s="8"/>
      <c r="AL985" s="8"/>
      <c r="AN985" s="8"/>
      <c r="AO985" s="8"/>
      <c r="AP985" s="8"/>
      <c r="AQ985" s="8"/>
      <c r="AR985" s="8"/>
      <c r="AS985" s="8"/>
    </row>
    <row r="986" spans="1:45">
      <c r="A986" s="19"/>
      <c r="B986" s="19"/>
      <c r="C986" s="19"/>
      <c r="E986" s="9"/>
      <c r="F986" s="9"/>
      <c r="AG986" s="8"/>
      <c r="AH986" s="8"/>
      <c r="AI986" s="8"/>
      <c r="AJ986" s="8"/>
      <c r="AK986" s="8"/>
      <c r="AL986" s="8"/>
      <c r="AN986" s="8"/>
      <c r="AO986" s="8"/>
      <c r="AP986" s="8"/>
      <c r="AQ986" s="8"/>
      <c r="AR986" s="8"/>
      <c r="AS986" s="8"/>
    </row>
    <row r="987" spans="1:45">
      <c r="A987" s="19"/>
      <c r="B987" s="19"/>
      <c r="C987" s="19"/>
      <c r="E987" s="9"/>
      <c r="F987" s="9"/>
      <c r="AG987" s="8"/>
      <c r="AH987" s="8"/>
      <c r="AI987" s="8"/>
      <c r="AJ987" s="8"/>
      <c r="AK987" s="8"/>
      <c r="AL987" s="8"/>
      <c r="AN987" s="8"/>
      <c r="AO987" s="8"/>
      <c r="AP987" s="8"/>
      <c r="AQ987" s="8"/>
      <c r="AR987" s="8"/>
      <c r="AS987" s="8"/>
    </row>
    <row r="988" spans="1:45">
      <c r="A988" s="19"/>
      <c r="B988" s="19"/>
      <c r="C988" s="19"/>
      <c r="E988" s="9"/>
      <c r="F988" s="9"/>
      <c r="AG988" s="8"/>
      <c r="AH988" s="8"/>
      <c r="AI988" s="8"/>
      <c r="AJ988" s="8"/>
      <c r="AK988" s="8"/>
      <c r="AL988" s="8"/>
      <c r="AN988" s="8"/>
      <c r="AO988" s="8"/>
      <c r="AP988" s="8"/>
      <c r="AQ988" s="8"/>
      <c r="AR988" s="8"/>
      <c r="AS988" s="8"/>
    </row>
    <row r="989" spans="1:45">
      <c r="A989" s="19"/>
      <c r="B989" s="19"/>
      <c r="C989" s="19"/>
      <c r="E989" s="9"/>
      <c r="F989" s="9"/>
      <c r="AG989" s="8"/>
      <c r="AH989" s="8"/>
      <c r="AI989" s="8"/>
      <c r="AJ989" s="8"/>
      <c r="AK989" s="8"/>
      <c r="AL989" s="8"/>
      <c r="AN989" s="8"/>
      <c r="AO989" s="8"/>
      <c r="AP989" s="8"/>
      <c r="AQ989" s="8"/>
      <c r="AR989" s="8"/>
      <c r="AS989" s="8"/>
    </row>
    <row r="990" spans="1:45">
      <c r="A990" s="19"/>
      <c r="B990" s="19"/>
      <c r="C990" s="19"/>
      <c r="E990" s="9"/>
      <c r="F990" s="9"/>
      <c r="AG990" s="8"/>
      <c r="AH990" s="8"/>
      <c r="AI990" s="8"/>
      <c r="AJ990" s="8"/>
      <c r="AK990" s="8"/>
      <c r="AL990" s="8"/>
      <c r="AN990" s="8"/>
      <c r="AO990" s="8"/>
      <c r="AP990" s="8"/>
      <c r="AQ990" s="8"/>
      <c r="AR990" s="8"/>
      <c r="AS990" s="8"/>
    </row>
    <row r="991" spans="1:45">
      <c r="A991" s="19"/>
      <c r="B991" s="19"/>
      <c r="C991" s="19"/>
      <c r="E991" s="9"/>
      <c r="F991" s="9"/>
      <c r="AG991" s="8"/>
      <c r="AH991" s="8"/>
      <c r="AI991" s="8"/>
      <c r="AJ991" s="8"/>
      <c r="AK991" s="8"/>
      <c r="AL991" s="8"/>
      <c r="AN991" s="8"/>
      <c r="AO991" s="8"/>
      <c r="AP991" s="8"/>
      <c r="AQ991" s="8"/>
      <c r="AR991" s="8"/>
      <c r="AS991" s="8"/>
    </row>
    <row r="992" spans="1:45">
      <c r="A992" s="19"/>
      <c r="B992" s="19"/>
      <c r="C992" s="19"/>
      <c r="E992" s="9"/>
      <c r="F992" s="9"/>
      <c r="AG992" s="8"/>
      <c r="AH992" s="8"/>
      <c r="AI992" s="8"/>
      <c r="AJ992" s="8"/>
      <c r="AK992" s="8"/>
      <c r="AL992" s="8"/>
      <c r="AN992" s="8"/>
      <c r="AO992" s="8"/>
      <c r="AP992" s="8"/>
      <c r="AQ992" s="8"/>
      <c r="AR992" s="8"/>
      <c r="AS992" s="8"/>
    </row>
    <row r="993" spans="1:45">
      <c r="A993" s="19"/>
      <c r="B993" s="19"/>
      <c r="C993" s="19"/>
      <c r="E993" s="9"/>
      <c r="F993" s="9"/>
      <c r="AG993" s="8"/>
      <c r="AH993" s="8"/>
      <c r="AI993" s="8"/>
      <c r="AJ993" s="8"/>
      <c r="AK993" s="8"/>
      <c r="AL993" s="8"/>
      <c r="AN993" s="8"/>
      <c r="AO993" s="8"/>
      <c r="AP993" s="8"/>
      <c r="AQ993" s="8"/>
      <c r="AR993" s="8"/>
      <c r="AS993" s="8"/>
    </row>
    <row r="994" spans="1:45">
      <c r="A994" s="19"/>
      <c r="B994" s="19"/>
      <c r="C994" s="19"/>
      <c r="E994" s="9"/>
      <c r="F994" s="9"/>
      <c r="AG994" s="8"/>
      <c r="AH994" s="8"/>
      <c r="AI994" s="8"/>
      <c r="AJ994" s="8"/>
      <c r="AK994" s="8"/>
      <c r="AL994" s="8"/>
      <c r="AN994" s="8"/>
      <c r="AO994" s="8"/>
      <c r="AP994" s="8"/>
      <c r="AQ994" s="8"/>
      <c r="AR994" s="8"/>
      <c r="AS994" s="8"/>
    </row>
    <row r="995" spans="1:45">
      <c r="A995" s="19"/>
      <c r="B995" s="19"/>
      <c r="C995" s="19"/>
      <c r="E995" s="9"/>
      <c r="F995" s="9"/>
      <c r="AG995" s="8"/>
      <c r="AH995" s="8"/>
      <c r="AI995" s="8"/>
      <c r="AJ995" s="8"/>
      <c r="AK995" s="8"/>
      <c r="AL995" s="8"/>
      <c r="AN995" s="8"/>
      <c r="AO995" s="8"/>
      <c r="AP995" s="8"/>
      <c r="AQ995" s="8"/>
      <c r="AR995" s="8"/>
      <c r="AS995" s="8"/>
    </row>
    <row r="996" spans="1:45">
      <c r="A996" s="19"/>
      <c r="B996" s="19"/>
      <c r="C996" s="19"/>
      <c r="E996" s="9"/>
      <c r="F996" s="9"/>
      <c r="AG996" s="8"/>
      <c r="AH996" s="8"/>
      <c r="AI996" s="8"/>
      <c r="AJ996" s="8"/>
      <c r="AK996" s="8"/>
      <c r="AL996" s="8"/>
      <c r="AN996" s="8"/>
      <c r="AO996" s="8"/>
      <c r="AP996" s="8"/>
      <c r="AQ996" s="8"/>
      <c r="AR996" s="8"/>
      <c r="AS996" s="8"/>
    </row>
    <row r="997" spans="1:45">
      <c r="A997" s="19"/>
      <c r="B997" s="19"/>
      <c r="C997" s="19"/>
      <c r="E997" s="9"/>
      <c r="F997" s="9"/>
      <c r="AG997" s="8"/>
      <c r="AH997" s="8"/>
      <c r="AI997" s="8"/>
      <c r="AJ997" s="8"/>
      <c r="AK997" s="8"/>
      <c r="AL997" s="8"/>
      <c r="AN997" s="8"/>
      <c r="AO997" s="8"/>
      <c r="AP997" s="8"/>
      <c r="AQ997" s="8"/>
      <c r="AR997" s="8"/>
      <c r="AS997" s="8"/>
    </row>
    <row r="998" spans="1:45">
      <c r="A998" s="19"/>
      <c r="B998" s="19"/>
      <c r="C998" s="19"/>
      <c r="E998" s="9"/>
      <c r="F998" s="9"/>
      <c r="AG998" s="8"/>
      <c r="AH998" s="8"/>
      <c r="AI998" s="8"/>
      <c r="AJ998" s="8"/>
      <c r="AK998" s="8"/>
      <c r="AL998" s="8"/>
      <c r="AN998" s="8"/>
      <c r="AO998" s="8"/>
      <c r="AP998" s="8"/>
      <c r="AQ998" s="8"/>
      <c r="AR998" s="8"/>
      <c r="AS998" s="8"/>
    </row>
    <row r="999" spans="1:45">
      <c r="A999" s="19"/>
      <c r="B999" s="19"/>
      <c r="C999" s="19"/>
      <c r="E999" s="9"/>
      <c r="F999" s="9"/>
      <c r="AG999" s="8"/>
      <c r="AH999" s="8"/>
      <c r="AI999" s="8"/>
      <c r="AJ999" s="8"/>
      <c r="AK999" s="8"/>
      <c r="AL999" s="8"/>
      <c r="AN999" s="8"/>
      <c r="AO999" s="8"/>
      <c r="AP999" s="8"/>
      <c r="AQ999" s="8"/>
      <c r="AR999" s="8"/>
      <c r="AS999" s="8"/>
    </row>
    <row r="1000" spans="1:45">
      <c r="A1000" s="19"/>
      <c r="B1000" s="19"/>
      <c r="C1000" s="19"/>
      <c r="E1000" s="9"/>
      <c r="F1000" s="9"/>
      <c r="AG1000" s="8"/>
      <c r="AH1000" s="8"/>
      <c r="AI1000" s="8"/>
      <c r="AJ1000" s="8"/>
      <c r="AK1000" s="8"/>
      <c r="AL1000" s="8"/>
      <c r="AN1000" s="8"/>
      <c r="AO1000" s="8"/>
      <c r="AP1000" s="8"/>
      <c r="AQ1000" s="8"/>
      <c r="AR1000" s="8"/>
      <c r="AS1000" s="8"/>
    </row>
    <row r="1001" spans="1:45">
      <c r="A1001" s="19"/>
      <c r="B1001" s="19"/>
      <c r="C1001" s="19"/>
      <c r="E1001" s="9"/>
      <c r="F1001" s="9"/>
      <c r="AG1001" s="8"/>
      <c r="AH1001" s="8"/>
      <c r="AI1001" s="8"/>
      <c r="AJ1001" s="8"/>
      <c r="AK1001" s="8"/>
      <c r="AL1001" s="8"/>
      <c r="AN1001" s="8"/>
      <c r="AO1001" s="8"/>
      <c r="AP1001" s="8"/>
      <c r="AQ1001" s="8"/>
      <c r="AR1001" s="8"/>
      <c r="AS1001" s="8"/>
    </row>
    <row r="1002" spans="1:45">
      <c r="A1002" s="19"/>
      <c r="B1002" s="19"/>
      <c r="C1002" s="19"/>
      <c r="E1002" s="9"/>
      <c r="F1002" s="9"/>
      <c r="AG1002" s="8"/>
      <c r="AH1002" s="8"/>
      <c r="AI1002" s="8"/>
      <c r="AJ1002" s="8"/>
      <c r="AK1002" s="8"/>
      <c r="AL1002" s="8"/>
      <c r="AN1002" s="8"/>
      <c r="AO1002" s="8"/>
      <c r="AP1002" s="8"/>
      <c r="AQ1002" s="8"/>
      <c r="AR1002" s="8"/>
      <c r="AS1002" s="8"/>
    </row>
    <row r="1003" spans="1:45">
      <c r="A1003" s="19"/>
      <c r="B1003" s="19"/>
      <c r="C1003" s="19"/>
      <c r="E1003" s="9"/>
      <c r="F1003" s="9"/>
      <c r="AG1003" s="8"/>
      <c r="AH1003" s="8"/>
      <c r="AI1003" s="8"/>
      <c r="AJ1003" s="8"/>
      <c r="AK1003" s="8"/>
      <c r="AL1003" s="8"/>
      <c r="AN1003" s="8"/>
      <c r="AO1003" s="8"/>
      <c r="AP1003" s="8"/>
      <c r="AQ1003" s="8"/>
      <c r="AR1003" s="8"/>
      <c r="AS1003" s="8"/>
    </row>
    <row r="1004" spans="1:45">
      <c r="A1004" s="19"/>
      <c r="B1004" s="19"/>
      <c r="C1004" s="19"/>
      <c r="E1004" s="9"/>
      <c r="F1004" s="9"/>
      <c r="AG1004" s="8"/>
      <c r="AH1004" s="8"/>
      <c r="AI1004" s="8"/>
      <c r="AJ1004" s="8"/>
      <c r="AK1004" s="8"/>
      <c r="AL1004" s="8"/>
      <c r="AN1004" s="8"/>
      <c r="AO1004" s="8"/>
      <c r="AP1004" s="8"/>
      <c r="AQ1004" s="8"/>
      <c r="AR1004" s="8"/>
      <c r="AS1004" s="8"/>
    </row>
    <row r="1005" spans="1:45">
      <c r="A1005" s="19"/>
      <c r="B1005" s="19"/>
      <c r="C1005" s="19"/>
      <c r="E1005" s="9"/>
      <c r="F1005" s="9"/>
      <c r="AG1005" s="8"/>
      <c r="AH1005" s="8"/>
      <c r="AI1005" s="8"/>
      <c r="AJ1005" s="8"/>
      <c r="AK1005" s="8"/>
      <c r="AL1005" s="8"/>
      <c r="AN1005" s="8"/>
      <c r="AO1005" s="8"/>
      <c r="AP1005" s="8"/>
      <c r="AQ1005" s="8"/>
      <c r="AR1005" s="8"/>
      <c r="AS1005" s="8"/>
    </row>
    <row r="1006" spans="1:45">
      <c r="A1006" s="19"/>
      <c r="B1006" s="19"/>
      <c r="C1006" s="19"/>
      <c r="E1006" s="9"/>
      <c r="F1006" s="9"/>
      <c r="AG1006" s="8"/>
      <c r="AH1006" s="8"/>
      <c r="AI1006" s="8"/>
      <c r="AJ1006" s="8"/>
      <c r="AK1006" s="8"/>
      <c r="AL1006" s="8"/>
      <c r="AN1006" s="8"/>
      <c r="AO1006" s="8"/>
      <c r="AP1006" s="8"/>
      <c r="AQ1006" s="8"/>
      <c r="AR1006" s="8"/>
      <c r="AS1006" s="8"/>
    </row>
    <row r="1007" spans="1:45">
      <c r="A1007" s="19"/>
      <c r="B1007" s="19"/>
      <c r="C1007" s="19"/>
      <c r="E1007" s="9"/>
      <c r="F1007" s="9"/>
      <c r="AG1007" s="8"/>
      <c r="AH1007" s="8"/>
      <c r="AI1007" s="8"/>
      <c r="AJ1007" s="8"/>
      <c r="AK1007" s="8"/>
      <c r="AL1007" s="8"/>
      <c r="AN1007" s="8"/>
      <c r="AO1007" s="8"/>
      <c r="AP1007" s="8"/>
      <c r="AQ1007" s="8"/>
      <c r="AR1007" s="8"/>
      <c r="AS1007" s="8"/>
    </row>
    <row r="1008" spans="1:45">
      <c r="A1008" s="19"/>
      <c r="B1008" s="19"/>
      <c r="C1008" s="19"/>
      <c r="E1008" s="9"/>
      <c r="F1008" s="9"/>
      <c r="AG1008" s="8"/>
      <c r="AH1008" s="8"/>
      <c r="AI1008" s="8"/>
      <c r="AJ1008" s="8"/>
      <c r="AK1008" s="8"/>
      <c r="AL1008" s="8"/>
      <c r="AN1008" s="8"/>
      <c r="AO1008" s="8"/>
      <c r="AP1008" s="8"/>
      <c r="AQ1008" s="8"/>
      <c r="AR1008" s="8"/>
      <c r="AS1008" s="8"/>
    </row>
    <row r="1009" spans="1:45">
      <c r="A1009" s="19"/>
      <c r="B1009" s="19"/>
      <c r="C1009" s="19"/>
      <c r="E1009" s="9"/>
      <c r="F1009" s="9"/>
      <c r="AG1009" s="8"/>
      <c r="AH1009" s="8"/>
      <c r="AI1009" s="8"/>
      <c r="AJ1009" s="8"/>
      <c r="AK1009" s="8"/>
      <c r="AL1009" s="8"/>
      <c r="AN1009" s="8"/>
      <c r="AO1009" s="8"/>
      <c r="AP1009" s="8"/>
      <c r="AQ1009" s="8"/>
      <c r="AR1009" s="8"/>
      <c r="AS1009" s="8"/>
    </row>
    <row r="1010" spans="1:45">
      <c r="A1010" s="19"/>
      <c r="B1010" s="19"/>
      <c r="C1010" s="19"/>
      <c r="E1010" s="9"/>
      <c r="F1010" s="9"/>
      <c r="AG1010" s="8"/>
      <c r="AH1010" s="8"/>
      <c r="AI1010" s="8"/>
      <c r="AJ1010" s="8"/>
      <c r="AK1010" s="8"/>
      <c r="AL1010" s="8"/>
      <c r="AN1010" s="8"/>
      <c r="AO1010" s="8"/>
      <c r="AP1010" s="8"/>
      <c r="AQ1010" s="8"/>
      <c r="AR1010" s="8"/>
      <c r="AS1010" s="8"/>
    </row>
    <row r="1011" spans="1:45">
      <c r="A1011" s="19"/>
      <c r="B1011" s="19"/>
      <c r="C1011" s="19"/>
      <c r="E1011" s="9"/>
      <c r="F1011" s="9"/>
      <c r="AG1011" s="8"/>
      <c r="AH1011" s="8"/>
      <c r="AI1011" s="8"/>
      <c r="AJ1011" s="8"/>
      <c r="AK1011" s="8"/>
      <c r="AL1011" s="8"/>
      <c r="AN1011" s="8"/>
      <c r="AO1011" s="8"/>
      <c r="AP1011" s="8"/>
      <c r="AQ1011" s="8"/>
      <c r="AR1011" s="8"/>
      <c r="AS1011" s="8"/>
    </row>
    <row r="1012" spans="1:45">
      <c r="A1012" s="19"/>
      <c r="B1012" s="19"/>
      <c r="C1012" s="19"/>
      <c r="E1012" s="9"/>
      <c r="F1012" s="9"/>
      <c r="AG1012" s="8"/>
      <c r="AH1012" s="8"/>
      <c r="AI1012" s="8"/>
      <c r="AJ1012" s="8"/>
      <c r="AK1012" s="8"/>
      <c r="AL1012" s="8"/>
      <c r="AN1012" s="8"/>
      <c r="AO1012" s="8"/>
      <c r="AP1012" s="8"/>
      <c r="AQ1012" s="8"/>
      <c r="AR1012" s="8"/>
      <c r="AS1012" s="8"/>
    </row>
    <row r="1013" spans="1:45">
      <c r="A1013" s="19"/>
      <c r="B1013" s="19"/>
      <c r="C1013" s="19"/>
      <c r="E1013" s="9"/>
      <c r="F1013" s="9"/>
      <c r="AG1013" s="8"/>
      <c r="AH1013" s="8"/>
      <c r="AI1013" s="8"/>
      <c r="AJ1013" s="8"/>
      <c r="AK1013" s="8"/>
      <c r="AL1013" s="8"/>
      <c r="AN1013" s="8"/>
      <c r="AO1013" s="8"/>
      <c r="AP1013" s="8"/>
      <c r="AQ1013" s="8"/>
      <c r="AR1013" s="8"/>
      <c r="AS1013" s="8"/>
    </row>
    <row r="1014" spans="1:45">
      <c r="A1014" s="19"/>
      <c r="B1014" s="19"/>
      <c r="C1014" s="19"/>
      <c r="E1014" s="9"/>
      <c r="F1014" s="9"/>
      <c r="AG1014" s="8"/>
      <c r="AH1014" s="8"/>
      <c r="AI1014" s="8"/>
      <c r="AJ1014" s="8"/>
      <c r="AK1014" s="8"/>
      <c r="AL1014" s="8"/>
      <c r="AN1014" s="8"/>
      <c r="AO1014" s="8"/>
      <c r="AP1014" s="8"/>
      <c r="AQ1014" s="8"/>
      <c r="AR1014" s="8"/>
      <c r="AS1014" s="8"/>
    </row>
    <row r="1015" spans="1:45">
      <c r="A1015" s="19"/>
      <c r="B1015" s="19"/>
      <c r="C1015" s="19"/>
      <c r="E1015" s="9"/>
      <c r="F1015" s="9"/>
      <c r="AG1015" s="8"/>
      <c r="AH1015" s="8"/>
      <c r="AI1015" s="8"/>
      <c r="AJ1015" s="8"/>
      <c r="AK1015" s="8"/>
      <c r="AL1015" s="8"/>
      <c r="AN1015" s="8"/>
      <c r="AO1015" s="8"/>
      <c r="AP1015" s="8"/>
      <c r="AQ1015" s="8"/>
      <c r="AR1015" s="8"/>
      <c r="AS1015" s="8"/>
    </row>
    <row r="1016" spans="1:45">
      <c r="A1016" s="19"/>
      <c r="B1016" s="19"/>
      <c r="C1016" s="19"/>
      <c r="E1016" s="9"/>
      <c r="F1016" s="9"/>
      <c r="AG1016" s="8"/>
      <c r="AH1016" s="8"/>
      <c r="AI1016" s="8"/>
      <c r="AJ1016" s="8"/>
      <c r="AK1016" s="8"/>
      <c r="AL1016" s="8"/>
      <c r="AN1016" s="8"/>
      <c r="AO1016" s="8"/>
      <c r="AP1016" s="8"/>
      <c r="AQ1016" s="8"/>
      <c r="AR1016" s="8"/>
      <c r="AS1016" s="8"/>
    </row>
    <row r="1017" spans="1:45">
      <c r="A1017" s="19"/>
      <c r="B1017" s="19"/>
      <c r="C1017" s="19"/>
      <c r="E1017" s="9"/>
      <c r="F1017" s="9"/>
      <c r="AG1017" s="8"/>
      <c r="AH1017" s="8"/>
      <c r="AI1017" s="8"/>
      <c r="AJ1017" s="8"/>
      <c r="AK1017" s="8"/>
      <c r="AL1017" s="8"/>
      <c r="AN1017" s="8"/>
      <c r="AO1017" s="8"/>
      <c r="AP1017" s="8"/>
      <c r="AQ1017" s="8"/>
      <c r="AR1017" s="8"/>
      <c r="AS1017" s="8"/>
    </row>
    <row r="1018" spans="1:45">
      <c r="A1018" s="19"/>
      <c r="B1018" s="19"/>
      <c r="C1018" s="19"/>
      <c r="E1018" s="9"/>
      <c r="F1018" s="9"/>
      <c r="AG1018" s="8"/>
      <c r="AH1018" s="8"/>
      <c r="AI1018" s="8"/>
      <c r="AJ1018" s="8"/>
      <c r="AK1018" s="8"/>
      <c r="AL1018" s="8"/>
      <c r="AN1018" s="8"/>
      <c r="AO1018" s="8"/>
      <c r="AP1018" s="8"/>
      <c r="AQ1018" s="8"/>
      <c r="AR1018" s="8"/>
      <c r="AS1018" s="8"/>
    </row>
    <row r="1019" spans="1:45">
      <c r="A1019" s="19"/>
      <c r="B1019" s="19"/>
      <c r="C1019" s="19"/>
      <c r="E1019" s="9"/>
      <c r="F1019" s="9"/>
      <c r="AG1019" s="8"/>
      <c r="AH1019" s="8"/>
      <c r="AI1019" s="8"/>
      <c r="AJ1019" s="8"/>
      <c r="AK1019" s="8"/>
      <c r="AL1019" s="8"/>
      <c r="AN1019" s="8"/>
      <c r="AO1019" s="8"/>
      <c r="AP1019" s="8"/>
      <c r="AQ1019" s="8"/>
      <c r="AR1019" s="8"/>
      <c r="AS1019" s="8"/>
    </row>
    <row r="1020" spans="1:45">
      <c r="A1020" s="19"/>
      <c r="B1020" s="19"/>
      <c r="C1020" s="19"/>
      <c r="E1020" s="9"/>
      <c r="F1020" s="9"/>
      <c r="AG1020" s="8"/>
      <c r="AH1020" s="8"/>
      <c r="AI1020" s="8"/>
      <c r="AJ1020" s="8"/>
      <c r="AK1020" s="8"/>
      <c r="AL1020" s="8"/>
      <c r="AN1020" s="8"/>
      <c r="AO1020" s="8"/>
      <c r="AP1020" s="8"/>
      <c r="AQ1020" s="8"/>
      <c r="AR1020" s="8"/>
      <c r="AS1020" s="8"/>
    </row>
    <row r="1021" spans="1:45">
      <c r="A1021" s="19"/>
      <c r="B1021" s="19"/>
      <c r="C1021" s="19"/>
      <c r="E1021" s="9"/>
      <c r="F1021" s="9"/>
      <c r="AG1021" s="8"/>
      <c r="AH1021" s="8"/>
      <c r="AI1021" s="8"/>
      <c r="AJ1021" s="8"/>
      <c r="AK1021" s="8"/>
      <c r="AL1021" s="8"/>
      <c r="AN1021" s="8"/>
      <c r="AO1021" s="8"/>
      <c r="AP1021" s="8"/>
      <c r="AQ1021" s="8"/>
      <c r="AR1021" s="8"/>
      <c r="AS1021" s="8"/>
    </row>
    <row r="1022" spans="1:45">
      <c r="A1022" s="19"/>
      <c r="B1022" s="19"/>
      <c r="C1022" s="19"/>
      <c r="E1022" s="9"/>
      <c r="F1022" s="9"/>
      <c r="AG1022" s="8"/>
      <c r="AH1022" s="8"/>
      <c r="AI1022" s="8"/>
      <c r="AJ1022" s="8"/>
      <c r="AK1022" s="8"/>
      <c r="AL1022" s="8"/>
      <c r="AN1022" s="8"/>
      <c r="AO1022" s="8"/>
      <c r="AP1022" s="8"/>
      <c r="AQ1022" s="8"/>
      <c r="AR1022" s="8"/>
      <c r="AS1022" s="8"/>
    </row>
    <row r="1023" spans="1:45">
      <c r="A1023" s="19"/>
      <c r="B1023" s="19"/>
      <c r="C1023" s="19"/>
      <c r="E1023" s="9"/>
      <c r="F1023" s="9"/>
      <c r="AG1023" s="8"/>
      <c r="AH1023" s="8"/>
      <c r="AI1023" s="8"/>
      <c r="AJ1023" s="8"/>
      <c r="AK1023" s="8"/>
      <c r="AL1023" s="8"/>
      <c r="AN1023" s="8"/>
      <c r="AO1023" s="8"/>
      <c r="AP1023" s="8"/>
      <c r="AQ1023" s="8"/>
      <c r="AR1023" s="8"/>
      <c r="AS1023" s="8"/>
    </row>
    <row r="1024" spans="1:45">
      <c r="A1024" s="19"/>
      <c r="B1024" s="19"/>
      <c r="C1024" s="19"/>
      <c r="E1024" s="9"/>
      <c r="F1024" s="9"/>
      <c r="AG1024" s="8"/>
      <c r="AH1024" s="8"/>
      <c r="AI1024" s="8"/>
      <c r="AJ1024" s="8"/>
      <c r="AK1024" s="8"/>
      <c r="AL1024" s="8"/>
      <c r="AN1024" s="8"/>
      <c r="AO1024" s="8"/>
      <c r="AP1024" s="8"/>
      <c r="AQ1024" s="8"/>
      <c r="AR1024" s="8"/>
      <c r="AS1024" s="8"/>
    </row>
    <row r="1025" spans="1:45">
      <c r="A1025" s="19"/>
      <c r="B1025" s="19"/>
      <c r="C1025" s="19"/>
      <c r="E1025" s="9"/>
      <c r="F1025" s="9"/>
      <c r="AG1025" s="8"/>
      <c r="AH1025" s="8"/>
      <c r="AI1025" s="8"/>
      <c r="AJ1025" s="8"/>
      <c r="AK1025" s="8"/>
      <c r="AL1025" s="8"/>
      <c r="AN1025" s="8"/>
      <c r="AO1025" s="8"/>
      <c r="AP1025" s="8"/>
      <c r="AQ1025" s="8"/>
      <c r="AR1025" s="8"/>
      <c r="AS1025" s="8"/>
    </row>
    <row r="1026" spans="1:45">
      <c r="A1026" s="19"/>
      <c r="B1026" s="19"/>
      <c r="C1026" s="19"/>
      <c r="E1026" s="9"/>
      <c r="F1026" s="9"/>
      <c r="AG1026" s="8"/>
      <c r="AH1026" s="8"/>
      <c r="AI1026" s="8"/>
      <c r="AJ1026" s="8"/>
      <c r="AK1026" s="8"/>
      <c r="AL1026" s="8"/>
      <c r="AN1026" s="8"/>
      <c r="AO1026" s="8"/>
      <c r="AP1026" s="8"/>
      <c r="AQ1026" s="8"/>
      <c r="AR1026" s="8"/>
      <c r="AS1026" s="8"/>
    </row>
    <row r="1027" spans="1:45">
      <c r="A1027" s="19"/>
      <c r="B1027" s="19"/>
      <c r="C1027" s="19"/>
      <c r="E1027" s="9"/>
      <c r="F1027" s="9"/>
      <c r="AG1027" s="8"/>
      <c r="AH1027" s="8"/>
      <c r="AI1027" s="8"/>
      <c r="AJ1027" s="8"/>
      <c r="AK1027" s="8"/>
      <c r="AL1027" s="8"/>
      <c r="AN1027" s="8"/>
      <c r="AO1027" s="8"/>
      <c r="AP1027" s="8"/>
      <c r="AQ1027" s="8"/>
      <c r="AR1027" s="8"/>
      <c r="AS1027" s="8"/>
    </row>
    <row r="1028" spans="1:45">
      <c r="A1028" s="19"/>
      <c r="B1028" s="19"/>
      <c r="C1028" s="19"/>
      <c r="E1028" s="9"/>
      <c r="F1028" s="9"/>
      <c r="AG1028" s="8"/>
      <c r="AH1028" s="8"/>
      <c r="AI1028" s="8"/>
      <c r="AJ1028" s="8"/>
      <c r="AK1028" s="8"/>
      <c r="AL1028" s="8"/>
      <c r="AN1028" s="8"/>
      <c r="AO1028" s="8"/>
      <c r="AP1028" s="8"/>
      <c r="AQ1028" s="8"/>
      <c r="AR1028" s="8"/>
      <c r="AS1028" s="8"/>
    </row>
    <row r="1029" spans="1:45">
      <c r="A1029" s="19"/>
      <c r="B1029" s="19"/>
      <c r="C1029" s="19"/>
      <c r="E1029" s="9"/>
      <c r="F1029" s="9"/>
      <c r="AG1029" s="8"/>
      <c r="AH1029" s="8"/>
      <c r="AI1029" s="8"/>
      <c r="AJ1029" s="8"/>
      <c r="AK1029" s="8"/>
      <c r="AL1029" s="8"/>
      <c r="AN1029" s="8"/>
      <c r="AO1029" s="8"/>
      <c r="AP1029" s="8"/>
      <c r="AQ1029" s="8"/>
      <c r="AR1029" s="8"/>
      <c r="AS1029" s="8"/>
    </row>
    <row r="1030" spans="1:45">
      <c r="A1030" s="19"/>
      <c r="B1030" s="19"/>
      <c r="C1030" s="19"/>
      <c r="E1030" s="9"/>
      <c r="F1030" s="9"/>
      <c r="AG1030" s="8"/>
      <c r="AH1030" s="8"/>
      <c r="AI1030" s="8"/>
      <c r="AJ1030" s="8"/>
      <c r="AK1030" s="8"/>
      <c r="AL1030" s="8"/>
      <c r="AN1030" s="8"/>
      <c r="AO1030" s="8"/>
      <c r="AP1030" s="8"/>
      <c r="AQ1030" s="8"/>
      <c r="AR1030" s="8"/>
      <c r="AS1030" s="8"/>
    </row>
    <row r="1031" spans="1:45">
      <c r="A1031" s="19"/>
      <c r="B1031" s="19"/>
      <c r="C1031" s="19"/>
      <c r="E1031" s="9"/>
      <c r="F1031" s="9"/>
      <c r="AG1031" s="8"/>
      <c r="AH1031" s="8"/>
      <c r="AI1031" s="8"/>
      <c r="AJ1031" s="8"/>
      <c r="AK1031" s="8"/>
      <c r="AL1031" s="8"/>
      <c r="AN1031" s="8"/>
      <c r="AO1031" s="8"/>
      <c r="AP1031" s="8"/>
      <c r="AQ1031" s="8"/>
      <c r="AR1031" s="8"/>
      <c r="AS1031" s="8"/>
    </row>
    <row r="1032" spans="1:45">
      <c r="A1032" s="19"/>
      <c r="B1032" s="19"/>
      <c r="C1032" s="19"/>
      <c r="E1032" s="9"/>
      <c r="F1032" s="9"/>
      <c r="AG1032" s="8"/>
      <c r="AH1032" s="8"/>
      <c r="AI1032" s="8"/>
      <c r="AJ1032" s="8"/>
      <c r="AK1032" s="8"/>
      <c r="AL1032" s="8"/>
      <c r="AN1032" s="8"/>
      <c r="AO1032" s="8"/>
      <c r="AP1032" s="8"/>
      <c r="AQ1032" s="8"/>
      <c r="AR1032" s="8"/>
      <c r="AS1032" s="8"/>
    </row>
    <row r="1033" spans="1:45">
      <c r="A1033" s="19"/>
      <c r="B1033" s="19"/>
      <c r="C1033" s="19"/>
      <c r="E1033" s="9"/>
      <c r="F1033" s="9"/>
      <c r="AG1033" s="8"/>
      <c r="AH1033" s="8"/>
      <c r="AI1033" s="8"/>
      <c r="AJ1033" s="8"/>
      <c r="AK1033" s="8"/>
      <c r="AL1033" s="8"/>
      <c r="AN1033" s="8"/>
      <c r="AO1033" s="8"/>
      <c r="AP1033" s="8"/>
      <c r="AQ1033" s="8"/>
      <c r="AR1033" s="8"/>
      <c r="AS1033" s="8"/>
    </row>
    <row r="1034" spans="1:45">
      <c r="A1034" s="19"/>
      <c r="B1034" s="19"/>
      <c r="C1034" s="19"/>
      <c r="E1034" s="9"/>
      <c r="F1034" s="9"/>
      <c r="AG1034" s="8"/>
      <c r="AH1034" s="8"/>
      <c r="AI1034" s="8"/>
      <c r="AJ1034" s="8"/>
      <c r="AK1034" s="8"/>
      <c r="AL1034" s="8"/>
      <c r="AN1034" s="8"/>
      <c r="AO1034" s="8"/>
      <c r="AP1034" s="8"/>
      <c r="AQ1034" s="8"/>
      <c r="AR1034" s="8"/>
      <c r="AS1034" s="8"/>
    </row>
    <row r="1035" spans="1:45">
      <c r="A1035" s="19"/>
      <c r="B1035" s="19"/>
      <c r="C1035" s="19"/>
      <c r="E1035" s="9"/>
      <c r="F1035" s="9"/>
      <c r="AG1035" s="8"/>
      <c r="AH1035" s="8"/>
      <c r="AI1035" s="8"/>
      <c r="AJ1035" s="8"/>
      <c r="AK1035" s="8"/>
      <c r="AL1035" s="8"/>
      <c r="AN1035" s="8"/>
      <c r="AO1035" s="8"/>
      <c r="AP1035" s="8"/>
      <c r="AQ1035" s="8"/>
      <c r="AR1035" s="8"/>
      <c r="AS1035" s="8"/>
    </row>
    <row r="1036" spans="1:45">
      <c r="A1036" s="19"/>
      <c r="B1036" s="19"/>
      <c r="C1036" s="19"/>
      <c r="E1036" s="9"/>
      <c r="F1036" s="9"/>
      <c r="AG1036" s="8"/>
      <c r="AH1036" s="8"/>
      <c r="AI1036" s="8"/>
      <c r="AJ1036" s="8"/>
      <c r="AK1036" s="8"/>
      <c r="AL1036" s="8"/>
      <c r="AN1036" s="8"/>
      <c r="AO1036" s="8"/>
      <c r="AP1036" s="8"/>
      <c r="AQ1036" s="8"/>
      <c r="AR1036" s="8"/>
      <c r="AS1036" s="8"/>
    </row>
    <row r="1037" spans="1:45">
      <c r="A1037" s="19"/>
      <c r="B1037" s="19"/>
      <c r="C1037" s="19"/>
      <c r="E1037" s="9"/>
      <c r="F1037" s="9"/>
      <c r="AG1037" s="8"/>
      <c r="AH1037" s="8"/>
      <c r="AI1037" s="8"/>
      <c r="AJ1037" s="8"/>
      <c r="AK1037" s="8"/>
      <c r="AL1037" s="8"/>
      <c r="AN1037" s="8"/>
      <c r="AO1037" s="8"/>
      <c r="AP1037" s="8"/>
      <c r="AQ1037" s="8"/>
      <c r="AR1037" s="8"/>
      <c r="AS1037" s="8"/>
    </row>
    <row r="1038" spans="1:45">
      <c r="A1038" s="19"/>
      <c r="B1038" s="19"/>
      <c r="C1038" s="19"/>
      <c r="E1038" s="9"/>
      <c r="F1038" s="9"/>
      <c r="AG1038" s="8"/>
      <c r="AH1038" s="8"/>
      <c r="AI1038" s="8"/>
      <c r="AJ1038" s="8"/>
      <c r="AK1038" s="8"/>
      <c r="AL1038" s="8"/>
      <c r="AN1038" s="8"/>
      <c r="AO1038" s="8"/>
      <c r="AP1038" s="8"/>
      <c r="AQ1038" s="8"/>
      <c r="AR1038" s="8"/>
      <c r="AS1038" s="8"/>
    </row>
    <row r="1039" spans="1:45">
      <c r="A1039" s="19"/>
      <c r="B1039" s="19"/>
      <c r="C1039" s="19"/>
      <c r="E1039" s="9"/>
      <c r="F1039" s="9"/>
      <c r="AG1039" s="8"/>
      <c r="AH1039" s="8"/>
      <c r="AI1039" s="8"/>
      <c r="AJ1039" s="8"/>
      <c r="AK1039" s="8"/>
      <c r="AL1039" s="8"/>
      <c r="AN1039" s="8"/>
      <c r="AO1039" s="8"/>
      <c r="AP1039" s="8"/>
      <c r="AQ1039" s="8"/>
      <c r="AR1039" s="8"/>
      <c r="AS1039" s="8"/>
    </row>
    <row r="1040" spans="1:45">
      <c r="A1040" s="19"/>
      <c r="B1040" s="19"/>
      <c r="C1040" s="19"/>
      <c r="E1040" s="9"/>
      <c r="F1040" s="9"/>
      <c r="AG1040" s="8"/>
      <c r="AH1040" s="8"/>
      <c r="AI1040" s="8"/>
      <c r="AJ1040" s="8"/>
      <c r="AK1040" s="8"/>
      <c r="AL1040" s="8"/>
      <c r="AN1040" s="8"/>
      <c r="AO1040" s="8"/>
      <c r="AP1040" s="8"/>
      <c r="AQ1040" s="8"/>
      <c r="AR1040" s="8"/>
      <c r="AS1040" s="8"/>
    </row>
    <row r="1041" spans="1:45">
      <c r="A1041" s="19"/>
      <c r="B1041" s="19"/>
      <c r="C1041" s="19"/>
      <c r="E1041" s="9"/>
      <c r="F1041" s="9"/>
      <c r="AG1041" s="8"/>
      <c r="AH1041" s="8"/>
      <c r="AI1041" s="8"/>
      <c r="AJ1041" s="8"/>
      <c r="AK1041" s="8"/>
      <c r="AL1041" s="8"/>
      <c r="AN1041" s="8"/>
      <c r="AO1041" s="8"/>
      <c r="AP1041" s="8"/>
      <c r="AQ1041" s="8"/>
      <c r="AR1041" s="8"/>
      <c r="AS1041" s="8"/>
    </row>
    <row r="1042" spans="1:45">
      <c r="A1042" s="19"/>
      <c r="B1042" s="19"/>
      <c r="C1042" s="19"/>
      <c r="E1042" s="9"/>
      <c r="F1042" s="9"/>
      <c r="AG1042" s="8"/>
      <c r="AH1042" s="8"/>
      <c r="AI1042" s="8"/>
      <c r="AJ1042" s="8"/>
      <c r="AK1042" s="8"/>
      <c r="AL1042" s="8"/>
      <c r="AN1042" s="8"/>
      <c r="AO1042" s="8"/>
      <c r="AP1042" s="8"/>
      <c r="AQ1042" s="8"/>
      <c r="AR1042" s="8"/>
      <c r="AS1042" s="8"/>
    </row>
    <row r="1043" spans="1:45">
      <c r="A1043" s="19"/>
      <c r="B1043" s="19"/>
      <c r="C1043" s="19"/>
      <c r="E1043" s="9"/>
      <c r="F1043" s="9"/>
      <c r="AG1043" s="8"/>
      <c r="AH1043" s="8"/>
      <c r="AI1043" s="8"/>
      <c r="AJ1043" s="8"/>
      <c r="AK1043" s="8"/>
      <c r="AL1043" s="8"/>
      <c r="AN1043" s="8"/>
      <c r="AO1043" s="8"/>
      <c r="AP1043" s="8"/>
      <c r="AQ1043" s="8"/>
      <c r="AR1043" s="8"/>
      <c r="AS1043" s="8"/>
    </row>
    <row r="1044" spans="1:45">
      <c r="A1044" s="19"/>
      <c r="B1044" s="19"/>
      <c r="C1044" s="19"/>
      <c r="E1044" s="9"/>
      <c r="F1044" s="9"/>
      <c r="AG1044" s="8"/>
      <c r="AH1044" s="8"/>
      <c r="AI1044" s="8"/>
      <c r="AJ1044" s="8"/>
      <c r="AK1044" s="8"/>
      <c r="AL1044" s="8"/>
      <c r="AN1044" s="8"/>
      <c r="AO1044" s="8"/>
      <c r="AP1044" s="8"/>
      <c r="AQ1044" s="8"/>
      <c r="AR1044" s="8"/>
      <c r="AS1044" s="8"/>
    </row>
    <row r="1045" spans="1:45">
      <c r="A1045" s="19"/>
      <c r="B1045" s="19"/>
      <c r="C1045" s="19"/>
      <c r="E1045" s="9"/>
      <c r="F1045" s="9"/>
      <c r="AG1045" s="8"/>
      <c r="AH1045" s="8"/>
      <c r="AI1045" s="8"/>
      <c r="AJ1045" s="8"/>
      <c r="AK1045" s="8"/>
      <c r="AL1045" s="8"/>
      <c r="AN1045" s="8"/>
      <c r="AO1045" s="8"/>
      <c r="AP1045" s="8"/>
      <c r="AQ1045" s="8"/>
      <c r="AR1045" s="8"/>
      <c r="AS1045" s="8"/>
    </row>
    <row r="1046" spans="1:45">
      <c r="A1046" s="19"/>
      <c r="B1046" s="19"/>
      <c r="C1046" s="19"/>
      <c r="E1046" s="9"/>
      <c r="F1046" s="9"/>
      <c r="AG1046" s="8"/>
      <c r="AH1046" s="8"/>
      <c r="AI1046" s="8"/>
      <c r="AJ1046" s="8"/>
      <c r="AK1046" s="8"/>
      <c r="AL1046" s="8"/>
      <c r="AN1046" s="8"/>
      <c r="AO1046" s="8"/>
      <c r="AP1046" s="8"/>
      <c r="AQ1046" s="8"/>
      <c r="AR1046" s="8"/>
      <c r="AS1046" s="8"/>
    </row>
    <row r="1047" spans="1:45">
      <c r="A1047" s="19"/>
      <c r="B1047" s="19"/>
      <c r="C1047" s="19"/>
      <c r="E1047" s="9"/>
      <c r="F1047" s="9"/>
      <c r="AG1047" s="8"/>
      <c r="AH1047" s="8"/>
      <c r="AI1047" s="8"/>
      <c r="AJ1047" s="8"/>
      <c r="AK1047" s="8"/>
      <c r="AL1047" s="8"/>
      <c r="AN1047" s="8"/>
      <c r="AO1047" s="8"/>
      <c r="AP1047" s="8"/>
      <c r="AQ1047" s="8"/>
      <c r="AR1047" s="8"/>
      <c r="AS1047" s="8"/>
    </row>
    <row r="1048" spans="1:45">
      <c r="A1048" s="19"/>
      <c r="B1048" s="19"/>
      <c r="C1048" s="19"/>
      <c r="E1048" s="9"/>
      <c r="F1048" s="9"/>
      <c r="AG1048" s="8"/>
      <c r="AH1048" s="8"/>
      <c r="AI1048" s="8"/>
      <c r="AJ1048" s="8"/>
      <c r="AK1048" s="8"/>
      <c r="AL1048" s="8"/>
      <c r="AN1048" s="8"/>
      <c r="AO1048" s="8"/>
      <c r="AP1048" s="8"/>
      <c r="AQ1048" s="8"/>
      <c r="AR1048" s="8"/>
      <c r="AS1048" s="8"/>
    </row>
    <row r="1049" spans="1:45">
      <c r="A1049" s="19"/>
      <c r="B1049" s="19"/>
      <c r="C1049" s="19"/>
      <c r="E1049" s="9"/>
      <c r="F1049" s="9"/>
      <c r="AG1049" s="8"/>
      <c r="AH1049" s="8"/>
      <c r="AI1049" s="8"/>
      <c r="AJ1049" s="8"/>
      <c r="AK1049" s="8"/>
      <c r="AL1049" s="8"/>
      <c r="AN1049" s="8"/>
      <c r="AO1049" s="8"/>
      <c r="AP1049" s="8"/>
      <c r="AQ1049" s="8"/>
      <c r="AR1049" s="8"/>
      <c r="AS1049" s="8"/>
    </row>
    <row r="1050" spans="1:45">
      <c r="A1050" s="19"/>
      <c r="B1050" s="19"/>
      <c r="C1050" s="19"/>
      <c r="E1050" s="9"/>
      <c r="F1050" s="9"/>
      <c r="AG1050" s="8"/>
      <c r="AH1050" s="8"/>
      <c r="AI1050" s="8"/>
      <c r="AJ1050" s="8"/>
      <c r="AK1050" s="8"/>
      <c r="AL1050" s="8"/>
      <c r="AN1050" s="8"/>
      <c r="AO1050" s="8"/>
      <c r="AP1050" s="8"/>
      <c r="AQ1050" s="8"/>
      <c r="AR1050" s="8"/>
      <c r="AS1050" s="8"/>
    </row>
    <row r="1051" spans="1:45">
      <c r="A1051" s="19"/>
      <c r="B1051" s="19"/>
      <c r="C1051" s="19"/>
      <c r="E1051" s="9"/>
      <c r="F1051" s="9"/>
      <c r="AG1051" s="8"/>
      <c r="AH1051" s="8"/>
      <c r="AI1051" s="8"/>
      <c r="AJ1051" s="8"/>
      <c r="AK1051" s="8"/>
      <c r="AL1051" s="8"/>
      <c r="AN1051" s="8"/>
      <c r="AO1051" s="8"/>
      <c r="AP1051" s="8"/>
      <c r="AQ1051" s="8"/>
      <c r="AR1051" s="8"/>
      <c r="AS1051" s="8"/>
    </row>
    <row r="1052" spans="1:45">
      <c r="A1052" s="19"/>
      <c r="B1052" s="19"/>
      <c r="C1052" s="19"/>
      <c r="E1052" s="9"/>
      <c r="F1052" s="9"/>
      <c r="AG1052" s="8"/>
      <c r="AH1052" s="8"/>
      <c r="AI1052" s="8"/>
      <c r="AJ1052" s="8"/>
      <c r="AK1052" s="8"/>
      <c r="AL1052" s="8"/>
      <c r="AN1052" s="8"/>
      <c r="AO1052" s="8"/>
      <c r="AP1052" s="8"/>
      <c r="AQ1052" s="8"/>
      <c r="AR1052" s="8"/>
      <c r="AS1052" s="8"/>
    </row>
    <row r="1053" spans="1:45">
      <c r="A1053" s="19"/>
      <c r="B1053" s="19"/>
      <c r="C1053" s="19"/>
      <c r="E1053" s="9"/>
      <c r="F1053" s="9"/>
      <c r="AG1053" s="8"/>
      <c r="AH1053" s="8"/>
      <c r="AI1053" s="8"/>
      <c r="AJ1053" s="8"/>
      <c r="AK1053" s="8"/>
      <c r="AL1053" s="8"/>
      <c r="AN1053" s="8"/>
      <c r="AO1053" s="8"/>
      <c r="AP1053" s="8"/>
      <c r="AQ1053" s="8"/>
      <c r="AR1053" s="8"/>
      <c r="AS1053" s="8"/>
    </row>
    <row r="1054" spans="1:45">
      <c r="A1054" s="19"/>
      <c r="B1054" s="19"/>
      <c r="C1054" s="19"/>
      <c r="E1054" s="9"/>
      <c r="F1054" s="9"/>
      <c r="AG1054" s="8"/>
      <c r="AH1054" s="8"/>
      <c r="AI1054" s="8"/>
      <c r="AJ1054" s="8"/>
      <c r="AK1054" s="8"/>
      <c r="AL1054" s="8"/>
      <c r="AN1054" s="8"/>
      <c r="AO1054" s="8"/>
      <c r="AP1054" s="8"/>
      <c r="AQ1054" s="8"/>
      <c r="AR1054" s="8"/>
      <c r="AS1054" s="8"/>
    </row>
    <row r="1055" spans="1:45">
      <c r="A1055" s="19"/>
      <c r="B1055" s="19"/>
      <c r="C1055" s="19"/>
      <c r="E1055" s="9"/>
      <c r="F1055" s="9"/>
      <c r="AG1055" s="8"/>
      <c r="AH1055" s="8"/>
      <c r="AI1055" s="8"/>
      <c r="AJ1055" s="8"/>
      <c r="AK1055" s="8"/>
      <c r="AL1055" s="8"/>
      <c r="AN1055" s="8"/>
      <c r="AO1055" s="8"/>
      <c r="AP1055" s="8"/>
      <c r="AQ1055" s="8"/>
      <c r="AR1055" s="8"/>
      <c r="AS1055" s="8"/>
    </row>
    <row r="1056" spans="1:45">
      <c r="A1056" s="19"/>
      <c r="B1056" s="19"/>
      <c r="C1056" s="19"/>
      <c r="E1056" s="9"/>
      <c r="F1056" s="9"/>
      <c r="AG1056" s="8"/>
      <c r="AH1056" s="8"/>
      <c r="AI1056" s="8"/>
      <c r="AJ1056" s="8"/>
      <c r="AK1056" s="8"/>
      <c r="AL1056" s="8"/>
      <c r="AN1056" s="8"/>
      <c r="AO1056" s="8"/>
      <c r="AP1056" s="8"/>
      <c r="AQ1056" s="8"/>
      <c r="AR1056" s="8"/>
      <c r="AS1056" s="8"/>
    </row>
    <row r="1057" spans="1:45">
      <c r="A1057" s="19"/>
      <c r="B1057" s="19"/>
      <c r="C1057" s="19"/>
      <c r="E1057" s="9"/>
      <c r="F1057" s="9"/>
      <c r="AG1057" s="8"/>
      <c r="AH1057" s="8"/>
      <c r="AI1057" s="8"/>
      <c r="AJ1057" s="8"/>
      <c r="AK1057" s="8"/>
      <c r="AL1057" s="8"/>
      <c r="AN1057" s="8"/>
      <c r="AO1057" s="8"/>
      <c r="AP1057" s="8"/>
      <c r="AQ1057" s="8"/>
      <c r="AR1057" s="8"/>
      <c r="AS1057" s="8"/>
    </row>
    <row r="1058" spans="1:45">
      <c r="A1058" s="19"/>
      <c r="B1058" s="19"/>
      <c r="C1058" s="19"/>
      <c r="E1058" s="9"/>
      <c r="F1058" s="9"/>
      <c r="AG1058" s="8"/>
      <c r="AH1058" s="8"/>
      <c r="AI1058" s="8"/>
      <c r="AJ1058" s="8"/>
      <c r="AK1058" s="8"/>
      <c r="AL1058" s="8"/>
      <c r="AN1058" s="8"/>
      <c r="AO1058" s="8"/>
      <c r="AP1058" s="8"/>
      <c r="AQ1058" s="8"/>
      <c r="AR1058" s="8"/>
      <c r="AS1058" s="8"/>
    </row>
    <row r="1059" spans="1:45">
      <c r="A1059" s="19"/>
      <c r="B1059" s="19"/>
      <c r="C1059" s="19"/>
      <c r="E1059" s="9"/>
      <c r="F1059" s="9"/>
      <c r="AG1059" s="8"/>
      <c r="AH1059" s="8"/>
      <c r="AI1059" s="8"/>
      <c r="AJ1059" s="8"/>
      <c r="AK1059" s="8"/>
      <c r="AL1059" s="8"/>
      <c r="AN1059" s="8"/>
      <c r="AO1059" s="8"/>
      <c r="AP1059" s="8"/>
      <c r="AQ1059" s="8"/>
      <c r="AR1059" s="8"/>
      <c r="AS1059" s="8"/>
    </row>
    <row r="1060" spans="1:45">
      <c r="A1060" s="19"/>
      <c r="B1060" s="19"/>
      <c r="C1060" s="19"/>
      <c r="E1060" s="9"/>
      <c r="F1060" s="9"/>
      <c r="AG1060" s="8"/>
      <c r="AH1060" s="8"/>
      <c r="AI1060" s="8"/>
      <c r="AJ1060" s="8"/>
      <c r="AK1060" s="8"/>
      <c r="AL1060" s="8"/>
      <c r="AN1060" s="8"/>
      <c r="AO1060" s="8"/>
      <c r="AP1060" s="8"/>
      <c r="AQ1060" s="8"/>
      <c r="AR1060" s="8"/>
      <c r="AS1060" s="8"/>
    </row>
    <row r="1061" spans="1:45">
      <c r="A1061" s="19"/>
      <c r="B1061" s="19"/>
      <c r="C1061" s="19"/>
      <c r="E1061" s="9"/>
      <c r="F1061" s="9"/>
      <c r="AG1061" s="8"/>
      <c r="AH1061" s="8"/>
      <c r="AI1061" s="8"/>
      <c r="AJ1061" s="8"/>
      <c r="AK1061" s="8"/>
      <c r="AL1061" s="8"/>
      <c r="AN1061" s="8"/>
      <c r="AO1061" s="8"/>
      <c r="AP1061" s="8"/>
      <c r="AQ1061" s="8"/>
      <c r="AR1061" s="8"/>
      <c r="AS1061" s="8"/>
    </row>
    <row r="1062" spans="1:45">
      <c r="A1062" s="19"/>
      <c r="B1062" s="19"/>
      <c r="C1062" s="19"/>
      <c r="E1062" s="9"/>
      <c r="F1062" s="9"/>
      <c r="AG1062" s="8"/>
      <c r="AH1062" s="8"/>
      <c r="AI1062" s="8"/>
      <c r="AJ1062" s="8"/>
      <c r="AK1062" s="8"/>
      <c r="AL1062" s="8"/>
      <c r="AN1062" s="8"/>
      <c r="AO1062" s="8"/>
      <c r="AP1062" s="8"/>
      <c r="AQ1062" s="8"/>
      <c r="AR1062" s="8"/>
      <c r="AS1062" s="8"/>
    </row>
    <row r="1063" spans="1:45">
      <c r="A1063" s="19"/>
      <c r="B1063" s="19"/>
      <c r="C1063" s="19"/>
      <c r="E1063" s="9"/>
      <c r="F1063" s="9"/>
      <c r="AG1063" s="8"/>
      <c r="AH1063" s="8"/>
      <c r="AI1063" s="8"/>
      <c r="AJ1063" s="8"/>
      <c r="AK1063" s="8"/>
      <c r="AL1063" s="8"/>
      <c r="AN1063" s="8"/>
      <c r="AO1063" s="8"/>
      <c r="AP1063" s="8"/>
      <c r="AQ1063" s="8"/>
      <c r="AR1063" s="8"/>
      <c r="AS1063" s="8"/>
    </row>
    <row r="1064" spans="1:45">
      <c r="A1064" s="19"/>
      <c r="B1064" s="19"/>
      <c r="C1064" s="19"/>
      <c r="E1064" s="9"/>
      <c r="F1064" s="9"/>
      <c r="AG1064" s="8"/>
      <c r="AH1064" s="8"/>
      <c r="AI1064" s="8"/>
      <c r="AJ1064" s="8"/>
      <c r="AK1064" s="8"/>
      <c r="AL1064" s="8"/>
      <c r="AN1064" s="8"/>
      <c r="AO1064" s="8"/>
      <c r="AP1064" s="8"/>
      <c r="AQ1064" s="8"/>
      <c r="AR1064" s="8"/>
      <c r="AS1064" s="8"/>
    </row>
    <row r="1065" spans="1:45">
      <c r="A1065" s="19"/>
      <c r="B1065" s="19"/>
      <c r="C1065" s="19"/>
      <c r="E1065" s="9"/>
      <c r="F1065" s="9"/>
      <c r="AG1065" s="8"/>
      <c r="AH1065" s="8"/>
      <c r="AI1065" s="8"/>
      <c r="AJ1065" s="8"/>
      <c r="AK1065" s="8"/>
      <c r="AL1065" s="8"/>
      <c r="AN1065" s="8"/>
      <c r="AO1065" s="8"/>
      <c r="AP1065" s="8"/>
      <c r="AQ1065" s="8"/>
      <c r="AR1065" s="8"/>
      <c r="AS1065" s="8"/>
    </row>
    <row r="1066" spans="1:45">
      <c r="A1066" s="19"/>
      <c r="B1066" s="19"/>
      <c r="C1066" s="19"/>
      <c r="E1066" s="9"/>
      <c r="F1066" s="9"/>
      <c r="AG1066" s="8"/>
      <c r="AH1066" s="8"/>
      <c r="AI1066" s="8"/>
      <c r="AJ1066" s="8"/>
      <c r="AK1066" s="8"/>
      <c r="AL1066" s="8"/>
      <c r="AN1066" s="8"/>
      <c r="AO1066" s="8"/>
      <c r="AP1066" s="8"/>
      <c r="AQ1066" s="8"/>
      <c r="AR1066" s="8"/>
      <c r="AS1066" s="8"/>
    </row>
    <row r="1067" spans="1:45">
      <c r="A1067" s="19"/>
      <c r="B1067" s="19"/>
      <c r="C1067" s="19"/>
      <c r="E1067" s="9"/>
      <c r="F1067" s="9"/>
      <c r="AG1067" s="8"/>
      <c r="AH1067" s="8"/>
      <c r="AI1067" s="8"/>
      <c r="AJ1067" s="8"/>
      <c r="AK1067" s="8"/>
      <c r="AL1067" s="8"/>
      <c r="AN1067" s="8"/>
      <c r="AO1067" s="8"/>
      <c r="AP1067" s="8"/>
      <c r="AQ1067" s="8"/>
      <c r="AR1067" s="8"/>
      <c r="AS1067" s="8"/>
    </row>
    <row r="1068" spans="1:45">
      <c r="A1068" s="19"/>
      <c r="B1068" s="19"/>
      <c r="C1068" s="19"/>
      <c r="E1068" s="9"/>
      <c r="F1068" s="9"/>
      <c r="AG1068" s="8"/>
      <c r="AH1068" s="8"/>
      <c r="AI1068" s="8"/>
      <c r="AJ1068" s="8"/>
      <c r="AK1068" s="8"/>
      <c r="AL1068" s="8"/>
      <c r="AN1068" s="8"/>
      <c r="AO1068" s="8"/>
      <c r="AP1068" s="8"/>
      <c r="AQ1068" s="8"/>
      <c r="AR1068" s="8"/>
      <c r="AS1068" s="8"/>
    </row>
    <row r="1069" spans="1:45">
      <c r="A1069" s="19"/>
      <c r="B1069" s="19"/>
      <c r="C1069" s="19"/>
      <c r="E1069" s="9"/>
      <c r="F1069" s="9"/>
      <c r="AG1069" s="8"/>
      <c r="AH1069" s="8"/>
      <c r="AI1069" s="8"/>
      <c r="AJ1069" s="8"/>
      <c r="AK1069" s="8"/>
      <c r="AL1069" s="8"/>
      <c r="AN1069" s="8"/>
      <c r="AO1069" s="8"/>
      <c r="AP1069" s="8"/>
      <c r="AQ1069" s="8"/>
      <c r="AR1069" s="8"/>
      <c r="AS1069" s="8"/>
    </row>
    <row r="1070" spans="1:45">
      <c r="A1070" s="19"/>
      <c r="B1070" s="19"/>
      <c r="C1070" s="19"/>
      <c r="E1070" s="9"/>
      <c r="F1070" s="9"/>
      <c r="AG1070" s="8"/>
      <c r="AH1070" s="8"/>
      <c r="AI1070" s="8"/>
      <c r="AJ1070" s="8"/>
      <c r="AK1070" s="8"/>
      <c r="AL1070" s="8"/>
      <c r="AN1070" s="8"/>
      <c r="AO1070" s="8"/>
      <c r="AP1070" s="8"/>
      <c r="AQ1070" s="8"/>
      <c r="AR1070" s="8"/>
      <c r="AS1070" s="8"/>
    </row>
    <row r="1071" spans="1:45">
      <c r="A1071" s="19"/>
      <c r="B1071" s="19"/>
      <c r="C1071" s="19"/>
      <c r="E1071" s="9"/>
      <c r="F1071" s="9"/>
      <c r="AG1071" s="8"/>
      <c r="AH1071" s="8"/>
      <c r="AI1071" s="8"/>
      <c r="AJ1071" s="8"/>
      <c r="AK1071" s="8"/>
      <c r="AL1071" s="8"/>
      <c r="AN1071" s="8"/>
      <c r="AO1071" s="8"/>
      <c r="AP1071" s="8"/>
      <c r="AQ1071" s="8"/>
      <c r="AR1071" s="8"/>
      <c r="AS1071" s="8"/>
    </row>
    <row r="1072" spans="1:45">
      <c r="A1072" s="19"/>
      <c r="B1072" s="19"/>
      <c r="C1072" s="19"/>
      <c r="E1072" s="9"/>
      <c r="F1072" s="9"/>
      <c r="AG1072" s="8"/>
      <c r="AH1072" s="8"/>
      <c r="AI1072" s="8"/>
      <c r="AJ1072" s="8"/>
      <c r="AK1072" s="8"/>
      <c r="AL1072" s="8"/>
      <c r="AN1072" s="8"/>
      <c r="AO1072" s="8"/>
      <c r="AP1072" s="8"/>
      <c r="AQ1072" s="8"/>
      <c r="AR1072" s="8"/>
      <c r="AS1072" s="8"/>
    </row>
    <row r="1073" spans="1:45">
      <c r="A1073" s="19"/>
      <c r="B1073" s="19"/>
      <c r="C1073" s="19"/>
      <c r="E1073" s="9"/>
      <c r="F1073" s="9"/>
      <c r="AG1073" s="8"/>
      <c r="AH1073" s="8"/>
      <c r="AI1073" s="8"/>
      <c r="AJ1073" s="8"/>
      <c r="AK1073" s="8"/>
      <c r="AL1073" s="8"/>
      <c r="AN1073" s="8"/>
      <c r="AO1073" s="8"/>
      <c r="AP1073" s="8"/>
      <c r="AQ1073" s="8"/>
      <c r="AR1073" s="8"/>
      <c r="AS1073" s="8"/>
    </row>
    <row r="1074" spans="1:45">
      <c r="A1074" s="19"/>
      <c r="B1074" s="19"/>
      <c r="C1074" s="19"/>
      <c r="E1074" s="9"/>
      <c r="F1074" s="9"/>
      <c r="AG1074" s="8"/>
      <c r="AH1074" s="8"/>
      <c r="AI1074" s="8"/>
      <c r="AJ1074" s="8"/>
      <c r="AK1074" s="8"/>
      <c r="AL1074" s="8"/>
      <c r="AN1074" s="8"/>
      <c r="AO1074" s="8"/>
      <c r="AP1074" s="8"/>
      <c r="AQ1074" s="8"/>
      <c r="AR1074" s="8"/>
      <c r="AS1074" s="8"/>
    </row>
    <row r="1075" spans="1:45">
      <c r="A1075" s="19"/>
      <c r="B1075" s="19"/>
      <c r="C1075" s="19"/>
      <c r="E1075" s="9"/>
      <c r="F1075" s="9"/>
      <c r="AG1075" s="8"/>
      <c r="AH1075" s="8"/>
      <c r="AI1075" s="8"/>
      <c r="AJ1075" s="8"/>
      <c r="AK1075" s="8"/>
      <c r="AL1075" s="8"/>
      <c r="AN1075" s="8"/>
      <c r="AO1075" s="8"/>
      <c r="AP1075" s="8"/>
      <c r="AQ1075" s="8"/>
      <c r="AR1075" s="8"/>
      <c r="AS1075" s="8"/>
    </row>
    <row r="1076" spans="1:45">
      <c r="A1076" s="19"/>
      <c r="B1076" s="19"/>
      <c r="C1076" s="19"/>
      <c r="E1076" s="9"/>
      <c r="F1076" s="9"/>
      <c r="AG1076" s="8"/>
      <c r="AH1076" s="8"/>
      <c r="AI1076" s="8"/>
      <c r="AJ1076" s="8"/>
      <c r="AK1076" s="8"/>
      <c r="AL1076" s="8"/>
      <c r="AN1076" s="8"/>
      <c r="AO1076" s="8"/>
      <c r="AP1076" s="8"/>
      <c r="AQ1076" s="8"/>
      <c r="AR1076" s="8"/>
      <c r="AS1076" s="8"/>
    </row>
    <row r="1077" spans="1:45">
      <c r="A1077" s="19"/>
      <c r="B1077" s="19"/>
      <c r="C1077" s="19"/>
      <c r="E1077" s="9"/>
      <c r="F1077" s="9"/>
      <c r="AG1077" s="8"/>
      <c r="AH1077" s="8"/>
      <c r="AI1077" s="8"/>
      <c r="AJ1077" s="8"/>
      <c r="AK1077" s="8"/>
      <c r="AL1077" s="8"/>
      <c r="AN1077" s="8"/>
      <c r="AO1077" s="8"/>
      <c r="AP1077" s="8"/>
      <c r="AQ1077" s="8"/>
      <c r="AR1077" s="8"/>
      <c r="AS1077" s="8"/>
    </row>
    <row r="1078" spans="1:45">
      <c r="A1078" s="19"/>
      <c r="B1078" s="19"/>
      <c r="C1078" s="19"/>
      <c r="E1078" s="9"/>
      <c r="F1078" s="9"/>
      <c r="AG1078" s="8"/>
      <c r="AH1078" s="8"/>
      <c r="AI1078" s="8"/>
      <c r="AJ1078" s="8"/>
      <c r="AK1078" s="8"/>
      <c r="AL1078" s="8"/>
      <c r="AN1078" s="8"/>
      <c r="AO1078" s="8"/>
      <c r="AP1078" s="8"/>
      <c r="AQ1078" s="8"/>
      <c r="AR1078" s="8"/>
      <c r="AS1078" s="8"/>
    </row>
    <row r="1079" spans="1:45">
      <c r="A1079" s="19"/>
      <c r="B1079" s="19"/>
      <c r="C1079" s="19"/>
      <c r="E1079" s="9"/>
      <c r="F1079" s="9"/>
      <c r="AG1079" s="8"/>
      <c r="AH1079" s="8"/>
      <c r="AI1079" s="8"/>
      <c r="AJ1079" s="8"/>
      <c r="AK1079" s="8"/>
      <c r="AL1079" s="8"/>
      <c r="AN1079" s="8"/>
      <c r="AO1079" s="8"/>
      <c r="AP1079" s="8"/>
      <c r="AQ1079" s="8"/>
      <c r="AR1079" s="8"/>
      <c r="AS1079" s="8"/>
    </row>
    <row r="1080" spans="1:45">
      <c r="A1080" s="19"/>
      <c r="B1080" s="19"/>
      <c r="C1080" s="19"/>
      <c r="E1080" s="9"/>
      <c r="F1080" s="9"/>
      <c r="AG1080" s="8"/>
      <c r="AH1080" s="8"/>
      <c r="AI1080" s="8"/>
      <c r="AJ1080" s="8"/>
      <c r="AK1080" s="8"/>
      <c r="AL1080" s="8"/>
      <c r="AN1080" s="8"/>
      <c r="AO1080" s="8"/>
      <c r="AP1080" s="8"/>
      <c r="AQ1080" s="8"/>
      <c r="AR1080" s="8"/>
      <c r="AS1080" s="8"/>
    </row>
    <row r="1081" spans="1:45">
      <c r="A1081" s="19"/>
      <c r="B1081" s="19"/>
      <c r="C1081" s="19"/>
      <c r="E1081" s="9"/>
      <c r="F1081" s="9"/>
      <c r="AG1081" s="8"/>
      <c r="AH1081" s="8"/>
      <c r="AI1081" s="8"/>
      <c r="AJ1081" s="8"/>
      <c r="AK1081" s="8"/>
      <c r="AL1081" s="8"/>
      <c r="AN1081" s="8"/>
      <c r="AO1081" s="8"/>
      <c r="AP1081" s="8"/>
      <c r="AQ1081" s="8"/>
      <c r="AR1081" s="8"/>
      <c r="AS1081" s="8"/>
    </row>
    <row r="1082" spans="1:45">
      <c r="A1082" s="19"/>
      <c r="B1082" s="19"/>
      <c r="C1082" s="19"/>
      <c r="E1082" s="9"/>
      <c r="F1082" s="9"/>
      <c r="AG1082" s="8"/>
      <c r="AH1082" s="8"/>
      <c r="AI1082" s="8"/>
      <c r="AJ1082" s="8"/>
      <c r="AK1082" s="8"/>
      <c r="AL1082" s="8"/>
      <c r="AN1082" s="8"/>
      <c r="AO1082" s="8"/>
      <c r="AP1082" s="8"/>
      <c r="AQ1082" s="8"/>
      <c r="AR1082" s="8"/>
      <c r="AS1082" s="8"/>
    </row>
    <row r="1083" spans="1:45">
      <c r="A1083" s="19"/>
      <c r="B1083" s="19"/>
      <c r="C1083" s="19"/>
      <c r="E1083" s="9"/>
      <c r="F1083" s="9"/>
      <c r="AG1083" s="8"/>
      <c r="AH1083" s="8"/>
      <c r="AI1083" s="8"/>
      <c r="AJ1083" s="8"/>
      <c r="AK1083" s="8"/>
      <c r="AL1083" s="8"/>
      <c r="AN1083" s="8"/>
      <c r="AO1083" s="8"/>
      <c r="AP1083" s="8"/>
      <c r="AQ1083" s="8"/>
      <c r="AR1083" s="8"/>
      <c r="AS1083" s="8"/>
    </row>
    <row r="1084" spans="1:45">
      <c r="A1084" s="19"/>
      <c r="B1084" s="19"/>
      <c r="C1084" s="19"/>
      <c r="E1084" s="9"/>
      <c r="F1084" s="9"/>
      <c r="AG1084" s="8"/>
      <c r="AH1084" s="8"/>
      <c r="AI1084" s="8"/>
      <c r="AJ1084" s="8"/>
      <c r="AK1084" s="8"/>
      <c r="AL1084" s="8"/>
      <c r="AN1084" s="8"/>
      <c r="AO1084" s="8"/>
      <c r="AP1084" s="8"/>
      <c r="AQ1084" s="8"/>
      <c r="AR1084" s="8"/>
      <c r="AS1084" s="8"/>
    </row>
    <row r="1085" spans="1:45">
      <c r="A1085" s="19"/>
      <c r="B1085" s="19"/>
      <c r="C1085" s="19"/>
      <c r="E1085" s="9"/>
      <c r="F1085" s="9"/>
      <c r="AG1085" s="8"/>
      <c r="AH1085" s="8"/>
      <c r="AI1085" s="8"/>
      <c r="AJ1085" s="8"/>
      <c r="AK1085" s="8"/>
      <c r="AL1085" s="8"/>
      <c r="AN1085" s="8"/>
      <c r="AO1085" s="8"/>
      <c r="AP1085" s="8"/>
      <c r="AQ1085" s="8"/>
      <c r="AR1085" s="8"/>
      <c r="AS1085" s="8"/>
    </row>
    <row r="1086" spans="1:45">
      <c r="A1086" s="19"/>
      <c r="B1086" s="19"/>
      <c r="C1086" s="19"/>
      <c r="E1086" s="9"/>
      <c r="F1086" s="9"/>
      <c r="AG1086" s="8"/>
      <c r="AH1086" s="8"/>
      <c r="AI1086" s="8"/>
      <c r="AJ1086" s="8"/>
      <c r="AK1086" s="8"/>
      <c r="AL1086" s="8"/>
      <c r="AN1086" s="8"/>
      <c r="AO1086" s="8"/>
      <c r="AP1086" s="8"/>
      <c r="AQ1086" s="8"/>
      <c r="AR1086" s="8"/>
      <c r="AS1086" s="8"/>
    </row>
    <row r="1087" spans="1:45">
      <c r="A1087" s="19"/>
      <c r="B1087" s="19"/>
      <c r="C1087" s="19"/>
      <c r="E1087" s="9"/>
      <c r="F1087" s="9"/>
      <c r="AG1087" s="8"/>
      <c r="AH1087" s="8"/>
      <c r="AI1087" s="8"/>
      <c r="AJ1087" s="8"/>
      <c r="AK1087" s="8"/>
      <c r="AL1087" s="8"/>
      <c r="AN1087" s="8"/>
      <c r="AO1087" s="8"/>
      <c r="AP1087" s="8"/>
      <c r="AQ1087" s="8"/>
      <c r="AR1087" s="8"/>
      <c r="AS1087" s="8"/>
    </row>
    <row r="1088" spans="1:45">
      <c r="A1088" s="19"/>
      <c r="B1088" s="19"/>
      <c r="C1088" s="19"/>
      <c r="E1088" s="9"/>
      <c r="F1088" s="9"/>
      <c r="AG1088" s="8"/>
      <c r="AH1088" s="8"/>
      <c r="AI1088" s="8"/>
      <c r="AJ1088" s="8"/>
      <c r="AK1088" s="8"/>
      <c r="AL1088" s="8"/>
      <c r="AN1088" s="8"/>
      <c r="AO1088" s="8"/>
      <c r="AP1088" s="8"/>
      <c r="AQ1088" s="8"/>
      <c r="AR1088" s="8"/>
      <c r="AS1088" s="8"/>
    </row>
    <row r="1089" spans="1:45">
      <c r="A1089" s="19"/>
      <c r="B1089" s="19"/>
      <c r="C1089" s="19"/>
      <c r="E1089" s="9"/>
      <c r="F1089" s="9"/>
      <c r="AG1089" s="8"/>
      <c r="AH1089" s="8"/>
      <c r="AI1089" s="8"/>
      <c r="AJ1089" s="8"/>
      <c r="AK1089" s="8"/>
      <c r="AL1089" s="8"/>
      <c r="AN1089" s="8"/>
      <c r="AO1089" s="8"/>
      <c r="AP1089" s="8"/>
      <c r="AQ1089" s="8"/>
      <c r="AR1089" s="8"/>
      <c r="AS1089" s="8"/>
    </row>
    <row r="1090" spans="1:45">
      <c r="A1090" s="19"/>
      <c r="B1090" s="19"/>
      <c r="C1090" s="19"/>
      <c r="E1090" s="9"/>
      <c r="F1090" s="9"/>
      <c r="AG1090" s="8"/>
      <c r="AH1090" s="8"/>
      <c r="AI1090" s="8"/>
      <c r="AJ1090" s="8"/>
      <c r="AK1090" s="8"/>
      <c r="AL1090" s="8"/>
      <c r="AN1090" s="8"/>
      <c r="AO1090" s="8"/>
      <c r="AP1090" s="8"/>
      <c r="AQ1090" s="8"/>
      <c r="AR1090" s="8"/>
      <c r="AS1090" s="8"/>
    </row>
    <row r="1091" spans="1:45">
      <c r="A1091" s="19"/>
      <c r="B1091" s="19"/>
      <c r="C1091" s="19"/>
      <c r="E1091" s="9"/>
      <c r="F1091" s="9"/>
      <c r="AG1091" s="8"/>
      <c r="AH1091" s="8"/>
      <c r="AI1091" s="8"/>
      <c r="AJ1091" s="8"/>
      <c r="AK1091" s="8"/>
      <c r="AL1091" s="8"/>
      <c r="AN1091" s="8"/>
      <c r="AO1091" s="8"/>
      <c r="AP1091" s="8"/>
      <c r="AQ1091" s="8"/>
      <c r="AR1091" s="8"/>
      <c r="AS1091" s="8"/>
    </row>
    <row r="1092" spans="1:45">
      <c r="A1092" s="19"/>
      <c r="B1092" s="19"/>
      <c r="C1092" s="19"/>
      <c r="E1092" s="9"/>
      <c r="F1092" s="9"/>
      <c r="AG1092" s="8"/>
      <c r="AH1092" s="8"/>
      <c r="AI1092" s="8"/>
      <c r="AJ1092" s="8"/>
      <c r="AK1092" s="8"/>
      <c r="AL1092" s="8"/>
      <c r="AN1092" s="8"/>
      <c r="AO1092" s="8"/>
      <c r="AP1092" s="8"/>
      <c r="AQ1092" s="8"/>
      <c r="AR1092" s="8"/>
      <c r="AS1092" s="8"/>
    </row>
    <row r="1093" spans="1:45">
      <c r="A1093" s="19"/>
      <c r="B1093" s="19"/>
      <c r="C1093" s="19"/>
      <c r="E1093" s="9"/>
      <c r="F1093" s="9"/>
      <c r="AG1093" s="8"/>
      <c r="AH1093" s="8"/>
      <c r="AI1093" s="8"/>
      <c r="AJ1093" s="8"/>
      <c r="AK1093" s="8"/>
      <c r="AL1093" s="8"/>
      <c r="AN1093" s="8"/>
      <c r="AO1093" s="8"/>
      <c r="AP1093" s="8"/>
      <c r="AQ1093" s="8"/>
      <c r="AR1093" s="8"/>
      <c r="AS1093" s="8"/>
    </row>
    <row r="1094" spans="1:45">
      <c r="A1094" s="19"/>
      <c r="B1094" s="19"/>
      <c r="C1094" s="19"/>
      <c r="E1094" s="9"/>
      <c r="F1094" s="9"/>
      <c r="AG1094" s="8"/>
      <c r="AH1094" s="8"/>
      <c r="AI1094" s="8"/>
      <c r="AJ1094" s="8"/>
      <c r="AK1094" s="8"/>
      <c r="AL1094" s="8"/>
      <c r="AN1094" s="8"/>
      <c r="AO1094" s="8"/>
      <c r="AP1094" s="8"/>
      <c r="AQ1094" s="8"/>
      <c r="AR1094" s="8"/>
      <c r="AS1094" s="8"/>
    </row>
    <row r="1095" spans="1:45">
      <c r="A1095" s="19"/>
      <c r="B1095" s="19"/>
      <c r="C1095" s="19"/>
      <c r="E1095" s="9"/>
      <c r="F1095" s="9"/>
      <c r="AG1095" s="8"/>
      <c r="AH1095" s="8"/>
      <c r="AI1095" s="8"/>
      <c r="AJ1095" s="8"/>
      <c r="AK1095" s="8"/>
      <c r="AL1095" s="8"/>
      <c r="AN1095" s="8"/>
      <c r="AO1095" s="8"/>
      <c r="AP1095" s="8"/>
      <c r="AQ1095" s="8"/>
      <c r="AR1095" s="8"/>
      <c r="AS1095" s="8"/>
    </row>
    <row r="1096" spans="1:45">
      <c r="A1096" s="19"/>
      <c r="B1096" s="19"/>
      <c r="C1096" s="19"/>
      <c r="E1096" s="9"/>
      <c r="F1096" s="9"/>
      <c r="AG1096" s="8"/>
      <c r="AH1096" s="8"/>
      <c r="AI1096" s="8"/>
      <c r="AJ1096" s="8"/>
      <c r="AK1096" s="8"/>
      <c r="AL1096" s="8"/>
      <c r="AN1096" s="8"/>
      <c r="AO1096" s="8"/>
      <c r="AP1096" s="8"/>
      <c r="AQ1096" s="8"/>
      <c r="AR1096" s="8"/>
      <c r="AS1096" s="8"/>
    </row>
    <row r="1097" spans="1:45">
      <c r="A1097" s="19"/>
      <c r="B1097" s="19"/>
      <c r="C1097" s="19"/>
      <c r="E1097" s="9"/>
      <c r="F1097" s="9"/>
      <c r="AG1097" s="8"/>
      <c r="AH1097" s="8"/>
      <c r="AI1097" s="8"/>
      <c r="AJ1097" s="8"/>
      <c r="AK1097" s="8"/>
      <c r="AL1097" s="8"/>
      <c r="AN1097" s="8"/>
      <c r="AO1097" s="8"/>
      <c r="AP1097" s="8"/>
      <c r="AQ1097" s="8"/>
      <c r="AR1097" s="8"/>
      <c r="AS1097" s="8"/>
    </row>
    <row r="1098" spans="1:45">
      <c r="A1098" s="19"/>
      <c r="B1098" s="19"/>
      <c r="C1098" s="19"/>
      <c r="E1098" s="9"/>
      <c r="F1098" s="9"/>
      <c r="AG1098" s="8"/>
      <c r="AH1098" s="8"/>
      <c r="AI1098" s="8"/>
      <c r="AJ1098" s="8"/>
      <c r="AK1098" s="8"/>
      <c r="AL1098" s="8"/>
      <c r="AN1098" s="8"/>
      <c r="AO1098" s="8"/>
      <c r="AP1098" s="8"/>
      <c r="AQ1098" s="8"/>
      <c r="AR1098" s="8"/>
      <c r="AS1098" s="8"/>
    </row>
    <row r="1099" spans="1:45">
      <c r="A1099" s="19"/>
      <c r="B1099" s="19"/>
      <c r="C1099" s="19"/>
      <c r="E1099" s="9"/>
      <c r="F1099" s="9"/>
      <c r="AG1099" s="8"/>
      <c r="AH1099" s="8"/>
      <c r="AI1099" s="8"/>
      <c r="AJ1099" s="8"/>
      <c r="AK1099" s="8"/>
      <c r="AL1099" s="8"/>
      <c r="AN1099" s="8"/>
      <c r="AO1099" s="8"/>
      <c r="AP1099" s="8"/>
      <c r="AQ1099" s="8"/>
      <c r="AR1099" s="8"/>
      <c r="AS1099" s="8"/>
    </row>
    <row r="1100" spans="1:45">
      <c r="A1100" s="19"/>
      <c r="B1100" s="19"/>
      <c r="C1100" s="19"/>
      <c r="E1100" s="9"/>
      <c r="F1100" s="9"/>
      <c r="AG1100" s="8"/>
      <c r="AH1100" s="8"/>
      <c r="AI1100" s="8"/>
      <c r="AJ1100" s="8"/>
      <c r="AK1100" s="8"/>
      <c r="AL1100" s="8"/>
      <c r="AN1100" s="8"/>
      <c r="AO1100" s="8"/>
      <c r="AP1100" s="8"/>
      <c r="AQ1100" s="8"/>
      <c r="AR1100" s="8"/>
      <c r="AS1100" s="8"/>
    </row>
    <row r="1101" spans="1:45">
      <c r="A1101" s="19"/>
      <c r="B1101" s="19"/>
      <c r="C1101" s="19"/>
      <c r="E1101" s="9"/>
      <c r="F1101" s="9"/>
      <c r="AG1101" s="8"/>
      <c r="AH1101" s="8"/>
      <c r="AI1101" s="8"/>
      <c r="AJ1101" s="8"/>
      <c r="AK1101" s="8"/>
      <c r="AL1101" s="8"/>
      <c r="AN1101" s="8"/>
      <c r="AO1101" s="8"/>
      <c r="AP1101" s="8"/>
      <c r="AQ1101" s="8"/>
      <c r="AR1101" s="8"/>
      <c r="AS1101" s="8"/>
    </row>
    <row r="1102" spans="1:45">
      <c r="A1102" s="19"/>
      <c r="B1102" s="19"/>
      <c r="C1102" s="19"/>
      <c r="E1102" s="9"/>
      <c r="F1102" s="9"/>
      <c r="AG1102" s="8"/>
      <c r="AH1102" s="8"/>
      <c r="AI1102" s="8"/>
      <c r="AJ1102" s="8"/>
      <c r="AK1102" s="8"/>
      <c r="AL1102" s="8"/>
      <c r="AN1102" s="8"/>
      <c r="AO1102" s="8"/>
      <c r="AP1102" s="8"/>
      <c r="AQ1102" s="8"/>
      <c r="AR1102" s="8"/>
      <c r="AS1102" s="8"/>
    </row>
    <row r="1103" spans="1:45">
      <c r="A1103" s="19"/>
      <c r="B1103" s="19"/>
      <c r="C1103" s="19"/>
      <c r="E1103" s="9"/>
      <c r="F1103" s="9"/>
      <c r="AG1103" s="8"/>
      <c r="AH1103" s="8"/>
      <c r="AI1103" s="8"/>
      <c r="AJ1103" s="8"/>
      <c r="AK1103" s="8"/>
      <c r="AL1103" s="8"/>
      <c r="AN1103" s="8"/>
      <c r="AO1103" s="8"/>
      <c r="AP1103" s="8"/>
      <c r="AQ1103" s="8"/>
      <c r="AR1103" s="8"/>
      <c r="AS1103" s="8"/>
    </row>
    <row r="1104" spans="1:45">
      <c r="A1104" s="19"/>
      <c r="B1104" s="19"/>
      <c r="C1104" s="19"/>
      <c r="E1104" s="9"/>
      <c r="F1104" s="9"/>
      <c r="AG1104" s="8"/>
      <c r="AH1104" s="8"/>
      <c r="AI1104" s="8"/>
      <c r="AJ1104" s="8"/>
      <c r="AK1104" s="8"/>
      <c r="AL1104" s="8"/>
      <c r="AN1104" s="8"/>
      <c r="AO1104" s="8"/>
      <c r="AP1104" s="8"/>
      <c r="AQ1104" s="8"/>
      <c r="AR1104" s="8"/>
      <c r="AS1104" s="8"/>
    </row>
    <row r="1105" spans="1:45">
      <c r="A1105" s="19"/>
      <c r="B1105" s="19"/>
      <c r="C1105" s="19"/>
      <c r="E1105" s="9"/>
      <c r="F1105" s="9"/>
      <c r="AG1105" s="8"/>
      <c r="AH1105" s="8"/>
      <c r="AI1105" s="8"/>
      <c r="AJ1105" s="8"/>
      <c r="AK1105" s="8"/>
      <c r="AL1105" s="8"/>
      <c r="AN1105" s="8"/>
      <c r="AO1105" s="8"/>
      <c r="AP1105" s="8"/>
      <c r="AQ1105" s="8"/>
      <c r="AR1105" s="8"/>
      <c r="AS1105" s="8"/>
    </row>
    <row r="1106" spans="1:45">
      <c r="A1106" s="19"/>
      <c r="B1106" s="19"/>
      <c r="C1106" s="19"/>
      <c r="E1106" s="9"/>
      <c r="F1106" s="9"/>
      <c r="AG1106" s="8"/>
      <c r="AH1106" s="8"/>
      <c r="AI1106" s="8"/>
      <c r="AJ1106" s="8"/>
      <c r="AK1106" s="8"/>
      <c r="AL1106" s="8"/>
      <c r="AN1106" s="8"/>
      <c r="AO1106" s="8"/>
      <c r="AP1106" s="8"/>
      <c r="AQ1106" s="8"/>
      <c r="AR1106" s="8"/>
      <c r="AS1106" s="8"/>
    </row>
    <row r="1107" spans="1:45">
      <c r="A1107" s="19"/>
      <c r="B1107" s="19"/>
      <c r="C1107" s="19"/>
      <c r="E1107" s="9"/>
      <c r="F1107" s="9"/>
      <c r="AG1107" s="8"/>
      <c r="AH1107" s="8"/>
      <c r="AI1107" s="8"/>
      <c r="AJ1107" s="8"/>
      <c r="AK1107" s="8"/>
      <c r="AL1107" s="8"/>
      <c r="AN1107" s="8"/>
      <c r="AO1107" s="8"/>
      <c r="AP1107" s="8"/>
      <c r="AQ1107" s="8"/>
      <c r="AR1107" s="8"/>
      <c r="AS1107" s="8"/>
    </row>
    <row r="1108" spans="1:45">
      <c r="A1108" s="19"/>
      <c r="B1108" s="19"/>
      <c r="C1108" s="19"/>
      <c r="E1108" s="9"/>
      <c r="F1108" s="9"/>
      <c r="AG1108" s="8"/>
      <c r="AH1108" s="8"/>
      <c r="AI1108" s="8"/>
      <c r="AJ1108" s="8"/>
      <c r="AK1108" s="8"/>
      <c r="AL1108" s="8"/>
      <c r="AN1108" s="8"/>
      <c r="AO1108" s="8"/>
      <c r="AP1108" s="8"/>
      <c r="AQ1108" s="8"/>
      <c r="AR1108" s="8"/>
      <c r="AS1108" s="8"/>
    </row>
    <row r="1109" spans="1:45">
      <c r="A1109" s="19"/>
      <c r="B1109" s="19"/>
      <c r="C1109" s="19"/>
      <c r="E1109" s="9"/>
      <c r="F1109" s="9"/>
      <c r="AG1109" s="8"/>
      <c r="AH1109" s="8"/>
      <c r="AI1109" s="8"/>
      <c r="AJ1109" s="8"/>
      <c r="AK1109" s="8"/>
      <c r="AL1109" s="8"/>
      <c r="AN1109" s="8"/>
      <c r="AO1109" s="8"/>
      <c r="AP1109" s="8"/>
      <c r="AQ1109" s="8"/>
      <c r="AR1109" s="8"/>
      <c r="AS1109" s="8"/>
    </row>
    <row r="1110" spans="1:45">
      <c r="A1110" s="19"/>
      <c r="B1110" s="19"/>
      <c r="C1110" s="19"/>
      <c r="E1110" s="9"/>
      <c r="F1110" s="9"/>
      <c r="AG1110" s="8"/>
      <c r="AH1110" s="8"/>
      <c r="AI1110" s="8"/>
      <c r="AJ1110" s="8"/>
      <c r="AK1110" s="8"/>
      <c r="AL1110" s="8"/>
      <c r="AN1110" s="8"/>
      <c r="AO1110" s="8"/>
      <c r="AP1110" s="8"/>
      <c r="AQ1110" s="8"/>
      <c r="AR1110" s="8"/>
      <c r="AS1110" s="8"/>
    </row>
    <row r="1111" spans="1:45">
      <c r="A1111" s="19"/>
      <c r="B1111" s="19"/>
      <c r="C1111" s="19"/>
      <c r="E1111" s="9"/>
      <c r="F1111" s="9"/>
      <c r="AG1111" s="8"/>
      <c r="AH1111" s="8"/>
      <c r="AI1111" s="8"/>
      <c r="AJ1111" s="8"/>
      <c r="AK1111" s="8"/>
      <c r="AL1111" s="8"/>
      <c r="AN1111" s="8"/>
      <c r="AO1111" s="8"/>
      <c r="AP1111" s="8"/>
      <c r="AQ1111" s="8"/>
      <c r="AR1111" s="8"/>
      <c r="AS1111" s="8"/>
    </row>
    <row r="1112" spans="1:45">
      <c r="A1112" s="19"/>
      <c r="B1112" s="19"/>
      <c r="C1112" s="19"/>
      <c r="E1112" s="9"/>
      <c r="F1112" s="9"/>
      <c r="AG1112" s="8"/>
      <c r="AH1112" s="8"/>
      <c r="AI1112" s="8"/>
      <c r="AJ1112" s="8"/>
      <c r="AK1112" s="8"/>
      <c r="AL1112" s="8"/>
      <c r="AN1112" s="8"/>
      <c r="AO1112" s="8"/>
      <c r="AP1112" s="8"/>
      <c r="AQ1112" s="8"/>
      <c r="AR1112" s="8"/>
      <c r="AS1112" s="8"/>
    </row>
    <row r="1113" spans="1:45">
      <c r="A1113" s="19"/>
      <c r="B1113" s="19"/>
      <c r="C1113" s="19"/>
      <c r="E1113" s="9"/>
      <c r="F1113" s="9"/>
      <c r="AG1113" s="8"/>
      <c r="AH1113" s="8"/>
      <c r="AI1113" s="8"/>
      <c r="AJ1113" s="8"/>
      <c r="AK1113" s="8"/>
      <c r="AL1113" s="8"/>
      <c r="AN1113" s="8"/>
      <c r="AO1113" s="8"/>
      <c r="AP1113" s="8"/>
      <c r="AQ1113" s="8"/>
      <c r="AR1113" s="8"/>
      <c r="AS1113" s="8"/>
    </row>
    <row r="1114" spans="1:45">
      <c r="A1114" s="19"/>
      <c r="B1114" s="19"/>
      <c r="C1114" s="19"/>
      <c r="E1114" s="9"/>
      <c r="F1114" s="9"/>
      <c r="AG1114" s="8"/>
      <c r="AH1114" s="8"/>
      <c r="AI1114" s="8"/>
      <c r="AJ1114" s="8"/>
      <c r="AK1114" s="8"/>
      <c r="AL1114" s="8"/>
      <c r="AN1114" s="8"/>
      <c r="AO1114" s="8"/>
      <c r="AP1114" s="8"/>
      <c r="AQ1114" s="8"/>
      <c r="AR1114" s="8"/>
      <c r="AS1114" s="8"/>
    </row>
    <row r="1115" spans="1:45">
      <c r="A1115" s="19"/>
      <c r="B1115" s="19"/>
      <c r="C1115" s="19"/>
      <c r="E1115" s="9"/>
      <c r="F1115" s="9"/>
      <c r="AG1115" s="8"/>
      <c r="AH1115" s="8"/>
      <c r="AI1115" s="8"/>
      <c r="AJ1115" s="8"/>
      <c r="AK1115" s="8"/>
      <c r="AL1115" s="8"/>
      <c r="AN1115" s="8"/>
      <c r="AO1115" s="8"/>
      <c r="AP1115" s="8"/>
      <c r="AQ1115" s="8"/>
      <c r="AR1115" s="8"/>
      <c r="AS1115" s="8"/>
    </row>
    <row r="1116" spans="1:45">
      <c r="A1116" s="19"/>
      <c r="B1116" s="19"/>
      <c r="C1116" s="19"/>
      <c r="E1116" s="9"/>
      <c r="F1116" s="9"/>
      <c r="AG1116" s="8"/>
      <c r="AH1116" s="8"/>
      <c r="AI1116" s="8"/>
      <c r="AJ1116" s="8"/>
      <c r="AK1116" s="8"/>
      <c r="AL1116" s="8"/>
      <c r="AN1116" s="8"/>
      <c r="AO1116" s="8"/>
      <c r="AP1116" s="8"/>
      <c r="AQ1116" s="8"/>
      <c r="AR1116" s="8"/>
      <c r="AS1116" s="8"/>
    </row>
    <row r="1117" spans="1:45">
      <c r="A1117" s="19"/>
      <c r="B1117" s="19"/>
      <c r="C1117" s="19"/>
      <c r="E1117" s="9"/>
      <c r="F1117" s="9"/>
      <c r="AG1117" s="8"/>
      <c r="AH1117" s="8"/>
      <c r="AI1117" s="8"/>
      <c r="AJ1117" s="8"/>
      <c r="AK1117" s="8"/>
      <c r="AL1117" s="8"/>
      <c r="AN1117" s="8"/>
      <c r="AO1117" s="8"/>
      <c r="AP1117" s="8"/>
      <c r="AQ1117" s="8"/>
      <c r="AR1117" s="8"/>
      <c r="AS1117" s="8"/>
    </row>
    <row r="1118" spans="1:45">
      <c r="A1118" s="19"/>
      <c r="B1118" s="19"/>
      <c r="C1118" s="19"/>
      <c r="E1118" s="9"/>
      <c r="F1118" s="9"/>
      <c r="AG1118" s="8"/>
      <c r="AH1118" s="8"/>
      <c r="AI1118" s="8"/>
      <c r="AJ1118" s="8"/>
      <c r="AK1118" s="8"/>
      <c r="AL1118" s="8"/>
      <c r="AN1118" s="8"/>
      <c r="AO1118" s="8"/>
      <c r="AP1118" s="8"/>
      <c r="AQ1118" s="8"/>
      <c r="AR1118" s="8"/>
      <c r="AS1118" s="8"/>
    </row>
    <row r="1119" spans="1:45">
      <c r="A1119" s="19"/>
      <c r="B1119" s="19"/>
      <c r="C1119" s="19"/>
      <c r="E1119" s="9"/>
      <c r="F1119" s="9"/>
      <c r="AG1119" s="8"/>
      <c r="AH1119" s="8"/>
      <c r="AI1119" s="8"/>
      <c r="AJ1119" s="8"/>
      <c r="AK1119" s="8"/>
      <c r="AL1119" s="8"/>
      <c r="AN1119" s="8"/>
      <c r="AO1119" s="8"/>
      <c r="AP1119" s="8"/>
      <c r="AQ1119" s="8"/>
      <c r="AR1119" s="8"/>
      <c r="AS1119" s="8"/>
    </row>
    <row r="1120" spans="1:45">
      <c r="A1120" s="19"/>
      <c r="B1120" s="19"/>
      <c r="C1120" s="19"/>
      <c r="E1120" s="9"/>
      <c r="F1120" s="9"/>
      <c r="AG1120" s="8"/>
      <c r="AH1120" s="8"/>
      <c r="AI1120" s="8"/>
      <c r="AJ1120" s="8"/>
      <c r="AK1120" s="8"/>
      <c r="AL1120" s="8"/>
      <c r="AN1120" s="8"/>
      <c r="AO1120" s="8"/>
      <c r="AP1120" s="8"/>
      <c r="AQ1120" s="8"/>
      <c r="AR1120" s="8"/>
      <c r="AS1120" s="8"/>
    </row>
    <row r="1121" spans="1:45">
      <c r="A1121" s="19"/>
      <c r="B1121" s="19"/>
      <c r="C1121" s="19"/>
      <c r="E1121" s="9"/>
      <c r="F1121" s="9"/>
      <c r="AG1121" s="8"/>
      <c r="AH1121" s="8"/>
      <c r="AI1121" s="8"/>
      <c r="AJ1121" s="8"/>
      <c r="AK1121" s="8"/>
      <c r="AL1121" s="8"/>
      <c r="AN1121" s="8"/>
      <c r="AO1121" s="8"/>
      <c r="AP1121" s="8"/>
      <c r="AQ1121" s="8"/>
      <c r="AR1121" s="8"/>
      <c r="AS1121" s="8"/>
    </row>
    <row r="1122" spans="1:45">
      <c r="A1122" s="19"/>
      <c r="B1122" s="19"/>
      <c r="C1122" s="19"/>
      <c r="E1122" s="9"/>
      <c r="F1122" s="9"/>
      <c r="AG1122" s="8"/>
      <c r="AH1122" s="8"/>
      <c r="AI1122" s="8"/>
      <c r="AJ1122" s="8"/>
      <c r="AK1122" s="8"/>
      <c r="AL1122" s="8"/>
      <c r="AN1122" s="8"/>
      <c r="AO1122" s="8"/>
      <c r="AP1122" s="8"/>
      <c r="AQ1122" s="8"/>
      <c r="AR1122" s="8"/>
      <c r="AS1122" s="8"/>
    </row>
    <row r="1123" spans="1:45">
      <c r="A1123" s="19"/>
      <c r="B1123" s="19"/>
      <c r="C1123" s="19"/>
      <c r="E1123" s="9"/>
      <c r="F1123" s="9"/>
      <c r="AG1123" s="8"/>
      <c r="AH1123" s="8"/>
      <c r="AI1123" s="8"/>
      <c r="AJ1123" s="8"/>
      <c r="AK1123" s="8"/>
      <c r="AL1123" s="8"/>
      <c r="AN1123" s="8"/>
      <c r="AO1123" s="8"/>
      <c r="AP1123" s="8"/>
      <c r="AQ1123" s="8"/>
      <c r="AR1123" s="8"/>
      <c r="AS1123" s="8"/>
    </row>
    <row r="1124" spans="1:45">
      <c r="A1124" s="19"/>
      <c r="B1124" s="19"/>
      <c r="C1124" s="19"/>
      <c r="E1124" s="9"/>
      <c r="F1124" s="9"/>
      <c r="AG1124" s="8"/>
      <c r="AH1124" s="8"/>
      <c r="AI1124" s="8"/>
      <c r="AJ1124" s="8"/>
      <c r="AK1124" s="8"/>
      <c r="AL1124" s="8"/>
      <c r="AN1124" s="8"/>
      <c r="AO1124" s="8"/>
      <c r="AP1124" s="8"/>
      <c r="AQ1124" s="8"/>
      <c r="AR1124" s="8"/>
      <c r="AS1124" s="8"/>
    </row>
    <row r="1125" spans="1:45">
      <c r="A1125" s="19"/>
      <c r="B1125" s="19"/>
      <c r="C1125" s="19"/>
      <c r="E1125" s="9"/>
      <c r="F1125" s="9"/>
      <c r="AG1125" s="8"/>
      <c r="AH1125" s="8"/>
      <c r="AI1125" s="8"/>
      <c r="AJ1125" s="8"/>
      <c r="AK1125" s="8"/>
      <c r="AL1125" s="8"/>
      <c r="AN1125" s="8"/>
      <c r="AO1125" s="8"/>
      <c r="AP1125" s="8"/>
      <c r="AQ1125" s="8"/>
      <c r="AR1125" s="8"/>
      <c r="AS1125" s="8"/>
    </row>
    <row r="1126" spans="1:45">
      <c r="A1126" s="19"/>
      <c r="B1126" s="19"/>
      <c r="C1126" s="19"/>
      <c r="E1126" s="9"/>
      <c r="F1126" s="9"/>
      <c r="AG1126" s="8"/>
      <c r="AH1126" s="8"/>
      <c r="AI1126" s="8"/>
      <c r="AJ1126" s="8"/>
      <c r="AK1126" s="8"/>
      <c r="AL1126" s="8"/>
      <c r="AN1126" s="8"/>
      <c r="AO1126" s="8"/>
      <c r="AP1126" s="8"/>
      <c r="AQ1126" s="8"/>
      <c r="AR1126" s="8"/>
      <c r="AS1126" s="8"/>
    </row>
    <row r="1127" spans="1:45">
      <c r="A1127" s="19"/>
      <c r="B1127" s="19"/>
      <c r="C1127" s="19"/>
      <c r="E1127" s="9"/>
      <c r="F1127" s="9"/>
      <c r="AG1127" s="8"/>
      <c r="AH1127" s="8"/>
      <c r="AI1127" s="8"/>
      <c r="AJ1127" s="8"/>
      <c r="AK1127" s="8"/>
      <c r="AL1127" s="8"/>
      <c r="AN1127" s="8"/>
      <c r="AO1127" s="8"/>
      <c r="AP1127" s="8"/>
      <c r="AQ1127" s="8"/>
      <c r="AR1127" s="8"/>
      <c r="AS1127" s="8"/>
    </row>
    <row r="1128" spans="1:45">
      <c r="A1128" s="19"/>
      <c r="B1128" s="19"/>
      <c r="C1128" s="19"/>
      <c r="E1128" s="9"/>
      <c r="F1128" s="9"/>
      <c r="AG1128" s="8"/>
      <c r="AH1128" s="8"/>
      <c r="AI1128" s="8"/>
      <c r="AJ1128" s="8"/>
      <c r="AK1128" s="8"/>
      <c r="AL1128" s="8"/>
      <c r="AN1128" s="8"/>
      <c r="AO1128" s="8"/>
      <c r="AP1128" s="8"/>
      <c r="AQ1128" s="8"/>
      <c r="AR1128" s="8"/>
      <c r="AS1128" s="8"/>
    </row>
    <row r="1129" spans="1:45">
      <c r="A1129" s="19"/>
      <c r="B1129" s="19"/>
      <c r="C1129" s="19"/>
      <c r="E1129" s="9"/>
      <c r="F1129" s="9"/>
      <c r="AG1129" s="8"/>
      <c r="AH1129" s="8"/>
      <c r="AI1129" s="8"/>
      <c r="AJ1129" s="8"/>
      <c r="AK1129" s="8"/>
      <c r="AL1129" s="8"/>
      <c r="AN1129" s="8"/>
      <c r="AO1129" s="8"/>
      <c r="AP1129" s="8"/>
      <c r="AQ1129" s="8"/>
      <c r="AR1129" s="8"/>
      <c r="AS1129" s="8"/>
    </row>
    <row r="1130" spans="1:45">
      <c r="A1130" s="19"/>
      <c r="B1130" s="19"/>
      <c r="C1130" s="19"/>
      <c r="E1130" s="9"/>
      <c r="F1130" s="9"/>
      <c r="AG1130" s="8"/>
      <c r="AH1130" s="8"/>
      <c r="AI1130" s="8"/>
      <c r="AJ1130" s="8"/>
      <c r="AK1130" s="8"/>
      <c r="AL1130" s="8"/>
      <c r="AN1130" s="8"/>
      <c r="AO1130" s="8"/>
      <c r="AP1130" s="8"/>
      <c r="AQ1130" s="8"/>
      <c r="AR1130" s="8"/>
      <c r="AS1130" s="8"/>
    </row>
    <row r="1131" spans="1:45">
      <c r="A1131" s="19"/>
      <c r="B1131" s="19"/>
      <c r="C1131" s="19"/>
      <c r="E1131" s="9"/>
      <c r="F1131" s="9"/>
      <c r="AG1131" s="8"/>
      <c r="AH1131" s="8"/>
      <c r="AI1131" s="8"/>
      <c r="AJ1131" s="8"/>
      <c r="AK1131" s="8"/>
      <c r="AL1131" s="8"/>
      <c r="AN1131" s="8"/>
      <c r="AO1131" s="8"/>
      <c r="AP1131" s="8"/>
      <c r="AQ1131" s="8"/>
      <c r="AR1131" s="8"/>
      <c r="AS1131" s="8"/>
    </row>
    <row r="1132" spans="1:45">
      <c r="A1132" s="19"/>
      <c r="B1132" s="19"/>
      <c r="C1132" s="19"/>
      <c r="E1132" s="9"/>
      <c r="F1132" s="9"/>
      <c r="AG1132" s="8"/>
      <c r="AH1132" s="8"/>
      <c r="AI1132" s="8"/>
      <c r="AJ1132" s="8"/>
      <c r="AK1132" s="8"/>
      <c r="AL1132" s="8"/>
      <c r="AN1132" s="8"/>
      <c r="AO1132" s="8"/>
      <c r="AP1132" s="8"/>
      <c r="AQ1132" s="8"/>
      <c r="AR1132" s="8"/>
      <c r="AS1132" s="8"/>
    </row>
    <row r="1133" spans="1:45">
      <c r="A1133" s="19"/>
      <c r="B1133" s="19"/>
      <c r="C1133" s="19"/>
      <c r="E1133" s="9"/>
      <c r="F1133" s="9"/>
      <c r="AG1133" s="8"/>
      <c r="AH1133" s="8"/>
      <c r="AI1133" s="8"/>
      <c r="AJ1133" s="8"/>
      <c r="AK1133" s="8"/>
      <c r="AL1133" s="8"/>
      <c r="AN1133" s="8"/>
      <c r="AO1133" s="8"/>
      <c r="AP1133" s="8"/>
      <c r="AQ1133" s="8"/>
      <c r="AR1133" s="8"/>
      <c r="AS1133" s="8"/>
    </row>
    <row r="1134" spans="1:45">
      <c r="A1134" s="19"/>
      <c r="B1134" s="19"/>
      <c r="C1134" s="19"/>
      <c r="E1134" s="9"/>
      <c r="F1134" s="9"/>
      <c r="AG1134" s="8"/>
      <c r="AH1134" s="8"/>
      <c r="AI1134" s="8"/>
      <c r="AJ1134" s="8"/>
      <c r="AK1134" s="8"/>
      <c r="AL1134" s="8"/>
      <c r="AN1134" s="8"/>
      <c r="AO1134" s="8"/>
      <c r="AP1134" s="8"/>
      <c r="AQ1134" s="8"/>
      <c r="AR1134" s="8"/>
      <c r="AS1134" s="8"/>
    </row>
    <row r="1135" spans="1:45">
      <c r="A1135" s="19"/>
      <c r="B1135" s="19"/>
      <c r="C1135" s="19"/>
      <c r="E1135" s="9"/>
      <c r="F1135" s="9"/>
      <c r="AG1135" s="8"/>
      <c r="AH1135" s="8"/>
      <c r="AI1135" s="8"/>
      <c r="AJ1135" s="8"/>
      <c r="AK1135" s="8"/>
      <c r="AL1135" s="8"/>
      <c r="AN1135" s="8"/>
      <c r="AO1135" s="8"/>
      <c r="AP1135" s="8"/>
      <c r="AQ1135" s="8"/>
      <c r="AR1135" s="8"/>
      <c r="AS1135" s="8"/>
    </row>
    <row r="1136" spans="1:45">
      <c r="A1136" s="19"/>
      <c r="B1136" s="19"/>
      <c r="C1136" s="19"/>
      <c r="E1136" s="9"/>
      <c r="F1136" s="9"/>
      <c r="AG1136" s="8"/>
      <c r="AH1136" s="8"/>
      <c r="AI1136" s="8"/>
      <c r="AJ1136" s="8"/>
      <c r="AK1136" s="8"/>
      <c r="AL1136" s="8"/>
      <c r="AN1136" s="8"/>
      <c r="AO1136" s="8"/>
      <c r="AP1136" s="8"/>
      <c r="AQ1136" s="8"/>
      <c r="AR1136" s="8"/>
      <c r="AS1136" s="8"/>
    </row>
    <row r="1137" spans="1:45">
      <c r="A1137" s="19"/>
      <c r="B1137" s="19"/>
      <c r="C1137" s="19"/>
      <c r="E1137" s="9"/>
      <c r="F1137" s="9"/>
      <c r="AG1137" s="8"/>
      <c r="AH1137" s="8"/>
      <c r="AI1137" s="8"/>
      <c r="AJ1137" s="8"/>
      <c r="AK1137" s="8"/>
      <c r="AL1137" s="8"/>
      <c r="AN1137" s="8"/>
      <c r="AO1137" s="8"/>
      <c r="AP1137" s="8"/>
      <c r="AQ1137" s="8"/>
      <c r="AR1137" s="8"/>
      <c r="AS1137" s="8"/>
    </row>
    <row r="1138" spans="1:45">
      <c r="A1138" s="19"/>
      <c r="B1138" s="19"/>
      <c r="C1138" s="19"/>
      <c r="E1138" s="9"/>
      <c r="F1138" s="9"/>
      <c r="AG1138" s="8"/>
      <c r="AH1138" s="8"/>
      <c r="AI1138" s="8"/>
      <c r="AJ1138" s="8"/>
      <c r="AK1138" s="8"/>
      <c r="AL1138" s="8"/>
      <c r="AN1138" s="8"/>
      <c r="AO1138" s="8"/>
      <c r="AP1138" s="8"/>
      <c r="AQ1138" s="8"/>
      <c r="AR1138" s="8"/>
      <c r="AS1138" s="8"/>
    </row>
    <row r="1139" spans="1:45">
      <c r="A1139" s="19"/>
      <c r="B1139" s="19"/>
      <c r="C1139" s="19"/>
      <c r="E1139" s="9"/>
      <c r="F1139" s="9"/>
      <c r="AG1139" s="8"/>
      <c r="AH1139" s="8"/>
      <c r="AI1139" s="8"/>
      <c r="AJ1139" s="8"/>
      <c r="AK1139" s="8"/>
      <c r="AL1139" s="8"/>
      <c r="AN1139" s="8"/>
      <c r="AO1139" s="8"/>
      <c r="AP1139" s="8"/>
      <c r="AQ1139" s="8"/>
      <c r="AR1139" s="8"/>
      <c r="AS1139" s="8"/>
    </row>
    <row r="1140" spans="1:45">
      <c r="A1140" s="19"/>
      <c r="B1140" s="19"/>
      <c r="C1140" s="19"/>
      <c r="E1140" s="9"/>
      <c r="F1140" s="9"/>
      <c r="AG1140" s="8"/>
      <c r="AH1140" s="8"/>
      <c r="AI1140" s="8"/>
      <c r="AJ1140" s="8"/>
      <c r="AK1140" s="8"/>
      <c r="AL1140" s="8"/>
      <c r="AN1140" s="8"/>
      <c r="AO1140" s="8"/>
      <c r="AP1140" s="8"/>
      <c r="AQ1140" s="8"/>
      <c r="AR1140" s="8"/>
      <c r="AS1140" s="8"/>
    </row>
    <row r="1141" spans="1:45">
      <c r="A1141" s="19"/>
      <c r="B1141" s="19"/>
      <c r="C1141" s="19"/>
      <c r="E1141" s="9"/>
      <c r="F1141" s="9"/>
      <c r="AG1141" s="8"/>
      <c r="AH1141" s="8"/>
      <c r="AI1141" s="8"/>
      <c r="AJ1141" s="8"/>
      <c r="AK1141" s="8"/>
      <c r="AL1141" s="8"/>
      <c r="AN1141" s="8"/>
      <c r="AO1141" s="8"/>
      <c r="AP1141" s="8"/>
      <c r="AQ1141" s="8"/>
      <c r="AR1141" s="8"/>
      <c r="AS1141" s="8"/>
    </row>
    <row r="1142" spans="1:45">
      <c r="A1142" s="19"/>
      <c r="B1142" s="19"/>
      <c r="C1142" s="19"/>
      <c r="E1142" s="9"/>
      <c r="F1142" s="9"/>
      <c r="AG1142" s="8"/>
      <c r="AH1142" s="8"/>
      <c r="AI1142" s="8"/>
      <c r="AJ1142" s="8"/>
      <c r="AK1142" s="8"/>
      <c r="AL1142" s="8"/>
      <c r="AN1142" s="8"/>
      <c r="AO1142" s="8"/>
      <c r="AP1142" s="8"/>
      <c r="AQ1142" s="8"/>
      <c r="AR1142" s="8"/>
      <c r="AS1142" s="8"/>
    </row>
    <row r="1143" spans="1:45">
      <c r="A1143" s="19"/>
      <c r="B1143" s="19"/>
      <c r="C1143" s="19"/>
      <c r="E1143" s="9"/>
      <c r="F1143" s="9"/>
      <c r="AG1143" s="8"/>
      <c r="AH1143" s="8"/>
      <c r="AI1143" s="8"/>
      <c r="AJ1143" s="8"/>
      <c r="AK1143" s="8"/>
      <c r="AL1143" s="8"/>
      <c r="AN1143" s="8"/>
      <c r="AO1143" s="8"/>
      <c r="AP1143" s="8"/>
      <c r="AQ1143" s="8"/>
      <c r="AR1143" s="8"/>
      <c r="AS1143" s="8"/>
    </row>
    <row r="1144" spans="1:45">
      <c r="A1144" s="19"/>
      <c r="B1144" s="19"/>
      <c r="C1144" s="19"/>
      <c r="E1144" s="9"/>
      <c r="F1144" s="9"/>
      <c r="AG1144" s="8"/>
      <c r="AH1144" s="8"/>
      <c r="AI1144" s="8"/>
      <c r="AJ1144" s="8"/>
      <c r="AK1144" s="8"/>
      <c r="AL1144" s="8"/>
      <c r="AN1144" s="8"/>
      <c r="AO1144" s="8"/>
      <c r="AP1144" s="8"/>
      <c r="AQ1144" s="8"/>
      <c r="AR1144" s="8"/>
      <c r="AS1144" s="8"/>
    </row>
    <row r="1145" spans="1:45">
      <c r="A1145" s="19"/>
      <c r="B1145" s="19"/>
      <c r="C1145" s="19"/>
      <c r="E1145" s="9"/>
      <c r="F1145" s="9"/>
      <c r="AG1145" s="8"/>
      <c r="AH1145" s="8"/>
      <c r="AI1145" s="8"/>
      <c r="AJ1145" s="8"/>
      <c r="AK1145" s="8"/>
      <c r="AL1145" s="8"/>
      <c r="AN1145" s="8"/>
      <c r="AO1145" s="8"/>
      <c r="AP1145" s="8"/>
      <c r="AQ1145" s="8"/>
      <c r="AR1145" s="8"/>
      <c r="AS1145" s="8"/>
    </row>
    <row r="1146" spans="1:45">
      <c r="A1146" s="19"/>
      <c r="B1146" s="19"/>
      <c r="C1146" s="19"/>
      <c r="E1146" s="9"/>
      <c r="F1146" s="9"/>
      <c r="AG1146" s="8"/>
      <c r="AH1146" s="8"/>
      <c r="AI1146" s="8"/>
      <c r="AJ1146" s="8"/>
      <c r="AK1146" s="8"/>
      <c r="AL1146" s="8"/>
      <c r="AN1146" s="8"/>
      <c r="AO1146" s="8"/>
      <c r="AP1146" s="8"/>
      <c r="AQ1146" s="8"/>
      <c r="AR1146" s="8"/>
      <c r="AS1146" s="8"/>
    </row>
    <row r="1147" spans="1:45">
      <c r="A1147" s="19"/>
      <c r="B1147" s="19"/>
      <c r="C1147" s="19"/>
      <c r="E1147" s="9"/>
      <c r="F1147" s="9"/>
      <c r="AG1147" s="8"/>
      <c r="AH1147" s="8"/>
      <c r="AI1147" s="8"/>
      <c r="AJ1147" s="8"/>
      <c r="AK1147" s="8"/>
      <c r="AL1147" s="8"/>
      <c r="AN1147" s="8"/>
      <c r="AO1147" s="8"/>
      <c r="AP1147" s="8"/>
      <c r="AQ1147" s="8"/>
      <c r="AR1147" s="8"/>
      <c r="AS1147" s="8"/>
    </row>
    <row r="1148" spans="1:45">
      <c r="A1148" s="19"/>
      <c r="B1148" s="19"/>
      <c r="C1148" s="19"/>
      <c r="E1148" s="9"/>
      <c r="F1148" s="9"/>
      <c r="AG1148" s="8"/>
      <c r="AH1148" s="8"/>
      <c r="AI1148" s="8"/>
      <c r="AJ1148" s="8"/>
      <c r="AK1148" s="8"/>
      <c r="AL1148" s="8"/>
      <c r="AN1148" s="8"/>
      <c r="AO1148" s="8"/>
      <c r="AP1148" s="8"/>
      <c r="AQ1148" s="8"/>
      <c r="AR1148" s="8"/>
      <c r="AS1148" s="8"/>
    </row>
    <row r="1149" spans="1:45">
      <c r="A1149" s="19"/>
      <c r="B1149" s="19"/>
      <c r="C1149" s="19"/>
      <c r="E1149" s="9"/>
      <c r="F1149" s="9"/>
      <c r="AG1149" s="8"/>
      <c r="AH1149" s="8"/>
      <c r="AI1149" s="8"/>
      <c r="AJ1149" s="8"/>
      <c r="AK1149" s="8"/>
      <c r="AL1149" s="8"/>
      <c r="AN1149" s="8"/>
      <c r="AO1149" s="8"/>
      <c r="AP1149" s="8"/>
      <c r="AQ1149" s="8"/>
      <c r="AR1149" s="8"/>
      <c r="AS1149" s="8"/>
    </row>
    <row r="1150" spans="1:45">
      <c r="A1150" s="19"/>
      <c r="B1150" s="19"/>
      <c r="C1150" s="19"/>
      <c r="E1150" s="9"/>
      <c r="F1150" s="9"/>
      <c r="AG1150" s="8"/>
      <c r="AH1150" s="8"/>
      <c r="AI1150" s="8"/>
      <c r="AJ1150" s="8"/>
      <c r="AK1150" s="8"/>
      <c r="AL1150" s="8"/>
      <c r="AN1150" s="8"/>
      <c r="AO1150" s="8"/>
      <c r="AP1150" s="8"/>
      <c r="AQ1150" s="8"/>
      <c r="AR1150" s="8"/>
      <c r="AS1150" s="8"/>
    </row>
    <row r="1151" spans="1:45">
      <c r="A1151" s="19"/>
      <c r="B1151" s="19"/>
      <c r="C1151" s="19"/>
      <c r="E1151" s="9"/>
      <c r="F1151" s="9"/>
      <c r="AG1151" s="8"/>
      <c r="AH1151" s="8"/>
      <c r="AI1151" s="8"/>
      <c r="AJ1151" s="8"/>
      <c r="AK1151" s="8"/>
      <c r="AL1151" s="8"/>
      <c r="AN1151" s="8"/>
      <c r="AO1151" s="8"/>
      <c r="AP1151" s="8"/>
      <c r="AQ1151" s="8"/>
      <c r="AR1151" s="8"/>
      <c r="AS1151" s="8"/>
    </row>
    <row r="1152" spans="1:45">
      <c r="A1152" s="19"/>
      <c r="B1152" s="19"/>
      <c r="C1152" s="19"/>
      <c r="E1152" s="9"/>
      <c r="F1152" s="9"/>
      <c r="AG1152" s="8"/>
      <c r="AH1152" s="8"/>
      <c r="AI1152" s="8"/>
      <c r="AJ1152" s="8"/>
      <c r="AK1152" s="8"/>
      <c r="AL1152" s="8"/>
      <c r="AN1152" s="8"/>
      <c r="AO1152" s="8"/>
      <c r="AP1152" s="8"/>
      <c r="AQ1152" s="8"/>
      <c r="AR1152" s="8"/>
      <c r="AS1152" s="8"/>
    </row>
    <row r="1153" spans="1:45">
      <c r="A1153" s="19"/>
      <c r="B1153" s="19"/>
      <c r="C1153" s="19"/>
      <c r="E1153" s="9"/>
      <c r="F1153" s="9"/>
      <c r="AG1153" s="8"/>
      <c r="AH1153" s="8"/>
      <c r="AI1153" s="8"/>
      <c r="AJ1153" s="8"/>
      <c r="AK1153" s="8"/>
      <c r="AL1153" s="8"/>
      <c r="AN1153" s="8"/>
      <c r="AO1153" s="8"/>
      <c r="AP1153" s="8"/>
      <c r="AQ1153" s="8"/>
      <c r="AR1153" s="8"/>
      <c r="AS1153" s="8"/>
    </row>
    <row r="1154" spans="1:45">
      <c r="A1154" s="19"/>
      <c r="B1154" s="19"/>
      <c r="C1154" s="19"/>
      <c r="E1154" s="9"/>
      <c r="F1154" s="9"/>
      <c r="AG1154" s="8"/>
      <c r="AH1154" s="8"/>
      <c r="AI1154" s="8"/>
      <c r="AJ1154" s="8"/>
      <c r="AK1154" s="8"/>
      <c r="AL1154" s="8"/>
      <c r="AN1154" s="8"/>
      <c r="AO1154" s="8"/>
      <c r="AP1154" s="8"/>
      <c r="AQ1154" s="8"/>
      <c r="AR1154" s="8"/>
      <c r="AS1154" s="8"/>
    </row>
    <row r="1155" spans="1:45">
      <c r="A1155" s="19"/>
      <c r="B1155" s="19"/>
      <c r="C1155" s="19"/>
      <c r="E1155" s="9"/>
      <c r="F1155" s="9"/>
      <c r="AG1155" s="8"/>
      <c r="AH1155" s="8"/>
      <c r="AI1155" s="8"/>
      <c r="AJ1155" s="8"/>
      <c r="AK1155" s="8"/>
      <c r="AL1155" s="8"/>
      <c r="AN1155" s="8"/>
      <c r="AO1155" s="8"/>
      <c r="AP1155" s="8"/>
      <c r="AQ1155" s="8"/>
      <c r="AR1155" s="8"/>
      <c r="AS1155" s="8"/>
    </row>
    <row r="1156" spans="1:45">
      <c r="A1156" s="19"/>
      <c r="B1156" s="19"/>
      <c r="C1156" s="19"/>
      <c r="E1156" s="9"/>
      <c r="F1156" s="9"/>
      <c r="AG1156" s="8"/>
      <c r="AH1156" s="8"/>
      <c r="AI1156" s="8"/>
      <c r="AJ1156" s="8"/>
      <c r="AK1156" s="8"/>
      <c r="AL1156" s="8"/>
      <c r="AN1156" s="8"/>
      <c r="AO1156" s="8"/>
      <c r="AP1156" s="8"/>
      <c r="AQ1156" s="8"/>
      <c r="AR1156" s="8"/>
      <c r="AS1156" s="8"/>
    </row>
    <row r="1157" spans="1:45">
      <c r="A1157" s="19"/>
      <c r="B1157" s="19"/>
      <c r="C1157" s="19"/>
      <c r="E1157" s="9"/>
      <c r="F1157" s="9"/>
      <c r="AG1157" s="8"/>
      <c r="AH1157" s="8"/>
      <c r="AI1157" s="8"/>
      <c r="AJ1157" s="8"/>
      <c r="AK1157" s="8"/>
      <c r="AL1157" s="8"/>
      <c r="AN1157" s="8"/>
      <c r="AO1157" s="8"/>
      <c r="AP1157" s="8"/>
      <c r="AQ1157" s="8"/>
      <c r="AR1157" s="8"/>
      <c r="AS1157" s="8"/>
    </row>
    <row r="1158" spans="1:45">
      <c r="A1158" s="19"/>
      <c r="B1158" s="19"/>
      <c r="C1158" s="19"/>
      <c r="E1158" s="9"/>
      <c r="F1158" s="9"/>
      <c r="AG1158" s="8"/>
      <c r="AH1158" s="8"/>
      <c r="AI1158" s="8"/>
      <c r="AJ1158" s="8"/>
      <c r="AK1158" s="8"/>
      <c r="AL1158" s="8"/>
      <c r="AN1158" s="8"/>
      <c r="AO1158" s="8"/>
      <c r="AP1158" s="8"/>
      <c r="AQ1158" s="8"/>
      <c r="AR1158" s="8"/>
      <c r="AS1158" s="8"/>
    </row>
    <row r="1159" spans="1:45">
      <c r="A1159" s="19"/>
      <c r="B1159" s="19"/>
      <c r="C1159" s="19"/>
      <c r="E1159" s="9"/>
      <c r="F1159" s="9"/>
      <c r="AG1159" s="8"/>
      <c r="AH1159" s="8"/>
      <c r="AI1159" s="8"/>
      <c r="AJ1159" s="8"/>
      <c r="AK1159" s="8"/>
      <c r="AL1159" s="8"/>
      <c r="AN1159" s="8"/>
      <c r="AO1159" s="8"/>
      <c r="AP1159" s="8"/>
      <c r="AQ1159" s="8"/>
      <c r="AR1159" s="8"/>
      <c r="AS1159" s="8"/>
    </row>
    <row r="1160" spans="1:45">
      <c r="A1160" s="19"/>
      <c r="B1160" s="19"/>
      <c r="C1160" s="19"/>
      <c r="E1160" s="9"/>
      <c r="F1160" s="9"/>
      <c r="AG1160" s="8"/>
      <c r="AH1160" s="8"/>
      <c r="AI1160" s="8"/>
      <c r="AJ1160" s="8"/>
      <c r="AK1160" s="8"/>
      <c r="AL1160" s="8"/>
      <c r="AN1160" s="8"/>
      <c r="AO1160" s="8"/>
      <c r="AP1160" s="8"/>
      <c r="AQ1160" s="8"/>
      <c r="AR1160" s="8"/>
      <c r="AS1160" s="8"/>
    </row>
    <row r="1161" spans="1:45">
      <c r="A1161" s="19"/>
      <c r="B1161" s="19"/>
      <c r="C1161" s="19"/>
      <c r="E1161" s="9"/>
      <c r="F1161" s="9"/>
      <c r="AG1161" s="8"/>
      <c r="AH1161" s="8"/>
      <c r="AI1161" s="8"/>
      <c r="AJ1161" s="8"/>
      <c r="AK1161" s="8"/>
      <c r="AL1161" s="8"/>
      <c r="AN1161" s="8"/>
      <c r="AO1161" s="8"/>
      <c r="AP1161" s="8"/>
      <c r="AQ1161" s="8"/>
      <c r="AR1161" s="8"/>
      <c r="AS1161" s="8"/>
    </row>
    <row r="1162" spans="1:45">
      <c r="A1162" s="19"/>
      <c r="B1162" s="19"/>
      <c r="C1162" s="19"/>
      <c r="E1162" s="9"/>
      <c r="F1162" s="9"/>
      <c r="AG1162" s="8"/>
      <c r="AH1162" s="8"/>
      <c r="AI1162" s="8"/>
      <c r="AJ1162" s="8"/>
      <c r="AK1162" s="8"/>
      <c r="AL1162" s="8"/>
      <c r="AN1162" s="8"/>
      <c r="AO1162" s="8"/>
      <c r="AP1162" s="8"/>
      <c r="AQ1162" s="8"/>
      <c r="AR1162" s="8"/>
      <c r="AS1162" s="8"/>
    </row>
    <row r="1163" spans="1:45">
      <c r="A1163" s="19"/>
      <c r="B1163" s="19"/>
      <c r="C1163" s="19"/>
      <c r="E1163" s="9"/>
      <c r="F1163" s="9"/>
      <c r="AG1163" s="8"/>
      <c r="AH1163" s="8"/>
      <c r="AI1163" s="8"/>
      <c r="AJ1163" s="8"/>
      <c r="AK1163" s="8"/>
      <c r="AL1163" s="8"/>
      <c r="AN1163" s="8"/>
      <c r="AO1163" s="8"/>
      <c r="AP1163" s="8"/>
      <c r="AQ1163" s="8"/>
      <c r="AR1163" s="8"/>
      <c r="AS1163" s="8"/>
    </row>
    <row r="1164" spans="1:45">
      <c r="A1164" s="19"/>
      <c r="B1164" s="19"/>
      <c r="C1164" s="19"/>
      <c r="E1164" s="9"/>
      <c r="F1164" s="9"/>
      <c r="AG1164" s="8"/>
      <c r="AH1164" s="8"/>
      <c r="AI1164" s="8"/>
      <c r="AJ1164" s="8"/>
      <c r="AK1164" s="8"/>
      <c r="AL1164" s="8"/>
      <c r="AN1164" s="8"/>
      <c r="AO1164" s="8"/>
      <c r="AP1164" s="8"/>
      <c r="AQ1164" s="8"/>
      <c r="AR1164" s="8"/>
      <c r="AS1164" s="8"/>
    </row>
    <row r="1165" spans="1:45">
      <c r="A1165" s="19"/>
      <c r="B1165" s="19"/>
      <c r="C1165" s="19"/>
      <c r="E1165" s="9"/>
      <c r="F1165" s="9"/>
      <c r="AG1165" s="8"/>
      <c r="AH1165" s="8"/>
      <c r="AI1165" s="8"/>
      <c r="AJ1165" s="8"/>
      <c r="AK1165" s="8"/>
      <c r="AL1165" s="8"/>
      <c r="AN1165" s="8"/>
      <c r="AO1165" s="8"/>
      <c r="AP1165" s="8"/>
      <c r="AQ1165" s="8"/>
      <c r="AR1165" s="8"/>
      <c r="AS1165" s="8"/>
    </row>
    <row r="1166" spans="1:45">
      <c r="A1166" s="19"/>
      <c r="B1166" s="19"/>
      <c r="C1166" s="19"/>
      <c r="E1166" s="9"/>
      <c r="F1166" s="9"/>
      <c r="AG1166" s="8"/>
      <c r="AH1166" s="8"/>
      <c r="AI1166" s="8"/>
      <c r="AJ1166" s="8"/>
      <c r="AK1166" s="8"/>
      <c r="AL1166" s="8"/>
      <c r="AN1166" s="8"/>
      <c r="AO1166" s="8"/>
      <c r="AP1166" s="8"/>
      <c r="AQ1166" s="8"/>
      <c r="AR1166" s="8"/>
      <c r="AS1166" s="8"/>
    </row>
    <row r="1167" spans="1:45">
      <c r="A1167" s="19"/>
      <c r="B1167" s="19"/>
      <c r="C1167" s="19"/>
      <c r="E1167" s="9"/>
      <c r="F1167" s="9"/>
      <c r="AG1167" s="8"/>
      <c r="AH1167" s="8"/>
      <c r="AI1167" s="8"/>
      <c r="AJ1167" s="8"/>
      <c r="AK1167" s="8"/>
      <c r="AL1167" s="8"/>
      <c r="AN1167" s="8"/>
      <c r="AO1167" s="8"/>
      <c r="AP1167" s="8"/>
      <c r="AQ1167" s="8"/>
      <c r="AR1167" s="8"/>
      <c r="AS1167" s="8"/>
    </row>
    <row r="1168" spans="1:45">
      <c r="A1168" s="19"/>
      <c r="B1168" s="19"/>
      <c r="C1168" s="19"/>
      <c r="E1168" s="9"/>
      <c r="F1168" s="9"/>
      <c r="AG1168" s="8"/>
      <c r="AH1168" s="8"/>
      <c r="AI1168" s="8"/>
      <c r="AJ1168" s="8"/>
      <c r="AK1168" s="8"/>
      <c r="AL1168" s="8"/>
      <c r="AN1168" s="8"/>
      <c r="AO1168" s="8"/>
      <c r="AP1168" s="8"/>
      <c r="AQ1168" s="8"/>
      <c r="AR1168" s="8"/>
      <c r="AS1168" s="8"/>
    </row>
    <row r="1169" spans="1:45">
      <c r="A1169" s="19"/>
      <c r="B1169" s="19"/>
      <c r="C1169" s="19"/>
      <c r="E1169" s="9"/>
      <c r="F1169" s="9"/>
      <c r="AG1169" s="8"/>
      <c r="AH1169" s="8"/>
      <c r="AI1169" s="8"/>
      <c r="AJ1169" s="8"/>
      <c r="AK1169" s="8"/>
      <c r="AL1169" s="8"/>
      <c r="AN1169" s="8"/>
      <c r="AO1169" s="8"/>
      <c r="AP1169" s="8"/>
      <c r="AQ1169" s="8"/>
      <c r="AR1169" s="8"/>
      <c r="AS1169" s="8"/>
    </row>
    <row r="1170" spans="1:45">
      <c r="A1170" s="19"/>
      <c r="B1170" s="19"/>
      <c r="C1170" s="19"/>
      <c r="E1170" s="9"/>
      <c r="F1170" s="9"/>
      <c r="AG1170" s="8"/>
      <c r="AH1170" s="8"/>
      <c r="AI1170" s="8"/>
      <c r="AJ1170" s="8"/>
      <c r="AK1170" s="8"/>
      <c r="AL1170" s="8"/>
      <c r="AN1170" s="8"/>
      <c r="AO1170" s="8"/>
      <c r="AP1170" s="8"/>
      <c r="AQ1170" s="8"/>
      <c r="AR1170" s="8"/>
      <c r="AS1170" s="8"/>
    </row>
    <row r="1171" spans="1:45">
      <c r="A1171" s="19"/>
      <c r="B1171" s="19"/>
      <c r="C1171" s="19"/>
      <c r="E1171" s="9"/>
      <c r="F1171" s="9"/>
      <c r="AG1171" s="8"/>
      <c r="AH1171" s="8"/>
      <c r="AI1171" s="8"/>
      <c r="AJ1171" s="8"/>
      <c r="AK1171" s="8"/>
      <c r="AL1171" s="8"/>
      <c r="AN1171" s="8"/>
      <c r="AO1171" s="8"/>
      <c r="AP1171" s="8"/>
      <c r="AQ1171" s="8"/>
      <c r="AR1171" s="8"/>
      <c r="AS1171" s="8"/>
    </row>
    <row r="1172" spans="1:45">
      <c r="A1172" s="19"/>
      <c r="B1172" s="19"/>
      <c r="C1172" s="19"/>
      <c r="E1172" s="9"/>
      <c r="F1172" s="9"/>
      <c r="AG1172" s="8"/>
      <c r="AH1172" s="8"/>
      <c r="AI1172" s="8"/>
      <c r="AJ1172" s="8"/>
      <c r="AK1172" s="8"/>
      <c r="AL1172" s="8"/>
      <c r="AN1172" s="8"/>
      <c r="AO1172" s="8"/>
      <c r="AP1172" s="8"/>
      <c r="AQ1172" s="8"/>
      <c r="AR1172" s="8"/>
      <c r="AS1172" s="8"/>
    </row>
    <row r="1173" spans="1:45">
      <c r="A1173" s="19"/>
      <c r="B1173" s="19"/>
      <c r="C1173" s="19"/>
      <c r="E1173" s="9"/>
      <c r="F1173" s="9"/>
      <c r="AG1173" s="8"/>
      <c r="AH1173" s="8"/>
      <c r="AI1173" s="8"/>
      <c r="AJ1173" s="8"/>
      <c r="AK1173" s="8"/>
      <c r="AL1173" s="8"/>
      <c r="AN1173" s="8"/>
      <c r="AO1173" s="8"/>
      <c r="AP1173" s="8"/>
      <c r="AQ1173" s="8"/>
      <c r="AR1173" s="8"/>
      <c r="AS1173" s="8"/>
    </row>
    <row r="1174" spans="1:45">
      <c r="A1174" s="19"/>
      <c r="B1174" s="19"/>
      <c r="C1174" s="19"/>
      <c r="E1174" s="9"/>
      <c r="F1174" s="9"/>
      <c r="AG1174" s="8"/>
      <c r="AH1174" s="8"/>
      <c r="AI1174" s="8"/>
      <c r="AJ1174" s="8"/>
      <c r="AK1174" s="8"/>
      <c r="AL1174" s="8"/>
      <c r="AN1174" s="8"/>
      <c r="AO1174" s="8"/>
      <c r="AP1174" s="8"/>
      <c r="AQ1174" s="8"/>
      <c r="AR1174" s="8"/>
      <c r="AS1174" s="8"/>
    </row>
    <row r="1175" spans="1:45">
      <c r="A1175" s="19"/>
      <c r="B1175" s="19"/>
      <c r="C1175" s="19"/>
      <c r="E1175" s="9"/>
      <c r="F1175" s="9"/>
      <c r="AG1175" s="8"/>
      <c r="AH1175" s="8"/>
      <c r="AI1175" s="8"/>
      <c r="AJ1175" s="8"/>
      <c r="AK1175" s="8"/>
      <c r="AL1175" s="8"/>
      <c r="AN1175" s="8"/>
      <c r="AO1175" s="8"/>
      <c r="AP1175" s="8"/>
      <c r="AQ1175" s="8"/>
      <c r="AR1175" s="8"/>
      <c r="AS1175" s="8"/>
    </row>
    <row r="1176" spans="1:45">
      <c r="A1176" s="19"/>
      <c r="B1176" s="19"/>
      <c r="C1176" s="19"/>
      <c r="E1176" s="9"/>
      <c r="F1176" s="9"/>
      <c r="AG1176" s="8"/>
      <c r="AH1176" s="8"/>
      <c r="AI1176" s="8"/>
      <c r="AJ1176" s="8"/>
      <c r="AK1176" s="8"/>
      <c r="AL1176" s="8"/>
      <c r="AN1176" s="8"/>
      <c r="AO1176" s="8"/>
      <c r="AP1176" s="8"/>
      <c r="AQ1176" s="8"/>
      <c r="AR1176" s="8"/>
      <c r="AS1176" s="8"/>
    </row>
    <row r="1177" spans="1:45">
      <c r="A1177" s="19"/>
      <c r="B1177" s="19"/>
      <c r="C1177" s="19"/>
      <c r="E1177" s="9"/>
      <c r="F1177" s="9"/>
      <c r="AG1177" s="8"/>
      <c r="AH1177" s="8"/>
      <c r="AI1177" s="8"/>
      <c r="AJ1177" s="8"/>
      <c r="AK1177" s="8"/>
      <c r="AL1177" s="8"/>
      <c r="AN1177" s="8"/>
      <c r="AO1177" s="8"/>
      <c r="AP1177" s="8"/>
      <c r="AQ1177" s="8"/>
      <c r="AR1177" s="8"/>
      <c r="AS1177" s="8"/>
    </row>
    <row r="1178" spans="1:45">
      <c r="A1178" s="19"/>
      <c r="B1178" s="19"/>
      <c r="C1178" s="19"/>
      <c r="E1178" s="9"/>
      <c r="F1178" s="9"/>
      <c r="AG1178" s="8"/>
      <c r="AH1178" s="8"/>
      <c r="AI1178" s="8"/>
      <c r="AJ1178" s="8"/>
      <c r="AK1178" s="8"/>
      <c r="AL1178" s="8"/>
      <c r="AN1178" s="8"/>
      <c r="AO1178" s="8"/>
      <c r="AP1178" s="8"/>
      <c r="AQ1178" s="8"/>
      <c r="AR1178" s="8"/>
      <c r="AS1178" s="8"/>
    </row>
    <row r="1179" spans="1:45">
      <c r="A1179" s="19"/>
      <c r="B1179" s="19"/>
      <c r="C1179" s="19"/>
      <c r="E1179" s="9"/>
      <c r="F1179" s="9"/>
      <c r="AG1179" s="8"/>
      <c r="AH1179" s="8"/>
      <c r="AI1179" s="8"/>
      <c r="AJ1179" s="8"/>
      <c r="AK1179" s="8"/>
      <c r="AL1179" s="8"/>
      <c r="AN1179" s="8"/>
      <c r="AO1179" s="8"/>
      <c r="AP1179" s="8"/>
      <c r="AQ1179" s="8"/>
      <c r="AR1179" s="8"/>
      <c r="AS1179" s="8"/>
    </row>
    <row r="1180" spans="1:45">
      <c r="A1180" s="19"/>
      <c r="B1180" s="19"/>
      <c r="C1180" s="19"/>
      <c r="E1180" s="9"/>
      <c r="F1180" s="9"/>
      <c r="AG1180" s="8"/>
      <c r="AH1180" s="8"/>
      <c r="AI1180" s="8"/>
      <c r="AJ1180" s="8"/>
      <c r="AK1180" s="8"/>
      <c r="AL1180" s="8"/>
      <c r="AN1180" s="8"/>
      <c r="AO1180" s="8"/>
      <c r="AP1180" s="8"/>
      <c r="AQ1180" s="8"/>
      <c r="AR1180" s="8"/>
      <c r="AS1180" s="8"/>
    </row>
    <row r="1181" spans="1:45">
      <c r="A1181" s="19"/>
      <c r="B1181" s="19"/>
      <c r="C1181" s="19"/>
      <c r="E1181" s="9"/>
      <c r="F1181" s="9"/>
      <c r="AG1181" s="8"/>
      <c r="AH1181" s="8"/>
      <c r="AI1181" s="8"/>
      <c r="AJ1181" s="8"/>
      <c r="AK1181" s="8"/>
      <c r="AL1181" s="8"/>
      <c r="AN1181" s="8"/>
      <c r="AO1181" s="8"/>
      <c r="AP1181" s="8"/>
      <c r="AQ1181" s="8"/>
      <c r="AR1181" s="8"/>
      <c r="AS1181" s="8"/>
    </row>
    <row r="1182" spans="1:45">
      <c r="A1182" s="19"/>
      <c r="B1182" s="19"/>
      <c r="C1182" s="19"/>
      <c r="E1182" s="9"/>
      <c r="F1182" s="9"/>
      <c r="AG1182" s="8"/>
      <c r="AH1182" s="8"/>
      <c r="AI1182" s="8"/>
      <c r="AJ1182" s="8"/>
      <c r="AK1182" s="8"/>
      <c r="AL1182" s="8"/>
      <c r="AN1182" s="8"/>
      <c r="AO1182" s="8"/>
      <c r="AP1182" s="8"/>
      <c r="AQ1182" s="8"/>
      <c r="AR1182" s="8"/>
      <c r="AS1182" s="8"/>
    </row>
    <row r="1183" spans="1:45">
      <c r="A1183" s="19"/>
      <c r="B1183" s="19"/>
      <c r="C1183" s="19"/>
      <c r="E1183" s="9"/>
      <c r="F1183" s="9"/>
      <c r="AG1183" s="8"/>
      <c r="AH1183" s="8"/>
      <c r="AI1183" s="8"/>
      <c r="AJ1183" s="8"/>
      <c r="AK1183" s="8"/>
      <c r="AL1183" s="8"/>
      <c r="AN1183" s="8"/>
      <c r="AO1183" s="8"/>
      <c r="AP1183" s="8"/>
      <c r="AQ1183" s="8"/>
      <c r="AR1183" s="8"/>
      <c r="AS1183" s="8"/>
    </row>
    <row r="1184" spans="1:45">
      <c r="A1184" s="19"/>
      <c r="B1184" s="19"/>
      <c r="C1184" s="19"/>
      <c r="E1184" s="9"/>
      <c r="F1184" s="9"/>
      <c r="AG1184" s="8"/>
      <c r="AH1184" s="8"/>
      <c r="AI1184" s="8"/>
      <c r="AJ1184" s="8"/>
      <c r="AK1184" s="8"/>
      <c r="AL1184" s="8"/>
      <c r="AN1184" s="8"/>
      <c r="AO1184" s="8"/>
      <c r="AP1184" s="8"/>
      <c r="AQ1184" s="8"/>
      <c r="AR1184" s="8"/>
      <c r="AS1184" s="8"/>
    </row>
    <row r="1185" spans="1:45">
      <c r="A1185" s="19"/>
      <c r="B1185" s="19"/>
      <c r="C1185" s="19"/>
      <c r="E1185" s="9"/>
      <c r="F1185" s="9"/>
      <c r="AG1185" s="8"/>
      <c r="AH1185" s="8"/>
      <c r="AI1185" s="8"/>
      <c r="AJ1185" s="8"/>
      <c r="AK1185" s="8"/>
      <c r="AL1185" s="8"/>
      <c r="AN1185" s="8"/>
      <c r="AO1185" s="8"/>
      <c r="AP1185" s="8"/>
      <c r="AQ1185" s="8"/>
      <c r="AR1185" s="8"/>
      <c r="AS1185" s="8"/>
    </row>
    <row r="1186" spans="1:45">
      <c r="A1186" s="19"/>
      <c r="B1186" s="19"/>
      <c r="C1186" s="19"/>
      <c r="E1186" s="9"/>
      <c r="F1186" s="9"/>
      <c r="AG1186" s="8"/>
      <c r="AH1186" s="8"/>
      <c r="AI1186" s="8"/>
      <c r="AJ1186" s="8"/>
      <c r="AK1186" s="8"/>
      <c r="AL1186" s="8"/>
      <c r="AN1186" s="8"/>
      <c r="AO1186" s="8"/>
      <c r="AP1186" s="8"/>
      <c r="AQ1186" s="8"/>
      <c r="AR1186" s="8"/>
      <c r="AS1186" s="8"/>
    </row>
    <row r="1187" spans="1:45">
      <c r="A1187" s="19"/>
      <c r="B1187" s="19"/>
      <c r="C1187" s="19"/>
      <c r="E1187" s="9"/>
      <c r="F1187" s="9"/>
      <c r="AG1187" s="8"/>
      <c r="AH1187" s="8"/>
      <c r="AI1187" s="8"/>
      <c r="AJ1187" s="8"/>
      <c r="AK1187" s="8"/>
      <c r="AL1187" s="8"/>
      <c r="AN1187" s="8"/>
      <c r="AO1187" s="8"/>
      <c r="AP1187" s="8"/>
      <c r="AQ1187" s="8"/>
      <c r="AR1187" s="8"/>
      <c r="AS1187" s="8"/>
    </row>
    <row r="1188" spans="1:45">
      <c r="A1188" s="19"/>
      <c r="B1188" s="19"/>
      <c r="C1188" s="19"/>
      <c r="E1188" s="9"/>
      <c r="F1188" s="9"/>
      <c r="AG1188" s="8"/>
      <c r="AH1188" s="8"/>
      <c r="AI1188" s="8"/>
      <c r="AJ1188" s="8"/>
      <c r="AK1188" s="8"/>
      <c r="AL1188" s="8"/>
      <c r="AN1188" s="8"/>
      <c r="AO1188" s="8"/>
      <c r="AP1188" s="8"/>
      <c r="AQ1188" s="8"/>
      <c r="AR1188" s="8"/>
      <c r="AS1188" s="8"/>
    </row>
    <row r="1189" spans="1:45">
      <c r="A1189" s="19"/>
      <c r="B1189" s="19"/>
      <c r="C1189" s="19"/>
      <c r="E1189" s="9"/>
      <c r="F1189" s="9"/>
      <c r="AG1189" s="8"/>
      <c r="AH1189" s="8"/>
      <c r="AI1189" s="8"/>
      <c r="AJ1189" s="8"/>
      <c r="AK1189" s="8"/>
      <c r="AL1189" s="8"/>
      <c r="AN1189" s="8"/>
      <c r="AO1189" s="8"/>
      <c r="AP1189" s="8"/>
      <c r="AQ1189" s="8"/>
      <c r="AR1189" s="8"/>
      <c r="AS1189" s="8"/>
    </row>
    <row r="1190" spans="1:45">
      <c r="A1190" s="19"/>
      <c r="B1190" s="19"/>
      <c r="C1190" s="19"/>
      <c r="E1190" s="9"/>
      <c r="F1190" s="9"/>
      <c r="AG1190" s="8"/>
      <c r="AH1190" s="8"/>
      <c r="AI1190" s="8"/>
      <c r="AJ1190" s="8"/>
      <c r="AK1190" s="8"/>
      <c r="AL1190" s="8"/>
      <c r="AN1190" s="8"/>
      <c r="AO1190" s="8"/>
      <c r="AP1190" s="8"/>
      <c r="AQ1190" s="8"/>
      <c r="AR1190" s="8"/>
      <c r="AS1190" s="8"/>
    </row>
    <row r="1191" spans="1:45">
      <c r="A1191" s="19"/>
      <c r="B1191" s="19"/>
      <c r="C1191" s="19"/>
      <c r="E1191" s="9"/>
      <c r="F1191" s="9"/>
      <c r="AG1191" s="8"/>
      <c r="AH1191" s="8"/>
      <c r="AI1191" s="8"/>
      <c r="AJ1191" s="8"/>
      <c r="AK1191" s="8"/>
      <c r="AL1191" s="8"/>
      <c r="AN1191" s="8"/>
      <c r="AO1191" s="8"/>
      <c r="AP1191" s="8"/>
      <c r="AQ1191" s="8"/>
      <c r="AR1191" s="8"/>
      <c r="AS1191" s="8"/>
    </row>
    <row r="1192" spans="1:45">
      <c r="A1192" s="19"/>
      <c r="B1192" s="19"/>
      <c r="C1192" s="19"/>
      <c r="E1192" s="9"/>
      <c r="F1192" s="9"/>
      <c r="AG1192" s="8"/>
      <c r="AH1192" s="8"/>
      <c r="AI1192" s="8"/>
      <c r="AJ1192" s="8"/>
      <c r="AK1192" s="8"/>
      <c r="AL1192" s="8"/>
      <c r="AN1192" s="8"/>
      <c r="AO1192" s="8"/>
      <c r="AP1192" s="8"/>
      <c r="AQ1192" s="8"/>
      <c r="AR1192" s="8"/>
      <c r="AS1192" s="8"/>
    </row>
    <row r="1193" spans="1:45">
      <c r="A1193" s="19"/>
      <c r="B1193" s="19"/>
      <c r="C1193" s="19"/>
      <c r="E1193" s="9"/>
      <c r="F1193" s="9"/>
      <c r="AG1193" s="8"/>
      <c r="AH1193" s="8"/>
      <c r="AI1193" s="8"/>
      <c r="AJ1193" s="8"/>
      <c r="AK1193" s="8"/>
      <c r="AL1193" s="8"/>
      <c r="AN1193" s="8"/>
      <c r="AO1193" s="8"/>
      <c r="AP1193" s="8"/>
      <c r="AQ1193" s="8"/>
      <c r="AR1193" s="8"/>
      <c r="AS1193" s="8"/>
    </row>
    <row r="1194" spans="1:45">
      <c r="A1194" s="19"/>
      <c r="B1194" s="19"/>
      <c r="C1194" s="19"/>
      <c r="E1194" s="9"/>
      <c r="F1194" s="9"/>
      <c r="AG1194" s="8"/>
      <c r="AH1194" s="8"/>
      <c r="AI1194" s="8"/>
      <c r="AJ1194" s="8"/>
      <c r="AK1194" s="8"/>
      <c r="AL1194" s="8"/>
      <c r="AN1194" s="8"/>
      <c r="AO1194" s="8"/>
      <c r="AP1194" s="8"/>
      <c r="AQ1194" s="8"/>
      <c r="AR1194" s="8"/>
      <c r="AS1194" s="8"/>
    </row>
    <row r="1195" spans="1:45">
      <c r="A1195" s="19"/>
      <c r="B1195" s="19"/>
      <c r="C1195" s="19"/>
      <c r="E1195" s="9"/>
      <c r="F1195" s="9"/>
      <c r="AG1195" s="8"/>
      <c r="AH1195" s="8"/>
      <c r="AI1195" s="8"/>
      <c r="AJ1195" s="8"/>
      <c r="AK1195" s="8"/>
      <c r="AL1195" s="8"/>
      <c r="AN1195" s="8"/>
      <c r="AO1195" s="8"/>
      <c r="AP1195" s="8"/>
      <c r="AQ1195" s="8"/>
      <c r="AR1195" s="8"/>
      <c r="AS1195" s="8"/>
    </row>
    <row r="1196" spans="1:45">
      <c r="A1196" s="19"/>
      <c r="B1196" s="19"/>
      <c r="C1196" s="19"/>
      <c r="E1196" s="9"/>
      <c r="F1196" s="9"/>
      <c r="AG1196" s="8"/>
      <c r="AH1196" s="8"/>
      <c r="AI1196" s="8"/>
      <c r="AJ1196" s="8"/>
      <c r="AK1196" s="8"/>
      <c r="AL1196" s="8"/>
      <c r="AN1196" s="8"/>
      <c r="AO1196" s="8"/>
      <c r="AP1196" s="8"/>
      <c r="AQ1196" s="8"/>
      <c r="AR1196" s="8"/>
      <c r="AS1196" s="8"/>
    </row>
    <row r="1197" spans="1:45">
      <c r="A1197" s="19"/>
      <c r="B1197" s="19"/>
      <c r="C1197" s="19"/>
      <c r="E1197" s="9"/>
      <c r="F1197" s="9"/>
      <c r="AG1197" s="8"/>
      <c r="AH1197" s="8"/>
      <c r="AI1197" s="8"/>
      <c r="AJ1197" s="8"/>
      <c r="AK1197" s="8"/>
      <c r="AL1197" s="8"/>
      <c r="AN1197" s="8"/>
      <c r="AO1197" s="8"/>
      <c r="AP1197" s="8"/>
      <c r="AQ1197" s="8"/>
      <c r="AR1197" s="8"/>
      <c r="AS1197" s="8"/>
    </row>
    <row r="1198" spans="1:45">
      <c r="A1198" s="19"/>
      <c r="B1198" s="19"/>
      <c r="C1198" s="19"/>
      <c r="E1198" s="9"/>
      <c r="F1198" s="9"/>
      <c r="AG1198" s="8"/>
      <c r="AH1198" s="8"/>
      <c r="AI1198" s="8"/>
      <c r="AJ1198" s="8"/>
      <c r="AK1198" s="8"/>
      <c r="AL1198" s="8"/>
      <c r="AN1198" s="8"/>
      <c r="AO1198" s="8"/>
      <c r="AP1198" s="8"/>
      <c r="AQ1198" s="8"/>
      <c r="AR1198" s="8"/>
      <c r="AS1198" s="8"/>
    </row>
    <row r="1199" spans="1:45">
      <c r="A1199" s="19"/>
      <c r="B1199" s="19"/>
      <c r="C1199" s="19"/>
      <c r="E1199" s="9"/>
      <c r="F1199" s="9"/>
      <c r="AG1199" s="8"/>
      <c r="AH1199" s="8"/>
      <c r="AI1199" s="8"/>
      <c r="AJ1199" s="8"/>
      <c r="AK1199" s="8"/>
      <c r="AL1199" s="8"/>
      <c r="AN1199" s="8"/>
      <c r="AO1199" s="8"/>
      <c r="AP1199" s="8"/>
      <c r="AQ1199" s="8"/>
      <c r="AR1199" s="8"/>
      <c r="AS1199" s="8"/>
    </row>
    <row r="1200" spans="1:45">
      <c r="A1200" s="19"/>
      <c r="B1200" s="19"/>
      <c r="C1200" s="19"/>
      <c r="E1200" s="9"/>
      <c r="F1200" s="9"/>
      <c r="AG1200" s="8"/>
      <c r="AH1200" s="8"/>
      <c r="AI1200" s="8"/>
      <c r="AJ1200" s="8"/>
      <c r="AK1200" s="8"/>
      <c r="AL1200" s="8"/>
      <c r="AN1200" s="8"/>
      <c r="AO1200" s="8"/>
      <c r="AP1200" s="8"/>
      <c r="AQ1200" s="8"/>
      <c r="AR1200" s="8"/>
      <c r="AS1200" s="8"/>
    </row>
    <row r="1201" spans="1:45">
      <c r="A1201" s="19"/>
      <c r="B1201" s="19"/>
      <c r="C1201" s="19"/>
      <c r="E1201" s="9"/>
      <c r="F1201" s="9"/>
      <c r="AG1201" s="8"/>
      <c r="AH1201" s="8"/>
      <c r="AI1201" s="8"/>
      <c r="AJ1201" s="8"/>
      <c r="AK1201" s="8"/>
      <c r="AL1201" s="8"/>
      <c r="AN1201" s="8"/>
      <c r="AO1201" s="8"/>
      <c r="AP1201" s="8"/>
      <c r="AQ1201" s="8"/>
      <c r="AR1201" s="8"/>
      <c r="AS1201" s="8"/>
    </row>
    <row r="1202" spans="1:45">
      <c r="A1202" s="19"/>
      <c r="B1202" s="19"/>
      <c r="C1202" s="19"/>
      <c r="E1202" s="9"/>
      <c r="F1202" s="9"/>
      <c r="AG1202" s="8"/>
      <c r="AH1202" s="8"/>
      <c r="AI1202" s="8"/>
      <c r="AJ1202" s="8"/>
      <c r="AK1202" s="8"/>
      <c r="AL1202" s="8"/>
      <c r="AN1202" s="8"/>
      <c r="AO1202" s="8"/>
      <c r="AP1202" s="8"/>
      <c r="AQ1202" s="8"/>
      <c r="AR1202" s="8"/>
      <c r="AS1202" s="8"/>
    </row>
    <row r="1203" spans="1:45">
      <c r="A1203" s="19"/>
      <c r="B1203" s="19"/>
      <c r="C1203" s="19"/>
      <c r="E1203" s="9"/>
      <c r="F1203" s="9"/>
      <c r="AG1203" s="8"/>
      <c r="AH1203" s="8"/>
      <c r="AI1203" s="8"/>
      <c r="AJ1203" s="8"/>
      <c r="AK1203" s="8"/>
      <c r="AL1203" s="8"/>
      <c r="AN1203" s="8"/>
      <c r="AO1203" s="8"/>
      <c r="AP1203" s="8"/>
      <c r="AQ1203" s="8"/>
      <c r="AR1203" s="8"/>
      <c r="AS1203" s="8"/>
    </row>
    <row r="1204" spans="1:45">
      <c r="A1204" s="19"/>
      <c r="B1204" s="19"/>
      <c r="C1204" s="19"/>
      <c r="E1204" s="9"/>
      <c r="F1204" s="9"/>
      <c r="AG1204" s="8"/>
      <c r="AH1204" s="8"/>
      <c r="AI1204" s="8"/>
      <c r="AJ1204" s="8"/>
      <c r="AK1204" s="8"/>
      <c r="AL1204" s="8"/>
      <c r="AN1204" s="8"/>
      <c r="AO1204" s="8"/>
      <c r="AP1204" s="8"/>
      <c r="AQ1204" s="8"/>
      <c r="AR1204" s="8"/>
      <c r="AS1204" s="8"/>
    </row>
    <row r="1205" spans="1:45">
      <c r="A1205" s="19"/>
      <c r="B1205" s="19"/>
      <c r="C1205" s="19"/>
      <c r="E1205" s="9"/>
      <c r="F1205" s="9"/>
      <c r="AG1205" s="8"/>
      <c r="AH1205" s="8"/>
      <c r="AI1205" s="8"/>
      <c r="AJ1205" s="8"/>
      <c r="AK1205" s="8"/>
      <c r="AL1205" s="8"/>
      <c r="AN1205" s="8"/>
      <c r="AO1205" s="8"/>
      <c r="AP1205" s="8"/>
      <c r="AQ1205" s="8"/>
      <c r="AR1205" s="8"/>
      <c r="AS1205" s="8"/>
    </row>
    <row r="1206" spans="1:45">
      <c r="A1206" s="19"/>
      <c r="B1206" s="19"/>
      <c r="C1206" s="19"/>
      <c r="E1206" s="9"/>
      <c r="F1206" s="9"/>
      <c r="AG1206" s="8"/>
      <c r="AH1206" s="8"/>
      <c r="AI1206" s="8"/>
      <c r="AJ1206" s="8"/>
      <c r="AK1206" s="8"/>
      <c r="AL1206" s="8"/>
      <c r="AN1206" s="8"/>
      <c r="AO1206" s="8"/>
      <c r="AP1206" s="8"/>
      <c r="AQ1206" s="8"/>
      <c r="AR1206" s="8"/>
      <c r="AS1206" s="8"/>
    </row>
    <row r="1207" spans="1:45">
      <c r="A1207" s="19"/>
      <c r="B1207" s="19"/>
      <c r="C1207" s="19"/>
      <c r="E1207" s="9"/>
      <c r="F1207" s="9"/>
      <c r="AG1207" s="8"/>
      <c r="AH1207" s="8"/>
      <c r="AI1207" s="8"/>
      <c r="AJ1207" s="8"/>
      <c r="AK1207" s="8"/>
      <c r="AL1207" s="8"/>
      <c r="AN1207" s="8"/>
      <c r="AO1207" s="8"/>
      <c r="AP1207" s="8"/>
      <c r="AQ1207" s="8"/>
      <c r="AR1207" s="8"/>
      <c r="AS1207" s="8"/>
    </row>
    <row r="1208" spans="1:45">
      <c r="A1208" s="19"/>
      <c r="B1208" s="19"/>
      <c r="C1208" s="19"/>
      <c r="E1208" s="9"/>
      <c r="F1208" s="9"/>
      <c r="AG1208" s="8"/>
      <c r="AH1208" s="8"/>
      <c r="AI1208" s="8"/>
      <c r="AJ1208" s="8"/>
      <c r="AK1208" s="8"/>
      <c r="AL1208" s="8"/>
      <c r="AN1208" s="8"/>
      <c r="AO1208" s="8"/>
      <c r="AP1208" s="8"/>
      <c r="AQ1208" s="8"/>
      <c r="AR1208" s="8"/>
      <c r="AS1208" s="8"/>
    </row>
    <row r="1209" spans="1:45">
      <c r="A1209" s="19"/>
      <c r="B1209" s="19"/>
      <c r="C1209" s="19"/>
      <c r="E1209" s="9"/>
      <c r="F1209" s="9"/>
      <c r="AG1209" s="8"/>
      <c r="AH1209" s="8"/>
      <c r="AI1209" s="8"/>
      <c r="AJ1209" s="8"/>
      <c r="AK1209" s="8"/>
      <c r="AL1209" s="8"/>
      <c r="AN1209" s="8"/>
      <c r="AO1209" s="8"/>
      <c r="AP1209" s="8"/>
      <c r="AQ1209" s="8"/>
      <c r="AR1209" s="8"/>
      <c r="AS1209" s="8"/>
    </row>
    <row r="1210" spans="1:45">
      <c r="A1210" s="19"/>
      <c r="B1210" s="19"/>
      <c r="C1210" s="19"/>
      <c r="E1210" s="9"/>
      <c r="F1210" s="9"/>
      <c r="AG1210" s="8"/>
      <c r="AH1210" s="8"/>
      <c r="AI1210" s="8"/>
      <c r="AJ1210" s="8"/>
      <c r="AK1210" s="8"/>
      <c r="AL1210" s="8"/>
      <c r="AN1210" s="8"/>
      <c r="AO1210" s="8"/>
      <c r="AP1210" s="8"/>
      <c r="AQ1210" s="8"/>
      <c r="AR1210" s="8"/>
      <c r="AS1210" s="8"/>
    </row>
    <row r="1211" spans="1:45">
      <c r="A1211" s="19"/>
      <c r="B1211" s="19"/>
      <c r="C1211" s="19"/>
      <c r="E1211" s="9"/>
      <c r="F1211" s="9"/>
      <c r="AG1211" s="8"/>
      <c r="AH1211" s="8"/>
      <c r="AI1211" s="8"/>
      <c r="AJ1211" s="8"/>
      <c r="AK1211" s="8"/>
      <c r="AL1211" s="8"/>
      <c r="AN1211" s="8"/>
      <c r="AO1211" s="8"/>
      <c r="AP1211" s="8"/>
      <c r="AQ1211" s="8"/>
      <c r="AR1211" s="8"/>
      <c r="AS1211" s="8"/>
    </row>
    <row r="1212" spans="1:45">
      <c r="A1212" s="19"/>
      <c r="B1212" s="19"/>
      <c r="C1212" s="19"/>
      <c r="E1212" s="9"/>
      <c r="F1212" s="9"/>
      <c r="AG1212" s="8"/>
      <c r="AH1212" s="8"/>
      <c r="AI1212" s="8"/>
      <c r="AJ1212" s="8"/>
      <c r="AK1212" s="8"/>
      <c r="AL1212" s="8"/>
      <c r="AN1212" s="8"/>
      <c r="AO1212" s="8"/>
      <c r="AP1212" s="8"/>
      <c r="AQ1212" s="8"/>
      <c r="AR1212" s="8"/>
      <c r="AS1212" s="8"/>
    </row>
    <row r="1213" spans="1:45">
      <c r="A1213" s="19"/>
      <c r="B1213" s="19"/>
      <c r="C1213" s="19"/>
      <c r="E1213" s="9"/>
      <c r="F1213" s="9"/>
      <c r="AG1213" s="8"/>
      <c r="AH1213" s="8"/>
      <c r="AI1213" s="8"/>
      <c r="AJ1213" s="8"/>
      <c r="AK1213" s="8"/>
      <c r="AL1213" s="8"/>
      <c r="AN1213" s="8"/>
      <c r="AO1213" s="8"/>
      <c r="AP1213" s="8"/>
      <c r="AQ1213" s="8"/>
      <c r="AR1213" s="8"/>
      <c r="AS1213" s="8"/>
    </row>
    <row r="1214" spans="1:45">
      <c r="A1214" s="19"/>
      <c r="B1214" s="19"/>
      <c r="C1214" s="19"/>
      <c r="E1214" s="9"/>
      <c r="F1214" s="9"/>
      <c r="AG1214" s="8"/>
      <c r="AH1214" s="8"/>
      <c r="AI1214" s="8"/>
      <c r="AJ1214" s="8"/>
      <c r="AK1214" s="8"/>
      <c r="AL1214" s="8"/>
      <c r="AN1214" s="8"/>
      <c r="AO1214" s="8"/>
      <c r="AP1214" s="8"/>
      <c r="AQ1214" s="8"/>
      <c r="AR1214" s="8"/>
      <c r="AS1214" s="8"/>
    </row>
    <row r="1215" spans="1:45">
      <c r="A1215" s="19"/>
      <c r="B1215" s="19"/>
      <c r="C1215" s="19"/>
      <c r="E1215" s="9"/>
      <c r="F1215" s="9"/>
      <c r="AG1215" s="8"/>
      <c r="AH1215" s="8"/>
      <c r="AI1215" s="8"/>
      <c r="AJ1215" s="8"/>
      <c r="AK1215" s="8"/>
      <c r="AL1215" s="8"/>
      <c r="AN1215" s="8"/>
      <c r="AO1215" s="8"/>
      <c r="AP1215" s="8"/>
      <c r="AQ1215" s="8"/>
      <c r="AR1215" s="8"/>
      <c r="AS1215" s="8"/>
    </row>
    <row r="1216" spans="1:45">
      <c r="A1216" s="19"/>
      <c r="B1216" s="19"/>
      <c r="C1216" s="19"/>
      <c r="E1216" s="9"/>
      <c r="F1216" s="9"/>
      <c r="AG1216" s="8"/>
      <c r="AH1216" s="8"/>
      <c r="AI1216" s="8"/>
      <c r="AJ1216" s="8"/>
      <c r="AK1216" s="8"/>
      <c r="AL1216" s="8"/>
      <c r="AN1216" s="8"/>
      <c r="AO1216" s="8"/>
      <c r="AP1216" s="8"/>
      <c r="AQ1216" s="8"/>
      <c r="AR1216" s="8"/>
      <c r="AS1216" s="8"/>
    </row>
    <row r="1217" spans="1:45">
      <c r="A1217" s="19"/>
      <c r="B1217" s="19"/>
      <c r="C1217" s="19"/>
      <c r="E1217" s="9"/>
      <c r="F1217" s="9"/>
      <c r="AG1217" s="8"/>
      <c r="AH1217" s="8"/>
      <c r="AI1217" s="8"/>
      <c r="AJ1217" s="8"/>
      <c r="AK1217" s="8"/>
      <c r="AL1217" s="8"/>
      <c r="AN1217" s="8"/>
      <c r="AO1217" s="8"/>
      <c r="AP1217" s="8"/>
      <c r="AQ1217" s="8"/>
      <c r="AR1217" s="8"/>
      <c r="AS1217" s="8"/>
    </row>
    <row r="1218" spans="1:45">
      <c r="A1218" s="19"/>
      <c r="B1218" s="19"/>
      <c r="C1218" s="19"/>
      <c r="E1218" s="9"/>
      <c r="F1218" s="9"/>
      <c r="AG1218" s="8"/>
      <c r="AH1218" s="8"/>
      <c r="AI1218" s="8"/>
      <c r="AJ1218" s="8"/>
      <c r="AK1218" s="8"/>
      <c r="AL1218" s="8"/>
      <c r="AN1218" s="8"/>
      <c r="AO1218" s="8"/>
      <c r="AP1218" s="8"/>
      <c r="AQ1218" s="8"/>
      <c r="AR1218" s="8"/>
      <c r="AS1218" s="8"/>
    </row>
    <row r="1219" spans="1:45">
      <c r="A1219" s="19"/>
      <c r="B1219" s="19"/>
      <c r="C1219" s="19"/>
      <c r="E1219" s="9"/>
      <c r="F1219" s="9"/>
      <c r="AG1219" s="8"/>
      <c r="AH1219" s="8"/>
      <c r="AI1219" s="8"/>
      <c r="AJ1219" s="8"/>
      <c r="AK1219" s="8"/>
      <c r="AL1219" s="8"/>
      <c r="AN1219" s="8"/>
      <c r="AO1219" s="8"/>
      <c r="AP1219" s="8"/>
      <c r="AQ1219" s="8"/>
      <c r="AR1219" s="8"/>
      <c r="AS1219" s="8"/>
    </row>
    <row r="1220" spans="1:45">
      <c r="A1220" s="19"/>
      <c r="B1220" s="19"/>
      <c r="C1220" s="19"/>
      <c r="E1220" s="9"/>
      <c r="F1220" s="9"/>
      <c r="AG1220" s="8"/>
      <c r="AH1220" s="8"/>
      <c r="AI1220" s="8"/>
      <c r="AJ1220" s="8"/>
      <c r="AK1220" s="8"/>
      <c r="AL1220" s="8"/>
      <c r="AN1220" s="8"/>
      <c r="AO1220" s="8"/>
      <c r="AP1220" s="8"/>
      <c r="AQ1220" s="8"/>
      <c r="AR1220" s="8"/>
      <c r="AS1220" s="8"/>
    </row>
    <row r="1221" spans="1:45">
      <c r="A1221" s="19"/>
      <c r="B1221" s="19"/>
      <c r="C1221" s="19"/>
      <c r="E1221" s="9"/>
      <c r="F1221" s="9"/>
      <c r="AG1221" s="8"/>
      <c r="AH1221" s="8"/>
      <c r="AI1221" s="8"/>
      <c r="AJ1221" s="8"/>
      <c r="AK1221" s="8"/>
      <c r="AL1221" s="8"/>
      <c r="AN1221" s="8"/>
      <c r="AO1221" s="8"/>
      <c r="AP1221" s="8"/>
      <c r="AQ1221" s="8"/>
      <c r="AR1221" s="8"/>
      <c r="AS1221" s="8"/>
    </row>
    <row r="1222" spans="1:45">
      <c r="A1222" s="19"/>
      <c r="B1222" s="19"/>
      <c r="C1222" s="19"/>
      <c r="E1222" s="9"/>
      <c r="F1222" s="9"/>
      <c r="AG1222" s="8"/>
      <c r="AH1222" s="8"/>
      <c r="AI1222" s="8"/>
      <c r="AJ1222" s="8"/>
      <c r="AK1222" s="8"/>
      <c r="AL1222" s="8"/>
      <c r="AN1222" s="8"/>
      <c r="AO1222" s="8"/>
      <c r="AP1222" s="8"/>
      <c r="AQ1222" s="8"/>
      <c r="AR1222" s="8"/>
      <c r="AS1222" s="8"/>
    </row>
    <row r="1223" spans="1:45">
      <c r="A1223" s="19"/>
      <c r="B1223" s="19"/>
      <c r="C1223" s="19"/>
      <c r="E1223" s="9"/>
      <c r="F1223" s="9"/>
      <c r="AG1223" s="8"/>
      <c r="AH1223" s="8"/>
      <c r="AI1223" s="8"/>
      <c r="AJ1223" s="8"/>
      <c r="AK1223" s="8"/>
      <c r="AL1223" s="8"/>
      <c r="AN1223" s="8"/>
      <c r="AO1223" s="8"/>
      <c r="AP1223" s="8"/>
      <c r="AQ1223" s="8"/>
      <c r="AR1223" s="8"/>
      <c r="AS1223" s="8"/>
    </row>
    <row r="1224" spans="1:45">
      <c r="A1224" s="19"/>
      <c r="B1224" s="19"/>
      <c r="C1224" s="19"/>
      <c r="E1224" s="9"/>
      <c r="F1224" s="9"/>
      <c r="AG1224" s="8"/>
      <c r="AH1224" s="8"/>
      <c r="AI1224" s="8"/>
      <c r="AJ1224" s="8"/>
      <c r="AK1224" s="8"/>
      <c r="AL1224" s="8"/>
      <c r="AN1224" s="8"/>
      <c r="AO1224" s="8"/>
      <c r="AP1224" s="8"/>
      <c r="AQ1224" s="8"/>
      <c r="AR1224" s="8"/>
      <c r="AS1224" s="8"/>
    </row>
    <row r="1225" spans="1:45">
      <c r="A1225" s="19"/>
      <c r="B1225" s="19"/>
      <c r="C1225" s="19"/>
      <c r="E1225" s="9"/>
      <c r="F1225" s="9"/>
      <c r="AG1225" s="8"/>
      <c r="AH1225" s="8"/>
      <c r="AI1225" s="8"/>
      <c r="AJ1225" s="8"/>
      <c r="AK1225" s="8"/>
      <c r="AL1225" s="8"/>
      <c r="AN1225" s="8"/>
      <c r="AO1225" s="8"/>
      <c r="AP1225" s="8"/>
      <c r="AQ1225" s="8"/>
      <c r="AR1225" s="8"/>
      <c r="AS1225" s="8"/>
    </row>
    <row r="1226" spans="1:45">
      <c r="A1226" s="19"/>
      <c r="B1226" s="19"/>
      <c r="C1226" s="19"/>
      <c r="E1226" s="9"/>
      <c r="F1226" s="9"/>
      <c r="AG1226" s="8"/>
      <c r="AH1226" s="8"/>
      <c r="AI1226" s="8"/>
      <c r="AJ1226" s="8"/>
      <c r="AK1226" s="8"/>
      <c r="AL1226" s="8"/>
      <c r="AN1226" s="8"/>
      <c r="AO1226" s="8"/>
      <c r="AP1226" s="8"/>
      <c r="AQ1226" s="8"/>
      <c r="AR1226" s="8"/>
      <c r="AS1226" s="8"/>
    </row>
    <row r="1227" spans="1:45">
      <c r="A1227" s="19"/>
      <c r="B1227" s="19"/>
      <c r="C1227" s="19"/>
      <c r="E1227" s="9"/>
      <c r="F1227" s="9"/>
      <c r="AG1227" s="8"/>
      <c r="AH1227" s="8"/>
      <c r="AI1227" s="8"/>
      <c r="AJ1227" s="8"/>
      <c r="AK1227" s="8"/>
      <c r="AL1227" s="8"/>
      <c r="AN1227" s="8"/>
      <c r="AO1227" s="8"/>
      <c r="AP1227" s="8"/>
      <c r="AQ1227" s="8"/>
      <c r="AR1227" s="8"/>
      <c r="AS1227" s="8"/>
    </row>
    <row r="1228" spans="1:45">
      <c r="A1228" s="19"/>
      <c r="B1228" s="19"/>
      <c r="C1228" s="19"/>
      <c r="E1228" s="9"/>
      <c r="F1228" s="9"/>
      <c r="AG1228" s="8"/>
      <c r="AH1228" s="8"/>
      <c r="AI1228" s="8"/>
      <c r="AJ1228" s="8"/>
      <c r="AK1228" s="8"/>
      <c r="AL1228" s="8"/>
      <c r="AN1228" s="8"/>
      <c r="AO1228" s="8"/>
      <c r="AP1228" s="8"/>
      <c r="AQ1228" s="8"/>
      <c r="AR1228" s="8"/>
      <c r="AS1228" s="8"/>
    </row>
    <row r="1229" spans="1:45">
      <c r="A1229" s="19"/>
      <c r="B1229" s="19"/>
      <c r="C1229" s="19"/>
      <c r="E1229" s="9"/>
      <c r="F1229" s="9"/>
      <c r="AG1229" s="8"/>
      <c r="AH1229" s="8"/>
      <c r="AI1229" s="8"/>
      <c r="AJ1229" s="8"/>
      <c r="AK1229" s="8"/>
      <c r="AL1229" s="8"/>
      <c r="AN1229" s="8"/>
      <c r="AO1229" s="8"/>
      <c r="AP1229" s="8"/>
      <c r="AQ1229" s="8"/>
      <c r="AR1229" s="8"/>
      <c r="AS1229" s="8"/>
    </row>
    <row r="1230" spans="1:45">
      <c r="A1230" s="19"/>
      <c r="B1230" s="19"/>
      <c r="C1230" s="19"/>
      <c r="E1230" s="9"/>
      <c r="F1230" s="9"/>
      <c r="AG1230" s="8"/>
      <c r="AH1230" s="8"/>
      <c r="AI1230" s="8"/>
      <c r="AJ1230" s="8"/>
      <c r="AK1230" s="8"/>
      <c r="AL1230" s="8"/>
      <c r="AN1230" s="8"/>
      <c r="AO1230" s="8"/>
      <c r="AP1230" s="8"/>
      <c r="AQ1230" s="8"/>
      <c r="AR1230" s="8"/>
      <c r="AS1230" s="8"/>
    </row>
    <row r="1231" spans="1:45">
      <c r="A1231" s="19"/>
      <c r="B1231" s="19"/>
      <c r="C1231" s="19"/>
      <c r="E1231" s="9"/>
      <c r="F1231" s="9"/>
      <c r="AG1231" s="8"/>
      <c r="AH1231" s="8"/>
      <c r="AI1231" s="8"/>
      <c r="AJ1231" s="8"/>
      <c r="AK1231" s="8"/>
      <c r="AL1231" s="8"/>
      <c r="AN1231" s="8"/>
      <c r="AO1231" s="8"/>
      <c r="AP1231" s="8"/>
      <c r="AQ1231" s="8"/>
      <c r="AR1231" s="8"/>
      <c r="AS1231" s="8"/>
    </row>
    <row r="1232" spans="1:45">
      <c r="A1232" s="19"/>
      <c r="B1232" s="19"/>
      <c r="C1232" s="19"/>
      <c r="E1232" s="9"/>
      <c r="F1232" s="9"/>
      <c r="AG1232" s="8"/>
      <c r="AH1232" s="8"/>
      <c r="AI1232" s="8"/>
      <c r="AJ1232" s="8"/>
      <c r="AK1232" s="8"/>
      <c r="AL1232" s="8"/>
      <c r="AN1232" s="8"/>
      <c r="AO1232" s="8"/>
      <c r="AP1232" s="8"/>
      <c r="AQ1232" s="8"/>
      <c r="AR1232" s="8"/>
      <c r="AS1232" s="8"/>
    </row>
    <row r="1233" spans="1:45">
      <c r="A1233" s="19"/>
      <c r="B1233" s="19"/>
      <c r="C1233" s="19"/>
      <c r="E1233" s="9"/>
      <c r="F1233" s="9"/>
      <c r="AG1233" s="8"/>
      <c r="AH1233" s="8"/>
      <c r="AI1233" s="8"/>
      <c r="AJ1233" s="8"/>
      <c r="AK1233" s="8"/>
      <c r="AL1233" s="8"/>
      <c r="AN1233" s="8"/>
      <c r="AO1233" s="8"/>
      <c r="AP1233" s="8"/>
      <c r="AQ1233" s="8"/>
      <c r="AR1233" s="8"/>
      <c r="AS1233" s="8"/>
    </row>
    <row r="1234" spans="1:45">
      <c r="A1234" s="19"/>
      <c r="B1234" s="19"/>
      <c r="C1234" s="19"/>
      <c r="E1234" s="9"/>
      <c r="F1234" s="9"/>
      <c r="AG1234" s="8"/>
      <c r="AH1234" s="8"/>
      <c r="AI1234" s="8"/>
      <c r="AJ1234" s="8"/>
      <c r="AK1234" s="8"/>
      <c r="AL1234" s="8"/>
      <c r="AN1234" s="8"/>
      <c r="AO1234" s="8"/>
      <c r="AP1234" s="8"/>
      <c r="AQ1234" s="8"/>
      <c r="AR1234" s="8"/>
      <c r="AS1234" s="8"/>
    </row>
    <row r="1235" spans="1:45">
      <c r="A1235" s="19"/>
      <c r="B1235" s="19"/>
      <c r="C1235" s="19"/>
      <c r="E1235" s="9"/>
      <c r="F1235" s="9"/>
      <c r="AG1235" s="8"/>
      <c r="AH1235" s="8"/>
      <c r="AI1235" s="8"/>
      <c r="AJ1235" s="8"/>
      <c r="AK1235" s="8"/>
      <c r="AL1235" s="8"/>
      <c r="AN1235" s="8"/>
      <c r="AO1235" s="8"/>
      <c r="AP1235" s="8"/>
      <c r="AQ1235" s="8"/>
      <c r="AR1235" s="8"/>
      <c r="AS1235" s="8"/>
    </row>
    <row r="1236" spans="1:45">
      <c r="A1236" s="19"/>
      <c r="B1236" s="19"/>
      <c r="C1236" s="19"/>
      <c r="E1236" s="9"/>
      <c r="F1236" s="9"/>
      <c r="AG1236" s="8"/>
      <c r="AH1236" s="8"/>
      <c r="AI1236" s="8"/>
      <c r="AJ1236" s="8"/>
      <c r="AK1236" s="8"/>
      <c r="AL1236" s="8"/>
      <c r="AN1236" s="8"/>
      <c r="AO1236" s="8"/>
      <c r="AP1236" s="8"/>
      <c r="AQ1236" s="8"/>
      <c r="AR1236" s="8"/>
      <c r="AS1236" s="8"/>
    </row>
    <row r="1237" spans="1:45">
      <c r="A1237" s="19"/>
      <c r="B1237" s="19"/>
      <c r="C1237" s="19"/>
      <c r="E1237" s="9"/>
      <c r="F1237" s="9"/>
      <c r="AG1237" s="8"/>
      <c r="AH1237" s="8"/>
      <c r="AI1237" s="8"/>
      <c r="AJ1237" s="8"/>
      <c r="AK1237" s="8"/>
      <c r="AL1237" s="8"/>
      <c r="AN1237" s="8"/>
      <c r="AO1237" s="8"/>
      <c r="AP1237" s="8"/>
      <c r="AQ1237" s="8"/>
      <c r="AR1237" s="8"/>
      <c r="AS1237" s="8"/>
    </row>
    <row r="1238" spans="1:45">
      <c r="A1238" s="19"/>
      <c r="B1238" s="19"/>
      <c r="C1238" s="19"/>
      <c r="E1238" s="9"/>
      <c r="F1238" s="9"/>
      <c r="AG1238" s="8"/>
      <c r="AH1238" s="8"/>
      <c r="AI1238" s="8"/>
      <c r="AJ1238" s="8"/>
      <c r="AK1238" s="8"/>
      <c r="AL1238" s="8"/>
      <c r="AN1238" s="8"/>
      <c r="AO1238" s="8"/>
      <c r="AP1238" s="8"/>
      <c r="AQ1238" s="8"/>
      <c r="AR1238" s="8"/>
      <c r="AS1238" s="8"/>
    </row>
    <row r="1239" spans="1:45">
      <c r="A1239" s="19"/>
      <c r="B1239" s="19"/>
      <c r="C1239" s="19"/>
      <c r="E1239" s="9"/>
      <c r="F1239" s="9"/>
      <c r="AG1239" s="8"/>
      <c r="AH1239" s="8"/>
      <c r="AI1239" s="8"/>
      <c r="AJ1239" s="8"/>
      <c r="AK1239" s="8"/>
      <c r="AL1239" s="8"/>
      <c r="AN1239" s="8"/>
      <c r="AO1239" s="8"/>
      <c r="AP1239" s="8"/>
      <c r="AQ1239" s="8"/>
      <c r="AR1239" s="8"/>
      <c r="AS1239" s="8"/>
    </row>
    <row r="1240" spans="1:45">
      <c r="A1240" s="19"/>
      <c r="B1240" s="19"/>
      <c r="C1240" s="19"/>
      <c r="E1240" s="9"/>
      <c r="F1240" s="9"/>
      <c r="AG1240" s="8"/>
      <c r="AH1240" s="8"/>
      <c r="AI1240" s="8"/>
      <c r="AJ1240" s="8"/>
      <c r="AK1240" s="8"/>
      <c r="AL1240" s="8"/>
      <c r="AN1240" s="8"/>
      <c r="AO1240" s="8"/>
      <c r="AP1240" s="8"/>
      <c r="AQ1240" s="8"/>
      <c r="AR1240" s="8"/>
      <c r="AS1240" s="8"/>
    </row>
    <row r="1241" spans="1:45">
      <c r="A1241" s="19"/>
      <c r="B1241" s="19"/>
      <c r="C1241" s="19"/>
      <c r="E1241" s="9"/>
      <c r="F1241" s="9"/>
      <c r="AG1241" s="8"/>
      <c r="AH1241" s="8"/>
      <c r="AI1241" s="8"/>
      <c r="AJ1241" s="8"/>
      <c r="AK1241" s="8"/>
      <c r="AL1241" s="8"/>
      <c r="AN1241" s="8"/>
      <c r="AO1241" s="8"/>
      <c r="AP1241" s="8"/>
      <c r="AQ1241" s="8"/>
      <c r="AR1241" s="8"/>
      <c r="AS1241" s="8"/>
    </row>
    <row r="1242" spans="1:45">
      <c r="A1242" s="19"/>
      <c r="B1242" s="19"/>
      <c r="C1242" s="19"/>
      <c r="E1242" s="9"/>
      <c r="F1242" s="9"/>
      <c r="AG1242" s="8"/>
      <c r="AH1242" s="8"/>
      <c r="AI1242" s="8"/>
      <c r="AJ1242" s="8"/>
      <c r="AK1242" s="8"/>
      <c r="AL1242" s="8"/>
      <c r="AN1242" s="8"/>
      <c r="AO1242" s="8"/>
      <c r="AP1242" s="8"/>
      <c r="AQ1242" s="8"/>
      <c r="AR1242" s="8"/>
      <c r="AS1242" s="8"/>
    </row>
    <row r="1243" spans="1:45">
      <c r="A1243" s="19"/>
      <c r="B1243" s="19"/>
      <c r="C1243" s="19"/>
      <c r="E1243" s="9"/>
      <c r="F1243" s="9"/>
      <c r="AG1243" s="8"/>
      <c r="AH1243" s="8"/>
      <c r="AI1243" s="8"/>
      <c r="AJ1243" s="8"/>
      <c r="AK1243" s="8"/>
      <c r="AL1243" s="8"/>
      <c r="AN1243" s="8"/>
      <c r="AO1243" s="8"/>
      <c r="AP1243" s="8"/>
      <c r="AQ1243" s="8"/>
      <c r="AR1243" s="8"/>
      <c r="AS1243" s="8"/>
    </row>
    <row r="1244" spans="1:45">
      <c r="A1244" s="19"/>
      <c r="B1244" s="19"/>
      <c r="C1244" s="19"/>
      <c r="E1244" s="9"/>
      <c r="F1244" s="9"/>
      <c r="AG1244" s="8"/>
      <c r="AH1244" s="8"/>
      <c r="AI1244" s="8"/>
      <c r="AJ1244" s="8"/>
      <c r="AK1244" s="8"/>
      <c r="AL1244" s="8"/>
      <c r="AN1244" s="8"/>
      <c r="AO1244" s="8"/>
      <c r="AP1244" s="8"/>
      <c r="AQ1244" s="8"/>
      <c r="AR1244" s="8"/>
      <c r="AS1244" s="8"/>
    </row>
    <row r="1245" spans="1:45">
      <c r="A1245" s="19"/>
      <c r="B1245" s="19"/>
      <c r="C1245" s="19"/>
      <c r="E1245" s="9"/>
      <c r="F1245" s="9"/>
      <c r="AG1245" s="8"/>
      <c r="AH1245" s="8"/>
      <c r="AI1245" s="8"/>
      <c r="AJ1245" s="8"/>
      <c r="AK1245" s="8"/>
      <c r="AL1245" s="8"/>
      <c r="AN1245" s="8"/>
      <c r="AO1245" s="8"/>
      <c r="AP1245" s="8"/>
      <c r="AQ1245" s="8"/>
      <c r="AR1245" s="8"/>
      <c r="AS1245" s="8"/>
    </row>
    <row r="1246" spans="1:45">
      <c r="A1246" s="19"/>
      <c r="B1246" s="19"/>
      <c r="C1246" s="19"/>
      <c r="E1246" s="9"/>
      <c r="F1246" s="9"/>
      <c r="AG1246" s="8"/>
      <c r="AH1246" s="8"/>
      <c r="AI1246" s="8"/>
      <c r="AJ1246" s="8"/>
      <c r="AK1246" s="8"/>
      <c r="AL1246" s="8"/>
      <c r="AN1246" s="8"/>
      <c r="AO1246" s="8"/>
      <c r="AP1246" s="8"/>
      <c r="AQ1246" s="8"/>
      <c r="AR1246" s="8"/>
      <c r="AS1246" s="8"/>
    </row>
    <row r="1247" spans="1:45">
      <c r="A1247" s="19"/>
      <c r="B1247" s="19"/>
      <c r="C1247" s="19"/>
      <c r="E1247" s="9"/>
      <c r="F1247" s="9"/>
      <c r="AG1247" s="8"/>
      <c r="AH1247" s="8"/>
      <c r="AI1247" s="8"/>
      <c r="AJ1247" s="8"/>
      <c r="AK1247" s="8"/>
      <c r="AL1247" s="8"/>
      <c r="AN1247" s="8"/>
      <c r="AO1247" s="8"/>
      <c r="AP1247" s="8"/>
      <c r="AQ1247" s="8"/>
      <c r="AR1247" s="8"/>
      <c r="AS1247" s="8"/>
    </row>
    <row r="1248" spans="1:45">
      <c r="A1248" s="19"/>
      <c r="B1248" s="19"/>
      <c r="C1248" s="19"/>
      <c r="E1248" s="9"/>
      <c r="F1248" s="9"/>
      <c r="AG1248" s="8"/>
      <c r="AH1248" s="8"/>
      <c r="AI1248" s="8"/>
      <c r="AJ1248" s="8"/>
      <c r="AK1248" s="8"/>
      <c r="AL1248" s="8"/>
      <c r="AN1248" s="8"/>
      <c r="AO1248" s="8"/>
      <c r="AP1248" s="8"/>
      <c r="AQ1248" s="8"/>
      <c r="AR1248" s="8"/>
      <c r="AS1248" s="8"/>
    </row>
    <row r="1249" spans="1:45">
      <c r="A1249" s="19"/>
      <c r="B1249" s="19"/>
      <c r="C1249" s="19"/>
      <c r="E1249" s="9"/>
      <c r="F1249" s="9"/>
      <c r="AG1249" s="8"/>
      <c r="AH1249" s="8"/>
      <c r="AI1249" s="8"/>
      <c r="AJ1249" s="8"/>
      <c r="AK1249" s="8"/>
      <c r="AL1249" s="8"/>
      <c r="AN1249" s="8"/>
      <c r="AO1249" s="8"/>
      <c r="AP1249" s="8"/>
      <c r="AQ1249" s="8"/>
      <c r="AR1249" s="8"/>
      <c r="AS1249" s="8"/>
    </row>
    <row r="1250" spans="1:45">
      <c r="A1250" s="19"/>
      <c r="B1250" s="19"/>
      <c r="C1250" s="19"/>
      <c r="E1250" s="9"/>
      <c r="F1250" s="9"/>
      <c r="AG1250" s="8"/>
      <c r="AH1250" s="8"/>
      <c r="AI1250" s="8"/>
      <c r="AJ1250" s="8"/>
      <c r="AK1250" s="8"/>
      <c r="AL1250" s="8"/>
      <c r="AN1250" s="8"/>
      <c r="AO1250" s="8"/>
      <c r="AP1250" s="8"/>
      <c r="AQ1250" s="8"/>
      <c r="AR1250" s="8"/>
      <c r="AS1250" s="8"/>
    </row>
    <row r="1251" spans="1:45">
      <c r="A1251" s="19"/>
      <c r="B1251" s="19"/>
      <c r="C1251" s="19"/>
      <c r="E1251" s="9"/>
      <c r="F1251" s="9"/>
      <c r="AG1251" s="8"/>
      <c r="AH1251" s="8"/>
      <c r="AI1251" s="8"/>
      <c r="AJ1251" s="8"/>
      <c r="AK1251" s="8"/>
      <c r="AL1251" s="8"/>
      <c r="AN1251" s="8"/>
      <c r="AO1251" s="8"/>
      <c r="AP1251" s="8"/>
      <c r="AQ1251" s="8"/>
      <c r="AR1251" s="8"/>
      <c r="AS1251" s="8"/>
    </row>
    <row r="1252" spans="1:45">
      <c r="A1252" s="19"/>
      <c r="B1252" s="19"/>
      <c r="C1252" s="19"/>
      <c r="E1252" s="9"/>
      <c r="F1252" s="9"/>
      <c r="AG1252" s="8"/>
      <c r="AH1252" s="8"/>
      <c r="AI1252" s="8"/>
      <c r="AJ1252" s="8"/>
      <c r="AK1252" s="8"/>
      <c r="AL1252" s="8"/>
      <c r="AN1252" s="8"/>
      <c r="AO1252" s="8"/>
      <c r="AP1252" s="8"/>
      <c r="AQ1252" s="8"/>
      <c r="AR1252" s="8"/>
      <c r="AS1252" s="8"/>
    </row>
    <row r="1253" spans="1:45">
      <c r="A1253" s="19"/>
      <c r="B1253" s="19"/>
      <c r="C1253" s="19"/>
      <c r="E1253" s="9"/>
      <c r="F1253" s="9"/>
      <c r="AG1253" s="8"/>
      <c r="AH1253" s="8"/>
      <c r="AI1253" s="8"/>
      <c r="AJ1253" s="8"/>
      <c r="AK1253" s="8"/>
      <c r="AL1253" s="8"/>
      <c r="AN1253" s="8"/>
      <c r="AO1253" s="8"/>
      <c r="AP1253" s="8"/>
      <c r="AQ1253" s="8"/>
      <c r="AR1253" s="8"/>
      <c r="AS1253" s="8"/>
    </row>
    <row r="1254" spans="1:45">
      <c r="A1254" s="19"/>
      <c r="B1254" s="19"/>
      <c r="C1254" s="19"/>
      <c r="E1254" s="9"/>
      <c r="F1254" s="9"/>
      <c r="AG1254" s="8"/>
      <c r="AH1254" s="8"/>
      <c r="AI1254" s="8"/>
      <c r="AJ1254" s="8"/>
      <c r="AK1254" s="8"/>
      <c r="AL1254" s="8"/>
      <c r="AN1254" s="8"/>
      <c r="AO1254" s="8"/>
      <c r="AP1254" s="8"/>
      <c r="AQ1254" s="8"/>
      <c r="AR1254" s="8"/>
      <c r="AS1254" s="8"/>
    </row>
    <row r="1255" spans="1:45">
      <c r="A1255" s="19"/>
      <c r="B1255" s="19"/>
      <c r="C1255" s="19"/>
      <c r="E1255" s="9"/>
      <c r="F1255" s="9"/>
      <c r="AG1255" s="8"/>
      <c r="AH1255" s="8"/>
      <c r="AI1255" s="8"/>
      <c r="AJ1255" s="8"/>
      <c r="AK1255" s="8"/>
      <c r="AL1255" s="8"/>
      <c r="AN1255" s="8"/>
      <c r="AO1255" s="8"/>
      <c r="AP1255" s="8"/>
      <c r="AQ1255" s="8"/>
      <c r="AR1255" s="8"/>
      <c r="AS1255" s="8"/>
    </row>
    <row r="1256" spans="1:45">
      <c r="A1256" s="19"/>
      <c r="B1256" s="19"/>
      <c r="C1256" s="19"/>
      <c r="E1256" s="9"/>
      <c r="F1256" s="9"/>
      <c r="AG1256" s="8"/>
      <c r="AH1256" s="8"/>
      <c r="AI1256" s="8"/>
      <c r="AJ1256" s="8"/>
      <c r="AK1256" s="8"/>
      <c r="AL1256" s="8"/>
      <c r="AN1256" s="8"/>
      <c r="AO1256" s="8"/>
      <c r="AP1256" s="8"/>
      <c r="AQ1256" s="8"/>
      <c r="AR1256" s="8"/>
      <c r="AS1256" s="8"/>
    </row>
    <row r="1257" spans="1:45">
      <c r="A1257" s="19"/>
      <c r="B1257" s="19"/>
      <c r="C1257" s="19"/>
      <c r="E1257" s="9"/>
      <c r="F1257" s="9"/>
      <c r="AG1257" s="8"/>
      <c r="AH1257" s="8"/>
      <c r="AI1257" s="8"/>
      <c r="AJ1257" s="8"/>
      <c r="AK1257" s="8"/>
      <c r="AL1257" s="8"/>
      <c r="AN1257" s="8"/>
      <c r="AO1257" s="8"/>
      <c r="AP1257" s="8"/>
      <c r="AQ1257" s="8"/>
      <c r="AR1257" s="8"/>
      <c r="AS1257" s="8"/>
    </row>
    <row r="1258" spans="1:45">
      <c r="A1258" s="19"/>
      <c r="B1258" s="19"/>
      <c r="C1258" s="19"/>
      <c r="E1258" s="9"/>
      <c r="F1258" s="9"/>
      <c r="AG1258" s="8"/>
      <c r="AH1258" s="8"/>
      <c r="AI1258" s="8"/>
      <c r="AJ1258" s="8"/>
      <c r="AK1258" s="8"/>
      <c r="AL1258" s="8"/>
      <c r="AN1258" s="8"/>
      <c r="AO1258" s="8"/>
      <c r="AP1258" s="8"/>
      <c r="AQ1258" s="8"/>
      <c r="AR1258" s="8"/>
      <c r="AS1258" s="8"/>
    </row>
    <row r="1259" spans="1:45">
      <c r="A1259" s="19"/>
      <c r="B1259" s="19"/>
      <c r="C1259" s="19"/>
      <c r="E1259" s="9"/>
      <c r="F1259" s="9"/>
      <c r="AG1259" s="8"/>
      <c r="AH1259" s="8"/>
      <c r="AI1259" s="8"/>
      <c r="AJ1259" s="8"/>
      <c r="AK1259" s="8"/>
      <c r="AL1259" s="8"/>
      <c r="AN1259" s="8"/>
      <c r="AO1259" s="8"/>
      <c r="AP1259" s="8"/>
      <c r="AQ1259" s="8"/>
      <c r="AR1259" s="8"/>
      <c r="AS1259" s="8"/>
    </row>
    <row r="1260" spans="1:45">
      <c r="A1260" s="19"/>
      <c r="B1260" s="19"/>
      <c r="C1260" s="19"/>
      <c r="E1260" s="9"/>
      <c r="F1260" s="9"/>
      <c r="AG1260" s="8"/>
      <c r="AH1260" s="8"/>
      <c r="AI1260" s="8"/>
      <c r="AJ1260" s="8"/>
      <c r="AK1260" s="8"/>
      <c r="AL1260" s="8"/>
      <c r="AN1260" s="8"/>
      <c r="AO1260" s="8"/>
      <c r="AP1260" s="8"/>
      <c r="AQ1260" s="8"/>
      <c r="AR1260" s="8"/>
      <c r="AS1260" s="8"/>
    </row>
    <row r="1261" spans="1:45">
      <c r="A1261" s="19"/>
      <c r="B1261" s="19"/>
      <c r="C1261" s="19"/>
      <c r="E1261" s="9"/>
      <c r="F1261" s="9"/>
      <c r="AG1261" s="8"/>
      <c r="AH1261" s="8"/>
      <c r="AI1261" s="8"/>
      <c r="AJ1261" s="8"/>
      <c r="AK1261" s="8"/>
      <c r="AL1261" s="8"/>
      <c r="AN1261" s="8"/>
      <c r="AO1261" s="8"/>
      <c r="AP1261" s="8"/>
      <c r="AQ1261" s="8"/>
      <c r="AR1261" s="8"/>
      <c r="AS1261" s="8"/>
    </row>
    <row r="1262" spans="1:45">
      <c r="A1262" s="19"/>
      <c r="B1262" s="19"/>
      <c r="C1262" s="19"/>
      <c r="E1262" s="9"/>
      <c r="F1262" s="9"/>
      <c r="AG1262" s="8"/>
      <c r="AH1262" s="8"/>
      <c r="AI1262" s="8"/>
      <c r="AJ1262" s="8"/>
      <c r="AK1262" s="8"/>
      <c r="AL1262" s="8"/>
      <c r="AN1262" s="8"/>
      <c r="AO1262" s="8"/>
      <c r="AP1262" s="8"/>
      <c r="AQ1262" s="8"/>
      <c r="AR1262" s="8"/>
      <c r="AS1262" s="8"/>
    </row>
    <row r="1263" spans="1:45">
      <c r="A1263" s="19"/>
      <c r="B1263" s="19"/>
      <c r="C1263" s="19"/>
      <c r="E1263" s="9"/>
      <c r="F1263" s="9"/>
      <c r="AG1263" s="8"/>
      <c r="AH1263" s="8"/>
      <c r="AI1263" s="8"/>
      <c r="AJ1263" s="8"/>
      <c r="AK1263" s="8"/>
      <c r="AL1263" s="8"/>
      <c r="AN1263" s="8"/>
      <c r="AO1263" s="8"/>
      <c r="AP1263" s="8"/>
      <c r="AQ1263" s="8"/>
      <c r="AR1263" s="8"/>
      <c r="AS1263" s="8"/>
    </row>
    <row r="1264" spans="1:45">
      <c r="A1264" s="19"/>
      <c r="B1264" s="19"/>
      <c r="C1264" s="19"/>
      <c r="E1264" s="9"/>
      <c r="F1264" s="9"/>
      <c r="AG1264" s="8"/>
      <c r="AH1264" s="8"/>
      <c r="AI1264" s="8"/>
      <c r="AJ1264" s="8"/>
      <c r="AK1264" s="8"/>
      <c r="AL1264" s="8"/>
      <c r="AN1264" s="8"/>
      <c r="AO1264" s="8"/>
      <c r="AP1264" s="8"/>
      <c r="AQ1264" s="8"/>
      <c r="AR1264" s="8"/>
      <c r="AS1264" s="8"/>
    </row>
    <row r="1265" spans="1:45">
      <c r="A1265" s="19"/>
      <c r="B1265" s="19"/>
      <c r="C1265" s="19"/>
      <c r="E1265" s="9"/>
      <c r="F1265" s="9"/>
      <c r="AG1265" s="8"/>
      <c r="AH1265" s="8"/>
      <c r="AI1265" s="8"/>
      <c r="AJ1265" s="8"/>
      <c r="AK1265" s="8"/>
      <c r="AL1265" s="8"/>
      <c r="AN1265" s="8"/>
      <c r="AO1265" s="8"/>
      <c r="AP1265" s="8"/>
      <c r="AQ1265" s="8"/>
      <c r="AR1265" s="8"/>
      <c r="AS1265" s="8"/>
    </row>
    <row r="1266" spans="1:45">
      <c r="A1266" s="19"/>
      <c r="B1266" s="19"/>
      <c r="C1266" s="19"/>
      <c r="E1266" s="9"/>
      <c r="F1266" s="9"/>
      <c r="AG1266" s="8"/>
      <c r="AH1266" s="8"/>
      <c r="AI1266" s="8"/>
      <c r="AJ1266" s="8"/>
      <c r="AK1266" s="8"/>
      <c r="AL1266" s="8"/>
      <c r="AN1266" s="8"/>
      <c r="AO1266" s="8"/>
      <c r="AP1266" s="8"/>
      <c r="AQ1266" s="8"/>
      <c r="AR1266" s="8"/>
      <c r="AS1266" s="8"/>
    </row>
    <row r="1267" spans="1:45">
      <c r="A1267" s="19"/>
      <c r="B1267" s="19"/>
      <c r="C1267" s="19"/>
      <c r="E1267" s="9"/>
      <c r="F1267" s="9"/>
      <c r="AG1267" s="8"/>
      <c r="AH1267" s="8"/>
      <c r="AI1267" s="8"/>
      <c r="AJ1267" s="8"/>
      <c r="AK1267" s="8"/>
      <c r="AL1267" s="8"/>
      <c r="AN1267" s="8"/>
      <c r="AO1267" s="8"/>
      <c r="AP1267" s="8"/>
      <c r="AQ1267" s="8"/>
      <c r="AR1267" s="8"/>
      <c r="AS1267" s="8"/>
    </row>
    <row r="1268" spans="1:45">
      <c r="A1268" s="19"/>
      <c r="B1268" s="19"/>
      <c r="C1268" s="19"/>
      <c r="E1268" s="9"/>
      <c r="F1268" s="9"/>
      <c r="AG1268" s="8"/>
      <c r="AH1268" s="8"/>
      <c r="AI1268" s="8"/>
      <c r="AJ1268" s="8"/>
      <c r="AK1268" s="8"/>
      <c r="AL1268" s="8"/>
      <c r="AN1268" s="8"/>
      <c r="AO1268" s="8"/>
      <c r="AP1268" s="8"/>
      <c r="AQ1268" s="8"/>
      <c r="AR1268" s="8"/>
      <c r="AS1268" s="8"/>
    </row>
    <row r="1269" spans="1:45">
      <c r="A1269" s="19"/>
      <c r="B1269" s="19"/>
      <c r="C1269" s="19"/>
      <c r="E1269" s="9"/>
      <c r="F1269" s="9"/>
      <c r="AG1269" s="8"/>
      <c r="AH1269" s="8"/>
      <c r="AI1269" s="8"/>
      <c r="AJ1269" s="8"/>
      <c r="AK1269" s="8"/>
      <c r="AL1269" s="8"/>
      <c r="AN1269" s="8"/>
      <c r="AO1269" s="8"/>
      <c r="AP1269" s="8"/>
      <c r="AQ1269" s="8"/>
      <c r="AR1269" s="8"/>
      <c r="AS1269" s="8"/>
    </row>
    <row r="1270" spans="1:45">
      <c r="A1270" s="19"/>
      <c r="B1270" s="19"/>
      <c r="C1270" s="19"/>
      <c r="E1270" s="9"/>
      <c r="F1270" s="9"/>
      <c r="AG1270" s="8"/>
      <c r="AH1270" s="8"/>
      <c r="AI1270" s="8"/>
      <c r="AJ1270" s="8"/>
      <c r="AK1270" s="8"/>
      <c r="AL1270" s="8"/>
      <c r="AN1270" s="8"/>
      <c r="AO1270" s="8"/>
      <c r="AP1270" s="8"/>
      <c r="AQ1270" s="8"/>
      <c r="AR1270" s="8"/>
      <c r="AS1270" s="8"/>
    </row>
    <row r="1271" spans="1:45">
      <c r="A1271" s="19"/>
      <c r="B1271" s="19"/>
      <c r="C1271" s="19"/>
      <c r="E1271" s="9"/>
      <c r="F1271" s="9"/>
      <c r="AG1271" s="8"/>
      <c r="AH1271" s="8"/>
      <c r="AI1271" s="8"/>
      <c r="AJ1271" s="8"/>
      <c r="AK1271" s="8"/>
      <c r="AL1271" s="8"/>
      <c r="AN1271" s="8"/>
      <c r="AO1271" s="8"/>
      <c r="AP1271" s="8"/>
      <c r="AQ1271" s="8"/>
      <c r="AR1271" s="8"/>
      <c r="AS1271" s="8"/>
    </row>
    <row r="1272" spans="1:45">
      <c r="A1272" s="19"/>
      <c r="B1272" s="19"/>
      <c r="C1272" s="19"/>
      <c r="E1272" s="9"/>
      <c r="F1272" s="9"/>
      <c r="AG1272" s="8"/>
      <c r="AH1272" s="8"/>
      <c r="AI1272" s="8"/>
      <c r="AJ1272" s="8"/>
      <c r="AK1272" s="8"/>
      <c r="AL1272" s="8"/>
      <c r="AN1272" s="8"/>
      <c r="AO1272" s="8"/>
      <c r="AP1272" s="8"/>
      <c r="AQ1272" s="8"/>
      <c r="AR1272" s="8"/>
      <c r="AS1272" s="8"/>
    </row>
  </sheetData>
  <conditionalFormatting sqref="AX32:AY38 N32 AT3:AU8 BI11:BI13 AH9:AI18 T9:T18 BJ7:BJ13 W3:W11 AQ3:AR11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34" r:id="rId3" name="SpinButton4"/>
    <control shapeId="1033" r:id="rId4" name="SpinButton5"/>
    <control shapeId="1031" r:id="rId5" name="SpinButton3"/>
    <control shapeId="1030" r:id="rId6" name="SpinButton2"/>
    <control shapeId="1029" r:id="rId7" name="Spin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2019-12-29T23:04:34Z</dcterms:modified>
</cp:coreProperties>
</file>